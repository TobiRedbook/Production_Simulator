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5-5500\Downloads\Production_Simulator-main\Production_Simulator-main\"/>
    </mc:Choice>
  </mc:AlternateContent>
  <xr:revisionPtr revIDLastSave="0" documentId="8_{C0BCCEA9-C89F-4AE3-B0B2-34122A55CF01}" xr6:coauthVersionLast="47" xr6:coauthVersionMax="47" xr10:uidLastSave="{00000000-0000-0000-0000-000000000000}"/>
  <bookViews>
    <workbookView xWindow="-120" yWindow="-120" windowWidth="29040" windowHeight="15840" activeTab="2" xr2:uid="{CBFFEFB1-F3AA-47B9-8D58-B00F34FBC083}"/>
  </bookViews>
  <sheets>
    <sheet name="Structure" sheetId="4" r:id="rId1"/>
    <sheet name="Sheet1" sheetId="1" r:id="rId2"/>
    <sheet name="Simulator" sheetId="2" r:id="rId3"/>
    <sheet name="Sheet3" sheetId="5" r:id="rId4"/>
  </sheets>
  <externalReferences>
    <externalReference r:id="rId5"/>
  </externalReferences>
  <definedNames>
    <definedName name="_DATE">#REF!</definedName>
    <definedName name="_DBNAME">#REF!</definedName>
    <definedName name="_DBPATH">#REF!</definedName>
    <definedName name="_xlnm._FilterDatabase" localSheetId="1" hidden="1">Sheet1!$A$1:$D$217</definedName>
    <definedName name="_xlnm._FilterDatabase" localSheetId="3" hidden="1">Sheet3!$A$2:$U$108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CA3" i="2" l="1"/>
  <c r="CA4" i="2" s="1"/>
  <c r="CB3" i="2"/>
  <c r="CB4" i="2" s="1"/>
  <c r="CD3" i="2"/>
  <c r="CD4" i="2" s="1"/>
  <c r="CD5" i="2" s="1"/>
  <c r="CD6" i="2" s="1"/>
  <c r="CF3" i="2"/>
  <c r="CF4" i="2" s="1"/>
  <c r="CF5" i="2" s="1"/>
  <c r="CF6" i="2" s="1"/>
  <c r="CF7" i="2" s="1"/>
  <c r="CF8" i="2" s="1"/>
  <c r="CH3" i="2"/>
  <c r="CH4" i="2" s="1"/>
  <c r="CH5" i="2" s="1"/>
  <c r="CH6" i="2" s="1"/>
  <c r="CI3" i="2"/>
  <c r="CI4" i="2" s="1"/>
  <c r="CI5" i="2" s="1"/>
  <c r="CI6" i="2" s="1"/>
  <c r="CK3" i="2"/>
  <c r="CM3" i="2"/>
  <c r="CM4" i="2" s="1"/>
  <c r="CN3" i="2"/>
  <c r="CN4" i="2" s="1"/>
  <c r="CP3" i="2"/>
  <c r="CP4" i="2" s="1"/>
  <c r="CP5" i="2" s="1"/>
  <c r="CP6" i="2" s="1"/>
  <c r="CQ3" i="2"/>
  <c r="CQ4" i="2" s="1"/>
  <c r="CQ5" i="2" s="1"/>
  <c r="CQ6" i="2" s="1"/>
  <c r="CQ7" i="2" s="1"/>
  <c r="CR3" i="2"/>
  <c r="CR4" i="2" s="1"/>
  <c r="CR5" i="2" s="1"/>
  <c r="CR6" i="2" s="1"/>
  <c r="CR7" i="2" s="1"/>
  <c r="CR8" i="2" s="1"/>
  <c r="CS3" i="2"/>
  <c r="CS4" i="2" s="1"/>
  <c r="CT3" i="2"/>
  <c r="CT4" i="2" s="1"/>
  <c r="CT5" i="2" s="1"/>
  <c r="CV3" i="2"/>
  <c r="CV4" i="2" s="1"/>
  <c r="CV5" i="2" s="1"/>
  <c r="CW3" i="2"/>
  <c r="CX3" i="2"/>
  <c r="CX4" i="2" s="1"/>
  <c r="CY3" i="2"/>
  <c r="CY4" i="2" s="1"/>
  <c r="CZ3" i="2"/>
  <c r="CZ4" i="2" s="1"/>
  <c r="DA3" i="2"/>
  <c r="DA4" i="2" s="1"/>
  <c r="DA5" i="2" s="1"/>
  <c r="DA6" i="2" s="1"/>
  <c r="DB3" i="2"/>
  <c r="DB4" i="2" s="1"/>
  <c r="DB5" i="2" s="1"/>
  <c r="DB6" i="2" s="1"/>
  <c r="DC3" i="2"/>
  <c r="DC4" i="2" s="1"/>
  <c r="DC5" i="2" s="1"/>
  <c r="DD3" i="2"/>
  <c r="DD4" i="2" s="1"/>
  <c r="DE3" i="2"/>
  <c r="DE4" i="2" s="1"/>
  <c r="DF3" i="2"/>
  <c r="DF4" i="2" s="1"/>
  <c r="DF5" i="2" s="1"/>
  <c r="DG3" i="2"/>
  <c r="DG4" i="2" s="1"/>
  <c r="DG5" i="2" s="1"/>
  <c r="BZ3" i="2"/>
  <c r="BZ4" i="2" s="1"/>
  <c r="CC3" i="2"/>
  <c r="CC4" i="2" s="1"/>
  <c r="CC5" i="2" s="1"/>
  <c r="CC6" i="2" s="1"/>
  <c r="CC7" i="2" s="1"/>
  <c r="CC8" i="2" s="1"/>
  <c r="CC9" i="2" s="1"/>
  <c r="CC10" i="2" s="1"/>
  <c r="CO3" i="2"/>
  <c r="CO4" i="2" s="1"/>
  <c r="CO5" i="2" s="1"/>
  <c r="CO6" i="2" s="1"/>
  <c r="CO7" i="2" s="1"/>
  <c r="CO8" i="2" s="1"/>
  <c r="DB7" i="2" l="1"/>
  <c r="CP7" i="2"/>
  <c r="CD7" i="2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Y5" i="2"/>
  <c r="CM5" i="2"/>
  <c r="DB8" i="2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CP8" i="2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DF6" i="2"/>
  <c r="DF7" i="2" s="1"/>
  <c r="DF8" i="2" s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CT6" i="2"/>
  <c r="CT7" i="2" s="1"/>
  <c r="CT8" i="2" s="1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Y6" i="2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M6" i="2"/>
  <c r="CM7" i="2" s="1"/>
  <c r="CM8" i="2" s="1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K4" i="2"/>
  <c r="CK5" i="2" s="1"/>
  <c r="CK6" i="2" s="1"/>
  <c r="CW4" i="2"/>
  <c r="CW5" i="2" s="1"/>
  <c r="CW6" i="2" s="1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DC6" i="2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D5" i="2"/>
  <c r="DD6" i="2" s="1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G6" i="2"/>
  <c r="DG7" i="2" s="1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E5" i="2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CS5" i="2"/>
  <c r="CS6" i="2" s="1"/>
  <c r="CS7" i="2" s="1"/>
  <c r="CS8" i="2" s="1"/>
  <c r="CS9" i="2" s="1"/>
  <c r="CF9" i="2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Q8" i="2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R9" i="2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H7" i="2"/>
  <c r="CH8" i="2" s="1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I7" i="2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B5" i="2"/>
  <c r="CB6" i="2" s="1"/>
  <c r="CB7" i="2" s="1"/>
  <c r="CB8" i="2" s="1"/>
  <c r="CB9" i="2" s="1"/>
  <c r="CB10" i="2" s="1"/>
  <c r="CB11" i="2" s="1"/>
  <c r="CB12" i="2" s="1"/>
  <c r="CB13" i="2" s="1"/>
  <c r="CB14" i="2" s="1"/>
  <c r="CB15" i="2" s="1"/>
  <c r="CB16" i="2" s="1"/>
  <c r="CB17" i="2" s="1"/>
  <c r="CB18" i="2" s="1"/>
  <c r="CB19" i="2" s="1"/>
  <c r="CB20" i="2" s="1"/>
  <c r="CB21" i="2" s="1"/>
  <c r="CB22" i="2" s="1"/>
  <c r="CB23" i="2" s="1"/>
  <c r="CB24" i="2" s="1"/>
  <c r="CB25" i="2" s="1"/>
  <c r="CB26" i="2" s="1"/>
  <c r="CB27" i="2" s="1"/>
  <c r="CB28" i="2" s="1"/>
  <c r="CB29" i="2" s="1"/>
  <c r="CB30" i="2" s="1"/>
  <c r="CB31" i="2" s="1"/>
  <c r="CB32" i="2" s="1"/>
  <c r="CB33" i="2" s="1"/>
  <c r="CB34" i="2" s="1"/>
  <c r="CB35" i="2" s="1"/>
  <c r="CB36" i="2" s="1"/>
  <c r="CB37" i="2" s="1"/>
  <c r="CB38" i="2" s="1"/>
  <c r="CB39" i="2" s="1"/>
  <c r="CB40" i="2" s="1"/>
  <c r="CB41" i="2" s="1"/>
  <c r="CB42" i="2" s="1"/>
  <c r="CB43" i="2" s="1"/>
  <c r="CB44" i="2" s="1"/>
  <c r="CB45" i="2" s="1"/>
  <c r="CB46" i="2" s="1"/>
  <c r="CB47" i="2" s="1"/>
  <c r="CB48" i="2" s="1"/>
  <c r="CB49" i="2" s="1"/>
  <c r="CB50" i="2" s="1"/>
  <c r="CB51" i="2" s="1"/>
  <c r="CB52" i="2" s="1"/>
  <c r="CB53" i="2" s="1"/>
  <c r="CB54" i="2" s="1"/>
  <c r="CB55" i="2" s="1"/>
  <c r="CB56" i="2" s="1"/>
  <c r="CB57" i="2" s="1"/>
  <c r="CB58" i="2" s="1"/>
  <c r="CB59" i="2" s="1"/>
  <c r="CB60" i="2" s="1"/>
  <c r="CB61" i="2" s="1"/>
  <c r="CB62" i="2" s="1"/>
  <c r="CB63" i="2" s="1"/>
  <c r="CB64" i="2" s="1"/>
  <c r="CB65" i="2" s="1"/>
  <c r="CB66" i="2" s="1"/>
  <c r="CB67" i="2" s="1"/>
  <c r="CB68" i="2" s="1"/>
  <c r="CB69" i="2" s="1"/>
  <c r="CB70" i="2" s="1"/>
  <c r="CB71" i="2" s="1"/>
  <c r="CB72" i="2" s="1"/>
  <c r="CB73" i="2" s="1"/>
  <c r="CB74" i="2" s="1"/>
  <c r="CB75" i="2" s="1"/>
  <c r="CB76" i="2" s="1"/>
  <c r="CB77" i="2" s="1"/>
  <c r="CB78" i="2" s="1"/>
  <c r="CB79" i="2" s="1"/>
  <c r="CB80" i="2" s="1"/>
  <c r="CB81" i="2" s="1"/>
  <c r="CB82" i="2" s="1"/>
  <c r="CB83" i="2" s="1"/>
  <c r="CB84" i="2" s="1"/>
  <c r="CB85" i="2" s="1"/>
  <c r="CB86" i="2" s="1"/>
  <c r="CB87" i="2" s="1"/>
  <c r="CB88" i="2" s="1"/>
  <c r="CB89" i="2" s="1"/>
  <c r="CB90" i="2" s="1"/>
  <c r="CB91" i="2" s="1"/>
  <c r="CB92" i="2" s="1"/>
  <c r="CB93" i="2" s="1"/>
  <c r="CB94" i="2" s="1"/>
  <c r="CB95" i="2" s="1"/>
  <c r="CB96" i="2" s="1"/>
  <c r="CB97" i="2" s="1"/>
  <c r="CB98" i="2" s="1"/>
  <c r="CB99" i="2" s="1"/>
  <c r="CB100" i="2" s="1"/>
  <c r="CB101" i="2" s="1"/>
  <c r="CB102" i="2" s="1"/>
  <c r="CB103" i="2" s="1"/>
  <c r="CB104" i="2" s="1"/>
  <c r="CB105" i="2" s="1"/>
  <c r="CB106" i="2" s="1"/>
  <c r="CB107" i="2" s="1"/>
  <c r="CB108" i="2" s="1"/>
  <c r="CB109" i="2" s="1"/>
  <c r="CB110" i="2" s="1"/>
  <c r="CB111" i="2" s="1"/>
  <c r="CB112" i="2" s="1"/>
  <c r="CB113" i="2" s="1"/>
  <c r="CB114" i="2" s="1"/>
  <c r="CB115" i="2" s="1"/>
  <c r="CB116" i="2" s="1"/>
  <c r="CB117" i="2" s="1"/>
  <c r="CB118" i="2" s="1"/>
  <c r="CB119" i="2" s="1"/>
  <c r="CB120" i="2" s="1"/>
  <c r="CB121" i="2" s="1"/>
  <c r="CB122" i="2" s="1"/>
  <c r="CB123" i="2" s="1"/>
  <c r="CB124" i="2" s="1"/>
  <c r="CB125" i="2" s="1"/>
  <c r="CB126" i="2" s="1"/>
  <c r="CB127" i="2" s="1"/>
  <c r="CB128" i="2" s="1"/>
  <c r="CB129" i="2" s="1"/>
  <c r="CB130" i="2" s="1"/>
  <c r="CB131" i="2" s="1"/>
  <c r="CB132" i="2" s="1"/>
  <c r="CB133" i="2" s="1"/>
  <c r="CB134" i="2" s="1"/>
  <c r="CB135" i="2" s="1"/>
  <c r="CB136" i="2" s="1"/>
  <c r="CB137" i="2" s="1"/>
  <c r="CB138" i="2" s="1"/>
  <c r="CB139" i="2" s="1"/>
  <c r="CB140" i="2" s="1"/>
  <c r="CB141" i="2" s="1"/>
  <c r="CB142" i="2" s="1"/>
  <c r="CB143" i="2" s="1"/>
  <c r="CB144" i="2" s="1"/>
  <c r="CB145" i="2" s="1"/>
  <c r="CB146" i="2" s="1"/>
  <c r="CB147" i="2" s="1"/>
  <c r="CB148" i="2" s="1"/>
  <c r="CB149" i="2" s="1"/>
  <c r="CB150" i="2" s="1"/>
  <c r="CB151" i="2" s="1"/>
  <c r="CB152" i="2" s="1"/>
  <c r="CB153" i="2" s="1"/>
  <c r="CB154" i="2" s="1"/>
  <c r="CB155" i="2" s="1"/>
  <c r="CB156" i="2" s="1"/>
  <c r="CB157" i="2" s="1"/>
  <c r="CB158" i="2" s="1"/>
  <c r="CB159" i="2" s="1"/>
  <c r="CB160" i="2" s="1"/>
  <c r="CB161" i="2" s="1"/>
  <c r="CB162" i="2" s="1"/>
  <c r="CB163" i="2" s="1"/>
  <c r="CB164" i="2" s="1"/>
  <c r="CB165" i="2" s="1"/>
  <c r="CB166" i="2" s="1"/>
  <c r="CB167" i="2" s="1"/>
  <c r="CB168" i="2" s="1"/>
  <c r="CB169" i="2" s="1"/>
  <c r="CB170" i="2" s="1"/>
  <c r="CB171" i="2" s="1"/>
  <c r="DA7" i="2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CO9" i="2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N5" i="2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X5" i="2"/>
  <c r="CX6" i="2" s="1"/>
  <c r="CX7" i="2" s="1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Z5" i="2"/>
  <c r="CZ6" i="2" s="1"/>
  <c r="CZ7" i="2" s="1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BZ5" i="2"/>
  <c r="BZ6" i="2" s="1"/>
  <c r="BZ7" i="2" s="1"/>
  <c r="BZ8" i="2" s="1"/>
  <c r="BZ9" i="2" s="1"/>
  <c r="BZ10" i="2" s="1"/>
  <c r="BZ11" i="2" s="1"/>
  <c r="BZ12" i="2" s="1"/>
  <c r="BZ13" i="2" s="1"/>
  <c r="BZ14" i="2" s="1"/>
  <c r="BZ15" i="2" s="1"/>
  <c r="BZ16" i="2" s="1"/>
  <c r="BZ17" i="2" s="1"/>
  <c r="BZ18" i="2" s="1"/>
  <c r="BZ19" i="2" s="1"/>
  <c r="BZ20" i="2" s="1"/>
  <c r="BZ21" i="2" s="1"/>
  <c r="BZ22" i="2" s="1"/>
  <c r="BZ23" i="2" s="1"/>
  <c r="BZ24" i="2" s="1"/>
  <c r="BZ25" i="2" s="1"/>
  <c r="BZ26" i="2" s="1"/>
  <c r="BZ27" i="2" s="1"/>
  <c r="BZ28" i="2" s="1"/>
  <c r="BZ29" i="2" s="1"/>
  <c r="BZ30" i="2" s="1"/>
  <c r="BZ31" i="2" s="1"/>
  <c r="BZ32" i="2" s="1"/>
  <c r="BZ33" i="2" s="1"/>
  <c r="BZ34" i="2" s="1"/>
  <c r="BZ35" i="2" s="1"/>
  <c r="BZ36" i="2" s="1"/>
  <c r="BZ37" i="2" s="1"/>
  <c r="BZ38" i="2" s="1"/>
  <c r="BZ39" i="2" s="1"/>
  <c r="BZ40" i="2" s="1"/>
  <c r="BZ41" i="2" s="1"/>
  <c r="BZ42" i="2" s="1"/>
  <c r="BZ43" i="2" s="1"/>
  <c r="BZ44" i="2" s="1"/>
  <c r="BZ45" i="2" s="1"/>
  <c r="BZ46" i="2" s="1"/>
  <c r="BZ47" i="2" s="1"/>
  <c r="BZ48" i="2" s="1"/>
  <c r="BZ49" i="2" s="1"/>
  <c r="BZ50" i="2" s="1"/>
  <c r="BZ51" i="2" s="1"/>
  <c r="BZ52" i="2" s="1"/>
  <c r="BZ53" i="2" s="1"/>
  <c r="BZ54" i="2" s="1"/>
  <c r="BZ55" i="2" s="1"/>
  <c r="BZ56" i="2" s="1"/>
  <c r="BZ57" i="2" s="1"/>
  <c r="BZ58" i="2" s="1"/>
  <c r="BZ59" i="2" s="1"/>
  <c r="BZ60" i="2" s="1"/>
  <c r="BZ61" i="2" s="1"/>
  <c r="BZ62" i="2" s="1"/>
  <c r="BZ63" i="2" s="1"/>
  <c r="BZ64" i="2" s="1"/>
  <c r="BZ65" i="2" s="1"/>
  <c r="BZ66" i="2" s="1"/>
  <c r="BZ67" i="2" s="1"/>
  <c r="BZ68" i="2" s="1"/>
  <c r="BZ69" i="2" s="1"/>
  <c r="BZ70" i="2" s="1"/>
  <c r="BZ71" i="2" s="1"/>
  <c r="BZ72" i="2" s="1"/>
  <c r="BZ73" i="2" s="1"/>
  <c r="BZ74" i="2" s="1"/>
  <c r="BZ75" i="2" s="1"/>
  <c r="BZ76" i="2" s="1"/>
  <c r="BZ77" i="2" s="1"/>
  <c r="BZ78" i="2" s="1"/>
  <c r="BZ79" i="2" s="1"/>
  <c r="BZ80" i="2" s="1"/>
  <c r="BZ81" i="2" s="1"/>
  <c r="BZ82" i="2" s="1"/>
  <c r="BZ83" i="2" s="1"/>
  <c r="BZ84" i="2" s="1"/>
  <c r="BZ85" i="2" s="1"/>
  <c r="BZ86" i="2" s="1"/>
  <c r="BZ87" i="2" s="1"/>
  <c r="BZ88" i="2" s="1"/>
  <c r="BZ89" i="2" s="1"/>
  <c r="BZ90" i="2" s="1"/>
  <c r="BZ91" i="2" s="1"/>
  <c r="BZ92" i="2" s="1"/>
  <c r="BZ93" i="2" s="1"/>
  <c r="BZ94" i="2" s="1"/>
  <c r="BZ95" i="2" s="1"/>
  <c r="BZ96" i="2" s="1"/>
  <c r="BZ97" i="2" s="1"/>
  <c r="BZ98" i="2" s="1"/>
  <c r="BZ99" i="2" s="1"/>
  <c r="BZ100" i="2" s="1"/>
  <c r="BZ101" i="2" s="1"/>
  <c r="BZ102" i="2" s="1"/>
  <c r="BZ103" i="2" s="1"/>
  <c r="BZ104" i="2" s="1"/>
  <c r="BZ105" i="2" s="1"/>
  <c r="BZ106" i="2" s="1"/>
  <c r="BZ107" i="2" s="1"/>
  <c r="BZ108" i="2" s="1"/>
  <c r="BZ109" i="2" s="1"/>
  <c r="BZ110" i="2" s="1"/>
  <c r="BZ111" i="2" s="1"/>
  <c r="BZ112" i="2" s="1"/>
  <c r="BZ113" i="2" s="1"/>
  <c r="BZ114" i="2" s="1"/>
  <c r="BZ115" i="2" s="1"/>
  <c r="BZ116" i="2" s="1"/>
  <c r="BZ117" i="2" s="1"/>
  <c r="BZ118" i="2" s="1"/>
  <c r="BZ119" i="2" s="1"/>
  <c r="BZ120" i="2" s="1"/>
  <c r="BZ121" i="2" s="1"/>
  <c r="BZ122" i="2" s="1"/>
  <c r="BZ123" i="2" s="1"/>
  <c r="BZ124" i="2" s="1"/>
  <c r="BZ125" i="2" s="1"/>
  <c r="BZ126" i="2" s="1"/>
  <c r="BZ127" i="2" s="1"/>
  <c r="BZ128" i="2" s="1"/>
  <c r="BZ129" i="2" s="1"/>
  <c r="BZ130" i="2" s="1"/>
  <c r="BZ131" i="2" s="1"/>
  <c r="BZ132" i="2" s="1"/>
  <c r="BZ133" i="2" s="1"/>
  <c r="BZ134" i="2" s="1"/>
  <c r="BZ135" i="2" s="1"/>
  <c r="BZ136" i="2" s="1"/>
  <c r="BZ137" i="2" s="1"/>
  <c r="BZ138" i="2" s="1"/>
  <c r="BZ139" i="2" s="1"/>
  <c r="BZ140" i="2" s="1"/>
  <c r="BZ141" i="2" s="1"/>
  <c r="BZ142" i="2" s="1"/>
  <c r="BZ143" i="2" s="1"/>
  <c r="BZ144" i="2" s="1"/>
  <c r="BZ145" i="2" s="1"/>
  <c r="BZ146" i="2" s="1"/>
  <c r="BZ147" i="2" s="1"/>
  <c r="BZ148" i="2" s="1"/>
  <c r="BZ149" i="2" s="1"/>
  <c r="BZ150" i="2" s="1"/>
  <c r="BZ151" i="2" s="1"/>
  <c r="BZ152" i="2" s="1"/>
  <c r="BZ153" i="2" s="1"/>
  <c r="BZ154" i="2" s="1"/>
  <c r="BZ155" i="2" s="1"/>
  <c r="BZ156" i="2" s="1"/>
  <c r="BZ157" i="2" s="1"/>
  <c r="BZ158" i="2" s="1"/>
  <c r="BZ159" i="2" s="1"/>
  <c r="BZ160" i="2" s="1"/>
  <c r="BZ161" i="2" s="1"/>
  <c r="BZ162" i="2" s="1"/>
  <c r="BZ163" i="2" s="1"/>
  <c r="BZ164" i="2" s="1"/>
  <c r="BZ165" i="2" s="1"/>
  <c r="BZ166" i="2" s="1"/>
  <c r="BZ167" i="2" s="1"/>
  <c r="BZ168" i="2" s="1"/>
  <c r="BZ169" i="2" s="1"/>
  <c r="BZ170" i="2" s="1"/>
  <c r="BZ171" i="2" s="1"/>
  <c r="CA5" i="2"/>
  <c r="CA6" i="2" s="1"/>
  <c r="CA7" i="2" s="1"/>
  <c r="CA8" i="2" s="1"/>
  <c r="CA9" i="2" s="1"/>
  <c r="CA10" i="2" s="1"/>
  <c r="CA11" i="2" s="1"/>
  <c r="CA12" i="2" s="1"/>
  <c r="CA13" i="2" s="1"/>
  <c r="CA14" i="2" s="1"/>
  <c r="CA15" i="2" s="1"/>
  <c r="CA16" i="2" s="1"/>
  <c r="CA17" i="2" s="1"/>
  <c r="CA18" i="2" s="1"/>
  <c r="CA19" i="2" s="1"/>
  <c r="CA20" i="2" s="1"/>
  <c r="CA21" i="2" s="1"/>
  <c r="CA22" i="2" s="1"/>
  <c r="CA23" i="2" s="1"/>
  <c r="CA24" i="2" s="1"/>
  <c r="CA25" i="2" s="1"/>
  <c r="CA26" i="2" s="1"/>
  <c r="CA27" i="2" s="1"/>
  <c r="CA28" i="2" s="1"/>
  <c r="CA29" i="2" s="1"/>
  <c r="CA30" i="2" s="1"/>
  <c r="CA31" i="2" s="1"/>
  <c r="CA32" i="2" s="1"/>
  <c r="CA33" i="2" s="1"/>
  <c r="CA34" i="2" s="1"/>
  <c r="CA35" i="2" s="1"/>
  <c r="CA36" i="2" s="1"/>
  <c r="CA37" i="2" s="1"/>
  <c r="CA38" i="2" s="1"/>
  <c r="CA39" i="2" s="1"/>
  <c r="CA40" i="2" s="1"/>
  <c r="CA41" i="2" s="1"/>
  <c r="CA42" i="2" s="1"/>
  <c r="CA43" i="2" s="1"/>
  <c r="CA44" i="2" s="1"/>
  <c r="CA45" i="2" s="1"/>
  <c r="CA46" i="2" s="1"/>
  <c r="CA47" i="2" s="1"/>
  <c r="CA48" i="2" s="1"/>
  <c r="CA49" i="2" s="1"/>
  <c r="CA50" i="2" s="1"/>
  <c r="CA51" i="2" s="1"/>
  <c r="CA52" i="2" s="1"/>
  <c r="CA53" i="2" s="1"/>
  <c r="CA54" i="2" s="1"/>
  <c r="CA55" i="2" s="1"/>
  <c r="CA56" i="2" s="1"/>
  <c r="CA57" i="2" s="1"/>
  <c r="CA58" i="2" s="1"/>
  <c r="CA59" i="2" s="1"/>
  <c r="CA60" i="2" s="1"/>
  <c r="CA61" i="2" s="1"/>
  <c r="CA62" i="2" s="1"/>
  <c r="CA63" i="2" s="1"/>
  <c r="CA64" i="2" s="1"/>
  <c r="CA65" i="2" s="1"/>
  <c r="CA66" i="2" s="1"/>
  <c r="CA67" i="2" s="1"/>
  <c r="CA68" i="2" s="1"/>
  <c r="CA69" i="2" s="1"/>
  <c r="CA70" i="2" s="1"/>
  <c r="CA71" i="2" s="1"/>
  <c r="CA72" i="2" s="1"/>
  <c r="CA73" i="2" s="1"/>
  <c r="CA74" i="2" s="1"/>
  <c r="CA75" i="2" s="1"/>
  <c r="CA76" i="2" s="1"/>
  <c r="CA77" i="2" s="1"/>
  <c r="CA78" i="2" s="1"/>
  <c r="CA79" i="2" s="1"/>
  <c r="CA80" i="2" s="1"/>
  <c r="CA81" i="2" s="1"/>
  <c r="CA82" i="2" s="1"/>
  <c r="CA83" i="2" s="1"/>
  <c r="CA84" i="2" s="1"/>
  <c r="CA85" i="2" s="1"/>
  <c r="CA86" i="2" s="1"/>
  <c r="CA87" i="2" s="1"/>
  <c r="CA88" i="2" s="1"/>
  <c r="CA89" i="2" s="1"/>
  <c r="CA90" i="2" s="1"/>
  <c r="CA91" i="2" s="1"/>
  <c r="CA92" i="2" s="1"/>
  <c r="CA93" i="2" s="1"/>
  <c r="CA94" i="2" s="1"/>
  <c r="CA95" i="2" s="1"/>
  <c r="CA96" i="2" s="1"/>
  <c r="CA97" i="2" s="1"/>
  <c r="CA98" i="2" s="1"/>
  <c r="CA99" i="2" s="1"/>
  <c r="CA100" i="2" s="1"/>
  <c r="CA101" i="2" s="1"/>
  <c r="CA102" i="2" s="1"/>
  <c r="CA103" i="2" s="1"/>
  <c r="CA104" i="2" s="1"/>
  <c r="CA105" i="2" s="1"/>
  <c r="CA106" i="2" s="1"/>
  <c r="CA107" i="2" s="1"/>
  <c r="CA108" i="2" s="1"/>
  <c r="CA109" i="2" s="1"/>
  <c r="CA110" i="2" s="1"/>
  <c r="CA111" i="2" s="1"/>
  <c r="CA112" i="2" s="1"/>
  <c r="CA113" i="2" s="1"/>
  <c r="CA114" i="2" s="1"/>
  <c r="CA115" i="2" s="1"/>
  <c r="CA116" i="2" s="1"/>
  <c r="CA117" i="2" s="1"/>
  <c r="CA118" i="2" s="1"/>
  <c r="CA119" i="2" s="1"/>
  <c r="CA120" i="2" s="1"/>
  <c r="CA121" i="2" s="1"/>
  <c r="CA122" i="2" s="1"/>
  <c r="CA123" i="2" s="1"/>
  <c r="CA124" i="2" s="1"/>
  <c r="CA125" i="2" s="1"/>
  <c r="CA126" i="2" s="1"/>
  <c r="CA127" i="2" s="1"/>
  <c r="CA128" i="2" s="1"/>
  <c r="CA129" i="2" s="1"/>
  <c r="CA130" i="2" s="1"/>
  <c r="CA131" i="2" s="1"/>
  <c r="CA132" i="2" s="1"/>
  <c r="CA133" i="2" s="1"/>
  <c r="CA134" i="2" s="1"/>
  <c r="CA135" i="2" s="1"/>
  <c r="CA136" i="2" s="1"/>
  <c r="CA137" i="2" s="1"/>
  <c r="CA138" i="2" s="1"/>
  <c r="CA139" i="2" s="1"/>
  <c r="CA140" i="2" s="1"/>
  <c r="CA141" i="2" s="1"/>
  <c r="CA142" i="2" s="1"/>
  <c r="CA143" i="2" s="1"/>
  <c r="CA144" i="2" s="1"/>
  <c r="CA145" i="2" s="1"/>
  <c r="CA146" i="2" s="1"/>
  <c r="CA147" i="2" s="1"/>
  <c r="CA148" i="2" s="1"/>
  <c r="CA149" i="2" s="1"/>
  <c r="CA150" i="2" s="1"/>
  <c r="CA151" i="2" s="1"/>
  <c r="CA152" i="2" s="1"/>
  <c r="CA153" i="2" s="1"/>
  <c r="CA154" i="2" s="1"/>
  <c r="CA155" i="2" s="1"/>
  <c r="CA156" i="2" s="1"/>
  <c r="CA157" i="2" s="1"/>
  <c r="CA158" i="2" s="1"/>
  <c r="CA159" i="2" s="1"/>
  <c r="CA160" i="2" s="1"/>
  <c r="CA161" i="2" s="1"/>
  <c r="CA162" i="2" s="1"/>
  <c r="CA163" i="2" s="1"/>
  <c r="CA164" i="2" s="1"/>
  <c r="CA165" i="2" s="1"/>
  <c r="CA166" i="2" s="1"/>
  <c r="CA167" i="2" s="1"/>
  <c r="CA168" i="2" s="1"/>
  <c r="CA169" i="2" s="1"/>
  <c r="CA170" i="2" s="1"/>
  <c r="CA171" i="2" s="1"/>
  <c r="CS10" i="2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C11" i="2"/>
  <c r="CC12" i="2" s="1"/>
  <c r="CC13" i="2" s="1"/>
  <c r="CC14" i="2" s="1"/>
  <c r="CC15" i="2" s="1"/>
  <c r="CC16" i="2" s="1"/>
  <c r="CC17" i="2" s="1"/>
  <c r="CC18" i="2" s="1"/>
  <c r="CC19" i="2" s="1"/>
  <c r="CC20" i="2" s="1"/>
  <c r="CC21" i="2" s="1"/>
  <c r="CC22" i="2" s="1"/>
  <c r="CC23" i="2" s="1"/>
  <c r="CC24" i="2" s="1"/>
  <c r="CC25" i="2" s="1"/>
  <c r="CC26" i="2" s="1"/>
  <c r="CC27" i="2" s="1"/>
  <c r="CC28" i="2" s="1"/>
  <c r="CC29" i="2" s="1"/>
  <c r="CC30" i="2" s="1"/>
  <c r="CC31" i="2" s="1"/>
  <c r="CC32" i="2" s="1"/>
  <c r="CC33" i="2" s="1"/>
  <c r="CC34" i="2" s="1"/>
  <c r="CC35" i="2" s="1"/>
  <c r="CC36" i="2" s="1"/>
  <c r="CC37" i="2" s="1"/>
  <c r="CC38" i="2" s="1"/>
  <c r="CC39" i="2" s="1"/>
  <c r="CC40" i="2" s="1"/>
  <c r="CC41" i="2" s="1"/>
  <c r="CC42" i="2" s="1"/>
  <c r="CC43" i="2" s="1"/>
  <c r="CC44" i="2" s="1"/>
  <c r="CC45" i="2" s="1"/>
  <c r="CC46" i="2" s="1"/>
  <c r="CC47" i="2" s="1"/>
  <c r="CC48" i="2" s="1"/>
  <c r="CC49" i="2" s="1"/>
  <c r="CC50" i="2" s="1"/>
  <c r="CC51" i="2" s="1"/>
  <c r="CC52" i="2" s="1"/>
  <c r="CC53" i="2" s="1"/>
  <c r="CC54" i="2" s="1"/>
  <c r="CC55" i="2" s="1"/>
  <c r="CC56" i="2" s="1"/>
  <c r="CC57" i="2" s="1"/>
  <c r="CC58" i="2" s="1"/>
  <c r="CC59" i="2" s="1"/>
  <c r="CC60" i="2" s="1"/>
  <c r="CC61" i="2" s="1"/>
  <c r="CC62" i="2" s="1"/>
  <c r="CC63" i="2" s="1"/>
  <c r="CC64" i="2" s="1"/>
  <c r="CC65" i="2" s="1"/>
  <c r="CC66" i="2" s="1"/>
  <c r="CC67" i="2" s="1"/>
  <c r="CC68" i="2" s="1"/>
  <c r="CC69" i="2" s="1"/>
  <c r="CC70" i="2" s="1"/>
  <c r="CC71" i="2" s="1"/>
  <c r="CC72" i="2" s="1"/>
  <c r="CC73" i="2" s="1"/>
  <c r="CC74" i="2" s="1"/>
  <c r="CC75" i="2" s="1"/>
  <c r="CC76" i="2" s="1"/>
  <c r="CC77" i="2" s="1"/>
  <c r="CC78" i="2" s="1"/>
  <c r="CC79" i="2" s="1"/>
  <c r="CC80" i="2" s="1"/>
  <c r="CC81" i="2" s="1"/>
  <c r="CC82" i="2" s="1"/>
  <c r="CC83" i="2" s="1"/>
  <c r="CC84" i="2" s="1"/>
  <c r="CC85" i="2" s="1"/>
  <c r="CC86" i="2" s="1"/>
  <c r="CC87" i="2" s="1"/>
  <c r="CC88" i="2" s="1"/>
  <c r="CC89" i="2" s="1"/>
  <c r="CC90" i="2" s="1"/>
  <c r="CC91" i="2" s="1"/>
  <c r="CC92" i="2" s="1"/>
  <c r="CC93" i="2" s="1"/>
  <c r="CC94" i="2" s="1"/>
  <c r="CC95" i="2" s="1"/>
  <c r="CC96" i="2" s="1"/>
  <c r="CC97" i="2" s="1"/>
  <c r="CC98" i="2" s="1"/>
  <c r="CC99" i="2" s="1"/>
  <c r="CC100" i="2" s="1"/>
  <c r="CC101" i="2" s="1"/>
  <c r="CC102" i="2" s="1"/>
  <c r="CC103" i="2" s="1"/>
  <c r="CC104" i="2" s="1"/>
  <c r="CC105" i="2" s="1"/>
  <c r="CC106" i="2" s="1"/>
  <c r="CC107" i="2" s="1"/>
  <c r="CC108" i="2" s="1"/>
  <c r="CC109" i="2" s="1"/>
  <c r="CC110" i="2" s="1"/>
  <c r="CC111" i="2" s="1"/>
  <c r="CC112" i="2" s="1"/>
  <c r="CC113" i="2" s="1"/>
  <c r="CC114" i="2" s="1"/>
  <c r="CC115" i="2" s="1"/>
  <c r="CC116" i="2" s="1"/>
  <c r="CC117" i="2" s="1"/>
  <c r="CC118" i="2" s="1"/>
  <c r="CC119" i="2" s="1"/>
  <c r="CC120" i="2" s="1"/>
  <c r="CC121" i="2" s="1"/>
  <c r="CC122" i="2" s="1"/>
  <c r="CC123" i="2" s="1"/>
  <c r="CC124" i="2" s="1"/>
  <c r="CC125" i="2" s="1"/>
  <c r="CC126" i="2" s="1"/>
  <c r="CC127" i="2" s="1"/>
  <c r="CC128" i="2" s="1"/>
  <c r="CC129" i="2" s="1"/>
  <c r="CC130" i="2" s="1"/>
  <c r="CC131" i="2" s="1"/>
  <c r="CC132" i="2" s="1"/>
  <c r="CC133" i="2" s="1"/>
  <c r="CC134" i="2" s="1"/>
  <c r="CC135" i="2" s="1"/>
  <c r="CC136" i="2" s="1"/>
  <c r="CC137" i="2" s="1"/>
  <c r="CC138" i="2" s="1"/>
  <c r="CC139" i="2" s="1"/>
  <c r="CC140" i="2" s="1"/>
  <c r="CC141" i="2" s="1"/>
  <c r="CC142" i="2" s="1"/>
  <c r="CC143" i="2" s="1"/>
  <c r="CC144" i="2" s="1"/>
  <c r="CC145" i="2" s="1"/>
  <c r="CC146" i="2" s="1"/>
  <c r="CC147" i="2" s="1"/>
  <c r="CC148" i="2" s="1"/>
  <c r="CC149" i="2" s="1"/>
  <c r="CC150" i="2" s="1"/>
  <c r="CC151" i="2" s="1"/>
  <c r="CC152" i="2" s="1"/>
  <c r="CC153" i="2" s="1"/>
  <c r="CC154" i="2" s="1"/>
  <c r="CC155" i="2" s="1"/>
  <c r="CC156" i="2" s="1"/>
  <c r="CC157" i="2" s="1"/>
  <c r="CC158" i="2" s="1"/>
  <c r="CC159" i="2" s="1"/>
  <c r="CC160" i="2" s="1"/>
  <c r="CC161" i="2" s="1"/>
  <c r="CC162" i="2" s="1"/>
  <c r="CC163" i="2" s="1"/>
  <c r="CC164" i="2" s="1"/>
  <c r="CC165" i="2" s="1"/>
  <c r="CC166" i="2" s="1"/>
  <c r="CC167" i="2" s="1"/>
  <c r="CC168" i="2" s="1"/>
  <c r="CC169" i="2" s="1"/>
  <c r="CC170" i="2" s="1"/>
  <c r="CC171" i="2" s="1"/>
  <c r="CK7" i="2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V6" i="2"/>
  <c r="CV7" i="2" s="1"/>
  <c r="CV8" i="2" s="1"/>
  <c r="CV9" i="2" s="1"/>
  <c r="CV10" i="2" s="1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DH3" i="2"/>
  <c r="DH4" i="2" s="1"/>
  <c r="DH5" i="2" s="1"/>
  <c r="DH6" i="2" s="1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CJ3" i="2"/>
  <c r="CJ4" i="2" s="1"/>
  <c r="CJ5" i="2" s="1"/>
  <c r="CJ6" i="2" s="1"/>
  <c r="CJ7" i="2" s="1"/>
  <c r="CJ8" i="2" s="1"/>
  <c r="CJ9" i="2" s="1"/>
  <c r="CJ10" i="2" s="1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G3" i="2"/>
  <c r="CG4" i="2" s="1"/>
  <c r="CG5" i="2" s="1"/>
  <c r="CG6" i="2" s="1"/>
  <c r="CG7" i="2" s="1"/>
  <c r="CG8" i="2" s="1"/>
  <c r="CG9" i="2" s="1"/>
  <c r="CG10" i="2" s="1"/>
  <c r="CG11" i="2" s="1"/>
  <c r="CG12" i="2" s="1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L3" i="2"/>
  <c r="CL4" i="2" s="1"/>
  <c r="CL5" i="2" s="1"/>
  <c r="CL6" i="2" s="1"/>
  <c r="CL7" i="2" s="1"/>
  <c r="CL8" i="2" s="1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E3" i="2"/>
  <c r="CE4" i="2" s="1"/>
  <c r="CE5" i="2" s="1"/>
  <c r="CE6" i="2" s="1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U3" i="2"/>
  <c r="CU4" i="2" s="1"/>
  <c r="CU5" i="2" s="1"/>
  <c r="CU6" i="2" s="1"/>
  <c r="CU7" i="2" s="1"/>
  <c r="CU8" i="2" s="1"/>
  <c r="CU9" i="2" s="1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A1" i="2" l="1"/>
</calcChain>
</file>

<file path=xl/sharedStrings.xml><?xml version="1.0" encoding="utf-8"?>
<sst xmlns="http://schemas.openxmlformats.org/spreadsheetml/2006/main" count="2585" uniqueCount="382">
  <si>
    <t>Mercury</t>
  </si>
  <si>
    <t>Lot Size</t>
  </si>
  <si>
    <t>7215C006AA</t>
  </si>
  <si>
    <t>7215C003AA</t>
  </si>
  <si>
    <t>Cell1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</si>
  <si>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</si>
  <si>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</si>
  <si>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</si>
  <si>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</si>
  <si>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</si>
  <si>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</si>
  <si>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</si>
  <si>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FM3-B454-000</t>
  </si>
  <si>
    <t>Time</t>
  </si>
  <si>
    <t>Date</t>
  </si>
  <si>
    <t>Cell3</t>
  </si>
  <si>
    <t>Cell2</t>
  </si>
  <si>
    <t>Mercury no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</si>
  <si>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</si>
  <si>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</si>
  <si>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</si>
  <si>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</si>
  <si>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</si>
  <si>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</si>
  <si>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</si>
  <si>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</si>
  <si>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</si>
  <si>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</si>
  <si>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5961C001AA</t>
  </si>
  <si>
    <t>5961C006AA</t>
  </si>
  <si>
    <t>5961C007AA</t>
  </si>
  <si>
    <t>5962C001AA</t>
  </si>
  <si>
    <t>5962C006AA</t>
  </si>
  <si>
    <t>5962C007AA</t>
  </si>
  <si>
    <t>5962C008AA</t>
  </si>
  <si>
    <t>5962C011AA</t>
  </si>
  <si>
    <t>5963C001AA</t>
  </si>
  <si>
    <t>5963C006AA</t>
  </si>
  <si>
    <t>5963C007AA</t>
  </si>
  <si>
    <t>5963C008AA</t>
  </si>
  <si>
    <t>5963C011AA</t>
  </si>
  <si>
    <t>5964C007AA</t>
  </si>
  <si>
    <t>5964C008AA</t>
  </si>
  <si>
    <t>5965C007AA</t>
  </si>
  <si>
    <t>5965C008AA</t>
  </si>
  <si>
    <t>5965C011AA</t>
  </si>
  <si>
    <t>5966C001AA</t>
  </si>
  <si>
    <t>5967C007AA</t>
  </si>
  <si>
    <t>5970C007AA</t>
  </si>
  <si>
    <t>5970C008AA</t>
  </si>
  <si>
    <t>5970C011AA</t>
  </si>
  <si>
    <t>5971C007AA</t>
  </si>
  <si>
    <t>5971C008AA</t>
  </si>
  <si>
    <t>5971C011AA</t>
  </si>
  <si>
    <t>5972C007AA</t>
  </si>
  <si>
    <t>5972C008AA</t>
  </si>
  <si>
    <t>5973C007AA</t>
  </si>
  <si>
    <t>5973C008AA</t>
  </si>
  <si>
    <t>5974C007AA</t>
  </si>
  <si>
    <t>5975C007AA</t>
  </si>
  <si>
    <t>5975C008AA</t>
  </si>
  <si>
    <t>5976C001AA</t>
  </si>
  <si>
    <t>5976C007AA</t>
  </si>
  <si>
    <t>5976C008AA</t>
  </si>
  <si>
    <t>5976C011AA</t>
  </si>
  <si>
    <t>7199C002AA</t>
  </si>
  <si>
    <t>7199C003AA</t>
  </si>
  <si>
    <t>7199C005AA</t>
  </si>
  <si>
    <t>7199C006AA</t>
  </si>
  <si>
    <t>7199C007AA</t>
  </si>
  <si>
    <t>7199C008AA</t>
  </si>
  <si>
    <t>7199C009AA</t>
  </si>
  <si>
    <t>7199C010AA</t>
  </si>
  <si>
    <t>7199C011AA</t>
  </si>
  <si>
    <t>7199C012AA</t>
  </si>
  <si>
    <t>7215C001AA</t>
  </si>
  <si>
    <t>7215C007AA</t>
  </si>
  <si>
    <t>7215C008AA</t>
  </si>
  <si>
    <t>7215C010AA</t>
  </si>
  <si>
    <t>7217C009AA</t>
  </si>
  <si>
    <t>7218C009AA</t>
  </si>
  <si>
    <t>7219C009AA</t>
  </si>
  <si>
    <t>7220C009AA</t>
  </si>
  <si>
    <t>7220C010AA</t>
  </si>
  <si>
    <t>7230C001AA</t>
  </si>
  <si>
    <t>7230C002AA</t>
  </si>
  <si>
    <t>7230C003AA</t>
  </si>
  <si>
    <t>7230C005AA</t>
  </si>
  <si>
    <t>7230C008AA</t>
  </si>
  <si>
    <t>7230C010AA</t>
  </si>
  <si>
    <t>7231C009AA</t>
  </si>
  <si>
    <t>7232C009AA</t>
  </si>
  <si>
    <t>7233C009AA</t>
  </si>
  <si>
    <t>7234C008AA</t>
  </si>
  <si>
    <t>7235C008AA</t>
  </si>
  <si>
    <t>7235C010AA</t>
  </si>
  <si>
    <t>7236C009AA</t>
  </si>
  <si>
    <t>7238C009AA</t>
  </si>
  <si>
    <t>7239C002AA</t>
  </si>
  <si>
    <t>7239C009AA</t>
  </si>
  <si>
    <t>561A</t>
  </si>
  <si>
    <t>561B</t>
  </si>
  <si>
    <t>FM3-F806-000</t>
  </si>
  <si>
    <t>SERIAL-COUNTER_PCB_ASSY(FOR FACTORY)</t>
  </si>
  <si>
    <t>9XX</t>
  </si>
  <si>
    <t>55K1</t>
  </si>
  <si>
    <t>3DA</t>
  </si>
  <si>
    <t>FM3-F994-000</t>
  </si>
  <si>
    <t>DCON_T711_EF_FW_ASSY</t>
  </si>
  <si>
    <t>FM3-F995-000</t>
  </si>
  <si>
    <t>DCON_T711_G_FW_ASSY</t>
  </si>
  <si>
    <t>FM3-F996-000</t>
  </si>
  <si>
    <t>DCON_T511_AB_FW_ASSY</t>
  </si>
  <si>
    <t>FM3-F997-000</t>
  </si>
  <si>
    <t>DCON_T511_DE_FW_ASSY</t>
  </si>
  <si>
    <t>FM3-F998-000</t>
  </si>
  <si>
    <t>DCON_T511_C_FW_ASSY</t>
  </si>
  <si>
    <t>FM3-F999-000</t>
  </si>
  <si>
    <t>DCON_T511_FG_FW_ASSY</t>
  </si>
  <si>
    <t>FM3-G835-000</t>
  </si>
  <si>
    <t>MAIN CONTROLLER T711 PCB-ASSY_FW_ACRO(FA</t>
  </si>
  <si>
    <t>FM3-G839-000</t>
  </si>
  <si>
    <t>MAIN CONTROLLER T711 PCB-ASSY_FW_SAURO(F</t>
  </si>
  <si>
    <t>FM3-G841-000</t>
  </si>
  <si>
    <t>MAIN CONTROLLER T511 PCB-ASSY_FW_ACRO(FA</t>
  </si>
  <si>
    <t>FM3-G845-000</t>
  </si>
  <si>
    <t>MAIN CONTROLLER T511 PCB-ASSY_FW_KENTRO(</t>
  </si>
  <si>
    <t>FM3-G997-000</t>
  </si>
  <si>
    <t>MAIN-CONTROLLER_T711_RDALL_2beam_Unit</t>
  </si>
  <si>
    <t>FM3-G999-000</t>
  </si>
  <si>
    <t>MAIN-CONTROLLER_T711_RDALL_1beam_Unit</t>
  </si>
  <si>
    <t>FM3-H802-000</t>
  </si>
  <si>
    <t>MAIN-CONTROLLER_T711_RDSU_1beam_Unit</t>
  </si>
  <si>
    <t>FM3-H817-000</t>
  </si>
  <si>
    <t>MAIN-CONTROLLER_T511_RDALL_2beam_Unit</t>
  </si>
  <si>
    <t>FM3-H819-000</t>
  </si>
  <si>
    <t>MAIN-CONTROLLER_T511_RDALL_1beam_Unit</t>
  </si>
  <si>
    <t>FM3-W997-000</t>
  </si>
  <si>
    <t>DCON-DRUM_FW_ASSY</t>
  </si>
  <si>
    <t>3KA</t>
  </si>
  <si>
    <t>FM3-X838-000</t>
  </si>
  <si>
    <t>BOOTDEVICE_761_ForFactory_UNIT</t>
  </si>
  <si>
    <t>FM4-G960-000</t>
  </si>
  <si>
    <t>MAIN-CONTROLLER_PCB_UNIT</t>
  </si>
  <si>
    <t>FM4-G962-000</t>
  </si>
  <si>
    <t>MAIN-CONTROLLER_PCB_UNIT_CN</t>
  </si>
  <si>
    <t>FM4-R811-000</t>
  </si>
  <si>
    <t>DC-CONTROLLER-R-T711ABCD_FW-ASSY</t>
  </si>
  <si>
    <t>FM5-A853-000</t>
  </si>
  <si>
    <t>DCON-DRUM_T713_HJLM_W/FW</t>
  </si>
  <si>
    <t>FM5-A854-000</t>
  </si>
  <si>
    <t>DCON-DRUM_T713_NP_W/FW</t>
  </si>
  <si>
    <t>FM5-A858-000</t>
  </si>
  <si>
    <t>DCON-DRUM_T513_JLM_W/FW</t>
  </si>
  <si>
    <t>FM5-A861-000</t>
  </si>
  <si>
    <t>DCON-DRUM_T513_NP_W/FW</t>
  </si>
  <si>
    <t>1IA</t>
  </si>
  <si>
    <t>FM5-A862-000</t>
  </si>
  <si>
    <t>DCON-DRUM_T513_QRS_W/FW</t>
  </si>
  <si>
    <t>FM5-A891-000</t>
  </si>
  <si>
    <t>MAIN CONTROLLER T713 PCB-ASSY_FW_PTERO-A</t>
  </si>
  <si>
    <t>FM5-A898-000</t>
  </si>
  <si>
    <t>MAIN CONTROLLER T513 PCB-ASSY_FW_PTERO-A</t>
  </si>
  <si>
    <t>FM5-A902-000</t>
  </si>
  <si>
    <t>MAIN CONTROLLER T513 PCB-ASSY_FW_PTERO-C</t>
  </si>
  <si>
    <t>FM5-E836-000</t>
  </si>
  <si>
    <t>MAIN-CONTROLLER_PCB_D5_UNIT</t>
  </si>
  <si>
    <t>FM5-E950-000</t>
  </si>
  <si>
    <t>FM5-E954-000</t>
  </si>
  <si>
    <t>FM5-E958-000</t>
  </si>
  <si>
    <t>BOOTDEVICE_T713_ForFactory_UNIT</t>
  </si>
  <si>
    <t>FM5-F817-000</t>
  </si>
  <si>
    <t>FM5-F823-000</t>
  </si>
  <si>
    <t>BOOTDEVICE_T513_ForFactory_UNIT</t>
  </si>
  <si>
    <t>ORDER METHOD</t>
  </si>
  <si>
    <t>-</t>
  </si>
  <si>
    <t>PO_LT</t>
  </si>
  <si>
    <t>ELT</t>
  </si>
  <si>
    <t>ASSY_LT</t>
  </si>
  <si>
    <t>4919C001AA</t>
  </si>
  <si>
    <t>4919C003AA</t>
  </si>
  <si>
    <t>4919C004AA</t>
  </si>
  <si>
    <t>4919C005AA</t>
  </si>
  <si>
    <t>6019C001AA</t>
  </si>
  <si>
    <t>6019C004AA</t>
  </si>
  <si>
    <t>6019C005AA</t>
  </si>
  <si>
    <t>6744C001AA</t>
  </si>
  <si>
    <t>6744C002AA</t>
  </si>
  <si>
    <t>6744C003AA</t>
  </si>
  <si>
    <t>7258C002AA</t>
  </si>
  <si>
    <t>7258C004AA</t>
  </si>
  <si>
    <t>7258C005AA</t>
  </si>
  <si>
    <t>F44-1311-000000</t>
  </si>
  <si>
    <t>F44-1313-000000</t>
  </si>
  <si>
    <t>F44-1314-000000</t>
  </si>
  <si>
    <t>F44-1315-000000</t>
  </si>
  <si>
    <t>F44-1316-000000</t>
  </si>
  <si>
    <t>F44-1317-000000</t>
  </si>
  <si>
    <t>FL0-0222-000000</t>
  </si>
  <si>
    <t>FL0-2481-000000</t>
  </si>
  <si>
    <t>FL0-2482-000000</t>
  </si>
  <si>
    <t>FL0-2751-000000</t>
  </si>
  <si>
    <t>FL0-2755-000000</t>
  </si>
  <si>
    <t>FL0-2756-000000</t>
  </si>
  <si>
    <t>FL1-1183-000000</t>
  </si>
  <si>
    <t>FL1-1184-000000</t>
  </si>
  <si>
    <t>FL1-F010-000000</t>
  </si>
  <si>
    <t>FL1-M419-000000</t>
  </si>
  <si>
    <t>FL4-4775-000000</t>
  </si>
  <si>
    <t>FM1-A605-000000</t>
  </si>
  <si>
    <t>FM1-A619-000000</t>
  </si>
  <si>
    <t>FM1-B264-000000</t>
  </si>
  <si>
    <t>FM1-B265-000000</t>
  </si>
  <si>
    <t>FM1-B266-000000</t>
  </si>
  <si>
    <t>FM1-B267-000000</t>
  </si>
  <si>
    <t>FM1-B271-000000</t>
  </si>
  <si>
    <t>FM1-C225-000000</t>
  </si>
  <si>
    <t>FM1-D470-000000</t>
  </si>
  <si>
    <t>FM1-D471-000000</t>
  </si>
  <si>
    <t>FM1-D472-000000</t>
  </si>
  <si>
    <t>FM1-D476-000000</t>
  </si>
  <si>
    <t>FM1-D478-000000</t>
  </si>
  <si>
    <t>FM1-D503-000000</t>
  </si>
  <si>
    <t>FM1-N295-000000</t>
  </si>
  <si>
    <t>FM1-N296-000000</t>
  </si>
  <si>
    <t>FM1-N745-000000</t>
  </si>
  <si>
    <t>FM1-P495-000000</t>
  </si>
  <si>
    <t>FM1-W313-000000</t>
  </si>
  <si>
    <t>FM1-W314-000000</t>
  </si>
  <si>
    <t>FM1-X037-000000</t>
  </si>
  <si>
    <t>FM1-X059-000000</t>
  </si>
  <si>
    <t>FM1-X148-000000</t>
  </si>
  <si>
    <t>FM1-X156-000000</t>
  </si>
  <si>
    <t>FM1-X466-000000</t>
  </si>
  <si>
    <t>FM1-Y610-000000</t>
  </si>
  <si>
    <t>FM1-Y611-000000</t>
  </si>
  <si>
    <t>FM1-Y612-000000</t>
  </si>
  <si>
    <t>FM1-Y613-000000</t>
  </si>
  <si>
    <t>FM1-Y614-000000</t>
  </si>
  <si>
    <t>FM1-Y630-000000</t>
  </si>
  <si>
    <t>FM1-Y640-000000</t>
  </si>
  <si>
    <t>FM2-A008-000000</t>
  </si>
  <si>
    <t>FM2-B038-000000</t>
  </si>
  <si>
    <t>FM2-B039-000000</t>
  </si>
  <si>
    <t>FM2-B063-000000</t>
  </si>
  <si>
    <t>FM2-B083-000000</t>
  </si>
  <si>
    <t>FM2-B739-000000</t>
  </si>
  <si>
    <t>FM2-B740-000000</t>
  </si>
  <si>
    <t>FM2-C256-000000</t>
  </si>
  <si>
    <t>FM2-C751-000000</t>
  </si>
  <si>
    <t>FM2-C753-000000</t>
  </si>
  <si>
    <t>FM2-D348-000000</t>
  </si>
  <si>
    <t>FM2-D369-000000</t>
  </si>
  <si>
    <t>FM2-D370-000000</t>
  </si>
  <si>
    <t>FM2-D381-000000</t>
  </si>
  <si>
    <t>FM2-D383-000000</t>
  </si>
  <si>
    <t>FM2-D607-000000</t>
  </si>
  <si>
    <t>FM2-D609-000000</t>
  </si>
  <si>
    <t>FM2-D616-000000</t>
  </si>
  <si>
    <t>FM2-E403-000000</t>
  </si>
  <si>
    <t>FM2-E404-000000</t>
  </si>
  <si>
    <t>FM2-E764-KKK000</t>
  </si>
  <si>
    <t>FM2-F075-000000</t>
  </si>
  <si>
    <t>FM2-G089-000000</t>
  </si>
  <si>
    <t>FM2-G090-000000</t>
  </si>
  <si>
    <t>FM2-G091-000000</t>
  </si>
  <si>
    <t>FM2-G092-000000</t>
  </si>
  <si>
    <t>FM2-G239-000000</t>
  </si>
  <si>
    <t>FM2-G240-000000</t>
  </si>
  <si>
    <t>FM2-G250-000000</t>
  </si>
  <si>
    <t>FM2-G251-000000</t>
  </si>
  <si>
    <t>FM2-G527-000000</t>
  </si>
  <si>
    <t>FM2-H218-000000</t>
  </si>
  <si>
    <t>FM2-H258-000000</t>
  </si>
  <si>
    <t>FM2-H259-000000</t>
  </si>
  <si>
    <t>FM2-H429-000000</t>
  </si>
  <si>
    <t>FM2-H430-000000</t>
  </si>
  <si>
    <t>FM2-H475-000000</t>
  </si>
  <si>
    <t>FM2-H612-000000</t>
  </si>
  <si>
    <t>FM2-H613-000000</t>
  </si>
  <si>
    <t>FM2-H618-000000</t>
  </si>
  <si>
    <t>FM2-H619-000000</t>
  </si>
  <si>
    <t>FM2-H629-000000</t>
  </si>
  <si>
    <t>FM2-H632-000000</t>
  </si>
  <si>
    <t>FM2-H633-000000</t>
  </si>
  <si>
    <t>FM2-J125-000000</t>
  </si>
  <si>
    <t>FM2-J137-000000</t>
  </si>
  <si>
    <t>FM2-J621-000000</t>
  </si>
  <si>
    <t>FM2-K207-KKK000</t>
  </si>
  <si>
    <t>FM2-K210-KKK000</t>
  </si>
  <si>
    <t>FM2-K212-KKK000</t>
  </si>
  <si>
    <t>FM2-K521-000000</t>
  </si>
  <si>
    <t>FM2-L719-000000</t>
  </si>
  <si>
    <t>FM2-M315-000000</t>
  </si>
  <si>
    <t>FM2-M396-00000K</t>
  </si>
  <si>
    <t>FM2-M791-000000</t>
  </si>
  <si>
    <t>FM2-M793-000000</t>
  </si>
  <si>
    <t>FM2-N006-000000</t>
  </si>
  <si>
    <t>FM2-N010-000000</t>
  </si>
  <si>
    <t>FM2-N271-00000K</t>
  </si>
  <si>
    <t>FM2-N374-00000K</t>
  </si>
  <si>
    <t>FM2-N500-000000</t>
  </si>
  <si>
    <t>FM2-N502-000000</t>
  </si>
  <si>
    <t>FM2-N509-000000</t>
  </si>
  <si>
    <t>FM2-N516-000000</t>
  </si>
  <si>
    <t>FM2-N517-000000</t>
  </si>
  <si>
    <t>FM2-N518-000000</t>
  </si>
  <si>
    <t>FM2-N519-000000</t>
  </si>
  <si>
    <t>FM2-N527-000000</t>
  </si>
  <si>
    <t>FM2-N552-000000</t>
  </si>
  <si>
    <t>FM2-N570-000000</t>
  </si>
  <si>
    <t>FM2-N573-000000</t>
  </si>
  <si>
    <t>FM2-N796-000000</t>
  </si>
  <si>
    <t>FM2-P085-000000</t>
  </si>
  <si>
    <t>FM2-P701-000000</t>
  </si>
  <si>
    <t>FM2-P702-000000</t>
  </si>
  <si>
    <t>FM2-Q487-00000K</t>
  </si>
  <si>
    <t>FM2-T226-000000</t>
  </si>
  <si>
    <t>FM2-T227-000000</t>
  </si>
  <si>
    <t>FM2-U089-000000</t>
  </si>
  <si>
    <t>FM2-U237-000000</t>
  </si>
  <si>
    <t>FM2-U239-000000</t>
  </si>
  <si>
    <t>FM2-U244-000000</t>
  </si>
  <si>
    <t>FM2-U250-000000</t>
  </si>
  <si>
    <t>FM2-U251-000000</t>
  </si>
  <si>
    <t>FM2-U252-000000</t>
  </si>
  <si>
    <t>FM2-U350-000000</t>
  </si>
  <si>
    <t>FM2-V102-000000</t>
  </si>
  <si>
    <t>FM2-V488-000000</t>
  </si>
  <si>
    <t>FM2-X234-000000</t>
  </si>
  <si>
    <t>FM2-X530-000000</t>
  </si>
  <si>
    <t>FM2-X570-000000</t>
  </si>
  <si>
    <t>FM2-X573-000000</t>
  </si>
  <si>
    <t>FM2-Y025-000000</t>
  </si>
  <si>
    <t>FM2-Y411-000000</t>
  </si>
  <si>
    <t>FM2-Y448-000000</t>
  </si>
  <si>
    <t>FM2-Y496-000000</t>
  </si>
  <si>
    <t>FM2-Y641-KKK000</t>
  </si>
  <si>
    <t>FM3-A749-000000</t>
  </si>
  <si>
    <t>FM3-B051-000000</t>
  </si>
  <si>
    <t>FM3-B053-000000</t>
  </si>
  <si>
    <t>FM3-B451-000000</t>
  </si>
  <si>
    <t>FM3-B454-000000</t>
  </si>
  <si>
    <t>FM3-B664-00000K</t>
  </si>
  <si>
    <t>FM3-C533-000000</t>
  </si>
  <si>
    <t>FM3-C534-000000</t>
  </si>
  <si>
    <t>FM3-C535-000000</t>
  </si>
  <si>
    <t>FM3-H815-000000</t>
  </si>
  <si>
    <t>Work Order</t>
  </si>
  <si>
    <t>Actual/Plan</t>
  </si>
  <si>
    <t>Cell 1</t>
  </si>
  <si>
    <t>Cell 2</t>
  </si>
  <si>
    <t>cell 3</t>
  </si>
  <si>
    <t>Finish</t>
  </si>
  <si>
    <t>Qty</t>
  </si>
  <si>
    <t>Lot size</t>
  </si>
  <si>
    <t>Type</t>
  </si>
  <si>
    <t>Destination</t>
  </si>
  <si>
    <t>T713HJLM</t>
  </si>
  <si>
    <t>EUR</t>
  </si>
  <si>
    <t>T713HJL</t>
  </si>
  <si>
    <t>JPN</t>
  </si>
  <si>
    <t>USA</t>
  </si>
  <si>
    <t>T713N</t>
  </si>
  <si>
    <t>T513(GOV)</t>
  </si>
  <si>
    <t>LTN</t>
  </si>
  <si>
    <t>T713P</t>
  </si>
  <si>
    <t>ASIA</t>
  </si>
  <si>
    <t>FM2-V102-000</t>
  </si>
  <si>
    <t>T713E(GOV)</t>
  </si>
  <si>
    <t>T513JLM</t>
  </si>
  <si>
    <t>AUS</t>
  </si>
  <si>
    <t>T713E</t>
  </si>
  <si>
    <t>CHN</t>
  </si>
  <si>
    <t>FM3-B451-000</t>
  </si>
  <si>
    <t>T713(GOV)</t>
  </si>
  <si>
    <t>T513NP</t>
  </si>
  <si>
    <t>T513QR</t>
  </si>
  <si>
    <t>IND</t>
  </si>
  <si>
    <t>TW</t>
  </si>
  <si>
    <t>T513S</t>
  </si>
  <si>
    <t xml:space="preserve">Actual /Plan Shipping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</si>
</sst>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dd/mm/yyyy"/>
    <numFmt numFmtId="166" formatCode="hh:mm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61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165" fontId="0" fillId="0" borderId="1" xfId="0" applyNumberFormat="1" applyBorder="1"/>
    <xf numFmtId="166" fontId="0" fillId="0" borderId="1" xfId="0" applyNumberFormat="1" applyBorder="1"/>
    <xf numFmtId="1" fontId="0" fillId="0" borderId="0" xfId="0" applyNumberFormat="1"/>
    <xf numFmtId="0" fontId="0" fillId="4" borderId="0" xfId="0" applyFill="1"/>
    <xf numFmtId="14" fontId="0" fillId="0" borderId="0" xfId="0" applyNumberFormat="1"/>
    <xf numFmtId="165" fontId="0" fillId="0" borderId="6" xfId="0" applyNumberFormat="1" applyBorder="1"/>
    <xf numFmtId="166" fontId="0" fillId="0" borderId="6" xfId="0" applyNumberFormat="1" applyBorder="1"/>
    <xf numFmtId="0" fontId="0" fillId="0" borderId="6" xfId="0" applyBorder="1"/>
    <xf numFmtId="0" fontId="0" fillId="0" borderId="6" xfId="0" applyBorder="1" applyAlignment="1">
      <alignment horizontal="center"/>
    </xf>
    <xf numFmtId="165" fontId="1" fillId="0" borderId="5" xfId="0" applyNumberFormat="1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textRotation="90"/>
    </xf>
    <xf numFmtId="0" fontId="5" fillId="4" borderId="5" xfId="0" applyFont="1" applyFill="1" applyBorder="1" applyAlignment="1">
      <alignment horizontal="center" vertical="center" textRotation="90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textRotation="90"/>
    </xf>
    <xf numFmtId="0" fontId="0" fillId="0" borderId="6" xfId="0" applyFill="1" applyBorder="1"/>
    <xf numFmtId="0" fontId="0" fillId="0" borderId="1" xfId="0" applyFill="1" applyBorder="1"/>
    <xf numFmtId="165" fontId="6" fillId="0" borderId="0" xfId="0" applyNumberFormat="1" applyFont="1" applyAlignment="1">
      <alignment horizontal="center" vertic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center" vertical="center"/>
    </xf>
    <xf numFmtId="1" fontId="0" fillId="0" borderId="1" xfId="0" applyNumberFormat="1" applyBorder="1"/>
    <xf numFmtId="0" fontId="0" fillId="0" borderId="1" xfId="0" applyNumberFormat="1" applyBorder="1"/>
    <xf numFmtId="0" fontId="1" fillId="0" borderId="0" xfId="0" applyFont="1"/>
    <xf numFmtId="165" fontId="0" fillId="5" borderId="1" xfId="0" applyNumberFormat="1" applyFill="1" applyBorder="1"/>
    <xf numFmtId="0" fontId="0" fillId="5" borderId="1" xfId="0" applyFill="1" applyBorder="1"/>
    <xf numFmtId="1" fontId="0" fillId="5" borderId="1" xfId="0" applyNumberFormat="1" applyFill="1" applyBorder="1"/>
    <xf numFmtId="165" fontId="0" fillId="6" borderId="1" xfId="0" applyNumberFormat="1" applyFill="1" applyBorder="1"/>
    <xf numFmtId="0" fontId="0" fillId="6" borderId="1" xfId="0" applyFill="1" applyBorder="1"/>
    <xf numFmtId="1" fontId="0" fillId="6" borderId="1" xfId="0" applyNumberFormat="1" applyFill="1" applyBorder="1"/>
    <xf numFmtId="165" fontId="1" fillId="7" borderId="1" xfId="0" applyNumberFormat="1" applyFont="1" applyFill="1" applyBorder="1"/>
    <xf numFmtId="0" fontId="1" fillId="7" borderId="1" xfId="0" applyFont="1" applyFill="1" applyBorder="1"/>
    <xf numFmtId="1" fontId="1" fillId="7" borderId="1" xfId="0" applyNumberFormat="1" applyFont="1" applyFill="1" applyBorder="1"/>
    <xf numFmtId="165" fontId="0" fillId="7" borderId="1" xfId="0" applyNumberFormat="1" applyFill="1" applyBorder="1"/>
    <xf numFmtId="0" fontId="0" fillId="7" borderId="1" xfId="0" applyFill="1" applyBorder="1"/>
    <xf numFmtId="1" fontId="0" fillId="7" borderId="1" xfId="0" applyNumberFormat="1" applyFill="1" applyBorder="1"/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1" xfId="0" applyFont="1" applyFill="1" applyBorder="1"/>
    <xf numFmtId="1" fontId="1" fillId="5" borderId="1" xfId="0" applyNumberFormat="1" applyFont="1" applyFill="1" applyBorder="1"/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/>
    <xf numFmtId="165" fontId="1" fillId="6" borderId="1" xfId="0" applyNumberFormat="1" applyFont="1" applyFill="1" applyBorder="1"/>
    <xf numFmtId="1" fontId="1" fillId="6" borderId="1" xfId="0" applyNumberFormat="1" applyFont="1" applyFill="1" applyBorder="1"/>
    <xf numFmtId="0" fontId="1" fillId="7" borderId="2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BF19CF3E-D725-466B-9FEB-10E1F8301620}"/>
  </cellStyles>
  <dxfs count="72"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99FF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0000FF"/>
      </font>
    </dxf>
    <dxf>
      <fill>
        <patternFill>
          <bgColor rgb="FF00B0F0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CC"/>
        </patternFill>
      </fill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9FFC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9FFCC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142875</xdr:colOff>
          <xdr:row>0</xdr:row>
          <xdr:rowOff>104775</xdr:rowOff>
        </xdr:from>
        <xdr:to>
          <xdr:col>22</xdr:col>
          <xdr:colOff>323850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J263"/>
  <sheetViews>
    <sheetView workbookViewId="0">
      <selection activeCell="A76" sqref="A76"/>
    </sheetView>
  </sheetViews>
  <sheetFormatPr defaultRowHeight="15" x14ac:dyDescent="0.25"/>
  <cols>
    <col min="1" max="1" width="21.5703125" bestFit="1" customWidth="1"/>
    <col min="23" max="23" width="9.140625" style="5"/>
    <col min="32" max="32" width="9.140625" style="5"/>
  </cols>
  <sheetData>
    <row r="1" spans="1:36" x14ac:dyDescent="0.25">
      <c r="A1" t="s">
        <v>18</v>
      </c>
      <c r="B1" t="s">
        <v>105</v>
      </c>
      <c r="C1" t="s">
        <v>105</v>
      </c>
      <c r="D1" t="s">
        <v>105</v>
      </c>
      <c r="E1" t="s">
        <v>105</v>
      </c>
      <c r="F1" t="s">
        <v>105</v>
      </c>
      <c r="G1" t="s">
        <v>105</v>
      </c>
      <c r="H1" t="s">
        <v>105</v>
      </c>
      <c r="I1" t="s">
        <v>105</v>
      </c>
      <c r="J1" t="s">
        <v>105</v>
      </c>
      <c r="K1" t="s">
        <v>105</v>
      </c>
      <c r="L1" t="s">
        <v>105</v>
      </c>
      <c r="M1" t="s">
        <v>105</v>
      </c>
      <c r="N1" t="s">
        <v>105</v>
      </c>
      <c r="O1" t="s">
        <v>105</v>
      </c>
      <c r="P1" t="s">
        <v>105</v>
      </c>
      <c r="Q1" t="s">
        <v>105</v>
      </c>
      <c r="R1" t="s">
        <v>105</v>
      </c>
      <c r="S1" t="s">
        <v>105</v>
      </c>
      <c r="T1" t="s">
        <v>105</v>
      </c>
      <c r="U1" t="s">
        <v>105</v>
      </c>
      <c r="V1" t="s">
        <v>105</v>
      </c>
      <c r="W1" s="5" t="s">
        <v>105</v>
      </c>
      <c r="X1" t="s">
        <v>105</v>
      </c>
      <c r="Y1" t="s">
        <v>105</v>
      </c>
      <c r="Z1" t="s">
        <v>105</v>
      </c>
      <c r="AA1" t="s">
        <v>105</v>
      </c>
      <c r="AB1" t="s">
        <v>105</v>
      </c>
      <c r="AC1" t="s">
        <v>105</v>
      </c>
      <c r="AD1" t="s">
        <v>105</v>
      </c>
      <c r="AE1" t="s">
        <v>105</v>
      </c>
      <c r="AF1" s="5" t="s">
        <v>105</v>
      </c>
      <c r="AG1" t="s">
        <v>105</v>
      </c>
      <c r="AH1" t="s">
        <v>105</v>
      </c>
      <c r="AI1" t="s">
        <v>105</v>
      </c>
      <c r="AJ1" t="s">
        <v>105</v>
      </c>
    </row>
    <row r="2" spans="1:36" x14ac:dyDescent="0.25">
      <c r="A2" t="s">
        <v>19</v>
      </c>
      <c r="B2" t="s">
        <v>102</v>
      </c>
      <c r="C2" t="s">
        <v>107</v>
      </c>
      <c r="D2" t="s">
        <v>109</v>
      </c>
      <c r="E2" t="s">
        <v>111</v>
      </c>
      <c r="F2" t="s">
        <v>113</v>
      </c>
      <c r="G2" t="s">
        <v>115</v>
      </c>
      <c r="H2" t="s">
        <v>117</v>
      </c>
      <c r="I2" t="s">
        <v>119</v>
      </c>
      <c r="J2" t="s">
        <v>121</v>
      </c>
      <c r="K2" t="s">
        <v>123</v>
      </c>
      <c r="L2" t="s">
        <v>125</v>
      </c>
      <c r="M2" t="s">
        <v>127</v>
      </c>
      <c r="N2" t="s">
        <v>129</v>
      </c>
      <c r="O2" t="s">
        <v>131</v>
      </c>
      <c r="P2" t="s">
        <v>133</v>
      </c>
      <c r="Q2" t="s">
        <v>135</v>
      </c>
      <c r="R2" t="s">
        <v>137</v>
      </c>
      <c r="S2" t="s">
        <v>140</v>
      </c>
      <c r="T2" t="s">
        <v>142</v>
      </c>
      <c r="U2" t="s">
        <v>144</v>
      </c>
      <c r="V2" t="s">
        <v>146</v>
      </c>
      <c r="W2" s="5" t="s">
        <v>148</v>
      </c>
      <c r="X2" t="s">
        <v>150</v>
      </c>
      <c r="Y2" t="s">
        <v>152</v>
      </c>
      <c r="Z2" t="s">
        <v>154</v>
      </c>
      <c r="AA2" t="s">
        <v>157</v>
      </c>
      <c r="AB2" t="s">
        <v>159</v>
      </c>
      <c r="AC2" t="s">
        <v>161</v>
      </c>
      <c r="AD2" t="s">
        <v>163</v>
      </c>
      <c r="AE2" t="s">
        <v>165</v>
      </c>
      <c r="AF2" s="5" t="s">
        <v>167</v>
      </c>
      <c r="AG2" t="s">
        <v>168</v>
      </c>
      <c r="AH2" t="s">
        <v>169</v>
      </c>
      <c r="AI2" t="s">
        <v>171</v>
      </c>
      <c r="AJ2" t="s">
        <v>172</v>
      </c>
    </row>
    <row r="3" spans="1:36" x14ac:dyDescent="0.25">
      <c r="A3" t="s">
        <v>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5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 s="5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 t="s">
        <v>21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 s="5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 s="5">
        <v>1</v>
      </c>
      <c r="AG4">
        <v>1</v>
      </c>
      <c r="AH4">
        <v>1</v>
      </c>
      <c r="AI4">
        <v>1</v>
      </c>
      <c r="AJ4">
        <v>1</v>
      </c>
    </row>
    <row r="5" spans="1:36" x14ac:dyDescent="0.25">
      <c r="A5" t="s">
        <v>22</v>
      </c>
    </row>
    <row r="6" spans="1:36" x14ac:dyDescent="0.25">
      <c r="A6" t="s">
        <v>23</v>
      </c>
      <c r="B6" t="s">
        <v>103</v>
      </c>
      <c r="C6" t="s">
        <v>108</v>
      </c>
      <c r="D6" t="s">
        <v>110</v>
      </c>
      <c r="E6" t="s">
        <v>112</v>
      </c>
      <c r="F6" t="s">
        <v>114</v>
      </c>
      <c r="G6" t="s">
        <v>116</v>
      </c>
      <c r="H6" t="s">
        <v>118</v>
      </c>
      <c r="I6" t="s">
        <v>120</v>
      </c>
      <c r="J6" t="s">
        <v>122</v>
      </c>
      <c r="K6" t="s">
        <v>124</v>
      </c>
      <c r="L6" t="s">
        <v>126</v>
      </c>
      <c r="M6" t="s">
        <v>128</v>
      </c>
      <c r="N6" t="s">
        <v>130</v>
      </c>
      <c r="O6" t="s">
        <v>132</v>
      </c>
      <c r="P6" t="s">
        <v>134</v>
      </c>
      <c r="Q6" t="s">
        <v>136</v>
      </c>
      <c r="R6" t="s">
        <v>138</v>
      </c>
      <c r="S6" t="s">
        <v>141</v>
      </c>
      <c r="T6" t="s">
        <v>143</v>
      </c>
      <c r="U6" t="s">
        <v>145</v>
      </c>
      <c r="V6" t="s">
        <v>147</v>
      </c>
      <c r="W6" s="5" t="s">
        <v>149</v>
      </c>
      <c r="X6" t="s">
        <v>151</v>
      </c>
      <c r="Y6" t="s">
        <v>153</v>
      </c>
      <c r="Z6" t="s">
        <v>155</v>
      </c>
      <c r="AA6" t="s">
        <v>158</v>
      </c>
      <c r="AB6" t="s">
        <v>160</v>
      </c>
      <c r="AC6" t="s">
        <v>162</v>
      </c>
      <c r="AD6" t="s">
        <v>164</v>
      </c>
      <c r="AE6" t="s">
        <v>166</v>
      </c>
      <c r="AF6" s="5" t="s">
        <v>143</v>
      </c>
      <c r="AG6" t="s">
        <v>166</v>
      </c>
      <c r="AH6" t="s">
        <v>170</v>
      </c>
      <c r="AI6" t="s">
        <v>143</v>
      </c>
      <c r="AJ6" t="s">
        <v>173</v>
      </c>
    </row>
    <row r="7" spans="1:36" x14ac:dyDescent="0.25">
      <c r="A7" t="s">
        <v>24</v>
      </c>
      <c r="B7" t="s">
        <v>104</v>
      </c>
      <c r="C7" t="s">
        <v>106</v>
      </c>
      <c r="D7" t="s">
        <v>106</v>
      </c>
      <c r="E7" t="s">
        <v>104</v>
      </c>
      <c r="F7" t="s">
        <v>106</v>
      </c>
      <c r="G7" t="s">
        <v>104</v>
      </c>
      <c r="H7" t="s">
        <v>104</v>
      </c>
      <c r="I7" t="s">
        <v>106</v>
      </c>
      <c r="J7" t="s">
        <v>106</v>
      </c>
      <c r="K7" t="s">
        <v>104</v>
      </c>
      <c r="L7" t="s">
        <v>104</v>
      </c>
      <c r="M7" t="s">
        <v>106</v>
      </c>
      <c r="N7" t="s">
        <v>106</v>
      </c>
      <c r="O7" t="s">
        <v>106</v>
      </c>
      <c r="P7" t="s">
        <v>104</v>
      </c>
      <c r="Q7" t="s">
        <v>104</v>
      </c>
      <c r="R7" t="s">
        <v>139</v>
      </c>
      <c r="S7" t="s">
        <v>139</v>
      </c>
      <c r="T7" t="s">
        <v>139</v>
      </c>
      <c r="U7" t="s">
        <v>139</v>
      </c>
      <c r="V7" t="s">
        <v>106</v>
      </c>
      <c r="W7" s="5" t="s">
        <v>139</v>
      </c>
      <c r="X7" t="s">
        <v>139</v>
      </c>
      <c r="Y7" t="s">
        <v>104</v>
      </c>
      <c r="Z7" t="s">
        <v>156</v>
      </c>
      <c r="AA7" t="s">
        <v>104</v>
      </c>
      <c r="AB7" t="s">
        <v>139</v>
      </c>
      <c r="AC7" t="s">
        <v>156</v>
      </c>
      <c r="AD7" t="s">
        <v>104</v>
      </c>
      <c r="AE7" t="s">
        <v>139</v>
      </c>
      <c r="AF7" s="5" t="s">
        <v>139</v>
      </c>
      <c r="AG7" t="s">
        <v>139</v>
      </c>
      <c r="AH7" t="s">
        <v>139</v>
      </c>
      <c r="AI7" t="s">
        <v>104</v>
      </c>
      <c r="AJ7" t="s">
        <v>104</v>
      </c>
    </row>
    <row r="8" spans="1:36" x14ac:dyDescent="0.25">
      <c r="A8" t="s">
        <v>25</v>
      </c>
      <c r="B8" t="s">
        <v>100</v>
      </c>
      <c r="C8" t="s">
        <v>101</v>
      </c>
      <c r="D8" t="s">
        <v>101</v>
      </c>
      <c r="E8" t="s">
        <v>101</v>
      </c>
      <c r="F8" t="s">
        <v>101</v>
      </c>
      <c r="G8" t="s">
        <v>101</v>
      </c>
      <c r="H8" t="s">
        <v>101</v>
      </c>
      <c r="I8" t="s">
        <v>101</v>
      </c>
      <c r="J8" t="s">
        <v>101</v>
      </c>
      <c r="K8" t="s">
        <v>101</v>
      </c>
      <c r="L8" t="s">
        <v>101</v>
      </c>
      <c r="M8" t="s">
        <v>101</v>
      </c>
      <c r="N8" t="s">
        <v>101</v>
      </c>
      <c r="O8" t="s">
        <v>101</v>
      </c>
      <c r="P8" t="s">
        <v>101</v>
      </c>
      <c r="Q8" t="s">
        <v>101</v>
      </c>
      <c r="R8" t="s">
        <v>101</v>
      </c>
      <c r="S8" t="s">
        <v>101</v>
      </c>
      <c r="T8" t="s">
        <v>101</v>
      </c>
      <c r="U8" t="s">
        <v>101</v>
      </c>
      <c r="V8" t="s">
        <v>101</v>
      </c>
      <c r="W8" s="5" t="s">
        <v>101</v>
      </c>
      <c r="X8" t="s">
        <v>101</v>
      </c>
      <c r="Y8" t="s">
        <v>101</v>
      </c>
      <c r="Z8" t="s">
        <v>101</v>
      </c>
      <c r="AA8" t="s">
        <v>101</v>
      </c>
      <c r="AB8" t="s">
        <v>101</v>
      </c>
      <c r="AC8" t="s">
        <v>101</v>
      </c>
      <c r="AD8" t="s">
        <v>101</v>
      </c>
      <c r="AE8" t="s">
        <v>101</v>
      </c>
      <c r="AF8" s="5" t="s">
        <v>101</v>
      </c>
      <c r="AG8" t="s">
        <v>101</v>
      </c>
      <c r="AH8" t="s">
        <v>101</v>
      </c>
      <c r="AI8" t="s">
        <v>101</v>
      </c>
      <c r="AJ8" t="s">
        <v>101</v>
      </c>
    </row>
    <row r="9" spans="1:36" x14ac:dyDescent="0.25">
      <c r="A9" t="s">
        <v>26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 s="5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  <c r="AF9" s="5">
        <v>100</v>
      </c>
      <c r="AG9">
        <v>100</v>
      </c>
      <c r="AH9">
        <v>100</v>
      </c>
      <c r="AI9">
        <v>100</v>
      </c>
      <c r="AJ9">
        <v>100</v>
      </c>
    </row>
    <row r="10" spans="1:36" x14ac:dyDescent="0.25">
      <c r="A10" t="s">
        <v>27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5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 s="5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 t="s">
        <v>174</v>
      </c>
      <c r="B11" t="s">
        <v>175</v>
      </c>
      <c r="C11" t="s">
        <v>175</v>
      </c>
      <c r="D11" t="s">
        <v>175</v>
      </c>
      <c r="E11" t="s">
        <v>175</v>
      </c>
      <c r="F11" t="s">
        <v>175</v>
      </c>
      <c r="G11" t="s">
        <v>175</v>
      </c>
      <c r="H11" t="s">
        <v>175</v>
      </c>
      <c r="I11" t="s">
        <v>175</v>
      </c>
      <c r="J11" t="s">
        <v>175</v>
      </c>
      <c r="K11" t="s">
        <v>175</v>
      </c>
      <c r="L11" t="s">
        <v>175</v>
      </c>
      <c r="M11" t="s">
        <v>175</v>
      </c>
      <c r="N11" t="s">
        <v>175</v>
      </c>
      <c r="O11" t="s">
        <v>175</v>
      </c>
      <c r="P11" t="s">
        <v>175</v>
      </c>
      <c r="Q11" t="s">
        <v>175</v>
      </c>
      <c r="R11" t="s">
        <v>175</v>
      </c>
      <c r="S11" t="s">
        <v>175</v>
      </c>
      <c r="T11" t="s">
        <v>175</v>
      </c>
      <c r="U11" t="s">
        <v>175</v>
      </c>
      <c r="V11" t="s">
        <v>175</v>
      </c>
      <c r="W11" s="5" t="s">
        <v>175</v>
      </c>
      <c r="X11" t="s">
        <v>175</v>
      </c>
      <c r="Y11" t="s">
        <v>175</v>
      </c>
      <c r="Z11" t="s">
        <v>175</v>
      </c>
      <c r="AA11" t="s">
        <v>175</v>
      </c>
      <c r="AB11" t="s">
        <v>175</v>
      </c>
      <c r="AC11" t="s">
        <v>175</v>
      </c>
      <c r="AD11" t="s">
        <v>175</v>
      </c>
      <c r="AE11" t="s">
        <v>175</v>
      </c>
      <c r="AF11" s="5" t="s">
        <v>175</v>
      </c>
      <c r="AG11" t="s">
        <v>175</v>
      </c>
      <c r="AH11" t="s">
        <v>175</v>
      </c>
      <c r="AI11" t="s">
        <v>175</v>
      </c>
      <c r="AJ11" t="s">
        <v>175</v>
      </c>
    </row>
    <row r="12" spans="1:36" x14ac:dyDescent="0.25">
      <c r="A12" t="s">
        <v>176</v>
      </c>
      <c r="B12" t="s">
        <v>175</v>
      </c>
      <c r="C12" t="s">
        <v>175</v>
      </c>
      <c r="D12" t="s">
        <v>175</v>
      </c>
      <c r="E12" t="s">
        <v>175</v>
      </c>
      <c r="F12" t="s">
        <v>175</v>
      </c>
      <c r="G12" t="s">
        <v>175</v>
      </c>
      <c r="H12" t="s">
        <v>175</v>
      </c>
      <c r="I12" t="s">
        <v>175</v>
      </c>
      <c r="J12" t="s">
        <v>175</v>
      </c>
      <c r="K12" t="s">
        <v>175</v>
      </c>
      <c r="L12" t="s">
        <v>175</v>
      </c>
      <c r="M12" t="s">
        <v>175</v>
      </c>
      <c r="N12" t="s">
        <v>175</v>
      </c>
      <c r="O12" t="s">
        <v>175</v>
      </c>
      <c r="P12" t="s">
        <v>175</v>
      </c>
      <c r="Q12" t="s">
        <v>175</v>
      </c>
      <c r="R12" t="s">
        <v>175</v>
      </c>
      <c r="S12" t="s">
        <v>175</v>
      </c>
      <c r="T12" t="s">
        <v>175</v>
      </c>
      <c r="U12" t="s">
        <v>175</v>
      </c>
      <c r="V12" t="s">
        <v>175</v>
      </c>
      <c r="W12" s="5" t="s">
        <v>175</v>
      </c>
      <c r="X12" t="s">
        <v>175</v>
      </c>
      <c r="Y12" t="s">
        <v>175</v>
      </c>
      <c r="Z12" t="s">
        <v>175</v>
      </c>
      <c r="AA12" t="s">
        <v>175</v>
      </c>
      <c r="AB12" t="s">
        <v>175</v>
      </c>
      <c r="AC12" t="s">
        <v>175</v>
      </c>
      <c r="AD12" t="s">
        <v>175</v>
      </c>
      <c r="AE12" t="s">
        <v>175</v>
      </c>
      <c r="AF12" s="5" t="s">
        <v>175</v>
      </c>
      <c r="AG12" t="s">
        <v>175</v>
      </c>
      <c r="AH12" t="s">
        <v>175</v>
      </c>
      <c r="AI12" t="s">
        <v>175</v>
      </c>
      <c r="AJ12" t="s">
        <v>175</v>
      </c>
    </row>
    <row r="13" spans="1:36" x14ac:dyDescent="0.25">
      <c r="A13" t="s">
        <v>177</v>
      </c>
      <c r="B13" t="s">
        <v>175</v>
      </c>
      <c r="C13" t="s">
        <v>175</v>
      </c>
      <c r="D13" t="s">
        <v>175</v>
      </c>
      <c r="E13" t="s">
        <v>175</v>
      </c>
      <c r="F13" t="s">
        <v>175</v>
      </c>
      <c r="G13" t="s">
        <v>175</v>
      </c>
      <c r="H13" t="s">
        <v>175</v>
      </c>
      <c r="I13" t="s">
        <v>175</v>
      </c>
      <c r="J13" t="s">
        <v>175</v>
      </c>
      <c r="K13" t="s">
        <v>175</v>
      </c>
      <c r="L13" t="s">
        <v>175</v>
      </c>
      <c r="M13" t="s">
        <v>175</v>
      </c>
      <c r="N13" t="s">
        <v>175</v>
      </c>
      <c r="O13" t="s">
        <v>175</v>
      </c>
      <c r="P13" t="s">
        <v>175</v>
      </c>
      <c r="Q13" t="s">
        <v>175</v>
      </c>
      <c r="R13" t="s">
        <v>175</v>
      </c>
      <c r="S13" t="s">
        <v>175</v>
      </c>
      <c r="T13" t="s">
        <v>175</v>
      </c>
      <c r="U13" t="s">
        <v>175</v>
      </c>
      <c r="V13" t="s">
        <v>175</v>
      </c>
      <c r="W13" s="5" t="s">
        <v>175</v>
      </c>
      <c r="X13" t="s">
        <v>175</v>
      </c>
      <c r="Y13" t="s">
        <v>175</v>
      </c>
      <c r="Z13" t="s">
        <v>175</v>
      </c>
      <c r="AA13" t="s">
        <v>175</v>
      </c>
      <c r="AB13" t="s">
        <v>175</v>
      </c>
      <c r="AC13" t="s">
        <v>175</v>
      </c>
      <c r="AD13" t="s">
        <v>175</v>
      </c>
      <c r="AE13" t="s">
        <v>175</v>
      </c>
      <c r="AF13" s="5" t="s">
        <v>175</v>
      </c>
      <c r="AG13" t="s">
        <v>175</v>
      </c>
      <c r="AH13" t="s">
        <v>175</v>
      </c>
      <c r="AI13" t="s">
        <v>175</v>
      </c>
      <c r="AJ13" t="s">
        <v>175</v>
      </c>
    </row>
    <row r="14" spans="1:36" x14ac:dyDescent="0.25">
      <c r="A14" t="s">
        <v>178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>
        <v>2</v>
      </c>
      <c r="Q14">
        <v>2</v>
      </c>
      <c r="R14">
        <v>2</v>
      </c>
      <c r="S14">
        <v>6</v>
      </c>
      <c r="T14">
        <v>2</v>
      </c>
      <c r="U14">
        <v>2</v>
      </c>
      <c r="V14">
        <v>3</v>
      </c>
      <c r="W14" s="5">
        <v>2</v>
      </c>
      <c r="X14">
        <v>2</v>
      </c>
      <c r="Y14">
        <v>2</v>
      </c>
      <c r="Z14">
        <v>2</v>
      </c>
      <c r="AA14">
        <v>2</v>
      </c>
      <c r="AB14">
        <v>3</v>
      </c>
      <c r="AC14">
        <v>3</v>
      </c>
      <c r="AD14">
        <v>3</v>
      </c>
      <c r="AE14">
        <v>2</v>
      </c>
      <c r="AF14" s="5">
        <v>3</v>
      </c>
      <c r="AG14">
        <v>3</v>
      </c>
      <c r="AH14">
        <v>2</v>
      </c>
      <c r="AI14">
        <v>3</v>
      </c>
      <c r="AJ14">
        <v>2</v>
      </c>
    </row>
    <row r="15" spans="1:36" x14ac:dyDescent="0.25">
      <c r="A15" t="s">
        <v>179</v>
      </c>
    </row>
    <row r="16" spans="1:36" x14ac:dyDescent="0.25">
      <c r="A16" t="s">
        <v>180</v>
      </c>
    </row>
    <row r="17" spans="1:22" x14ac:dyDescent="0.25">
      <c r="A17" t="s">
        <v>181</v>
      </c>
    </row>
    <row r="18" spans="1:22" x14ac:dyDescent="0.25">
      <c r="A18" t="s">
        <v>182</v>
      </c>
    </row>
    <row r="19" spans="1:22" x14ac:dyDescent="0.25">
      <c r="A19" t="s">
        <v>28</v>
      </c>
      <c r="M19">
        <v>1</v>
      </c>
      <c r="V19">
        <v>1</v>
      </c>
    </row>
    <row r="20" spans="1:22" x14ac:dyDescent="0.25">
      <c r="A20" t="s">
        <v>29</v>
      </c>
      <c r="M20">
        <v>1</v>
      </c>
      <c r="V20">
        <v>1</v>
      </c>
    </row>
    <row r="21" spans="1:22" x14ac:dyDescent="0.25">
      <c r="A21" t="s">
        <v>30</v>
      </c>
      <c r="M21">
        <v>1</v>
      </c>
      <c r="V21">
        <v>1</v>
      </c>
    </row>
    <row r="22" spans="1:22" x14ac:dyDescent="0.25">
      <c r="A22" t="s">
        <v>31</v>
      </c>
      <c r="N22">
        <v>1</v>
      </c>
      <c r="V22">
        <v>1</v>
      </c>
    </row>
    <row r="23" spans="1:22" x14ac:dyDescent="0.25">
      <c r="A23" t="s">
        <v>32</v>
      </c>
      <c r="N23">
        <v>1</v>
      </c>
      <c r="V23">
        <v>1</v>
      </c>
    </row>
    <row r="24" spans="1:22" x14ac:dyDescent="0.25">
      <c r="A24" t="s">
        <v>33</v>
      </c>
      <c r="N24">
        <v>1</v>
      </c>
      <c r="V24">
        <v>1</v>
      </c>
    </row>
    <row r="25" spans="1:22" x14ac:dyDescent="0.25">
      <c r="A25" t="s">
        <v>34</v>
      </c>
      <c r="N25">
        <v>1</v>
      </c>
      <c r="V25">
        <v>1</v>
      </c>
    </row>
    <row r="26" spans="1:22" x14ac:dyDescent="0.25">
      <c r="A26" t="s">
        <v>35</v>
      </c>
      <c r="N26">
        <v>1</v>
      </c>
      <c r="V26">
        <v>1</v>
      </c>
    </row>
    <row r="27" spans="1:22" x14ac:dyDescent="0.25">
      <c r="A27" t="s">
        <v>36</v>
      </c>
      <c r="O27">
        <v>1</v>
      </c>
      <c r="V27">
        <v>1</v>
      </c>
    </row>
    <row r="28" spans="1:22" x14ac:dyDescent="0.25">
      <c r="A28" t="s">
        <v>37</v>
      </c>
      <c r="N28">
        <v>1</v>
      </c>
      <c r="V28">
        <v>1</v>
      </c>
    </row>
    <row r="29" spans="1:22" x14ac:dyDescent="0.25">
      <c r="A29" t="s">
        <v>38</v>
      </c>
      <c r="N29">
        <v>1</v>
      </c>
      <c r="V29">
        <v>1</v>
      </c>
    </row>
    <row r="30" spans="1:22" x14ac:dyDescent="0.25">
      <c r="A30" t="s">
        <v>39</v>
      </c>
      <c r="N30">
        <v>1</v>
      </c>
      <c r="V30">
        <v>1</v>
      </c>
    </row>
    <row r="31" spans="1:22" x14ac:dyDescent="0.25">
      <c r="A31" t="s">
        <v>40</v>
      </c>
      <c r="N31">
        <v>1</v>
      </c>
      <c r="V31">
        <v>1</v>
      </c>
    </row>
    <row r="32" spans="1:22" x14ac:dyDescent="0.25">
      <c r="A32" t="s">
        <v>41</v>
      </c>
      <c r="N32">
        <v>1</v>
      </c>
      <c r="V32">
        <v>1</v>
      </c>
    </row>
    <row r="33" spans="1:22" x14ac:dyDescent="0.25">
      <c r="A33" t="s">
        <v>42</v>
      </c>
      <c r="N33">
        <v>1</v>
      </c>
      <c r="V33">
        <v>1</v>
      </c>
    </row>
    <row r="34" spans="1:22" x14ac:dyDescent="0.25">
      <c r="A34" t="s">
        <v>43</v>
      </c>
      <c r="C34">
        <v>1</v>
      </c>
      <c r="I34">
        <v>1</v>
      </c>
    </row>
    <row r="35" spans="1:22" x14ac:dyDescent="0.25">
      <c r="A35" t="s">
        <v>44</v>
      </c>
      <c r="C35">
        <v>1</v>
      </c>
      <c r="I35">
        <v>1</v>
      </c>
    </row>
    <row r="36" spans="1:22" x14ac:dyDescent="0.25">
      <c r="A36" t="s">
        <v>45</v>
      </c>
      <c r="C36">
        <v>1</v>
      </c>
      <c r="I36">
        <v>1</v>
      </c>
    </row>
    <row r="37" spans="1:22" x14ac:dyDescent="0.25">
      <c r="A37" t="s">
        <v>46</v>
      </c>
      <c r="C37">
        <v>1</v>
      </c>
      <c r="I37">
        <v>1</v>
      </c>
    </row>
    <row r="38" spans="1:22" x14ac:dyDescent="0.25">
      <c r="A38" t="s">
        <v>47</v>
      </c>
      <c r="D38">
        <v>1</v>
      </c>
      <c r="J38">
        <v>1</v>
      </c>
    </row>
    <row r="39" spans="1:22" x14ac:dyDescent="0.25">
      <c r="A39" t="s">
        <v>48</v>
      </c>
      <c r="E39">
        <v>1</v>
      </c>
      <c r="P39">
        <v>1</v>
      </c>
    </row>
    <row r="40" spans="1:22" x14ac:dyDescent="0.25">
      <c r="A40" t="s">
        <v>49</v>
      </c>
      <c r="E40">
        <v>1</v>
      </c>
      <c r="P40">
        <v>1</v>
      </c>
    </row>
    <row r="41" spans="1:22" x14ac:dyDescent="0.25">
      <c r="A41" t="s">
        <v>50</v>
      </c>
      <c r="E41">
        <v>1</v>
      </c>
      <c r="P41">
        <v>1</v>
      </c>
    </row>
    <row r="42" spans="1:22" x14ac:dyDescent="0.25">
      <c r="A42" t="s">
        <v>51</v>
      </c>
      <c r="E42">
        <v>1</v>
      </c>
      <c r="P42">
        <v>1</v>
      </c>
    </row>
    <row r="43" spans="1:22" x14ac:dyDescent="0.25">
      <c r="A43" t="s">
        <v>52</v>
      </c>
      <c r="E43">
        <v>1</v>
      </c>
      <c r="P43">
        <v>1</v>
      </c>
    </row>
    <row r="44" spans="1:22" x14ac:dyDescent="0.25">
      <c r="A44" t="s">
        <v>53</v>
      </c>
      <c r="E44">
        <v>1</v>
      </c>
      <c r="P44">
        <v>1</v>
      </c>
    </row>
    <row r="45" spans="1:22" x14ac:dyDescent="0.25">
      <c r="A45" t="s">
        <v>54</v>
      </c>
      <c r="G45">
        <v>1</v>
      </c>
      <c r="Q45">
        <v>1</v>
      </c>
    </row>
    <row r="46" spans="1:22" x14ac:dyDescent="0.25">
      <c r="A46" t="s">
        <v>55</v>
      </c>
      <c r="G46">
        <v>1</v>
      </c>
      <c r="Q46">
        <v>1</v>
      </c>
    </row>
    <row r="47" spans="1:22" x14ac:dyDescent="0.25">
      <c r="A47" t="s">
        <v>56</v>
      </c>
      <c r="F47">
        <v>1</v>
      </c>
      <c r="K47">
        <v>1</v>
      </c>
    </row>
    <row r="48" spans="1:22" x14ac:dyDescent="0.25">
      <c r="A48" t="s">
        <v>57</v>
      </c>
      <c r="F48">
        <v>1</v>
      </c>
      <c r="K48">
        <v>1</v>
      </c>
    </row>
    <row r="49" spans="1:31" x14ac:dyDescent="0.25">
      <c r="A49" t="s">
        <v>58</v>
      </c>
      <c r="F49">
        <v>1</v>
      </c>
      <c r="K49">
        <v>1</v>
      </c>
    </row>
    <row r="50" spans="1:31" x14ac:dyDescent="0.25">
      <c r="A50" t="s">
        <v>59</v>
      </c>
      <c r="H50">
        <v>1</v>
      </c>
      <c r="L50">
        <v>1</v>
      </c>
    </row>
    <row r="51" spans="1:31" x14ac:dyDescent="0.25">
      <c r="A51" t="s">
        <v>60</v>
      </c>
      <c r="H51">
        <v>1</v>
      </c>
      <c r="L51">
        <v>1</v>
      </c>
    </row>
    <row r="52" spans="1:31" x14ac:dyDescent="0.25">
      <c r="A52" t="s">
        <v>61</v>
      </c>
      <c r="H52">
        <v>1</v>
      </c>
      <c r="L52">
        <v>1</v>
      </c>
    </row>
    <row r="53" spans="1:31" x14ac:dyDescent="0.25">
      <c r="A53" t="s">
        <v>62</v>
      </c>
      <c r="H53">
        <v>1</v>
      </c>
      <c r="L53">
        <v>1</v>
      </c>
    </row>
    <row r="54" spans="1:31" x14ac:dyDescent="0.25">
      <c r="A54" t="s">
        <v>63</v>
      </c>
      <c r="H54">
        <v>1</v>
      </c>
      <c r="L54">
        <v>1</v>
      </c>
    </row>
    <row r="55" spans="1:31" x14ac:dyDescent="0.25">
      <c r="A55" t="s">
        <v>64</v>
      </c>
      <c r="H55">
        <v>1</v>
      </c>
      <c r="L55">
        <v>1</v>
      </c>
    </row>
    <row r="56" spans="1:31" x14ac:dyDescent="0.25">
      <c r="A56" t="s">
        <v>183</v>
      </c>
    </row>
    <row r="57" spans="1:31" x14ac:dyDescent="0.25">
      <c r="A57" t="s">
        <v>184</v>
      </c>
    </row>
    <row r="58" spans="1:31" x14ac:dyDescent="0.25">
      <c r="A58" t="s">
        <v>185</v>
      </c>
    </row>
    <row r="59" spans="1:31" x14ac:dyDescent="0.25">
      <c r="A59" t="s">
        <v>186</v>
      </c>
    </row>
    <row r="60" spans="1:31" x14ac:dyDescent="0.25">
      <c r="A60" t="s">
        <v>187</v>
      </c>
    </row>
    <row r="61" spans="1:31" x14ac:dyDescent="0.25">
      <c r="A61" t="s">
        <v>188</v>
      </c>
    </row>
    <row r="62" spans="1:31" x14ac:dyDescent="0.25">
      <c r="A62" t="s">
        <v>65</v>
      </c>
      <c r="R62">
        <v>1</v>
      </c>
      <c r="T62">
        <v>1</v>
      </c>
    </row>
    <row r="63" spans="1:31" x14ac:dyDescent="0.25">
      <c r="A63" t="s">
        <v>66</v>
      </c>
      <c r="R63">
        <v>1</v>
      </c>
      <c r="AE63">
        <v>1</v>
      </c>
    </row>
    <row r="64" spans="1:31" x14ac:dyDescent="0.25">
      <c r="A64" t="s">
        <v>67</v>
      </c>
      <c r="R64">
        <v>1</v>
      </c>
      <c r="AE64">
        <v>1</v>
      </c>
    </row>
    <row r="65" spans="1:33" x14ac:dyDescent="0.25">
      <c r="A65" t="s">
        <v>68</v>
      </c>
      <c r="R65">
        <v>1</v>
      </c>
      <c r="T65">
        <v>1</v>
      </c>
    </row>
    <row r="66" spans="1:33" x14ac:dyDescent="0.25">
      <c r="A66" t="s">
        <v>69</v>
      </c>
      <c r="R66">
        <v>1</v>
      </c>
      <c r="T66">
        <v>1</v>
      </c>
    </row>
    <row r="67" spans="1:33" x14ac:dyDescent="0.25">
      <c r="A67" t="s">
        <v>70</v>
      </c>
      <c r="R67">
        <v>1</v>
      </c>
      <c r="AE67">
        <v>1</v>
      </c>
    </row>
    <row r="68" spans="1:33" x14ac:dyDescent="0.25">
      <c r="A68" t="s">
        <v>71</v>
      </c>
      <c r="R68">
        <v>1</v>
      </c>
      <c r="U68">
        <v>1</v>
      </c>
    </row>
    <row r="69" spans="1:33" x14ac:dyDescent="0.25">
      <c r="A69" t="s">
        <v>72</v>
      </c>
      <c r="R69">
        <v>1</v>
      </c>
      <c r="AE69">
        <v>1</v>
      </c>
    </row>
    <row r="70" spans="1:33" x14ac:dyDescent="0.25">
      <c r="A70" t="s">
        <v>73</v>
      </c>
      <c r="R70">
        <v>1</v>
      </c>
      <c r="T70">
        <v>1</v>
      </c>
    </row>
    <row r="71" spans="1:33" x14ac:dyDescent="0.25">
      <c r="A71" t="s">
        <v>74</v>
      </c>
      <c r="R71">
        <v>1</v>
      </c>
      <c r="T71">
        <v>1</v>
      </c>
    </row>
    <row r="72" spans="1:33" x14ac:dyDescent="0.25">
      <c r="A72" t="s">
        <v>75</v>
      </c>
      <c r="W72" s="5">
        <v>1</v>
      </c>
      <c r="AG72">
        <v>1</v>
      </c>
    </row>
    <row r="73" spans="1:33" s="9" customFormat="1" x14ac:dyDescent="0.25">
      <c r="A73" s="9" t="s">
        <v>6</v>
      </c>
      <c r="W73" s="9">
        <v>1</v>
      </c>
      <c r="AF73" s="9">
        <v>1</v>
      </c>
    </row>
    <row r="74" spans="1:33" x14ac:dyDescent="0.25">
      <c r="A74" t="s">
        <v>3</v>
      </c>
      <c r="W74" s="5">
        <v>1</v>
      </c>
      <c r="AG74">
        <v>1</v>
      </c>
    </row>
    <row r="75" spans="1:33" x14ac:dyDescent="0.25">
      <c r="A75" t="s">
        <v>11</v>
      </c>
      <c r="W75" s="5">
        <v>1</v>
      </c>
      <c r="AG75">
        <v>1</v>
      </c>
    </row>
    <row r="76" spans="1:33" s="5" customFormat="1" x14ac:dyDescent="0.25">
      <c r="A76" s="5" t="s">
        <v>2</v>
      </c>
      <c r="W76" s="5">
        <v>1</v>
      </c>
      <c r="AF76" s="5">
        <v>1</v>
      </c>
    </row>
    <row r="77" spans="1:33" x14ac:dyDescent="0.25">
      <c r="A77" t="s">
        <v>76</v>
      </c>
      <c r="W77" s="5">
        <v>1</v>
      </c>
      <c r="AG77">
        <v>1</v>
      </c>
    </row>
    <row r="78" spans="1:33" x14ac:dyDescent="0.25">
      <c r="A78" t="s">
        <v>77</v>
      </c>
      <c r="W78" s="5">
        <v>1</v>
      </c>
      <c r="AF78" s="5">
        <v>1</v>
      </c>
    </row>
    <row r="79" spans="1:33" x14ac:dyDescent="0.25">
      <c r="A79" t="s">
        <v>78</v>
      </c>
      <c r="W79" s="5">
        <v>1</v>
      </c>
      <c r="AF79" s="5">
        <v>1</v>
      </c>
    </row>
    <row r="80" spans="1:33" x14ac:dyDescent="0.25">
      <c r="A80" t="s">
        <v>79</v>
      </c>
      <c r="W80" s="5">
        <v>1</v>
      </c>
      <c r="AF80" s="5">
        <v>1</v>
      </c>
    </row>
    <row r="81" spans="1:35" x14ac:dyDescent="0.25">
      <c r="A81" t="s">
        <v>80</v>
      </c>
      <c r="W81" s="5">
        <v>1</v>
      </c>
      <c r="AF81" s="5">
        <v>1</v>
      </c>
    </row>
    <row r="82" spans="1:35" x14ac:dyDescent="0.25">
      <c r="A82" t="s">
        <v>81</v>
      </c>
      <c r="W82" s="5">
        <v>1</v>
      </c>
      <c r="AF82" s="5">
        <v>1</v>
      </c>
    </row>
    <row r="83" spans="1:35" x14ac:dyDescent="0.25">
      <c r="A83" t="s">
        <v>7</v>
      </c>
      <c r="X83">
        <v>1</v>
      </c>
      <c r="AB83">
        <v>1</v>
      </c>
    </row>
    <row r="84" spans="1:35" x14ac:dyDescent="0.25">
      <c r="A84" t="s">
        <v>8</v>
      </c>
      <c r="X84">
        <v>1</v>
      </c>
      <c r="AB84">
        <v>1</v>
      </c>
    </row>
    <row r="85" spans="1:35" x14ac:dyDescent="0.25">
      <c r="A85" t="s">
        <v>10</v>
      </c>
      <c r="X85">
        <v>1</v>
      </c>
      <c r="AB85">
        <v>1</v>
      </c>
    </row>
    <row r="86" spans="1:35" x14ac:dyDescent="0.25">
      <c r="A86" t="s">
        <v>82</v>
      </c>
      <c r="X86">
        <v>1</v>
      </c>
      <c r="AB86">
        <v>1</v>
      </c>
    </row>
    <row r="87" spans="1:35" x14ac:dyDescent="0.25">
      <c r="A87" t="s">
        <v>83</v>
      </c>
      <c r="X87">
        <v>1</v>
      </c>
      <c r="AB87">
        <v>1</v>
      </c>
    </row>
    <row r="88" spans="1:35" x14ac:dyDescent="0.25">
      <c r="A88" t="s">
        <v>9</v>
      </c>
      <c r="X88">
        <v>1</v>
      </c>
      <c r="AB88">
        <v>1</v>
      </c>
    </row>
    <row r="89" spans="1:35" x14ac:dyDescent="0.25">
      <c r="A89" t="s">
        <v>84</v>
      </c>
      <c r="Y89">
        <v>1</v>
      </c>
      <c r="AI89">
        <v>1</v>
      </c>
    </row>
    <row r="90" spans="1:35" x14ac:dyDescent="0.25">
      <c r="A90" t="s">
        <v>85</v>
      </c>
      <c r="Y90">
        <v>1</v>
      </c>
      <c r="AI90">
        <v>1</v>
      </c>
    </row>
    <row r="91" spans="1:35" x14ac:dyDescent="0.25">
      <c r="A91" t="s">
        <v>86</v>
      </c>
      <c r="Y91">
        <v>1</v>
      </c>
      <c r="AI91">
        <v>1</v>
      </c>
    </row>
    <row r="92" spans="1:35" x14ac:dyDescent="0.25">
      <c r="A92" t="s">
        <v>87</v>
      </c>
      <c r="Y92">
        <v>1</v>
      </c>
      <c r="AI92">
        <v>1</v>
      </c>
    </row>
    <row r="93" spans="1:35" x14ac:dyDescent="0.25">
      <c r="A93" t="s">
        <v>88</v>
      </c>
      <c r="Y93">
        <v>1</v>
      </c>
      <c r="AI93">
        <v>1</v>
      </c>
    </row>
    <row r="94" spans="1:35" x14ac:dyDescent="0.25">
      <c r="A94" t="s">
        <v>89</v>
      </c>
      <c r="Y94">
        <v>1</v>
      </c>
      <c r="AI94">
        <v>1</v>
      </c>
    </row>
    <row r="95" spans="1:35" x14ac:dyDescent="0.25">
      <c r="A95" t="s">
        <v>90</v>
      </c>
      <c r="Y95">
        <v>1</v>
      </c>
      <c r="AI95">
        <v>1</v>
      </c>
    </row>
    <row r="96" spans="1:35" x14ac:dyDescent="0.25">
      <c r="A96" t="s">
        <v>91</v>
      </c>
      <c r="Y96">
        <v>1</v>
      </c>
      <c r="AI96">
        <v>1</v>
      </c>
    </row>
    <row r="97" spans="1:35" x14ac:dyDescent="0.25">
      <c r="A97" t="s">
        <v>92</v>
      </c>
      <c r="Y97">
        <v>1</v>
      </c>
      <c r="AI97">
        <v>1</v>
      </c>
    </row>
    <row r="98" spans="1:35" x14ac:dyDescent="0.25">
      <c r="A98" t="s">
        <v>93</v>
      </c>
      <c r="Z98">
        <v>1</v>
      </c>
      <c r="AC98">
        <v>1</v>
      </c>
    </row>
    <row r="99" spans="1:35" x14ac:dyDescent="0.25">
      <c r="A99" t="s">
        <v>94</v>
      </c>
      <c r="AA99">
        <v>1</v>
      </c>
      <c r="AD99">
        <v>1</v>
      </c>
    </row>
    <row r="100" spans="1:35" x14ac:dyDescent="0.25">
      <c r="A100" t="s">
        <v>95</v>
      </c>
      <c r="AA100">
        <v>1</v>
      </c>
      <c r="AD100">
        <v>1</v>
      </c>
    </row>
    <row r="101" spans="1:35" x14ac:dyDescent="0.25">
      <c r="A101" t="s">
        <v>96</v>
      </c>
      <c r="Z101">
        <v>1</v>
      </c>
      <c r="AC101">
        <v>1</v>
      </c>
    </row>
    <row r="102" spans="1:35" x14ac:dyDescent="0.25">
      <c r="A102" t="s">
        <v>97</v>
      </c>
      <c r="AA102">
        <v>1</v>
      </c>
      <c r="AD102">
        <v>1</v>
      </c>
    </row>
    <row r="103" spans="1:35" x14ac:dyDescent="0.25">
      <c r="A103" t="s">
        <v>98</v>
      </c>
      <c r="AA103">
        <v>1</v>
      </c>
      <c r="AD103">
        <v>1</v>
      </c>
    </row>
    <row r="104" spans="1:35" x14ac:dyDescent="0.25">
      <c r="A104" t="s">
        <v>99</v>
      </c>
      <c r="AA104">
        <v>1</v>
      </c>
      <c r="AD104">
        <v>1</v>
      </c>
    </row>
    <row r="105" spans="1:35" x14ac:dyDescent="0.25">
      <c r="A105" t="s">
        <v>189</v>
      </c>
    </row>
    <row r="106" spans="1:35" x14ac:dyDescent="0.25">
      <c r="A106" t="s">
        <v>190</v>
      </c>
    </row>
    <row r="107" spans="1:35" x14ac:dyDescent="0.25">
      <c r="A107" t="s">
        <v>191</v>
      </c>
    </row>
    <row r="108" spans="1:35" x14ac:dyDescent="0.25">
      <c r="A108" t="s">
        <v>192</v>
      </c>
    </row>
    <row r="109" spans="1:35" x14ac:dyDescent="0.25">
      <c r="A109" t="s">
        <v>193</v>
      </c>
    </row>
    <row r="110" spans="1:35" x14ac:dyDescent="0.25">
      <c r="A110" t="s">
        <v>194</v>
      </c>
    </row>
    <row r="111" spans="1:35" x14ac:dyDescent="0.25">
      <c r="A111" t="s">
        <v>195</v>
      </c>
    </row>
    <row r="112" spans="1:35" x14ac:dyDescent="0.25">
      <c r="A112" t="s">
        <v>196</v>
      </c>
    </row>
    <row r="113" spans="1:1" x14ac:dyDescent="0.25">
      <c r="A113" t="s">
        <v>197</v>
      </c>
    </row>
    <row r="114" spans="1:1" x14ac:dyDescent="0.25">
      <c r="A114" t="s">
        <v>198</v>
      </c>
    </row>
    <row r="115" spans="1:1" x14ac:dyDescent="0.25">
      <c r="A115" t="s">
        <v>199</v>
      </c>
    </row>
    <row r="116" spans="1:1" x14ac:dyDescent="0.25">
      <c r="A116" t="s">
        <v>200</v>
      </c>
    </row>
    <row r="117" spans="1:1" x14ac:dyDescent="0.25">
      <c r="A117" t="s">
        <v>201</v>
      </c>
    </row>
    <row r="118" spans="1:1" x14ac:dyDescent="0.25">
      <c r="A118" t="s">
        <v>202</v>
      </c>
    </row>
    <row r="119" spans="1:1" x14ac:dyDescent="0.25">
      <c r="A119" t="s">
        <v>203</v>
      </c>
    </row>
    <row r="120" spans="1:1" x14ac:dyDescent="0.25">
      <c r="A120" t="s">
        <v>204</v>
      </c>
    </row>
    <row r="121" spans="1:1" x14ac:dyDescent="0.25">
      <c r="A121" t="s">
        <v>205</v>
      </c>
    </row>
    <row r="122" spans="1:1" x14ac:dyDescent="0.25">
      <c r="A122" t="s">
        <v>206</v>
      </c>
    </row>
    <row r="123" spans="1:1" x14ac:dyDescent="0.25">
      <c r="A123" t="s">
        <v>207</v>
      </c>
    </row>
    <row r="124" spans="1:1" x14ac:dyDescent="0.25">
      <c r="A124" t="s">
        <v>208</v>
      </c>
    </row>
    <row r="125" spans="1:1" x14ac:dyDescent="0.25">
      <c r="A125" t="s">
        <v>209</v>
      </c>
    </row>
    <row r="126" spans="1:1" x14ac:dyDescent="0.25">
      <c r="A126" t="s">
        <v>210</v>
      </c>
    </row>
    <row r="127" spans="1:1" x14ac:dyDescent="0.25">
      <c r="A127" t="s">
        <v>211</v>
      </c>
    </row>
    <row r="128" spans="1:1" x14ac:dyDescent="0.25">
      <c r="A128" t="s">
        <v>212</v>
      </c>
    </row>
    <row r="129" spans="1:1" x14ac:dyDescent="0.25">
      <c r="A129" t="s">
        <v>213</v>
      </c>
    </row>
    <row r="130" spans="1:1" x14ac:dyDescent="0.25">
      <c r="A130" t="s">
        <v>214</v>
      </c>
    </row>
    <row r="131" spans="1:1" x14ac:dyDescent="0.25">
      <c r="A131" t="s">
        <v>215</v>
      </c>
    </row>
    <row r="132" spans="1:1" x14ac:dyDescent="0.25">
      <c r="A132" t="s">
        <v>216</v>
      </c>
    </row>
    <row r="133" spans="1:1" x14ac:dyDescent="0.25">
      <c r="A133" t="s">
        <v>217</v>
      </c>
    </row>
    <row r="134" spans="1:1" x14ac:dyDescent="0.25">
      <c r="A134" t="s">
        <v>218</v>
      </c>
    </row>
    <row r="135" spans="1:1" x14ac:dyDescent="0.25">
      <c r="A135" t="s">
        <v>219</v>
      </c>
    </row>
    <row r="136" spans="1:1" x14ac:dyDescent="0.25">
      <c r="A136" t="s">
        <v>220</v>
      </c>
    </row>
    <row r="137" spans="1:1" x14ac:dyDescent="0.25">
      <c r="A137" t="s">
        <v>221</v>
      </c>
    </row>
    <row r="138" spans="1:1" x14ac:dyDescent="0.25">
      <c r="A138" t="s">
        <v>222</v>
      </c>
    </row>
    <row r="139" spans="1:1" x14ac:dyDescent="0.25">
      <c r="A139" t="s">
        <v>223</v>
      </c>
    </row>
    <row r="140" spans="1:1" x14ac:dyDescent="0.25">
      <c r="A140" t="s">
        <v>224</v>
      </c>
    </row>
    <row r="141" spans="1:1" x14ac:dyDescent="0.25">
      <c r="A141" t="s">
        <v>225</v>
      </c>
    </row>
    <row r="142" spans="1:1" x14ac:dyDescent="0.25">
      <c r="A142" t="s">
        <v>226</v>
      </c>
    </row>
    <row r="143" spans="1:1" x14ac:dyDescent="0.25">
      <c r="A143" t="s">
        <v>227</v>
      </c>
    </row>
    <row r="144" spans="1:1" x14ac:dyDescent="0.25">
      <c r="A144" t="s">
        <v>228</v>
      </c>
    </row>
    <row r="145" spans="1:1" x14ac:dyDescent="0.25">
      <c r="A145" t="s">
        <v>229</v>
      </c>
    </row>
    <row r="146" spans="1:1" x14ac:dyDescent="0.25">
      <c r="A146" t="s">
        <v>230</v>
      </c>
    </row>
    <row r="147" spans="1:1" x14ac:dyDescent="0.25">
      <c r="A147" t="s">
        <v>231</v>
      </c>
    </row>
    <row r="148" spans="1:1" x14ac:dyDescent="0.25">
      <c r="A148" t="s">
        <v>232</v>
      </c>
    </row>
    <row r="149" spans="1:1" x14ac:dyDescent="0.25">
      <c r="A149" t="s">
        <v>233</v>
      </c>
    </row>
    <row r="150" spans="1:1" x14ac:dyDescent="0.25">
      <c r="A150" t="s">
        <v>234</v>
      </c>
    </row>
    <row r="151" spans="1:1" x14ac:dyDescent="0.25">
      <c r="A151" t="s">
        <v>235</v>
      </c>
    </row>
    <row r="152" spans="1:1" x14ac:dyDescent="0.25">
      <c r="A152" t="s">
        <v>236</v>
      </c>
    </row>
    <row r="153" spans="1:1" x14ac:dyDescent="0.25">
      <c r="A153" t="s">
        <v>237</v>
      </c>
    </row>
    <row r="154" spans="1:1" x14ac:dyDescent="0.25">
      <c r="A154" t="s">
        <v>238</v>
      </c>
    </row>
    <row r="155" spans="1:1" x14ac:dyDescent="0.25">
      <c r="A155" t="s">
        <v>239</v>
      </c>
    </row>
    <row r="156" spans="1:1" x14ac:dyDescent="0.25">
      <c r="A156" t="s">
        <v>240</v>
      </c>
    </row>
    <row r="157" spans="1:1" x14ac:dyDescent="0.25">
      <c r="A157" t="s">
        <v>241</v>
      </c>
    </row>
    <row r="158" spans="1:1" x14ac:dyDescent="0.25">
      <c r="A158" t="s">
        <v>242</v>
      </c>
    </row>
    <row r="159" spans="1:1" x14ac:dyDescent="0.25">
      <c r="A159" t="s">
        <v>243</v>
      </c>
    </row>
    <row r="160" spans="1:1" x14ac:dyDescent="0.25">
      <c r="A160" t="s">
        <v>244</v>
      </c>
    </row>
    <row r="161" spans="1:1" x14ac:dyDescent="0.25">
      <c r="A161" t="s">
        <v>245</v>
      </c>
    </row>
    <row r="162" spans="1:1" x14ac:dyDescent="0.25">
      <c r="A162" t="s">
        <v>246</v>
      </c>
    </row>
    <row r="163" spans="1:1" x14ac:dyDescent="0.25">
      <c r="A163" t="s">
        <v>247</v>
      </c>
    </row>
    <row r="164" spans="1:1" x14ac:dyDescent="0.25">
      <c r="A164" t="s">
        <v>248</v>
      </c>
    </row>
    <row r="165" spans="1:1" x14ac:dyDescent="0.25">
      <c r="A165" t="s">
        <v>249</v>
      </c>
    </row>
    <row r="166" spans="1:1" x14ac:dyDescent="0.25">
      <c r="A166" t="s">
        <v>250</v>
      </c>
    </row>
    <row r="167" spans="1:1" x14ac:dyDescent="0.25">
      <c r="A167" t="s">
        <v>251</v>
      </c>
    </row>
    <row r="168" spans="1:1" x14ac:dyDescent="0.25">
      <c r="A168" t="s">
        <v>252</v>
      </c>
    </row>
    <row r="169" spans="1:1" x14ac:dyDescent="0.25">
      <c r="A169" t="s">
        <v>253</v>
      </c>
    </row>
    <row r="170" spans="1:1" x14ac:dyDescent="0.25">
      <c r="A170" t="s">
        <v>254</v>
      </c>
    </row>
    <row r="171" spans="1:1" x14ac:dyDescent="0.25">
      <c r="A171" t="s">
        <v>255</v>
      </c>
    </row>
    <row r="172" spans="1:1" x14ac:dyDescent="0.25">
      <c r="A172" t="s">
        <v>256</v>
      </c>
    </row>
    <row r="173" spans="1:1" x14ac:dyDescent="0.25">
      <c r="A173" t="s">
        <v>257</v>
      </c>
    </row>
    <row r="174" spans="1:1" x14ac:dyDescent="0.25">
      <c r="A174" t="s">
        <v>258</v>
      </c>
    </row>
    <row r="175" spans="1:1" x14ac:dyDescent="0.25">
      <c r="A175" t="s">
        <v>259</v>
      </c>
    </row>
    <row r="176" spans="1:1" x14ac:dyDescent="0.25">
      <c r="A176" t="s">
        <v>260</v>
      </c>
    </row>
    <row r="177" spans="1:1" x14ac:dyDescent="0.25">
      <c r="A177" t="s">
        <v>261</v>
      </c>
    </row>
    <row r="178" spans="1:1" x14ac:dyDescent="0.25">
      <c r="A178" t="s">
        <v>262</v>
      </c>
    </row>
    <row r="179" spans="1:1" x14ac:dyDescent="0.25">
      <c r="A179" t="s">
        <v>263</v>
      </c>
    </row>
    <row r="180" spans="1:1" x14ac:dyDescent="0.25">
      <c r="A180" t="s">
        <v>264</v>
      </c>
    </row>
    <row r="181" spans="1:1" x14ac:dyDescent="0.25">
      <c r="A181" t="s">
        <v>265</v>
      </c>
    </row>
    <row r="182" spans="1:1" x14ac:dyDescent="0.25">
      <c r="A182" t="s">
        <v>266</v>
      </c>
    </row>
    <row r="183" spans="1:1" x14ac:dyDescent="0.25">
      <c r="A183" t="s">
        <v>267</v>
      </c>
    </row>
    <row r="184" spans="1:1" x14ac:dyDescent="0.25">
      <c r="A184" t="s">
        <v>268</v>
      </c>
    </row>
    <row r="185" spans="1:1" x14ac:dyDescent="0.25">
      <c r="A185" t="s">
        <v>269</v>
      </c>
    </row>
    <row r="186" spans="1:1" x14ac:dyDescent="0.25">
      <c r="A186" t="s">
        <v>270</v>
      </c>
    </row>
    <row r="187" spans="1:1" x14ac:dyDescent="0.25">
      <c r="A187" t="s">
        <v>271</v>
      </c>
    </row>
    <row r="188" spans="1:1" x14ac:dyDescent="0.25">
      <c r="A188" t="s">
        <v>272</v>
      </c>
    </row>
    <row r="189" spans="1:1" x14ac:dyDescent="0.25">
      <c r="A189" t="s">
        <v>273</v>
      </c>
    </row>
    <row r="190" spans="1:1" x14ac:dyDescent="0.25">
      <c r="A190" t="s">
        <v>274</v>
      </c>
    </row>
    <row r="191" spans="1:1" x14ac:dyDescent="0.25">
      <c r="A191" t="s">
        <v>275</v>
      </c>
    </row>
    <row r="192" spans="1:1" x14ac:dyDescent="0.25">
      <c r="A192" t="s">
        <v>276</v>
      </c>
    </row>
    <row r="193" spans="1:1" x14ac:dyDescent="0.25">
      <c r="A193" t="s">
        <v>277</v>
      </c>
    </row>
    <row r="194" spans="1:1" x14ac:dyDescent="0.25">
      <c r="A194" t="s">
        <v>278</v>
      </c>
    </row>
    <row r="195" spans="1:1" x14ac:dyDescent="0.25">
      <c r="A195" t="s">
        <v>279</v>
      </c>
    </row>
    <row r="196" spans="1:1" x14ac:dyDescent="0.25">
      <c r="A196" t="s">
        <v>280</v>
      </c>
    </row>
    <row r="197" spans="1:1" x14ac:dyDescent="0.25">
      <c r="A197" t="s">
        <v>281</v>
      </c>
    </row>
    <row r="198" spans="1:1" x14ac:dyDescent="0.25">
      <c r="A198" t="s">
        <v>282</v>
      </c>
    </row>
    <row r="199" spans="1:1" x14ac:dyDescent="0.25">
      <c r="A199" t="s">
        <v>283</v>
      </c>
    </row>
    <row r="200" spans="1:1" x14ac:dyDescent="0.25">
      <c r="A200" t="s">
        <v>284</v>
      </c>
    </row>
    <row r="201" spans="1:1" x14ac:dyDescent="0.25">
      <c r="A201" t="s">
        <v>285</v>
      </c>
    </row>
    <row r="202" spans="1:1" x14ac:dyDescent="0.25">
      <c r="A202" t="s">
        <v>286</v>
      </c>
    </row>
    <row r="203" spans="1:1" x14ac:dyDescent="0.25">
      <c r="A203" t="s">
        <v>287</v>
      </c>
    </row>
    <row r="204" spans="1:1" x14ac:dyDescent="0.25">
      <c r="A204" t="s">
        <v>288</v>
      </c>
    </row>
    <row r="205" spans="1:1" x14ac:dyDescent="0.25">
      <c r="A205" t="s">
        <v>289</v>
      </c>
    </row>
    <row r="206" spans="1:1" x14ac:dyDescent="0.25">
      <c r="A206" t="s">
        <v>290</v>
      </c>
    </row>
    <row r="207" spans="1:1" x14ac:dyDescent="0.25">
      <c r="A207" t="s">
        <v>291</v>
      </c>
    </row>
    <row r="208" spans="1:1" x14ac:dyDescent="0.25">
      <c r="A208" t="s">
        <v>292</v>
      </c>
    </row>
    <row r="209" spans="1:1" x14ac:dyDescent="0.25">
      <c r="A209" t="s">
        <v>293</v>
      </c>
    </row>
    <row r="210" spans="1:1" x14ac:dyDescent="0.25">
      <c r="A210" t="s">
        <v>294</v>
      </c>
    </row>
    <row r="211" spans="1:1" x14ac:dyDescent="0.25">
      <c r="A211" t="s">
        <v>295</v>
      </c>
    </row>
    <row r="212" spans="1:1" x14ac:dyDescent="0.25">
      <c r="A212" t="s">
        <v>296</v>
      </c>
    </row>
    <row r="213" spans="1:1" x14ac:dyDescent="0.25">
      <c r="A213" t="s">
        <v>297</v>
      </c>
    </row>
    <row r="214" spans="1:1" x14ac:dyDescent="0.25">
      <c r="A214" t="s">
        <v>298</v>
      </c>
    </row>
    <row r="215" spans="1:1" x14ac:dyDescent="0.25">
      <c r="A215" t="s">
        <v>299</v>
      </c>
    </row>
    <row r="216" spans="1:1" x14ac:dyDescent="0.25">
      <c r="A216" t="s">
        <v>300</v>
      </c>
    </row>
    <row r="217" spans="1:1" x14ac:dyDescent="0.25">
      <c r="A217" t="s">
        <v>301</v>
      </c>
    </row>
    <row r="218" spans="1:1" x14ac:dyDescent="0.25">
      <c r="A218" t="s">
        <v>302</v>
      </c>
    </row>
    <row r="219" spans="1:1" x14ac:dyDescent="0.25">
      <c r="A219" t="s">
        <v>303</v>
      </c>
    </row>
    <row r="220" spans="1:1" x14ac:dyDescent="0.25">
      <c r="A220" t="s">
        <v>304</v>
      </c>
    </row>
    <row r="221" spans="1:1" x14ac:dyDescent="0.25">
      <c r="A221" t="s">
        <v>305</v>
      </c>
    </row>
    <row r="222" spans="1:1" x14ac:dyDescent="0.25">
      <c r="A222" t="s">
        <v>306</v>
      </c>
    </row>
    <row r="223" spans="1:1" x14ac:dyDescent="0.25">
      <c r="A223" t="s">
        <v>307</v>
      </c>
    </row>
    <row r="224" spans="1:1" x14ac:dyDescent="0.25">
      <c r="A224" t="s">
        <v>308</v>
      </c>
    </row>
    <row r="225" spans="1:1" x14ac:dyDescent="0.25">
      <c r="A225" t="s">
        <v>309</v>
      </c>
    </row>
    <row r="226" spans="1:1" x14ac:dyDescent="0.25">
      <c r="A226" t="s">
        <v>310</v>
      </c>
    </row>
    <row r="227" spans="1:1" x14ac:dyDescent="0.25">
      <c r="A227" t="s">
        <v>311</v>
      </c>
    </row>
    <row r="228" spans="1:1" x14ac:dyDescent="0.25">
      <c r="A228" t="s">
        <v>312</v>
      </c>
    </row>
    <row r="229" spans="1:1" x14ac:dyDescent="0.25">
      <c r="A229" t="s">
        <v>313</v>
      </c>
    </row>
    <row r="230" spans="1:1" x14ac:dyDescent="0.25">
      <c r="A230" t="s">
        <v>314</v>
      </c>
    </row>
    <row r="231" spans="1:1" x14ac:dyDescent="0.25">
      <c r="A231" t="s">
        <v>315</v>
      </c>
    </row>
    <row r="232" spans="1:1" x14ac:dyDescent="0.25">
      <c r="A232" t="s">
        <v>316</v>
      </c>
    </row>
    <row r="233" spans="1:1" x14ac:dyDescent="0.25">
      <c r="A233" t="s">
        <v>317</v>
      </c>
    </row>
    <row r="234" spans="1:1" x14ac:dyDescent="0.25">
      <c r="A234" t="s">
        <v>318</v>
      </c>
    </row>
    <row r="235" spans="1:1" x14ac:dyDescent="0.25">
      <c r="A235" t="s">
        <v>319</v>
      </c>
    </row>
    <row r="236" spans="1:1" x14ac:dyDescent="0.25">
      <c r="A236" t="s">
        <v>320</v>
      </c>
    </row>
    <row r="237" spans="1:1" x14ac:dyDescent="0.25">
      <c r="A237" t="s">
        <v>321</v>
      </c>
    </row>
    <row r="238" spans="1:1" x14ac:dyDescent="0.25">
      <c r="A238" t="s">
        <v>322</v>
      </c>
    </row>
    <row r="239" spans="1:1" x14ac:dyDescent="0.25">
      <c r="A239" t="s">
        <v>323</v>
      </c>
    </row>
    <row r="240" spans="1:1" x14ac:dyDescent="0.25">
      <c r="A240" t="s">
        <v>324</v>
      </c>
    </row>
    <row r="241" spans="1:19" x14ac:dyDescent="0.25">
      <c r="A241" t="s">
        <v>325</v>
      </c>
    </row>
    <row r="242" spans="1:19" x14ac:dyDescent="0.25">
      <c r="A242" t="s">
        <v>326</v>
      </c>
    </row>
    <row r="243" spans="1:19" x14ac:dyDescent="0.25">
      <c r="A243" t="s">
        <v>327</v>
      </c>
      <c r="B243">
        <v>1</v>
      </c>
      <c r="R243">
        <v>1</v>
      </c>
      <c r="S243">
        <v>1</v>
      </c>
    </row>
    <row r="244" spans="1:19" x14ac:dyDescent="0.25">
      <c r="A244" t="s">
        <v>328</v>
      </c>
    </row>
    <row r="245" spans="1:19" x14ac:dyDescent="0.25">
      <c r="A245" t="s">
        <v>329</v>
      </c>
    </row>
    <row r="246" spans="1:19" x14ac:dyDescent="0.25">
      <c r="A246" t="s">
        <v>330</v>
      </c>
    </row>
    <row r="247" spans="1:19" x14ac:dyDescent="0.25">
      <c r="A247" t="s">
        <v>331</v>
      </c>
    </row>
    <row r="248" spans="1:19" x14ac:dyDescent="0.25">
      <c r="A248" t="s">
        <v>332</v>
      </c>
    </row>
    <row r="249" spans="1:19" x14ac:dyDescent="0.25">
      <c r="A249" t="s">
        <v>333</v>
      </c>
    </row>
    <row r="250" spans="1:19" x14ac:dyDescent="0.25">
      <c r="A250" t="s">
        <v>334</v>
      </c>
    </row>
    <row r="251" spans="1:19" x14ac:dyDescent="0.25">
      <c r="A251" t="s">
        <v>335</v>
      </c>
    </row>
    <row r="252" spans="1:19" x14ac:dyDescent="0.25">
      <c r="A252" t="s">
        <v>336</v>
      </c>
    </row>
    <row r="253" spans="1:19" x14ac:dyDescent="0.25">
      <c r="A253" t="s">
        <v>337</v>
      </c>
    </row>
    <row r="254" spans="1:19" x14ac:dyDescent="0.25">
      <c r="A254" t="s">
        <v>338</v>
      </c>
    </row>
    <row r="255" spans="1:19" x14ac:dyDescent="0.25">
      <c r="A255" t="s">
        <v>339</v>
      </c>
    </row>
    <row r="256" spans="1:19" x14ac:dyDescent="0.25">
      <c r="A256" t="s">
        <v>340</v>
      </c>
    </row>
    <row r="257" spans="1:36" x14ac:dyDescent="0.25">
      <c r="A257" t="s">
        <v>341</v>
      </c>
      <c r="B257">
        <v>1</v>
      </c>
      <c r="W257" s="5">
        <v>1</v>
      </c>
      <c r="AH257">
        <v>1</v>
      </c>
    </row>
    <row r="258" spans="1:36" x14ac:dyDescent="0.25">
      <c r="A258" t="s">
        <v>342</v>
      </c>
      <c r="B258">
        <v>1</v>
      </c>
      <c r="Y258">
        <v>1</v>
      </c>
      <c r="AJ258">
        <v>1</v>
      </c>
    </row>
    <row r="259" spans="1:36" x14ac:dyDescent="0.25">
      <c r="A259" t="s">
        <v>343</v>
      </c>
    </row>
    <row r="260" spans="1:36" x14ac:dyDescent="0.25">
      <c r="A260" t="s">
        <v>344</v>
      </c>
    </row>
    <row r="261" spans="1:36" x14ac:dyDescent="0.25">
      <c r="A261" t="s">
        <v>345</v>
      </c>
    </row>
    <row r="262" spans="1:36" x14ac:dyDescent="0.25">
      <c r="A262" t="s">
        <v>346</v>
      </c>
    </row>
    <row r="263" spans="1:36" x14ac:dyDescent="0.25">
      <c r="A263" t="s">
        <v>347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304"/>
  <sheetViews>
    <sheetView workbookViewId="0">
      <selection activeCell="D30" sqref="D30"/>
    </sheetView>
  </sheetViews>
  <sheetFormatPr defaultRowHeight="15" x14ac:dyDescent="0.25"/>
  <cols>
    <col min="1" max="1" width="10.42578125" bestFit="1" customWidth="1"/>
    <col min="2" max="2" width="16" bestFit="1" customWidth="1"/>
    <col min="5" max="5" width="12.5703125" bestFit="1" customWidth="1"/>
    <col min="6" max="6" width="14.42578125" customWidth="1"/>
    <col min="7" max="7" width="16.85546875" bestFit="1" customWidth="1"/>
    <col min="8" max="8" width="18.42578125" bestFit="1" customWidth="1"/>
    <col min="9" max="9" width="17.5703125" customWidth="1"/>
    <col min="10" max="10" width="15.85546875" customWidth="1"/>
  </cols>
  <sheetData>
    <row r="1" spans="1:4" x14ac:dyDescent="0.25">
      <c r="A1" t="s">
        <v>14</v>
      </c>
      <c r="B1" t="s">
        <v>0</v>
      </c>
      <c r="C1" t="s">
        <v>1</v>
      </c>
      <c r="D1" t="s">
        <v>5</v>
      </c>
    </row>
    <row r="2" spans="1:4" x14ac:dyDescent="0.25">
      <c r="A2" s="10">
        <v>46178</v>
      </c>
      <c r="B2" t="s">
        <v>2</v>
      </c>
      <c r="C2">
        <v>36</v>
      </c>
      <c r="D2">
        <v>1</v>
      </c>
    </row>
    <row r="3" spans="1:4" x14ac:dyDescent="0.25">
      <c r="A3" s="10">
        <v>46178</v>
      </c>
      <c r="B3" t="s">
        <v>3</v>
      </c>
      <c r="C3">
        <v>100</v>
      </c>
      <c r="D3">
        <v>1</v>
      </c>
    </row>
    <row r="4" spans="1:4" x14ac:dyDescent="0.25">
      <c r="A4" s="10">
        <v>46178</v>
      </c>
      <c r="B4" t="s">
        <v>2</v>
      </c>
      <c r="C4">
        <v>23</v>
      </c>
      <c r="D4">
        <v>1</v>
      </c>
    </row>
    <row r="5" spans="1:4" x14ac:dyDescent="0.25">
      <c r="A5" s="10">
        <v>46178</v>
      </c>
      <c r="B5" t="s">
        <v>6</v>
      </c>
      <c r="C5">
        <v>76</v>
      </c>
      <c r="D5">
        <v>2</v>
      </c>
    </row>
    <row r="6" spans="1:4" x14ac:dyDescent="0.25">
      <c r="A6" s="10">
        <v>46178</v>
      </c>
      <c r="B6" t="s">
        <v>7</v>
      </c>
      <c r="C6">
        <v>25</v>
      </c>
      <c r="D6">
        <v>2</v>
      </c>
    </row>
    <row r="7" spans="1:4" x14ac:dyDescent="0.25">
      <c r="A7" s="10">
        <v>46178</v>
      </c>
      <c r="B7" t="s">
        <v>8</v>
      </c>
      <c r="C7">
        <v>5</v>
      </c>
      <c r="D7">
        <v>2</v>
      </c>
    </row>
    <row r="8" spans="1:4" x14ac:dyDescent="0.25">
      <c r="A8" s="10">
        <v>46178</v>
      </c>
      <c r="B8" t="s">
        <v>9</v>
      </c>
      <c r="C8">
        <v>23</v>
      </c>
      <c r="D8">
        <v>2</v>
      </c>
    </row>
    <row r="9" spans="1:4" x14ac:dyDescent="0.25">
      <c r="A9" s="10">
        <v>46178</v>
      </c>
      <c r="B9" t="s">
        <v>10</v>
      </c>
      <c r="C9">
        <v>8</v>
      </c>
      <c r="D9">
        <v>2</v>
      </c>
    </row>
    <row r="10" spans="1:4" x14ac:dyDescent="0.25">
      <c r="A10" s="10">
        <v>46178</v>
      </c>
      <c r="B10" t="s">
        <v>3</v>
      </c>
      <c r="C10">
        <v>13</v>
      </c>
      <c r="D10">
        <v>2</v>
      </c>
    </row>
    <row r="11" spans="1:4" x14ac:dyDescent="0.25">
      <c r="A11" s="10">
        <v>46178</v>
      </c>
      <c r="B11" t="s">
        <v>11</v>
      </c>
      <c r="C11">
        <v>1</v>
      </c>
      <c r="D11">
        <v>2</v>
      </c>
    </row>
    <row r="12" spans="1:4" x14ac:dyDescent="0.25">
      <c r="A12" s="10">
        <v>46178</v>
      </c>
      <c r="B12" t="s">
        <v>9</v>
      </c>
      <c r="C12">
        <v>16</v>
      </c>
      <c r="D12">
        <v>2</v>
      </c>
    </row>
    <row r="13" spans="1:4" x14ac:dyDescent="0.25">
      <c r="A13" s="10">
        <v>46178</v>
      </c>
      <c r="B13" t="s">
        <v>2</v>
      </c>
      <c r="C13">
        <v>29</v>
      </c>
      <c r="D13">
        <v>3</v>
      </c>
    </row>
    <row r="14" spans="1:4" x14ac:dyDescent="0.25">
      <c r="A14" s="10">
        <v>46178</v>
      </c>
      <c r="B14" t="s">
        <v>12</v>
      </c>
      <c r="C14">
        <v>3</v>
      </c>
      <c r="D14">
        <v>3</v>
      </c>
    </row>
    <row r="15" spans="1:4" x14ac:dyDescent="0.25">
      <c r="A15" s="10">
        <v>46178</v>
      </c>
      <c r="B15" t="s">
        <v>2</v>
      </c>
      <c r="C15">
        <v>49</v>
      </c>
      <c r="D15">
        <v>3</v>
      </c>
    </row>
    <row r="16" spans="1:4" x14ac:dyDescent="0.25">
      <c r="A16" s="10">
        <v>46179</v>
      </c>
      <c r="B16" t="s">
        <v>2</v>
      </c>
      <c r="C16">
        <v>86</v>
      </c>
      <c r="D16">
        <v>1</v>
      </c>
    </row>
    <row r="17" spans="1:4" x14ac:dyDescent="0.25">
      <c r="A17" s="10">
        <v>46179</v>
      </c>
      <c r="B17" t="s">
        <v>368</v>
      </c>
      <c r="C17">
        <v>1</v>
      </c>
      <c r="D17">
        <v>1</v>
      </c>
    </row>
    <row r="18" spans="1:4" x14ac:dyDescent="0.25">
      <c r="A18" s="10">
        <v>46179</v>
      </c>
      <c r="B18" t="s">
        <v>3</v>
      </c>
      <c r="C18">
        <v>39</v>
      </c>
      <c r="D18">
        <v>1</v>
      </c>
    </row>
    <row r="19" spans="1:4" x14ac:dyDescent="0.25">
      <c r="A19" s="10">
        <v>46179</v>
      </c>
      <c r="B19" t="s">
        <v>9</v>
      </c>
      <c r="C19">
        <v>53</v>
      </c>
      <c r="D19">
        <v>2</v>
      </c>
    </row>
    <row r="20" spans="1:4" x14ac:dyDescent="0.25">
      <c r="A20" s="10">
        <v>46179</v>
      </c>
      <c r="B20" t="s">
        <v>6</v>
      </c>
      <c r="C20">
        <v>73</v>
      </c>
      <c r="D20">
        <v>2</v>
      </c>
    </row>
    <row r="21" spans="1:4" x14ac:dyDescent="0.25">
      <c r="A21" s="10">
        <v>46179</v>
      </c>
      <c r="B21" t="s">
        <v>2</v>
      </c>
      <c r="C21">
        <v>230</v>
      </c>
      <c r="D21">
        <v>3</v>
      </c>
    </row>
    <row r="22" spans="1:4" x14ac:dyDescent="0.25">
      <c r="A22" s="10">
        <v>46181</v>
      </c>
      <c r="B22" t="s">
        <v>3</v>
      </c>
      <c r="C22">
        <v>18</v>
      </c>
      <c r="D22">
        <v>1</v>
      </c>
    </row>
    <row r="23" spans="1:4" x14ac:dyDescent="0.25">
      <c r="A23" s="10">
        <v>46181</v>
      </c>
      <c r="B23" t="s">
        <v>75</v>
      </c>
      <c r="C23">
        <v>5</v>
      </c>
      <c r="D23">
        <v>1</v>
      </c>
    </row>
    <row r="24" spans="1:4" x14ac:dyDescent="0.25">
      <c r="A24" s="10">
        <v>46181</v>
      </c>
      <c r="B24" t="s">
        <v>3</v>
      </c>
      <c r="C24">
        <v>186</v>
      </c>
      <c r="D24">
        <v>1</v>
      </c>
    </row>
    <row r="25" spans="1:4" x14ac:dyDescent="0.25">
      <c r="A25" s="10">
        <v>46181</v>
      </c>
      <c r="B25" t="s">
        <v>2</v>
      </c>
      <c r="C25">
        <v>20</v>
      </c>
      <c r="D25">
        <v>1</v>
      </c>
    </row>
    <row r="26" spans="1:4" x14ac:dyDescent="0.25">
      <c r="A26" s="10">
        <v>46181</v>
      </c>
      <c r="B26" t="s">
        <v>6</v>
      </c>
      <c r="C26">
        <v>187</v>
      </c>
      <c r="D26">
        <v>2</v>
      </c>
    </row>
    <row r="27" spans="1:4" x14ac:dyDescent="0.25">
      <c r="A27" s="10">
        <v>46181</v>
      </c>
      <c r="B27" t="s">
        <v>2</v>
      </c>
      <c r="C27">
        <v>1</v>
      </c>
      <c r="D27">
        <v>2</v>
      </c>
    </row>
    <row r="28" spans="1:4" x14ac:dyDescent="0.25">
      <c r="A28" s="10">
        <v>46181</v>
      </c>
      <c r="B28" t="s">
        <v>6</v>
      </c>
      <c r="C28">
        <v>23</v>
      </c>
      <c r="D28">
        <v>2</v>
      </c>
    </row>
    <row r="29" spans="1:4" x14ac:dyDescent="0.25">
      <c r="A29" s="10">
        <v>46181</v>
      </c>
      <c r="B29" t="s">
        <v>7</v>
      </c>
      <c r="C29">
        <v>7</v>
      </c>
      <c r="D29">
        <v>2</v>
      </c>
    </row>
    <row r="30" spans="1:4" x14ac:dyDescent="0.25">
      <c r="A30" s="10">
        <v>46181</v>
      </c>
      <c r="B30" t="s">
        <v>9</v>
      </c>
      <c r="C30">
        <v>12</v>
      </c>
      <c r="D30">
        <v>2</v>
      </c>
    </row>
    <row r="31" spans="1:4" x14ac:dyDescent="0.25">
      <c r="A31" s="10">
        <v>46181</v>
      </c>
      <c r="B31" t="s">
        <v>2</v>
      </c>
      <c r="C31">
        <v>169</v>
      </c>
      <c r="D31">
        <v>3</v>
      </c>
    </row>
    <row r="32" spans="1:4" x14ac:dyDescent="0.25">
      <c r="A32" s="10">
        <v>46181</v>
      </c>
      <c r="B32" t="s">
        <v>12</v>
      </c>
      <c r="C32">
        <v>5</v>
      </c>
      <c r="D32">
        <v>3</v>
      </c>
    </row>
    <row r="33" spans="1:4" x14ac:dyDescent="0.25">
      <c r="A33" s="10">
        <v>46181</v>
      </c>
      <c r="B33" t="s">
        <v>86</v>
      </c>
      <c r="C33">
        <v>40</v>
      </c>
      <c r="D33">
        <v>3</v>
      </c>
    </row>
    <row r="34" spans="1:4" x14ac:dyDescent="0.25">
      <c r="A34" s="10">
        <v>46181</v>
      </c>
      <c r="B34" t="s">
        <v>2</v>
      </c>
      <c r="C34">
        <v>15</v>
      </c>
      <c r="D34">
        <v>3</v>
      </c>
    </row>
    <row r="35" spans="1:4" x14ac:dyDescent="0.25">
      <c r="A35" s="10">
        <v>46182</v>
      </c>
      <c r="B35" t="s">
        <v>2</v>
      </c>
      <c r="C35">
        <v>109</v>
      </c>
      <c r="D35">
        <v>1</v>
      </c>
    </row>
    <row r="36" spans="1:4" x14ac:dyDescent="0.25">
      <c r="A36" s="10">
        <v>46182</v>
      </c>
      <c r="B36" t="s">
        <v>3</v>
      </c>
      <c r="C36">
        <v>176</v>
      </c>
      <c r="D36">
        <v>1</v>
      </c>
    </row>
    <row r="37" spans="1:4" x14ac:dyDescent="0.25">
      <c r="A37" s="10">
        <v>46182</v>
      </c>
      <c r="B37" t="s">
        <v>9</v>
      </c>
      <c r="C37">
        <v>1</v>
      </c>
      <c r="D37">
        <v>2</v>
      </c>
    </row>
    <row r="38" spans="1:4" x14ac:dyDescent="0.25">
      <c r="A38" s="10">
        <v>46182</v>
      </c>
      <c r="B38" t="s">
        <v>76</v>
      </c>
      <c r="C38">
        <v>32</v>
      </c>
      <c r="D38">
        <v>2</v>
      </c>
    </row>
    <row r="39" spans="1:4" x14ac:dyDescent="0.25">
      <c r="A39" s="10">
        <v>46182</v>
      </c>
      <c r="B39" t="s">
        <v>2</v>
      </c>
      <c r="C39">
        <v>26</v>
      </c>
      <c r="D39">
        <v>2</v>
      </c>
    </row>
    <row r="40" spans="1:4" x14ac:dyDescent="0.25">
      <c r="A40" s="10">
        <v>46182</v>
      </c>
      <c r="B40" t="s">
        <v>7</v>
      </c>
      <c r="C40">
        <v>7</v>
      </c>
      <c r="D40">
        <v>2</v>
      </c>
    </row>
    <row r="41" spans="1:4" x14ac:dyDescent="0.25">
      <c r="A41" s="10">
        <v>46182</v>
      </c>
      <c r="B41" t="s">
        <v>9</v>
      </c>
      <c r="C41">
        <v>13</v>
      </c>
      <c r="D41">
        <v>2</v>
      </c>
    </row>
    <row r="42" spans="1:4" x14ac:dyDescent="0.25">
      <c r="A42" s="10">
        <v>46182</v>
      </c>
      <c r="B42" t="s">
        <v>6</v>
      </c>
      <c r="C42">
        <v>207</v>
      </c>
      <c r="D42">
        <v>2</v>
      </c>
    </row>
    <row r="43" spans="1:4" x14ac:dyDescent="0.25">
      <c r="A43" s="10">
        <v>46182</v>
      </c>
      <c r="B43" t="s">
        <v>2</v>
      </c>
      <c r="C43">
        <v>45</v>
      </c>
      <c r="D43">
        <v>3</v>
      </c>
    </row>
    <row r="44" spans="1:4" x14ac:dyDescent="0.25">
      <c r="A44" s="10">
        <v>46182</v>
      </c>
      <c r="B44" t="s">
        <v>12</v>
      </c>
      <c r="C44">
        <v>5</v>
      </c>
      <c r="D44">
        <v>3</v>
      </c>
    </row>
    <row r="45" spans="1:4" x14ac:dyDescent="0.25">
      <c r="A45" s="10">
        <v>46182</v>
      </c>
      <c r="B45" t="s">
        <v>2</v>
      </c>
      <c r="C45">
        <v>130</v>
      </c>
      <c r="D45">
        <v>3</v>
      </c>
    </row>
    <row r="46" spans="1:4" x14ac:dyDescent="0.25">
      <c r="A46" s="10">
        <v>46182</v>
      </c>
      <c r="B46" t="s">
        <v>12</v>
      </c>
      <c r="C46">
        <v>5</v>
      </c>
      <c r="D46">
        <v>3</v>
      </c>
    </row>
    <row r="47" spans="1:4" x14ac:dyDescent="0.25">
      <c r="A47" s="10">
        <v>46182</v>
      </c>
      <c r="B47" t="s">
        <v>86</v>
      </c>
      <c r="C47">
        <v>40</v>
      </c>
      <c r="D47">
        <v>3</v>
      </c>
    </row>
    <row r="48" spans="1:4" x14ac:dyDescent="0.25">
      <c r="A48" s="10">
        <v>46182</v>
      </c>
      <c r="B48" t="s">
        <v>2</v>
      </c>
      <c r="C48">
        <v>60</v>
      </c>
      <c r="D48">
        <v>3</v>
      </c>
    </row>
    <row r="49" spans="1:4" x14ac:dyDescent="0.25">
      <c r="A49" s="10">
        <v>46183</v>
      </c>
      <c r="B49" t="s">
        <v>3</v>
      </c>
      <c r="C49">
        <v>193</v>
      </c>
      <c r="D49">
        <v>1</v>
      </c>
    </row>
    <row r="50" spans="1:4" x14ac:dyDescent="0.25">
      <c r="A50" s="10">
        <v>46183</v>
      </c>
      <c r="B50" t="s">
        <v>2</v>
      </c>
      <c r="C50">
        <v>33</v>
      </c>
      <c r="D50">
        <v>1</v>
      </c>
    </row>
    <row r="51" spans="1:4" x14ac:dyDescent="0.25">
      <c r="A51" s="10">
        <v>46183</v>
      </c>
      <c r="B51" t="s">
        <v>71</v>
      </c>
      <c r="C51">
        <v>1</v>
      </c>
      <c r="D51">
        <v>1</v>
      </c>
    </row>
    <row r="52" spans="1:4" x14ac:dyDescent="0.25">
      <c r="A52" s="10">
        <v>46183</v>
      </c>
      <c r="B52" t="s">
        <v>2</v>
      </c>
      <c r="C52">
        <v>33</v>
      </c>
      <c r="D52">
        <v>1</v>
      </c>
    </row>
    <row r="53" spans="1:4" x14ac:dyDescent="0.25">
      <c r="A53" s="10">
        <v>46183</v>
      </c>
      <c r="B53" t="s">
        <v>6</v>
      </c>
      <c r="C53">
        <v>182</v>
      </c>
      <c r="D53">
        <v>2</v>
      </c>
    </row>
    <row r="54" spans="1:4" x14ac:dyDescent="0.25">
      <c r="A54" s="10">
        <v>46183</v>
      </c>
      <c r="B54" t="s">
        <v>2</v>
      </c>
      <c r="C54">
        <v>8</v>
      </c>
      <c r="D54">
        <v>2</v>
      </c>
    </row>
    <row r="55" spans="1:4" x14ac:dyDescent="0.25">
      <c r="A55" s="10">
        <v>46183</v>
      </c>
      <c r="B55" t="s">
        <v>7</v>
      </c>
      <c r="C55">
        <v>7</v>
      </c>
      <c r="D55">
        <v>2</v>
      </c>
    </row>
    <row r="56" spans="1:4" x14ac:dyDescent="0.25">
      <c r="A56" s="10">
        <v>46183</v>
      </c>
      <c r="B56" t="s">
        <v>9</v>
      </c>
      <c r="C56">
        <v>13</v>
      </c>
      <c r="D56">
        <v>2</v>
      </c>
    </row>
    <row r="57" spans="1:4" x14ac:dyDescent="0.25">
      <c r="A57" s="10">
        <v>46183</v>
      </c>
      <c r="B57" t="s">
        <v>11</v>
      </c>
      <c r="C57">
        <v>4</v>
      </c>
      <c r="D57">
        <v>2</v>
      </c>
    </row>
    <row r="58" spans="1:4" x14ac:dyDescent="0.25">
      <c r="A58" s="10">
        <v>46183</v>
      </c>
      <c r="B58" t="s">
        <v>76</v>
      </c>
      <c r="C58">
        <v>32</v>
      </c>
      <c r="D58">
        <v>2</v>
      </c>
    </row>
    <row r="59" spans="1:4" x14ac:dyDescent="0.25">
      <c r="A59" s="10">
        <v>46183</v>
      </c>
      <c r="B59" t="s">
        <v>10</v>
      </c>
      <c r="C59">
        <v>17</v>
      </c>
      <c r="D59">
        <v>2</v>
      </c>
    </row>
    <row r="60" spans="1:4" x14ac:dyDescent="0.25">
      <c r="A60" s="10">
        <v>46183</v>
      </c>
      <c r="B60" t="s">
        <v>2</v>
      </c>
      <c r="C60">
        <v>30</v>
      </c>
      <c r="D60">
        <v>3</v>
      </c>
    </row>
    <row r="61" spans="1:4" x14ac:dyDescent="0.25">
      <c r="A61" s="10">
        <v>46183</v>
      </c>
      <c r="B61" t="s">
        <v>12</v>
      </c>
      <c r="C61">
        <v>5</v>
      </c>
      <c r="D61">
        <v>3</v>
      </c>
    </row>
    <row r="62" spans="1:4" x14ac:dyDescent="0.25">
      <c r="A62" s="10">
        <v>46183</v>
      </c>
      <c r="B62" t="s">
        <v>86</v>
      </c>
      <c r="C62">
        <v>40</v>
      </c>
      <c r="D62">
        <v>3</v>
      </c>
    </row>
    <row r="63" spans="1:4" x14ac:dyDescent="0.25">
      <c r="A63" s="10">
        <v>46183</v>
      </c>
      <c r="B63" t="s">
        <v>2</v>
      </c>
      <c r="C63">
        <v>90</v>
      </c>
      <c r="D63">
        <v>3</v>
      </c>
    </row>
    <row r="64" spans="1:4" x14ac:dyDescent="0.25">
      <c r="A64" s="10">
        <v>46183</v>
      </c>
      <c r="B64" t="s">
        <v>12</v>
      </c>
      <c r="C64">
        <v>4</v>
      </c>
      <c r="D64">
        <v>3</v>
      </c>
    </row>
    <row r="65" spans="1:4" x14ac:dyDescent="0.25">
      <c r="A65" s="10">
        <v>46183</v>
      </c>
      <c r="B65" t="s">
        <v>86</v>
      </c>
      <c r="C65">
        <v>54</v>
      </c>
      <c r="D65">
        <v>3</v>
      </c>
    </row>
    <row r="66" spans="1:4" x14ac:dyDescent="0.25">
      <c r="A66" s="10">
        <v>46183</v>
      </c>
      <c r="B66" t="s">
        <v>2</v>
      </c>
      <c r="C66">
        <v>35</v>
      </c>
      <c r="D66">
        <v>3</v>
      </c>
    </row>
    <row r="67" spans="1:4" x14ac:dyDescent="0.25">
      <c r="A67" s="10">
        <v>46184</v>
      </c>
      <c r="B67" t="s">
        <v>2</v>
      </c>
      <c r="C67">
        <v>3</v>
      </c>
      <c r="D67">
        <v>1</v>
      </c>
    </row>
    <row r="68" spans="1:4" x14ac:dyDescent="0.25">
      <c r="A68" s="10">
        <v>46184</v>
      </c>
      <c r="B68" t="s">
        <v>3</v>
      </c>
      <c r="C68">
        <v>216</v>
      </c>
      <c r="D68">
        <v>1</v>
      </c>
    </row>
    <row r="69" spans="1:4" x14ac:dyDescent="0.25">
      <c r="A69" s="10">
        <v>46184</v>
      </c>
      <c r="B69" t="s">
        <v>10</v>
      </c>
      <c r="C69">
        <v>14</v>
      </c>
      <c r="D69">
        <v>2</v>
      </c>
    </row>
    <row r="70" spans="1:4" x14ac:dyDescent="0.25">
      <c r="A70" s="10">
        <v>46184</v>
      </c>
      <c r="B70" t="s">
        <v>9</v>
      </c>
      <c r="C70">
        <v>13</v>
      </c>
      <c r="D70">
        <v>2</v>
      </c>
    </row>
    <row r="71" spans="1:4" x14ac:dyDescent="0.25">
      <c r="A71" s="10">
        <v>46184</v>
      </c>
      <c r="B71" t="s">
        <v>8</v>
      </c>
      <c r="C71">
        <v>3</v>
      </c>
      <c r="D71">
        <v>2</v>
      </c>
    </row>
    <row r="72" spans="1:4" x14ac:dyDescent="0.25">
      <c r="A72" s="10">
        <v>46184</v>
      </c>
      <c r="B72" t="s">
        <v>7</v>
      </c>
      <c r="C72">
        <v>7</v>
      </c>
      <c r="D72">
        <v>2</v>
      </c>
    </row>
    <row r="73" spans="1:4" x14ac:dyDescent="0.25">
      <c r="A73" s="10">
        <v>46184</v>
      </c>
      <c r="B73" t="s">
        <v>6</v>
      </c>
      <c r="C73">
        <v>181</v>
      </c>
      <c r="D73">
        <v>2</v>
      </c>
    </row>
    <row r="74" spans="1:4" x14ac:dyDescent="0.25">
      <c r="A74" s="10">
        <v>46184</v>
      </c>
      <c r="B74" t="s">
        <v>2</v>
      </c>
      <c r="C74">
        <v>155</v>
      </c>
      <c r="D74">
        <v>3</v>
      </c>
    </row>
    <row r="75" spans="1:4" x14ac:dyDescent="0.25">
      <c r="A75" s="10">
        <v>46184</v>
      </c>
      <c r="B75" t="s">
        <v>88</v>
      </c>
      <c r="C75">
        <v>53</v>
      </c>
      <c r="D75">
        <v>3</v>
      </c>
    </row>
    <row r="76" spans="1:4" x14ac:dyDescent="0.25">
      <c r="A76" s="10">
        <v>46184</v>
      </c>
      <c r="B76" t="s">
        <v>2</v>
      </c>
      <c r="C76">
        <v>12</v>
      </c>
      <c r="D76">
        <v>3</v>
      </c>
    </row>
    <row r="77" spans="1:4" x14ac:dyDescent="0.25">
      <c r="A77" s="10">
        <v>46185</v>
      </c>
      <c r="B77" t="s">
        <v>3</v>
      </c>
      <c r="C77">
        <v>46</v>
      </c>
      <c r="D77">
        <v>1</v>
      </c>
    </row>
    <row r="78" spans="1:4" x14ac:dyDescent="0.25">
      <c r="A78" s="10">
        <v>46185</v>
      </c>
      <c r="B78" t="s">
        <v>368</v>
      </c>
      <c r="C78">
        <v>2</v>
      </c>
      <c r="D78">
        <v>1</v>
      </c>
    </row>
    <row r="79" spans="1:4" x14ac:dyDescent="0.25">
      <c r="A79" s="10">
        <v>46185</v>
      </c>
      <c r="B79" t="s">
        <v>374</v>
      </c>
      <c r="C79">
        <v>3</v>
      </c>
      <c r="D79">
        <v>1</v>
      </c>
    </row>
    <row r="80" spans="1:4" x14ac:dyDescent="0.25">
      <c r="A80" s="10">
        <v>46185</v>
      </c>
      <c r="B80" t="s">
        <v>3</v>
      </c>
      <c r="C80">
        <v>105</v>
      </c>
      <c r="D80">
        <v>1</v>
      </c>
    </row>
    <row r="81" spans="1:4" x14ac:dyDescent="0.25">
      <c r="A81" s="10">
        <v>46185</v>
      </c>
      <c r="B81" t="s">
        <v>2</v>
      </c>
      <c r="C81">
        <v>25</v>
      </c>
      <c r="D81">
        <v>1</v>
      </c>
    </row>
    <row r="82" spans="1:4" x14ac:dyDescent="0.25">
      <c r="A82" s="10">
        <v>46185</v>
      </c>
      <c r="B82" t="s">
        <v>374</v>
      </c>
      <c r="C82">
        <v>5</v>
      </c>
      <c r="D82">
        <v>1</v>
      </c>
    </row>
    <row r="83" spans="1:4" x14ac:dyDescent="0.25">
      <c r="A83" s="10">
        <v>46185</v>
      </c>
      <c r="B83" t="s">
        <v>2</v>
      </c>
      <c r="C83">
        <v>33</v>
      </c>
      <c r="D83">
        <v>1</v>
      </c>
    </row>
    <row r="84" spans="1:4" x14ac:dyDescent="0.25">
      <c r="A84" s="10">
        <v>46185</v>
      </c>
      <c r="B84" t="s">
        <v>6</v>
      </c>
      <c r="C84">
        <v>82</v>
      </c>
      <c r="D84">
        <v>2</v>
      </c>
    </row>
    <row r="85" spans="1:4" x14ac:dyDescent="0.25">
      <c r="A85" s="10">
        <v>46185</v>
      </c>
      <c r="B85" t="s">
        <v>7</v>
      </c>
      <c r="C85">
        <v>7</v>
      </c>
      <c r="D85">
        <v>2</v>
      </c>
    </row>
    <row r="86" spans="1:4" x14ac:dyDescent="0.25">
      <c r="A86" s="10">
        <v>46185</v>
      </c>
      <c r="B86" t="s">
        <v>9</v>
      </c>
      <c r="C86">
        <v>12</v>
      </c>
      <c r="D86">
        <v>2</v>
      </c>
    </row>
    <row r="87" spans="1:4" x14ac:dyDescent="0.25">
      <c r="A87" s="10">
        <v>46185</v>
      </c>
      <c r="B87" t="s">
        <v>93</v>
      </c>
      <c r="C87">
        <v>7</v>
      </c>
      <c r="D87">
        <v>2</v>
      </c>
    </row>
    <row r="88" spans="1:4" x14ac:dyDescent="0.25">
      <c r="A88" s="10">
        <v>46185</v>
      </c>
      <c r="B88" t="s">
        <v>94</v>
      </c>
      <c r="C88">
        <v>56</v>
      </c>
      <c r="D88">
        <v>2</v>
      </c>
    </row>
    <row r="89" spans="1:4" x14ac:dyDescent="0.25">
      <c r="A89" s="10">
        <v>46185</v>
      </c>
      <c r="B89" t="s">
        <v>76</v>
      </c>
      <c r="C89">
        <v>24</v>
      </c>
      <c r="D89">
        <v>2</v>
      </c>
    </row>
    <row r="90" spans="1:4" x14ac:dyDescent="0.25">
      <c r="A90" s="10">
        <v>46185</v>
      </c>
      <c r="B90" t="s">
        <v>11</v>
      </c>
      <c r="C90">
        <v>3</v>
      </c>
      <c r="D90">
        <v>2</v>
      </c>
    </row>
    <row r="91" spans="1:4" x14ac:dyDescent="0.25">
      <c r="A91" s="10">
        <v>46185</v>
      </c>
      <c r="B91" t="s">
        <v>6</v>
      </c>
      <c r="C91">
        <v>22</v>
      </c>
      <c r="D91">
        <v>2</v>
      </c>
    </row>
    <row r="92" spans="1:4" x14ac:dyDescent="0.25">
      <c r="A92" s="10">
        <v>46185</v>
      </c>
      <c r="B92" t="s">
        <v>2</v>
      </c>
      <c r="C92">
        <v>186</v>
      </c>
      <c r="D92">
        <v>3</v>
      </c>
    </row>
    <row r="93" spans="1:4" x14ac:dyDescent="0.25">
      <c r="A93" s="10">
        <v>46185</v>
      </c>
      <c r="B93" t="s">
        <v>87</v>
      </c>
      <c r="C93">
        <v>3</v>
      </c>
      <c r="D93">
        <v>3</v>
      </c>
    </row>
    <row r="94" spans="1:4" x14ac:dyDescent="0.25">
      <c r="A94" s="10">
        <v>46185</v>
      </c>
      <c r="B94" t="s">
        <v>2</v>
      </c>
      <c r="C94">
        <v>33</v>
      </c>
      <c r="D94">
        <v>3</v>
      </c>
    </row>
    <row r="95" spans="1:4" x14ac:dyDescent="0.25">
      <c r="A95" s="10">
        <v>46188</v>
      </c>
      <c r="B95" t="s">
        <v>2</v>
      </c>
      <c r="C95">
        <v>67</v>
      </c>
      <c r="D95">
        <v>1</v>
      </c>
    </row>
    <row r="96" spans="1:4" x14ac:dyDescent="0.25">
      <c r="A96" s="10">
        <v>46188</v>
      </c>
      <c r="B96" t="s">
        <v>74</v>
      </c>
      <c r="C96">
        <v>67</v>
      </c>
      <c r="D96">
        <v>1</v>
      </c>
    </row>
    <row r="97" spans="1:4" x14ac:dyDescent="0.25">
      <c r="A97" s="10">
        <v>46188</v>
      </c>
      <c r="B97" t="s">
        <v>73</v>
      </c>
      <c r="C97">
        <v>2</v>
      </c>
      <c r="D97">
        <v>1</v>
      </c>
    </row>
    <row r="98" spans="1:4" x14ac:dyDescent="0.25">
      <c r="A98" s="10">
        <v>46188</v>
      </c>
      <c r="B98" t="s">
        <v>3</v>
      </c>
      <c r="C98">
        <v>92</v>
      </c>
      <c r="D98">
        <v>1</v>
      </c>
    </row>
    <row r="99" spans="1:4" x14ac:dyDescent="0.25">
      <c r="A99" s="10">
        <v>46188</v>
      </c>
      <c r="B99" t="s">
        <v>6</v>
      </c>
      <c r="C99">
        <v>227</v>
      </c>
      <c r="D99">
        <v>2</v>
      </c>
    </row>
    <row r="100" spans="1:4" x14ac:dyDescent="0.25">
      <c r="A100" s="10">
        <v>46188</v>
      </c>
      <c r="B100" t="s">
        <v>2</v>
      </c>
      <c r="C100">
        <v>227</v>
      </c>
      <c r="D100">
        <v>3</v>
      </c>
    </row>
    <row r="101" spans="1:4" x14ac:dyDescent="0.25">
      <c r="A101" s="10">
        <v>46189</v>
      </c>
      <c r="B101" t="s">
        <v>3</v>
      </c>
      <c r="C101">
        <v>9</v>
      </c>
      <c r="D101">
        <v>1</v>
      </c>
    </row>
    <row r="102" spans="1:4" x14ac:dyDescent="0.25">
      <c r="A102" s="10">
        <v>46189</v>
      </c>
      <c r="B102" t="s">
        <v>368</v>
      </c>
      <c r="C102">
        <v>1</v>
      </c>
      <c r="D102">
        <v>1</v>
      </c>
    </row>
    <row r="103" spans="1:4" x14ac:dyDescent="0.25">
      <c r="A103" s="10">
        <v>46189</v>
      </c>
      <c r="B103" t="s">
        <v>2</v>
      </c>
      <c r="C103">
        <v>264</v>
      </c>
      <c r="D103">
        <v>1</v>
      </c>
    </row>
    <row r="104" spans="1:4" x14ac:dyDescent="0.25">
      <c r="A104" s="10">
        <v>46189</v>
      </c>
      <c r="B104" t="s">
        <v>6</v>
      </c>
      <c r="C104">
        <v>225</v>
      </c>
      <c r="D104">
        <v>2</v>
      </c>
    </row>
    <row r="105" spans="1:4" x14ac:dyDescent="0.25">
      <c r="A105" s="10">
        <v>46189</v>
      </c>
      <c r="B105" t="s">
        <v>7</v>
      </c>
      <c r="C105">
        <v>1</v>
      </c>
      <c r="D105">
        <v>2</v>
      </c>
    </row>
    <row r="106" spans="1:4" x14ac:dyDescent="0.25">
      <c r="A106" s="10">
        <v>46189</v>
      </c>
      <c r="B106" t="s">
        <v>76</v>
      </c>
      <c r="C106">
        <v>16</v>
      </c>
      <c r="D106">
        <v>2</v>
      </c>
    </row>
    <row r="107" spans="1:4" x14ac:dyDescent="0.25">
      <c r="A107" s="10">
        <v>46189</v>
      </c>
      <c r="B107" t="s">
        <v>6</v>
      </c>
      <c r="C107">
        <v>32</v>
      </c>
      <c r="D107">
        <v>2</v>
      </c>
    </row>
    <row r="108" spans="1:4" x14ac:dyDescent="0.25">
      <c r="A108" s="10">
        <v>46189</v>
      </c>
      <c r="B108" t="s">
        <v>2</v>
      </c>
      <c r="C108">
        <v>274</v>
      </c>
      <c r="D108">
        <v>3</v>
      </c>
    </row>
    <row r="109" spans="1:4" x14ac:dyDescent="0.25">
      <c r="A109" s="10">
        <v>46189</v>
      </c>
      <c r="B109" t="s">
        <v>2</v>
      </c>
      <c r="C109">
        <v>274</v>
      </c>
      <c r="D109">
        <v>3</v>
      </c>
    </row>
    <row r="110" spans="1:4" x14ac:dyDescent="0.25">
      <c r="A110" s="10">
        <v>46189</v>
      </c>
      <c r="B110" t="s">
        <v>2</v>
      </c>
      <c r="C110">
        <v>266</v>
      </c>
      <c r="D110">
        <v>3</v>
      </c>
    </row>
    <row r="111" spans="1:4" x14ac:dyDescent="0.25">
      <c r="A111" s="10">
        <v>46189</v>
      </c>
      <c r="B111" t="s">
        <v>2</v>
      </c>
      <c r="C111">
        <v>183</v>
      </c>
      <c r="D111">
        <v>3</v>
      </c>
    </row>
    <row r="112" spans="1:4" x14ac:dyDescent="0.25">
      <c r="A112" s="10">
        <v>46189</v>
      </c>
      <c r="B112" t="s">
        <v>12</v>
      </c>
      <c r="C112">
        <v>2</v>
      </c>
      <c r="D112">
        <v>3</v>
      </c>
    </row>
    <row r="113" spans="1:4" x14ac:dyDescent="0.25">
      <c r="A113" s="10">
        <v>46189</v>
      </c>
      <c r="B113" t="s">
        <v>10</v>
      </c>
      <c r="C113">
        <v>33</v>
      </c>
      <c r="D113">
        <v>3</v>
      </c>
    </row>
    <row r="114" spans="1:4" x14ac:dyDescent="0.25">
      <c r="A114" s="10">
        <v>46189</v>
      </c>
      <c r="B114" t="s">
        <v>10</v>
      </c>
      <c r="C114">
        <v>19</v>
      </c>
      <c r="D114">
        <v>3</v>
      </c>
    </row>
    <row r="115" spans="1:4" x14ac:dyDescent="0.25">
      <c r="A115" s="10">
        <v>46189</v>
      </c>
      <c r="B115" t="s">
        <v>2</v>
      </c>
      <c r="C115">
        <v>210</v>
      </c>
      <c r="D115">
        <v>3</v>
      </c>
    </row>
    <row r="116" spans="1:4" x14ac:dyDescent="0.25">
      <c r="A116" s="10">
        <v>46189</v>
      </c>
      <c r="B116" t="s">
        <v>2</v>
      </c>
      <c r="C116">
        <v>171</v>
      </c>
      <c r="D116">
        <v>3</v>
      </c>
    </row>
    <row r="117" spans="1:4" x14ac:dyDescent="0.25">
      <c r="A117" s="10">
        <v>46189</v>
      </c>
      <c r="B117" t="s">
        <v>77</v>
      </c>
      <c r="C117">
        <v>108</v>
      </c>
      <c r="D117">
        <v>3</v>
      </c>
    </row>
    <row r="118" spans="1:4" x14ac:dyDescent="0.25">
      <c r="A118" s="10">
        <v>46190</v>
      </c>
      <c r="B118" t="s">
        <v>2</v>
      </c>
      <c r="C118">
        <v>184</v>
      </c>
      <c r="D118">
        <v>1</v>
      </c>
    </row>
    <row r="119" spans="1:4" x14ac:dyDescent="0.25">
      <c r="A119" s="10">
        <v>46190</v>
      </c>
      <c r="B119" t="s">
        <v>3</v>
      </c>
      <c r="C119">
        <v>90</v>
      </c>
      <c r="D119">
        <v>1</v>
      </c>
    </row>
    <row r="120" spans="1:4" x14ac:dyDescent="0.25">
      <c r="A120" s="10">
        <v>46190</v>
      </c>
      <c r="B120" t="s">
        <v>6</v>
      </c>
      <c r="C120">
        <v>274</v>
      </c>
      <c r="D120">
        <v>2</v>
      </c>
    </row>
    <row r="121" spans="1:4" x14ac:dyDescent="0.25">
      <c r="A121" s="10">
        <v>46191</v>
      </c>
      <c r="B121" t="s">
        <v>3</v>
      </c>
      <c r="C121">
        <v>9</v>
      </c>
      <c r="D121">
        <v>1</v>
      </c>
    </row>
    <row r="122" spans="1:4" x14ac:dyDescent="0.25">
      <c r="A122" s="10">
        <v>46191</v>
      </c>
      <c r="B122" t="s">
        <v>2</v>
      </c>
      <c r="C122">
        <v>257</v>
      </c>
      <c r="D122">
        <v>1</v>
      </c>
    </row>
    <row r="123" spans="1:4" x14ac:dyDescent="0.25">
      <c r="A123" s="10">
        <v>46191</v>
      </c>
      <c r="B123" t="s">
        <v>6</v>
      </c>
      <c r="C123">
        <v>225</v>
      </c>
      <c r="D123">
        <v>2</v>
      </c>
    </row>
    <row r="124" spans="1:4" x14ac:dyDescent="0.25">
      <c r="A124" s="10">
        <v>46191</v>
      </c>
      <c r="B124" t="s">
        <v>8</v>
      </c>
      <c r="C124">
        <v>1</v>
      </c>
      <c r="D124">
        <v>2</v>
      </c>
    </row>
    <row r="125" spans="1:4" x14ac:dyDescent="0.25">
      <c r="A125" s="10">
        <v>46191</v>
      </c>
      <c r="B125" t="s">
        <v>76</v>
      </c>
      <c r="C125">
        <v>16</v>
      </c>
      <c r="D125">
        <v>2</v>
      </c>
    </row>
    <row r="126" spans="1:4" x14ac:dyDescent="0.25">
      <c r="A126" s="10">
        <v>46191</v>
      </c>
      <c r="B126" t="s">
        <v>85</v>
      </c>
      <c r="C126">
        <v>2</v>
      </c>
      <c r="D126">
        <v>2</v>
      </c>
    </row>
    <row r="127" spans="1:4" x14ac:dyDescent="0.25">
      <c r="A127" s="10">
        <v>46191</v>
      </c>
      <c r="B127" t="s">
        <v>6</v>
      </c>
      <c r="C127">
        <v>23</v>
      </c>
      <c r="D127">
        <v>2</v>
      </c>
    </row>
    <row r="128" spans="1:4" x14ac:dyDescent="0.25">
      <c r="A128" s="10">
        <v>46192</v>
      </c>
      <c r="B128" t="s">
        <v>2</v>
      </c>
      <c r="C128">
        <v>129</v>
      </c>
      <c r="D128">
        <v>1</v>
      </c>
    </row>
    <row r="129" spans="1:4" x14ac:dyDescent="0.25">
      <c r="A129" s="10">
        <v>46192</v>
      </c>
      <c r="B129" t="s">
        <v>374</v>
      </c>
      <c r="C129">
        <v>8</v>
      </c>
      <c r="D129">
        <v>1</v>
      </c>
    </row>
    <row r="130" spans="1:4" x14ac:dyDescent="0.25">
      <c r="A130" s="10">
        <v>46192</v>
      </c>
      <c r="B130" t="s">
        <v>3</v>
      </c>
      <c r="C130">
        <v>83</v>
      </c>
      <c r="D130">
        <v>1</v>
      </c>
    </row>
    <row r="131" spans="1:4" x14ac:dyDescent="0.25">
      <c r="A131" s="10">
        <v>46192</v>
      </c>
      <c r="B131" t="s">
        <v>6</v>
      </c>
      <c r="C131">
        <v>70</v>
      </c>
      <c r="D131">
        <v>2</v>
      </c>
    </row>
    <row r="132" spans="1:4" x14ac:dyDescent="0.25">
      <c r="A132" s="10">
        <v>46192</v>
      </c>
      <c r="B132" t="s">
        <v>94</v>
      </c>
      <c r="C132">
        <v>36</v>
      </c>
      <c r="D132">
        <v>2</v>
      </c>
    </row>
    <row r="133" spans="1:4" x14ac:dyDescent="0.25">
      <c r="A133" s="10">
        <v>46192</v>
      </c>
      <c r="B133" t="s">
        <v>93</v>
      </c>
      <c r="C133">
        <v>7</v>
      </c>
      <c r="D133">
        <v>2</v>
      </c>
    </row>
    <row r="134" spans="1:4" x14ac:dyDescent="0.25">
      <c r="A134" s="10">
        <v>46192</v>
      </c>
      <c r="B134" t="s">
        <v>10</v>
      </c>
      <c r="C134">
        <v>28</v>
      </c>
      <c r="D134">
        <v>2</v>
      </c>
    </row>
    <row r="135" spans="1:4" x14ac:dyDescent="0.25">
      <c r="A135" s="10">
        <v>46192</v>
      </c>
      <c r="B135" t="s">
        <v>12</v>
      </c>
      <c r="C135">
        <v>2</v>
      </c>
      <c r="D135">
        <v>2</v>
      </c>
    </row>
    <row r="136" spans="1:4" x14ac:dyDescent="0.25">
      <c r="A136" s="10">
        <v>46192</v>
      </c>
      <c r="B136" t="s">
        <v>2</v>
      </c>
      <c r="C136">
        <v>78</v>
      </c>
      <c r="D136">
        <v>2</v>
      </c>
    </row>
    <row r="137" spans="1:4" x14ac:dyDescent="0.25">
      <c r="A137" s="10">
        <v>46195</v>
      </c>
      <c r="B137" t="s">
        <v>3</v>
      </c>
      <c r="C137">
        <v>33</v>
      </c>
      <c r="D137">
        <v>1</v>
      </c>
    </row>
    <row r="138" spans="1:4" x14ac:dyDescent="0.25">
      <c r="A138" s="10">
        <v>46195</v>
      </c>
      <c r="B138" t="s">
        <v>75</v>
      </c>
      <c r="C138">
        <v>3</v>
      </c>
      <c r="D138">
        <v>1</v>
      </c>
    </row>
    <row r="139" spans="1:4" x14ac:dyDescent="0.25">
      <c r="A139" s="10">
        <v>46195</v>
      </c>
      <c r="B139" t="s">
        <v>73</v>
      </c>
      <c r="C139">
        <v>4</v>
      </c>
      <c r="D139">
        <v>1</v>
      </c>
    </row>
    <row r="140" spans="1:4" x14ac:dyDescent="0.25">
      <c r="A140" s="10">
        <v>46195</v>
      </c>
      <c r="B140" t="s">
        <v>368</v>
      </c>
      <c r="C140">
        <v>2</v>
      </c>
      <c r="D140">
        <v>1</v>
      </c>
    </row>
    <row r="141" spans="1:4" x14ac:dyDescent="0.25">
      <c r="A141" s="10">
        <v>46195</v>
      </c>
      <c r="B141" t="s">
        <v>6</v>
      </c>
      <c r="C141">
        <v>189</v>
      </c>
      <c r="D141">
        <v>1</v>
      </c>
    </row>
    <row r="142" spans="1:4" x14ac:dyDescent="0.25">
      <c r="A142" s="10">
        <v>46195</v>
      </c>
      <c r="B142" t="s">
        <v>2</v>
      </c>
      <c r="C142">
        <v>74</v>
      </c>
      <c r="D142">
        <v>2</v>
      </c>
    </row>
    <row r="143" spans="1:4" x14ac:dyDescent="0.25">
      <c r="A143" s="10">
        <v>46195</v>
      </c>
      <c r="B143" t="s">
        <v>3</v>
      </c>
      <c r="C143">
        <v>76</v>
      </c>
      <c r="D143">
        <v>2</v>
      </c>
    </row>
    <row r="144" spans="1:4" x14ac:dyDescent="0.25">
      <c r="A144" s="10">
        <v>46195</v>
      </c>
      <c r="B144" t="s">
        <v>98</v>
      </c>
      <c r="C144">
        <v>6</v>
      </c>
      <c r="D144">
        <v>2</v>
      </c>
    </row>
    <row r="145" spans="1:4" x14ac:dyDescent="0.25">
      <c r="A145" s="10">
        <v>46195</v>
      </c>
      <c r="B145" t="s">
        <v>9</v>
      </c>
      <c r="C145">
        <v>15</v>
      </c>
      <c r="D145">
        <v>2</v>
      </c>
    </row>
    <row r="146" spans="1:4" x14ac:dyDescent="0.25">
      <c r="A146" s="10">
        <v>46195</v>
      </c>
      <c r="B146" t="s">
        <v>76</v>
      </c>
      <c r="C146">
        <v>32</v>
      </c>
      <c r="D146">
        <v>2</v>
      </c>
    </row>
    <row r="147" spans="1:4" x14ac:dyDescent="0.25">
      <c r="A147" s="10">
        <v>46195</v>
      </c>
      <c r="B147" t="s">
        <v>2</v>
      </c>
      <c r="C147">
        <v>26</v>
      </c>
      <c r="D147">
        <v>2</v>
      </c>
    </row>
    <row r="148" spans="1:4" x14ac:dyDescent="0.25">
      <c r="A148" s="10">
        <v>46196</v>
      </c>
      <c r="B148" t="s">
        <v>6</v>
      </c>
      <c r="C148">
        <v>121</v>
      </c>
      <c r="D148">
        <v>1</v>
      </c>
    </row>
    <row r="149" spans="1:4" x14ac:dyDescent="0.25">
      <c r="A149" s="10">
        <v>46196</v>
      </c>
      <c r="B149" t="s">
        <v>3</v>
      </c>
      <c r="C149">
        <v>65</v>
      </c>
      <c r="D149">
        <v>1</v>
      </c>
    </row>
    <row r="150" spans="1:4" x14ac:dyDescent="0.25">
      <c r="A150" s="10">
        <v>46196</v>
      </c>
      <c r="B150" t="s">
        <v>74</v>
      </c>
      <c r="C150">
        <v>59</v>
      </c>
      <c r="D150">
        <v>1</v>
      </c>
    </row>
    <row r="151" spans="1:4" x14ac:dyDescent="0.25">
      <c r="A151" s="10">
        <v>46196</v>
      </c>
      <c r="B151" t="s">
        <v>6</v>
      </c>
      <c r="C151">
        <v>34</v>
      </c>
      <c r="D151">
        <v>1</v>
      </c>
    </row>
    <row r="152" spans="1:4" x14ac:dyDescent="0.25">
      <c r="A152" s="10">
        <v>46196</v>
      </c>
      <c r="B152" t="s">
        <v>2</v>
      </c>
      <c r="C152">
        <v>137</v>
      </c>
      <c r="D152">
        <v>2</v>
      </c>
    </row>
    <row r="153" spans="1:4" x14ac:dyDescent="0.25">
      <c r="A153" s="10">
        <v>46196</v>
      </c>
      <c r="B153" t="s">
        <v>3</v>
      </c>
      <c r="C153">
        <v>76</v>
      </c>
      <c r="D153">
        <v>2</v>
      </c>
    </row>
    <row r="154" spans="1:4" x14ac:dyDescent="0.25">
      <c r="A154" s="10">
        <v>46196</v>
      </c>
      <c r="B154" t="s">
        <v>11</v>
      </c>
      <c r="C154">
        <v>4</v>
      </c>
      <c r="D154">
        <v>2</v>
      </c>
    </row>
    <row r="155" spans="1:4" x14ac:dyDescent="0.25">
      <c r="A155" s="10">
        <v>46196</v>
      </c>
      <c r="B155" t="s">
        <v>9</v>
      </c>
      <c r="C155">
        <v>15</v>
      </c>
      <c r="D155">
        <v>2</v>
      </c>
    </row>
    <row r="156" spans="1:4" x14ac:dyDescent="0.25">
      <c r="A156" s="10">
        <v>46196</v>
      </c>
      <c r="B156" t="s">
        <v>98</v>
      </c>
      <c r="C156">
        <v>13</v>
      </c>
      <c r="D156">
        <v>2</v>
      </c>
    </row>
    <row r="157" spans="1:4" x14ac:dyDescent="0.25">
      <c r="A157" s="10">
        <v>46196</v>
      </c>
      <c r="B157" t="s">
        <v>2</v>
      </c>
      <c r="C157">
        <v>34</v>
      </c>
      <c r="D157">
        <v>2</v>
      </c>
    </row>
    <row r="158" spans="1:4" x14ac:dyDescent="0.25">
      <c r="A158" s="10">
        <v>46197</v>
      </c>
      <c r="B158" t="s">
        <v>6</v>
      </c>
      <c r="C158">
        <v>168</v>
      </c>
      <c r="D158">
        <v>1</v>
      </c>
    </row>
    <row r="159" spans="1:4" x14ac:dyDescent="0.25">
      <c r="A159" s="10">
        <v>46197</v>
      </c>
      <c r="B159" t="s">
        <v>374</v>
      </c>
      <c r="C159">
        <v>1</v>
      </c>
      <c r="D159">
        <v>1</v>
      </c>
    </row>
    <row r="160" spans="1:4" x14ac:dyDescent="0.25">
      <c r="A160" s="10">
        <v>46197</v>
      </c>
      <c r="B160" t="s">
        <v>3</v>
      </c>
      <c r="C160">
        <v>98</v>
      </c>
      <c r="D160">
        <v>1</v>
      </c>
    </row>
    <row r="161" spans="1:4" x14ac:dyDescent="0.25">
      <c r="A161" s="10">
        <v>46197</v>
      </c>
      <c r="B161" t="s">
        <v>2</v>
      </c>
      <c r="C161">
        <v>127</v>
      </c>
      <c r="D161">
        <v>2</v>
      </c>
    </row>
    <row r="162" spans="1:4" x14ac:dyDescent="0.25">
      <c r="A162" s="10">
        <v>46197</v>
      </c>
      <c r="B162" t="s">
        <v>9</v>
      </c>
      <c r="C162">
        <v>15</v>
      </c>
      <c r="D162">
        <v>2</v>
      </c>
    </row>
    <row r="163" spans="1:4" x14ac:dyDescent="0.25">
      <c r="A163" s="10">
        <v>46197</v>
      </c>
      <c r="B163" t="s">
        <v>76</v>
      </c>
      <c r="C163">
        <v>16</v>
      </c>
      <c r="D163">
        <v>2</v>
      </c>
    </row>
    <row r="164" spans="1:4" x14ac:dyDescent="0.25">
      <c r="A164" s="10">
        <v>46197</v>
      </c>
      <c r="B164" t="s">
        <v>3</v>
      </c>
      <c r="C164">
        <v>109</v>
      </c>
      <c r="D164">
        <v>2</v>
      </c>
    </row>
    <row r="165" spans="1:4" x14ac:dyDescent="0.25">
      <c r="A165" s="10">
        <v>46197</v>
      </c>
      <c r="B165" t="s">
        <v>77</v>
      </c>
      <c r="C165">
        <v>217</v>
      </c>
      <c r="D165">
        <v>3</v>
      </c>
    </row>
    <row r="166" spans="1:4" x14ac:dyDescent="0.25">
      <c r="A166" s="10">
        <v>46197</v>
      </c>
      <c r="B166" t="s">
        <v>2</v>
      </c>
      <c r="C166">
        <v>50</v>
      </c>
      <c r="D166">
        <v>3</v>
      </c>
    </row>
    <row r="167" spans="1:4" x14ac:dyDescent="0.25">
      <c r="A167" s="10">
        <v>46197</v>
      </c>
      <c r="B167" t="s">
        <v>2</v>
      </c>
      <c r="C167">
        <v>63</v>
      </c>
      <c r="D167">
        <v>3</v>
      </c>
    </row>
    <row r="168" spans="1:4" x14ac:dyDescent="0.25">
      <c r="A168" s="10">
        <v>46197</v>
      </c>
      <c r="B168" t="s">
        <v>77</v>
      </c>
      <c r="C168">
        <v>124</v>
      </c>
      <c r="D168">
        <v>3</v>
      </c>
    </row>
    <row r="169" spans="1:4" x14ac:dyDescent="0.25">
      <c r="A169" s="10">
        <v>46197</v>
      </c>
      <c r="B169" t="s">
        <v>86</v>
      </c>
      <c r="C169">
        <v>31</v>
      </c>
      <c r="D169">
        <v>3</v>
      </c>
    </row>
    <row r="170" spans="1:4" x14ac:dyDescent="0.25">
      <c r="A170" s="10">
        <v>46197</v>
      </c>
      <c r="B170" t="s">
        <v>86</v>
      </c>
      <c r="C170">
        <v>58</v>
      </c>
      <c r="D170">
        <v>3</v>
      </c>
    </row>
    <row r="171" spans="1:4" x14ac:dyDescent="0.25">
      <c r="A171" s="10">
        <v>46197</v>
      </c>
      <c r="B171" t="s">
        <v>93</v>
      </c>
      <c r="C171">
        <v>10</v>
      </c>
      <c r="D171">
        <v>3</v>
      </c>
    </row>
    <row r="172" spans="1:4" x14ac:dyDescent="0.25">
      <c r="A172" s="10">
        <v>46197</v>
      </c>
      <c r="B172" t="s">
        <v>12</v>
      </c>
      <c r="C172">
        <v>10</v>
      </c>
      <c r="D172">
        <v>3</v>
      </c>
    </row>
    <row r="173" spans="1:4" x14ac:dyDescent="0.25">
      <c r="A173" s="10">
        <v>46197</v>
      </c>
      <c r="B173" t="s">
        <v>2</v>
      </c>
      <c r="C173">
        <v>135</v>
      </c>
      <c r="D173">
        <v>3</v>
      </c>
    </row>
    <row r="174" spans="1:4" x14ac:dyDescent="0.25">
      <c r="A174" s="10">
        <v>46197</v>
      </c>
      <c r="B174" t="s">
        <v>2</v>
      </c>
      <c r="C174">
        <v>168</v>
      </c>
      <c r="D174">
        <v>3</v>
      </c>
    </row>
    <row r="175" spans="1:4" x14ac:dyDescent="0.25">
      <c r="A175" s="10">
        <v>46197</v>
      </c>
      <c r="B175" t="s">
        <v>10</v>
      </c>
      <c r="C175">
        <v>19</v>
      </c>
      <c r="D175">
        <v>3</v>
      </c>
    </row>
    <row r="176" spans="1:4" x14ac:dyDescent="0.25">
      <c r="A176" s="10">
        <v>46197</v>
      </c>
      <c r="B176" t="s">
        <v>2</v>
      </c>
      <c r="C176">
        <v>38</v>
      </c>
      <c r="D176">
        <v>3</v>
      </c>
    </row>
    <row r="177" spans="1:4" x14ac:dyDescent="0.25">
      <c r="A177" s="10">
        <v>46198</v>
      </c>
      <c r="B177" t="s">
        <v>3</v>
      </c>
      <c r="C177">
        <v>32</v>
      </c>
      <c r="D177">
        <v>1</v>
      </c>
    </row>
    <row r="178" spans="1:4" x14ac:dyDescent="0.25">
      <c r="A178" s="10">
        <v>46198</v>
      </c>
      <c r="B178" t="s">
        <v>6</v>
      </c>
      <c r="C178">
        <v>187</v>
      </c>
      <c r="D178">
        <v>1</v>
      </c>
    </row>
    <row r="179" spans="1:4" x14ac:dyDescent="0.25">
      <c r="A179" s="10">
        <v>46198</v>
      </c>
      <c r="B179" t="s">
        <v>3</v>
      </c>
      <c r="C179">
        <v>43</v>
      </c>
      <c r="D179">
        <v>2</v>
      </c>
    </row>
    <row r="180" spans="1:4" x14ac:dyDescent="0.25">
      <c r="A180" s="10">
        <v>46198</v>
      </c>
      <c r="B180" t="s">
        <v>2</v>
      </c>
      <c r="C180">
        <v>84</v>
      </c>
      <c r="D180">
        <v>2</v>
      </c>
    </row>
    <row r="181" spans="1:4" x14ac:dyDescent="0.25">
      <c r="A181" s="10">
        <v>46198</v>
      </c>
      <c r="B181" t="s">
        <v>76</v>
      </c>
      <c r="C181">
        <v>16</v>
      </c>
      <c r="D181">
        <v>2</v>
      </c>
    </row>
    <row r="182" spans="1:4" x14ac:dyDescent="0.25">
      <c r="A182" s="10">
        <v>46198</v>
      </c>
      <c r="B182" t="s">
        <v>8</v>
      </c>
      <c r="C182">
        <v>2</v>
      </c>
      <c r="D182">
        <v>2</v>
      </c>
    </row>
    <row r="183" spans="1:4" x14ac:dyDescent="0.25">
      <c r="A183" s="10">
        <v>46198</v>
      </c>
      <c r="B183" t="s">
        <v>7</v>
      </c>
      <c r="C183">
        <v>21</v>
      </c>
      <c r="D183">
        <v>2</v>
      </c>
    </row>
    <row r="184" spans="1:4" x14ac:dyDescent="0.25">
      <c r="A184" s="10">
        <v>46198</v>
      </c>
      <c r="B184" t="s">
        <v>98</v>
      </c>
      <c r="C184">
        <v>6</v>
      </c>
      <c r="D184">
        <v>2</v>
      </c>
    </row>
    <row r="185" spans="1:4" x14ac:dyDescent="0.25">
      <c r="A185" s="10">
        <v>46198</v>
      </c>
      <c r="B185" t="s">
        <v>9</v>
      </c>
      <c r="C185">
        <v>30</v>
      </c>
      <c r="D185">
        <v>2</v>
      </c>
    </row>
    <row r="186" spans="1:4" x14ac:dyDescent="0.25">
      <c r="A186" s="10">
        <v>46198</v>
      </c>
      <c r="B186" t="s">
        <v>2</v>
      </c>
      <c r="C186">
        <v>18</v>
      </c>
      <c r="D186">
        <v>2</v>
      </c>
    </row>
    <row r="187" spans="1:4" x14ac:dyDescent="0.25">
      <c r="A187" s="10">
        <v>46199</v>
      </c>
      <c r="B187" t="s">
        <v>6</v>
      </c>
      <c r="C187">
        <v>117</v>
      </c>
      <c r="D187">
        <v>1</v>
      </c>
    </row>
    <row r="188" spans="1:4" x14ac:dyDescent="0.25">
      <c r="A188" s="10">
        <v>46199</v>
      </c>
      <c r="B188" t="s">
        <v>3</v>
      </c>
      <c r="C188">
        <v>98</v>
      </c>
      <c r="D188">
        <v>1</v>
      </c>
    </row>
    <row r="189" spans="1:4" x14ac:dyDescent="0.25">
      <c r="A189" s="10">
        <v>46199</v>
      </c>
      <c r="B189" t="s">
        <v>2</v>
      </c>
      <c r="C189">
        <v>48</v>
      </c>
      <c r="D189">
        <v>2</v>
      </c>
    </row>
    <row r="190" spans="1:4" x14ac:dyDescent="0.25">
      <c r="A190" s="10">
        <v>46199</v>
      </c>
      <c r="B190" t="s">
        <v>94</v>
      </c>
      <c r="C190">
        <v>35</v>
      </c>
      <c r="D190">
        <v>2</v>
      </c>
    </row>
    <row r="191" spans="1:4" x14ac:dyDescent="0.25">
      <c r="A191" s="10">
        <v>46199</v>
      </c>
      <c r="B191" t="s">
        <v>98</v>
      </c>
      <c r="C191">
        <v>6</v>
      </c>
      <c r="D191">
        <v>2</v>
      </c>
    </row>
    <row r="192" spans="1:4" x14ac:dyDescent="0.25">
      <c r="A192" s="10">
        <v>46199</v>
      </c>
      <c r="B192" t="s">
        <v>3</v>
      </c>
      <c r="C192">
        <v>76</v>
      </c>
      <c r="D192">
        <v>2</v>
      </c>
    </row>
    <row r="193" spans="1:4" x14ac:dyDescent="0.25">
      <c r="A193" s="10">
        <v>46199</v>
      </c>
      <c r="B193" t="s">
        <v>12</v>
      </c>
      <c r="C193">
        <v>10</v>
      </c>
      <c r="D193">
        <v>2</v>
      </c>
    </row>
    <row r="194" spans="1:4" x14ac:dyDescent="0.25">
      <c r="A194" s="10">
        <v>46199</v>
      </c>
      <c r="B194" t="s">
        <v>76</v>
      </c>
      <c r="C194">
        <v>49</v>
      </c>
      <c r="D194">
        <v>2</v>
      </c>
    </row>
    <row r="195" spans="1:4" x14ac:dyDescent="0.25">
      <c r="A195" s="10">
        <v>46202</v>
      </c>
      <c r="B195" t="s">
        <v>3</v>
      </c>
      <c r="C195">
        <v>60</v>
      </c>
      <c r="D195">
        <v>1</v>
      </c>
    </row>
    <row r="196" spans="1:4" x14ac:dyDescent="0.25">
      <c r="A196" s="10">
        <v>46202</v>
      </c>
      <c r="B196" t="s">
        <v>75</v>
      </c>
      <c r="C196">
        <v>5</v>
      </c>
      <c r="D196">
        <v>1</v>
      </c>
    </row>
    <row r="197" spans="1:4" x14ac:dyDescent="0.25">
      <c r="A197" s="10">
        <v>46202</v>
      </c>
      <c r="B197" t="s">
        <v>73</v>
      </c>
      <c r="C197">
        <v>6</v>
      </c>
      <c r="D197">
        <v>1</v>
      </c>
    </row>
    <row r="198" spans="1:4" x14ac:dyDescent="0.25">
      <c r="A198" s="10">
        <v>46202</v>
      </c>
      <c r="B198" t="s">
        <v>74</v>
      </c>
      <c r="C198">
        <v>82</v>
      </c>
      <c r="D198">
        <v>1</v>
      </c>
    </row>
    <row r="199" spans="1:4" x14ac:dyDescent="0.25">
      <c r="A199" s="10">
        <v>46202</v>
      </c>
      <c r="B199" t="s">
        <v>69</v>
      </c>
      <c r="C199">
        <v>1</v>
      </c>
      <c r="D199">
        <v>1</v>
      </c>
    </row>
    <row r="200" spans="1:4" x14ac:dyDescent="0.25">
      <c r="A200" s="10">
        <v>46202</v>
      </c>
      <c r="B200" t="s">
        <v>368</v>
      </c>
      <c r="C200">
        <v>1</v>
      </c>
      <c r="D200">
        <v>1</v>
      </c>
    </row>
    <row r="201" spans="1:4" x14ac:dyDescent="0.25">
      <c r="A201" s="10">
        <v>46202</v>
      </c>
      <c r="B201" t="s">
        <v>6</v>
      </c>
      <c r="C201">
        <v>71</v>
      </c>
      <c r="D201">
        <v>1</v>
      </c>
    </row>
    <row r="202" spans="1:4" x14ac:dyDescent="0.25">
      <c r="A202" s="10">
        <v>46202</v>
      </c>
      <c r="B202" t="s">
        <v>76</v>
      </c>
      <c r="C202">
        <v>12</v>
      </c>
      <c r="D202">
        <v>2</v>
      </c>
    </row>
    <row r="203" spans="1:4" x14ac:dyDescent="0.25">
      <c r="A203" s="10">
        <v>46202</v>
      </c>
      <c r="B203" t="s">
        <v>3</v>
      </c>
      <c r="C203">
        <v>61</v>
      </c>
      <c r="D203">
        <v>2</v>
      </c>
    </row>
    <row r="204" spans="1:4" x14ac:dyDescent="0.25">
      <c r="A204" s="10">
        <v>46202</v>
      </c>
      <c r="B204" t="s">
        <v>98</v>
      </c>
      <c r="C204">
        <v>11</v>
      </c>
      <c r="D204">
        <v>2</v>
      </c>
    </row>
    <row r="205" spans="1:4" x14ac:dyDescent="0.25">
      <c r="A205" s="10">
        <v>46202</v>
      </c>
      <c r="B205" t="s">
        <v>9</v>
      </c>
      <c r="C205">
        <v>43</v>
      </c>
      <c r="D205">
        <v>2</v>
      </c>
    </row>
    <row r="206" spans="1:4" x14ac:dyDescent="0.25">
      <c r="A206" s="10">
        <v>46202</v>
      </c>
      <c r="B206" t="s">
        <v>85</v>
      </c>
      <c r="C206">
        <v>17</v>
      </c>
      <c r="D206">
        <v>2</v>
      </c>
    </row>
    <row r="207" spans="1:4" x14ac:dyDescent="0.25">
      <c r="A207" s="10">
        <v>46202</v>
      </c>
      <c r="B207" t="s">
        <v>2</v>
      </c>
      <c r="C207">
        <v>81</v>
      </c>
      <c r="D207">
        <v>2</v>
      </c>
    </row>
    <row r="208" spans="1:4" x14ac:dyDescent="0.25">
      <c r="A208" s="10">
        <v>46203</v>
      </c>
      <c r="B208" t="s">
        <v>6</v>
      </c>
      <c r="C208">
        <v>118</v>
      </c>
      <c r="D208">
        <v>1</v>
      </c>
    </row>
    <row r="209" spans="1:4" x14ac:dyDescent="0.25">
      <c r="A209" s="10">
        <v>46203</v>
      </c>
      <c r="B209" t="s">
        <v>374</v>
      </c>
      <c r="C209">
        <v>5</v>
      </c>
      <c r="D209">
        <v>1</v>
      </c>
    </row>
    <row r="210" spans="1:4" x14ac:dyDescent="0.25">
      <c r="A210" s="10">
        <v>46203</v>
      </c>
      <c r="B210" t="s">
        <v>3</v>
      </c>
      <c r="C210">
        <v>133</v>
      </c>
      <c r="D210">
        <v>1</v>
      </c>
    </row>
    <row r="211" spans="1:4" x14ac:dyDescent="0.25">
      <c r="A211" s="10">
        <v>46203</v>
      </c>
      <c r="B211" t="s">
        <v>2</v>
      </c>
      <c r="C211">
        <v>34</v>
      </c>
      <c r="D211">
        <v>2</v>
      </c>
    </row>
    <row r="212" spans="1:4" x14ac:dyDescent="0.25">
      <c r="A212" s="10">
        <v>46203</v>
      </c>
      <c r="B212" t="s">
        <v>3</v>
      </c>
      <c r="C212">
        <v>61</v>
      </c>
      <c r="D212">
        <v>2</v>
      </c>
    </row>
    <row r="213" spans="1:4" x14ac:dyDescent="0.25">
      <c r="A213" s="10">
        <v>46203</v>
      </c>
      <c r="B213" t="s">
        <v>11</v>
      </c>
      <c r="C213">
        <v>5</v>
      </c>
      <c r="D213">
        <v>2</v>
      </c>
    </row>
    <row r="214" spans="1:4" x14ac:dyDescent="0.25">
      <c r="A214" s="10">
        <v>46203</v>
      </c>
      <c r="B214" t="s">
        <v>76</v>
      </c>
      <c r="C214">
        <v>45</v>
      </c>
      <c r="D214">
        <v>2</v>
      </c>
    </row>
    <row r="215" spans="1:4" x14ac:dyDescent="0.25">
      <c r="A215" s="10">
        <v>46203</v>
      </c>
      <c r="B215" t="s">
        <v>98</v>
      </c>
      <c r="C215">
        <v>11</v>
      </c>
      <c r="D215">
        <v>2</v>
      </c>
    </row>
    <row r="216" spans="1:4" x14ac:dyDescent="0.25">
      <c r="A216" s="10">
        <v>46203</v>
      </c>
      <c r="B216" t="s">
        <v>85</v>
      </c>
      <c r="C216">
        <v>17</v>
      </c>
      <c r="D216">
        <v>2</v>
      </c>
    </row>
    <row r="217" spans="1:4" x14ac:dyDescent="0.25">
      <c r="A217" s="10">
        <v>46203</v>
      </c>
      <c r="B217" t="s">
        <v>9</v>
      </c>
      <c r="C217">
        <v>83</v>
      </c>
      <c r="D217">
        <v>2</v>
      </c>
    </row>
    <row r="218" spans="1:4" x14ac:dyDescent="0.25">
      <c r="A218" s="10">
        <v>46203</v>
      </c>
      <c r="B218" t="s">
        <v>2</v>
      </c>
      <c r="C218">
        <v>256</v>
      </c>
      <c r="D218">
        <v>3</v>
      </c>
    </row>
    <row r="219" spans="1:4" x14ac:dyDescent="0.25">
      <c r="A219" s="10">
        <v>46203</v>
      </c>
      <c r="B219" t="s">
        <v>2</v>
      </c>
      <c r="C219">
        <v>265</v>
      </c>
      <c r="D219">
        <v>3</v>
      </c>
    </row>
    <row r="220" spans="1:4" x14ac:dyDescent="0.25">
      <c r="A220" s="10">
        <v>46203</v>
      </c>
      <c r="B220" t="s">
        <v>2</v>
      </c>
      <c r="C220">
        <v>182</v>
      </c>
      <c r="D220">
        <v>3</v>
      </c>
    </row>
    <row r="221" spans="1:4" x14ac:dyDescent="0.25">
      <c r="A221" s="10">
        <v>46203</v>
      </c>
      <c r="B221" t="s">
        <v>86</v>
      </c>
      <c r="C221">
        <v>60</v>
      </c>
      <c r="D221">
        <v>3</v>
      </c>
    </row>
    <row r="222" spans="1:4" x14ac:dyDescent="0.25">
      <c r="A222" s="10">
        <v>46203</v>
      </c>
      <c r="B222" t="s">
        <v>86</v>
      </c>
      <c r="C222">
        <v>80</v>
      </c>
      <c r="D222">
        <v>3</v>
      </c>
    </row>
    <row r="223" spans="1:4" x14ac:dyDescent="0.25">
      <c r="A223" s="10">
        <v>46203</v>
      </c>
      <c r="B223" t="s">
        <v>88</v>
      </c>
      <c r="C223">
        <v>36</v>
      </c>
      <c r="D223">
        <v>3</v>
      </c>
    </row>
    <row r="224" spans="1:4" x14ac:dyDescent="0.25">
      <c r="A224" s="10">
        <v>46203</v>
      </c>
      <c r="B224" t="s">
        <v>93</v>
      </c>
      <c r="C224">
        <v>5</v>
      </c>
      <c r="D224">
        <v>3</v>
      </c>
    </row>
    <row r="225" spans="1:4" x14ac:dyDescent="0.25">
      <c r="A225" s="10">
        <v>46203</v>
      </c>
      <c r="B225" t="s">
        <v>12</v>
      </c>
      <c r="C225">
        <v>4</v>
      </c>
      <c r="D225">
        <v>3</v>
      </c>
    </row>
    <row r="226" spans="1:4" x14ac:dyDescent="0.25">
      <c r="A226" s="10">
        <v>46203</v>
      </c>
      <c r="B226" t="s">
        <v>2</v>
      </c>
      <c r="C226">
        <v>90</v>
      </c>
      <c r="D226">
        <v>3</v>
      </c>
    </row>
    <row r="227" spans="1:4" x14ac:dyDescent="0.25">
      <c r="A227" s="10">
        <v>46204</v>
      </c>
      <c r="B227" t="s">
        <v>3</v>
      </c>
      <c r="C227">
        <v>53</v>
      </c>
      <c r="D227">
        <v>1</v>
      </c>
    </row>
    <row r="228" spans="1:4" x14ac:dyDescent="0.25">
      <c r="A228" s="10">
        <v>46204</v>
      </c>
      <c r="B228" t="s">
        <v>6</v>
      </c>
      <c r="C228">
        <v>212</v>
      </c>
      <c r="D228">
        <v>1</v>
      </c>
    </row>
    <row r="229" spans="1:4" x14ac:dyDescent="0.25">
      <c r="A229" s="10">
        <v>46205</v>
      </c>
      <c r="B229" t="s">
        <v>6</v>
      </c>
      <c r="C229">
        <v>117</v>
      </c>
      <c r="D229">
        <v>1</v>
      </c>
    </row>
    <row r="230" spans="1:4" x14ac:dyDescent="0.25">
      <c r="A230" s="10">
        <v>46205</v>
      </c>
      <c r="B230" t="s">
        <v>3</v>
      </c>
      <c r="C230">
        <v>125</v>
      </c>
      <c r="D230">
        <v>1</v>
      </c>
    </row>
    <row r="231" spans="1:4" x14ac:dyDescent="0.25">
      <c r="A231" s="10">
        <v>46206</v>
      </c>
      <c r="B231" t="s">
        <v>3</v>
      </c>
      <c r="C231">
        <v>60</v>
      </c>
      <c r="D231">
        <v>1</v>
      </c>
    </row>
    <row r="232" spans="1:4" x14ac:dyDescent="0.25">
      <c r="A232" s="10">
        <v>46206</v>
      </c>
      <c r="B232" t="s">
        <v>6</v>
      </c>
      <c r="C232">
        <v>123</v>
      </c>
      <c r="D232">
        <v>1</v>
      </c>
    </row>
    <row r="233" spans="1:4" x14ac:dyDescent="0.25">
      <c r="A233" s="10">
        <v>46206</v>
      </c>
      <c r="B233" t="s">
        <v>69</v>
      </c>
      <c r="C233">
        <v>33</v>
      </c>
      <c r="D233">
        <v>1</v>
      </c>
    </row>
    <row r="234" spans="1:4" x14ac:dyDescent="0.25">
      <c r="A234" s="10"/>
    </row>
    <row r="235" spans="1:4" x14ac:dyDescent="0.25">
      <c r="A235" s="10"/>
    </row>
    <row r="236" spans="1:4" x14ac:dyDescent="0.25">
      <c r="A236" s="10"/>
    </row>
    <row r="237" spans="1:4" x14ac:dyDescent="0.25">
      <c r="A237" s="10"/>
    </row>
    <row r="238" spans="1:4" x14ac:dyDescent="0.25">
      <c r="A238" s="10"/>
    </row>
    <row r="239" spans="1:4" x14ac:dyDescent="0.25">
      <c r="A239" s="10"/>
    </row>
    <row r="240" spans="1:4" x14ac:dyDescent="0.25">
      <c r="A240" s="10"/>
    </row>
    <row r="241" spans="1:1" x14ac:dyDescent="0.25">
      <c r="A241" s="10"/>
    </row>
    <row r="242" spans="1:1" x14ac:dyDescent="0.25">
      <c r="A242" s="10"/>
    </row>
    <row r="243" spans="1:1" x14ac:dyDescent="0.25">
      <c r="A243" s="10"/>
    </row>
    <row r="244" spans="1:1" x14ac:dyDescent="0.25">
      <c r="A244" s="10"/>
    </row>
    <row r="245" spans="1:1" x14ac:dyDescent="0.25">
      <c r="A245" s="10"/>
    </row>
    <row r="246" spans="1:1" x14ac:dyDescent="0.25">
      <c r="A246" s="10"/>
    </row>
    <row r="247" spans="1:1" x14ac:dyDescent="0.25">
      <c r="A247" s="10"/>
    </row>
    <row r="248" spans="1:1" x14ac:dyDescent="0.25">
      <c r="A248" s="10"/>
    </row>
    <row r="249" spans="1:1" x14ac:dyDescent="0.25">
      <c r="A249" s="10"/>
    </row>
    <row r="250" spans="1:1" x14ac:dyDescent="0.25">
      <c r="A250" s="10"/>
    </row>
    <row r="251" spans="1:1" x14ac:dyDescent="0.25">
      <c r="A251" s="10"/>
    </row>
    <row r="252" spans="1:1" x14ac:dyDescent="0.25">
      <c r="A252" s="10"/>
    </row>
    <row r="253" spans="1:1" x14ac:dyDescent="0.25">
      <c r="A253" s="10"/>
    </row>
    <row r="254" spans="1:1" x14ac:dyDescent="0.25">
      <c r="A254" s="10"/>
    </row>
    <row r="255" spans="1:1" x14ac:dyDescent="0.25">
      <c r="A255" s="10"/>
    </row>
    <row r="256" spans="1:1" x14ac:dyDescent="0.25">
      <c r="A256" s="10"/>
    </row>
    <row r="257" spans="1:1" x14ac:dyDescent="0.25">
      <c r="A257" s="10"/>
    </row>
    <row r="258" spans="1:1" x14ac:dyDescent="0.25">
      <c r="A258" s="10"/>
    </row>
    <row r="259" spans="1:1" x14ac:dyDescent="0.25">
      <c r="A259" s="10"/>
    </row>
    <row r="260" spans="1:1" x14ac:dyDescent="0.25">
      <c r="A260" s="10"/>
    </row>
    <row r="261" spans="1:1" x14ac:dyDescent="0.25">
      <c r="A261" s="10"/>
    </row>
    <row r="262" spans="1:1" x14ac:dyDescent="0.25">
      <c r="A262" s="10"/>
    </row>
    <row r="263" spans="1:1" x14ac:dyDescent="0.25">
      <c r="A263" s="10"/>
    </row>
    <row r="264" spans="1:1" x14ac:dyDescent="0.25">
      <c r="A264" s="10"/>
    </row>
    <row r="265" spans="1:1" x14ac:dyDescent="0.25">
      <c r="A265" s="10"/>
    </row>
    <row r="266" spans="1:1" x14ac:dyDescent="0.25">
      <c r="A266" s="10"/>
    </row>
    <row r="267" spans="1:1" x14ac:dyDescent="0.25">
      <c r="A267" s="10"/>
    </row>
    <row r="268" spans="1:1" x14ac:dyDescent="0.25">
      <c r="A268" s="10"/>
    </row>
    <row r="269" spans="1:1" x14ac:dyDescent="0.25">
      <c r="A269" s="10"/>
    </row>
    <row r="270" spans="1:1" x14ac:dyDescent="0.25">
      <c r="A270" s="10"/>
    </row>
    <row r="271" spans="1:1" x14ac:dyDescent="0.25">
      <c r="A271" s="10"/>
    </row>
    <row r="272" spans="1:1" x14ac:dyDescent="0.25">
      <c r="A272" s="10"/>
    </row>
    <row r="273" spans="1:1" x14ac:dyDescent="0.25">
      <c r="A273" s="10"/>
    </row>
    <row r="274" spans="1:1" x14ac:dyDescent="0.25">
      <c r="A274" s="10"/>
    </row>
    <row r="275" spans="1:1" x14ac:dyDescent="0.25">
      <c r="A275" s="10"/>
    </row>
    <row r="276" spans="1:1" x14ac:dyDescent="0.25">
      <c r="A276" s="10"/>
    </row>
    <row r="277" spans="1:1" x14ac:dyDescent="0.25">
      <c r="A277" s="10"/>
    </row>
    <row r="278" spans="1:1" x14ac:dyDescent="0.25">
      <c r="A278" s="10"/>
    </row>
    <row r="279" spans="1:1" x14ac:dyDescent="0.25">
      <c r="A279" s="10"/>
    </row>
    <row r="280" spans="1:1" x14ac:dyDescent="0.25">
      <c r="A280" s="10"/>
    </row>
    <row r="281" spans="1:1" x14ac:dyDescent="0.25">
      <c r="A281" s="10"/>
    </row>
    <row r="282" spans="1:1" x14ac:dyDescent="0.25">
      <c r="A282" s="10"/>
    </row>
    <row r="283" spans="1:1" x14ac:dyDescent="0.25">
      <c r="A283" s="10"/>
    </row>
    <row r="284" spans="1:1" x14ac:dyDescent="0.25">
      <c r="A284" s="10"/>
    </row>
    <row r="285" spans="1:1" x14ac:dyDescent="0.25">
      <c r="A285" s="10"/>
    </row>
    <row r="286" spans="1:1" x14ac:dyDescent="0.25">
      <c r="A286" s="10"/>
    </row>
    <row r="287" spans="1:1" x14ac:dyDescent="0.25">
      <c r="A287" s="10"/>
    </row>
    <row r="288" spans="1:1" x14ac:dyDescent="0.25">
      <c r="A288" s="10"/>
    </row>
    <row r="289" spans="1:1" x14ac:dyDescent="0.25">
      <c r="A289" s="10"/>
    </row>
    <row r="290" spans="1:1" x14ac:dyDescent="0.25">
      <c r="A290" s="10"/>
    </row>
    <row r="291" spans="1:1" x14ac:dyDescent="0.25">
      <c r="A291" s="10"/>
    </row>
    <row r="292" spans="1:1" x14ac:dyDescent="0.25">
      <c r="A292" s="10"/>
    </row>
    <row r="293" spans="1:1" x14ac:dyDescent="0.25">
      <c r="A293" s="10"/>
    </row>
    <row r="294" spans="1:1" x14ac:dyDescent="0.25">
      <c r="A294" s="10"/>
    </row>
    <row r="295" spans="1:1" x14ac:dyDescent="0.25">
      <c r="A295" s="10"/>
    </row>
    <row r="296" spans="1:1" x14ac:dyDescent="0.25">
      <c r="A296" s="10"/>
    </row>
    <row r="297" spans="1:1" x14ac:dyDescent="0.25">
      <c r="A297" s="10"/>
    </row>
    <row r="298" spans="1:1" x14ac:dyDescent="0.25">
      <c r="A298" s="10"/>
    </row>
    <row r="299" spans="1:1" x14ac:dyDescent="0.25">
      <c r="A299" s="10"/>
    </row>
    <row r="300" spans="1:1" x14ac:dyDescent="0.25">
      <c r="A300" s="10"/>
    </row>
    <row r="301" spans="1:1" x14ac:dyDescent="0.25">
      <c r="A301" s="10"/>
    </row>
    <row r="302" spans="1:1" x14ac:dyDescent="0.25">
      <c r="A302" s="10"/>
    </row>
    <row r="303" spans="1:1" x14ac:dyDescent="0.25">
      <c r="A303" s="10"/>
    </row>
    <row r="304" spans="1:1" x14ac:dyDescent="0.25">
      <c r="A304" s="10"/>
    </row>
  </sheetData>
  <autoFilter ref="A1:D217" xr:uid="{64C9FF7E-D595-4118-A919-186F22E11A0C}"/>
  <sortState xmlns:xlrd2="http://schemas.microsoft.com/office/spreadsheetml/2017/richdata2" ref="A2:D233">
    <sortCondition ref="A1:A23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H342"/>
  <sheetViews>
    <sheetView tabSelected="1"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K14" sqref="BK14"/>
    </sheetView>
  </sheetViews>
  <sheetFormatPr defaultRowHeight="15" outlineLevelCol="2" x14ac:dyDescent="0.25"/>
  <cols>
    <col min="1" max="1" width="14.5703125" style="1" bestFit="1" customWidth="1"/>
    <col min="2" max="2" width="11.42578125" style="2" customWidth="1"/>
    <col min="3" max="3" width="13.85546875" bestFit="1" customWidth="1"/>
    <col min="4" max="4" width="14.28515625" bestFit="1" customWidth="1"/>
    <col min="5" max="5" width="13.85546875" bestFit="1" customWidth="1"/>
    <col min="6" max="40" width="9.140625" customWidth="1" outlineLevel="1"/>
    <col min="41" max="41" width="10.28515625" customWidth="1"/>
    <col min="43" max="77" width="9.140625" customWidth="1" outlineLevel="2"/>
    <col min="78" max="112" width="9.140625" customWidth="1" outlineLevel="1"/>
  </cols>
  <sheetData>
    <row r="1" spans="1:112" ht="34.5" customHeight="1" x14ac:dyDescent="0.3">
      <c r="A1" s="25">
        <f ca="1">TODAY()</f>
        <v>46179</v>
      </c>
      <c r="C1" s="60" t="s">
        <v>17</v>
      </c>
      <c r="D1" s="60"/>
      <c r="E1" s="60"/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Q1" s="57" t="s">
        <v>381</v>
      </c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9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>
        <v>100</v>
      </c>
      <c r="CV1" s="27"/>
      <c r="CW1" s="27"/>
      <c r="CX1" s="27"/>
      <c r="CY1" s="27"/>
      <c r="CZ1" s="27">
        <v>80</v>
      </c>
      <c r="DA1" s="27"/>
      <c r="DB1" s="27"/>
      <c r="DC1" s="27"/>
      <c r="DD1" s="27">
        <v>50</v>
      </c>
      <c r="DE1" s="27">
        <v>30</v>
      </c>
      <c r="DF1" s="27"/>
      <c r="DG1" s="27">
        <v>20</v>
      </c>
      <c r="DH1" s="27"/>
    </row>
    <row r="2" spans="1:112" ht="108.75" thickBot="1" x14ac:dyDescent="0.3">
      <c r="A2" s="15" t="s">
        <v>14</v>
      </c>
      <c r="B2" s="16" t="s">
        <v>13</v>
      </c>
      <c r="C2" s="17" t="s">
        <v>4</v>
      </c>
      <c r="D2" s="17" t="s">
        <v>16</v>
      </c>
      <c r="E2" s="17" t="s">
        <v>15</v>
      </c>
      <c r="F2" s="18" t="s">
        <v>102</v>
      </c>
      <c r="G2" s="18" t="s">
        <v>107</v>
      </c>
      <c r="H2" s="18" t="s">
        <v>109</v>
      </c>
      <c r="I2" s="18" t="s">
        <v>111</v>
      </c>
      <c r="J2" s="18" t="s">
        <v>113</v>
      </c>
      <c r="K2" s="18" t="s">
        <v>115</v>
      </c>
      <c r="L2" s="18" t="s">
        <v>117</v>
      </c>
      <c r="M2" s="18" t="s">
        <v>119</v>
      </c>
      <c r="N2" s="18" t="s">
        <v>121</v>
      </c>
      <c r="O2" s="18" t="s">
        <v>123</v>
      </c>
      <c r="P2" s="18" t="s">
        <v>125</v>
      </c>
      <c r="Q2" s="18" t="s">
        <v>127</v>
      </c>
      <c r="R2" s="18" t="s">
        <v>129</v>
      </c>
      <c r="S2" s="18" t="s">
        <v>131</v>
      </c>
      <c r="T2" s="18" t="s">
        <v>133</v>
      </c>
      <c r="U2" s="18" t="s">
        <v>135</v>
      </c>
      <c r="V2" s="18" t="s">
        <v>137</v>
      </c>
      <c r="W2" s="18" t="s">
        <v>140</v>
      </c>
      <c r="X2" s="18" t="s">
        <v>142</v>
      </c>
      <c r="Y2" s="18" t="s">
        <v>144</v>
      </c>
      <c r="Z2" s="18" t="s">
        <v>146</v>
      </c>
      <c r="AA2" s="18" t="s">
        <v>148</v>
      </c>
      <c r="AB2" s="18" t="s">
        <v>150</v>
      </c>
      <c r="AC2" s="18" t="s">
        <v>152</v>
      </c>
      <c r="AD2" s="18" t="s">
        <v>154</v>
      </c>
      <c r="AE2" s="18" t="s">
        <v>157</v>
      </c>
      <c r="AF2" s="18" t="s">
        <v>159</v>
      </c>
      <c r="AG2" s="18" t="s">
        <v>161</v>
      </c>
      <c r="AH2" s="18" t="s">
        <v>163</v>
      </c>
      <c r="AI2" s="18" t="s">
        <v>165</v>
      </c>
      <c r="AJ2" s="18" t="s">
        <v>167</v>
      </c>
      <c r="AK2" s="18" t="s">
        <v>168</v>
      </c>
      <c r="AL2" s="18" t="s">
        <v>169</v>
      </c>
      <c r="AM2" s="18" t="s">
        <v>171</v>
      </c>
      <c r="AN2" s="18" t="s">
        <v>172</v>
      </c>
      <c r="AO2" s="19" t="s">
        <v>348</v>
      </c>
      <c r="AP2" s="19" t="s">
        <v>349</v>
      </c>
      <c r="AQ2" s="20" t="s">
        <v>102</v>
      </c>
      <c r="AR2" s="20" t="s">
        <v>107</v>
      </c>
      <c r="AS2" s="20" t="s">
        <v>109</v>
      </c>
      <c r="AT2" s="20" t="s">
        <v>111</v>
      </c>
      <c r="AU2" s="20" t="s">
        <v>113</v>
      </c>
      <c r="AV2" s="20" t="s">
        <v>115</v>
      </c>
      <c r="AW2" s="20" t="s">
        <v>117</v>
      </c>
      <c r="AX2" s="20" t="s">
        <v>119</v>
      </c>
      <c r="AY2" s="20" t="s">
        <v>121</v>
      </c>
      <c r="AZ2" s="20" t="s">
        <v>123</v>
      </c>
      <c r="BA2" s="20" t="s">
        <v>125</v>
      </c>
      <c r="BB2" s="20" t="s">
        <v>127</v>
      </c>
      <c r="BC2" s="20" t="s">
        <v>129</v>
      </c>
      <c r="BD2" s="20" t="s">
        <v>131</v>
      </c>
      <c r="BE2" s="20" t="s">
        <v>133</v>
      </c>
      <c r="BF2" s="20" t="s">
        <v>135</v>
      </c>
      <c r="BG2" s="20" t="s">
        <v>137</v>
      </c>
      <c r="BH2" s="20" t="s">
        <v>140</v>
      </c>
      <c r="BI2" s="20" t="s">
        <v>142</v>
      </c>
      <c r="BJ2" s="20" t="s">
        <v>144</v>
      </c>
      <c r="BK2" s="20" t="s">
        <v>146</v>
      </c>
      <c r="BL2" s="20" t="s">
        <v>148</v>
      </c>
      <c r="BM2" s="20" t="s">
        <v>150</v>
      </c>
      <c r="BN2" s="20" t="s">
        <v>152</v>
      </c>
      <c r="BO2" s="20" t="s">
        <v>154</v>
      </c>
      <c r="BP2" s="20" t="s">
        <v>157</v>
      </c>
      <c r="BQ2" s="20" t="s">
        <v>159</v>
      </c>
      <c r="BR2" s="20" t="s">
        <v>161</v>
      </c>
      <c r="BS2" s="20" t="s">
        <v>163</v>
      </c>
      <c r="BT2" s="20" t="s">
        <v>165</v>
      </c>
      <c r="BU2" s="20" t="s">
        <v>167</v>
      </c>
      <c r="BV2" s="20" t="s">
        <v>168</v>
      </c>
      <c r="BW2" s="20" t="s">
        <v>169</v>
      </c>
      <c r="BX2" s="20" t="s">
        <v>171</v>
      </c>
      <c r="BY2" s="20" t="s">
        <v>172</v>
      </c>
      <c r="BZ2" s="21" t="s">
        <v>102</v>
      </c>
      <c r="CA2" s="21" t="s">
        <v>107</v>
      </c>
      <c r="CB2" s="21" t="s">
        <v>109</v>
      </c>
      <c r="CC2" s="21" t="s">
        <v>111</v>
      </c>
      <c r="CD2" s="21" t="s">
        <v>113</v>
      </c>
      <c r="CE2" s="21" t="s">
        <v>115</v>
      </c>
      <c r="CF2" s="21" t="s">
        <v>117</v>
      </c>
      <c r="CG2" s="21" t="s">
        <v>119</v>
      </c>
      <c r="CH2" s="21" t="s">
        <v>121</v>
      </c>
      <c r="CI2" s="21" t="s">
        <v>123</v>
      </c>
      <c r="CJ2" s="21" t="s">
        <v>125</v>
      </c>
      <c r="CK2" s="21" t="s">
        <v>127</v>
      </c>
      <c r="CL2" s="21" t="s">
        <v>129</v>
      </c>
      <c r="CM2" s="21" t="s">
        <v>131</v>
      </c>
      <c r="CN2" s="21" t="s">
        <v>133</v>
      </c>
      <c r="CO2" s="21" t="s">
        <v>135</v>
      </c>
      <c r="CP2" s="21" t="s">
        <v>137</v>
      </c>
      <c r="CQ2" s="21" t="s">
        <v>140</v>
      </c>
      <c r="CR2" s="21" t="s">
        <v>142</v>
      </c>
      <c r="CS2" s="21" t="s">
        <v>144</v>
      </c>
      <c r="CT2" s="21" t="s">
        <v>146</v>
      </c>
      <c r="CU2" s="21" t="s">
        <v>148</v>
      </c>
      <c r="CV2" s="21" t="s">
        <v>150</v>
      </c>
      <c r="CW2" s="21" t="s">
        <v>152</v>
      </c>
      <c r="CX2" s="21" t="s">
        <v>154</v>
      </c>
      <c r="CY2" s="21" t="s">
        <v>157</v>
      </c>
      <c r="CZ2" s="21" t="s">
        <v>159</v>
      </c>
      <c r="DA2" s="21" t="s">
        <v>161</v>
      </c>
      <c r="DB2" s="21" t="s">
        <v>163</v>
      </c>
      <c r="DC2" s="21" t="s">
        <v>165</v>
      </c>
      <c r="DD2" s="21" t="s">
        <v>167</v>
      </c>
      <c r="DE2" s="21" t="s">
        <v>168</v>
      </c>
      <c r="DF2" s="21" t="s">
        <v>169</v>
      </c>
      <c r="DG2" s="21" t="s">
        <v>171</v>
      </c>
      <c r="DH2" s="22" t="s">
        <v>172</v>
      </c>
    </row>
    <row r="3" spans="1:112" ht="15.75" thickTop="1" x14ac:dyDescent="0.25">
      <c r="A3" s="11">
        <v>46179</v>
      </c>
      <c r="B3" s="12">
        <v>0.33333333333575865</v>
      </c>
      <c r="C3" s="13" t="s">
        <v>2</v>
      </c>
      <c r="D3" s="13" t="s">
        <v>6</v>
      </c>
      <c r="E3" s="13" t="s">
        <v>2</v>
      </c>
      <c r="F3" s="13">
        <f>SUM(IFERROR(VLOOKUP($C:$C,Structure!$A:$AJ,F$1,0)*15,0),IFERROR(VLOOKUP($D:$D,Structure!$A:$AJ,F$1,0)*15,0),IFERROR(VLOOKUP($E:$E,Structure!$A:$AJ,F$1,0)*15,0))</f>
        <v>0</v>
      </c>
      <c r="G3" s="13">
        <f>SUM(IFERROR(VLOOKUP($C:$C,Structure!$A:$AJ,G$1,0)*15,0),IFERROR(VLOOKUP($D:$D,Structure!$A:$AJ,G$1,0)*15,0),IFERROR(VLOOKUP($E:$E,Structure!$A:$AJ,G$1,0)*15,0))</f>
        <v>0</v>
      </c>
      <c r="H3" s="13">
        <f>SUM(IFERROR(VLOOKUP($C:$C,Structure!$A:$AJ,H$1,0)*15,0),IFERROR(VLOOKUP($D:$D,Structure!$A:$AJ,H$1,0)*15,0),IFERROR(VLOOKUP($E:$E,Structure!$A:$AJ,H$1,0)*15,0))</f>
        <v>0</v>
      </c>
      <c r="I3" s="13">
        <f>SUM(IFERROR(VLOOKUP($C:$C,Structure!$A:$AJ,I$1,0)*15,0),IFERROR(VLOOKUP($D:$D,Structure!$A:$AJ,I$1,0)*15,0),IFERROR(VLOOKUP($E:$E,Structure!$A:$AJ,I$1,0)*15,0))</f>
        <v>0</v>
      </c>
      <c r="J3" s="13">
        <f>SUM(IFERROR(VLOOKUP($C:$C,Structure!$A:$AJ,J$1,0)*15,0),IFERROR(VLOOKUP($D:$D,Structure!$A:$AJ,J$1,0)*15,0),IFERROR(VLOOKUP($E:$E,Structure!$A:$AJ,J$1,0)*15,0))</f>
        <v>0</v>
      </c>
      <c r="K3" s="13">
        <f>SUM(IFERROR(VLOOKUP($C:$C,Structure!$A:$AJ,K$1,0)*15,0),IFERROR(VLOOKUP($D:$D,Structure!$A:$AJ,K$1,0)*15,0),IFERROR(VLOOKUP($E:$E,Structure!$A:$AJ,K$1,0)*15,0))</f>
        <v>0</v>
      </c>
      <c r="L3" s="13">
        <f>SUM(IFERROR(VLOOKUP($C:$C,Structure!$A:$AJ,L$1,0)*15,0),IFERROR(VLOOKUP($D:$D,Structure!$A:$AJ,L$1,0)*15,0),IFERROR(VLOOKUP($E:$E,Structure!$A:$AJ,L$1,0)*15,0))</f>
        <v>0</v>
      </c>
      <c r="M3" s="13">
        <f>SUM(IFERROR(VLOOKUP($C:$C,Structure!$A:$AJ,M$1,0)*15,0),IFERROR(VLOOKUP($D:$D,Structure!$A:$AJ,M$1,0)*15,0),IFERROR(VLOOKUP($E:$E,Structure!$A:$AJ,M$1,0)*15,0))</f>
        <v>0</v>
      </c>
      <c r="N3" s="13">
        <f>SUM(IFERROR(VLOOKUP($C:$C,Structure!$A:$AJ,N$1,0)*15,0),IFERROR(VLOOKUP($D:$D,Structure!$A:$AJ,N$1,0)*15,0),IFERROR(VLOOKUP($E:$E,Structure!$A:$AJ,N$1,0)*15,0))</f>
        <v>0</v>
      </c>
      <c r="O3" s="13">
        <f>SUM(IFERROR(VLOOKUP($C:$C,Structure!$A:$AJ,O$1,0)*15,0),IFERROR(VLOOKUP($D:$D,Structure!$A:$AJ,O$1,0)*15,0),IFERROR(VLOOKUP($E:$E,Structure!$A:$AJ,O$1,0)*15,0))</f>
        <v>0</v>
      </c>
      <c r="P3" s="13">
        <f>SUM(IFERROR(VLOOKUP($C:$C,Structure!$A:$AJ,P$1,0)*15,0),IFERROR(VLOOKUP($D:$D,Structure!$A:$AJ,P$1,0)*15,0),IFERROR(VLOOKUP($E:$E,Structure!$A:$AJ,P$1,0)*15,0))</f>
        <v>0</v>
      </c>
      <c r="Q3" s="13">
        <f>SUM(IFERROR(VLOOKUP($C:$C,Structure!$A:$AJ,Q$1,0)*15,0),IFERROR(VLOOKUP($D:$D,Structure!$A:$AJ,Q$1,0)*15,0),IFERROR(VLOOKUP($E:$E,Structure!$A:$AJ,Q$1,0)*15,0))</f>
        <v>0</v>
      </c>
      <c r="R3" s="13">
        <f>SUM(IFERROR(VLOOKUP($C:$C,Structure!$A:$AJ,R$1,0)*15,0),IFERROR(VLOOKUP($D:$D,Structure!$A:$AJ,R$1,0)*15,0),IFERROR(VLOOKUP($E:$E,Structure!$A:$AJ,R$1,0)*15,0))</f>
        <v>0</v>
      </c>
      <c r="S3" s="13">
        <f>SUM(IFERROR(VLOOKUP($C:$C,Structure!$A:$AJ,S$1,0)*15,0),IFERROR(VLOOKUP($D:$D,Structure!$A:$AJ,S$1,0)*15,0),IFERROR(VLOOKUP($E:$E,Structure!$A:$AJ,S$1,0)*15,0))</f>
        <v>0</v>
      </c>
      <c r="T3" s="13">
        <f>SUM(IFERROR(VLOOKUP($C:$C,Structure!$A:$AJ,T$1,0)*15,0),IFERROR(VLOOKUP($D:$D,Structure!$A:$AJ,T$1,0)*15,0),IFERROR(VLOOKUP($E:$E,Structure!$A:$AJ,T$1,0)*15,0))</f>
        <v>0</v>
      </c>
      <c r="U3" s="13">
        <f>SUM(IFERROR(VLOOKUP($C:$C,Structure!$A:$AJ,U$1,0)*15,0),IFERROR(VLOOKUP($D:$D,Structure!$A:$AJ,U$1,0)*15,0),IFERROR(VLOOKUP($E:$E,Structure!$A:$AJ,U$1,0)*15,0))</f>
        <v>0</v>
      </c>
      <c r="V3" s="13">
        <f>SUM(IFERROR(VLOOKUP($C:$C,Structure!$A:$AJ,V$1,0)*15,0),IFERROR(VLOOKUP($D:$D,Structure!$A:$AJ,V$1,0)*15,0),IFERROR(VLOOKUP($E:$E,Structure!$A:$AJ,V$1,0)*15,0))</f>
        <v>0</v>
      </c>
      <c r="W3" s="13">
        <f>SUM(IFERROR(VLOOKUP($C:$C,Structure!$A:$AJ,W$1,0)*15,0),IFERROR(VLOOKUP($D:$D,Structure!$A:$AJ,W$1,0)*15,0),IFERROR(VLOOKUP($E:$E,Structure!$A:$AJ,W$1,0)*15,0))</f>
        <v>0</v>
      </c>
      <c r="X3" s="13">
        <f>SUM(IFERROR(VLOOKUP($C:$C,Structure!$A:$AJ,X$1,0)*15,0),IFERROR(VLOOKUP($D:$D,Structure!$A:$AJ,X$1,0)*15,0),IFERROR(VLOOKUP($E:$E,Structure!$A:$AJ,X$1,0)*15,0))</f>
        <v>0</v>
      </c>
      <c r="Y3" s="13">
        <f>SUM(IFERROR(VLOOKUP($C:$C,Structure!$A:$AJ,Y$1,0)*15,0),IFERROR(VLOOKUP($D:$D,Structure!$A:$AJ,Y$1,0)*15,0),IFERROR(VLOOKUP($E:$E,Structure!$A:$AJ,Y$1,0)*15,0))</f>
        <v>0</v>
      </c>
      <c r="Z3" s="13">
        <f>SUM(IFERROR(VLOOKUP($C:$C,Structure!$A:$AJ,Z$1,0)*15,0),IFERROR(VLOOKUP($D:$D,Structure!$A:$AJ,Z$1,0)*15,0),IFERROR(VLOOKUP($E:$E,Structure!$A:$AJ,Z$1,0)*15,0))</f>
        <v>0</v>
      </c>
      <c r="AA3" s="13">
        <f>SUM(IFERROR(VLOOKUP($C:$C,Structure!$A:$AJ,AA$1,0)*15,0),IFERROR(VLOOKUP($D:$D,Structure!$A:$AJ,AA$1,0)*15,0),IFERROR(VLOOKUP($E:$E,Structure!$A:$AJ,AA$1,0)*15,0))</f>
        <v>45</v>
      </c>
      <c r="AB3" s="13">
        <f>SUM(IFERROR(VLOOKUP($C:$C,Structure!$A:$AJ,AB$1,0)*15,0),IFERROR(VLOOKUP($D:$D,Structure!$A:$AJ,AB$1,0)*15,0),IFERROR(VLOOKUP($E:$E,Structure!$A:$AJ,AB$1,0)*15,0))</f>
        <v>0</v>
      </c>
      <c r="AC3" s="13">
        <f>SUM(IFERROR(VLOOKUP($C:$C,Structure!$A:$AJ,AC$1,0)*15,0),IFERROR(VLOOKUP($D:$D,Structure!$A:$AJ,AC$1,0)*15,0),IFERROR(VLOOKUP($E:$E,Structure!$A:$AJ,AC$1,0)*15,0))</f>
        <v>0</v>
      </c>
      <c r="AD3" s="13">
        <f>SUM(IFERROR(VLOOKUP($C:$C,Structure!$A:$AJ,AD$1,0)*15,0),IFERROR(VLOOKUP($D:$D,Structure!$A:$AJ,AD$1,0)*15,0),IFERROR(VLOOKUP($E:$E,Structure!$A:$AJ,AD$1,0)*15,0))</f>
        <v>0</v>
      </c>
      <c r="AE3" s="13">
        <f>SUM(IFERROR(VLOOKUP($C:$C,Structure!$A:$AJ,AE$1,0)*15,0),IFERROR(VLOOKUP($D:$D,Structure!$A:$AJ,AE$1,0)*15,0),IFERROR(VLOOKUP($E:$E,Structure!$A:$AJ,AE$1,0)*15,0))</f>
        <v>0</v>
      </c>
      <c r="AF3" s="13">
        <f>SUM(IFERROR(VLOOKUP($C:$C,Structure!$A:$AJ,AF$1,0)*15,0),IFERROR(VLOOKUP($D:$D,Structure!$A:$AJ,AF$1,0)*15,0),IFERROR(VLOOKUP($E:$E,Structure!$A:$AJ,AF$1,0)*15,0))</f>
        <v>0</v>
      </c>
      <c r="AG3" s="13">
        <f>SUM(IFERROR(VLOOKUP($C:$C,Structure!$A:$AJ,AG$1,0)*15,0),IFERROR(VLOOKUP($D:$D,Structure!$A:$AJ,AG$1,0)*15,0),IFERROR(VLOOKUP($E:$E,Structure!$A:$AJ,AG$1,0)*15,0))</f>
        <v>0</v>
      </c>
      <c r="AH3" s="13">
        <f>SUM(IFERROR(VLOOKUP($C:$C,Structure!$A:$AJ,AH$1,0)*15,0),IFERROR(VLOOKUP($D:$D,Structure!$A:$AJ,AH$1,0)*15,0),IFERROR(VLOOKUP($E:$E,Structure!$A:$AJ,AH$1,0)*15,0))</f>
        <v>0</v>
      </c>
      <c r="AI3" s="13">
        <f>SUM(IFERROR(VLOOKUP($C:$C,Structure!$A:$AJ,AI$1,0)*15,0),IFERROR(VLOOKUP($D:$D,Structure!$A:$AJ,AI$1,0)*15,0),IFERROR(VLOOKUP($E:$E,Structure!$A:$AJ,AI$1,0)*15,0))</f>
        <v>0</v>
      </c>
      <c r="AJ3" s="13">
        <f>SUM(IFERROR(VLOOKUP($C:$C,Structure!$A:$AJ,AJ$1,0)*15,0),IFERROR(VLOOKUP($D:$D,Structure!$A:$AJ,AJ$1,0)*15,0),IFERROR(VLOOKUP($E:$E,Structure!$A:$AJ,AJ$1,0)*15,0))</f>
        <v>45</v>
      </c>
      <c r="AK3" s="13">
        <f>SUM(IFERROR(VLOOKUP($C:$C,Structure!$A:$AJ,AK$1,0)*15,0),IFERROR(VLOOKUP($D:$D,Structure!$A:$AJ,AK$1,0)*15,0),IFERROR(VLOOKUP($E:$E,Structure!$A:$AJ,AK$1,0)*15,0))</f>
        <v>0</v>
      </c>
      <c r="AL3" s="13">
        <f>SUM(IFERROR(VLOOKUP($C:$C,Structure!$A:$AJ,AL$1,0)*15,0),IFERROR(VLOOKUP($D:$D,Structure!$A:$AJ,AL$1,0)*15,0),IFERROR(VLOOKUP($E:$E,Structure!$A:$AJ,AL$1,0)*15,0))</f>
        <v>0</v>
      </c>
      <c r="AM3" s="13">
        <f>SUM(IFERROR(VLOOKUP($C:$C,Structure!$A:$AJ,AM$1,0)*15,0),IFERROR(VLOOKUP($D:$D,Structure!$A:$AJ,AM$1,0)*15,0),IFERROR(VLOOKUP($E:$E,Structure!$A:$AJ,AM$1,0)*15,0))</f>
        <v>0</v>
      </c>
      <c r="AN3" s="13">
        <f>SUM(IFERROR(VLOOKUP($C:$C,Structure!$A:$AJ,AN$1,0)*15,0),IFERROR(VLOOKUP($D:$D,Structure!$A:$AJ,AN$1,0)*15,0),IFERROR(VLOOKUP($E:$E,Structure!$A:$AJ,AN$1,0)*15,0))</f>
        <v>0</v>
      </c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13"/>
      <c r="BZ3" s="14">
        <f>BZ1+AQ3-F3</f>
        <v>0</v>
      </c>
      <c r="CA3" s="14">
        <f>CA1+AR3-G3</f>
        <v>0</v>
      </c>
      <c r="CB3" s="14">
        <f>CB1+AS3-H3</f>
        <v>0</v>
      </c>
      <c r="CC3" s="14">
        <f>CC1+AT3-I3</f>
        <v>0</v>
      </c>
      <c r="CD3" s="14">
        <f>CD1+AU3-J3</f>
        <v>0</v>
      </c>
      <c r="CE3" s="14">
        <f>CE1+AV3-K3</f>
        <v>0</v>
      </c>
      <c r="CF3" s="14">
        <f>CF1+AW3-L3</f>
        <v>0</v>
      </c>
      <c r="CG3" s="14">
        <f>CG1+AX3-M3</f>
        <v>0</v>
      </c>
      <c r="CH3" s="14">
        <f>CH1+AY3-N3</f>
        <v>0</v>
      </c>
      <c r="CI3" s="14">
        <f>CI1+AZ3-O3</f>
        <v>0</v>
      </c>
      <c r="CJ3" s="14">
        <f>CJ1+BA3-P3</f>
        <v>0</v>
      </c>
      <c r="CK3" s="14">
        <f>CK1+BB3-Q3</f>
        <v>0</v>
      </c>
      <c r="CL3" s="14">
        <f>CL1+BC3-R3</f>
        <v>0</v>
      </c>
      <c r="CM3" s="14">
        <f>CM1+BD3-S3</f>
        <v>0</v>
      </c>
      <c r="CN3" s="14">
        <f>CN1+BE3-T3</f>
        <v>0</v>
      </c>
      <c r="CO3" s="14">
        <f>CO1+BF3-U3</f>
        <v>0</v>
      </c>
      <c r="CP3" s="14">
        <f>CP1+BG3-V3</f>
        <v>0</v>
      </c>
      <c r="CQ3" s="14">
        <f>CQ1+BH3-W3</f>
        <v>0</v>
      </c>
      <c r="CR3" s="14">
        <f>CR1+BI3-X3</f>
        <v>0</v>
      </c>
      <c r="CS3" s="14">
        <f>CS1+BJ3-Y3</f>
        <v>0</v>
      </c>
      <c r="CT3" s="14">
        <f>CT1+BK3-Z3</f>
        <v>0</v>
      </c>
      <c r="CU3" s="14">
        <f>CU1+BL3-AA3</f>
        <v>55</v>
      </c>
      <c r="CV3" s="14">
        <f>CV1+BM3-AB3</f>
        <v>0</v>
      </c>
      <c r="CW3" s="14">
        <f>CW1+BN3-AC3</f>
        <v>0</v>
      </c>
      <c r="CX3" s="14">
        <f>CX1+BO3-AD3</f>
        <v>0</v>
      </c>
      <c r="CY3" s="14">
        <f>CY1+BP3-AE3</f>
        <v>0</v>
      </c>
      <c r="CZ3" s="14">
        <f>CZ1+BQ3-AF3</f>
        <v>80</v>
      </c>
      <c r="DA3" s="14">
        <f>DA1+BR3-AG3</f>
        <v>0</v>
      </c>
      <c r="DB3" s="14">
        <f>DB1+BS3-AH3</f>
        <v>0</v>
      </c>
      <c r="DC3" s="14">
        <f>DC1+BT3-AI3</f>
        <v>0</v>
      </c>
      <c r="DD3" s="14">
        <f>DD1+BU3-AJ3</f>
        <v>5</v>
      </c>
      <c r="DE3" s="14">
        <f>DE1+BV3-AK3</f>
        <v>30</v>
      </c>
      <c r="DF3" s="14">
        <f>DF1+BW3-AL3</f>
        <v>0</v>
      </c>
      <c r="DG3" s="14">
        <f>DG1+BX3-AM3</f>
        <v>20</v>
      </c>
      <c r="DH3" s="14">
        <f>DH1+BY3-AN3</f>
        <v>0</v>
      </c>
    </row>
    <row r="4" spans="1:112" ht="15.75" customHeight="1" x14ac:dyDescent="0.25">
      <c r="A4" s="6">
        <v>46179</v>
      </c>
      <c r="B4" s="7">
        <v>0.375</v>
      </c>
      <c r="C4" s="3" t="s">
        <v>2</v>
      </c>
      <c r="D4" s="3" t="s">
        <v>6</v>
      </c>
      <c r="E4" s="3" t="s">
        <v>2</v>
      </c>
      <c r="F4" s="13">
        <f>SUM(IFERROR(VLOOKUP($C:$C,Structure!$A:$AJ,F$1,0)*15,0),IFERROR(VLOOKUP($D:$D,Structure!$A:$AJ,F$1,0)*15,0),IFERROR(VLOOKUP($E:$E,Structure!$A:$AJ,F$1,0)*15,0))</f>
        <v>0</v>
      </c>
      <c r="G4" s="13">
        <f>SUM(IFERROR(VLOOKUP($C:$C,Structure!$A:$AJ,G$1,0)*15,0),IFERROR(VLOOKUP($D:$D,Structure!$A:$AJ,G$1,0)*15,0),IFERROR(VLOOKUP($E:$E,Structure!$A:$AJ,G$1,0)*15,0))</f>
        <v>0</v>
      </c>
      <c r="H4" s="13">
        <f>SUM(IFERROR(VLOOKUP($C:$C,Structure!$A:$AJ,H$1,0)*15,0),IFERROR(VLOOKUP($D:$D,Structure!$A:$AJ,H$1,0)*15,0),IFERROR(VLOOKUP($E:$E,Structure!$A:$AJ,H$1,0)*15,0))</f>
        <v>0</v>
      </c>
      <c r="I4" s="13">
        <f>SUM(IFERROR(VLOOKUP($C:$C,Structure!$A:$AJ,I$1,0)*15,0),IFERROR(VLOOKUP($D:$D,Structure!$A:$AJ,I$1,0)*15,0),IFERROR(VLOOKUP($E:$E,Structure!$A:$AJ,I$1,0)*15,0))</f>
        <v>0</v>
      </c>
      <c r="J4" s="13">
        <f>SUM(IFERROR(VLOOKUP($C:$C,Structure!$A:$AJ,J$1,0)*15,0),IFERROR(VLOOKUP($D:$D,Structure!$A:$AJ,J$1,0)*15,0),IFERROR(VLOOKUP($E:$E,Structure!$A:$AJ,J$1,0)*15,0))</f>
        <v>0</v>
      </c>
      <c r="K4" s="13">
        <f>SUM(IFERROR(VLOOKUP($C:$C,Structure!$A:$AJ,K$1,0)*15,0),IFERROR(VLOOKUP($D:$D,Structure!$A:$AJ,K$1,0)*15,0),IFERROR(VLOOKUP($E:$E,Structure!$A:$AJ,K$1,0)*15,0))</f>
        <v>0</v>
      </c>
      <c r="L4" s="13">
        <f>SUM(IFERROR(VLOOKUP($C:$C,Structure!$A:$AJ,L$1,0)*15,0),IFERROR(VLOOKUP($D:$D,Structure!$A:$AJ,L$1,0)*15,0),IFERROR(VLOOKUP($E:$E,Structure!$A:$AJ,L$1,0)*15,0))</f>
        <v>0</v>
      </c>
      <c r="M4" s="13">
        <f>SUM(IFERROR(VLOOKUP($C:$C,Structure!$A:$AJ,M$1,0)*15,0),IFERROR(VLOOKUP($D:$D,Structure!$A:$AJ,M$1,0)*15,0),IFERROR(VLOOKUP($E:$E,Structure!$A:$AJ,M$1,0)*15,0))</f>
        <v>0</v>
      </c>
      <c r="N4" s="13">
        <f>SUM(IFERROR(VLOOKUP($C:$C,Structure!$A:$AJ,N$1,0)*15,0),IFERROR(VLOOKUP($D:$D,Structure!$A:$AJ,N$1,0)*15,0),IFERROR(VLOOKUP($E:$E,Structure!$A:$AJ,N$1,0)*15,0))</f>
        <v>0</v>
      </c>
      <c r="O4" s="13">
        <f>SUM(IFERROR(VLOOKUP($C:$C,Structure!$A:$AJ,O$1,0)*15,0),IFERROR(VLOOKUP($D:$D,Structure!$A:$AJ,O$1,0)*15,0),IFERROR(VLOOKUP($E:$E,Structure!$A:$AJ,O$1,0)*15,0))</f>
        <v>0</v>
      </c>
      <c r="P4" s="13">
        <f>SUM(IFERROR(VLOOKUP($C:$C,Structure!$A:$AJ,P$1,0)*15,0),IFERROR(VLOOKUP($D:$D,Structure!$A:$AJ,P$1,0)*15,0),IFERROR(VLOOKUP($E:$E,Structure!$A:$AJ,P$1,0)*15,0))</f>
        <v>0</v>
      </c>
      <c r="Q4" s="13">
        <f>SUM(IFERROR(VLOOKUP($C:$C,Structure!$A:$AJ,Q$1,0)*15,0),IFERROR(VLOOKUP($D:$D,Structure!$A:$AJ,Q$1,0)*15,0),IFERROR(VLOOKUP($E:$E,Structure!$A:$AJ,Q$1,0)*15,0))</f>
        <v>0</v>
      </c>
      <c r="R4" s="13">
        <f>SUM(IFERROR(VLOOKUP($C:$C,Structure!$A:$AJ,R$1,0)*15,0),IFERROR(VLOOKUP($D:$D,Structure!$A:$AJ,R$1,0)*15,0),IFERROR(VLOOKUP($E:$E,Structure!$A:$AJ,R$1,0)*15,0))</f>
        <v>0</v>
      </c>
      <c r="S4" s="13">
        <f>SUM(IFERROR(VLOOKUP($C:$C,Structure!$A:$AJ,S$1,0)*15,0),IFERROR(VLOOKUP($D:$D,Structure!$A:$AJ,S$1,0)*15,0),IFERROR(VLOOKUP($E:$E,Structure!$A:$AJ,S$1,0)*15,0))</f>
        <v>0</v>
      </c>
      <c r="T4" s="13">
        <f>SUM(IFERROR(VLOOKUP($C:$C,Structure!$A:$AJ,T$1,0)*15,0),IFERROR(VLOOKUP($D:$D,Structure!$A:$AJ,T$1,0)*15,0),IFERROR(VLOOKUP($E:$E,Structure!$A:$AJ,T$1,0)*15,0))</f>
        <v>0</v>
      </c>
      <c r="U4" s="13">
        <f>SUM(IFERROR(VLOOKUP($C:$C,Structure!$A:$AJ,U$1,0)*15,0),IFERROR(VLOOKUP($D:$D,Structure!$A:$AJ,U$1,0)*15,0),IFERROR(VLOOKUP($E:$E,Structure!$A:$AJ,U$1,0)*15,0))</f>
        <v>0</v>
      </c>
      <c r="V4" s="13">
        <f>SUM(IFERROR(VLOOKUP($C:$C,Structure!$A:$AJ,V$1,0)*15,0),IFERROR(VLOOKUP($D:$D,Structure!$A:$AJ,V$1,0)*15,0),IFERROR(VLOOKUP($E:$E,Structure!$A:$AJ,V$1,0)*15,0))</f>
        <v>0</v>
      </c>
      <c r="W4" s="13">
        <f>SUM(IFERROR(VLOOKUP($C:$C,Structure!$A:$AJ,W$1,0)*15,0),IFERROR(VLOOKUP($D:$D,Structure!$A:$AJ,W$1,0)*15,0),IFERROR(VLOOKUP($E:$E,Structure!$A:$AJ,W$1,0)*15,0))</f>
        <v>0</v>
      </c>
      <c r="X4" s="13">
        <f>SUM(IFERROR(VLOOKUP($C:$C,Structure!$A:$AJ,X$1,0)*15,0),IFERROR(VLOOKUP($D:$D,Structure!$A:$AJ,X$1,0)*15,0),IFERROR(VLOOKUP($E:$E,Structure!$A:$AJ,X$1,0)*15,0))</f>
        <v>0</v>
      </c>
      <c r="Y4" s="13">
        <f>SUM(IFERROR(VLOOKUP($C:$C,Structure!$A:$AJ,Y$1,0)*15,0),IFERROR(VLOOKUP($D:$D,Structure!$A:$AJ,Y$1,0)*15,0),IFERROR(VLOOKUP($E:$E,Structure!$A:$AJ,Y$1,0)*15,0))</f>
        <v>0</v>
      </c>
      <c r="Z4" s="13">
        <f>SUM(IFERROR(VLOOKUP($C:$C,Structure!$A:$AJ,Z$1,0)*15,0),IFERROR(VLOOKUP($D:$D,Structure!$A:$AJ,Z$1,0)*15,0),IFERROR(VLOOKUP($E:$E,Structure!$A:$AJ,Z$1,0)*15,0))</f>
        <v>0</v>
      </c>
      <c r="AA4" s="13">
        <f>SUM(IFERROR(VLOOKUP($C:$C,Structure!$A:$AJ,AA$1,0)*15,0),IFERROR(VLOOKUP($D:$D,Structure!$A:$AJ,AA$1,0)*15,0),IFERROR(VLOOKUP($E:$E,Structure!$A:$AJ,AA$1,0)*15,0))</f>
        <v>45</v>
      </c>
      <c r="AB4" s="13">
        <f>SUM(IFERROR(VLOOKUP($C:$C,Structure!$A:$AJ,AB$1,0)*15,0),IFERROR(VLOOKUP($D:$D,Structure!$A:$AJ,AB$1,0)*15,0),IFERROR(VLOOKUP($E:$E,Structure!$A:$AJ,AB$1,0)*15,0))</f>
        <v>0</v>
      </c>
      <c r="AC4" s="13">
        <f>SUM(IFERROR(VLOOKUP($C:$C,Structure!$A:$AJ,AC$1,0)*15,0),IFERROR(VLOOKUP($D:$D,Structure!$A:$AJ,AC$1,0)*15,0),IFERROR(VLOOKUP($E:$E,Structure!$A:$AJ,AC$1,0)*15,0))</f>
        <v>0</v>
      </c>
      <c r="AD4" s="13">
        <f>SUM(IFERROR(VLOOKUP($C:$C,Structure!$A:$AJ,AD$1,0)*15,0),IFERROR(VLOOKUP($D:$D,Structure!$A:$AJ,AD$1,0)*15,0),IFERROR(VLOOKUP($E:$E,Structure!$A:$AJ,AD$1,0)*15,0))</f>
        <v>0</v>
      </c>
      <c r="AE4" s="13">
        <f>SUM(IFERROR(VLOOKUP($C:$C,Structure!$A:$AJ,AE$1,0)*15,0),IFERROR(VLOOKUP($D:$D,Structure!$A:$AJ,AE$1,0)*15,0),IFERROR(VLOOKUP($E:$E,Structure!$A:$AJ,AE$1,0)*15,0))</f>
        <v>0</v>
      </c>
      <c r="AF4" s="13">
        <f>SUM(IFERROR(VLOOKUP($C:$C,Structure!$A:$AJ,AF$1,0)*15,0),IFERROR(VLOOKUP($D:$D,Structure!$A:$AJ,AF$1,0)*15,0),IFERROR(VLOOKUP($E:$E,Structure!$A:$AJ,AF$1,0)*15,0))</f>
        <v>0</v>
      </c>
      <c r="AG4" s="13">
        <f>SUM(IFERROR(VLOOKUP($C:$C,Structure!$A:$AJ,AG$1,0)*15,0),IFERROR(VLOOKUP($D:$D,Structure!$A:$AJ,AG$1,0)*15,0),IFERROR(VLOOKUP($E:$E,Structure!$A:$AJ,AG$1,0)*15,0))</f>
        <v>0</v>
      </c>
      <c r="AH4" s="13">
        <f>SUM(IFERROR(VLOOKUP($C:$C,Structure!$A:$AJ,AH$1,0)*15,0),IFERROR(VLOOKUP($D:$D,Structure!$A:$AJ,AH$1,0)*15,0),IFERROR(VLOOKUP($E:$E,Structure!$A:$AJ,AH$1,0)*15,0))</f>
        <v>0</v>
      </c>
      <c r="AI4" s="13">
        <f>SUM(IFERROR(VLOOKUP($C:$C,Structure!$A:$AJ,AI$1,0)*15,0),IFERROR(VLOOKUP($D:$D,Structure!$A:$AJ,AI$1,0)*15,0),IFERROR(VLOOKUP($E:$E,Structure!$A:$AJ,AI$1,0)*15,0))</f>
        <v>0</v>
      </c>
      <c r="AJ4" s="13">
        <f>SUM(IFERROR(VLOOKUP($C:$C,Structure!$A:$AJ,AJ$1,0)*15,0),IFERROR(VLOOKUP($D:$D,Structure!$A:$AJ,AJ$1,0)*15,0),IFERROR(VLOOKUP($E:$E,Structure!$A:$AJ,AJ$1,0)*15,0))</f>
        <v>45</v>
      </c>
      <c r="AK4" s="13">
        <f>SUM(IFERROR(VLOOKUP($C:$C,Structure!$A:$AJ,AK$1,0)*15,0),IFERROR(VLOOKUP($D:$D,Structure!$A:$AJ,AK$1,0)*15,0),IFERROR(VLOOKUP($E:$E,Structure!$A:$AJ,AK$1,0)*15,0))</f>
        <v>0</v>
      </c>
      <c r="AL4" s="13">
        <f>SUM(IFERROR(VLOOKUP($C:$C,Structure!$A:$AJ,AL$1,0)*15,0),IFERROR(VLOOKUP($D:$D,Structure!$A:$AJ,AL$1,0)*15,0),IFERROR(VLOOKUP($E:$E,Structure!$A:$AJ,AL$1,0)*15,0))</f>
        <v>0</v>
      </c>
      <c r="AM4" s="13">
        <f>SUM(IFERROR(VLOOKUP($C:$C,Structure!$A:$AJ,AM$1,0)*15,0),IFERROR(VLOOKUP($D:$D,Structure!$A:$AJ,AM$1,0)*15,0),IFERROR(VLOOKUP($E:$E,Structure!$A:$AJ,AM$1,0)*15,0))</f>
        <v>0</v>
      </c>
      <c r="AN4" s="13">
        <f>SUM(IFERROR(VLOOKUP($C:$C,Structure!$A:$AJ,AN$1,0)*15,0),IFERROR(VLOOKUP($D:$D,Structure!$A:$AJ,AN$1,0)*15,0),IFERROR(VLOOKUP($E:$E,Structure!$A:$AJ,AN$1,0)*15,0))</f>
        <v>0</v>
      </c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3"/>
      <c r="BZ4" s="4">
        <f>BZ3+AQ4-F4</f>
        <v>0</v>
      </c>
      <c r="CA4" s="4">
        <f>CA3+AR4-G4</f>
        <v>0</v>
      </c>
      <c r="CB4" s="4">
        <f>CB3+AS4-H4</f>
        <v>0</v>
      </c>
      <c r="CC4" s="4">
        <f>CC3+AT4-I4</f>
        <v>0</v>
      </c>
      <c r="CD4" s="4">
        <f>CD3+AU4-J4</f>
        <v>0</v>
      </c>
      <c r="CE4" s="4">
        <f>CE3+AV4-K4</f>
        <v>0</v>
      </c>
      <c r="CF4" s="4">
        <f>CF3+AW4-L4</f>
        <v>0</v>
      </c>
      <c r="CG4" s="4">
        <f>CG3+AX4-M4</f>
        <v>0</v>
      </c>
      <c r="CH4" s="4">
        <f>CH3+AY4-N4</f>
        <v>0</v>
      </c>
      <c r="CI4" s="4">
        <f>CI3+AZ4-O4</f>
        <v>0</v>
      </c>
      <c r="CJ4" s="4">
        <f>CJ3+BA4-P4</f>
        <v>0</v>
      </c>
      <c r="CK4" s="4">
        <f>CK3+BB4-Q4</f>
        <v>0</v>
      </c>
      <c r="CL4" s="4">
        <f>CL3+BC4-R4</f>
        <v>0</v>
      </c>
      <c r="CM4" s="4">
        <f>CM3+BD4-S4</f>
        <v>0</v>
      </c>
      <c r="CN4" s="4">
        <f>CN3+BE4-T4</f>
        <v>0</v>
      </c>
      <c r="CO4" s="4">
        <f>CO3+BF4-U4</f>
        <v>0</v>
      </c>
      <c r="CP4" s="4">
        <f>CP3+BG4-V4</f>
        <v>0</v>
      </c>
      <c r="CQ4" s="4">
        <f>CQ3+BH4-W4</f>
        <v>0</v>
      </c>
      <c r="CR4" s="4">
        <f>CR3+BI4-X4</f>
        <v>0</v>
      </c>
      <c r="CS4" s="4">
        <f>CS3+BJ4-Y4</f>
        <v>0</v>
      </c>
      <c r="CT4" s="4">
        <f>CT3+BK4-Z4</f>
        <v>0</v>
      </c>
      <c r="CU4" s="4">
        <f>CU3+BL4-AA4</f>
        <v>10</v>
      </c>
      <c r="CV4" s="4">
        <f>CV3+BM4-AB4</f>
        <v>0</v>
      </c>
      <c r="CW4" s="4">
        <f>CW3+BN4-AC4</f>
        <v>0</v>
      </c>
      <c r="CX4" s="4">
        <f>CX3+BO4-AD4</f>
        <v>0</v>
      </c>
      <c r="CY4" s="4">
        <f>CY3+BP4-AE4</f>
        <v>0</v>
      </c>
      <c r="CZ4" s="4">
        <f>CZ3+BQ4-AF4</f>
        <v>80</v>
      </c>
      <c r="DA4" s="4">
        <f>DA3+BR4-AG4</f>
        <v>0</v>
      </c>
      <c r="DB4" s="4">
        <f>DB3+BS4-AH4</f>
        <v>0</v>
      </c>
      <c r="DC4" s="4">
        <f>DC3+BT4-AI4</f>
        <v>0</v>
      </c>
      <c r="DD4" s="4">
        <f>DD3+BU4-AJ4</f>
        <v>-40</v>
      </c>
      <c r="DE4" s="4">
        <f>DE3+BV4-AK4</f>
        <v>30</v>
      </c>
      <c r="DF4" s="4">
        <f>DF3+BW4-AL4</f>
        <v>0</v>
      </c>
      <c r="DG4" s="4">
        <f>DG3+BX4-AM4</f>
        <v>20</v>
      </c>
      <c r="DH4" s="4">
        <f>DH3+BY4-AN4</f>
        <v>0</v>
      </c>
    </row>
    <row r="5" spans="1:112" x14ac:dyDescent="0.25">
      <c r="A5" s="6">
        <v>46179</v>
      </c>
      <c r="B5" s="7">
        <v>0.41666666666424135</v>
      </c>
      <c r="C5" s="3" t="s">
        <v>3</v>
      </c>
      <c r="D5" s="3" t="s">
        <v>6</v>
      </c>
      <c r="E5" s="3" t="s">
        <v>2</v>
      </c>
      <c r="F5" s="13">
        <f>SUM(IFERROR(VLOOKUP($C:$C,Structure!$A:$AJ,F$1,0)*15,0),IFERROR(VLOOKUP($D:$D,Structure!$A:$AJ,F$1,0)*15,0),IFERROR(VLOOKUP($E:$E,Structure!$A:$AJ,F$1,0)*15,0))</f>
        <v>0</v>
      </c>
      <c r="G5" s="13">
        <f>SUM(IFERROR(VLOOKUP($C:$C,Structure!$A:$AJ,G$1,0)*15,0),IFERROR(VLOOKUP($D:$D,Structure!$A:$AJ,G$1,0)*15,0),IFERROR(VLOOKUP($E:$E,Structure!$A:$AJ,G$1,0)*15,0))</f>
        <v>0</v>
      </c>
      <c r="H5" s="13">
        <f>SUM(IFERROR(VLOOKUP($C:$C,Structure!$A:$AJ,H$1,0)*15,0),IFERROR(VLOOKUP($D:$D,Structure!$A:$AJ,H$1,0)*15,0),IFERROR(VLOOKUP($E:$E,Structure!$A:$AJ,H$1,0)*15,0))</f>
        <v>0</v>
      </c>
      <c r="I5" s="13">
        <f>SUM(IFERROR(VLOOKUP($C:$C,Structure!$A:$AJ,I$1,0)*15,0),IFERROR(VLOOKUP($D:$D,Structure!$A:$AJ,I$1,0)*15,0),IFERROR(VLOOKUP($E:$E,Structure!$A:$AJ,I$1,0)*15,0))</f>
        <v>0</v>
      </c>
      <c r="J5" s="13">
        <f>SUM(IFERROR(VLOOKUP($C:$C,Structure!$A:$AJ,J$1,0)*15,0),IFERROR(VLOOKUP($D:$D,Structure!$A:$AJ,J$1,0)*15,0),IFERROR(VLOOKUP($E:$E,Structure!$A:$AJ,J$1,0)*15,0))</f>
        <v>0</v>
      </c>
      <c r="K5" s="13">
        <f>SUM(IFERROR(VLOOKUP($C:$C,Structure!$A:$AJ,K$1,0)*15,0),IFERROR(VLOOKUP($D:$D,Structure!$A:$AJ,K$1,0)*15,0),IFERROR(VLOOKUP($E:$E,Structure!$A:$AJ,K$1,0)*15,0))</f>
        <v>0</v>
      </c>
      <c r="L5" s="13">
        <f>SUM(IFERROR(VLOOKUP($C:$C,Structure!$A:$AJ,L$1,0)*15,0),IFERROR(VLOOKUP($D:$D,Structure!$A:$AJ,L$1,0)*15,0),IFERROR(VLOOKUP($E:$E,Structure!$A:$AJ,L$1,0)*15,0))</f>
        <v>0</v>
      </c>
      <c r="M5" s="13">
        <f>SUM(IFERROR(VLOOKUP($C:$C,Structure!$A:$AJ,M$1,0)*15,0),IFERROR(VLOOKUP($D:$D,Structure!$A:$AJ,M$1,0)*15,0),IFERROR(VLOOKUP($E:$E,Structure!$A:$AJ,M$1,0)*15,0))</f>
        <v>0</v>
      </c>
      <c r="N5" s="13">
        <f>SUM(IFERROR(VLOOKUP($C:$C,Structure!$A:$AJ,N$1,0)*15,0),IFERROR(VLOOKUP($D:$D,Structure!$A:$AJ,N$1,0)*15,0),IFERROR(VLOOKUP($E:$E,Structure!$A:$AJ,N$1,0)*15,0))</f>
        <v>0</v>
      </c>
      <c r="O5" s="13">
        <f>SUM(IFERROR(VLOOKUP($C:$C,Structure!$A:$AJ,O$1,0)*15,0),IFERROR(VLOOKUP($D:$D,Structure!$A:$AJ,O$1,0)*15,0),IFERROR(VLOOKUP($E:$E,Structure!$A:$AJ,O$1,0)*15,0))</f>
        <v>0</v>
      </c>
      <c r="P5" s="13">
        <f>SUM(IFERROR(VLOOKUP($C:$C,Structure!$A:$AJ,P$1,0)*15,0),IFERROR(VLOOKUP($D:$D,Structure!$A:$AJ,P$1,0)*15,0),IFERROR(VLOOKUP($E:$E,Structure!$A:$AJ,P$1,0)*15,0))</f>
        <v>0</v>
      </c>
      <c r="Q5" s="13">
        <f>SUM(IFERROR(VLOOKUP($C:$C,Structure!$A:$AJ,Q$1,0)*15,0),IFERROR(VLOOKUP($D:$D,Structure!$A:$AJ,Q$1,0)*15,0),IFERROR(VLOOKUP($E:$E,Structure!$A:$AJ,Q$1,0)*15,0))</f>
        <v>0</v>
      </c>
      <c r="R5" s="13">
        <f>SUM(IFERROR(VLOOKUP($C:$C,Structure!$A:$AJ,R$1,0)*15,0),IFERROR(VLOOKUP($D:$D,Structure!$A:$AJ,R$1,0)*15,0),IFERROR(VLOOKUP($E:$E,Structure!$A:$AJ,R$1,0)*15,0))</f>
        <v>0</v>
      </c>
      <c r="S5" s="13">
        <f>SUM(IFERROR(VLOOKUP($C:$C,Structure!$A:$AJ,S$1,0)*15,0),IFERROR(VLOOKUP($D:$D,Structure!$A:$AJ,S$1,0)*15,0),IFERROR(VLOOKUP($E:$E,Structure!$A:$AJ,S$1,0)*15,0))</f>
        <v>0</v>
      </c>
      <c r="T5" s="13">
        <f>SUM(IFERROR(VLOOKUP($C:$C,Structure!$A:$AJ,T$1,0)*15,0),IFERROR(VLOOKUP($D:$D,Structure!$A:$AJ,T$1,0)*15,0),IFERROR(VLOOKUP($E:$E,Structure!$A:$AJ,T$1,0)*15,0))</f>
        <v>0</v>
      </c>
      <c r="U5" s="13">
        <f>SUM(IFERROR(VLOOKUP($C:$C,Structure!$A:$AJ,U$1,0)*15,0),IFERROR(VLOOKUP($D:$D,Structure!$A:$AJ,U$1,0)*15,0),IFERROR(VLOOKUP($E:$E,Structure!$A:$AJ,U$1,0)*15,0))</f>
        <v>0</v>
      </c>
      <c r="V5" s="13">
        <f>SUM(IFERROR(VLOOKUP($C:$C,Structure!$A:$AJ,V$1,0)*15,0),IFERROR(VLOOKUP($D:$D,Structure!$A:$AJ,V$1,0)*15,0),IFERROR(VLOOKUP($E:$E,Structure!$A:$AJ,V$1,0)*15,0))</f>
        <v>0</v>
      </c>
      <c r="W5" s="13">
        <f>SUM(IFERROR(VLOOKUP($C:$C,Structure!$A:$AJ,W$1,0)*15,0),IFERROR(VLOOKUP($D:$D,Structure!$A:$AJ,W$1,0)*15,0),IFERROR(VLOOKUP($E:$E,Structure!$A:$AJ,W$1,0)*15,0))</f>
        <v>0</v>
      </c>
      <c r="X5" s="13">
        <f>SUM(IFERROR(VLOOKUP($C:$C,Structure!$A:$AJ,X$1,0)*15,0),IFERROR(VLOOKUP($D:$D,Structure!$A:$AJ,X$1,0)*15,0),IFERROR(VLOOKUP($E:$E,Structure!$A:$AJ,X$1,0)*15,0))</f>
        <v>0</v>
      </c>
      <c r="Y5" s="13">
        <f>SUM(IFERROR(VLOOKUP($C:$C,Structure!$A:$AJ,Y$1,0)*15,0),IFERROR(VLOOKUP($D:$D,Structure!$A:$AJ,Y$1,0)*15,0),IFERROR(VLOOKUP($E:$E,Structure!$A:$AJ,Y$1,0)*15,0))</f>
        <v>0</v>
      </c>
      <c r="Z5" s="13">
        <f>SUM(IFERROR(VLOOKUP($C:$C,Structure!$A:$AJ,Z$1,0)*15,0),IFERROR(VLOOKUP($D:$D,Structure!$A:$AJ,Z$1,0)*15,0),IFERROR(VLOOKUP($E:$E,Structure!$A:$AJ,Z$1,0)*15,0))</f>
        <v>0</v>
      </c>
      <c r="AA5" s="13">
        <f>SUM(IFERROR(VLOOKUP($C:$C,Structure!$A:$AJ,AA$1,0)*15,0),IFERROR(VLOOKUP($D:$D,Structure!$A:$AJ,AA$1,0)*15,0),IFERROR(VLOOKUP($E:$E,Structure!$A:$AJ,AA$1,0)*15,0))</f>
        <v>45</v>
      </c>
      <c r="AB5" s="13">
        <f>SUM(IFERROR(VLOOKUP($C:$C,Structure!$A:$AJ,AB$1,0)*15,0),IFERROR(VLOOKUP($D:$D,Structure!$A:$AJ,AB$1,0)*15,0),IFERROR(VLOOKUP($E:$E,Structure!$A:$AJ,AB$1,0)*15,0))</f>
        <v>0</v>
      </c>
      <c r="AC5" s="13">
        <f>SUM(IFERROR(VLOOKUP($C:$C,Structure!$A:$AJ,AC$1,0)*15,0),IFERROR(VLOOKUP($D:$D,Structure!$A:$AJ,AC$1,0)*15,0),IFERROR(VLOOKUP($E:$E,Structure!$A:$AJ,AC$1,0)*15,0))</f>
        <v>0</v>
      </c>
      <c r="AD5" s="13">
        <f>SUM(IFERROR(VLOOKUP($C:$C,Structure!$A:$AJ,AD$1,0)*15,0),IFERROR(VLOOKUP($D:$D,Structure!$A:$AJ,AD$1,0)*15,0),IFERROR(VLOOKUP($E:$E,Structure!$A:$AJ,AD$1,0)*15,0))</f>
        <v>0</v>
      </c>
      <c r="AE5" s="13">
        <f>SUM(IFERROR(VLOOKUP($C:$C,Structure!$A:$AJ,AE$1,0)*15,0),IFERROR(VLOOKUP($D:$D,Structure!$A:$AJ,AE$1,0)*15,0),IFERROR(VLOOKUP($E:$E,Structure!$A:$AJ,AE$1,0)*15,0))</f>
        <v>0</v>
      </c>
      <c r="AF5" s="13">
        <f>SUM(IFERROR(VLOOKUP($C:$C,Structure!$A:$AJ,AF$1,0)*15,0),IFERROR(VLOOKUP($D:$D,Structure!$A:$AJ,AF$1,0)*15,0),IFERROR(VLOOKUP($E:$E,Structure!$A:$AJ,AF$1,0)*15,0))</f>
        <v>0</v>
      </c>
      <c r="AG5" s="13">
        <f>SUM(IFERROR(VLOOKUP($C:$C,Structure!$A:$AJ,AG$1,0)*15,0),IFERROR(VLOOKUP($D:$D,Structure!$A:$AJ,AG$1,0)*15,0),IFERROR(VLOOKUP($E:$E,Structure!$A:$AJ,AG$1,0)*15,0))</f>
        <v>0</v>
      </c>
      <c r="AH5" s="13">
        <f>SUM(IFERROR(VLOOKUP($C:$C,Structure!$A:$AJ,AH$1,0)*15,0),IFERROR(VLOOKUP($D:$D,Structure!$A:$AJ,AH$1,0)*15,0),IFERROR(VLOOKUP($E:$E,Structure!$A:$AJ,AH$1,0)*15,0))</f>
        <v>0</v>
      </c>
      <c r="AI5" s="13">
        <f>SUM(IFERROR(VLOOKUP($C:$C,Structure!$A:$AJ,AI$1,0)*15,0),IFERROR(VLOOKUP($D:$D,Structure!$A:$AJ,AI$1,0)*15,0),IFERROR(VLOOKUP($E:$E,Structure!$A:$AJ,AI$1,0)*15,0))</f>
        <v>0</v>
      </c>
      <c r="AJ5" s="13">
        <f>SUM(IFERROR(VLOOKUP($C:$C,Structure!$A:$AJ,AJ$1,0)*15,0),IFERROR(VLOOKUP($D:$D,Structure!$A:$AJ,AJ$1,0)*15,0),IFERROR(VLOOKUP($E:$E,Structure!$A:$AJ,AJ$1,0)*15,0))</f>
        <v>30</v>
      </c>
      <c r="AK5" s="13">
        <f>SUM(IFERROR(VLOOKUP($C:$C,Structure!$A:$AJ,AK$1,0)*15,0),IFERROR(VLOOKUP($D:$D,Structure!$A:$AJ,AK$1,0)*15,0),IFERROR(VLOOKUP($E:$E,Structure!$A:$AJ,AK$1,0)*15,0))</f>
        <v>15</v>
      </c>
      <c r="AL5" s="13">
        <f>SUM(IFERROR(VLOOKUP($C:$C,Structure!$A:$AJ,AL$1,0)*15,0),IFERROR(VLOOKUP($D:$D,Structure!$A:$AJ,AL$1,0)*15,0),IFERROR(VLOOKUP($E:$E,Structure!$A:$AJ,AL$1,0)*15,0))</f>
        <v>0</v>
      </c>
      <c r="AM5" s="13">
        <f>SUM(IFERROR(VLOOKUP($C:$C,Structure!$A:$AJ,AM$1,0)*15,0),IFERROR(VLOOKUP($D:$D,Structure!$A:$AJ,AM$1,0)*15,0),IFERROR(VLOOKUP($E:$E,Structure!$A:$AJ,AM$1,0)*15,0))</f>
        <v>0</v>
      </c>
      <c r="AN5" s="13">
        <f>SUM(IFERROR(VLOOKUP($C:$C,Structure!$A:$AJ,AN$1,0)*15,0),IFERROR(VLOOKUP($D:$D,Structure!$A:$AJ,AN$1,0)*15,0),IFERROR(VLOOKUP($E:$E,Structure!$A:$AJ,AN$1,0)*15,0))</f>
        <v>0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3"/>
      <c r="BZ5" s="4">
        <f>BZ4+AQ5-F5</f>
        <v>0</v>
      </c>
      <c r="CA5" s="4">
        <f>CA4+AR5-G5</f>
        <v>0</v>
      </c>
      <c r="CB5" s="4">
        <f>CB4+AS5-H5</f>
        <v>0</v>
      </c>
      <c r="CC5" s="4">
        <f>CC4+AT5-I5</f>
        <v>0</v>
      </c>
      <c r="CD5" s="4">
        <f>CD4+AU5-J5</f>
        <v>0</v>
      </c>
      <c r="CE5" s="4">
        <f>CE4+AV5-K5</f>
        <v>0</v>
      </c>
      <c r="CF5" s="4">
        <f>CF4+AW5-L5</f>
        <v>0</v>
      </c>
      <c r="CG5" s="4">
        <f>CG4+AX5-M5</f>
        <v>0</v>
      </c>
      <c r="CH5" s="4">
        <f>CH4+AY5-N5</f>
        <v>0</v>
      </c>
      <c r="CI5" s="4">
        <f>CI4+AZ5-O5</f>
        <v>0</v>
      </c>
      <c r="CJ5" s="4">
        <f>CJ4+BA5-P5</f>
        <v>0</v>
      </c>
      <c r="CK5" s="4">
        <f>CK4+BB5-Q5</f>
        <v>0</v>
      </c>
      <c r="CL5" s="4">
        <f>CL4+BC5-R5</f>
        <v>0</v>
      </c>
      <c r="CM5" s="4">
        <f>CM4+BD5-S5</f>
        <v>0</v>
      </c>
      <c r="CN5" s="4">
        <f>CN4+BE5-T5</f>
        <v>0</v>
      </c>
      <c r="CO5" s="4">
        <f>CO4+BF5-U5</f>
        <v>0</v>
      </c>
      <c r="CP5" s="4">
        <f>CP4+BG5-V5</f>
        <v>0</v>
      </c>
      <c r="CQ5" s="4">
        <f>CQ4+BH5-W5</f>
        <v>0</v>
      </c>
      <c r="CR5" s="4">
        <f>CR4+BI5-X5</f>
        <v>0</v>
      </c>
      <c r="CS5" s="4">
        <f>CS4+BJ5-Y5</f>
        <v>0</v>
      </c>
      <c r="CT5" s="4">
        <f>CT4+BK5-Z5</f>
        <v>0</v>
      </c>
      <c r="CU5" s="4">
        <f>CU4+BL5-AA5</f>
        <v>-35</v>
      </c>
      <c r="CV5" s="4">
        <f>CV4+BM5-AB5</f>
        <v>0</v>
      </c>
      <c r="CW5" s="4">
        <f>CW4+BN5-AC5</f>
        <v>0</v>
      </c>
      <c r="CX5" s="4">
        <f>CX4+BO5-AD5</f>
        <v>0</v>
      </c>
      <c r="CY5" s="4">
        <f>CY4+BP5-AE5</f>
        <v>0</v>
      </c>
      <c r="CZ5" s="4">
        <f>CZ4+BQ5-AF5</f>
        <v>80</v>
      </c>
      <c r="DA5" s="4">
        <f>DA4+BR5-AG5</f>
        <v>0</v>
      </c>
      <c r="DB5" s="4">
        <f>DB4+BS5-AH5</f>
        <v>0</v>
      </c>
      <c r="DC5" s="4">
        <f>DC4+BT5-AI5</f>
        <v>0</v>
      </c>
      <c r="DD5" s="4">
        <f>DD4+BU5-AJ5</f>
        <v>-70</v>
      </c>
      <c r="DE5" s="4">
        <f>DE4+BV5-AK5</f>
        <v>15</v>
      </c>
      <c r="DF5" s="4">
        <f>DF4+BW5-AL5</f>
        <v>0</v>
      </c>
      <c r="DG5" s="4">
        <f>DG4+BX5-AM5</f>
        <v>20</v>
      </c>
      <c r="DH5" s="4">
        <f>DH4+BY5-AN5</f>
        <v>0</v>
      </c>
    </row>
    <row r="6" spans="1:112" x14ac:dyDescent="0.25">
      <c r="A6" s="6">
        <v>46179</v>
      </c>
      <c r="B6" s="7">
        <v>0.45833333332848269</v>
      </c>
      <c r="C6" s="3" t="s">
        <v>3</v>
      </c>
      <c r="D6" s="3" t="s">
        <v>6</v>
      </c>
      <c r="E6" s="3" t="s">
        <v>2</v>
      </c>
      <c r="F6" s="13">
        <f>SUM(IFERROR(VLOOKUP($C:$C,Structure!$A:$AJ,F$1,0)*15,0),IFERROR(VLOOKUP($D:$D,Structure!$A:$AJ,F$1,0)*15,0),IFERROR(VLOOKUP($E:$E,Structure!$A:$AJ,F$1,0)*15,0))</f>
        <v>0</v>
      </c>
      <c r="G6" s="13">
        <f>SUM(IFERROR(VLOOKUP($C:$C,Structure!$A:$AJ,G$1,0)*15,0),IFERROR(VLOOKUP($D:$D,Structure!$A:$AJ,G$1,0)*15,0),IFERROR(VLOOKUP($E:$E,Structure!$A:$AJ,G$1,0)*15,0))</f>
        <v>0</v>
      </c>
      <c r="H6" s="13">
        <f>SUM(IFERROR(VLOOKUP($C:$C,Structure!$A:$AJ,H$1,0)*15,0),IFERROR(VLOOKUP($D:$D,Structure!$A:$AJ,H$1,0)*15,0),IFERROR(VLOOKUP($E:$E,Structure!$A:$AJ,H$1,0)*15,0))</f>
        <v>0</v>
      </c>
      <c r="I6" s="13">
        <f>SUM(IFERROR(VLOOKUP($C:$C,Structure!$A:$AJ,I$1,0)*15,0),IFERROR(VLOOKUP($D:$D,Structure!$A:$AJ,I$1,0)*15,0),IFERROR(VLOOKUP($E:$E,Structure!$A:$AJ,I$1,0)*15,0))</f>
        <v>0</v>
      </c>
      <c r="J6" s="13">
        <f>SUM(IFERROR(VLOOKUP($C:$C,Structure!$A:$AJ,J$1,0)*15,0),IFERROR(VLOOKUP($D:$D,Structure!$A:$AJ,J$1,0)*15,0),IFERROR(VLOOKUP($E:$E,Structure!$A:$AJ,J$1,0)*15,0))</f>
        <v>0</v>
      </c>
      <c r="K6" s="13">
        <f>SUM(IFERROR(VLOOKUP($C:$C,Structure!$A:$AJ,K$1,0)*15,0),IFERROR(VLOOKUP($D:$D,Structure!$A:$AJ,K$1,0)*15,0),IFERROR(VLOOKUP($E:$E,Structure!$A:$AJ,K$1,0)*15,0))</f>
        <v>0</v>
      </c>
      <c r="L6" s="13">
        <f>SUM(IFERROR(VLOOKUP($C:$C,Structure!$A:$AJ,L$1,0)*15,0),IFERROR(VLOOKUP($D:$D,Structure!$A:$AJ,L$1,0)*15,0),IFERROR(VLOOKUP($E:$E,Structure!$A:$AJ,L$1,0)*15,0))</f>
        <v>0</v>
      </c>
      <c r="M6" s="13">
        <f>SUM(IFERROR(VLOOKUP($C:$C,Structure!$A:$AJ,M$1,0)*15,0),IFERROR(VLOOKUP($D:$D,Structure!$A:$AJ,M$1,0)*15,0),IFERROR(VLOOKUP($E:$E,Structure!$A:$AJ,M$1,0)*15,0))</f>
        <v>0</v>
      </c>
      <c r="N6" s="13">
        <f>SUM(IFERROR(VLOOKUP($C:$C,Structure!$A:$AJ,N$1,0)*15,0),IFERROR(VLOOKUP($D:$D,Structure!$A:$AJ,N$1,0)*15,0),IFERROR(VLOOKUP($E:$E,Structure!$A:$AJ,N$1,0)*15,0))</f>
        <v>0</v>
      </c>
      <c r="O6" s="13">
        <f>SUM(IFERROR(VLOOKUP($C:$C,Structure!$A:$AJ,O$1,0)*15,0),IFERROR(VLOOKUP($D:$D,Structure!$A:$AJ,O$1,0)*15,0),IFERROR(VLOOKUP($E:$E,Structure!$A:$AJ,O$1,0)*15,0))</f>
        <v>0</v>
      </c>
      <c r="P6" s="13">
        <f>SUM(IFERROR(VLOOKUP($C:$C,Structure!$A:$AJ,P$1,0)*15,0),IFERROR(VLOOKUP($D:$D,Structure!$A:$AJ,P$1,0)*15,0),IFERROR(VLOOKUP($E:$E,Structure!$A:$AJ,P$1,0)*15,0))</f>
        <v>0</v>
      </c>
      <c r="Q6" s="13">
        <f>SUM(IFERROR(VLOOKUP($C:$C,Structure!$A:$AJ,Q$1,0)*15,0),IFERROR(VLOOKUP($D:$D,Structure!$A:$AJ,Q$1,0)*15,0),IFERROR(VLOOKUP($E:$E,Structure!$A:$AJ,Q$1,0)*15,0))</f>
        <v>0</v>
      </c>
      <c r="R6" s="13">
        <f>SUM(IFERROR(VLOOKUP($C:$C,Structure!$A:$AJ,R$1,0)*15,0),IFERROR(VLOOKUP($D:$D,Structure!$A:$AJ,R$1,0)*15,0),IFERROR(VLOOKUP($E:$E,Structure!$A:$AJ,R$1,0)*15,0))</f>
        <v>0</v>
      </c>
      <c r="S6" s="13">
        <f>SUM(IFERROR(VLOOKUP($C:$C,Structure!$A:$AJ,S$1,0)*15,0),IFERROR(VLOOKUP($D:$D,Structure!$A:$AJ,S$1,0)*15,0),IFERROR(VLOOKUP($E:$E,Structure!$A:$AJ,S$1,0)*15,0))</f>
        <v>0</v>
      </c>
      <c r="T6" s="13">
        <f>SUM(IFERROR(VLOOKUP($C:$C,Structure!$A:$AJ,T$1,0)*15,0),IFERROR(VLOOKUP($D:$D,Structure!$A:$AJ,T$1,0)*15,0),IFERROR(VLOOKUP($E:$E,Structure!$A:$AJ,T$1,0)*15,0))</f>
        <v>0</v>
      </c>
      <c r="U6" s="13">
        <f>SUM(IFERROR(VLOOKUP($C:$C,Structure!$A:$AJ,U$1,0)*15,0),IFERROR(VLOOKUP($D:$D,Structure!$A:$AJ,U$1,0)*15,0),IFERROR(VLOOKUP($E:$E,Structure!$A:$AJ,U$1,0)*15,0))</f>
        <v>0</v>
      </c>
      <c r="V6" s="13">
        <f>SUM(IFERROR(VLOOKUP($C:$C,Structure!$A:$AJ,V$1,0)*15,0),IFERROR(VLOOKUP($D:$D,Structure!$A:$AJ,V$1,0)*15,0),IFERROR(VLOOKUP($E:$E,Structure!$A:$AJ,V$1,0)*15,0))</f>
        <v>0</v>
      </c>
      <c r="W6" s="13">
        <f>SUM(IFERROR(VLOOKUP($C:$C,Structure!$A:$AJ,W$1,0)*15,0),IFERROR(VLOOKUP($D:$D,Structure!$A:$AJ,W$1,0)*15,0),IFERROR(VLOOKUP($E:$E,Structure!$A:$AJ,W$1,0)*15,0))</f>
        <v>0</v>
      </c>
      <c r="X6" s="13">
        <f>SUM(IFERROR(VLOOKUP($C:$C,Structure!$A:$AJ,X$1,0)*15,0),IFERROR(VLOOKUP($D:$D,Structure!$A:$AJ,X$1,0)*15,0),IFERROR(VLOOKUP($E:$E,Structure!$A:$AJ,X$1,0)*15,0))</f>
        <v>0</v>
      </c>
      <c r="Y6" s="13">
        <f>SUM(IFERROR(VLOOKUP($C:$C,Structure!$A:$AJ,Y$1,0)*15,0),IFERROR(VLOOKUP($D:$D,Structure!$A:$AJ,Y$1,0)*15,0),IFERROR(VLOOKUP($E:$E,Structure!$A:$AJ,Y$1,0)*15,0))</f>
        <v>0</v>
      </c>
      <c r="Z6" s="13">
        <f>SUM(IFERROR(VLOOKUP($C:$C,Structure!$A:$AJ,Z$1,0)*15,0),IFERROR(VLOOKUP($D:$D,Structure!$A:$AJ,Z$1,0)*15,0),IFERROR(VLOOKUP($E:$E,Structure!$A:$AJ,Z$1,0)*15,0))</f>
        <v>0</v>
      </c>
      <c r="AA6" s="13">
        <f>SUM(IFERROR(VLOOKUP($C:$C,Structure!$A:$AJ,AA$1,0)*15,0),IFERROR(VLOOKUP($D:$D,Structure!$A:$AJ,AA$1,0)*15,0),IFERROR(VLOOKUP($E:$E,Structure!$A:$AJ,AA$1,0)*15,0))</f>
        <v>45</v>
      </c>
      <c r="AB6" s="13">
        <f>SUM(IFERROR(VLOOKUP($C:$C,Structure!$A:$AJ,AB$1,0)*15,0),IFERROR(VLOOKUP($D:$D,Structure!$A:$AJ,AB$1,0)*15,0),IFERROR(VLOOKUP($E:$E,Structure!$A:$AJ,AB$1,0)*15,0))</f>
        <v>0</v>
      </c>
      <c r="AC6" s="13">
        <f>SUM(IFERROR(VLOOKUP($C:$C,Structure!$A:$AJ,AC$1,0)*15,0),IFERROR(VLOOKUP($D:$D,Structure!$A:$AJ,AC$1,0)*15,0),IFERROR(VLOOKUP($E:$E,Structure!$A:$AJ,AC$1,0)*15,0))</f>
        <v>0</v>
      </c>
      <c r="AD6" s="13">
        <f>SUM(IFERROR(VLOOKUP($C:$C,Structure!$A:$AJ,AD$1,0)*15,0),IFERROR(VLOOKUP($D:$D,Structure!$A:$AJ,AD$1,0)*15,0),IFERROR(VLOOKUP($E:$E,Structure!$A:$AJ,AD$1,0)*15,0))</f>
        <v>0</v>
      </c>
      <c r="AE6" s="13">
        <f>SUM(IFERROR(VLOOKUP($C:$C,Structure!$A:$AJ,AE$1,0)*15,0),IFERROR(VLOOKUP($D:$D,Structure!$A:$AJ,AE$1,0)*15,0),IFERROR(VLOOKUP($E:$E,Structure!$A:$AJ,AE$1,0)*15,0))</f>
        <v>0</v>
      </c>
      <c r="AF6" s="13">
        <f>SUM(IFERROR(VLOOKUP($C:$C,Structure!$A:$AJ,AF$1,0)*15,0),IFERROR(VLOOKUP($D:$D,Structure!$A:$AJ,AF$1,0)*15,0),IFERROR(VLOOKUP($E:$E,Structure!$A:$AJ,AF$1,0)*15,0))</f>
        <v>0</v>
      </c>
      <c r="AG6" s="13">
        <f>SUM(IFERROR(VLOOKUP($C:$C,Structure!$A:$AJ,AG$1,0)*15,0),IFERROR(VLOOKUP($D:$D,Structure!$A:$AJ,AG$1,0)*15,0),IFERROR(VLOOKUP($E:$E,Structure!$A:$AJ,AG$1,0)*15,0))</f>
        <v>0</v>
      </c>
      <c r="AH6" s="13">
        <f>SUM(IFERROR(VLOOKUP($C:$C,Structure!$A:$AJ,AH$1,0)*15,0),IFERROR(VLOOKUP($D:$D,Structure!$A:$AJ,AH$1,0)*15,0),IFERROR(VLOOKUP($E:$E,Structure!$A:$AJ,AH$1,0)*15,0))</f>
        <v>0</v>
      </c>
      <c r="AI6" s="13">
        <f>SUM(IFERROR(VLOOKUP($C:$C,Structure!$A:$AJ,AI$1,0)*15,0),IFERROR(VLOOKUP($D:$D,Structure!$A:$AJ,AI$1,0)*15,0),IFERROR(VLOOKUP($E:$E,Structure!$A:$AJ,AI$1,0)*15,0))</f>
        <v>0</v>
      </c>
      <c r="AJ6" s="13">
        <f>SUM(IFERROR(VLOOKUP($C:$C,Structure!$A:$AJ,AJ$1,0)*15,0),IFERROR(VLOOKUP($D:$D,Structure!$A:$AJ,AJ$1,0)*15,0),IFERROR(VLOOKUP($E:$E,Structure!$A:$AJ,AJ$1,0)*15,0))</f>
        <v>30</v>
      </c>
      <c r="AK6" s="13">
        <f>SUM(IFERROR(VLOOKUP($C:$C,Structure!$A:$AJ,AK$1,0)*15,0),IFERROR(VLOOKUP($D:$D,Structure!$A:$AJ,AK$1,0)*15,0),IFERROR(VLOOKUP($E:$E,Structure!$A:$AJ,AK$1,0)*15,0))</f>
        <v>15</v>
      </c>
      <c r="AL6" s="13">
        <f>SUM(IFERROR(VLOOKUP($C:$C,Structure!$A:$AJ,AL$1,0)*15,0),IFERROR(VLOOKUP($D:$D,Structure!$A:$AJ,AL$1,0)*15,0),IFERROR(VLOOKUP($E:$E,Structure!$A:$AJ,AL$1,0)*15,0))</f>
        <v>0</v>
      </c>
      <c r="AM6" s="13">
        <f>SUM(IFERROR(VLOOKUP($C:$C,Structure!$A:$AJ,AM$1,0)*15,0),IFERROR(VLOOKUP($D:$D,Structure!$A:$AJ,AM$1,0)*15,0),IFERROR(VLOOKUP($E:$E,Structure!$A:$AJ,AM$1,0)*15,0))</f>
        <v>0</v>
      </c>
      <c r="AN6" s="13">
        <f>SUM(IFERROR(VLOOKUP($C:$C,Structure!$A:$AJ,AN$1,0)*15,0),IFERROR(VLOOKUP($D:$D,Structure!$A:$AJ,AN$1,0)*15,0),IFERROR(VLOOKUP($E:$E,Structure!$A:$AJ,AN$1,0)*15,0))</f>
        <v>0</v>
      </c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3"/>
      <c r="BZ6" s="4">
        <f>BZ5+AQ6-F6</f>
        <v>0</v>
      </c>
      <c r="CA6" s="4">
        <f>CA5+AR6-G6</f>
        <v>0</v>
      </c>
      <c r="CB6" s="4">
        <f>CB5+AS6-H6</f>
        <v>0</v>
      </c>
      <c r="CC6" s="4">
        <f>CC5+AT6-I6</f>
        <v>0</v>
      </c>
      <c r="CD6" s="4">
        <f>CD5+AU6-J6</f>
        <v>0</v>
      </c>
      <c r="CE6" s="4">
        <f>CE5+AV6-K6</f>
        <v>0</v>
      </c>
      <c r="CF6" s="4">
        <f>CF5+AW6-L6</f>
        <v>0</v>
      </c>
      <c r="CG6" s="4">
        <f>CG5+AX6-M6</f>
        <v>0</v>
      </c>
      <c r="CH6" s="4">
        <f>CH5+AY6-N6</f>
        <v>0</v>
      </c>
      <c r="CI6" s="4">
        <f>CI5+AZ6-O6</f>
        <v>0</v>
      </c>
      <c r="CJ6" s="4">
        <f>CJ5+BA6-P6</f>
        <v>0</v>
      </c>
      <c r="CK6" s="4">
        <f>CK5+BB6-Q6</f>
        <v>0</v>
      </c>
      <c r="CL6" s="4">
        <f>CL5+BC6-R6</f>
        <v>0</v>
      </c>
      <c r="CM6" s="4">
        <f>CM5+BD6-S6</f>
        <v>0</v>
      </c>
      <c r="CN6" s="4">
        <f>CN5+BE6-T6</f>
        <v>0</v>
      </c>
      <c r="CO6" s="4">
        <f>CO5+BF6-U6</f>
        <v>0</v>
      </c>
      <c r="CP6" s="4">
        <f>CP5+BG6-V6</f>
        <v>0</v>
      </c>
      <c r="CQ6" s="4">
        <f>CQ5+BH6-W6</f>
        <v>0</v>
      </c>
      <c r="CR6" s="4">
        <f>CR5+BI6-X6</f>
        <v>0</v>
      </c>
      <c r="CS6" s="4">
        <f>CS5+BJ6-Y6</f>
        <v>0</v>
      </c>
      <c r="CT6" s="4">
        <f>CT5+BK6-Z6</f>
        <v>0</v>
      </c>
      <c r="CU6" s="4">
        <f>CU5+BL6-AA6</f>
        <v>-80</v>
      </c>
      <c r="CV6" s="4">
        <f>CV5+BM6-AB6</f>
        <v>0</v>
      </c>
      <c r="CW6" s="4">
        <f>CW5+BN6-AC6</f>
        <v>0</v>
      </c>
      <c r="CX6" s="4">
        <f>CX5+BO6-AD6</f>
        <v>0</v>
      </c>
      <c r="CY6" s="4">
        <f>CY5+BP6-AE6</f>
        <v>0</v>
      </c>
      <c r="CZ6" s="4">
        <f>CZ5+BQ6-AF6</f>
        <v>80</v>
      </c>
      <c r="DA6" s="4">
        <f>DA5+BR6-AG6</f>
        <v>0</v>
      </c>
      <c r="DB6" s="4">
        <f>DB5+BS6-AH6</f>
        <v>0</v>
      </c>
      <c r="DC6" s="4">
        <f>DC5+BT6-AI6</f>
        <v>0</v>
      </c>
      <c r="DD6" s="4">
        <f>DD5+BU6-AJ6</f>
        <v>-100</v>
      </c>
      <c r="DE6" s="4">
        <f>DE5+BV6-AK6</f>
        <v>0</v>
      </c>
      <c r="DF6" s="4">
        <f>DF5+BW6-AL6</f>
        <v>0</v>
      </c>
      <c r="DG6" s="4">
        <f>DG5+BX6-AM6</f>
        <v>20</v>
      </c>
      <c r="DH6" s="4">
        <f>DH5+BY6-AN6</f>
        <v>0</v>
      </c>
    </row>
    <row r="7" spans="1:112" x14ac:dyDescent="0.25">
      <c r="A7" s="6">
        <v>46179</v>
      </c>
      <c r="B7" s="7">
        <v>0.49999999999272404</v>
      </c>
      <c r="C7" s="3" t="s">
        <v>3</v>
      </c>
      <c r="D7" s="3" t="s">
        <v>6</v>
      </c>
      <c r="E7" s="3" t="s">
        <v>2</v>
      </c>
      <c r="F7" s="13">
        <f>SUM(IFERROR(VLOOKUP($C:$C,Structure!$A:$AJ,F$1,0)*15,0),IFERROR(VLOOKUP($D:$D,Structure!$A:$AJ,F$1,0)*15,0),IFERROR(VLOOKUP($E:$E,Structure!$A:$AJ,F$1,0)*15,0))</f>
        <v>0</v>
      </c>
      <c r="G7" s="13">
        <f>SUM(IFERROR(VLOOKUP($C:$C,Structure!$A:$AJ,G$1,0)*15,0),IFERROR(VLOOKUP($D:$D,Structure!$A:$AJ,G$1,0)*15,0),IFERROR(VLOOKUP($E:$E,Structure!$A:$AJ,G$1,0)*15,0))</f>
        <v>0</v>
      </c>
      <c r="H7" s="13">
        <f>SUM(IFERROR(VLOOKUP($C:$C,Structure!$A:$AJ,H$1,0)*15,0),IFERROR(VLOOKUP($D:$D,Structure!$A:$AJ,H$1,0)*15,0),IFERROR(VLOOKUP($E:$E,Structure!$A:$AJ,H$1,0)*15,0))</f>
        <v>0</v>
      </c>
      <c r="I7" s="13">
        <f>SUM(IFERROR(VLOOKUP($C:$C,Structure!$A:$AJ,I$1,0)*15,0),IFERROR(VLOOKUP($D:$D,Structure!$A:$AJ,I$1,0)*15,0),IFERROR(VLOOKUP($E:$E,Structure!$A:$AJ,I$1,0)*15,0))</f>
        <v>0</v>
      </c>
      <c r="J7" s="13">
        <f>SUM(IFERROR(VLOOKUP($C:$C,Structure!$A:$AJ,J$1,0)*15,0),IFERROR(VLOOKUP($D:$D,Structure!$A:$AJ,J$1,0)*15,0),IFERROR(VLOOKUP($E:$E,Structure!$A:$AJ,J$1,0)*15,0))</f>
        <v>0</v>
      </c>
      <c r="K7" s="13">
        <f>SUM(IFERROR(VLOOKUP($C:$C,Structure!$A:$AJ,K$1,0)*15,0),IFERROR(VLOOKUP($D:$D,Structure!$A:$AJ,K$1,0)*15,0),IFERROR(VLOOKUP($E:$E,Structure!$A:$AJ,K$1,0)*15,0))</f>
        <v>0</v>
      </c>
      <c r="L7" s="13">
        <f>SUM(IFERROR(VLOOKUP($C:$C,Structure!$A:$AJ,L$1,0)*15,0),IFERROR(VLOOKUP($D:$D,Structure!$A:$AJ,L$1,0)*15,0),IFERROR(VLOOKUP($E:$E,Structure!$A:$AJ,L$1,0)*15,0))</f>
        <v>0</v>
      </c>
      <c r="M7" s="13">
        <f>SUM(IFERROR(VLOOKUP($C:$C,Structure!$A:$AJ,M$1,0)*15,0),IFERROR(VLOOKUP($D:$D,Structure!$A:$AJ,M$1,0)*15,0),IFERROR(VLOOKUP($E:$E,Structure!$A:$AJ,M$1,0)*15,0))</f>
        <v>0</v>
      </c>
      <c r="N7" s="13">
        <f>SUM(IFERROR(VLOOKUP($C:$C,Structure!$A:$AJ,N$1,0)*15,0),IFERROR(VLOOKUP($D:$D,Structure!$A:$AJ,N$1,0)*15,0),IFERROR(VLOOKUP($E:$E,Structure!$A:$AJ,N$1,0)*15,0))</f>
        <v>0</v>
      </c>
      <c r="O7" s="13">
        <f>SUM(IFERROR(VLOOKUP($C:$C,Structure!$A:$AJ,O$1,0)*15,0),IFERROR(VLOOKUP($D:$D,Structure!$A:$AJ,O$1,0)*15,0),IFERROR(VLOOKUP($E:$E,Structure!$A:$AJ,O$1,0)*15,0))</f>
        <v>0</v>
      </c>
      <c r="P7" s="13">
        <f>SUM(IFERROR(VLOOKUP($C:$C,Structure!$A:$AJ,P$1,0)*15,0),IFERROR(VLOOKUP($D:$D,Structure!$A:$AJ,P$1,0)*15,0),IFERROR(VLOOKUP($E:$E,Structure!$A:$AJ,P$1,0)*15,0))</f>
        <v>0</v>
      </c>
      <c r="Q7" s="13">
        <f>SUM(IFERROR(VLOOKUP($C:$C,Structure!$A:$AJ,Q$1,0)*15,0),IFERROR(VLOOKUP($D:$D,Structure!$A:$AJ,Q$1,0)*15,0),IFERROR(VLOOKUP($E:$E,Structure!$A:$AJ,Q$1,0)*15,0))</f>
        <v>0</v>
      </c>
      <c r="R7" s="13">
        <f>SUM(IFERROR(VLOOKUP($C:$C,Structure!$A:$AJ,R$1,0)*15,0),IFERROR(VLOOKUP($D:$D,Structure!$A:$AJ,R$1,0)*15,0),IFERROR(VLOOKUP($E:$E,Structure!$A:$AJ,R$1,0)*15,0))</f>
        <v>0</v>
      </c>
      <c r="S7" s="13">
        <f>SUM(IFERROR(VLOOKUP($C:$C,Structure!$A:$AJ,S$1,0)*15,0),IFERROR(VLOOKUP($D:$D,Structure!$A:$AJ,S$1,0)*15,0),IFERROR(VLOOKUP($E:$E,Structure!$A:$AJ,S$1,0)*15,0))</f>
        <v>0</v>
      </c>
      <c r="T7" s="13">
        <f>SUM(IFERROR(VLOOKUP($C:$C,Structure!$A:$AJ,T$1,0)*15,0),IFERROR(VLOOKUP($D:$D,Structure!$A:$AJ,T$1,0)*15,0),IFERROR(VLOOKUP($E:$E,Structure!$A:$AJ,T$1,0)*15,0))</f>
        <v>0</v>
      </c>
      <c r="U7" s="13">
        <f>SUM(IFERROR(VLOOKUP($C:$C,Structure!$A:$AJ,U$1,0)*15,0),IFERROR(VLOOKUP($D:$D,Structure!$A:$AJ,U$1,0)*15,0),IFERROR(VLOOKUP($E:$E,Structure!$A:$AJ,U$1,0)*15,0))</f>
        <v>0</v>
      </c>
      <c r="V7" s="13">
        <f>SUM(IFERROR(VLOOKUP($C:$C,Structure!$A:$AJ,V$1,0)*15,0),IFERROR(VLOOKUP($D:$D,Structure!$A:$AJ,V$1,0)*15,0),IFERROR(VLOOKUP($E:$E,Structure!$A:$AJ,V$1,0)*15,0))</f>
        <v>0</v>
      </c>
      <c r="W7" s="13">
        <f>SUM(IFERROR(VLOOKUP($C:$C,Structure!$A:$AJ,W$1,0)*15,0),IFERROR(VLOOKUP($D:$D,Structure!$A:$AJ,W$1,0)*15,0),IFERROR(VLOOKUP($E:$E,Structure!$A:$AJ,W$1,0)*15,0))</f>
        <v>0</v>
      </c>
      <c r="X7" s="13">
        <f>SUM(IFERROR(VLOOKUP($C:$C,Structure!$A:$AJ,X$1,0)*15,0),IFERROR(VLOOKUP($D:$D,Structure!$A:$AJ,X$1,0)*15,0),IFERROR(VLOOKUP($E:$E,Structure!$A:$AJ,X$1,0)*15,0))</f>
        <v>0</v>
      </c>
      <c r="Y7" s="13">
        <f>SUM(IFERROR(VLOOKUP($C:$C,Structure!$A:$AJ,Y$1,0)*15,0),IFERROR(VLOOKUP($D:$D,Structure!$A:$AJ,Y$1,0)*15,0),IFERROR(VLOOKUP($E:$E,Structure!$A:$AJ,Y$1,0)*15,0))</f>
        <v>0</v>
      </c>
      <c r="Z7" s="13">
        <f>SUM(IFERROR(VLOOKUP($C:$C,Structure!$A:$AJ,Z$1,0)*15,0),IFERROR(VLOOKUP($D:$D,Structure!$A:$AJ,Z$1,0)*15,0),IFERROR(VLOOKUP($E:$E,Structure!$A:$AJ,Z$1,0)*15,0))</f>
        <v>0</v>
      </c>
      <c r="AA7" s="13">
        <f>SUM(IFERROR(VLOOKUP($C:$C,Structure!$A:$AJ,AA$1,0)*15,0),IFERROR(VLOOKUP($D:$D,Structure!$A:$AJ,AA$1,0)*15,0),IFERROR(VLOOKUP($E:$E,Structure!$A:$AJ,AA$1,0)*15,0))</f>
        <v>45</v>
      </c>
      <c r="AB7" s="13">
        <f>SUM(IFERROR(VLOOKUP($C:$C,Structure!$A:$AJ,AB$1,0)*15,0),IFERROR(VLOOKUP($D:$D,Structure!$A:$AJ,AB$1,0)*15,0),IFERROR(VLOOKUP($E:$E,Structure!$A:$AJ,AB$1,0)*15,0))</f>
        <v>0</v>
      </c>
      <c r="AC7" s="13">
        <f>SUM(IFERROR(VLOOKUP($C:$C,Structure!$A:$AJ,AC$1,0)*15,0),IFERROR(VLOOKUP($D:$D,Structure!$A:$AJ,AC$1,0)*15,0),IFERROR(VLOOKUP($E:$E,Structure!$A:$AJ,AC$1,0)*15,0))</f>
        <v>0</v>
      </c>
      <c r="AD7" s="13">
        <f>SUM(IFERROR(VLOOKUP($C:$C,Structure!$A:$AJ,AD$1,0)*15,0),IFERROR(VLOOKUP($D:$D,Structure!$A:$AJ,AD$1,0)*15,0),IFERROR(VLOOKUP($E:$E,Structure!$A:$AJ,AD$1,0)*15,0))</f>
        <v>0</v>
      </c>
      <c r="AE7" s="13">
        <f>SUM(IFERROR(VLOOKUP($C:$C,Structure!$A:$AJ,AE$1,0)*15,0),IFERROR(VLOOKUP($D:$D,Structure!$A:$AJ,AE$1,0)*15,0),IFERROR(VLOOKUP($E:$E,Structure!$A:$AJ,AE$1,0)*15,0))</f>
        <v>0</v>
      </c>
      <c r="AF7" s="13">
        <f>SUM(IFERROR(VLOOKUP($C:$C,Structure!$A:$AJ,AF$1,0)*15,0),IFERROR(VLOOKUP($D:$D,Structure!$A:$AJ,AF$1,0)*15,0),IFERROR(VLOOKUP($E:$E,Structure!$A:$AJ,AF$1,0)*15,0))</f>
        <v>0</v>
      </c>
      <c r="AG7" s="13">
        <f>SUM(IFERROR(VLOOKUP($C:$C,Structure!$A:$AJ,AG$1,0)*15,0),IFERROR(VLOOKUP($D:$D,Structure!$A:$AJ,AG$1,0)*15,0),IFERROR(VLOOKUP($E:$E,Structure!$A:$AJ,AG$1,0)*15,0))</f>
        <v>0</v>
      </c>
      <c r="AH7" s="13">
        <f>SUM(IFERROR(VLOOKUP($C:$C,Structure!$A:$AJ,AH$1,0)*15,0),IFERROR(VLOOKUP($D:$D,Structure!$A:$AJ,AH$1,0)*15,0),IFERROR(VLOOKUP($E:$E,Structure!$A:$AJ,AH$1,0)*15,0))</f>
        <v>0</v>
      </c>
      <c r="AI7" s="13">
        <f>SUM(IFERROR(VLOOKUP($C:$C,Structure!$A:$AJ,AI$1,0)*15,0),IFERROR(VLOOKUP($D:$D,Structure!$A:$AJ,AI$1,0)*15,0),IFERROR(VLOOKUP($E:$E,Structure!$A:$AJ,AI$1,0)*15,0))</f>
        <v>0</v>
      </c>
      <c r="AJ7" s="13">
        <f>SUM(IFERROR(VLOOKUP($C:$C,Structure!$A:$AJ,AJ$1,0)*15,0),IFERROR(VLOOKUP($D:$D,Structure!$A:$AJ,AJ$1,0)*15,0),IFERROR(VLOOKUP($E:$E,Structure!$A:$AJ,AJ$1,0)*15,0))</f>
        <v>30</v>
      </c>
      <c r="AK7" s="13">
        <f>SUM(IFERROR(VLOOKUP($C:$C,Structure!$A:$AJ,AK$1,0)*15,0),IFERROR(VLOOKUP($D:$D,Structure!$A:$AJ,AK$1,0)*15,0),IFERROR(VLOOKUP($E:$E,Structure!$A:$AJ,AK$1,0)*15,0))</f>
        <v>15</v>
      </c>
      <c r="AL7" s="13">
        <f>SUM(IFERROR(VLOOKUP($C:$C,Structure!$A:$AJ,AL$1,0)*15,0),IFERROR(VLOOKUP($D:$D,Structure!$A:$AJ,AL$1,0)*15,0),IFERROR(VLOOKUP($E:$E,Structure!$A:$AJ,AL$1,0)*15,0))</f>
        <v>0</v>
      </c>
      <c r="AM7" s="13">
        <f>SUM(IFERROR(VLOOKUP($C:$C,Structure!$A:$AJ,AM$1,0)*15,0),IFERROR(VLOOKUP($D:$D,Structure!$A:$AJ,AM$1,0)*15,0),IFERROR(VLOOKUP($E:$E,Structure!$A:$AJ,AM$1,0)*15,0))</f>
        <v>0</v>
      </c>
      <c r="AN7" s="13">
        <f>SUM(IFERROR(VLOOKUP($C:$C,Structure!$A:$AJ,AN$1,0)*15,0),IFERROR(VLOOKUP($D:$D,Structure!$A:$AJ,AN$1,0)*15,0),IFERROR(VLOOKUP($E:$E,Structure!$A:$AJ,AN$1,0)*15,0))</f>
        <v>0</v>
      </c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3"/>
      <c r="BZ7" s="4">
        <f>BZ6+AQ7-F7</f>
        <v>0</v>
      </c>
      <c r="CA7" s="4">
        <f>CA6+AR7-G7</f>
        <v>0</v>
      </c>
      <c r="CB7" s="4">
        <f>CB6+AS7-H7</f>
        <v>0</v>
      </c>
      <c r="CC7" s="4">
        <f>CC6+AT7-I7</f>
        <v>0</v>
      </c>
      <c r="CD7" s="4">
        <f>CD6+AU7-J7</f>
        <v>0</v>
      </c>
      <c r="CE7" s="4">
        <f>CE6+AV7-K7</f>
        <v>0</v>
      </c>
      <c r="CF7" s="4">
        <f>CF6+AW7-L7</f>
        <v>0</v>
      </c>
      <c r="CG7" s="4">
        <f>CG6+AX7-M7</f>
        <v>0</v>
      </c>
      <c r="CH7" s="4">
        <f>CH6+AY7-N7</f>
        <v>0</v>
      </c>
      <c r="CI7" s="4">
        <f>CI6+AZ7-O7</f>
        <v>0</v>
      </c>
      <c r="CJ7" s="4">
        <f>CJ6+BA7-P7</f>
        <v>0</v>
      </c>
      <c r="CK7" s="4">
        <f>CK6+BB7-Q7</f>
        <v>0</v>
      </c>
      <c r="CL7" s="4">
        <f>CL6+BC7-R7</f>
        <v>0</v>
      </c>
      <c r="CM7" s="4">
        <f>CM6+BD7-S7</f>
        <v>0</v>
      </c>
      <c r="CN7" s="4">
        <f>CN6+BE7-T7</f>
        <v>0</v>
      </c>
      <c r="CO7" s="4">
        <f>CO6+BF7-U7</f>
        <v>0</v>
      </c>
      <c r="CP7" s="4">
        <f>CP6+BG7-V7</f>
        <v>0</v>
      </c>
      <c r="CQ7" s="4">
        <f>CQ6+BH7-W7</f>
        <v>0</v>
      </c>
      <c r="CR7" s="4">
        <f>CR6+BI7-X7</f>
        <v>0</v>
      </c>
      <c r="CS7" s="4">
        <f>CS6+BJ7-Y7</f>
        <v>0</v>
      </c>
      <c r="CT7" s="4">
        <f>CT6+BK7-Z7</f>
        <v>0</v>
      </c>
      <c r="CU7" s="4">
        <f>CU6+BL7-AA7</f>
        <v>-125</v>
      </c>
      <c r="CV7" s="4">
        <f>CV6+BM7-AB7</f>
        <v>0</v>
      </c>
      <c r="CW7" s="4">
        <f>CW6+BN7-AC7</f>
        <v>0</v>
      </c>
      <c r="CX7" s="4">
        <f>CX6+BO7-AD7</f>
        <v>0</v>
      </c>
      <c r="CY7" s="4">
        <f>CY6+BP7-AE7</f>
        <v>0</v>
      </c>
      <c r="CZ7" s="4">
        <f>CZ6+BQ7-AF7</f>
        <v>80</v>
      </c>
      <c r="DA7" s="4">
        <f>DA6+BR7-AG7</f>
        <v>0</v>
      </c>
      <c r="DB7" s="4">
        <f>DB6+BS7-AH7</f>
        <v>0</v>
      </c>
      <c r="DC7" s="4">
        <f>DC6+BT7-AI7</f>
        <v>0</v>
      </c>
      <c r="DD7" s="4">
        <f>DD6+BU7-AJ7</f>
        <v>-130</v>
      </c>
      <c r="DE7" s="4">
        <f>DE6+BV7-AK7</f>
        <v>-15</v>
      </c>
      <c r="DF7" s="4">
        <f>DF6+BW7-AL7</f>
        <v>0</v>
      </c>
      <c r="DG7" s="4">
        <f>DG6+BX7-AM7</f>
        <v>20</v>
      </c>
      <c r="DH7" s="4">
        <f>DH6+BY7-AN7</f>
        <v>0</v>
      </c>
    </row>
    <row r="8" spans="1:112" x14ac:dyDescent="0.25">
      <c r="A8" s="6">
        <v>46179</v>
      </c>
      <c r="B8" s="7">
        <v>0.54166666665696539</v>
      </c>
      <c r="C8" s="3" t="s">
        <v>3</v>
      </c>
      <c r="D8" s="3" t="s">
        <v>7</v>
      </c>
      <c r="E8" s="3" t="s">
        <v>2</v>
      </c>
      <c r="F8" s="13">
        <f>SUM(IFERROR(VLOOKUP($C:$C,Structure!$A:$AJ,F$1,0)*15,0),IFERROR(VLOOKUP($D:$D,Structure!$A:$AJ,F$1,0)*15,0),IFERROR(VLOOKUP($E:$E,Structure!$A:$AJ,F$1,0)*15,0))</f>
        <v>0</v>
      </c>
      <c r="G8" s="13">
        <f>SUM(IFERROR(VLOOKUP($C:$C,Structure!$A:$AJ,G$1,0)*15,0),IFERROR(VLOOKUP($D:$D,Structure!$A:$AJ,G$1,0)*15,0),IFERROR(VLOOKUP($E:$E,Structure!$A:$AJ,G$1,0)*15,0))</f>
        <v>0</v>
      </c>
      <c r="H8" s="13">
        <f>SUM(IFERROR(VLOOKUP($C:$C,Structure!$A:$AJ,H$1,0)*15,0),IFERROR(VLOOKUP($D:$D,Structure!$A:$AJ,H$1,0)*15,0),IFERROR(VLOOKUP($E:$E,Structure!$A:$AJ,H$1,0)*15,0))</f>
        <v>0</v>
      </c>
      <c r="I8" s="13">
        <f>SUM(IFERROR(VLOOKUP($C:$C,Structure!$A:$AJ,I$1,0)*15,0),IFERROR(VLOOKUP($D:$D,Structure!$A:$AJ,I$1,0)*15,0),IFERROR(VLOOKUP($E:$E,Structure!$A:$AJ,I$1,0)*15,0))</f>
        <v>0</v>
      </c>
      <c r="J8" s="13">
        <f>SUM(IFERROR(VLOOKUP($C:$C,Structure!$A:$AJ,J$1,0)*15,0),IFERROR(VLOOKUP($D:$D,Structure!$A:$AJ,J$1,0)*15,0),IFERROR(VLOOKUP($E:$E,Structure!$A:$AJ,J$1,0)*15,0))</f>
        <v>0</v>
      </c>
      <c r="K8" s="13">
        <f>SUM(IFERROR(VLOOKUP($C:$C,Structure!$A:$AJ,K$1,0)*15,0),IFERROR(VLOOKUP($D:$D,Structure!$A:$AJ,K$1,0)*15,0),IFERROR(VLOOKUP($E:$E,Structure!$A:$AJ,K$1,0)*15,0))</f>
        <v>0</v>
      </c>
      <c r="L8" s="13">
        <f>SUM(IFERROR(VLOOKUP($C:$C,Structure!$A:$AJ,L$1,0)*15,0),IFERROR(VLOOKUP($D:$D,Structure!$A:$AJ,L$1,0)*15,0),IFERROR(VLOOKUP($E:$E,Structure!$A:$AJ,L$1,0)*15,0))</f>
        <v>0</v>
      </c>
      <c r="M8" s="13">
        <f>SUM(IFERROR(VLOOKUP($C:$C,Structure!$A:$AJ,M$1,0)*15,0),IFERROR(VLOOKUP($D:$D,Structure!$A:$AJ,M$1,0)*15,0),IFERROR(VLOOKUP($E:$E,Structure!$A:$AJ,M$1,0)*15,0))</f>
        <v>0</v>
      </c>
      <c r="N8" s="13">
        <f>SUM(IFERROR(VLOOKUP($C:$C,Structure!$A:$AJ,N$1,0)*15,0),IFERROR(VLOOKUP($D:$D,Structure!$A:$AJ,N$1,0)*15,0),IFERROR(VLOOKUP($E:$E,Structure!$A:$AJ,N$1,0)*15,0))</f>
        <v>0</v>
      </c>
      <c r="O8" s="13">
        <f>SUM(IFERROR(VLOOKUP($C:$C,Structure!$A:$AJ,O$1,0)*15,0),IFERROR(VLOOKUP($D:$D,Structure!$A:$AJ,O$1,0)*15,0),IFERROR(VLOOKUP($E:$E,Structure!$A:$AJ,O$1,0)*15,0))</f>
        <v>0</v>
      </c>
      <c r="P8" s="13">
        <f>SUM(IFERROR(VLOOKUP($C:$C,Structure!$A:$AJ,P$1,0)*15,0),IFERROR(VLOOKUP($D:$D,Structure!$A:$AJ,P$1,0)*15,0),IFERROR(VLOOKUP($E:$E,Structure!$A:$AJ,P$1,0)*15,0))</f>
        <v>0</v>
      </c>
      <c r="Q8" s="13">
        <f>SUM(IFERROR(VLOOKUP($C:$C,Structure!$A:$AJ,Q$1,0)*15,0),IFERROR(VLOOKUP($D:$D,Structure!$A:$AJ,Q$1,0)*15,0),IFERROR(VLOOKUP($E:$E,Structure!$A:$AJ,Q$1,0)*15,0))</f>
        <v>0</v>
      </c>
      <c r="R8" s="13">
        <f>SUM(IFERROR(VLOOKUP($C:$C,Structure!$A:$AJ,R$1,0)*15,0),IFERROR(VLOOKUP($D:$D,Structure!$A:$AJ,R$1,0)*15,0),IFERROR(VLOOKUP($E:$E,Structure!$A:$AJ,R$1,0)*15,0))</f>
        <v>0</v>
      </c>
      <c r="S8" s="13">
        <f>SUM(IFERROR(VLOOKUP($C:$C,Structure!$A:$AJ,S$1,0)*15,0),IFERROR(VLOOKUP($D:$D,Structure!$A:$AJ,S$1,0)*15,0),IFERROR(VLOOKUP($E:$E,Structure!$A:$AJ,S$1,0)*15,0))</f>
        <v>0</v>
      </c>
      <c r="T8" s="13">
        <f>SUM(IFERROR(VLOOKUP($C:$C,Structure!$A:$AJ,T$1,0)*15,0),IFERROR(VLOOKUP($D:$D,Structure!$A:$AJ,T$1,0)*15,0),IFERROR(VLOOKUP($E:$E,Structure!$A:$AJ,T$1,0)*15,0))</f>
        <v>0</v>
      </c>
      <c r="U8" s="13">
        <f>SUM(IFERROR(VLOOKUP($C:$C,Structure!$A:$AJ,U$1,0)*15,0),IFERROR(VLOOKUP($D:$D,Structure!$A:$AJ,U$1,0)*15,0),IFERROR(VLOOKUP($E:$E,Structure!$A:$AJ,U$1,0)*15,0))</f>
        <v>0</v>
      </c>
      <c r="V8" s="13">
        <f>SUM(IFERROR(VLOOKUP($C:$C,Structure!$A:$AJ,V$1,0)*15,0),IFERROR(VLOOKUP($D:$D,Structure!$A:$AJ,V$1,0)*15,0),IFERROR(VLOOKUP($E:$E,Structure!$A:$AJ,V$1,0)*15,0))</f>
        <v>0</v>
      </c>
      <c r="W8" s="13">
        <f>SUM(IFERROR(VLOOKUP($C:$C,Structure!$A:$AJ,W$1,0)*15,0),IFERROR(VLOOKUP($D:$D,Structure!$A:$AJ,W$1,0)*15,0),IFERROR(VLOOKUP($E:$E,Structure!$A:$AJ,W$1,0)*15,0))</f>
        <v>0</v>
      </c>
      <c r="X8" s="13">
        <f>SUM(IFERROR(VLOOKUP($C:$C,Structure!$A:$AJ,X$1,0)*15,0),IFERROR(VLOOKUP($D:$D,Structure!$A:$AJ,X$1,0)*15,0),IFERROR(VLOOKUP($E:$E,Structure!$A:$AJ,X$1,0)*15,0))</f>
        <v>0</v>
      </c>
      <c r="Y8" s="13">
        <f>SUM(IFERROR(VLOOKUP($C:$C,Structure!$A:$AJ,Y$1,0)*15,0),IFERROR(VLOOKUP($D:$D,Structure!$A:$AJ,Y$1,0)*15,0),IFERROR(VLOOKUP($E:$E,Structure!$A:$AJ,Y$1,0)*15,0))</f>
        <v>0</v>
      </c>
      <c r="Z8" s="13">
        <f>SUM(IFERROR(VLOOKUP($C:$C,Structure!$A:$AJ,Z$1,0)*15,0),IFERROR(VLOOKUP($D:$D,Structure!$A:$AJ,Z$1,0)*15,0),IFERROR(VLOOKUP($E:$E,Structure!$A:$AJ,Z$1,0)*15,0))</f>
        <v>0</v>
      </c>
      <c r="AA8" s="13">
        <f>SUM(IFERROR(VLOOKUP($C:$C,Structure!$A:$AJ,AA$1,0)*15,0),IFERROR(VLOOKUP($D:$D,Structure!$A:$AJ,AA$1,0)*15,0),IFERROR(VLOOKUP($E:$E,Structure!$A:$AJ,AA$1,0)*15,0))</f>
        <v>30</v>
      </c>
      <c r="AB8" s="13">
        <f>SUM(IFERROR(VLOOKUP($C:$C,Structure!$A:$AJ,AB$1,0)*15,0),IFERROR(VLOOKUP($D:$D,Structure!$A:$AJ,AB$1,0)*15,0),IFERROR(VLOOKUP($E:$E,Structure!$A:$AJ,AB$1,0)*15,0))</f>
        <v>15</v>
      </c>
      <c r="AC8" s="13">
        <f>SUM(IFERROR(VLOOKUP($C:$C,Structure!$A:$AJ,AC$1,0)*15,0),IFERROR(VLOOKUP($D:$D,Structure!$A:$AJ,AC$1,0)*15,0),IFERROR(VLOOKUP($E:$E,Structure!$A:$AJ,AC$1,0)*15,0))</f>
        <v>0</v>
      </c>
      <c r="AD8" s="13">
        <f>SUM(IFERROR(VLOOKUP($C:$C,Structure!$A:$AJ,AD$1,0)*15,0),IFERROR(VLOOKUP($D:$D,Structure!$A:$AJ,AD$1,0)*15,0),IFERROR(VLOOKUP($E:$E,Structure!$A:$AJ,AD$1,0)*15,0))</f>
        <v>0</v>
      </c>
      <c r="AE8" s="13">
        <f>SUM(IFERROR(VLOOKUP($C:$C,Structure!$A:$AJ,AE$1,0)*15,0),IFERROR(VLOOKUP($D:$D,Structure!$A:$AJ,AE$1,0)*15,0),IFERROR(VLOOKUP($E:$E,Structure!$A:$AJ,AE$1,0)*15,0))</f>
        <v>0</v>
      </c>
      <c r="AF8" s="13">
        <f>SUM(IFERROR(VLOOKUP($C:$C,Structure!$A:$AJ,AF$1,0)*15,0),IFERROR(VLOOKUP($D:$D,Structure!$A:$AJ,AF$1,0)*15,0),IFERROR(VLOOKUP($E:$E,Structure!$A:$AJ,AF$1,0)*15,0))</f>
        <v>15</v>
      </c>
      <c r="AG8" s="13">
        <f>SUM(IFERROR(VLOOKUP($C:$C,Structure!$A:$AJ,AG$1,0)*15,0),IFERROR(VLOOKUP($D:$D,Structure!$A:$AJ,AG$1,0)*15,0),IFERROR(VLOOKUP($E:$E,Structure!$A:$AJ,AG$1,0)*15,0))</f>
        <v>0</v>
      </c>
      <c r="AH8" s="13">
        <f>SUM(IFERROR(VLOOKUP($C:$C,Structure!$A:$AJ,AH$1,0)*15,0),IFERROR(VLOOKUP($D:$D,Structure!$A:$AJ,AH$1,0)*15,0),IFERROR(VLOOKUP($E:$E,Structure!$A:$AJ,AH$1,0)*15,0))</f>
        <v>0</v>
      </c>
      <c r="AI8" s="13">
        <f>SUM(IFERROR(VLOOKUP($C:$C,Structure!$A:$AJ,AI$1,0)*15,0),IFERROR(VLOOKUP($D:$D,Structure!$A:$AJ,AI$1,0)*15,0),IFERROR(VLOOKUP($E:$E,Structure!$A:$AJ,AI$1,0)*15,0))</f>
        <v>0</v>
      </c>
      <c r="AJ8" s="13">
        <f>SUM(IFERROR(VLOOKUP($C:$C,Structure!$A:$AJ,AJ$1,0)*15,0),IFERROR(VLOOKUP($D:$D,Structure!$A:$AJ,AJ$1,0)*15,0),IFERROR(VLOOKUP($E:$E,Structure!$A:$AJ,AJ$1,0)*15,0))</f>
        <v>15</v>
      </c>
      <c r="AK8" s="13">
        <f>SUM(IFERROR(VLOOKUP($C:$C,Structure!$A:$AJ,AK$1,0)*15,0),IFERROR(VLOOKUP($D:$D,Structure!$A:$AJ,AK$1,0)*15,0),IFERROR(VLOOKUP($E:$E,Structure!$A:$AJ,AK$1,0)*15,0))</f>
        <v>15</v>
      </c>
      <c r="AL8" s="13">
        <f>SUM(IFERROR(VLOOKUP($C:$C,Structure!$A:$AJ,AL$1,0)*15,0),IFERROR(VLOOKUP($D:$D,Structure!$A:$AJ,AL$1,0)*15,0),IFERROR(VLOOKUP($E:$E,Structure!$A:$AJ,AL$1,0)*15,0))</f>
        <v>0</v>
      </c>
      <c r="AM8" s="13">
        <f>SUM(IFERROR(VLOOKUP($C:$C,Structure!$A:$AJ,AM$1,0)*15,0),IFERROR(VLOOKUP($D:$D,Structure!$A:$AJ,AM$1,0)*15,0),IFERROR(VLOOKUP($E:$E,Structure!$A:$AJ,AM$1,0)*15,0))</f>
        <v>0</v>
      </c>
      <c r="AN8" s="13">
        <f>SUM(IFERROR(VLOOKUP($C:$C,Structure!$A:$AJ,AN$1,0)*15,0),IFERROR(VLOOKUP($D:$D,Structure!$A:$AJ,AN$1,0)*15,0),IFERROR(VLOOKUP($E:$E,Structure!$A:$AJ,AN$1,0)*15,0))</f>
        <v>0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3"/>
      <c r="BZ8" s="4">
        <f>BZ7+AQ8-F8</f>
        <v>0</v>
      </c>
      <c r="CA8" s="4">
        <f>CA7+AR8-G8</f>
        <v>0</v>
      </c>
      <c r="CB8" s="4">
        <f>CB7+AS8-H8</f>
        <v>0</v>
      </c>
      <c r="CC8" s="4">
        <f>CC7+AT8-I8</f>
        <v>0</v>
      </c>
      <c r="CD8" s="4">
        <f>CD7+AU8-J8</f>
        <v>0</v>
      </c>
      <c r="CE8" s="4">
        <f>CE7+AV8-K8</f>
        <v>0</v>
      </c>
      <c r="CF8" s="4">
        <f>CF7+AW8-L8</f>
        <v>0</v>
      </c>
      <c r="CG8" s="4">
        <f>CG7+AX8-M8</f>
        <v>0</v>
      </c>
      <c r="CH8" s="4">
        <f>CH7+AY8-N8</f>
        <v>0</v>
      </c>
      <c r="CI8" s="4">
        <f>CI7+AZ8-O8</f>
        <v>0</v>
      </c>
      <c r="CJ8" s="4">
        <f>CJ7+BA8-P8</f>
        <v>0</v>
      </c>
      <c r="CK8" s="4">
        <f>CK7+BB8-Q8</f>
        <v>0</v>
      </c>
      <c r="CL8" s="4">
        <f>CL7+BC8-R8</f>
        <v>0</v>
      </c>
      <c r="CM8" s="4">
        <f>CM7+BD8-S8</f>
        <v>0</v>
      </c>
      <c r="CN8" s="4">
        <f>CN7+BE8-T8</f>
        <v>0</v>
      </c>
      <c r="CO8" s="4">
        <f>CO7+BF8-U8</f>
        <v>0</v>
      </c>
      <c r="CP8" s="4">
        <f>CP7+BG8-V8</f>
        <v>0</v>
      </c>
      <c r="CQ8" s="4">
        <f>CQ7+BH8-W8</f>
        <v>0</v>
      </c>
      <c r="CR8" s="4">
        <f>CR7+BI8-X8</f>
        <v>0</v>
      </c>
      <c r="CS8" s="4">
        <f>CS7+BJ8-Y8</f>
        <v>0</v>
      </c>
      <c r="CT8" s="4">
        <f>CT7+BK8-Z8</f>
        <v>0</v>
      </c>
      <c r="CU8" s="4">
        <f>CU7+BL8-AA8</f>
        <v>-155</v>
      </c>
      <c r="CV8" s="4">
        <f>CV7+BM8-AB8</f>
        <v>-15</v>
      </c>
      <c r="CW8" s="4">
        <f>CW7+BN8-AC8</f>
        <v>0</v>
      </c>
      <c r="CX8" s="4">
        <f>CX7+BO8-AD8</f>
        <v>0</v>
      </c>
      <c r="CY8" s="4">
        <f>CY7+BP8-AE8</f>
        <v>0</v>
      </c>
      <c r="CZ8" s="4">
        <f>CZ7+BQ8-AF8</f>
        <v>65</v>
      </c>
      <c r="DA8" s="4">
        <f>DA7+BR8-AG8</f>
        <v>0</v>
      </c>
      <c r="DB8" s="4">
        <f>DB7+BS8-AH8</f>
        <v>0</v>
      </c>
      <c r="DC8" s="4">
        <f>DC7+BT8-AI8</f>
        <v>0</v>
      </c>
      <c r="DD8" s="4">
        <f>DD7+BU8-AJ8</f>
        <v>-145</v>
      </c>
      <c r="DE8" s="4">
        <f>DE7+BV8-AK8</f>
        <v>-30</v>
      </c>
      <c r="DF8" s="4">
        <f>DF7+BW8-AL8</f>
        <v>0</v>
      </c>
      <c r="DG8" s="4">
        <f>DG7+BX8-AM8</f>
        <v>20</v>
      </c>
      <c r="DH8" s="4">
        <f>DH7+BY8-AN8</f>
        <v>0</v>
      </c>
    </row>
    <row r="9" spans="1:112" x14ac:dyDescent="0.25">
      <c r="A9" s="6">
        <v>46179</v>
      </c>
      <c r="B9" s="7">
        <v>0.58333333332120674</v>
      </c>
      <c r="C9" s="3" t="s">
        <v>3</v>
      </c>
      <c r="D9" s="3" t="s">
        <v>7</v>
      </c>
      <c r="E9" s="3" t="s">
        <v>2</v>
      </c>
      <c r="F9" s="13">
        <f>SUM(IFERROR(VLOOKUP($C:$C,Structure!$A:$AJ,F$1,0)*15,0),IFERROR(VLOOKUP($D:$D,Structure!$A:$AJ,F$1,0)*15,0),IFERROR(VLOOKUP($E:$E,Structure!$A:$AJ,F$1,0)*15,0))</f>
        <v>0</v>
      </c>
      <c r="G9" s="13">
        <f>SUM(IFERROR(VLOOKUP($C:$C,Structure!$A:$AJ,G$1,0)*15,0),IFERROR(VLOOKUP($D:$D,Structure!$A:$AJ,G$1,0)*15,0),IFERROR(VLOOKUP($E:$E,Structure!$A:$AJ,G$1,0)*15,0))</f>
        <v>0</v>
      </c>
      <c r="H9" s="13">
        <f>SUM(IFERROR(VLOOKUP($C:$C,Structure!$A:$AJ,H$1,0)*15,0),IFERROR(VLOOKUP($D:$D,Structure!$A:$AJ,H$1,0)*15,0),IFERROR(VLOOKUP($E:$E,Structure!$A:$AJ,H$1,0)*15,0))</f>
        <v>0</v>
      </c>
      <c r="I9" s="13">
        <f>SUM(IFERROR(VLOOKUP($C:$C,Structure!$A:$AJ,I$1,0)*15,0),IFERROR(VLOOKUP($D:$D,Structure!$A:$AJ,I$1,0)*15,0),IFERROR(VLOOKUP($E:$E,Structure!$A:$AJ,I$1,0)*15,0))</f>
        <v>0</v>
      </c>
      <c r="J9" s="13">
        <f>SUM(IFERROR(VLOOKUP($C:$C,Structure!$A:$AJ,J$1,0)*15,0),IFERROR(VLOOKUP($D:$D,Structure!$A:$AJ,J$1,0)*15,0),IFERROR(VLOOKUP($E:$E,Structure!$A:$AJ,J$1,0)*15,0))</f>
        <v>0</v>
      </c>
      <c r="K9" s="13">
        <f>SUM(IFERROR(VLOOKUP($C:$C,Structure!$A:$AJ,K$1,0)*15,0),IFERROR(VLOOKUP($D:$D,Structure!$A:$AJ,K$1,0)*15,0),IFERROR(VLOOKUP($E:$E,Structure!$A:$AJ,K$1,0)*15,0))</f>
        <v>0</v>
      </c>
      <c r="L9" s="13">
        <f>SUM(IFERROR(VLOOKUP($C:$C,Structure!$A:$AJ,L$1,0)*15,0),IFERROR(VLOOKUP($D:$D,Structure!$A:$AJ,L$1,0)*15,0),IFERROR(VLOOKUP($E:$E,Structure!$A:$AJ,L$1,0)*15,0))</f>
        <v>0</v>
      </c>
      <c r="M9" s="13">
        <f>SUM(IFERROR(VLOOKUP($C:$C,Structure!$A:$AJ,M$1,0)*15,0),IFERROR(VLOOKUP($D:$D,Structure!$A:$AJ,M$1,0)*15,0),IFERROR(VLOOKUP($E:$E,Structure!$A:$AJ,M$1,0)*15,0))</f>
        <v>0</v>
      </c>
      <c r="N9" s="13">
        <f>SUM(IFERROR(VLOOKUP($C:$C,Structure!$A:$AJ,N$1,0)*15,0),IFERROR(VLOOKUP($D:$D,Structure!$A:$AJ,N$1,0)*15,0),IFERROR(VLOOKUP($E:$E,Structure!$A:$AJ,N$1,0)*15,0))</f>
        <v>0</v>
      </c>
      <c r="O9" s="13">
        <f>SUM(IFERROR(VLOOKUP($C:$C,Structure!$A:$AJ,O$1,0)*15,0),IFERROR(VLOOKUP($D:$D,Structure!$A:$AJ,O$1,0)*15,0),IFERROR(VLOOKUP($E:$E,Structure!$A:$AJ,O$1,0)*15,0))</f>
        <v>0</v>
      </c>
      <c r="P9" s="13">
        <f>SUM(IFERROR(VLOOKUP($C:$C,Structure!$A:$AJ,P$1,0)*15,0),IFERROR(VLOOKUP($D:$D,Structure!$A:$AJ,P$1,0)*15,0),IFERROR(VLOOKUP($E:$E,Structure!$A:$AJ,P$1,0)*15,0))</f>
        <v>0</v>
      </c>
      <c r="Q9" s="13">
        <f>SUM(IFERROR(VLOOKUP($C:$C,Structure!$A:$AJ,Q$1,0)*15,0),IFERROR(VLOOKUP($D:$D,Structure!$A:$AJ,Q$1,0)*15,0),IFERROR(VLOOKUP($E:$E,Structure!$A:$AJ,Q$1,0)*15,0))</f>
        <v>0</v>
      </c>
      <c r="R9" s="13">
        <f>SUM(IFERROR(VLOOKUP($C:$C,Structure!$A:$AJ,R$1,0)*15,0),IFERROR(VLOOKUP($D:$D,Structure!$A:$AJ,R$1,0)*15,0),IFERROR(VLOOKUP($E:$E,Structure!$A:$AJ,R$1,0)*15,0))</f>
        <v>0</v>
      </c>
      <c r="S9" s="13">
        <f>SUM(IFERROR(VLOOKUP($C:$C,Structure!$A:$AJ,S$1,0)*15,0),IFERROR(VLOOKUP($D:$D,Structure!$A:$AJ,S$1,0)*15,0),IFERROR(VLOOKUP($E:$E,Structure!$A:$AJ,S$1,0)*15,0))</f>
        <v>0</v>
      </c>
      <c r="T9" s="13">
        <f>SUM(IFERROR(VLOOKUP($C:$C,Structure!$A:$AJ,T$1,0)*15,0),IFERROR(VLOOKUP($D:$D,Structure!$A:$AJ,T$1,0)*15,0),IFERROR(VLOOKUP($E:$E,Structure!$A:$AJ,T$1,0)*15,0))</f>
        <v>0</v>
      </c>
      <c r="U9" s="13">
        <f>SUM(IFERROR(VLOOKUP($C:$C,Structure!$A:$AJ,U$1,0)*15,0),IFERROR(VLOOKUP($D:$D,Structure!$A:$AJ,U$1,0)*15,0),IFERROR(VLOOKUP($E:$E,Structure!$A:$AJ,U$1,0)*15,0))</f>
        <v>0</v>
      </c>
      <c r="V9" s="13">
        <f>SUM(IFERROR(VLOOKUP($C:$C,Structure!$A:$AJ,V$1,0)*15,0),IFERROR(VLOOKUP($D:$D,Structure!$A:$AJ,V$1,0)*15,0),IFERROR(VLOOKUP($E:$E,Structure!$A:$AJ,V$1,0)*15,0))</f>
        <v>0</v>
      </c>
      <c r="W9" s="13">
        <f>SUM(IFERROR(VLOOKUP($C:$C,Structure!$A:$AJ,W$1,0)*15,0),IFERROR(VLOOKUP($D:$D,Structure!$A:$AJ,W$1,0)*15,0),IFERROR(VLOOKUP($E:$E,Structure!$A:$AJ,W$1,0)*15,0))</f>
        <v>0</v>
      </c>
      <c r="X9" s="13">
        <f>SUM(IFERROR(VLOOKUP($C:$C,Structure!$A:$AJ,X$1,0)*15,0),IFERROR(VLOOKUP($D:$D,Structure!$A:$AJ,X$1,0)*15,0),IFERROR(VLOOKUP($E:$E,Structure!$A:$AJ,X$1,0)*15,0))</f>
        <v>0</v>
      </c>
      <c r="Y9" s="13">
        <f>SUM(IFERROR(VLOOKUP($C:$C,Structure!$A:$AJ,Y$1,0)*15,0),IFERROR(VLOOKUP($D:$D,Structure!$A:$AJ,Y$1,0)*15,0),IFERROR(VLOOKUP($E:$E,Structure!$A:$AJ,Y$1,0)*15,0))</f>
        <v>0</v>
      </c>
      <c r="Z9" s="13">
        <f>SUM(IFERROR(VLOOKUP($C:$C,Structure!$A:$AJ,Z$1,0)*15,0),IFERROR(VLOOKUP($D:$D,Structure!$A:$AJ,Z$1,0)*15,0),IFERROR(VLOOKUP($E:$E,Structure!$A:$AJ,Z$1,0)*15,0))</f>
        <v>0</v>
      </c>
      <c r="AA9" s="13">
        <f>SUM(IFERROR(VLOOKUP($C:$C,Structure!$A:$AJ,AA$1,0)*15,0),IFERROR(VLOOKUP($D:$D,Structure!$A:$AJ,AA$1,0)*15,0),IFERROR(VLOOKUP($E:$E,Structure!$A:$AJ,AA$1,0)*15,0))</f>
        <v>30</v>
      </c>
      <c r="AB9" s="13">
        <f>SUM(IFERROR(VLOOKUP($C:$C,Structure!$A:$AJ,AB$1,0)*15,0),IFERROR(VLOOKUP($D:$D,Structure!$A:$AJ,AB$1,0)*15,0),IFERROR(VLOOKUP($E:$E,Structure!$A:$AJ,AB$1,0)*15,0))</f>
        <v>15</v>
      </c>
      <c r="AC9" s="13">
        <f>SUM(IFERROR(VLOOKUP($C:$C,Structure!$A:$AJ,AC$1,0)*15,0),IFERROR(VLOOKUP($D:$D,Structure!$A:$AJ,AC$1,0)*15,0),IFERROR(VLOOKUP($E:$E,Structure!$A:$AJ,AC$1,0)*15,0))</f>
        <v>0</v>
      </c>
      <c r="AD9" s="13">
        <f>SUM(IFERROR(VLOOKUP($C:$C,Structure!$A:$AJ,AD$1,0)*15,0),IFERROR(VLOOKUP($D:$D,Structure!$A:$AJ,AD$1,0)*15,0),IFERROR(VLOOKUP($E:$E,Structure!$A:$AJ,AD$1,0)*15,0))</f>
        <v>0</v>
      </c>
      <c r="AE9" s="13">
        <f>SUM(IFERROR(VLOOKUP($C:$C,Structure!$A:$AJ,AE$1,0)*15,0),IFERROR(VLOOKUP($D:$D,Structure!$A:$AJ,AE$1,0)*15,0),IFERROR(VLOOKUP($E:$E,Structure!$A:$AJ,AE$1,0)*15,0))</f>
        <v>0</v>
      </c>
      <c r="AF9" s="13">
        <f>SUM(IFERROR(VLOOKUP($C:$C,Structure!$A:$AJ,AF$1,0)*15,0),IFERROR(VLOOKUP($D:$D,Structure!$A:$AJ,AF$1,0)*15,0),IFERROR(VLOOKUP($E:$E,Structure!$A:$AJ,AF$1,0)*15,0))</f>
        <v>15</v>
      </c>
      <c r="AG9" s="13">
        <f>SUM(IFERROR(VLOOKUP($C:$C,Structure!$A:$AJ,AG$1,0)*15,0),IFERROR(VLOOKUP($D:$D,Structure!$A:$AJ,AG$1,0)*15,0),IFERROR(VLOOKUP($E:$E,Structure!$A:$AJ,AG$1,0)*15,0))</f>
        <v>0</v>
      </c>
      <c r="AH9" s="13">
        <f>SUM(IFERROR(VLOOKUP($C:$C,Structure!$A:$AJ,AH$1,0)*15,0),IFERROR(VLOOKUP($D:$D,Structure!$A:$AJ,AH$1,0)*15,0),IFERROR(VLOOKUP($E:$E,Structure!$A:$AJ,AH$1,0)*15,0))</f>
        <v>0</v>
      </c>
      <c r="AI9" s="13">
        <f>SUM(IFERROR(VLOOKUP($C:$C,Structure!$A:$AJ,AI$1,0)*15,0),IFERROR(VLOOKUP($D:$D,Structure!$A:$AJ,AI$1,0)*15,0),IFERROR(VLOOKUP($E:$E,Structure!$A:$AJ,AI$1,0)*15,0))</f>
        <v>0</v>
      </c>
      <c r="AJ9" s="13">
        <f>SUM(IFERROR(VLOOKUP($C:$C,Structure!$A:$AJ,AJ$1,0)*15,0),IFERROR(VLOOKUP($D:$D,Structure!$A:$AJ,AJ$1,0)*15,0),IFERROR(VLOOKUP($E:$E,Structure!$A:$AJ,AJ$1,0)*15,0))</f>
        <v>15</v>
      </c>
      <c r="AK9" s="13">
        <f>SUM(IFERROR(VLOOKUP($C:$C,Structure!$A:$AJ,AK$1,0)*15,0),IFERROR(VLOOKUP($D:$D,Structure!$A:$AJ,AK$1,0)*15,0),IFERROR(VLOOKUP($E:$E,Structure!$A:$AJ,AK$1,0)*15,0))</f>
        <v>15</v>
      </c>
      <c r="AL9" s="13">
        <f>SUM(IFERROR(VLOOKUP($C:$C,Structure!$A:$AJ,AL$1,0)*15,0),IFERROR(VLOOKUP($D:$D,Structure!$A:$AJ,AL$1,0)*15,0),IFERROR(VLOOKUP($E:$E,Structure!$A:$AJ,AL$1,0)*15,0))</f>
        <v>0</v>
      </c>
      <c r="AM9" s="13">
        <f>SUM(IFERROR(VLOOKUP($C:$C,Structure!$A:$AJ,AM$1,0)*15,0),IFERROR(VLOOKUP($D:$D,Structure!$A:$AJ,AM$1,0)*15,0),IFERROR(VLOOKUP($E:$E,Structure!$A:$AJ,AM$1,0)*15,0))</f>
        <v>0</v>
      </c>
      <c r="AN9" s="13">
        <f>SUM(IFERROR(VLOOKUP($C:$C,Structure!$A:$AJ,AN$1,0)*15,0),IFERROR(VLOOKUP($D:$D,Structure!$A:$AJ,AN$1,0)*15,0),IFERROR(VLOOKUP($E:$E,Structure!$A:$AJ,AN$1,0)*15,0))</f>
        <v>0</v>
      </c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3"/>
      <c r="BZ9" s="4">
        <f>BZ8+AQ9-F9</f>
        <v>0</v>
      </c>
      <c r="CA9" s="4">
        <f>CA8+AR9-G9</f>
        <v>0</v>
      </c>
      <c r="CB9" s="4">
        <f>CB8+AS9-H9</f>
        <v>0</v>
      </c>
      <c r="CC9" s="4">
        <f>CC8+AT9-I9</f>
        <v>0</v>
      </c>
      <c r="CD9" s="4">
        <f>CD8+AU9-J9</f>
        <v>0</v>
      </c>
      <c r="CE9" s="4">
        <f>CE8+AV9-K9</f>
        <v>0</v>
      </c>
      <c r="CF9" s="4">
        <f>CF8+AW9-L9</f>
        <v>0</v>
      </c>
      <c r="CG9" s="4">
        <f>CG8+AX9-M9</f>
        <v>0</v>
      </c>
      <c r="CH9" s="4">
        <f>CH8+AY9-N9</f>
        <v>0</v>
      </c>
      <c r="CI9" s="4">
        <f>CI8+AZ9-O9</f>
        <v>0</v>
      </c>
      <c r="CJ9" s="4">
        <f>CJ8+BA9-P9</f>
        <v>0</v>
      </c>
      <c r="CK9" s="4">
        <f>CK8+BB9-Q9</f>
        <v>0</v>
      </c>
      <c r="CL9" s="4">
        <f>CL8+BC9-R9</f>
        <v>0</v>
      </c>
      <c r="CM9" s="4">
        <f>CM8+BD9-S9</f>
        <v>0</v>
      </c>
      <c r="CN9" s="4">
        <f>CN8+BE9-T9</f>
        <v>0</v>
      </c>
      <c r="CO9" s="4">
        <f>CO8+BF9-U9</f>
        <v>0</v>
      </c>
      <c r="CP9" s="4">
        <f>CP8+BG9-V9</f>
        <v>0</v>
      </c>
      <c r="CQ9" s="4">
        <f>CQ8+BH9-W9</f>
        <v>0</v>
      </c>
      <c r="CR9" s="4">
        <f>CR8+BI9-X9</f>
        <v>0</v>
      </c>
      <c r="CS9" s="4">
        <f>CS8+BJ9-Y9</f>
        <v>0</v>
      </c>
      <c r="CT9" s="4">
        <f>CT8+BK9-Z9</f>
        <v>0</v>
      </c>
      <c r="CU9" s="4">
        <f>CU8+BL9-AA9</f>
        <v>-185</v>
      </c>
      <c r="CV9" s="4">
        <f>CV8+BM9-AB9</f>
        <v>-30</v>
      </c>
      <c r="CW9" s="4">
        <f>CW8+BN9-AC9</f>
        <v>0</v>
      </c>
      <c r="CX9" s="4">
        <f>CX8+BO9-AD9</f>
        <v>0</v>
      </c>
      <c r="CY9" s="4">
        <f>CY8+BP9-AE9</f>
        <v>0</v>
      </c>
      <c r="CZ9" s="4">
        <f>CZ8+BQ9-AF9</f>
        <v>50</v>
      </c>
      <c r="DA9" s="4">
        <f>DA8+BR9-AG9</f>
        <v>0</v>
      </c>
      <c r="DB9" s="4">
        <f>DB8+BS9-AH9</f>
        <v>0</v>
      </c>
      <c r="DC9" s="4">
        <f>DC8+BT9-AI9</f>
        <v>0</v>
      </c>
      <c r="DD9" s="4">
        <f>DD8+BU9-AJ9</f>
        <v>-160</v>
      </c>
      <c r="DE9" s="4">
        <f>DE8+BV9-AK9</f>
        <v>-45</v>
      </c>
      <c r="DF9" s="4">
        <f>DF8+BW9-AL9</f>
        <v>0</v>
      </c>
      <c r="DG9" s="4">
        <f>DG8+BX9-AM9</f>
        <v>20</v>
      </c>
      <c r="DH9" s="4">
        <f>DH8+BY9-AN9</f>
        <v>0</v>
      </c>
    </row>
    <row r="10" spans="1:112" x14ac:dyDescent="0.25">
      <c r="A10" s="6">
        <v>46179</v>
      </c>
      <c r="B10" s="7">
        <v>0.62499999998544808</v>
      </c>
      <c r="C10" s="3" t="s">
        <v>3</v>
      </c>
      <c r="D10" s="3" t="s">
        <v>9</v>
      </c>
      <c r="E10" s="3" t="s">
        <v>2</v>
      </c>
      <c r="F10" s="13">
        <f>SUM(IFERROR(VLOOKUP($C:$C,Structure!$A:$AJ,F$1,0)*15,0),IFERROR(VLOOKUP($D:$D,Structure!$A:$AJ,F$1,0)*15,0),IFERROR(VLOOKUP($E:$E,Structure!$A:$AJ,F$1,0)*15,0))</f>
        <v>0</v>
      </c>
      <c r="G10" s="13">
        <f>SUM(IFERROR(VLOOKUP($C:$C,Structure!$A:$AJ,G$1,0)*15,0),IFERROR(VLOOKUP($D:$D,Structure!$A:$AJ,G$1,0)*15,0),IFERROR(VLOOKUP($E:$E,Structure!$A:$AJ,G$1,0)*15,0))</f>
        <v>0</v>
      </c>
      <c r="H10" s="13">
        <f>SUM(IFERROR(VLOOKUP($C:$C,Structure!$A:$AJ,H$1,0)*15,0),IFERROR(VLOOKUP($D:$D,Structure!$A:$AJ,H$1,0)*15,0),IFERROR(VLOOKUP($E:$E,Structure!$A:$AJ,H$1,0)*15,0))</f>
        <v>0</v>
      </c>
      <c r="I10" s="13">
        <f>SUM(IFERROR(VLOOKUP($C:$C,Structure!$A:$AJ,I$1,0)*15,0),IFERROR(VLOOKUP($D:$D,Structure!$A:$AJ,I$1,0)*15,0),IFERROR(VLOOKUP($E:$E,Structure!$A:$AJ,I$1,0)*15,0))</f>
        <v>0</v>
      </c>
      <c r="J10" s="13">
        <f>SUM(IFERROR(VLOOKUP($C:$C,Structure!$A:$AJ,J$1,0)*15,0),IFERROR(VLOOKUP($D:$D,Structure!$A:$AJ,J$1,0)*15,0),IFERROR(VLOOKUP($E:$E,Structure!$A:$AJ,J$1,0)*15,0))</f>
        <v>0</v>
      </c>
      <c r="K10" s="13">
        <f>SUM(IFERROR(VLOOKUP($C:$C,Structure!$A:$AJ,K$1,0)*15,0),IFERROR(VLOOKUP($D:$D,Structure!$A:$AJ,K$1,0)*15,0),IFERROR(VLOOKUP($E:$E,Structure!$A:$AJ,K$1,0)*15,0))</f>
        <v>0</v>
      </c>
      <c r="L10" s="13">
        <f>SUM(IFERROR(VLOOKUP($C:$C,Structure!$A:$AJ,L$1,0)*15,0),IFERROR(VLOOKUP($D:$D,Structure!$A:$AJ,L$1,0)*15,0),IFERROR(VLOOKUP($E:$E,Structure!$A:$AJ,L$1,0)*15,0))</f>
        <v>0</v>
      </c>
      <c r="M10" s="13">
        <f>SUM(IFERROR(VLOOKUP($C:$C,Structure!$A:$AJ,M$1,0)*15,0),IFERROR(VLOOKUP($D:$D,Structure!$A:$AJ,M$1,0)*15,0),IFERROR(VLOOKUP($E:$E,Structure!$A:$AJ,M$1,0)*15,0))</f>
        <v>0</v>
      </c>
      <c r="N10" s="13">
        <f>SUM(IFERROR(VLOOKUP($C:$C,Structure!$A:$AJ,N$1,0)*15,0),IFERROR(VLOOKUP($D:$D,Structure!$A:$AJ,N$1,0)*15,0),IFERROR(VLOOKUP($E:$E,Structure!$A:$AJ,N$1,0)*15,0))</f>
        <v>0</v>
      </c>
      <c r="O10" s="13">
        <f>SUM(IFERROR(VLOOKUP($C:$C,Structure!$A:$AJ,O$1,0)*15,0),IFERROR(VLOOKUP($D:$D,Structure!$A:$AJ,O$1,0)*15,0),IFERROR(VLOOKUP($E:$E,Structure!$A:$AJ,O$1,0)*15,0))</f>
        <v>0</v>
      </c>
      <c r="P10" s="13">
        <f>SUM(IFERROR(VLOOKUP($C:$C,Structure!$A:$AJ,P$1,0)*15,0),IFERROR(VLOOKUP($D:$D,Structure!$A:$AJ,P$1,0)*15,0),IFERROR(VLOOKUP($E:$E,Structure!$A:$AJ,P$1,0)*15,0))</f>
        <v>0</v>
      </c>
      <c r="Q10" s="13">
        <f>SUM(IFERROR(VLOOKUP($C:$C,Structure!$A:$AJ,Q$1,0)*15,0),IFERROR(VLOOKUP($D:$D,Structure!$A:$AJ,Q$1,0)*15,0),IFERROR(VLOOKUP($E:$E,Structure!$A:$AJ,Q$1,0)*15,0))</f>
        <v>0</v>
      </c>
      <c r="R10" s="13">
        <f>SUM(IFERROR(VLOOKUP($C:$C,Structure!$A:$AJ,R$1,0)*15,0),IFERROR(VLOOKUP($D:$D,Structure!$A:$AJ,R$1,0)*15,0),IFERROR(VLOOKUP($E:$E,Structure!$A:$AJ,R$1,0)*15,0))</f>
        <v>0</v>
      </c>
      <c r="S10" s="13">
        <f>SUM(IFERROR(VLOOKUP($C:$C,Structure!$A:$AJ,S$1,0)*15,0),IFERROR(VLOOKUP($D:$D,Structure!$A:$AJ,S$1,0)*15,0),IFERROR(VLOOKUP($E:$E,Structure!$A:$AJ,S$1,0)*15,0))</f>
        <v>0</v>
      </c>
      <c r="T10" s="13">
        <f>SUM(IFERROR(VLOOKUP($C:$C,Structure!$A:$AJ,T$1,0)*15,0),IFERROR(VLOOKUP($D:$D,Structure!$A:$AJ,T$1,0)*15,0),IFERROR(VLOOKUP($E:$E,Structure!$A:$AJ,T$1,0)*15,0))</f>
        <v>0</v>
      </c>
      <c r="U10" s="13">
        <f>SUM(IFERROR(VLOOKUP($C:$C,Structure!$A:$AJ,U$1,0)*15,0),IFERROR(VLOOKUP($D:$D,Structure!$A:$AJ,U$1,0)*15,0),IFERROR(VLOOKUP($E:$E,Structure!$A:$AJ,U$1,0)*15,0))</f>
        <v>0</v>
      </c>
      <c r="V10" s="13">
        <f>SUM(IFERROR(VLOOKUP($C:$C,Structure!$A:$AJ,V$1,0)*15,0),IFERROR(VLOOKUP($D:$D,Structure!$A:$AJ,V$1,0)*15,0),IFERROR(VLOOKUP($E:$E,Structure!$A:$AJ,V$1,0)*15,0))</f>
        <v>0</v>
      </c>
      <c r="W10" s="13">
        <f>SUM(IFERROR(VLOOKUP($C:$C,Structure!$A:$AJ,W$1,0)*15,0),IFERROR(VLOOKUP($D:$D,Structure!$A:$AJ,W$1,0)*15,0),IFERROR(VLOOKUP($E:$E,Structure!$A:$AJ,W$1,0)*15,0))</f>
        <v>0</v>
      </c>
      <c r="X10" s="13">
        <f>SUM(IFERROR(VLOOKUP($C:$C,Structure!$A:$AJ,X$1,0)*15,0),IFERROR(VLOOKUP($D:$D,Structure!$A:$AJ,X$1,0)*15,0),IFERROR(VLOOKUP($E:$E,Structure!$A:$AJ,X$1,0)*15,0))</f>
        <v>0</v>
      </c>
      <c r="Y10" s="13">
        <f>SUM(IFERROR(VLOOKUP($C:$C,Structure!$A:$AJ,Y$1,0)*15,0),IFERROR(VLOOKUP($D:$D,Structure!$A:$AJ,Y$1,0)*15,0),IFERROR(VLOOKUP($E:$E,Structure!$A:$AJ,Y$1,0)*15,0))</f>
        <v>0</v>
      </c>
      <c r="Z10" s="13">
        <f>SUM(IFERROR(VLOOKUP($C:$C,Structure!$A:$AJ,Z$1,0)*15,0),IFERROR(VLOOKUP($D:$D,Structure!$A:$AJ,Z$1,0)*15,0),IFERROR(VLOOKUP($E:$E,Structure!$A:$AJ,Z$1,0)*15,0))</f>
        <v>0</v>
      </c>
      <c r="AA10" s="13">
        <f>SUM(IFERROR(VLOOKUP($C:$C,Structure!$A:$AJ,AA$1,0)*15,0),IFERROR(VLOOKUP($D:$D,Structure!$A:$AJ,AA$1,0)*15,0),IFERROR(VLOOKUP($E:$E,Structure!$A:$AJ,AA$1,0)*15,0))</f>
        <v>30</v>
      </c>
      <c r="AB10" s="13">
        <f>SUM(IFERROR(VLOOKUP($C:$C,Structure!$A:$AJ,AB$1,0)*15,0),IFERROR(VLOOKUP($D:$D,Structure!$A:$AJ,AB$1,0)*15,0),IFERROR(VLOOKUP($E:$E,Structure!$A:$AJ,AB$1,0)*15,0))</f>
        <v>15</v>
      </c>
      <c r="AC10" s="13">
        <f>SUM(IFERROR(VLOOKUP($C:$C,Structure!$A:$AJ,AC$1,0)*15,0),IFERROR(VLOOKUP($D:$D,Structure!$A:$AJ,AC$1,0)*15,0),IFERROR(VLOOKUP($E:$E,Structure!$A:$AJ,AC$1,0)*15,0))</f>
        <v>0</v>
      </c>
      <c r="AD10" s="13">
        <f>SUM(IFERROR(VLOOKUP($C:$C,Structure!$A:$AJ,AD$1,0)*15,0),IFERROR(VLOOKUP($D:$D,Structure!$A:$AJ,AD$1,0)*15,0),IFERROR(VLOOKUP($E:$E,Structure!$A:$AJ,AD$1,0)*15,0))</f>
        <v>0</v>
      </c>
      <c r="AE10" s="13">
        <f>SUM(IFERROR(VLOOKUP($C:$C,Structure!$A:$AJ,AE$1,0)*15,0),IFERROR(VLOOKUP($D:$D,Structure!$A:$AJ,AE$1,0)*15,0),IFERROR(VLOOKUP($E:$E,Structure!$A:$AJ,AE$1,0)*15,0))</f>
        <v>0</v>
      </c>
      <c r="AF10" s="13">
        <f>SUM(IFERROR(VLOOKUP($C:$C,Structure!$A:$AJ,AF$1,0)*15,0),IFERROR(VLOOKUP($D:$D,Structure!$A:$AJ,AF$1,0)*15,0),IFERROR(VLOOKUP($E:$E,Structure!$A:$AJ,AF$1,0)*15,0))</f>
        <v>15</v>
      </c>
      <c r="AG10" s="13">
        <f>SUM(IFERROR(VLOOKUP($C:$C,Structure!$A:$AJ,AG$1,0)*15,0),IFERROR(VLOOKUP($D:$D,Structure!$A:$AJ,AG$1,0)*15,0),IFERROR(VLOOKUP($E:$E,Structure!$A:$AJ,AG$1,0)*15,0))</f>
        <v>0</v>
      </c>
      <c r="AH10" s="13">
        <f>SUM(IFERROR(VLOOKUP($C:$C,Structure!$A:$AJ,AH$1,0)*15,0),IFERROR(VLOOKUP($D:$D,Structure!$A:$AJ,AH$1,0)*15,0),IFERROR(VLOOKUP($E:$E,Structure!$A:$AJ,AH$1,0)*15,0))</f>
        <v>0</v>
      </c>
      <c r="AI10" s="13">
        <f>SUM(IFERROR(VLOOKUP($C:$C,Structure!$A:$AJ,AI$1,0)*15,0),IFERROR(VLOOKUP($D:$D,Structure!$A:$AJ,AI$1,0)*15,0),IFERROR(VLOOKUP($E:$E,Structure!$A:$AJ,AI$1,0)*15,0))</f>
        <v>0</v>
      </c>
      <c r="AJ10" s="13">
        <f>SUM(IFERROR(VLOOKUP($C:$C,Structure!$A:$AJ,AJ$1,0)*15,0),IFERROR(VLOOKUP($D:$D,Structure!$A:$AJ,AJ$1,0)*15,0),IFERROR(VLOOKUP($E:$E,Structure!$A:$AJ,AJ$1,0)*15,0))</f>
        <v>15</v>
      </c>
      <c r="AK10" s="13">
        <f>SUM(IFERROR(VLOOKUP($C:$C,Structure!$A:$AJ,AK$1,0)*15,0),IFERROR(VLOOKUP($D:$D,Structure!$A:$AJ,AK$1,0)*15,0),IFERROR(VLOOKUP($E:$E,Structure!$A:$AJ,AK$1,0)*15,0))</f>
        <v>15</v>
      </c>
      <c r="AL10" s="13">
        <f>SUM(IFERROR(VLOOKUP($C:$C,Structure!$A:$AJ,AL$1,0)*15,0),IFERROR(VLOOKUP($D:$D,Structure!$A:$AJ,AL$1,0)*15,0),IFERROR(VLOOKUP($E:$E,Structure!$A:$AJ,AL$1,0)*15,0))</f>
        <v>0</v>
      </c>
      <c r="AM10" s="13">
        <f>SUM(IFERROR(VLOOKUP($C:$C,Structure!$A:$AJ,AM$1,0)*15,0),IFERROR(VLOOKUP($D:$D,Structure!$A:$AJ,AM$1,0)*15,0),IFERROR(VLOOKUP($E:$E,Structure!$A:$AJ,AM$1,0)*15,0))</f>
        <v>0</v>
      </c>
      <c r="AN10" s="13">
        <f>SUM(IFERROR(VLOOKUP($C:$C,Structure!$A:$AJ,AN$1,0)*15,0),IFERROR(VLOOKUP($D:$D,Structure!$A:$AJ,AN$1,0)*15,0),IFERROR(VLOOKUP($E:$E,Structure!$A:$AJ,AN$1,0)*15,0))</f>
        <v>0</v>
      </c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3"/>
      <c r="BZ10" s="4">
        <f>BZ9+AQ10-F10</f>
        <v>0</v>
      </c>
      <c r="CA10" s="4">
        <f>CA9+AR10-G10</f>
        <v>0</v>
      </c>
      <c r="CB10" s="4">
        <f>CB9+AS10-H10</f>
        <v>0</v>
      </c>
      <c r="CC10" s="4">
        <f>CC9+AT10-I10</f>
        <v>0</v>
      </c>
      <c r="CD10" s="4">
        <f>CD9+AU10-J10</f>
        <v>0</v>
      </c>
      <c r="CE10" s="4">
        <f>CE9+AV10-K10</f>
        <v>0</v>
      </c>
      <c r="CF10" s="4">
        <f>CF9+AW10-L10</f>
        <v>0</v>
      </c>
      <c r="CG10" s="4">
        <f>CG9+AX10-M10</f>
        <v>0</v>
      </c>
      <c r="CH10" s="4">
        <f>CH9+AY10-N10</f>
        <v>0</v>
      </c>
      <c r="CI10" s="4">
        <f>CI9+AZ10-O10</f>
        <v>0</v>
      </c>
      <c r="CJ10" s="4">
        <f>CJ9+BA10-P10</f>
        <v>0</v>
      </c>
      <c r="CK10" s="4">
        <f>CK9+BB10-Q10</f>
        <v>0</v>
      </c>
      <c r="CL10" s="4">
        <f>CL9+BC10-R10</f>
        <v>0</v>
      </c>
      <c r="CM10" s="4">
        <f>CM9+BD10-S10</f>
        <v>0</v>
      </c>
      <c r="CN10" s="4">
        <f>CN9+BE10-T10</f>
        <v>0</v>
      </c>
      <c r="CO10" s="4">
        <f>CO9+BF10-U10</f>
        <v>0</v>
      </c>
      <c r="CP10" s="4">
        <f>CP9+BG10-V10</f>
        <v>0</v>
      </c>
      <c r="CQ10" s="4">
        <f>CQ9+BH10-W10</f>
        <v>0</v>
      </c>
      <c r="CR10" s="4">
        <f>CR9+BI10-X10</f>
        <v>0</v>
      </c>
      <c r="CS10" s="4">
        <f>CS9+BJ10-Y10</f>
        <v>0</v>
      </c>
      <c r="CT10" s="4">
        <f>CT9+BK10-Z10</f>
        <v>0</v>
      </c>
      <c r="CU10" s="4">
        <f>CU9+BL10-AA10</f>
        <v>-215</v>
      </c>
      <c r="CV10" s="4">
        <f>CV9+BM10-AB10</f>
        <v>-45</v>
      </c>
      <c r="CW10" s="4">
        <f>CW9+BN10-AC10</f>
        <v>0</v>
      </c>
      <c r="CX10" s="4">
        <f>CX9+BO10-AD10</f>
        <v>0</v>
      </c>
      <c r="CY10" s="4">
        <f>CY9+BP10-AE10</f>
        <v>0</v>
      </c>
      <c r="CZ10" s="4">
        <f>CZ9+BQ10-AF10</f>
        <v>35</v>
      </c>
      <c r="DA10" s="4">
        <f>DA9+BR10-AG10</f>
        <v>0</v>
      </c>
      <c r="DB10" s="4">
        <f>DB9+BS10-AH10</f>
        <v>0</v>
      </c>
      <c r="DC10" s="4">
        <f>DC9+BT10-AI10</f>
        <v>0</v>
      </c>
      <c r="DD10" s="4">
        <f>DD9+BU10-AJ10</f>
        <v>-175</v>
      </c>
      <c r="DE10" s="4">
        <f>DE9+BV10-AK10</f>
        <v>-60</v>
      </c>
      <c r="DF10" s="4">
        <f>DF9+BW10-AL10</f>
        <v>0</v>
      </c>
      <c r="DG10" s="4">
        <f>DG9+BX10-AM10</f>
        <v>20</v>
      </c>
      <c r="DH10" s="4">
        <f>DH9+BY10-AN10</f>
        <v>0</v>
      </c>
    </row>
    <row r="11" spans="1:112" x14ac:dyDescent="0.25">
      <c r="A11" s="6">
        <v>46179</v>
      </c>
      <c r="B11" s="7">
        <v>0.66666666664968943</v>
      </c>
      <c r="C11" s="3" t="s">
        <v>3</v>
      </c>
      <c r="D11" s="3" t="s">
        <v>9</v>
      </c>
      <c r="E11" s="3" t="s">
        <v>2</v>
      </c>
      <c r="F11" s="13">
        <f>SUM(IFERROR(VLOOKUP($C:$C,Structure!$A:$AJ,F$1,0)*15,0),IFERROR(VLOOKUP($D:$D,Structure!$A:$AJ,F$1,0)*15,0),IFERROR(VLOOKUP($E:$E,Structure!$A:$AJ,F$1,0)*15,0))</f>
        <v>0</v>
      </c>
      <c r="G11" s="13">
        <f>SUM(IFERROR(VLOOKUP($C:$C,Structure!$A:$AJ,G$1,0)*15,0),IFERROR(VLOOKUP($D:$D,Structure!$A:$AJ,G$1,0)*15,0),IFERROR(VLOOKUP($E:$E,Structure!$A:$AJ,G$1,0)*15,0))</f>
        <v>0</v>
      </c>
      <c r="H11" s="13">
        <f>SUM(IFERROR(VLOOKUP($C:$C,Structure!$A:$AJ,H$1,0)*15,0),IFERROR(VLOOKUP($D:$D,Structure!$A:$AJ,H$1,0)*15,0),IFERROR(VLOOKUP($E:$E,Structure!$A:$AJ,H$1,0)*15,0))</f>
        <v>0</v>
      </c>
      <c r="I11" s="13">
        <f>SUM(IFERROR(VLOOKUP($C:$C,Structure!$A:$AJ,I$1,0)*15,0),IFERROR(VLOOKUP($D:$D,Structure!$A:$AJ,I$1,0)*15,0),IFERROR(VLOOKUP($E:$E,Structure!$A:$AJ,I$1,0)*15,0))</f>
        <v>0</v>
      </c>
      <c r="J11" s="13">
        <f>SUM(IFERROR(VLOOKUP($C:$C,Structure!$A:$AJ,J$1,0)*15,0),IFERROR(VLOOKUP($D:$D,Structure!$A:$AJ,J$1,0)*15,0),IFERROR(VLOOKUP($E:$E,Structure!$A:$AJ,J$1,0)*15,0))</f>
        <v>0</v>
      </c>
      <c r="K11" s="13">
        <f>SUM(IFERROR(VLOOKUP($C:$C,Structure!$A:$AJ,K$1,0)*15,0),IFERROR(VLOOKUP($D:$D,Structure!$A:$AJ,K$1,0)*15,0),IFERROR(VLOOKUP($E:$E,Structure!$A:$AJ,K$1,0)*15,0))</f>
        <v>0</v>
      </c>
      <c r="L11" s="13">
        <f>SUM(IFERROR(VLOOKUP($C:$C,Structure!$A:$AJ,L$1,0)*15,0),IFERROR(VLOOKUP($D:$D,Structure!$A:$AJ,L$1,0)*15,0),IFERROR(VLOOKUP($E:$E,Structure!$A:$AJ,L$1,0)*15,0))</f>
        <v>0</v>
      </c>
      <c r="M11" s="13">
        <f>SUM(IFERROR(VLOOKUP($C:$C,Structure!$A:$AJ,M$1,0)*15,0),IFERROR(VLOOKUP($D:$D,Structure!$A:$AJ,M$1,0)*15,0),IFERROR(VLOOKUP($E:$E,Structure!$A:$AJ,M$1,0)*15,0))</f>
        <v>0</v>
      </c>
      <c r="N11" s="13">
        <f>SUM(IFERROR(VLOOKUP($C:$C,Structure!$A:$AJ,N$1,0)*15,0),IFERROR(VLOOKUP($D:$D,Structure!$A:$AJ,N$1,0)*15,0),IFERROR(VLOOKUP($E:$E,Structure!$A:$AJ,N$1,0)*15,0))</f>
        <v>0</v>
      </c>
      <c r="O11" s="13">
        <f>SUM(IFERROR(VLOOKUP($C:$C,Structure!$A:$AJ,O$1,0)*15,0),IFERROR(VLOOKUP($D:$D,Structure!$A:$AJ,O$1,0)*15,0),IFERROR(VLOOKUP($E:$E,Structure!$A:$AJ,O$1,0)*15,0))</f>
        <v>0</v>
      </c>
      <c r="P11" s="13">
        <f>SUM(IFERROR(VLOOKUP($C:$C,Structure!$A:$AJ,P$1,0)*15,0),IFERROR(VLOOKUP($D:$D,Structure!$A:$AJ,P$1,0)*15,0),IFERROR(VLOOKUP($E:$E,Structure!$A:$AJ,P$1,0)*15,0))</f>
        <v>0</v>
      </c>
      <c r="Q11" s="13">
        <f>SUM(IFERROR(VLOOKUP($C:$C,Structure!$A:$AJ,Q$1,0)*15,0),IFERROR(VLOOKUP($D:$D,Structure!$A:$AJ,Q$1,0)*15,0),IFERROR(VLOOKUP($E:$E,Structure!$A:$AJ,Q$1,0)*15,0))</f>
        <v>0</v>
      </c>
      <c r="R11" s="13">
        <f>SUM(IFERROR(VLOOKUP($C:$C,Structure!$A:$AJ,R$1,0)*15,0),IFERROR(VLOOKUP($D:$D,Structure!$A:$AJ,R$1,0)*15,0),IFERROR(VLOOKUP($E:$E,Structure!$A:$AJ,R$1,0)*15,0))</f>
        <v>0</v>
      </c>
      <c r="S11" s="13">
        <f>SUM(IFERROR(VLOOKUP($C:$C,Structure!$A:$AJ,S$1,0)*15,0),IFERROR(VLOOKUP($D:$D,Structure!$A:$AJ,S$1,0)*15,0),IFERROR(VLOOKUP($E:$E,Structure!$A:$AJ,S$1,0)*15,0))</f>
        <v>0</v>
      </c>
      <c r="T11" s="13">
        <f>SUM(IFERROR(VLOOKUP($C:$C,Structure!$A:$AJ,T$1,0)*15,0),IFERROR(VLOOKUP($D:$D,Structure!$A:$AJ,T$1,0)*15,0),IFERROR(VLOOKUP($E:$E,Structure!$A:$AJ,T$1,0)*15,0))</f>
        <v>0</v>
      </c>
      <c r="U11" s="13">
        <f>SUM(IFERROR(VLOOKUP($C:$C,Structure!$A:$AJ,U$1,0)*15,0),IFERROR(VLOOKUP($D:$D,Structure!$A:$AJ,U$1,0)*15,0),IFERROR(VLOOKUP($E:$E,Structure!$A:$AJ,U$1,0)*15,0))</f>
        <v>0</v>
      </c>
      <c r="V11" s="13">
        <f>SUM(IFERROR(VLOOKUP($C:$C,Structure!$A:$AJ,V$1,0)*15,0),IFERROR(VLOOKUP($D:$D,Structure!$A:$AJ,V$1,0)*15,0),IFERROR(VLOOKUP($E:$E,Structure!$A:$AJ,V$1,0)*15,0))</f>
        <v>0</v>
      </c>
      <c r="W11" s="13">
        <f>SUM(IFERROR(VLOOKUP($C:$C,Structure!$A:$AJ,W$1,0)*15,0),IFERROR(VLOOKUP($D:$D,Structure!$A:$AJ,W$1,0)*15,0),IFERROR(VLOOKUP($E:$E,Structure!$A:$AJ,W$1,0)*15,0))</f>
        <v>0</v>
      </c>
      <c r="X11" s="13">
        <f>SUM(IFERROR(VLOOKUP($C:$C,Structure!$A:$AJ,X$1,0)*15,0),IFERROR(VLOOKUP($D:$D,Structure!$A:$AJ,X$1,0)*15,0),IFERROR(VLOOKUP($E:$E,Structure!$A:$AJ,X$1,0)*15,0))</f>
        <v>0</v>
      </c>
      <c r="Y11" s="13">
        <f>SUM(IFERROR(VLOOKUP($C:$C,Structure!$A:$AJ,Y$1,0)*15,0),IFERROR(VLOOKUP($D:$D,Structure!$A:$AJ,Y$1,0)*15,0),IFERROR(VLOOKUP($E:$E,Structure!$A:$AJ,Y$1,0)*15,0))</f>
        <v>0</v>
      </c>
      <c r="Z11" s="13">
        <f>SUM(IFERROR(VLOOKUP($C:$C,Structure!$A:$AJ,Z$1,0)*15,0),IFERROR(VLOOKUP($D:$D,Structure!$A:$AJ,Z$1,0)*15,0),IFERROR(VLOOKUP($E:$E,Structure!$A:$AJ,Z$1,0)*15,0))</f>
        <v>0</v>
      </c>
      <c r="AA11" s="13">
        <f>SUM(IFERROR(VLOOKUP($C:$C,Structure!$A:$AJ,AA$1,0)*15,0),IFERROR(VLOOKUP($D:$D,Structure!$A:$AJ,AA$1,0)*15,0),IFERROR(VLOOKUP($E:$E,Structure!$A:$AJ,AA$1,0)*15,0))</f>
        <v>30</v>
      </c>
      <c r="AB11" s="13">
        <f>SUM(IFERROR(VLOOKUP($C:$C,Structure!$A:$AJ,AB$1,0)*15,0),IFERROR(VLOOKUP($D:$D,Structure!$A:$AJ,AB$1,0)*15,0),IFERROR(VLOOKUP($E:$E,Structure!$A:$AJ,AB$1,0)*15,0))</f>
        <v>15</v>
      </c>
      <c r="AC11" s="13">
        <f>SUM(IFERROR(VLOOKUP($C:$C,Structure!$A:$AJ,AC$1,0)*15,0),IFERROR(VLOOKUP($D:$D,Structure!$A:$AJ,AC$1,0)*15,0),IFERROR(VLOOKUP($E:$E,Structure!$A:$AJ,AC$1,0)*15,0))</f>
        <v>0</v>
      </c>
      <c r="AD11" s="13">
        <f>SUM(IFERROR(VLOOKUP($C:$C,Structure!$A:$AJ,AD$1,0)*15,0),IFERROR(VLOOKUP($D:$D,Structure!$A:$AJ,AD$1,0)*15,0),IFERROR(VLOOKUP($E:$E,Structure!$A:$AJ,AD$1,0)*15,0))</f>
        <v>0</v>
      </c>
      <c r="AE11" s="13">
        <f>SUM(IFERROR(VLOOKUP($C:$C,Structure!$A:$AJ,AE$1,0)*15,0),IFERROR(VLOOKUP($D:$D,Structure!$A:$AJ,AE$1,0)*15,0),IFERROR(VLOOKUP($E:$E,Structure!$A:$AJ,AE$1,0)*15,0))</f>
        <v>0</v>
      </c>
      <c r="AF11" s="13">
        <f>SUM(IFERROR(VLOOKUP($C:$C,Structure!$A:$AJ,AF$1,0)*15,0),IFERROR(VLOOKUP($D:$D,Structure!$A:$AJ,AF$1,0)*15,0),IFERROR(VLOOKUP($E:$E,Structure!$A:$AJ,AF$1,0)*15,0))</f>
        <v>15</v>
      </c>
      <c r="AG11" s="13">
        <f>SUM(IFERROR(VLOOKUP($C:$C,Structure!$A:$AJ,AG$1,0)*15,0),IFERROR(VLOOKUP($D:$D,Structure!$A:$AJ,AG$1,0)*15,0),IFERROR(VLOOKUP($E:$E,Structure!$A:$AJ,AG$1,0)*15,0))</f>
        <v>0</v>
      </c>
      <c r="AH11" s="13">
        <f>SUM(IFERROR(VLOOKUP($C:$C,Structure!$A:$AJ,AH$1,0)*15,0),IFERROR(VLOOKUP($D:$D,Structure!$A:$AJ,AH$1,0)*15,0),IFERROR(VLOOKUP($E:$E,Structure!$A:$AJ,AH$1,0)*15,0))</f>
        <v>0</v>
      </c>
      <c r="AI11" s="13">
        <f>SUM(IFERROR(VLOOKUP($C:$C,Structure!$A:$AJ,AI$1,0)*15,0),IFERROR(VLOOKUP($D:$D,Structure!$A:$AJ,AI$1,0)*15,0),IFERROR(VLOOKUP($E:$E,Structure!$A:$AJ,AI$1,0)*15,0))</f>
        <v>0</v>
      </c>
      <c r="AJ11" s="13">
        <f>SUM(IFERROR(VLOOKUP($C:$C,Structure!$A:$AJ,AJ$1,0)*15,0),IFERROR(VLOOKUP($D:$D,Structure!$A:$AJ,AJ$1,0)*15,0),IFERROR(VLOOKUP($E:$E,Structure!$A:$AJ,AJ$1,0)*15,0))</f>
        <v>15</v>
      </c>
      <c r="AK11" s="13">
        <f>SUM(IFERROR(VLOOKUP($C:$C,Structure!$A:$AJ,AK$1,0)*15,0),IFERROR(VLOOKUP($D:$D,Structure!$A:$AJ,AK$1,0)*15,0),IFERROR(VLOOKUP($E:$E,Structure!$A:$AJ,AK$1,0)*15,0))</f>
        <v>15</v>
      </c>
      <c r="AL11" s="13">
        <f>SUM(IFERROR(VLOOKUP($C:$C,Structure!$A:$AJ,AL$1,0)*15,0),IFERROR(VLOOKUP($D:$D,Structure!$A:$AJ,AL$1,0)*15,0),IFERROR(VLOOKUP($E:$E,Structure!$A:$AJ,AL$1,0)*15,0))</f>
        <v>0</v>
      </c>
      <c r="AM11" s="13">
        <f>SUM(IFERROR(VLOOKUP($C:$C,Structure!$A:$AJ,AM$1,0)*15,0),IFERROR(VLOOKUP($D:$D,Structure!$A:$AJ,AM$1,0)*15,0),IFERROR(VLOOKUP($E:$E,Structure!$A:$AJ,AM$1,0)*15,0))</f>
        <v>0</v>
      </c>
      <c r="AN11" s="13">
        <f>SUM(IFERROR(VLOOKUP($C:$C,Structure!$A:$AJ,AN$1,0)*15,0),IFERROR(VLOOKUP($D:$D,Structure!$A:$AJ,AN$1,0)*15,0),IFERROR(VLOOKUP($E:$E,Structure!$A:$AJ,AN$1,0)*15,0))</f>
        <v>0</v>
      </c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3"/>
      <c r="BZ11" s="4">
        <f>BZ10+AQ11-F11</f>
        <v>0</v>
      </c>
      <c r="CA11" s="4">
        <f>CA10+AR11-G11</f>
        <v>0</v>
      </c>
      <c r="CB11" s="4">
        <f>CB10+AS11-H11</f>
        <v>0</v>
      </c>
      <c r="CC11" s="4">
        <f>CC10+AT11-I11</f>
        <v>0</v>
      </c>
      <c r="CD11" s="4">
        <f>CD10+AU11-J11</f>
        <v>0</v>
      </c>
      <c r="CE11" s="4">
        <f>CE10+AV11-K11</f>
        <v>0</v>
      </c>
      <c r="CF11" s="4">
        <f>CF10+AW11-L11</f>
        <v>0</v>
      </c>
      <c r="CG11" s="4">
        <f>CG10+AX11-M11</f>
        <v>0</v>
      </c>
      <c r="CH11" s="4">
        <f>CH10+AY11-N11</f>
        <v>0</v>
      </c>
      <c r="CI11" s="4">
        <f>CI10+AZ11-O11</f>
        <v>0</v>
      </c>
      <c r="CJ11" s="4">
        <f>CJ10+BA11-P11</f>
        <v>0</v>
      </c>
      <c r="CK11" s="4">
        <f>CK10+BB11-Q11</f>
        <v>0</v>
      </c>
      <c r="CL11" s="4">
        <f>CL10+BC11-R11</f>
        <v>0</v>
      </c>
      <c r="CM11" s="4">
        <f>CM10+BD11-S11</f>
        <v>0</v>
      </c>
      <c r="CN11" s="4">
        <f>CN10+BE11-T11</f>
        <v>0</v>
      </c>
      <c r="CO11" s="4">
        <f>CO10+BF11-U11</f>
        <v>0</v>
      </c>
      <c r="CP11" s="4">
        <f>CP10+BG11-V11</f>
        <v>0</v>
      </c>
      <c r="CQ11" s="4">
        <f>CQ10+BH11-W11</f>
        <v>0</v>
      </c>
      <c r="CR11" s="4">
        <f>CR10+BI11-X11</f>
        <v>0</v>
      </c>
      <c r="CS11" s="4">
        <f>CS10+BJ11-Y11</f>
        <v>0</v>
      </c>
      <c r="CT11" s="4">
        <f>CT10+BK11-Z11</f>
        <v>0</v>
      </c>
      <c r="CU11" s="4">
        <f>CU10+BL11-AA11</f>
        <v>-245</v>
      </c>
      <c r="CV11" s="4">
        <f>CV10+BM11-AB11</f>
        <v>-60</v>
      </c>
      <c r="CW11" s="4">
        <f>CW10+BN11-AC11</f>
        <v>0</v>
      </c>
      <c r="CX11" s="4">
        <f>CX10+BO11-AD11</f>
        <v>0</v>
      </c>
      <c r="CY11" s="4">
        <f>CY10+BP11-AE11</f>
        <v>0</v>
      </c>
      <c r="CZ11" s="4">
        <f>CZ10+BQ11-AF11</f>
        <v>20</v>
      </c>
      <c r="DA11" s="4">
        <f>DA10+BR11-AG11</f>
        <v>0</v>
      </c>
      <c r="DB11" s="4">
        <f>DB10+BS11-AH11</f>
        <v>0</v>
      </c>
      <c r="DC11" s="4">
        <f>DC10+BT11-AI11</f>
        <v>0</v>
      </c>
      <c r="DD11" s="4">
        <f>DD10+BU11-AJ11</f>
        <v>-190</v>
      </c>
      <c r="DE11" s="4">
        <f>DE10+BV11-AK11</f>
        <v>-75</v>
      </c>
      <c r="DF11" s="4">
        <f>DF10+BW11-AL11</f>
        <v>0</v>
      </c>
      <c r="DG11" s="4">
        <f>DG10+BX11-AM11</f>
        <v>20</v>
      </c>
      <c r="DH11" s="4">
        <f>DH10+BY11-AN11</f>
        <v>0</v>
      </c>
    </row>
    <row r="12" spans="1:112" x14ac:dyDescent="0.25">
      <c r="A12" s="6">
        <v>46179</v>
      </c>
      <c r="B12" s="7">
        <v>0.70833333331393078</v>
      </c>
      <c r="C12" s="3" t="s">
        <v>2</v>
      </c>
      <c r="D12" s="3" t="s">
        <v>3</v>
      </c>
      <c r="E12" s="3" t="s">
        <v>2</v>
      </c>
      <c r="F12" s="13">
        <f>SUM(IFERROR(VLOOKUP($C:$C,Structure!$A:$AJ,F$1,0)*15,0),IFERROR(VLOOKUP($D:$D,Structure!$A:$AJ,F$1,0)*15,0),IFERROR(VLOOKUP($E:$E,Structure!$A:$AJ,F$1,0)*15,0))</f>
        <v>0</v>
      </c>
      <c r="G12" s="13">
        <f>SUM(IFERROR(VLOOKUP($C:$C,Structure!$A:$AJ,G$1,0)*15,0),IFERROR(VLOOKUP($D:$D,Structure!$A:$AJ,G$1,0)*15,0),IFERROR(VLOOKUP($E:$E,Structure!$A:$AJ,G$1,0)*15,0))</f>
        <v>0</v>
      </c>
      <c r="H12" s="13">
        <f>SUM(IFERROR(VLOOKUP($C:$C,Structure!$A:$AJ,H$1,0)*15,0),IFERROR(VLOOKUP($D:$D,Structure!$A:$AJ,H$1,0)*15,0),IFERROR(VLOOKUP($E:$E,Structure!$A:$AJ,H$1,0)*15,0))</f>
        <v>0</v>
      </c>
      <c r="I12" s="13">
        <f>SUM(IFERROR(VLOOKUP($C:$C,Structure!$A:$AJ,I$1,0)*15,0),IFERROR(VLOOKUP($D:$D,Structure!$A:$AJ,I$1,0)*15,0),IFERROR(VLOOKUP($E:$E,Structure!$A:$AJ,I$1,0)*15,0))</f>
        <v>0</v>
      </c>
      <c r="J12" s="13">
        <f>SUM(IFERROR(VLOOKUP($C:$C,Structure!$A:$AJ,J$1,0)*15,0),IFERROR(VLOOKUP($D:$D,Structure!$A:$AJ,J$1,0)*15,0),IFERROR(VLOOKUP($E:$E,Structure!$A:$AJ,J$1,0)*15,0))</f>
        <v>0</v>
      </c>
      <c r="K12" s="13">
        <f>SUM(IFERROR(VLOOKUP($C:$C,Structure!$A:$AJ,K$1,0)*15,0),IFERROR(VLOOKUP($D:$D,Structure!$A:$AJ,K$1,0)*15,0),IFERROR(VLOOKUP($E:$E,Structure!$A:$AJ,K$1,0)*15,0))</f>
        <v>0</v>
      </c>
      <c r="L12" s="13">
        <f>SUM(IFERROR(VLOOKUP($C:$C,Structure!$A:$AJ,L$1,0)*15,0),IFERROR(VLOOKUP($D:$D,Structure!$A:$AJ,L$1,0)*15,0),IFERROR(VLOOKUP($E:$E,Structure!$A:$AJ,L$1,0)*15,0))</f>
        <v>0</v>
      </c>
      <c r="M12" s="13">
        <f>SUM(IFERROR(VLOOKUP($C:$C,Structure!$A:$AJ,M$1,0)*15,0),IFERROR(VLOOKUP($D:$D,Structure!$A:$AJ,M$1,0)*15,0),IFERROR(VLOOKUP($E:$E,Structure!$A:$AJ,M$1,0)*15,0))</f>
        <v>0</v>
      </c>
      <c r="N12" s="13">
        <f>SUM(IFERROR(VLOOKUP($C:$C,Structure!$A:$AJ,N$1,0)*15,0),IFERROR(VLOOKUP($D:$D,Structure!$A:$AJ,N$1,0)*15,0),IFERROR(VLOOKUP($E:$E,Structure!$A:$AJ,N$1,0)*15,0))</f>
        <v>0</v>
      </c>
      <c r="O12" s="13">
        <f>SUM(IFERROR(VLOOKUP($C:$C,Structure!$A:$AJ,O$1,0)*15,0),IFERROR(VLOOKUP($D:$D,Structure!$A:$AJ,O$1,0)*15,0),IFERROR(VLOOKUP($E:$E,Structure!$A:$AJ,O$1,0)*15,0))</f>
        <v>0</v>
      </c>
      <c r="P12" s="13">
        <f>SUM(IFERROR(VLOOKUP($C:$C,Structure!$A:$AJ,P$1,0)*15,0),IFERROR(VLOOKUP($D:$D,Structure!$A:$AJ,P$1,0)*15,0),IFERROR(VLOOKUP($E:$E,Structure!$A:$AJ,P$1,0)*15,0))</f>
        <v>0</v>
      </c>
      <c r="Q12" s="13">
        <f>SUM(IFERROR(VLOOKUP($C:$C,Structure!$A:$AJ,Q$1,0)*15,0),IFERROR(VLOOKUP($D:$D,Structure!$A:$AJ,Q$1,0)*15,0),IFERROR(VLOOKUP($E:$E,Structure!$A:$AJ,Q$1,0)*15,0))</f>
        <v>0</v>
      </c>
      <c r="R12" s="13">
        <f>SUM(IFERROR(VLOOKUP($C:$C,Structure!$A:$AJ,R$1,0)*15,0),IFERROR(VLOOKUP($D:$D,Structure!$A:$AJ,R$1,0)*15,0),IFERROR(VLOOKUP($E:$E,Structure!$A:$AJ,R$1,0)*15,0))</f>
        <v>0</v>
      </c>
      <c r="S12" s="13">
        <f>SUM(IFERROR(VLOOKUP($C:$C,Structure!$A:$AJ,S$1,0)*15,0),IFERROR(VLOOKUP($D:$D,Structure!$A:$AJ,S$1,0)*15,0),IFERROR(VLOOKUP($E:$E,Structure!$A:$AJ,S$1,0)*15,0))</f>
        <v>0</v>
      </c>
      <c r="T12" s="13">
        <f>SUM(IFERROR(VLOOKUP($C:$C,Structure!$A:$AJ,T$1,0)*15,0),IFERROR(VLOOKUP($D:$D,Structure!$A:$AJ,T$1,0)*15,0),IFERROR(VLOOKUP($E:$E,Structure!$A:$AJ,T$1,0)*15,0))</f>
        <v>0</v>
      </c>
      <c r="U12" s="13">
        <f>SUM(IFERROR(VLOOKUP($C:$C,Structure!$A:$AJ,U$1,0)*15,0),IFERROR(VLOOKUP($D:$D,Structure!$A:$AJ,U$1,0)*15,0),IFERROR(VLOOKUP($E:$E,Structure!$A:$AJ,U$1,0)*15,0))</f>
        <v>0</v>
      </c>
      <c r="V12" s="13">
        <f>SUM(IFERROR(VLOOKUP($C:$C,Structure!$A:$AJ,V$1,0)*15,0),IFERROR(VLOOKUP($D:$D,Structure!$A:$AJ,V$1,0)*15,0),IFERROR(VLOOKUP($E:$E,Structure!$A:$AJ,V$1,0)*15,0))</f>
        <v>0</v>
      </c>
      <c r="W12" s="13">
        <f>SUM(IFERROR(VLOOKUP($C:$C,Structure!$A:$AJ,W$1,0)*15,0),IFERROR(VLOOKUP($D:$D,Structure!$A:$AJ,W$1,0)*15,0),IFERROR(VLOOKUP($E:$E,Structure!$A:$AJ,W$1,0)*15,0))</f>
        <v>0</v>
      </c>
      <c r="X12" s="13">
        <f>SUM(IFERROR(VLOOKUP($C:$C,Structure!$A:$AJ,X$1,0)*15,0),IFERROR(VLOOKUP($D:$D,Structure!$A:$AJ,X$1,0)*15,0),IFERROR(VLOOKUP($E:$E,Structure!$A:$AJ,X$1,0)*15,0))</f>
        <v>0</v>
      </c>
      <c r="Y12" s="13">
        <f>SUM(IFERROR(VLOOKUP($C:$C,Structure!$A:$AJ,Y$1,0)*15,0),IFERROR(VLOOKUP($D:$D,Structure!$A:$AJ,Y$1,0)*15,0),IFERROR(VLOOKUP($E:$E,Structure!$A:$AJ,Y$1,0)*15,0))</f>
        <v>0</v>
      </c>
      <c r="Z12" s="13">
        <f>SUM(IFERROR(VLOOKUP($C:$C,Structure!$A:$AJ,Z$1,0)*15,0),IFERROR(VLOOKUP($D:$D,Structure!$A:$AJ,Z$1,0)*15,0),IFERROR(VLOOKUP($E:$E,Structure!$A:$AJ,Z$1,0)*15,0))</f>
        <v>0</v>
      </c>
      <c r="AA12" s="13">
        <f>SUM(IFERROR(VLOOKUP($C:$C,Structure!$A:$AJ,AA$1,0)*15,0),IFERROR(VLOOKUP($D:$D,Structure!$A:$AJ,AA$1,0)*15,0),IFERROR(VLOOKUP($E:$E,Structure!$A:$AJ,AA$1,0)*15,0))</f>
        <v>45</v>
      </c>
      <c r="AB12" s="13">
        <f>SUM(IFERROR(VLOOKUP($C:$C,Structure!$A:$AJ,AB$1,0)*15,0),IFERROR(VLOOKUP($D:$D,Structure!$A:$AJ,AB$1,0)*15,0),IFERROR(VLOOKUP($E:$E,Structure!$A:$AJ,AB$1,0)*15,0))</f>
        <v>0</v>
      </c>
      <c r="AC12" s="13">
        <f>SUM(IFERROR(VLOOKUP($C:$C,Structure!$A:$AJ,AC$1,0)*15,0),IFERROR(VLOOKUP($D:$D,Structure!$A:$AJ,AC$1,0)*15,0),IFERROR(VLOOKUP($E:$E,Structure!$A:$AJ,AC$1,0)*15,0))</f>
        <v>0</v>
      </c>
      <c r="AD12" s="13">
        <f>SUM(IFERROR(VLOOKUP($C:$C,Structure!$A:$AJ,AD$1,0)*15,0),IFERROR(VLOOKUP($D:$D,Structure!$A:$AJ,AD$1,0)*15,0),IFERROR(VLOOKUP($E:$E,Structure!$A:$AJ,AD$1,0)*15,0))</f>
        <v>0</v>
      </c>
      <c r="AE12" s="13">
        <f>SUM(IFERROR(VLOOKUP($C:$C,Structure!$A:$AJ,AE$1,0)*15,0),IFERROR(VLOOKUP($D:$D,Structure!$A:$AJ,AE$1,0)*15,0),IFERROR(VLOOKUP($E:$E,Structure!$A:$AJ,AE$1,0)*15,0))</f>
        <v>0</v>
      </c>
      <c r="AF12" s="13">
        <f>SUM(IFERROR(VLOOKUP($C:$C,Structure!$A:$AJ,AF$1,0)*15,0),IFERROR(VLOOKUP($D:$D,Structure!$A:$AJ,AF$1,0)*15,0),IFERROR(VLOOKUP($E:$E,Structure!$A:$AJ,AF$1,0)*15,0))</f>
        <v>0</v>
      </c>
      <c r="AG12" s="13">
        <f>SUM(IFERROR(VLOOKUP($C:$C,Structure!$A:$AJ,AG$1,0)*15,0),IFERROR(VLOOKUP($D:$D,Structure!$A:$AJ,AG$1,0)*15,0),IFERROR(VLOOKUP($E:$E,Structure!$A:$AJ,AG$1,0)*15,0))</f>
        <v>0</v>
      </c>
      <c r="AH12" s="13">
        <f>SUM(IFERROR(VLOOKUP($C:$C,Structure!$A:$AJ,AH$1,0)*15,0),IFERROR(VLOOKUP($D:$D,Structure!$A:$AJ,AH$1,0)*15,0),IFERROR(VLOOKUP($E:$E,Structure!$A:$AJ,AH$1,0)*15,0))</f>
        <v>0</v>
      </c>
      <c r="AI12" s="13">
        <f>SUM(IFERROR(VLOOKUP($C:$C,Structure!$A:$AJ,AI$1,0)*15,0),IFERROR(VLOOKUP($D:$D,Structure!$A:$AJ,AI$1,0)*15,0),IFERROR(VLOOKUP($E:$E,Structure!$A:$AJ,AI$1,0)*15,0))</f>
        <v>0</v>
      </c>
      <c r="AJ12" s="13">
        <f>SUM(IFERROR(VLOOKUP($C:$C,Structure!$A:$AJ,AJ$1,0)*15,0),IFERROR(VLOOKUP($D:$D,Structure!$A:$AJ,AJ$1,0)*15,0),IFERROR(VLOOKUP($E:$E,Structure!$A:$AJ,AJ$1,0)*15,0))</f>
        <v>30</v>
      </c>
      <c r="AK12" s="13">
        <f>SUM(IFERROR(VLOOKUP($C:$C,Structure!$A:$AJ,AK$1,0)*15,0),IFERROR(VLOOKUP($D:$D,Structure!$A:$AJ,AK$1,0)*15,0),IFERROR(VLOOKUP($E:$E,Structure!$A:$AJ,AK$1,0)*15,0))</f>
        <v>15</v>
      </c>
      <c r="AL12" s="13">
        <f>SUM(IFERROR(VLOOKUP($C:$C,Structure!$A:$AJ,AL$1,0)*15,0),IFERROR(VLOOKUP($D:$D,Structure!$A:$AJ,AL$1,0)*15,0),IFERROR(VLOOKUP($E:$E,Structure!$A:$AJ,AL$1,0)*15,0))</f>
        <v>0</v>
      </c>
      <c r="AM12" s="13">
        <f>SUM(IFERROR(VLOOKUP($C:$C,Structure!$A:$AJ,AM$1,0)*15,0),IFERROR(VLOOKUP($D:$D,Structure!$A:$AJ,AM$1,0)*15,0),IFERROR(VLOOKUP($E:$E,Structure!$A:$AJ,AM$1,0)*15,0))</f>
        <v>0</v>
      </c>
      <c r="AN12" s="13">
        <f>SUM(IFERROR(VLOOKUP($C:$C,Structure!$A:$AJ,AN$1,0)*15,0),IFERROR(VLOOKUP($D:$D,Structure!$A:$AJ,AN$1,0)*15,0),IFERROR(VLOOKUP($E:$E,Structure!$A:$AJ,AN$1,0)*15,0))</f>
        <v>0</v>
      </c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3"/>
      <c r="BZ12" s="4">
        <f>BZ11+AQ12-F12</f>
        <v>0</v>
      </c>
      <c r="CA12" s="4">
        <f>CA11+AR12-G12</f>
        <v>0</v>
      </c>
      <c r="CB12" s="4">
        <f>CB11+AS12-H12</f>
        <v>0</v>
      </c>
      <c r="CC12" s="4">
        <f>CC11+AT12-I12</f>
        <v>0</v>
      </c>
      <c r="CD12" s="4">
        <f>CD11+AU12-J12</f>
        <v>0</v>
      </c>
      <c r="CE12" s="4">
        <f>CE11+AV12-K12</f>
        <v>0</v>
      </c>
      <c r="CF12" s="4">
        <f>CF11+AW12-L12</f>
        <v>0</v>
      </c>
      <c r="CG12" s="4">
        <f>CG11+AX12-M12</f>
        <v>0</v>
      </c>
      <c r="CH12" s="4">
        <f>CH11+AY12-N12</f>
        <v>0</v>
      </c>
      <c r="CI12" s="4">
        <f>CI11+AZ12-O12</f>
        <v>0</v>
      </c>
      <c r="CJ12" s="4">
        <f>CJ11+BA12-P12</f>
        <v>0</v>
      </c>
      <c r="CK12" s="4">
        <f>CK11+BB12-Q12</f>
        <v>0</v>
      </c>
      <c r="CL12" s="4">
        <f>CL11+BC12-R12</f>
        <v>0</v>
      </c>
      <c r="CM12" s="4">
        <f>CM11+BD12-S12</f>
        <v>0</v>
      </c>
      <c r="CN12" s="4">
        <f>CN11+BE12-T12</f>
        <v>0</v>
      </c>
      <c r="CO12" s="4">
        <f>CO11+BF12-U12</f>
        <v>0</v>
      </c>
      <c r="CP12" s="4">
        <f>CP11+BG12-V12</f>
        <v>0</v>
      </c>
      <c r="CQ12" s="4">
        <f>CQ11+BH12-W12</f>
        <v>0</v>
      </c>
      <c r="CR12" s="4">
        <f>CR11+BI12-X12</f>
        <v>0</v>
      </c>
      <c r="CS12" s="4">
        <f>CS11+BJ12-Y12</f>
        <v>0</v>
      </c>
      <c r="CT12" s="4">
        <f>CT11+BK12-Z12</f>
        <v>0</v>
      </c>
      <c r="CU12" s="4">
        <f>CU11+BL12-AA12</f>
        <v>-290</v>
      </c>
      <c r="CV12" s="4">
        <f>CV11+BM12-AB12</f>
        <v>-60</v>
      </c>
      <c r="CW12" s="4">
        <f>CW11+BN12-AC12</f>
        <v>0</v>
      </c>
      <c r="CX12" s="4">
        <f>CX11+BO12-AD12</f>
        <v>0</v>
      </c>
      <c r="CY12" s="4">
        <f>CY11+BP12-AE12</f>
        <v>0</v>
      </c>
      <c r="CZ12" s="4">
        <f>CZ11+BQ12-AF12</f>
        <v>20</v>
      </c>
      <c r="DA12" s="4">
        <f>DA11+BR12-AG12</f>
        <v>0</v>
      </c>
      <c r="DB12" s="4">
        <f>DB11+BS12-AH12</f>
        <v>0</v>
      </c>
      <c r="DC12" s="4">
        <f>DC11+BT12-AI12</f>
        <v>0</v>
      </c>
      <c r="DD12" s="4">
        <f>DD11+BU12-AJ12</f>
        <v>-220</v>
      </c>
      <c r="DE12" s="4">
        <f>DE11+BV12-AK12</f>
        <v>-90</v>
      </c>
      <c r="DF12" s="4">
        <f>DF11+BW12-AL12</f>
        <v>0</v>
      </c>
      <c r="DG12" s="4">
        <f>DG11+BX12-AM12</f>
        <v>20</v>
      </c>
      <c r="DH12" s="4">
        <f>DH11+BY12-AN12</f>
        <v>0</v>
      </c>
    </row>
    <row r="13" spans="1:112" x14ac:dyDescent="0.25">
      <c r="A13" s="6">
        <v>46179</v>
      </c>
      <c r="B13" s="7">
        <v>0.74999999997817213</v>
      </c>
      <c r="C13" s="3" t="s">
        <v>2</v>
      </c>
      <c r="D13" s="3" t="s">
        <v>9</v>
      </c>
      <c r="E13" s="3" t="s">
        <v>2</v>
      </c>
      <c r="F13" s="13">
        <f>SUM(IFERROR(VLOOKUP($C:$C,Structure!$A:$AJ,F$1,0)*15,0),IFERROR(VLOOKUP($D:$D,Structure!$A:$AJ,F$1,0)*15,0),IFERROR(VLOOKUP($E:$E,Structure!$A:$AJ,F$1,0)*15,0))</f>
        <v>0</v>
      </c>
      <c r="G13" s="13">
        <f>SUM(IFERROR(VLOOKUP($C:$C,Structure!$A:$AJ,G$1,0)*15,0),IFERROR(VLOOKUP($D:$D,Structure!$A:$AJ,G$1,0)*15,0),IFERROR(VLOOKUP($E:$E,Structure!$A:$AJ,G$1,0)*15,0))</f>
        <v>0</v>
      </c>
      <c r="H13" s="13">
        <f>SUM(IFERROR(VLOOKUP($C:$C,Structure!$A:$AJ,H$1,0)*15,0),IFERROR(VLOOKUP($D:$D,Structure!$A:$AJ,H$1,0)*15,0),IFERROR(VLOOKUP($E:$E,Structure!$A:$AJ,H$1,0)*15,0))</f>
        <v>0</v>
      </c>
      <c r="I13" s="13">
        <f>SUM(IFERROR(VLOOKUP($C:$C,Structure!$A:$AJ,I$1,0)*15,0),IFERROR(VLOOKUP($D:$D,Structure!$A:$AJ,I$1,0)*15,0),IFERROR(VLOOKUP($E:$E,Structure!$A:$AJ,I$1,0)*15,0))</f>
        <v>0</v>
      </c>
      <c r="J13" s="13">
        <f>SUM(IFERROR(VLOOKUP($C:$C,Structure!$A:$AJ,J$1,0)*15,0),IFERROR(VLOOKUP($D:$D,Structure!$A:$AJ,J$1,0)*15,0),IFERROR(VLOOKUP($E:$E,Structure!$A:$AJ,J$1,0)*15,0))</f>
        <v>0</v>
      </c>
      <c r="K13" s="13">
        <f>SUM(IFERROR(VLOOKUP($C:$C,Structure!$A:$AJ,K$1,0)*15,0),IFERROR(VLOOKUP($D:$D,Structure!$A:$AJ,K$1,0)*15,0),IFERROR(VLOOKUP($E:$E,Structure!$A:$AJ,K$1,0)*15,0))</f>
        <v>0</v>
      </c>
      <c r="L13" s="13">
        <f>SUM(IFERROR(VLOOKUP($C:$C,Structure!$A:$AJ,L$1,0)*15,0),IFERROR(VLOOKUP($D:$D,Structure!$A:$AJ,L$1,0)*15,0),IFERROR(VLOOKUP($E:$E,Structure!$A:$AJ,L$1,0)*15,0))</f>
        <v>0</v>
      </c>
      <c r="M13" s="13">
        <f>SUM(IFERROR(VLOOKUP($C:$C,Structure!$A:$AJ,M$1,0)*15,0),IFERROR(VLOOKUP($D:$D,Structure!$A:$AJ,M$1,0)*15,0),IFERROR(VLOOKUP($E:$E,Structure!$A:$AJ,M$1,0)*15,0))</f>
        <v>0</v>
      </c>
      <c r="N13" s="13">
        <f>SUM(IFERROR(VLOOKUP($C:$C,Structure!$A:$AJ,N$1,0)*15,0),IFERROR(VLOOKUP($D:$D,Structure!$A:$AJ,N$1,0)*15,0),IFERROR(VLOOKUP($E:$E,Structure!$A:$AJ,N$1,0)*15,0))</f>
        <v>0</v>
      </c>
      <c r="O13" s="13">
        <f>SUM(IFERROR(VLOOKUP($C:$C,Structure!$A:$AJ,O$1,0)*15,0),IFERROR(VLOOKUP($D:$D,Structure!$A:$AJ,O$1,0)*15,0),IFERROR(VLOOKUP($E:$E,Structure!$A:$AJ,O$1,0)*15,0))</f>
        <v>0</v>
      </c>
      <c r="P13" s="13">
        <f>SUM(IFERROR(VLOOKUP($C:$C,Structure!$A:$AJ,P$1,0)*15,0),IFERROR(VLOOKUP($D:$D,Structure!$A:$AJ,P$1,0)*15,0),IFERROR(VLOOKUP($E:$E,Structure!$A:$AJ,P$1,0)*15,0))</f>
        <v>0</v>
      </c>
      <c r="Q13" s="13">
        <f>SUM(IFERROR(VLOOKUP($C:$C,Structure!$A:$AJ,Q$1,0)*15,0),IFERROR(VLOOKUP($D:$D,Structure!$A:$AJ,Q$1,0)*15,0),IFERROR(VLOOKUP($E:$E,Structure!$A:$AJ,Q$1,0)*15,0))</f>
        <v>0</v>
      </c>
      <c r="R13" s="13">
        <f>SUM(IFERROR(VLOOKUP($C:$C,Structure!$A:$AJ,R$1,0)*15,0),IFERROR(VLOOKUP($D:$D,Structure!$A:$AJ,R$1,0)*15,0),IFERROR(VLOOKUP($E:$E,Structure!$A:$AJ,R$1,0)*15,0))</f>
        <v>0</v>
      </c>
      <c r="S13" s="13">
        <f>SUM(IFERROR(VLOOKUP($C:$C,Structure!$A:$AJ,S$1,0)*15,0),IFERROR(VLOOKUP($D:$D,Structure!$A:$AJ,S$1,0)*15,0),IFERROR(VLOOKUP($E:$E,Structure!$A:$AJ,S$1,0)*15,0))</f>
        <v>0</v>
      </c>
      <c r="T13" s="13">
        <f>SUM(IFERROR(VLOOKUP($C:$C,Structure!$A:$AJ,T$1,0)*15,0),IFERROR(VLOOKUP($D:$D,Structure!$A:$AJ,T$1,0)*15,0),IFERROR(VLOOKUP($E:$E,Structure!$A:$AJ,T$1,0)*15,0))</f>
        <v>0</v>
      </c>
      <c r="U13" s="13">
        <f>SUM(IFERROR(VLOOKUP($C:$C,Structure!$A:$AJ,U$1,0)*15,0),IFERROR(VLOOKUP($D:$D,Structure!$A:$AJ,U$1,0)*15,0),IFERROR(VLOOKUP($E:$E,Structure!$A:$AJ,U$1,0)*15,0))</f>
        <v>0</v>
      </c>
      <c r="V13" s="13">
        <f>SUM(IFERROR(VLOOKUP($C:$C,Structure!$A:$AJ,V$1,0)*15,0),IFERROR(VLOOKUP($D:$D,Structure!$A:$AJ,V$1,0)*15,0),IFERROR(VLOOKUP($E:$E,Structure!$A:$AJ,V$1,0)*15,0))</f>
        <v>0</v>
      </c>
      <c r="W13" s="13">
        <f>SUM(IFERROR(VLOOKUP($C:$C,Structure!$A:$AJ,W$1,0)*15,0),IFERROR(VLOOKUP($D:$D,Structure!$A:$AJ,W$1,0)*15,0),IFERROR(VLOOKUP($E:$E,Structure!$A:$AJ,W$1,0)*15,0))</f>
        <v>0</v>
      </c>
      <c r="X13" s="13">
        <f>SUM(IFERROR(VLOOKUP($C:$C,Structure!$A:$AJ,X$1,0)*15,0),IFERROR(VLOOKUP($D:$D,Structure!$A:$AJ,X$1,0)*15,0),IFERROR(VLOOKUP($E:$E,Structure!$A:$AJ,X$1,0)*15,0))</f>
        <v>0</v>
      </c>
      <c r="Y13" s="13">
        <f>SUM(IFERROR(VLOOKUP($C:$C,Structure!$A:$AJ,Y$1,0)*15,0),IFERROR(VLOOKUP($D:$D,Structure!$A:$AJ,Y$1,0)*15,0),IFERROR(VLOOKUP($E:$E,Structure!$A:$AJ,Y$1,0)*15,0))</f>
        <v>0</v>
      </c>
      <c r="Z13" s="13">
        <f>SUM(IFERROR(VLOOKUP($C:$C,Structure!$A:$AJ,Z$1,0)*15,0),IFERROR(VLOOKUP($D:$D,Structure!$A:$AJ,Z$1,0)*15,0),IFERROR(VLOOKUP($E:$E,Structure!$A:$AJ,Z$1,0)*15,0))</f>
        <v>0</v>
      </c>
      <c r="AA13" s="13">
        <f>SUM(IFERROR(VLOOKUP($C:$C,Structure!$A:$AJ,AA$1,0)*15,0),IFERROR(VLOOKUP($D:$D,Structure!$A:$AJ,AA$1,0)*15,0),IFERROR(VLOOKUP($E:$E,Structure!$A:$AJ,AA$1,0)*15,0))</f>
        <v>30</v>
      </c>
      <c r="AB13" s="13">
        <f>SUM(IFERROR(VLOOKUP($C:$C,Structure!$A:$AJ,AB$1,0)*15,0),IFERROR(VLOOKUP($D:$D,Structure!$A:$AJ,AB$1,0)*15,0),IFERROR(VLOOKUP($E:$E,Structure!$A:$AJ,AB$1,0)*15,0))</f>
        <v>15</v>
      </c>
      <c r="AC13" s="13">
        <f>SUM(IFERROR(VLOOKUP($C:$C,Structure!$A:$AJ,AC$1,0)*15,0),IFERROR(VLOOKUP($D:$D,Structure!$A:$AJ,AC$1,0)*15,0),IFERROR(VLOOKUP($E:$E,Structure!$A:$AJ,AC$1,0)*15,0))</f>
        <v>0</v>
      </c>
      <c r="AD13" s="13">
        <f>SUM(IFERROR(VLOOKUP($C:$C,Structure!$A:$AJ,AD$1,0)*15,0),IFERROR(VLOOKUP($D:$D,Structure!$A:$AJ,AD$1,0)*15,0),IFERROR(VLOOKUP($E:$E,Structure!$A:$AJ,AD$1,0)*15,0))</f>
        <v>0</v>
      </c>
      <c r="AE13" s="13">
        <f>SUM(IFERROR(VLOOKUP($C:$C,Structure!$A:$AJ,AE$1,0)*15,0),IFERROR(VLOOKUP($D:$D,Structure!$A:$AJ,AE$1,0)*15,0),IFERROR(VLOOKUP($E:$E,Structure!$A:$AJ,AE$1,0)*15,0))</f>
        <v>0</v>
      </c>
      <c r="AF13" s="13">
        <f>SUM(IFERROR(VLOOKUP($C:$C,Structure!$A:$AJ,AF$1,0)*15,0),IFERROR(VLOOKUP($D:$D,Structure!$A:$AJ,AF$1,0)*15,0),IFERROR(VLOOKUP($E:$E,Structure!$A:$AJ,AF$1,0)*15,0))</f>
        <v>15</v>
      </c>
      <c r="AG13" s="13">
        <f>SUM(IFERROR(VLOOKUP($C:$C,Structure!$A:$AJ,AG$1,0)*15,0),IFERROR(VLOOKUP($D:$D,Structure!$A:$AJ,AG$1,0)*15,0),IFERROR(VLOOKUP($E:$E,Structure!$A:$AJ,AG$1,0)*15,0))</f>
        <v>0</v>
      </c>
      <c r="AH13" s="13">
        <f>SUM(IFERROR(VLOOKUP($C:$C,Structure!$A:$AJ,AH$1,0)*15,0),IFERROR(VLOOKUP($D:$D,Structure!$A:$AJ,AH$1,0)*15,0),IFERROR(VLOOKUP($E:$E,Structure!$A:$AJ,AH$1,0)*15,0))</f>
        <v>0</v>
      </c>
      <c r="AI13" s="13">
        <f>SUM(IFERROR(VLOOKUP($C:$C,Structure!$A:$AJ,AI$1,0)*15,0),IFERROR(VLOOKUP($D:$D,Structure!$A:$AJ,AI$1,0)*15,0),IFERROR(VLOOKUP($E:$E,Structure!$A:$AJ,AI$1,0)*15,0))</f>
        <v>0</v>
      </c>
      <c r="AJ13" s="13">
        <f>SUM(IFERROR(VLOOKUP($C:$C,Structure!$A:$AJ,AJ$1,0)*15,0),IFERROR(VLOOKUP($D:$D,Structure!$A:$AJ,AJ$1,0)*15,0),IFERROR(VLOOKUP($E:$E,Structure!$A:$AJ,AJ$1,0)*15,0))</f>
        <v>30</v>
      </c>
      <c r="AK13" s="13">
        <f>SUM(IFERROR(VLOOKUP($C:$C,Structure!$A:$AJ,AK$1,0)*15,0),IFERROR(VLOOKUP($D:$D,Structure!$A:$AJ,AK$1,0)*15,0),IFERROR(VLOOKUP($E:$E,Structure!$A:$AJ,AK$1,0)*15,0))</f>
        <v>0</v>
      </c>
      <c r="AL13" s="13">
        <f>SUM(IFERROR(VLOOKUP($C:$C,Structure!$A:$AJ,AL$1,0)*15,0),IFERROR(VLOOKUP($D:$D,Structure!$A:$AJ,AL$1,0)*15,0),IFERROR(VLOOKUP($E:$E,Structure!$A:$AJ,AL$1,0)*15,0))</f>
        <v>0</v>
      </c>
      <c r="AM13" s="13">
        <f>SUM(IFERROR(VLOOKUP($C:$C,Structure!$A:$AJ,AM$1,0)*15,0),IFERROR(VLOOKUP($D:$D,Structure!$A:$AJ,AM$1,0)*15,0),IFERROR(VLOOKUP($E:$E,Structure!$A:$AJ,AM$1,0)*15,0))</f>
        <v>0</v>
      </c>
      <c r="AN13" s="13">
        <f>SUM(IFERROR(VLOOKUP($C:$C,Structure!$A:$AJ,AN$1,0)*15,0),IFERROR(VLOOKUP($D:$D,Structure!$A:$AJ,AN$1,0)*15,0),IFERROR(VLOOKUP($E:$E,Structure!$A:$AJ,AN$1,0)*15,0))</f>
        <v>0</v>
      </c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3"/>
      <c r="BZ13" s="4">
        <f>BZ12+AQ13-F13</f>
        <v>0</v>
      </c>
      <c r="CA13" s="4">
        <f>CA12+AR13-G13</f>
        <v>0</v>
      </c>
      <c r="CB13" s="4">
        <f>CB12+AS13-H13</f>
        <v>0</v>
      </c>
      <c r="CC13" s="4">
        <f>CC12+AT13-I13</f>
        <v>0</v>
      </c>
      <c r="CD13" s="4">
        <f>CD12+AU13-J13</f>
        <v>0</v>
      </c>
      <c r="CE13" s="4">
        <f>CE12+AV13-K13</f>
        <v>0</v>
      </c>
      <c r="CF13" s="4">
        <f>CF12+AW13-L13</f>
        <v>0</v>
      </c>
      <c r="CG13" s="4">
        <f>CG12+AX13-M13</f>
        <v>0</v>
      </c>
      <c r="CH13" s="4">
        <f>CH12+AY13-N13</f>
        <v>0</v>
      </c>
      <c r="CI13" s="4">
        <f>CI12+AZ13-O13</f>
        <v>0</v>
      </c>
      <c r="CJ13" s="4">
        <f>CJ12+BA13-P13</f>
        <v>0</v>
      </c>
      <c r="CK13" s="4">
        <f>CK12+BB13-Q13</f>
        <v>0</v>
      </c>
      <c r="CL13" s="4">
        <f>CL12+BC13-R13</f>
        <v>0</v>
      </c>
      <c r="CM13" s="4">
        <f>CM12+BD13-S13</f>
        <v>0</v>
      </c>
      <c r="CN13" s="4">
        <f>CN12+BE13-T13</f>
        <v>0</v>
      </c>
      <c r="CO13" s="4">
        <f>CO12+BF13-U13</f>
        <v>0</v>
      </c>
      <c r="CP13" s="4">
        <f>CP12+BG13-V13</f>
        <v>0</v>
      </c>
      <c r="CQ13" s="4">
        <f>CQ12+BH13-W13</f>
        <v>0</v>
      </c>
      <c r="CR13" s="4">
        <f>CR12+BI13-X13</f>
        <v>0</v>
      </c>
      <c r="CS13" s="4">
        <f>CS12+BJ13-Y13</f>
        <v>0</v>
      </c>
      <c r="CT13" s="4">
        <f>CT12+BK13-Z13</f>
        <v>0</v>
      </c>
      <c r="CU13" s="4">
        <f>CU12+BL13-AA13</f>
        <v>-320</v>
      </c>
      <c r="CV13" s="4">
        <f>CV12+BM13-AB13</f>
        <v>-75</v>
      </c>
      <c r="CW13" s="4">
        <f>CW12+BN13-AC13</f>
        <v>0</v>
      </c>
      <c r="CX13" s="4">
        <f>CX12+BO13-AD13</f>
        <v>0</v>
      </c>
      <c r="CY13" s="4">
        <f>CY12+BP13-AE13</f>
        <v>0</v>
      </c>
      <c r="CZ13" s="4">
        <f>CZ12+BQ13-AF13</f>
        <v>5</v>
      </c>
      <c r="DA13" s="4">
        <f>DA12+BR13-AG13</f>
        <v>0</v>
      </c>
      <c r="DB13" s="4">
        <f>DB12+BS13-AH13</f>
        <v>0</v>
      </c>
      <c r="DC13" s="4">
        <f>DC12+BT13-AI13</f>
        <v>0</v>
      </c>
      <c r="DD13" s="4">
        <f>DD12+BU13-AJ13</f>
        <v>-250</v>
      </c>
      <c r="DE13" s="4">
        <f>DE12+BV13-AK13</f>
        <v>-90</v>
      </c>
      <c r="DF13" s="4">
        <f>DF12+BW13-AL13</f>
        <v>0</v>
      </c>
      <c r="DG13" s="4">
        <f>DG12+BX13-AM13</f>
        <v>20</v>
      </c>
      <c r="DH13" s="4">
        <f>DH12+BY13-AN13</f>
        <v>0</v>
      </c>
    </row>
    <row r="14" spans="1:112" x14ac:dyDescent="0.25">
      <c r="A14" s="6">
        <v>46179</v>
      </c>
      <c r="B14" s="7">
        <v>0.79166666664241347</v>
      </c>
      <c r="C14" s="3" t="s">
        <v>2</v>
      </c>
      <c r="D14" s="3" t="s">
        <v>9</v>
      </c>
      <c r="E14" s="3" t="s">
        <v>2</v>
      </c>
      <c r="F14" s="13">
        <f>SUM(IFERROR(VLOOKUP($C:$C,Structure!$A:$AJ,F$1,0)*15,0),IFERROR(VLOOKUP($D:$D,Structure!$A:$AJ,F$1,0)*15,0),IFERROR(VLOOKUP($E:$E,Structure!$A:$AJ,F$1,0)*15,0))</f>
        <v>0</v>
      </c>
      <c r="G14" s="13">
        <f>SUM(IFERROR(VLOOKUP($C:$C,Structure!$A:$AJ,G$1,0)*15,0),IFERROR(VLOOKUP($D:$D,Structure!$A:$AJ,G$1,0)*15,0),IFERROR(VLOOKUP($E:$E,Structure!$A:$AJ,G$1,0)*15,0))</f>
        <v>0</v>
      </c>
      <c r="H14" s="13">
        <f>SUM(IFERROR(VLOOKUP($C:$C,Structure!$A:$AJ,H$1,0)*15,0),IFERROR(VLOOKUP($D:$D,Structure!$A:$AJ,H$1,0)*15,0),IFERROR(VLOOKUP($E:$E,Structure!$A:$AJ,H$1,0)*15,0))</f>
        <v>0</v>
      </c>
      <c r="I14" s="13">
        <f>SUM(IFERROR(VLOOKUP($C:$C,Structure!$A:$AJ,I$1,0)*15,0),IFERROR(VLOOKUP($D:$D,Structure!$A:$AJ,I$1,0)*15,0),IFERROR(VLOOKUP($E:$E,Structure!$A:$AJ,I$1,0)*15,0))</f>
        <v>0</v>
      </c>
      <c r="J14" s="13">
        <f>SUM(IFERROR(VLOOKUP($C:$C,Structure!$A:$AJ,J$1,0)*15,0),IFERROR(VLOOKUP($D:$D,Structure!$A:$AJ,J$1,0)*15,0),IFERROR(VLOOKUP($E:$E,Structure!$A:$AJ,J$1,0)*15,0))</f>
        <v>0</v>
      </c>
      <c r="K14" s="13">
        <f>SUM(IFERROR(VLOOKUP($C:$C,Structure!$A:$AJ,K$1,0)*15,0),IFERROR(VLOOKUP($D:$D,Structure!$A:$AJ,K$1,0)*15,0),IFERROR(VLOOKUP($E:$E,Structure!$A:$AJ,K$1,0)*15,0))</f>
        <v>0</v>
      </c>
      <c r="L14" s="13">
        <f>SUM(IFERROR(VLOOKUP($C:$C,Structure!$A:$AJ,L$1,0)*15,0),IFERROR(VLOOKUP($D:$D,Structure!$A:$AJ,L$1,0)*15,0),IFERROR(VLOOKUP($E:$E,Structure!$A:$AJ,L$1,0)*15,0))</f>
        <v>0</v>
      </c>
      <c r="M14" s="13">
        <f>SUM(IFERROR(VLOOKUP($C:$C,Structure!$A:$AJ,M$1,0)*15,0),IFERROR(VLOOKUP($D:$D,Structure!$A:$AJ,M$1,0)*15,0),IFERROR(VLOOKUP($E:$E,Structure!$A:$AJ,M$1,0)*15,0))</f>
        <v>0</v>
      </c>
      <c r="N14" s="13">
        <f>SUM(IFERROR(VLOOKUP($C:$C,Structure!$A:$AJ,N$1,0)*15,0),IFERROR(VLOOKUP($D:$D,Structure!$A:$AJ,N$1,0)*15,0),IFERROR(VLOOKUP($E:$E,Structure!$A:$AJ,N$1,0)*15,0))</f>
        <v>0</v>
      </c>
      <c r="O14" s="13">
        <f>SUM(IFERROR(VLOOKUP($C:$C,Structure!$A:$AJ,O$1,0)*15,0),IFERROR(VLOOKUP($D:$D,Structure!$A:$AJ,O$1,0)*15,0),IFERROR(VLOOKUP($E:$E,Structure!$A:$AJ,O$1,0)*15,0))</f>
        <v>0</v>
      </c>
      <c r="P14" s="13">
        <f>SUM(IFERROR(VLOOKUP($C:$C,Structure!$A:$AJ,P$1,0)*15,0),IFERROR(VLOOKUP($D:$D,Structure!$A:$AJ,P$1,0)*15,0),IFERROR(VLOOKUP($E:$E,Structure!$A:$AJ,P$1,0)*15,0))</f>
        <v>0</v>
      </c>
      <c r="Q14" s="13">
        <f>SUM(IFERROR(VLOOKUP($C:$C,Structure!$A:$AJ,Q$1,0)*15,0),IFERROR(VLOOKUP($D:$D,Structure!$A:$AJ,Q$1,0)*15,0),IFERROR(VLOOKUP($E:$E,Structure!$A:$AJ,Q$1,0)*15,0))</f>
        <v>0</v>
      </c>
      <c r="R14" s="13">
        <f>SUM(IFERROR(VLOOKUP($C:$C,Structure!$A:$AJ,R$1,0)*15,0),IFERROR(VLOOKUP($D:$D,Structure!$A:$AJ,R$1,0)*15,0),IFERROR(VLOOKUP($E:$E,Structure!$A:$AJ,R$1,0)*15,0))</f>
        <v>0</v>
      </c>
      <c r="S14" s="13">
        <f>SUM(IFERROR(VLOOKUP($C:$C,Structure!$A:$AJ,S$1,0)*15,0),IFERROR(VLOOKUP($D:$D,Structure!$A:$AJ,S$1,0)*15,0),IFERROR(VLOOKUP($E:$E,Structure!$A:$AJ,S$1,0)*15,0))</f>
        <v>0</v>
      </c>
      <c r="T14" s="13">
        <f>SUM(IFERROR(VLOOKUP($C:$C,Structure!$A:$AJ,T$1,0)*15,0),IFERROR(VLOOKUP($D:$D,Structure!$A:$AJ,T$1,0)*15,0),IFERROR(VLOOKUP($E:$E,Structure!$A:$AJ,T$1,0)*15,0))</f>
        <v>0</v>
      </c>
      <c r="U14" s="13">
        <f>SUM(IFERROR(VLOOKUP($C:$C,Structure!$A:$AJ,U$1,0)*15,0),IFERROR(VLOOKUP($D:$D,Structure!$A:$AJ,U$1,0)*15,0),IFERROR(VLOOKUP($E:$E,Structure!$A:$AJ,U$1,0)*15,0))</f>
        <v>0</v>
      </c>
      <c r="V14" s="13">
        <f>SUM(IFERROR(VLOOKUP($C:$C,Structure!$A:$AJ,V$1,0)*15,0),IFERROR(VLOOKUP($D:$D,Structure!$A:$AJ,V$1,0)*15,0),IFERROR(VLOOKUP($E:$E,Structure!$A:$AJ,V$1,0)*15,0))</f>
        <v>0</v>
      </c>
      <c r="W14" s="13">
        <f>SUM(IFERROR(VLOOKUP($C:$C,Structure!$A:$AJ,W$1,0)*15,0),IFERROR(VLOOKUP($D:$D,Structure!$A:$AJ,W$1,0)*15,0),IFERROR(VLOOKUP($E:$E,Structure!$A:$AJ,W$1,0)*15,0))</f>
        <v>0</v>
      </c>
      <c r="X14" s="13">
        <f>SUM(IFERROR(VLOOKUP($C:$C,Structure!$A:$AJ,X$1,0)*15,0),IFERROR(VLOOKUP($D:$D,Structure!$A:$AJ,X$1,0)*15,0),IFERROR(VLOOKUP($E:$E,Structure!$A:$AJ,X$1,0)*15,0))</f>
        <v>0</v>
      </c>
      <c r="Y14" s="13">
        <f>SUM(IFERROR(VLOOKUP($C:$C,Structure!$A:$AJ,Y$1,0)*15,0),IFERROR(VLOOKUP($D:$D,Structure!$A:$AJ,Y$1,0)*15,0),IFERROR(VLOOKUP($E:$E,Structure!$A:$AJ,Y$1,0)*15,0))</f>
        <v>0</v>
      </c>
      <c r="Z14" s="13">
        <f>SUM(IFERROR(VLOOKUP($C:$C,Structure!$A:$AJ,Z$1,0)*15,0),IFERROR(VLOOKUP($D:$D,Structure!$A:$AJ,Z$1,0)*15,0),IFERROR(VLOOKUP($E:$E,Structure!$A:$AJ,Z$1,0)*15,0))</f>
        <v>0</v>
      </c>
      <c r="AA14" s="13">
        <f>SUM(IFERROR(VLOOKUP($C:$C,Structure!$A:$AJ,AA$1,0)*15,0),IFERROR(VLOOKUP($D:$D,Structure!$A:$AJ,AA$1,0)*15,0),IFERROR(VLOOKUP($E:$E,Structure!$A:$AJ,AA$1,0)*15,0))</f>
        <v>30</v>
      </c>
      <c r="AB14" s="13">
        <f>SUM(IFERROR(VLOOKUP($C:$C,Structure!$A:$AJ,AB$1,0)*15,0),IFERROR(VLOOKUP($D:$D,Structure!$A:$AJ,AB$1,0)*15,0),IFERROR(VLOOKUP($E:$E,Structure!$A:$AJ,AB$1,0)*15,0))</f>
        <v>15</v>
      </c>
      <c r="AC14" s="13">
        <f>SUM(IFERROR(VLOOKUP($C:$C,Structure!$A:$AJ,AC$1,0)*15,0),IFERROR(VLOOKUP($D:$D,Structure!$A:$AJ,AC$1,0)*15,0),IFERROR(VLOOKUP($E:$E,Structure!$A:$AJ,AC$1,0)*15,0))</f>
        <v>0</v>
      </c>
      <c r="AD14" s="13">
        <f>SUM(IFERROR(VLOOKUP($C:$C,Structure!$A:$AJ,AD$1,0)*15,0),IFERROR(VLOOKUP($D:$D,Structure!$A:$AJ,AD$1,0)*15,0),IFERROR(VLOOKUP($E:$E,Structure!$A:$AJ,AD$1,0)*15,0))</f>
        <v>0</v>
      </c>
      <c r="AE14" s="13">
        <f>SUM(IFERROR(VLOOKUP($C:$C,Structure!$A:$AJ,AE$1,0)*15,0),IFERROR(VLOOKUP($D:$D,Structure!$A:$AJ,AE$1,0)*15,0),IFERROR(VLOOKUP($E:$E,Structure!$A:$AJ,AE$1,0)*15,0))</f>
        <v>0</v>
      </c>
      <c r="AF14" s="13">
        <f>SUM(IFERROR(VLOOKUP($C:$C,Structure!$A:$AJ,AF$1,0)*15,0),IFERROR(VLOOKUP($D:$D,Structure!$A:$AJ,AF$1,0)*15,0),IFERROR(VLOOKUP($E:$E,Structure!$A:$AJ,AF$1,0)*15,0))</f>
        <v>15</v>
      </c>
      <c r="AG14" s="13">
        <f>SUM(IFERROR(VLOOKUP($C:$C,Structure!$A:$AJ,AG$1,0)*15,0),IFERROR(VLOOKUP($D:$D,Structure!$A:$AJ,AG$1,0)*15,0),IFERROR(VLOOKUP($E:$E,Structure!$A:$AJ,AG$1,0)*15,0))</f>
        <v>0</v>
      </c>
      <c r="AH14" s="13">
        <f>SUM(IFERROR(VLOOKUP($C:$C,Structure!$A:$AJ,AH$1,0)*15,0),IFERROR(VLOOKUP($D:$D,Structure!$A:$AJ,AH$1,0)*15,0),IFERROR(VLOOKUP($E:$E,Structure!$A:$AJ,AH$1,0)*15,0))</f>
        <v>0</v>
      </c>
      <c r="AI14" s="13">
        <f>SUM(IFERROR(VLOOKUP($C:$C,Structure!$A:$AJ,AI$1,0)*15,0),IFERROR(VLOOKUP($D:$D,Structure!$A:$AJ,AI$1,0)*15,0),IFERROR(VLOOKUP($E:$E,Structure!$A:$AJ,AI$1,0)*15,0))</f>
        <v>0</v>
      </c>
      <c r="AJ14" s="13">
        <f>SUM(IFERROR(VLOOKUP($C:$C,Structure!$A:$AJ,AJ$1,0)*15,0),IFERROR(VLOOKUP($D:$D,Structure!$A:$AJ,AJ$1,0)*15,0),IFERROR(VLOOKUP($E:$E,Structure!$A:$AJ,AJ$1,0)*15,0))</f>
        <v>30</v>
      </c>
      <c r="AK14" s="13">
        <f>SUM(IFERROR(VLOOKUP($C:$C,Structure!$A:$AJ,AK$1,0)*15,0),IFERROR(VLOOKUP($D:$D,Structure!$A:$AJ,AK$1,0)*15,0),IFERROR(VLOOKUP($E:$E,Structure!$A:$AJ,AK$1,0)*15,0))</f>
        <v>0</v>
      </c>
      <c r="AL14" s="13">
        <f>SUM(IFERROR(VLOOKUP($C:$C,Structure!$A:$AJ,AL$1,0)*15,0),IFERROR(VLOOKUP($D:$D,Structure!$A:$AJ,AL$1,0)*15,0),IFERROR(VLOOKUP($E:$E,Structure!$A:$AJ,AL$1,0)*15,0))</f>
        <v>0</v>
      </c>
      <c r="AM14" s="13">
        <f>SUM(IFERROR(VLOOKUP($C:$C,Structure!$A:$AJ,AM$1,0)*15,0),IFERROR(VLOOKUP($D:$D,Structure!$A:$AJ,AM$1,0)*15,0),IFERROR(VLOOKUP($E:$E,Structure!$A:$AJ,AM$1,0)*15,0))</f>
        <v>0</v>
      </c>
      <c r="AN14" s="13">
        <f>SUM(IFERROR(VLOOKUP($C:$C,Structure!$A:$AJ,AN$1,0)*15,0),IFERROR(VLOOKUP($D:$D,Structure!$A:$AJ,AN$1,0)*15,0),IFERROR(VLOOKUP($E:$E,Structure!$A:$AJ,AN$1,0)*15,0))</f>
        <v>0</v>
      </c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3"/>
      <c r="BZ14" s="4">
        <f>BZ13+AQ14-F14</f>
        <v>0</v>
      </c>
      <c r="CA14" s="4">
        <f>CA13+AR14-G14</f>
        <v>0</v>
      </c>
      <c r="CB14" s="4">
        <f>CB13+AS14-H14</f>
        <v>0</v>
      </c>
      <c r="CC14" s="4">
        <f>CC13+AT14-I14</f>
        <v>0</v>
      </c>
      <c r="CD14" s="4">
        <f>CD13+AU14-J14</f>
        <v>0</v>
      </c>
      <c r="CE14" s="4">
        <f>CE13+AV14-K14</f>
        <v>0</v>
      </c>
      <c r="CF14" s="4">
        <f>CF13+AW14-L14</f>
        <v>0</v>
      </c>
      <c r="CG14" s="4">
        <f>CG13+AX14-M14</f>
        <v>0</v>
      </c>
      <c r="CH14" s="4">
        <f>CH13+AY14-N14</f>
        <v>0</v>
      </c>
      <c r="CI14" s="4">
        <f>CI13+AZ14-O14</f>
        <v>0</v>
      </c>
      <c r="CJ14" s="4">
        <f>CJ13+BA14-P14</f>
        <v>0</v>
      </c>
      <c r="CK14" s="4">
        <f>CK13+BB14-Q14</f>
        <v>0</v>
      </c>
      <c r="CL14" s="4">
        <f>CL13+BC14-R14</f>
        <v>0</v>
      </c>
      <c r="CM14" s="4">
        <f>CM13+BD14-S14</f>
        <v>0</v>
      </c>
      <c r="CN14" s="4">
        <f>CN13+BE14-T14</f>
        <v>0</v>
      </c>
      <c r="CO14" s="4">
        <f>CO13+BF14-U14</f>
        <v>0</v>
      </c>
      <c r="CP14" s="4">
        <f>CP13+BG14-V14</f>
        <v>0</v>
      </c>
      <c r="CQ14" s="4">
        <f>CQ13+BH14-W14</f>
        <v>0</v>
      </c>
      <c r="CR14" s="4">
        <f>CR13+BI14-X14</f>
        <v>0</v>
      </c>
      <c r="CS14" s="4">
        <f>CS13+BJ14-Y14</f>
        <v>0</v>
      </c>
      <c r="CT14" s="4">
        <f>CT13+BK14-Z14</f>
        <v>0</v>
      </c>
      <c r="CU14" s="4">
        <f>CU13+BL14-AA14</f>
        <v>-350</v>
      </c>
      <c r="CV14" s="4">
        <f>CV13+BM14-AB14</f>
        <v>-90</v>
      </c>
      <c r="CW14" s="4">
        <f>CW13+BN14-AC14</f>
        <v>0</v>
      </c>
      <c r="CX14" s="4">
        <f>CX13+BO14-AD14</f>
        <v>0</v>
      </c>
      <c r="CY14" s="4">
        <f>CY13+BP14-AE14</f>
        <v>0</v>
      </c>
      <c r="CZ14" s="4">
        <f>CZ13+BQ14-AF14</f>
        <v>-10</v>
      </c>
      <c r="DA14" s="4">
        <f>DA13+BR14-AG14</f>
        <v>0</v>
      </c>
      <c r="DB14" s="4">
        <f>DB13+BS14-AH14</f>
        <v>0</v>
      </c>
      <c r="DC14" s="4">
        <f>DC13+BT14-AI14</f>
        <v>0</v>
      </c>
      <c r="DD14" s="4">
        <f>DD13+BU14-AJ14</f>
        <v>-280</v>
      </c>
      <c r="DE14" s="4">
        <f>DE13+BV14-AK14</f>
        <v>-90</v>
      </c>
      <c r="DF14" s="4">
        <f>DF13+BW14-AL14</f>
        <v>0</v>
      </c>
      <c r="DG14" s="4">
        <f>DG13+BX14-AM14</f>
        <v>20</v>
      </c>
      <c r="DH14" s="4">
        <f>DH13+BY14-AN14</f>
        <v>0</v>
      </c>
    </row>
    <row r="15" spans="1:112" x14ac:dyDescent="0.25">
      <c r="A15" s="6">
        <v>46179</v>
      </c>
      <c r="B15" s="7">
        <v>0.83333333330665482</v>
      </c>
      <c r="C15" s="3" t="s">
        <v>2</v>
      </c>
      <c r="D15" s="3" t="s">
        <v>9</v>
      </c>
      <c r="E15" s="3" t="s">
        <v>2</v>
      </c>
      <c r="F15" s="13">
        <f>SUM(IFERROR(VLOOKUP($C:$C,Structure!$A:$AJ,F$1,0)*15,0),IFERROR(VLOOKUP($D:$D,Structure!$A:$AJ,F$1,0)*15,0),IFERROR(VLOOKUP($E:$E,Structure!$A:$AJ,F$1,0)*15,0))</f>
        <v>0</v>
      </c>
      <c r="G15" s="13">
        <f>SUM(IFERROR(VLOOKUP($C:$C,Structure!$A:$AJ,G$1,0)*15,0),IFERROR(VLOOKUP($D:$D,Structure!$A:$AJ,G$1,0)*15,0),IFERROR(VLOOKUP($E:$E,Structure!$A:$AJ,G$1,0)*15,0))</f>
        <v>0</v>
      </c>
      <c r="H15" s="13">
        <f>SUM(IFERROR(VLOOKUP($C:$C,Structure!$A:$AJ,H$1,0)*15,0),IFERROR(VLOOKUP($D:$D,Structure!$A:$AJ,H$1,0)*15,0),IFERROR(VLOOKUP($E:$E,Structure!$A:$AJ,H$1,0)*15,0))</f>
        <v>0</v>
      </c>
      <c r="I15" s="13">
        <f>SUM(IFERROR(VLOOKUP($C:$C,Structure!$A:$AJ,I$1,0)*15,0),IFERROR(VLOOKUP($D:$D,Structure!$A:$AJ,I$1,0)*15,0),IFERROR(VLOOKUP($E:$E,Structure!$A:$AJ,I$1,0)*15,0))</f>
        <v>0</v>
      </c>
      <c r="J15" s="13">
        <f>SUM(IFERROR(VLOOKUP($C:$C,Structure!$A:$AJ,J$1,0)*15,0),IFERROR(VLOOKUP($D:$D,Structure!$A:$AJ,J$1,0)*15,0),IFERROR(VLOOKUP($E:$E,Structure!$A:$AJ,J$1,0)*15,0))</f>
        <v>0</v>
      </c>
      <c r="K15" s="13">
        <f>SUM(IFERROR(VLOOKUP($C:$C,Structure!$A:$AJ,K$1,0)*15,0),IFERROR(VLOOKUP($D:$D,Structure!$A:$AJ,K$1,0)*15,0),IFERROR(VLOOKUP($E:$E,Structure!$A:$AJ,K$1,0)*15,0))</f>
        <v>0</v>
      </c>
      <c r="L15" s="13">
        <f>SUM(IFERROR(VLOOKUP($C:$C,Structure!$A:$AJ,L$1,0)*15,0),IFERROR(VLOOKUP($D:$D,Structure!$A:$AJ,L$1,0)*15,0),IFERROR(VLOOKUP($E:$E,Structure!$A:$AJ,L$1,0)*15,0))</f>
        <v>0</v>
      </c>
      <c r="M15" s="13">
        <f>SUM(IFERROR(VLOOKUP($C:$C,Structure!$A:$AJ,M$1,0)*15,0),IFERROR(VLOOKUP($D:$D,Structure!$A:$AJ,M$1,0)*15,0),IFERROR(VLOOKUP($E:$E,Structure!$A:$AJ,M$1,0)*15,0))</f>
        <v>0</v>
      </c>
      <c r="N15" s="13">
        <f>SUM(IFERROR(VLOOKUP($C:$C,Structure!$A:$AJ,N$1,0)*15,0),IFERROR(VLOOKUP($D:$D,Structure!$A:$AJ,N$1,0)*15,0),IFERROR(VLOOKUP($E:$E,Structure!$A:$AJ,N$1,0)*15,0))</f>
        <v>0</v>
      </c>
      <c r="O15" s="13">
        <f>SUM(IFERROR(VLOOKUP($C:$C,Structure!$A:$AJ,O$1,0)*15,0),IFERROR(VLOOKUP($D:$D,Structure!$A:$AJ,O$1,0)*15,0),IFERROR(VLOOKUP($E:$E,Structure!$A:$AJ,O$1,0)*15,0))</f>
        <v>0</v>
      </c>
      <c r="P15" s="13">
        <f>SUM(IFERROR(VLOOKUP($C:$C,Structure!$A:$AJ,P$1,0)*15,0),IFERROR(VLOOKUP($D:$D,Structure!$A:$AJ,P$1,0)*15,0),IFERROR(VLOOKUP($E:$E,Structure!$A:$AJ,P$1,0)*15,0))</f>
        <v>0</v>
      </c>
      <c r="Q15" s="13">
        <f>SUM(IFERROR(VLOOKUP($C:$C,Structure!$A:$AJ,Q$1,0)*15,0),IFERROR(VLOOKUP($D:$D,Structure!$A:$AJ,Q$1,0)*15,0),IFERROR(VLOOKUP($E:$E,Structure!$A:$AJ,Q$1,0)*15,0))</f>
        <v>0</v>
      </c>
      <c r="R15" s="13">
        <f>SUM(IFERROR(VLOOKUP($C:$C,Structure!$A:$AJ,R$1,0)*15,0),IFERROR(VLOOKUP($D:$D,Structure!$A:$AJ,R$1,0)*15,0),IFERROR(VLOOKUP($E:$E,Structure!$A:$AJ,R$1,0)*15,0))</f>
        <v>0</v>
      </c>
      <c r="S15" s="13">
        <f>SUM(IFERROR(VLOOKUP($C:$C,Structure!$A:$AJ,S$1,0)*15,0),IFERROR(VLOOKUP($D:$D,Structure!$A:$AJ,S$1,0)*15,0),IFERROR(VLOOKUP($E:$E,Structure!$A:$AJ,S$1,0)*15,0))</f>
        <v>0</v>
      </c>
      <c r="T15" s="13">
        <f>SUM(IFERROR(VLOOKUP($C:$C,Structure!$A:$AJ,T$1,0)*15,0),IFERROR(VLOOKUP($D:$D,Structure!$A:$AJ,T$1,0)*15,0),IFERROR(VLOOKUP($E:$E,Structure!$A:$AJ,T$1,0)*15,0))</f>
        <v>0</v>
      </c>
      <c r="U15" s="13">
        <f>SUM(IFERROR(VLOOKUP($C:$C,Structure!$A:$AJ,U$1,0)*15,0),IFERROR(VLOOKUP($D:$D,Structure!$A:$AJ,U$1,0)*15,0),IFERROR(VLOOKUP($E:$E,Structure!$A:$AJ,U$1,0)*15,0))</f>
        <v>0</v>
      </c>
      <c r="V15" s="13">
        <f>SUM(IFERROR(VLOOKUP($C:$C,Structure!$A:$AJ,V$1,0)*15,0),IFERROR(VLOOKUP($D:$D,Structure!$A:$AJ,V$1,0)*15,0),IFERROR(VLOOKUP($E:$E,Structure!$A:$AJ,V$1,0)*15,0))</f>
        <v>0</v>
      </c>
      <c r="W15" s="13">
        <f>SUM(IFERROR(VLOOKUP($C:$C,Structure!$A:$AJ,W$1,0)*15,0),IFERROR(VLOOKUP($D:$D,Structure!$A:$AJ,W$1,0)*15,0),IFERROR(VLOOKUP($E:$E,Structure!$A:$AJ,W$1,0)*15,0))</f>
        <v>0</v>
      </c>
      <c r="X15" s="13">
        <f>SUM(IFERROR(VLOOKUP($C:$C,Structure!$A:$AJ,X$1,0)*15,0),IFERROR(VLOOKUP($D:$D,Structure!$A:$AJ,X$1,0)*15,0),IFERROR(VLOOKUP($E:$E,Structure!$A:$AJ,X$1,0)*15,0))</f>
        <v>0</v>
      </c>
      <c r="Y15" s="13">
        <f>SUM(IFERROR(VLOOKUP($C:$C,Structure!$A:$AJ,Y$1,0)*15,0),IFERROR(VLOOKUP($D:$D,Structure!$A:$AJ,Y$1,0)*15,0),IFERROR(VLOOKUP($E:$E,Structure!$A:$AJ,Y$1,0)*15,0))</f>
        <v>0</v>
      </c>
      <c r="Z15" s="13">
        <f>SUM(IFERROR(VLOOKUP($C:$C,Structure!$A:$AJ,Z$1,0)*15,0),IFERROR(VLOOKUP($D:$D,Structure!$A:$AJ,Z$1,0)*15,0),IFERROR(VLOOKUP($E:$E,Structure!$A:$AJ,Z$1,0)*15,0))</f>
        <v>0</v>
      </c>
      <c r="AA15" s="13">
        <f>SUM(IFERROR(VLOOKUP($C:$C,Structure!$A:$AJ,AA$1,0)*15,0),IFERROR(VLOOKUP($D:$D,Structure!$A:$AJ,AA$1,0)*15,0),IFERROR(VLOOKUP($E:$E,Structure!$A:$AJ,AA$1,0)*15,0))</f>
        <v>30</v>
      </c>
      <c r="AB15" s="13">
        <f>SUM(IFERROR(VLOOKUP($C:$C,Structure!$A:$AJ,AB$1,0)*15,0),IFERROR(VLOOKUP($D:$D,Structure!$A:$AJ,AB$1,0)*15,0),IFERROR(VLOOKUP($E:$E,Structure!$A:$AJ,AB$1,0)*15,0))</f>
        <v>15</v>
      </c>
      <c r="AC15" s="13">
        <f>SUM(IFERROR(VLOOKUP($C:$C,Structure!$A:$AJ,AC$1,0)*15,0),IFERROR(VLOOKUP($D:$D,Structure!$A:$AJ,AC$1,0)*15,0),IFERROR(VLOOKUP($E:$E,Structure!$A:$AJ,AC$1,0)*15,0))</f>
        <v>0</v>
      </c>
      <c r="AD15" s="13">
        <f>SUM(IFERROR(VLOOKUP($C:$C,Structure!$A:$AJ,AD$1,0)*15,0),IFERROR(VLOOKUP($D:$D,Structure!$A:$AJ,AD$1,0)*15,0),IFERROR(VLOOKUP($E:$E,Structure!$A:$AJ,AD$1,0)*15,0))</f>
        <v>0</v>
      </c>
      <c r="AE15" s="13">
        <f>SUM(IFERROR(VLOOKUP($C:$C,Structure!$A:$AJ,AE$1,0)*15,0),IFERROR(VLOOKUP($D:$D,Structure!$A:$AJ,AE$1,0)*15,0),IFERROR(VLOOKUP($E:$E,Structure!$A:$AJ,AE$1,0)*15,0))</f>
        <v>0</v>
      </c>
      <c r="AF15" s="13">
        <f>SUM(IFERROR(VLOOKUP($C:$C,Structure!$A:$AJ,AF$1,0)*15,0),IFERROR(VLOOKUP($D:$D,Structure!$A:$AJ,AF$1,0)*15,0),IFERROR(VLOOKUP($E:$E,Structure!$A:$AJ,AF$1,0)*15,0))</f>
        <v>15</v>
      </c>
      <c r="AG15" s="13">
        <f>SUM(IFERROR(VLOOKUP($C:$C,Structure!$A:$AJ,AG$1,0)*15,0),IFERROR(VLOOKUP($D:$D,Structure!$A:$AJ,AG$1,0)*15,0),IFERROR(VLOOKUP($E:$E,Structure!$A:$AJ,AG$1,0)*15,0))</f>
        <v>0</v>
      </c>
      <c r="AH15" s="13">
        <f>SUM(IFERROR(VLOOKUP($C:$C,Structure!$A:$AJ,AH$1,0)*15,0),IFERROR(VLOOKUP($D:$D,Structure!$A:$AJ,AH$1,0)*15,0),IFERROR(VLOOKUP($E:$E,Structure!$A:$AJ,AH$1,0)*15,0))</f>
        <v>0</v>
      </c>
      <c r="AI15" s="13">
        <f>SUM(IFERROR(VLOOKUP($C:$C,Structure!$A:$AJ,AI$1,0)*15,0),IFERROR(VLOOKUP($D:$D,Structure!$A:$AJ,AI$1,0)*15,0),IFERROR(VLOOKUP($E:$E,Structure!$A:$AJ,AI$1,0)*15,0))</f>
        <v>0</v>
      </c>
      <c r="AJ15" s="13">
        <f>SUM(IFERROR(VLOOKUP($C:$C,Structure!$A:$AJ,AJ$1,0)*15,0),IFERROR(VLOOKUP($D:$D,Structure!$A:$AJ,AJ$1,0)*15,0),IFERROR(VLOOKUP($E:$E,Structure!$A:$AJ,AJ$1,0)*15,0))</f>
        <v>30</v>
      </c>
      <c r="AK15" s="13">
        <f>SUM(IFERROR(VLOOKUP($C:$C,Structure!$A:$AJ,AK$1,0)*15,0),IFERROR(VLOOKUP($D:$D,Structure!$A:$AJ,AK$1,0)*15,0),IFERROR(VLOOKUP($E:$E,Structure!$A:$AJ,AK$1,0)*15,0))</f>
        <v>0</v>
      </c>
      <c r="AL15" s="13">
        <f>SUM(IFERROR(VLOOKUP($C:$C,Structure!$A:$AJ,AL$1,0)*15,0),IFERROR(VLOOKUP($D:$D,Structure!$A:$AJ,AL$1,0)*15,0),IFERROR(VLOOKUP($E:$E,Structure!$A:$AJ,AL$1,0)*15,0))</f>
        <v>0</v>
      </c>
      <c r="AM15" s="13">
        <f>SUM(IFERROR(VLOOKUP($C:$C,Structure!$A:$AJ,AM$1,0)*15,0),IFERROR(VLOOKUP($D:$D,Structure!$A:$AJ,AM$1,0)*15,0),IFERROR(VLOOKUP($E:$E,Structure!$A:$AJ,AM$1,0)*15,0))</f>
        <v>0</v>
      </c>
      <c r="AN15" s="13">
        <f>SUM(IFERROR(VLOOKUP($C:$C,Structure!$A:$AJ,AN$1,0)*15,0),IFERROR(VLOOKUP($D:$D,Structure!$A:$AJ,AN$1,0)*15,0),IFERROR(VLOOKUP($E:$E,Structure!$A:$AJ,AN$1,0)*15,0))</f>
        <v>0</v>
      </c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3"/>
      <c r="BZ15" s="4">
        <f>BZ14+AQ15-F15</f>
        <v>0</v>
      </c>
      <c r="CA15" s="4">
        <f>CA14+AR15-G15</f>
        <v>0</v>
      </c>
      <c r="CB15" s="4">
        <f>CB14+AS15-H15</f>
        <v>0</v>
      </c>
      <c r="CC15" s="4">
        <f>CC14+AT15-I15</f>
        <v>0</v>
      </c>
      <c r="CD15" s="4">
        <f>CD14+AU15-J15</f>
        <v>0</v>
      </c>
      <c r="CE15" s="4">
        <f>CE14+AV15-K15</f>
        <v>0</v>
      </c>
      <c r="CF15" s="4">
        <f>CF14+AW15-L15</f>
        <v>0</v>
      </c>
      <c r="CG15" s="4">
        <f>CG14+AX15-M15</f>
        <v>0</v>
      </c>
      <c r="CH15" s="4">
        <f>CH14+AY15-N15</f>
        <v>0</v>
      </c>
      <c r="CI15" s="4">
        <f>CI14+AZ15-O15</f>
        <v>0</v>
      </c>
      <c r="CJ15" s="4">
        <f>CJ14+BA15-P15</f>
        <v>0</v>
      </c>
      <c r="CK15" s="4">
        <f>CK14+BB15-Q15</f>
        <v>0</v>
      </c>
      <c r="CL15" s="4">
        <f>CL14+BC15-R15</f>
        <v>0</v>
      </c>
      <c r="CM15" s="4">
        <f>CM14+BD15-S15</f>
        <v>0</v>
      </c>
      <c r="CN15" s="4">
        <f>CN14+BE15-T15</f>
        <v>0</v>
      </c>
      <c r="CO15" s="4">
        <f>CO14+BF15-U15</f>
        <v>0</v>
      </c>
      <c r="CP15" s="4">
        <f>CP14+BG15-V15</f>
        <v>0</v>
      </c>
      <c r="CQ15" s="4">
        <f>CQ14+BH15-W15</f>
        <v>0</v>
      </c>
      <c r="CR15" s="4">
        <f>CR14+BI15-X15</f>
        <v>0</v>
      </c>
      <c r="CS15" s="4">
        <f>CS14+BJ15-Y15</f>
        <v>0</v>
      </c>
      <c r="CT15" s="4">
        <f>CT14+BK15-Z15</f>
        <v>0</v>
      </c>
      <c r="CU15" s="4">
        <f>CU14+BL15-AA15</f>
        <v>-380</v>
      </c>
      <c r="CV15" s="4">
        <f>CV14+BM15-AB15</f>
        <v>-105</v>
      </c>
      <c r="CW15" s="4">
        <f>CW14+BN15-AC15</f>
        <v>0</v>
      </c>
      <c r="CX15" s="4">
        <f>CX14+BO15-AD15</f>
        <v>0</v>
      </c>
      <c r="CY15" s="4">
        <f>CY14+BP15-AE15</f>
        <v>0</v>
      </c>
      <c r="CZ15" s="4">
        <f>CZ14+BQ15-AF15</f>
        <v>-25</v>
      </c>
      <c r="DA15" s="4">
        <f>DA14+BR15-AG15</f>
        <v>0</v>
      </c>
      <c r="DB15" s="4">
        <f>DB14+BS15-AH15</f>
        <v>0</v>
      </c>
      <c r="DC15" s="4">
        <f>DC14+BT15-AI15</f>
        <v>0</v>
      </c>
      <c r="DD15" s="4">
        <f>DD14+BU15-AJ15</f>
        <v>-310</v>
      </c>
      <c r="DE15" s="4">
        <f>DE14+BV15-AK15</f>
        <v>-90</v>
      </c>
      <c r="DF15" s="4">
        <f>DF14+BW15-AL15</f>
        <v>0</v>
      </c>
      <c r="DG15" s="4">
        <f>DG14+BX15-AM15</f>
        <v>20</v>
      </c>
      <c r="DH15" s="4">
        <f>DH14+BY15-AN15</f>
        <v>0</v>
      </c>
    </row>
    <row r="16" spans="1:112" x14ac:dyDescent="0.25">
      <c r="A16" s="6">
        <v>46179</v>
      </c>
      <c r="B16" s="7">
        <v>0.87499999997089617</v>
      </c>
      <c r="C16" s="3" t="s">
        <v>2</v>
      </c>
      <c r="D16" s="3" t="s">
        <v>9</v>
      </c>
      <c r="E16" s="3" t="s">
        <v>2</v>
      </c>
      <c r="F16" s="13">
        <f>SUM(IFERROR(VLOOKUP($C:$C,Structure!$A:$AJ,F$1,0)*15,0),IFERROR(VLOOKUP($D:$D,Structure!$A:$AJ,F$1,0)*15,0),IFERROR(VLOOKUP($E:$E,Structure!$A:$AJ,F$1,0)*15,0))</f>
        <v>0</v>
      </c>
      <c r="G16" s="13">
        <f>SUM(IFERROR(VLOOKUP($C:$C,Structure!$A:$AJ,G$1,0)*15,0),IFERROR(VLOOKUP($D:$D,Structure!$A:$AJ,G$1,0)*15,0),IFERROR(VLOOKUP($E:$E,Structure!$A:$AJ,G$1,0)*15,0))</f>
        <v>0</v>
      </c>
      <c r="H16" s="13">
        <f>SUM(IFERROR(VLOOKUP($C:$C,Structure!$A:$AJ,H$1,0)*15,0),IFERROR(VLOOKUP($D:$D,Structure!$A:$AJ,H$1,0)*15,0),IFERROR(VLOOKUP($E:$E,Structure!$A:$AJ,H$1,0)*15,0))</f>
        <v>0</v>
      </c>
      <c r="I16" s="13">
        <f>SUM(IFERROR(VLOOKUP($C:$C,Structure!$A:$AJ,I$1,0)*15,0),IFERROR(VLOOKUP($D:$D,Structure!$A:$AJ,I$1,0)*15,0),IFERROR(VLOOKUP($E:$E,Structure!$A:$AJ,I$1,0)*15,0))</f>
        <v>0</v>
      </c>
      <c r="J16" s="13">
        <f>SUM(IFERROR(VLOOKUP($C:$C,Structure!$A:$AJ,J$1,0)*15,0),IFERROR(VLOOKUP($D:$D,Structure!$A:$AJ,J$1,0)*15,0),IFERROR(VLOOKUP($E:$E,Structure!$A:$AJ,J$1,0)*15,0))</f>
        <v>0</v>
      </c>
      <c r="K16" s="13">
        <f>SUM(IFERROR(VLOOKUP($C:$C,Structure!$A:$AJ,K$1,0)*15,0),IFERROR(VLOOKUP($D:$D,Structure!$A:$AJ,K$1,0)*15,0),IFERROR(VLOOKUP($E:$E,Structure!$A:$AJ,K$1,0)*15,0))</f>
        <v>0</v>
      </c>
      <c r="L16" s="13">
        <f>SUM(IFERROR(VLOOKUP($C:$C,Structure!$A:$AJ,L$1,0)*15,0),IFERROR(VLOOKUP($D:$D,Structure!$A:$AJ,L$1,0)*15,0),IFERROR(VLOOKUP($E:$E,Structure!$A:$AJ,L$1,0)*15,0))</f>
        <v>0</v>
      </c>
      <c r="M16" s="13">
        <f>SUM(IFERROR(VLOOKUP($C:$C,Structure!$A:$AJ,M$1,0)*15,0),IFERROR(VLOOKUP($D:$D,Structure!$A:$AJ,M$1,0)*15,0),IFERROR(VLOOKUP($E:$E,Structure!$A:$AJ,M$1,0)*15,0))</f>
        <v>0</v>
      </c>
      <c r="N16" s="13">
        <f>SUM(IFERROR(VLOOKUP($C:$C,Structure!$A:$AJ,N$1,0)*15,0),IFERROR(VLOOKUP($D:$D,Structure!$A:$AJ,N$1,0)*15,0),IFERROR(VLOOKUP($E:$E,Structure!$A:$AJ,N$1,0)*15,0))</f>
        <v>0</v>
      </c>
      <c r="O16" s="13">
        <f>SUM(IFERROR(VLOOKUP($C:$C,Structure!$A:$AJ,O$1,0)*15,0),IFERROR(VLOOKUP($D:$D,Structure!$A:$AJ,O$1,0)*15,0),IFERROR(VLOOKUP($E:$E,Structure!$A:$AJ,O$1,0)*15,0))</f>
        <v>0</v>
      </c>
      <c r="P16" s="13">
        <f>SUM(IFERROR(VLOOKUP($C:$C,Structure!$A:$AJ,P$1,0)*15,0),IFERROR(VLOOKUP($D:$D,Structure!$A:$AJ,P$1,0)*15,0),IFERROR(VLOOKUP($E:$E,Structure!$A:$AJ,P$1,0)*15,0))</f>
        <v>0</v>
      </c>
      <c r="Q16" s="13">
        <f>SUM(IFERROR(VLOOKUP($C:$C,Structure!$A:$AJ,Q$1,0)*15,0),IFERROR(VLOOKUP($D:$D,Structure!$A:$AJ,Q$1,0)*15,0),IFERROR(VLOOKUP($E:$E,Structure!$A:$AJ,Q$1,0)*15,0))</f>
        <v>0</v>
      </c>
      <c r="R16" s="13">
        <f>SUM(IFERROR(VLOOKUP($C:$C,Structure!$A:$AJ,R$1,0)*15,0),IFERROR(VLOOKUP($D:$D,Structure!$A:$AJ,R$1,0)*15,0),IFERROR(VLOOKUP($E:$E,Structure!$A:$AJ,R$1,0)*15,0))</f>
        <v>0</v>
      </c>
      <c r="S16" s="13">
        <f>SUM(IFERROR(VLOOKUP($C:$C,Structure!$A:$AJ,S$1,0)*15,0),IFERROR(VLOOKUP($D:$D,Structure!$A:$AJ,S$1,0)*15,0),IFERROR(VLOOKUP($E:$E,Structure!$A:$AJ,S$1,0)*15,0))</f>
        <v>0</v>
      </c>
      <c r="T16" s="13">
        <f>SUM(IFERROR(VLOOKUP($C:$C,Structure!$A:$AJ,T$1,0)*15,0),IFERROR(VLOOKUP($D:$D,Structure!$A:$AJ,T$1,0)*15,0),IFERROR(VLOOKUP($E:$E,Structure!$A:$AJ,T$1,0)*15,0))</f>
        <v>0</v>
      </c>
      <c r="U16" s="13">
        <f>SUM(IFERROR(VLOOKUP($C:$C,Structure!$A:$AJ,U$1,0)*15,0),IFERROR(VLOOKUP($D:$D,Structure!$A:$AJ,U$1,0)*15,0),IFERROR(VLOOKUP($E:$E,Structure!$A:$AJ,U$1,0)*15,0))</f>
        <v>0</v>
      </c>
      <c r="V16" s="13">
        <f>SUM(IFERROR(VLOOKUP($C:$C,Structure!$A:$AJ,V$1,0)*15,0),IFERROR(VLOOKUP($D:$D,Structure!$A:$AJ,V$1,0)*15,0),IFERROR(VLOOKUP($E:$E,Structure!$A:$AJ,V$1,0)*15,0))</f>
        <v>0</v>
      </c>
      <c r="W16" s="13">
        <f>SUM(IFERROR(VLOOKUP($C:$C,Structure!$A:$AJ,W$1,0)*15,0),IFERROR(VLOOKUP($D:$D,Structure!$A:$AJ,W$1,0)*15,0),IFERROR(VLOOKUP($E:$E,Structure!$A:$AJ,W$1,0)*15,0))</f>
        <v>0</v>
      </c>
      <c r="X16" s="13">
        <f>SUM(IFERROR(VLOOKUP($C:$C,Structure!$A:$AJ,X$1,0)*15,0),IFERROR(VLOOKUP($D:$D,Structure!$A:$AJ,X$1,0)*15,0),IFERROR(VLOOKUP($E:$E,Structure!$A:$AJ,X$1,0)*15,0))</f>
        <v>0</v>
      </c>
      <c r="Y16" s="13">
        <f>SUM(IFERROR(VLOOKUP($C:$C,Structure!$A:$AJ,Y$1,0)*15,0),IFERROR(VLOOKUP($D:$D,Structure!$A:$AJ,Y$1,0)*15,0),IFERROR(VLOOKUP($E:$E,Structure!$A:$AJ,Y$1,0)*15,0))</f>
        <v>0</v>
      </c>
      <c r="Z16" s="13">
        <f>SUM(IFERROR(VLOOKUP($C:$C,Structure!$A:$AJ,Z$1,0)*15,0),IFERROR(VLOOKUP($D:$D,Structure!$A:$AJ,Z$1,0)*15,0),IFERROR(VLOOKUP($E:$E,Structure!$A:$AJ,Z$1,0)*15,0))</f>
        <v>0</v>
      </c>
      <c r="AA16" s="13">
        <f>SUM(IFERROR(VLOOKUP($C:$C,Structure!$A:$AJ,AA$1,0)*15,0),IFERROR(VLOOKUP($D:$D,Structure!$A:$AJ,AA$1,0)*15,0),IFERROR(VLOOKUP($E:$E,Structure!$A:$AJ,AA$1,0)*15,0))</f>
        <v>30</v>
      </c>
      <c r="AB16" s="13">
        <f>SUM(IFERROR(VLOOKUP($C:$C,Structure!$A:$AJ,AB$1,0)*15,0),IFERROR(VLOOKUP($D:$D,Structure!$A:$AJ,AB$1,0)*15,0),IFERROR(VLOOKUP($E:$E,Structure!$A:$AJ,AB$1,0)*15,0))</f>
        <v>15</v>
      </c>
      <c r="AC16" s="13">
        <f>SUM(IFERROR(VLOOKUP($C:$C,Structure!$A:$AJ,AC$1,0)*15,0),IFERROR(VLOOKUP($D:$D,Structure!$A:$AJ,AC$1,0)*15,0),IFERROR(VLOOKUP($E:$E,Structure!$A:$AJ,AC$1,0)*15,0))</f>
        <v>0</v>
      </c>
      <c r="AD16" s="13">
        <f>SUM(IFERROR(VLOOKUP($C:$C,Structure!$A:$AJ,AD$1,0)*15,0),IFERROR(VLOOKUP($D:$D,Structure!$A:$AJ,AD$1,0)*15,0),IFERROR(VLOOKUP($E:$E,Structure!$A:$AJ,AD$1,0)*15,0))</f>
        <v>0</v>
      </c>
      <c r="AE16" s="13">
        <f>SUM(IFERROR(VLOOKUP($C:$C,Structure!$A:$AJ,AE$1,0)*15,0),IFERROR(VLOOKUP($D:$D,Structure!$A:$AJ,AE$1,0)*15,0),IFERROR(VLOOKUP($E:$E,Structure!$A:$AJ,AE$1,0)*15,0))</f>
        <v>0</v>
      </c>
      <c r="AF16" s="13">
        <f>SUM(IFERROR(VLOOKUP($C:$C,Structure!$A:$AJ,AF$1,0)*15,0),IFERROR(VLOOKUP($D:$D,Structure!$A:$AJ,AF$1,0)*15,0),IFERROR(VLOOKUP($E:$E,Structure!$A:$AJ,AF$1,0)*15,0))</f>
        <v>15</v>
      </c>
      <c r="AG16" s="13">
        <f>SUM(IFERROR(VLOOKUP($C:$C,Structure!$A:$AJ,AG$1,0)*15,0),IFERROR(VLOOKUP($D:$D,Structure!$A:$AJ,AG$1,0)*15,0),IFERROR(VLOOKUP($E:$E,Structure!$A:$AJ,AG$1,0)*15,0))</f>
        <v>0</v>
      </c>
      <c r="AH16" s="13">
        <f>SUM(IFERROR(VLOOKUP($C:$C,Structure!$A:$AJ,AH$1,0)*15,0),IFERROR(VLOOKUP($D:$D,Structure!$A:$AJ,AH$1,0)*15,0),IFERROR(VLOOKUP($E:$E,Structure!$A:$AJ,AH$1,0)*15,0))</f>
        <v>0</v>
      </c>
      <c r="AI16" s="13">
        <f>SUM(IFERROR(VLOOKUP($C:$C,Structure!$A:$AJ,AI$1,0)*15,0),IFERROR(VLOOKUP($D:$D,Structure!$A:$AJ,AI$1,0)*15,0),IFERROR(VLOOKUP($E:$E,Structure!$A:$AJ,AI$1,0)*15,0))</f>
        <v>0</v>
      </c>
      <c r="AJ16" s="13">
        <f>SUM(IFERROR(VLOOKUP($C:$C,Structure!$A:$AJ,AJ$1,0)*15,0),IFERROR(VLOOKUP($D:$D,Structure!$A:$AJ,AJ$1,0)*15,0),IFERROR(VLOOKUP($E:$E,Structure!$A:$AJ,AJ$1,0)*15,0))</f>
        <v>30</v>
      </c>
      <c r="AK16" s="13">
        <f>SUM(IFERROR(VLOOKUP($C:$C,Structure!$A:$AJ,AK$1,0)*15,0),IFERROR(VLOOKUP($D:$D,Structure!$A:$AJ,AK$1,0)*15,0),IFERROR(VLOOKUP($E:$E,Structure!$A:$AJ,AK$1,0)*15,0))</f>
        <v>0</v>
      </c>
      <c r="AL16" s="13">
        <f>SUM(IFERROR(VLOOKUP($C:$C,Structure!$A:$AJ,AL$1,0)*15,0),IFERROR(VLOOKUP($D:$D,Structure!$A:$AJ,AL$1,0)*15,0),IFERROR(VLOOKUP($E:$E,Structure!$A:$AJ,AL$1,0)*15,0))</f>
        <v>0</v>
      </c>
      <c r="AM16" s="13">
        <f>SUM(IFERROR(VLOOKUP($C:$C,Structure!$A:$AJ,AM$1,0)*15,0),IFERROR(VLOOKUP($D:$D,Structure!$A:$AJ,AM$1,0)*15,0),IFERROR(VLOOKUP($E:$E,Structure!$A:$AJ,AM$1,0)*15,0))</f>
        <v>0</v>
      </c>
      <c r="AN16" s="13">
        <f>SUM(IFERROR(VLOOKUP($C:$C,Structure!$A:$AJ,AN$1,0)*15,0),IFERROR(VLOOKUP($D:$D,Structure!$A:$AJ,AN$1,0)*15,0),IFERROR(VLOOKUP($E:$E,Structure!$A:$AJ,AN$1,0)*15,0))</f>
        <v>0</v>
      </c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3"/>
      <c r="BZ16" s="4">
        <f>BZ15+AQ16-F16</f>
        <v>0</v>
      </c>
      <c r="CA16" s="4">
        <f>CA15+AR16-G16</f>
        <v>0</v>
      </c>
      <c r="CB16" s="4">
        <f>CB15+AS16-H16</f>
        <v>0</v>
      </c>
      <c r="CC16" s="4">
        <f>CC15+AT16-I16</f>
        <v>0</v>
      </c>
      <c r="CD16" s="4">
        <f>CD15+AU16-J16</f>
        <v>0</v>
      </c>
      <c r="CE16" s="4">
        <f>CE15+AV16-K16</f>
        <v>0</v>
      </c>
      <c r="CF16" s="4">
        <f>CF15+AW16-L16</f>
        <v>0</v>
      </c>
      <c r="CG16" s="4">
        <f>CG15+AX16-M16</f>
        <v>0</v>
      </c>
      <c r="CH16" s="4">
        <f>CH15+AY16-N16</f>
        <v>0</v>
      </c>
      <c r="CI16" s="4">
        <f>CI15+AZ16-O16</f>
        <v>0</v>
      </c>
      <c r="CJ16" s="4">
        <f>CJ15+BA16-P16</f>
        <v>0</v>
      </c>
      <c r="CK16" s="4">
        <f>CK15+BB16-Q16</f>
        <v>0</v>
      </c>
      <c r="CL16" s="4">
        <f>CL15+BC16-R16</f>
        <v>0</v>
      </c>
      <c r="CM16" s="4">
        <f>CM15+BD16-S16</f>
        <v>0</v>
      </c>
      <c r="CN16" s="4">
        <f>CN15+BE16-T16</f>
        <v>0</v>
      </c>
      <c r="CO16" s="4">
        <f>CO15+BF16-U16</f>
        <v>0</v>
      </c>
      <c r="CP16" s="4">
        <f>CP15+BG16-V16</f>
        <v>0</v>
      </c>
      <c r="CQ16" s="4">
        <f>CQ15+BH16-W16</f>
        <v>0</v>
      </c>
      <c r="CR16" s="4">
        <f>CR15+BI16-X16</f>
        <v>0</v>
      </c>
      <c r="CS16" s="4">
        <f>CS15+BJ16-Y16</f>
        <v>0</v>
      </c>
      <c r="CT16" s="4">
        <f>CT15+BK16-Z16</f>
        <v>0</v>
      </c>
      <c r="CU16" s="4">
        <f>CU15+BL16-AA16</f>
        <v>-410</v>
      </c>
      <c r="CV16" s="4">
        <f>CV15+BM16-AB16</f>
        <v>-120</v>
      </c>
      <c r="CW16" s="4">
        <f>CW15+BN16-AC16</f>
        <v>0</v>
      </c>
      <c r="CX16" s="4">
        <f>CX15+BO16-AD16</f>
        <v>0</v>
      </c>
      <c r="CY16" s="4">
        <f>CY15+BP16-AE16</f>
        <v>0</v>
      </c>
      <c r="CZ16" s="4">
        <f>CZ15+BQ16-AF16</f>
        <v>-40</v>
      </c>
      <c r="DA16" s="4">
        <f>DA15+BR16-AG16</f>
        <v>0</v>
      </c>
      <c r="DB16" s="4">
        <f>DB15+BS16-AH16</f>
        <v>0</v>
      </c>
      <c r="DC16" s="4">
        <f>DC15+BT16-AI16</f>
        <v>0</v>
      </c>
      <c r="DD16" s="4">
        <f>DD15+BU16-AJ16</f>
        <v>-340</v>
      </c>
      <c r="DE16" s="4">
        <f>DE15+BV16-AK16</f>
        <v>-90</v>
      </c>
      <c r="DF16" s="4">
        <f>DF15+BW16-AL16</f>
        <v>0</v>
      </c>
      <c r="DG16" s="4">
        <f>DG15+BX16-AM16</f>
        <v>20</v>
      </c>
      <c r="DH16" s="4">
        <f>DH15+BY16-AN16</f>
        <v>0</v>
      </c>
    </row>
    <row r="17" spans="1:112" x14ac:dyDescent="0.25">
      <c r="A17" s="6">
        <v>46179</v>
      </c>
      <c r="B17" s="7">
        <v>0.91666666663513752</v>
      </c>
      <c r="C17" s="3" t="s">
        <v>2</v>
      </c>
      <c r="D17" s="3" t="s">
        <v>9</v>
      </c>
      <c r="E17" s="3" t="s">
        <v>2</v>
      </c>
      <c r="F17" s="13">
        <f>SUM(IFERROR(VLOOKUP($C:$C,Structure!$A:$AJ,F$1,0)*15,0),IFERROR(VLOOKUP($D:$D,Structure!$A:$AJ,F$1,0)*15,0),IFERROR(VLOOKUP($E:$E,Structure!$A:$AJ,F$1,0)*15,0))</f>
        <v>0</v>
      </c>
      <c r="G17" s="13">
        <f>SUM(IFERROR(VLOOKUP($C:$C,Structure!$A:$AJ,G$1,0)*15,0),IFERROR(VLOOKUP($D:$D,Structure!$A:$AJ,G$1,0)*15,0),IFERROR(VLOOKUP($E:$E,Structure!$A:$AJ,G$1,0)*15,0))</f>
        <v>0</v>
      </c>
      <c r="H17" s="13">
        <f>SUM(IFERROR(VLOOKUP($C:$C,Structure!$A:$AJ,H$1,0)*15,0),IFERROR(VLOOKUP($D:$D,Structure!$A:$AJ,H$1,0)*15,0),IFERROR(VLOOKUP($E:$E,Structure!$A:$AJ,H$1,0)*15,0))</f>
        <v>0</v>
      </c>
      <c r="I17" s="13">
        <f>SUM(IFERROR(VLOOKUP($C:$C,Structure!$A:$AJ,I$1,0)*15,0),IFERROR(VLOOKUP($D:$D,Structure!$A:$AJ,I$1,0)*15,0),IFERROR(VLOOKUP($E:$E,Structure!$A:$AJ,I$1,0)*15,0))</f>
        <v>0</v>
      </c>
      <c r="J17" s="13">
        <f>SUM(IFERROR(VLOOKUP($C:$C,Structure!$A:$AJ,J$1,0)*15,0),IFERROR(VLOOKUP($D:$D,Structure!$A:$AJ,J$1,0)*15,0),IFERROR(VLOOKUP($E:$E,Structure!$A:$AJ,J$1,0)*15,0))</f>
        <v>0</v>
      </c>
      <c r="K17" s="13">
        <f>SUM(IFERROR(VLOOKUP($C:$C,Structure!$A:$AJ,K$1,0)*15,0),IFERROR(VLOOKUP($D:$D,Structure!$A:$AJ,K$1,0)*15,0),IFERROR(VLOOKUP($E:$E,Structure!$A:$AJ,K$1,0)*15,0))</f>
        <v>0</v>
      </c>
      <c r="L17" s="13">
        <f>SUM(IFERROR(VLOOKUP($C:$C,Structure!$A:$AJ,L$1,0)*15,0),IFERROR(VLOOKUP($D:$D,Structure!$A:$AJ,L$1,0)*15,0),IFERROR(VLOOKUP($E:$E,Structure!$A:$AJ,L$1,0)*15,0))</f>
        <v>0</v>
      </c>
      <c r="M17" s="13">
        <f>SUM(IFERROR(VLOOKUP($C:$C,Structure!$A:$AJ,M$1,0)*15,0),IFERROR(VLOOKUP($D:$D,Structure!$A:$AJ,M$1,0)*15,0),IFERROR(VLOOKUP($E:$E,Structure!$A:$AJ,M$1,0)*15,0))</f>
        <v>0</v>
      </c>
      <c r="N17" s="13">
        <f>SUM(IFERROR(VLOOKUP($C:$C,Structure!$A:$AJ,N$1,0)*15,0),IFERROR(VLOOKUP($D:$D,Structure!$A:$AJ,N$1,0)*15,0),IFERROR(VLOOKUP($E:$E,Structure!$A:$AJ,N$1,0)*15,0))</f>
        <v>0</v>
      </c>
      <c r="O17" s="13">
        <f>SUM(IFERROR(VLOOKUP($C:$C,Structure!$A:$AJ,O$1,0)*15,0),IFERROR(VLOOKUP($D:$D,Structure!$A:$AJ,O$1,0)*15,0),IFERROR(VLOOKUP($E:$E,Structure!$A:$AJ,O$1,0)*15,0))</f>
        <v>0</v>
      </c>
      <c r="P17" s="13">
        <f>SUM(IFERROR(VLOOKUP($C:$C,Structure!$A:$AJ,P$1,0)*15,0),IFERROR(VLOOKUP($D:$D,Structure!$A:$AJ,P$1,0)*15,0),IFERROR(VLOOKUP($E:$E,Structure!$A:$AJ,P$1,0)*15,0))</f>
        <v>0</v>
      </c>
      <c r="Q17" s="13">
        <f>SUM(IFERROR(VLOOKUP($C:$C,Structure!$A:$AJ,Q$1,0)*15,0),IFERROR(VLOOKUP($D:$D,Structure!$A:$AJ,Q$1,0)*15,0),IFERROR(VLOOKUP($E:$E,Structure!$A:$AJ,Q$1,0)*15,0))</f>
        <v>0</v>
      </c>
      <c r="R17" s="13">
        <f>SUM(IFERROR(VLOOKUP($C:$C,Structure!$A:$AJ,R$1,0)*15,0),IFERROR(VLOOKUP($D:$D,Structure!$A:$AJ,R$1,0)*15,0),IFERROR(VLOOKUP($E:$E,Structure!$A:$AJ,R$1,0)*15,0))</f>
        <v>0</v>
      </c>
      <c r="S17" s="13">
        <f>SUM(IFERROR(VLOOKUP($C:$C,Structure!$A:$AJ,S$1,0)*15,0),IFERROR(VLOOKUP($D:$D,Structure!$A:$AJ,S$1,0)*15,0),IFERROR(VLOOKUP($E:$E,Structure!$A:$AJ,S$1,0)*15,0))</f>
        <v>0</v>
      </c>
      <c r="T17" s="13">
        <f>SUM(IFERROR(VLOOKUP($C:$C,Structure!$A:$AJ,T$1,0)*15,0),IFERROR(VLOOKUP($D:$D,Structure!$A:$AJ,T$1,0)*15,0),IFERROR(VLOOKUP($E:$E,Structure!$A:$AJ,T$1,0)*15,0))</f>
        <v>0</v>
      </c>
      <c r="U17" s="13">
        <f>SUM(IFERROR(VLOOKUP($C:$C,Structure!$A:$AJ,U$1,0)*15,0),IFERROR(VLOOKUP($D:$D,Structure!$A:$AJ,U$1,0)*15,0),IFERROR(VLOOKUP($E:$E,Structure!$A:$AJ,U$1,0)*15,0))</f>
        <v>0</v>
      </c>
      <c r="V17" s="13">
        <f>SUM(IFERROR(VLOOKUP($C:$C,Structure!$A:$AJ,V$1,0)*15,0),IFERROR(VLOOKUP($D:$D,Structure!$A:$AJ,V$1,0)*15,0),IFERROR(VLOOKUP($E:$E,Structure!$A:$AJ,V$1,0)*15,0))</f>
        <v>0</v>
      </c>
      <c r="W17" s="13">
        <f>SUM(IFERROR(VLOOKUP($C:$C,Structure!$A:$AJ,W$1,0)*15,0),IFERROR(VLOOKUP($D:$D,Structure!$A:$AJ,W$1,0)*15,0),IFERROR(VLOOKUP($E:$E,Structure!$A:$AJ,W$1,0)*15,0))</f>
        <v>0</v>
      </c>
      <c r="X17" s="13">
        <f>SUM(IFERROR(VLOOKUP($C:$C,Structure!$A:$AJ,X$1,0)*15,0),IFERROR(VLOOKUP($D:$D,Structure!$A:$AJ,X$1,0)*15,0),IFERROR(VLOOKUP($E:$E,Structure!$A:$AJ,X$1,0)*15,0))</f>
        <v>0</v>
      </c>
      <c r="Y17" s="13">
        <f>SUM(IFERROR(VLOOKUP($C:$C,Structure!$A:$AJ,Y$1,0)*15,0),IFERROR(VLOOKUP($D:$D,Structure!$A:$AJ,Y$1,0)*15,0),IFERROR(VLOOKUP($E:$E,Structure!$A:$AJ,Y$1,0)*15,0))</f>
        <v>0</v>
      </c>
      <c r="Z17" s="13">
        <f>SUM(IFERROR(VLOOKUP($C:$C,Structure!$A:$AJ,Z$1,0)*15,0),IFERROR(VLOOKUP($D:$D,Structure!$A:$AJ,Z$1,0)*15,0),IFERROR(VLOOKUP($E:$E,Structure!$A:$AJ,Z$1,0)*15,0))</f>
        <v>0</v>
      </c>
      <c r="AA17" s="13">
        <f>SUM(IFERROR(VLOOKUP($C:$C,Structure!$A:$AJ,AA$1,0)*15,0),IFERROR(VLOOKUP($D:$D,Structure!$A:$AJ,AA$1,0)*15,0),IFERROR(VLOOKUP($E:$E,Structure!$A:$AJ,AA$1,0)*15,0))</f>
        <v>30</v>
      </c>
      <c r="AB17" s="13">
        <f>SUM(IFERROR(VLOOKUP($C:$C,Structure!$A:$AJ,AB$1,0)*15,0),IFERROR(VLOOKUP($D:$D,Structure!$A:$AJ,AB$1,0)*15,0),IFERROR(VLOOKUP($E:$E,Structure!$A:$AJ,AB$1,0)*15,0))</f>
        <v>15</v>
      </c>
      <c r="AC17" s="13">
        <f>SUM(IFERROR(VLOOKUP($C:$C,Structure!$A:$AJ,AC$1,0)*15,0),IFERROR(VLOOKUP($D:$D,Structure!$A:$AJ,AC$1,0)*15,0),IFERROR(VLOOKUP($E:$E,Structure!$A:$AJ,AC$1,0)*15,0))</f>
        <v>0</v>
      </c>
      <c r="AD17" s="13">
        <f>SUM(IFERROR(VLOOKUP($C:$C,Structure!$A:$AJ,AD$1,0)*15,0),IFERROR(VLOOKUP($D:$D,Structure!$A:$AJ,AD$1,0)*15,0),IFERROR(VLOOKUP($E:$E,Structure!$A:$AJ,AD$1,0)*15,0))</f>
        <v>0</v>
      </c>
      <c r="AE17" s="13">
        <f>SUM(IFERROR(VLOOKUP($C:$C,Structure!$A:$AJ,AE$1,0)*15,0),IFERROR(VLOOKUP($D:$D,Structure!$A:$AJ,AE$1,0)*15,0),IFERROR(VLOOKUP($E:$E,Structure!$A:$AJ,AE$1,0)*15,0))</f>
        <v>0</v>
      </c>
      <c r="AF17" s="13">
        <f>SUM(IFERROR(VLOOKUP($C:$C,Structure!$A:$AJ,AF$1,0)*15,0),IFERROR(VLOOKUP($D:$D,Structure!$A:$AJ,AF$1,0)*15,0),IFERROR(VLOOKUP($E:$E,Structure!$A:$AJ,AF$1,0)*15,0))</f>
        <v>15</v>
      </c>
      <c r="AG17" s="13">
        <f>SUM(IFERROR(VLOOKUP($C:$C,Structure!$A:$AJ,AG$1,0)*15,0),IFERROR(VLOOKUP($D:$D,Structure!$A:$AJ,AG$1,0)*15,0),IFERROR(VLOOKUP($E:$E,Structure!$A:$AJ,AG$1,0)*15,0))</f>
        <v>0</v>
      </c>
      <c r="AH17" s="13">
        <f>SUM(IFERROR(VLOOKUP($C:$C,Structure!$A:$AJ,AH$1,0)*15,0),IFERROR(VLOOKUP($D:$D,Structure!$A:$AJ,AH$1,0)*15,0),IFERROR(VLOOKUP($E:$E,Structure!$A:$AJ,AH$1,0)*15,0))</f>
        <v>0</v>
      </c>
      <c r="AI17" s="13">
        <f>SUM(IFERROR(VLOOKUP($C:$C,Structure!$A:$AJ,AI$1,0)*15,0),IFERROR(VLOOKUP($D:$D,Structure!$A:$AJ,AI$1,0)*15,0),IFERROR(VLOOKUP($E:$E,Structure!$A:$AJ,AI$1,0)*15,0))</f>
        <v>0</v>
      </c>
      <c r="AJ17" s="13">
        <f>SUM(IFERROR(VLOOKUP($C:$C,Structure!$A:$AJ,AJ$1,0)*15,0),IFERROR(VLOOKUP($D:$D,Structure!$A:$AJ,AJ$1,0)*15,0),IFERROR(VLOOKUP($E:$E,Structure!$A:$AJ,AJ$1,0)*15,0))</f>
        <v>30</v>
      </c>
      <c r="AK17" s="13">
        <f>SUM(IFERROR(VLOOKUP($C:$C,Structure!$A:$AJ,AK$1,0)*15,0),IFERROR(VLOOKUP($D:$D,Structure!$A:$AJ,AK$1,0)*15,0),IFERROR(VLOOKUP($E:$E,Structure!$A:$AJ,AK$1,0)*15,0))</f>
        <v>0</v>
      </c>
      <c r="AL17" s="13">
        <f>SUM(IFERROR(VLOOKUP($C:$C,Structure!$A:$AJ,AL$1,0)*15,0),IFERROR(VLOOKUP($D:$D,Structure!$A:$AJ,AL$1,0)*15,0),IFERROR(VLOOKUP($E:$E,Structure!$A:$AJ,AL$1,0)*15,0))</f>
        <v>0</v>
      </c>
      <c r="AM17" s="13">
        <f>SUM(IFERROR(VLOOKUP($C:$C,Structure!$A:$AJ,AM$1,0)*15,0),IFERROR(VLOOKUP($D:$D,Structure!$A:$AJ,AM$1,0)*15,0),IFERROR(VLOOKUP($E:$E,Structure!$A:$AJ,AM$1,0)*15,0))</f>
        <v>0</v>
      </c>
      <c r="AN17" s="13">
        <f>SUM(IFERROR(VLOOKUP($C:$C,Structure!$A:$AJ,AN$1,0)*15,0),IFERROR(VLOOKUP($D:$D,Structure!$A:$AJ,AN$1,0)*15,0),IFERROR(VLOOKUP($E:$E,Structure!$A:$AJ,AN$1,0)*15,0))</f>
        <v>0</v>
      </c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3"/>
      <c r="BZ17" s="4">
        <f>BZ16+AQ17-F17</f>
        <v>0</v>
      </c>
      <c r="CA17" s="4">
        <f>CA16+AR17-G17</f>
        <v>0</v>
      </c>
      <c r="CB17" s="4">
        <f>CB16+AS17-H17</f>
        <v>0</v>
      </c>
      <c r="CC17" s="4">
        <f>CC16+AT17-I17</f>
        <v>0</v>
      </c>
      <c r="CD17" s="4">
        <f>CD16+AU17-J17</f>
        <v>0</v>
      </c>
      <c r="CE17" s="4">
        <f>CE16+AV17-K17</f>
        <v>0</v>
      </c>
      <c r="CF17" s="4">
        <f>CF16+AW17-L17</f>
        <v>0</v>
      </c>
      <c r="CG17" s="4">
        <f>CG16+AX17-M17</f>
        <v>0</v>
      </c>
      <c r="CH17" s="4">
        <f>CH16+AY17-N17</f>
        <v>0</v>
      </c>
      <c r="CI17" s="4">
        <f>CI16+AZ17-O17</f>
        <v>0</v>
      </c>
      <c r="CJ17" s="4">
        <f>CJ16+BA17-P17</f>
        <v>0</v>
      </c>
      <c r="CK17" s="4">
        <f>CK16+BB17-Q17</f>
        <v>0</v>
      </c>
      <c r="CL17" s="4">
        <f>CL16+BC17-R17</f>
        <v>0</v>
      </c>
      <c r="CM17" s="4">
        <f>CM16+BD17-S17</f>
        <v>0</v>
      </c>
      <c r="CN17" s="4">
        <f>CN16+BE17-T17</f>
        <v>0</v>
      </c>
      <c r="CO17" s="4">
        <f>CO16+BF17-U17</f>
        <v>0</v>
      </c>
      <c r="CP17" s="4">
        <f>CP16+BG17-V17</f>
        <v>0</v>
      </c>
      <c r="CQ17" s="4">
        <f>CQ16+BH17-W17</f>
        <v>0</v>
      </c>
      <c r="CR17" s="4">
        <f>CR16+BI17-X17</f>
        <v>0</v>
      </c>
      <c r="CS17" s="4">
        <f>CS16+BJ17-Y17</f>
        <v>0</v>
      </c>
      <c r="CT17" s="4">
        <f>CT16+BK17-Z17</f>
        <v>0</v>
      </c>
      <c r="CU17" s="4">
        <f>CU16+BL17-AA17</f>
        <v>-440</v>
      </c>
      <c r="CV17" s="4">
        <f>CV16+BM17-AB17</f>
        <v>-135</v>
      </c>
      <c r="CW17" s="4">
        <f>CW16+BN17-AC17</f>
        <v>0</v>
      </c>
      <c r="CX17" s="4">
        <f>CX16+BO17-AD17</f>
        <v>0</v>
      </c>
      <c r="CY17" s="4">
        <f>CY16+BP17-AE17</f>
        <v>0</v>
      </c>
      <c r="CZ17" s="4">
        <f>CZ16+BQ17-AF17</f>
        <v>-55</v>
      </c>
      <c r="DA17" s="4">
        <f>DA16+BR17-AG17</f>
        <v>0</v>
      </c>
      <c r="DB17" s="4">
        <f>DB16+BS17-AH17</f>
        <v>0</v>
      </c>
      <c r="DC17" s="4">
        <f>DC16+BT17-AI17</f>
        <v>0</v>
      </c>
      <c r="DD17" s="4">
        <f>DD16+BU17-AJ17</f>
        <v>-370</v>
      </c>
      <c r="DE17" s="4">
        <f>DE16+BV17-AK17</f>
        <v>-90</v>
      </c>
      <c r="DF17" s="4">
        <f>DF16+BW17-AL17</f>
        <v>0</v>
      </c>
      <c r="DG17" s="4">
        <f>DG16+BX17-AM17</f>
        <v>20</v>
      </c>
      <c r="DH17" s="4">
        <f>DH16+BY17-AN17</f>
        <v>0</v>
      </c>
    </row>
    <row r="18" spans="1:112" x14ac:dyDescent="0.25">
      <c r="A18" s="6">
        <v>46179</v>
      </c>
      <c r="B18" s="7">
        <v>0.95833333329937886</v>
      </c>
      <c r="C18" s="3" t="s">
        <v>2</v>
      </c>
      <c r="D18" s="3" t="s">
        <v>6</v>
      </c>
      <c r="E18" s="3" t="s">
        <v>2</v>
      </c>
      <c r="F18" s="13">
        <f>SUM(IFERROR(VLOOKUP($C:$C,Structure!$A:$AJ,F$1,0)*15,0),IFERROR(VLOOKUP($D:$D,Structure!$A:$AJ,F$1,0)*15,0),IFERROR(VLOOKUP($E:$E,Structure!$A:$AJ,F$1,0)*15,0))</f>
        <v>0</v>
      </c>
      <c r="G18" s="13">
        <f>SUM(IFERROR(VLOOKUP($C:$C,Structure!$A:$AJ,G$1,0)*15,0),IFERROR(VLOOKUP($D:$D,Structure!$A:$AJ,G$1,0)*15,0),IFERROR(VLOOKUP($E:$E,Structure!$A:$AJ,G$1,0)*15,0))</f>
        <v>0</v>
      </c>
      <c r="H18" s="13">
        <f>SUM(IFERROR(VLOOKUP($C:$C,Structure!$A:$AJ,H$1,0)*15,0),IFERROR(VLOOKUP($D:$D,Structure!$A:$AJ,H$1,0)*15,0),IFERROR(VLOOKUP($E:$E,Structure!$A:$AJ,H$1,0)*15,0))</f>
        <v>0</v>
      </c>
      <c r="I18" s="13">
        <f>SUM(IFERROR(VLOOKUP($C:$C,Structure!$A:$AJ,I$1,0)*15,0),IFERROR(VLOOKUP($D:$D,Structure!$A:$AJ,I$1,0)*15,0),IFERROR(VLOOKUP($E:$E,Structure!$A:$AJ,I$1,0)*15,0))</f>
        <v>0</v>
      </c>
      <c r="J18" s="13">
        <f>SUM(IFERROR(VLOOKUP($C:$C,Structure!$A:$AJ,J$1,0)*15,0),IFERROR(VLOOKUP($D:$D,Structure!$A:$AJ,J$1,0)*15,0),IFERROR(VLOOKUP($E:$E,Structure!$A:$AJ,J$1,0)*15,0))</f>
        <v>0</v>
      </c>
      <c r="K18" s="13">
        <f>SUM(IFERROR(VLOOKUP($C:$C,Structure!$A:$AJ,K$1,0)*15,0),IFERROR(VLOOKUP($D:$D,Structure!$A:$AJ,K$1,0)*15,0),IFERROR(VLOOKUP($E:$E,Structure!$A:$AJ,K$1,0)*15,0))</f>
        <v>0</v>
      </c>
      <c r="L18" s="13">
        <f>SUM(IFERROR(VLOOKUP($C:$C,Structure!$A:$AJ,L$1,0)*15,0),IFERROR(VLOOKUP($D:$D,Structure!$A:$AJ,L$1,0)*15,0),IFERROR(VLOOKUP($E:$E,Structure!$A:$AJ,L$1,0)*15,0))</f>
        <v>0</v>
      </c>
      <c r="M18" s="13">
        <f>SUM(IFERROR(VLOOKUP($C:$C,Structure!$A:$AJ,M$1,0)*15,0),IFERROR(VLOOKUP($D:$D,Structure!$A:$AJ,M$1,0)*15,0),IFERROR(VLOOKUP($E:$E,Structure!$A:$AJ,M$1,0)*15,0))</f>
        <v>0</v>
      </c>
      <c r="N18" s="13">
        <f>SUM(IFERROR(VLOOKUP($C:$C,Structure!$A:$AJ,N$1,0)*15,0),IFERROR(VLOOKUP($D:$D,Structure!$A:$AJ,N$1,0)*15,0),IFERROR(VLOOKUP($E:$E,Structure!$A:$AJ,N$1,0)*15,0))</f>
        <v>0</v>
      </c>
      <c r="O18" s="13">
        <f>SUM(IFERROR(VLOOKUP($C:$C,Structure!$A:$AJ,O$1,0)*15,0),IFERROR(VLOOKUP($D:$D,Structure!$A:$AJ,O$1,0)*15,0),IFERROR(VLOOKUP($E:$E,Structure!$A:$AJ,O$1,0)*15,0))</f>
        <v>0</v>
      </c>
      <c r="P18" s="13">
        <f>SUM(IFERROR(VLOOKUP($C:$C,Structure!$A:$AJ,P$1,0)*15,0),IFERROR(VLOOKUP($D:$D,Structure!$A:$AJ,P$1,0)*15,0),IFERROR(VLOOKUP($E:$E,Structure!$A:$AJ,P$1,0)*15,0))</f>
        <v>0</v>
      </c>
      <c r="Q18" s="13">
        <f>SUM(IFERROR(VLOOKUP($C:$C,Structure!$A:$AJ,Q$1,0)*15,0),IFERROR(VLOOKUP($D:$D,Structure!$A:$AJ,Q$1,0)*15,0),IFERROR(VLOOKUP($E:$E,Structure!$A:$AJ,Q$1,0)*15,0))</f>
        <v>0</v>
      </c>
      <c r="R18" s="13">
        <f>SUM(IFERROR(VLOOKUP($C:$C,Structure!$A:$AJ,R$1,0)*15,0),IFERROR(VLOOKUP($D:$D,Structure!$A:$AJ,R$1,0)*15,0),IFERROR(VLOOKUP($E:$E,Structure!$A:$AJ,R$1,0)*15,0))</f>
        <v>0</v>
      </c>
      <c r="S18" s="13">
        <f>SUM(IFERROR(VLOOKUP($C:$C,Structure!$A:$AJ,S$1,0)*15,0),IFERROR(VLOOKUP($D:$D,Structure!$A:$AJ,S$1,0)*15,0),IFERROR(VLOOKUP($E:$E,Structure!$A:$AJ,S$1,0)*15,0))</f>
        <v>0</v>
      </c>
      <c r="T18" s="13">
        <f>SUM(IFERROR(VLOOKUP($C:$C,Structure!$A:$AJ,T$1,0)*15,0),IFERROR(VLOOKUP($D:$D,Structure!$A:$AJ,T$1,0)*15,0),IFERROR(VLOOKUP($E:$E,Structure!$A:$AJ,T$1,0)*15,0))</f>
        <v>0</v>
      </c>
      <c r="U18" s="13">
        <f>SUM(IFERROR(VLOOKUP($C:$C,Structure!$A:$AJ,U$1,0)*15,0),IFERROR(VLOOKUP($D:$D,Structure!$A:$AJ,U$1,0)*15,0),IFERROR(VLOOKUP($E:$E,Structure!$A:$AJ,U$1,0)*15,0))</f>
        <v>0</v>
      </c>
      <c r="V18" s="13">
        <f>SUM(IFERROR(VLOOKUP($C:$C,Structure!$A:$AJ,V$1,0)*15,0),IFERROR(VLOOKUP($D:$D,Structure!$A:$AJ,V$1,0)*15,0),IFERROR(VLOOKUP($E:$E,Structure!$A:$AJ,V$1,0)*15,0))</f>
        <v>0</v>
      </c>
      <c r="W18" s="13">
        <f>SUM(IFERROR(VLOOKUP($C:$C,Structure!$A:$AJ,W$1,0)*15,0),IFERROR(VLOOKUP($D:$D,Structure!$A:$AJ,W$1,0)*15,0),IFERROR(VLOOKUP($E:$E,Structure!$A:$AJ,W$1,0)*15,0))</f>
        <v>0</v>
      </c>
      <c r="X18" s="13">
        <f>SUM(IFERROR(VLOOKUP($C:$C,Structure!$A:$AJ,X$1,0)*15,0),IFERROR(VLOOKUP($D:$D,Structure!$A:$AJ,X$1,0)*15,0),IFERROR(VLOOKUP($E:$E,Structure!$A:$AJ,X$1,0)*15,0))</f>
        <v>0</v>
      </c>
      <c r="Y18" s="13">
        <f>SUM(IFERROR(VLOOKUP($C:$C,Structure!$A:$AJ,Y$1,0)*15,0),IFERROR(VLOOKUP($D:$D,Structure!$A:$AJ,Y$1,0)*15,0),IFERROR(VLOOKUP($E:$E,Structure!$A:$AJ,Y$1,0)*15,0))</f>
        <v>0</v>
      </c>
      <c r="Z18" s="13">
        <f>SUM(IFERROR(VLOOKUP($C:$C,Structure!$A:$AJ,Z$1,0)*15,0),IFERROR(VLOOKUP($D:$D,Structure!$A:$AJ,Z$1,0)*15,0),IFERROR(VLOOKUP($E:$E,Structure!$A:$AJ,Z$1,0)*15,0))</f>
        <v>0</v>
      </c>
      <c r="AA18" s="13">
        <f>SUM(IFERROR(VLOOKUP($C:$C,Structure!$A:$AJ,AA$1,0)*15,0),IFERROR(VLOOKUP($D:$D,Structure!$A:$AJ,AA$1,0)*15,0),IFERROR(VLOOKUP($E:$E,Structure!$A:$AJ,AA$1,0)*15,0))</f>
        <v>45</v>
      </c>
      <c r="AB18" s="13">
        <f>SUM(IFERROR(VLOOKUP($C:$C,Structure!$A:$AJ,AB$1,0)*15,0),IFERROR(VLOOKUP($D:$D,Structure!$A:$AJ,AB$1,0)*15,0),IFERROR(VLOOKUP($E:$E,Structure!$A:$AJ,AB$1,0)*15,0))</f>
        <v>0</v>
      </c>
      <c r="AC18" s="13">
        <f>SUM(IFERROR(VLOOKUP($C:$C,Structure!$A:$AJ,AC$1,0)*15,0),IFERROR(VLOOKUP($D:$D,Structure!$A:$AJ,AC$1,0)*15,0),IFERROR(VLOOKUP($E:$E,Structure!$A:$AJ,AC$1,0)*15,0))</f>
        <v>0</v>
      </c>
      <c r="AD18" s="13">
        <f>SUM(IFERROR(VLOOKUP($C:$C,Structure!$A:$AJ,AD$1,0)*15,0),IFERROR(VLOOKUP($D:$D,Structure!$A:$AJ,AD$1,0)*15,0),IFERROR(VLOOKUP($E:$E,Structure!$A:$AJ,AD$1,0)*15,0))</f>
        <v>0</v>
      </c>
      <c r="AE18" s="13">
        <f>SUM(IFERROR(VLOOKUP($C:$C,Structure!$A:$AJ,AE$1,0)*15,0),IFERROR(VLOOKUP($D:$D,Structure!$A:$AJ,AE$1,0)*15,0),IFERROR(VLOOKUP($E:$E,Structure!$A:$AJ,AE$1,0)*15,0))</f>
        <v>0</v>
      </c>
      <c r="AF18" s="13">
        <f>SUM(IFERROR(VLOOKUP($C:$C,Structure!$A:$AJ,AF$1,0)*15,0),IFERROR(VLOOKUP($D:$D,Structure!$A:$AJ,AF$1,0)*15,0),IFERROR(VLOOKUP($E:$E,Structure!$A:$AJ,AF$1,0)*15,0))</f>
        <v>0</v>
      </c>
      <c r="AG18" s="13">
        <f>SUM(IFERROR(VLOOKUP($C:$C,Structure!$A:$AJ,AG$1,0)*15,0),IFERROR(VLOOKUP($D:$D,Structure!$A:$AJ,AG$1,0)*15,0),IFERROR(VLOOKUP($E:$E,Structure!$A:$AJ,AG$1,0)*15,0))</f>
        <v>0</v>
      </c>
      <c r="AH18" s="13">
        <f>SUM(IFERROR(VLOOKUP($C:$C,Structure!$A:$AJ,AH$1,0)*15,0),IFERROR(VLOOKUP($D:$D,Structure!$A:$AJ,AH$1,0)*15,0),IFERROR(VLOOKUP($E:$E,Structure!$A:$AJ,AH$1,0)*15,0))</f>
        <v>0</v>
      </c>
      <c r="AI18" s="13">
        <f>SUM(IFERROR(VLOOKUP($C:$C,Structure!$A:$AJ,AI$1,0)*15,0),IFERROR(VLOOKUP($D:$D,Structure!$A:$AJ,AI$1,0)*15,0),IFERROR(VLOOKUP($E:$E,Structure!$A:$AJ,AI$1,0)*15,0))</f>
        <v>0</v>
      </c>
      <c r="AJ18" s="13">
        <f>SUM(IFERROR(VLOOKUP($C:$C,Structure!$A:$AJ,AJ$1,0)*15,0),IFERROR(VLOOKUP($D:$D,Structure!$A:$AJ,AJ$1,0)*15,0),IFERROR(VLOOKUP($E:$E,Structure!$A:$AJ,AJ$1,0)*15,0))</f>
        <v>45</v>
      </c>
      <c r="AK18" s="13">
        <f>SUM(IFERROR(VLOOKUP($C:$C,Structure!$A:$AJ,AK$1,0)*15,0),IFERROR(VLOOKUP($D:$D,Structure!$A:$AJ,AK$1,0)*15,0),IFERROR(VLOOKUP($E:$E,Structure!$A:$AJ,AK$1,0)*15,0))</f>
        <v>0</v>
      </c>
      <c r="AL18" s="13">
        <f>SUM(IFERROR(VLOOKUP($C:$C,Structure!$A:$AJ,AL$1,0)*15,0),IFERROR(VLOOKUP($D:$D,Structure!$A:$AJ,AL$1,0)*15,0),IFERROR(VLOOKUP($E:$E,Structure!$A:$AJ,AL$1,0)*15,0))</f>
        <v>0</v>
      </c>
      <c r="AM18" s="13">
        <f>SUM(IFERROR(VLOOKUP($C:$C,Structure!$A:$AJ,AM$1,0)*15,0),IFERROR(VLOOKUP($D:$D,Structure!$A:$AJ,AM$1,0)*15,0),IFERROR(VLOOKUP($E:$E,Structure!$A:$AJ,AM$1,0)*15,0))</f>
        <v>0</v>
      </c>
      <c r="AN18" s="13">
        <f>SUM(IFERROR(VLOOKUP($C:$C,Structure!$A:$AJ,AN$1,0)*15,0),IFERROR(VLOOKUP($D:$D,Structure!$A:$AJ,AN$1,0)*15,0),IFERROR(VLOOKUP($E:$E,Structure!$A:$AJ,AN$1,0)*15,0))</f>
        <v>0</v>
      </c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3"/>
      <c r="BZ18" s="4">
        <f>BZ17+AQ18-F18</f>
        <v>0</v>
      </c>
      <c r="CA18" s="4">
        <f>CA17+AR18-G18</f>
        <v>0</v>
      </c>
      <c r="CB18" s="4">
        <f>CB17+AS18-H18</f>
        <v>0</v>
      </c>
      <c r="CC18" s="4">
        <f>CC17+AT18-I18</f>
        <v>0</v>
      </c>
      <c r="CD18" s="4">
        <f>CD17+AU18-J18</f>
        <v>0</v>
      </c>
      <c r="CE18" s="4">
        <f>CE17+AV18-K18</f>
        <v>0</v>
      </c>
      <c r="CF18" s="4">
        <f>CF17+AW18-L18</f>
        <v>0</v>
      </c>
      <c r="CG18" s="4">
        <f>CG17+AX18-M18</f>
        <v>0</v>
      </c>
      <c r="CH18" s="4">
        <f>CH17+AY18-N18</f>
        <v>0</v>
      </c>
      <c r="CI18" s="4">
        <f>CI17+AZ18-O18</f>
        <v>0</v>
      </c>
      <c r="CJ18" s="4">
        <f>CJ17+BA18-P18</f>
        <v>0</v>
      </c>
      <c r="CK18" s="4">
        <f>CK17+BB18-Q18</f>
        <v>0</v>
      </c>
      <c r="CL18" s="4">
        <f>CL17+BC18-R18</f>
        <v>0</v>
      </c>
      <c r="CM18" s="4">
        <f>CM17+BD18-S18</f>
        <v>0</v>
      </c>
      <c r="CN18" s="4">
        <f>CN17+BE18-T18</f>
        <v>0</v>
      </c>
      <c r="CO18" s="4">
        <f>CO17+BF18-U18</f>
        <v>0</v>
      </c>
      <c r="CP18" s="4">
        <f>CP17+BG18-V18</f>
        <v>0</v>
      </c>
      <c r="CQ18" s="4">
        <f>CQ17+BH18-W18</f>
        <v>0</v>
      </c>
      <c r="CR18" s="4">
        <f>CR17+BI18-X18</f>
        <v>0</v>
      </c>
      <c r="CS18" s="4">
        <f>CS17+BJ18-Y18</f>
        <v>0</v>
      </c>
      <c r="CT18" s="4">
        <f>CT17+BK18-Z18</f>
        <v>0</v>
      </c>
      <c r="CU18" s="4">
        <f>CU17+BL18-AA18</f>
        <v>-485</v>
      </c>
      <c r="CV18" s="4">
        <f>CV17+BM18-AB18</f>
        <v>-135</v>
      </c>
      <c r="CW18" s="4">
        <f>CW17+BN18-AC18</f>
        <v>0</v>
      </c>
      <c r="CX18" s="4">
        <f>CX17+BO18-AD18</f>
        <v>0</v>
      </c>
      <c r="CY18" s="4">
        <f>CY17+BP18-AE18</f>
        <v>0</v>
      </c>
      <c r="CZ18" s="4">
        <f>CZ17+BQ18-AF18</f>
        <v>-55</v>
      </c>
      <c r="DA18" s="4">
        <f>DA17+BR18-AG18</f>
        <v>0</v>
      </c>
      <c r="DB18" s="4">
        <f>DB17+BS18-AH18</f>
        <v>0</v>
      </c>
      <c r="DC18" s="4">
        <f>DC17+BT18-AI18</f>
        <v>0</v>
      </c>
      <c r="DD18" s="4">
        <f>DD17+BU18-AJ18</f>
        <v>-415</v>
      </c>
      <c r="DE18" s="4">
        <f>DE17+BV18-AK18</f>
        <v>-90</v>
      </c>
      <c r="DF18" s="4">
        <f>DF17+BW18-AL18</f>
        <v>0</v>
      </c>
      <c r="DG18" s="4">
        <f>DG17+BX18-AM18</f>
        <v>20</v>
      </c>
      <c r="DH18" s="4">
        <f>DH17+BY18-AN18</f>
        <v>0</v>
      </c>
    </row>
    <row r="19" spans="1:112" x14ac:dyDescent="0.25">
      <c r="A19" s="6">
        <v>46179</v>
      </c>
      <c r="B19" s="7">
        <v>0.99999999996362021</v>
      </c>
      <c r="C19" s="3" t="s">
        <v>2</v>
      </c>
      <c r="D19" s="3" t="s">
        <v>6</v>
      </c>
      <c r="E19" s="3" t="s">
        <v>2</v>
      </c>
      <c r="F19" s="13">
        <f>SUM(IFERROR(VLOOKUP($C:$C,Structure!$A:$AJ,F$1,0)*15,0),IFERROR(VLOOKUP($D:$D,Structure!$A:$AJ,F$1,0)*15,0),IFERROR(VLOOKUP($E:$E,Structure!$A:$AJ,F$1,0)*15,0))</f>
        <v>0</v>
      </c>
      <c r="G19" s="13">
        <f>SUM(IFERROR(VLOOKUP($C:$C,Structure!$A:$AJ,G$1,0)*15,0),IFERROR(VLOOKUP($D:$D,Structure!$A:$AJ,G$1,0)*15,0),IFERROR(VLOOKUP($E:$E,Structure!$A:$AJ,G$1,0)*15,0))</f>
        <v>0</v>
      </c>
      <c r="H19" s="13">
        <f>SUM(IFERROR(VLOOKUP($C:$C,Structure!$A:$AJ,H$1,0)*15,0),IFERROR(VLOOKUP($D:$D,Structure!$A:$AJ,H$1,0)*15,0),IFERROR(VLOOKUP($E:$E,Structure!$A:$AJ,H$1,0)*15,0))</f>
        <v>0</v>
      </c>
      <c r="I19" s="13">
        <f>SUM(IFERROR(VLOOKUP($C:$C,Structure!$A:$AJ,I$1,0)*15,0),IFERROR(VLOOKUP($D:$D,Structure!$A:$AJ,I$1,0)*15,0),IFERROR(VLOOKUP($E:$E,Structure!$A:$AJ,I$1,0)*15,0))</f>
        <v>0</v>
      </c>
      <c r="J19" s="13">
        <f>SUM(IFERROR(VLOOKUP($C:$C,Structure!$A:$AJ,J$1,0)*15,0),IFERROR(VLOOKUP($D:$D,Structure!$A:$AJ,J$1,0)*15,0),IFERROR(VLOOKUP($E:$E,Structure!$A:$AJ,J$1,0)*15,0))</f>
        <v>0</v>
      </c>
      <c r="K19" s="13">
        <f>SUM(IFERROR(VLOOKUP($C:$C,Structure!$A:$AJ,K$1,0)*15,0),IFERROR(VLOOKUP($D:$D,Structure!$A:$AJ,K$1,0)*15,0),IFERROR(VLOOKUP($E:$E,Structure!$A:$AJ,K$1,0)*15,0))</f>
        <v>0</v>
      </c>
      <c r="L19" s="13">
        <f>SUM(IFERROR(VLOOKUP($C:$C,Structure!$A:$AJ,L$1,0)*15,0),IFERROR(VLOOKUP($D:$D,Structure!$A:$AJ,L$1,0)*15,0),IFERROR(VLOOKUP($E:$E,Structure!$A:$AJ,L$1,0)*15,0))</f>
        <v>0</v>
      </c>
      <c r="M19" s="13">
        <f>SUM(IFERROR(VLOOKUP($C:$C,Structure!$A:$AJ,M$1,0)*15,0),IFERROR(VLOOKUP($D:$D,Structure!$A:$AJ,M$1,0)*15,0),IFERROR(VLOOKUP($E:$E,Structure!$A:$AJ,M$1,0)*15,0))</f>
        <v>0</v>
      </c>
      <c r="N19" s="13">
        <f>SUM(IFERROR(VLOOKUP($C:$C,Structure!$A:$AJ,N$1,0)*15,0),IFERROR(VLOOKUP($D:$D,Structure!$A:$AJ,N$1,0)*15,0),IFERROR(VLOOKUP($E:$E,Structure!$A:$AJ,N$1,0)*15,0))</f>
        <v>0</v>
      </c>
      <c r="O19" s="13">
        <f>SUM(IFERROR(VLOOKUP($C:$C,Structure!$A:$AJ,O$1,0)*15,0),IFERROR(VLOOKUP($D:$D,Structure!$A:$AJ,O$1,0)*15,0),IFERROR(VLOOKUP($E:$E,Structure!$A:$AJ,O$1,0)*15,0))</f>
        <v>0</v>
      </c>
      <c r="P19" s="13">
        <f>SUM(IFERROR(VLOOKUP($C:$C,Structure!$A:$AJ,P$1,0)*15,0),IFERROR(VLOOKUP($D:$D,Structure!$A:$AJ,P$1,0)*15,0),IFERROR(VLOOKUP($E:$E,Structure!$A:$AJ,P$1,0)*15,0))</f>
        <v>0</v>
      </c>
      <c r="Q19" s="13">
        <f>SUM(IFERROR(VLOOKUP($C:$C,Structure!$A:$AJ,Q$1,0)*15,0),IFERROR(VLOOKUP($D:$D,Structure!$A:$AJ,Q$1,0)*15,0),IFERROR(VLOOKUP($E:$E,Structure!$A:$AJ,Q$1,0)*15,0))</f>
        <v>0</v>
      </c>
      <c r="R19" s="13">
        <f>SUM(IFERROR(VLOOKUP($C:$C,Structure!$A:$AJ,R$1,0)*15,0),IFERROR(VLOOKUP($D:$D,Structure!$A:$AJ,R$1,0)*15,0),IFERROR(VLOOKUP($E:$E,Structure!$A:$AJ,R$1,0)*15,0))</f>
        <v>0</v>
      </c>
      <c r="S19" s="13">
        <f>SUM(IFERROR(VLOOKUP($C:$C,Structure!$A:$AJ,S$1,0)*15,0),IFERROR(VLOOKUP($D:$D,Structure!$A:$AJ,S$1,0)*15,0),IFERROR(VLOOKUP($E:$E,Structure!$A:$AJ,S$1,0)*15,0))</f>
        <v>0</v>
      </c>
      <c r="T19" s="13">
        <f>SUM(IFERROR(VLOOKUP($C:$C,Structure!$A:$AJ,T$1,0)*15,0),IFERROR(VLOOKUP($D:$D,Structure!$A:$AJ,T$1,0)*15,0),IFERROR(VLOOKUP($E:$E,Structure!$A:$AJ,T$1,0)*15,0))</f>
        <v>0</v>
      </c>
      <c r="U19" s="13">
        <f>SUM(IFERROR(VLOOKUP($C:$C,Structure!$A:$AJ,U$1,0)*15,0),IFERROR(VLOOKUP($D:$D,Structure!$A:$AJ,U$1,0)*15,0),IFERROR(VLOOKUP($E:$E,Structure!$A:$AJ,U$1,0)*15,0))</f>
        <v>0</v>
      </c>
      <c r="V19" s="13">
        <f>SUM(IFERROR(VLOOKUP($C:$C,Structure!$A:$AJ,V$1,0)*15,0),IFERROR(VLOOKUP($D:$D,Structure!$A:$AJ,V$1,0)*15,0),IFERROR(VLOOKUP($E:$E,Structure!$A:$AJ,V$1,0)*15,0))</f>
        <v>0</v>
      </c>
      <c r="W19" s="13">
        <f>SUM(IFERROR(VLOOKUP($C:$C,Structure!$A:$AJ,W$1,0)*15,0),IFERROR(VLOOKUP($D:$D,Structure!$A:$AJ,W$1,0)*15,0),IFERROR(VLOOKUP($E:$E,Structure!$A:$AJ,W$1,0)*15,0))</f>
        <v>0</v>
      </c>
      <c r="X19" s="13">
        <f>SUM(IFERROR(VLOOKUP($C:$C,Structure!$A:$AJ,X$1,0)*15,0),IFERROR(VLOOKUP($D:$D,Structure!$A:$AJ,X$1,0)*15,0),IFERROR(VLOOKUP($E:$E,Structure!$A:$AJ,X$1,0)*15,0))</f>
        <v>0</v>
      </c>
      <c r="Y19" s="13">
        <f>SUM(IFERROR(VLOOKUP($C:$C,Structure!$A:$AJ,Y$1,0)*15,0),IFERROR(VLOOKUP($D:$D,Structure!$A:$AJ,Y$1,0)*15,0),IFERROR(VLOOKUP($E:$E,Structure!$A:$AJ,Y$1,0)*15,0))</f>
        <v>0</v>
      </c>
      <c r="Z19" s="13">
        <f>SUM(IFERROR(VLOOKUP($C:$C,Structure!$A:$AJ,Z$1,0)*15,0),IFERROR(VLOOKUP($D:$D,Structure!$A:$AJ,Z$1,0)*15,0),IFERROR(VLOOKUP($E:$E,Structure!$A:$AJ,Z$1,0)*15,0))</f>
        <v>0</v>
      </c>
      <c r="AA19" s="13">
        <f>SUM(IFERROR(VLOOKUP($C:$C,Structure!$A:$AJ,AA$1,0)*15,0),IFERROR(VLOOKUP($D:$D,Structure!$A:$AJ,AA$1,0)*15,0),IFERROR(VLOOKUP($E:$E,Structure!$A:$AJ,AA$1,0)*15,0))</f>
        <v>45</v>
      </c>
      <c r="AB19" s="13">
        <f>SUM(IFERROR(VLOOKUP($C:$C,Structure!$A:$AJ,AB$1,0)*15,0),IFERROR(VLOOKUP($D:$D,Structure!$A:$AJ,AB$1,0)*15,0),IFERROR(VLOOKUP($E:$E,Structure!$A:$AJ,AB$1,0)*15,0))</f>
        <v>0</v>
      </c>
      <c r="AC19" s="13">
        <f>SUM(IFERROR(VLOOKUP($C:$C,Structure!$A:$AJ,AC$1,0)*15,0),IFERROR(VLOOKUP($D:$D,Structure!$A:$AJ,AC$1,0)*15,0),IFERROR(VLOOKUP($E:$E,Structure!$A:$AJ,AC$1,0)*15,0))</f>
        <v>0</v>
      </c>
      <c r="AD19" s="13">
        <f>SUM(IFERROR(VLOOKUP($C:$C,Structure!$A:$AJ,AD$1,0)*15,0),IFERROR(VLOOKUP($D:$D,Structure!$A:$AJ,AD$1,0)*15,0),IFERROR(VLOOKUP($E:$E,Structure!$A:$AJ,AD$1,0)*15,0))</f>
        <v>0</v>
      </c>
      <c r="AE19" s="13">
        <f>SUM(IFERROR(VLOOKUP($C:$C,Structure!$A:$AJ,AE$1,0)*15,0),IFERROR(VLOOKUP($D:$D,Structure!$A:$AJ,AE$1,0)*15,0),IFERROR(VLOOKUP($E:$E,Structure!$A:$AJ,AE$1,0)*15,0))</f>
        <v>0</v>
      </c>
      <c r="AF19" s="13">
        <f>SUM(IFERROR(VLOOKUP($C:$C,Structure!$A:$AJ,AF$1,0)*15,0),IFERROR(VLOOKUP($D:$D,Structure!$A:$AJ,AF$1,0)*15,0),IFERROR(VLOOKUP($E:$E,Structure!$A:$AJ,AF$1,0)*15,0))</f>
        <v>0</v>
      </c>
      <c r="AG19" s="13">
        <f>SUM(IFERROR(VLOOKUP($C:$C,Structure!$A:$AJ,AG$1,0)*15,0),IFERROR(VLOOKUP($D:$D,Structure!$A:$AJ,AG$1,0)*15,0),IFERROR(VLOOKUP($E:$E,Structure!$A:$AJ,AG$1,0)*15,0))</f>
        <v>0</v>
      </c>
      <c r="AH19" s="13">
        <f>SUM(IFERROR(VLOOKUP($C:$C,Structure!$A:$AJ,AH$1,0)*15,0),IFERROR(VLOOKUP($D:$D,Structure!$A:$AJ,AH$1,0)*15,0),IFERROR(VLOOKUP($E:$E,Structure!$A:$AJ,AH$1,0)*15,0))</f>
        <v>0</v>
      </c>
      <c r="AI19" s="13">
        <f>SUM(IFERROR(VLOOKUP($C:$C,Structure!$A:$AJ,AI$1,0)*15,0),IFERROR(VLOOKUP($D:$D,Structure!$A:$AJ,AI$1,0)*15,0),IFERROR(VLOOKUP($E:$E,Structure!$A:$AJ,AI$1,0)*15,0))</f>
        <v>0</v>
      </c>
      <c r="AJ19" s="13">
        <f>SUM(IFERROR(VLOOKUP($C:$C,Structure!$A:$AJ,AJ$1,0)*15,0),IFERROR(VLOOKUP($D:$D,Structure!$A:$AJ,AJ$1,0)*15,0),IFERROR(VLOOKUP($E:$E,Structure!$A:$AJ,AJ$1,0)*15,0))</f>
        <v>45</v>
      </c>
      <c r="AK19" s="13">
        <f>SUM(IFERROR(VLOOKUP($C:$C,Structure!$A:$AJ,AK$1,0)*15,0),IFERROR(VLOOKUP($D:$D,Structure!$A:$AJ,AK$1,0)*15,0),IFERROR(VLOOKUP($E:$E,Structure!$A:$AJ,AK$1,0)*15,0))</f>
        <v>0</v>
      </c>
      <c r="AL19" s="13">
        <f>SUM(IFERROR(VLOOKUP($C:$C,Structure!$A:$AJ,AL$1,0)*15,0),IFERROR(VLOOKUP($D:$D,Structure!$A:$AJ,AL$1,0)*15,0),IFERROR(VLOOKUP($E:$E,Structure!$A:$AJ,AL$1,0)*15,0))</f>
        <v>0</v>
      </c>
      <c r="AM19" s="13">
        <f>SUM(IFERROR(VLOOKUP($C:$C,Structure!$A:$AJ,AM$1,0)*15,0),IFERROR(VLOOKUP($D:$D,Structure!$A:$AJ,AM$1,0)*15,0),IFERROR(VLOOKUP($E:$E,Structure!$A:$AJ,AM$1,0)*15,0))</f>
        <v>0</v>
      </c>
      <c r="AN19" s="13">
        <f>SUM(IFERROR(VLOOKUP($C:$C,Structure!$A:$AJ,AN$1,0)*15,0),IFERROR(VLOOKUP($D:$D,Structure!$A:$AJ,AN$1,0)*15,0),IFERROR(VLOOKUP($E:$E,Structure!$A:$AJ,AN$1,0)*15,0))</f>
        <v>0</v>
      </c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3"/>
      <c r="BZ19" s="4">
        <f>BZ18+AQ19-F19</f>
        <v>0</v>
      </c>
      <c r="CA19" s="4">
        <f>CA18+AR19-G19</f>
        <v>0</v>
      </c>
      <c r="CB19" s="4">
        <f>CB18+AS19-H19</f>
        <v>0</v>
      </c>
      <c r="CC19" s="4">
        <f>CC18+AT19-I19</f>
        <v>0</v>
      </c>
      <c r="CD19" s="4">
        <f>CD18+AU19-J19</f>
        <v>0</v>
      </c>
      <c r="CE19" s="4">
        <f>CE18+AV19-K19</f>
        <v>0</v>
      </c>
      <c r="CF19" s="4">
        <f>CF18+AW19-L19</f>
        <v>0</v>
      </c>
      <c r="CG19" s="4">
        <f>CG18+AX19-M19</f>
        <v>0</v>
      </c>
      <c r="CH19" s="4">
        <f>CH18+AY19-N19</f>
        <v>0</v>
      </c>
      <c r="CI19" s="4">
        <f>CI18+AZ19-O19</f>
        <v>0</v>
      </c>
      <c r="CJ19" s="4">
        <f>CJ18+BA19-P19</f>
        <v>0</v>
      </c>
      <c r="CK19" s="4">
        <f>CK18+BB19-Q19</f>
        <v>0</v>
      </c>
      <c r="CL19" s="4">
        <f>CL18+BC19-R19</f>
        <v>0</v>
      </c>
      <c r="CM19" s="4">
        <f>CM18+BD19-S19</f>
        <v>0</v>
      </c>
      <c r="CN19" s="4">
        <f>CN18+BE19-T19</f>
        <v>0</v>
      </c>
      <c r="CO19" s="4">
        <f>CO18+BF19-U19</f>
        <v>0</v>
      </c>
      <c r="CP19" s="4">
        <f>CP18+BG19-V19</f>
        <v>0</v>
      </c>
      <c r="CQ19" s="4">
        <f>CQ18+BH19-W19</f>
        <v>0</v>
      </c>
      <c r="CR19" s="4">
        <f>CR18+BI19-X19</f>
        <v>0</v>
      </c>
      <c r="CS19" s="4">
        <f>CS18+BJ19-Y19</f>
        <v>0</v>
      </c>
      <c r="CT19" s="4">
        <f>CT18+BK19-Z19</f>
        <v>0</v>
      </c>
      <c r="CU19" s="4">
        <f>CU18+BL19-AA19</f>
        <v>-530</v>
      </c>
      <c r="CV19" s="4">
        <f>CV18+BM19-AB19</f>
        <v>-135</v>
      </c>
      <c r="CW19" s="4">
        <f>CW18+BN19-AC19</f>
        <v>0</v>
      </c>
      <c r="CX19" s="4">
        <f>CX18+BO19-AD19</f>
        <v>0</v>
      </c>
      <c r="CY19" s="4">
        <f>CY18+BP19-AE19</f>
        <v>0</v>
      </c>
      <c r="CZ19" s="4">
        <f>CZ18+BQ19-AF19</f>
        <v>-55</v>
      </c>
      <c r="DA19" s="4">
        <f>DA18+BR19-AG19</f>
        <v>0</v>
      </c>
      <c r="DB19" s="4">
        <f>DB18+BS19-AH19</f>
        <v>0</v>
      </c>
      <c r="DC19" s="4">
        <f>DC18+BT19-AI19</f>
        <v>0</v>
      </c>
      <c r="DD19" s="4">
        <f>DD18+BU19-AJ19</f>
        <v>-460</v>
      </c>
      <c r="DE19" s="4">
        <f>DE18+BV19-AK19</f>
        <v>-90</v>
      </c>
      <c r="DF19" s="4">
        <f>DF18+BW19-AL19</f>
        <v>0</v>
      </c>
      <c r="DG19" s="4">
        <f>DG18+BX19-AM19</f>
        <v>20</v>
      </c>
      <c r="DH19" s="4">
        <f>DH18+BY19-AN19</f>
        <v>0</v>
      </c>
    </row>
    <row r="20" spans="1:112" x14ac:dyDescent="0.25">
      <c r="A20" s="6">
        <v>46180</v>
      </c>
      <c r="B20" s="7">
        <v>4.1666666627861559E-2</v>
      </c>
      <c r="C20" s="3" t="s">
        <v>3</v>
      </c>
      <c r="D20" s="3" t="s">
        <v>6</v>
      </c>
      <c r="E20" s="3" t="s">
        <v>2</v>
      </c>
      <c r="F20" s="13">
        <f>SUM(IFERROR(VLOOKUP($C:$C,Structure!$A:$AJ,F$1,0)*15,0),IFERROR(VLOOKUP($D:$D,Structure!$A:$AJ,F$1,0)*15,0),IFERROR(VLOOKUP($E:$E,Structure!$A:$AJ,F$1,0)*15,0))</f>
        <v>0</v>
      </c>
      <c r="G20" s="13">
        <f>SUM(IFERROR(VLOOKUP($C:$C,Structure!$A:$AJ,G$1,0)*15,0),IFERROR(VLOOKUP($D:$D,Structure!$A:$AJ,G$1,0)*15,0),IFERROR(VLOOKUP($E:$E,Structure!$A:$AJ,G$1,0)*15,0))</f>
        <v>0</v>
      </c>
      <c r="H20" s="13">
        <f>SUM(IFERROR(VLOOKUP($C:$C,Structure!$A:$AJ,H$1,0)*15,0),IFERROR(VLOOKUP($D:$D,Structure!$A:$AJ,H$1,0)*15,0),IFERROR(VLOOKUP($E:$E,Structure!$A:$AJ,H$1,0)*15,0))</f>
        <v>0</v>
      </c>
      <c r="I20" s="13">
        <f>SUM(IFERROR(VLOOKUP($C:$C,Structure!$A:$AJ,I$1,0)*15,0),IFERROR(VLOOKUP($D:$D,Structure!$A:$AJ,I$1,0)*15,0),IFERROR(VLOOKUP($E:$E,Structure!$A:$AJ,I$1,0)*15,0))</f>
        <v>0</v>
      </c>
      <c r="J20" s="13">
        <f>SUM(IFERROR(VLOOKUP($C:$C,Structure!$A:$AJ,J$1,0)*15,0),IFERROR(VLOOKUP($D:$D,Structure!$A:$AJ,J$1,0)*15,0),IFERROR(VLOOKUP($E:$E,Structure!$A:$AJ,J$1,0)*15,0))</f>
        <v>0</v>
      </c>
      <c r="K20" s="13">
        <f>SUM(IFERROR(VLOOKUP($C:$C,Structure!$A:$AJ,K$1,0)*15,0),IFERROR(VLOOKUP($D:$D,Structure!$A:$AJ,K$1,0)*15,0),IFERROR(VLOOKUP($E:$E,Structure!$A:$AJ,K$1,0)*15,0))</f>
        <v>0</v>
      </c>
      <c r="L20" s="13">
        <f>SUM(IFERROR(VLOOKUP($C:$C,Structure!$A:$AJ,L$1,0)*15,0),IFERROR(VLOOKUP($D:$D,Structure!$A:$AJ,L$1,0)*15,0),IFERROR(VLOOKUP($E:$E,Structure!$A:$AJ,L$1,0)*15,0))</f>
        <v>0</v>
      </c>
      <c r="M20" s="13">
        <f>SUM(IFERROR(VLOOKUP($C:$C,Structure!$A:$AJ,M$1,0)*15,0),IFERROR(VLOOKUP($D:$D,Structure!$A:$AJ,M$1,0)*15,0),IFERROR(VLOOKUP($E:$E,Structure!$A:$AJ,M$1,0)*15,0))</f>
        <v>0</v>
      </c>
      <c r="N20" s="13">
        <f>SUM(IFERROR(VLOOKUP($C:$C,Structure!$A:$AJ,N$1,0)*15,0),IFERROR(VLOOKUP($D:$D,Structure!$A:$AJ,N$1,0)*15,0),IFERROR(VLOOKUP($E:$E,Structure!$A:$AJ,N$1,0)*15,0))</f>
        <v>0</v>
      </c>
      <c r="O20" s="13">
        <f>SUM(IFERROR(VLOOKUP($C:$C,Structure!$A:$AJ,O$1,0)*15,0),IFERROR(VLOOKUP($D:$D,Structure!$A:$AJ,O$1,0)*15,0),IFERROR(VLOOKUP($E:$E,Structure!$A:$AJ,O$1,0)*15,0))</f>
        <v>0</v>
      </c>
      <c r="P20" s="13">
        <f>SUM(IFERROR(VLOOKUP($C:$C,Structure!$A:$AJ,P$1,0)*15,0),IFERROR(VLOOKUP($D:$D,Structure!$A:$AJ,P$1,0)*15,0),IFERROR(VLOOKUP($E:$E,Structure!$A:$AJ,P$1,0)*15,0))</f>
        <v>0</v>
      </c>
      <c r="Q20" s="13">
        <f>SUM(IFERROR(VLOOKUP($C:$C,Structure!$A:$AJ,Q$1,0)*15,0),IFERROR(VLOOKUP($D:$D,Structure!$A:$AJ,Q$1,0)*15,0),IFERROR(VLOOKUP($E:$E,Structure!$A:$AJ,Q$1,0)*15,0))</f>
        <v>0</v>
      </c>
      <c r="R20" s="13">
        <f>SUM(IFERROR(VLOOKUP($C:$C,Structure!$A:$AJ,R$1,0)*15,0),IFERROR(VLOOKUP($D:$D,Structure!$A:$AJ,R$1,0)*15,0),IFERROR(VLOOKUP($E:$E,Structure!$A:$AJ,R$1,0)*15,0))</f>
        <v>0</v>
      </c>
      <c r="S20" s="13">
        <f>SUM(IFERROR(VLOOKUP($C:$C,Structure!$A:$AJ,S$1,0)*15,0),IFERROR(VLOOKUP($D:$D,Structure!$A:$AJ,S$1,0)*15,0),IFERROR(VLOOKUP($E:$E,Structure!$A:$AJ,S$1,0)*15,0))</f>
        <v>0</v>
      </c>
      <c r="T20" s="13">
        <f>SUM(IFERROR(VLOOKUP($C:$C,Structure!$A:$AJ,T$1,0)*15,0),IFERROR(VLOOKUP($D:$D,Structure!$A:$AJ,T$1,0)*15,0),IFERROR(VLOOKUP($E:$E,Structure!$A:$AJ,T$1,0)*15,0))</f>
        <v>0</v>
      </c>
      <c r="U20" s="13">
        <f>SUM(IFERROR(VLOOKUP($C:$C,Structure!$A:$AJ,U$1,0)*15,0),IFERROR(VLOOKUP($D:$D,Structure!$A:$AJ,U$1,0)*15,0),IFERROR(VLOOKUP($E:$E,Structure!$A:$AJ,U$1,0)*15,0))</f>
        <v>0</v>
      </c>
      <c r="V20" s="13">
        <f>SUM(IFERROR(VLOOKUP($C:$C,Structure!$A:$AJ,V$1,0)*15,0),IFERROR(VLOOKUP($D:$D,Structure!$A:$AJ,V$1,0)*15,0),IFERROR(VLOOKUP($E:$E,Structure!$A:$AJ,V$1,0)*15,0))</f>
        <v>0</v>
      </c>
      <c r="W20" s="13">
        <f>SUM(IFERROR(VLOOKUP($C:$C,Structure!$A:$AJ,W$1,0)*15,0),IFERROR(VLOOKUP($D:$D,Structure!$A:$AJ,W$1,0)*15,0),IFERROR(VLOOKUP($E:$E,Structure!$A:$AJ,W$1,0)*15,0))</f>
        <v>0</v>
      </c>
      <c r="X20" s="13">
        <f>SUM(IFERROR(VLOOKUP($C:$C,Structure!$A:$AJ,X$1,0)*15,0),IFERROR(VLOOKUP($D:$D,Structure!$A:$AJ,X$1,0)*15,0),IFERROR(VLOOKUP($E:$E,Structure!$A:$AJ,X$1,0)*15,0))</f>
        <v>0</v>
      </c>
      <c r="Y20" s="13">
        <f>SUM(IFERROR(VLOOKUP($C:$C,Structure!$A:$AJ,Y$1,0)*15,0),IFERROR(VLOOKUP($D:$D,Structure!$A:$AJ,Y$1,0)*15,0),IFERROR(VLOOKUP($E:$E,Structure!$A:$AJ,Y$1,0)*15,0))</f>
        <v>0</v>
      </c>
      <c r="Z20" s="13">
        <f>SUM(IFERROR(VLOOKUP($C:$C,Structure!$A:$AJ,Z$1,0)*15,0),IFERROR(VLOOKUP($D:$D,Structure!$A:$AJ,Z$1,0)*15,0),IFERROR(VLOOKUP($E:$E,Structure!$A:$AJ,Z$1,0)*15,0))</f>
        <v>0</v>
      </c>
      <c r="AA20" s="13">
        <f>SUM(IFERROR(VLOOKUP($C:$C,Structure!$A:$AJ,AA$1,0)*15,0),IFERROR(VLOOKUP($D:$D,Structure!$A:$AJ,AA$1,0)*15,0),IFERROR(VLOOKUP($E:$E,Structure!$A:$AJ,AA$1,0)*15,0))</f>
        <v>45</v>
      </c>
      <c r="AB20" s="13">
        <f>SUM(IFERROR(VLOOKUP($C:$C,Structure!$A:$AJ,AB$1,0)*15,0),IFERROR(VLOOKUP($D:$D,Structure!$A:$AJ,AB$1,0)*15,0),IFERROR(VLOOKUP($E:$E,Structure!$A:$AJ,AB$1,0)*15,0))</f>
        <v>0</v>
      </c>
      <c r="AC20" s="13">
        <f>SUM(IFERROR(VLOOKUP($C:$C,Structure!$A:$AJ,AC$1,0)*15,0),IFERROR(VLOOKUP($D:$D,Structure!$A:$AJ,AC$1,0)*15,0),IFERROR(VLOOKUP($E:$E,Structure!$A:$AJ,AC$1,0)*15,0))</f>
        <v>0</v>
      </c>
      <c r="AD20" s="13">
        <f>SUM(IFERROR(VLOOKUP($C:$C,Structure!$A:$AJ,AD$1,0)*15,0),IFERROR(VLOOKUP($D:$D,Structure!$A:$AJ,AD$1,0)*15,0),IFERROR(VLOOKUP($E:$E,Structure!$A:$AJ,AD$1,0)*15,0))</f>
        <v>0</v>
      </c>
      <c r="AE20" s="13">
        <f>SUM(IFERROR(VLOOKUP($C:$C,Structure!$A:$AJ,AE$1,0)*15,0),IFERROR(VLOOKUP($D:$D,Structure!$A:$AJ,AE$1,0)*15,0),IFERROR(VLOOKUP($E:$E,Structure!$A:$AJ,AE$1,0)*15,0))</f>
        <v>0</v>
      </c>
      <c r="AF20" s="13">
        <f>SUM(IFERROR(VLOOKUP($C:$C,Structure!$A:$AJ,AF$1,0)*15,0),IFERROR(VLOOKUP($D:$D,Structure!$A:$AJ,AF$1,0)*15,0),IFERROR(VLOOKUP($E:$E,Structure!$A:$AJ,AF$1,0)*15,0))</f>
        <v>0</v>
      </c>
      <c r="AG20" s="13">
        <f>SUM(IFERROR(VLOOKUP($C:$C,Structure!$A:$AJ,AG$1,0)*15,0),IFERROR(VLOOKUP($D:$D,Structure!$A:$AJ,AG$1,0)*15,0),IFERROR(VLOOKUP($E:$E,Structure!$A:$AJ,AG$1,0)*15,0))</f>
        <v>0</v>
      </c>
      <c r="AH20" s="13">
        <f>SUM(IFERROR(VLOOKUP($C:$C,Structure!$A:$AJ,AH$1,0)*15,0),IFERROR(VLOOKUP($D:$D,Structure!$A:$AJ,AH$1,0)*15,0),IFERROR(VLOOKUP($E:$E,Structure!$A:$AJ,AH$1,0)*15,0))</f>
        <v>0</v>
      </c>
      <c r="AI20" s="13">
        <f>SUM(IFERROR(VLOOKUP($C:$C,Structure!$A:$AJ,AI$1,0)*15,0),IFERROR(VLOOKUP($D:$D,Structure!$A:$AJ,AI$1,0)*15,0),IFERROR(VLOOKUP($E:$E,Structure!$A:$AJ,AI$1,0)*15,0))</f>
        <v>0</v>
      </c>
      <c r="AJ20" s="13">
        <f>SUM(IFERROR(VLOOKUP($C:$C,Structure!$A:$AJ,AJ$1,0)*15,0),IFERROR(VLOOKUP($D:$D,Structure!$A:$AJ,AJ$1,0)*15,0),IFERROR(VLOOKUP($E:$E,Structure!$A:$AJ,AJ$1,0)*15,0))</f>
        <v>30</v>
      </c>
      <c r="AK20" s="13">
        <f>SUM(IFERROR(VLOOKUP($C:$C,Structure!$A:$AJ,AK$1,0)*15,0),IFERROR(VLOOKUP($D:$D,Structure!$A:$AJ,AK$1,0)*15,0),IFERROR(VLOOKUP($E:$E,Structure!$A:$AJ,AK$1,0)*15,0))</f>
        <v>15</v>
      </c>
      <c r="AL20" s="13">
        <f>SUM(IFERROR(VLOOKUP($C:$C,Structure!$A:$AJ,AL$1,0)*15,0),IFERROR(VLOOKUP($D:$D,Structure!$A:$AJ,AL$1,0)*15,0),IFERROR(VLOOKUP($E:$E,Structure!$A:$AJ,AL$1,0)*15,0))</f>
        <v>0</v>
      </c>
      <c r="AM20" s="13">
        <f>SUM(IFERROR(VLOOKUP($C:$C,Structure!$A:$AJ,AM$1,0)*15,0),IFERROR(VLOOKUP($D:$D,Structure!$A:$AJ,AM$1,0)*15,0),IFERROR(VLOOKUP($E:$E,Structure!$A:$AJ,AM$1,0)*15,0))</f>
        <v>0</v>
      </c>
      <c r="AN20" s="13">
        <f>SUM(IFERROR(VLOOKUP($C:$C,Structure!$A:$AJ,AN$1,0)*15,0),IFERROR(VLOOKUP($D:$D,Structure!$A:$AJ,AN$1,0)*15,0),IFERROR(VLOOKUP($E:$E,Structure!$A:$AJ,AN$1,0)*15,0))</f>
        <v>0</v>
      </c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3"/>
      <c r="BZ20" s="4">
        <f>BZ19+AQ20-F20</f>
        <v>0</v>
      </c>
      <c r="CA20" s="4">
        <f>CA19+AR20-G20</f>
        <v>0</v>
      </c>
      <c r="CB20" s="4">
        <f>CB19+AS20-H20</f>
        <v>0</v>
      </c>
      <c r="CC20" s="4">
        <f>CC19+AT20-I20</f>
        <v>0</v>
      </c>
      <c r="CD20" s="4">
        <f>CD19+AU20-J20</f>
        <v>0</v>
      </c>
      <c r="CE20" s="4">
        <f>CE19+AV20-K20</f>
        <v>0</v>
      </c>
      <c r="CF20" s="4">
        <f>CF19+AW20-L20</f>
        <v>0</v>
      </c>
      <c r="CG20" s="4">
        <f>CG19+AX20-M20</f>
        <v>0</v>
      </c>
      <c r="CH20" s="4">
        <f>CH19+AY20-N20</f>
        <v>0</v>
      </c>
      <c r="CI20" s="4">
        <f>CI19+AZ20-O20</f>
        <v>0</v>
      </c>
      <c r="CJ20" s="4">
        <f>CJ19+BA20-P20</f>
        <v>0</v>
      </c>
      <c r="CK20" s="4">
        <f>CK19+BB20-Q20</f>
        <v>0</v>
      </c>
      <c r="CL20" s="4">
        <f>CL19+BC20-R20</f>
        <v>0</v>
      </c>
      <c r="CM20" s="4">
        <f>CM19+BD20-S20</f>
        <v>0</v>
      </c>
      <c r="CN20" s="4">
        <f>CN19+BE20-T20</f>
        <v>0</v>
      </c>
      <c r="CO20" s="4">
        <f>CO19+BF20-U20</f>
        <v>0</v>
      </c>
      <c r="CP20" s="4">
        <f>CP19+BG20-V20</f>
        <v>0</v>
      </c>
      <c r="CQ20" s="4">
        <f>CQ19+BH20-W20</f>
        <v>0</v>
      </c>
      <c r="CR20" s="4">
        <f>CR19+BI20-X20</f>
        <v>0</v>
      </c>
      <c r="CS20" s="4">
        <f>CS19+BJ20-Y20</f>
        <v>0</v>
      </c>
      <c r="CT20" s="4">
        <f>CT19+BK20-Z20</f>
        <v>0</v>
      </c>
      <c r="CU20" s="4">
        <f>CU19+BL20-AA20</f>
        <v>-575</v>
      </c>
      <c r="CV20" s="4">
        <f>CV19+BM20-AB20</f>
        <v>-135</v>
      </c>
      <c r="CW20" s="4">
        <f>CW19+BN20-AC20</f>
        <v>0</v>
      </c>
      <c r="CX20" s="4">
        <f>CX19+BO20-AD20</f>
        <v>0</v>
      </c>
      <c r="CY20" s="4">
        <f>CY19+BP20-AE20</f>
        <v>0</v>
      </c>
      <c r="CZ20" s="4">
        <f>CZ19+BQ20-AF20</f>
        <v>-55</v>
      </c>
      <c r="DA20" s="4">
        <f>DA19+BR20-AG20</f>
        <v>0</v>
      </c>
      <c r="DB20" s="4">
        <f>DB19+BS20-AH20</f>
        <v>0</v>
      </c>
      <c r="DC20" s="4">
        <f>DC19+BT20-AI20</f>
        <v>0</v>
      </c>
      <c r="DD20" s="4">
        <f>DD19+BU20-AJ20</f>
        <v>-490</v>
      </c>
      <c r="DE20" s="4">
        <f>DE19+BV20-AK20</f>
        <v>-105</v>
      </c>
      <c r="DF20" s="4">
        <f>DF19+BW20-AL20</f>
        <v>0</v>
      </c>
      <c r="DG20" s="4">
        <f>DG19+BX20-AM20</f>
        <v>20</v>
      </c>
      <c r="DH20" s="4">
        <f>DH19+BY20-AN20</f>
        <v>0</v>
      </c>
    </row>
    <row r="21" spans="1:112" x14ac:dyDescent="0.25">
      <c r="A21" s="6">
        <v>46180</v>
      </c>
      <c r="B21" s="7">
        <v>8.3333333292102907E-2</v>
      </c>
      <c r="C21" s="3" t="s">
        <v>3</v>
      </c>
      <c r="D21" s="3" t="s">
        <v>6</v>
      </c>
      <c r="E21" s="3" t="s">
        <v>2</v>
      </c>
      <c r="F21" s="13">
        <f>SUM(IFERROR(VLOOKUP($C:$C,Structure!$A:$AJ,F$1,0)*15,0),IFERROR(VLOOKUP($D:$D,Structure!$A:$AJ,F$1,0)*15,0),IFERROR(VLOOKUP($E:$E,Structure!$A:$AJ,F$1,0)*15,0))</f>
        <v>0</v>
      </c>
      <c r="G21" s="13">
        <f>SUM(IFERROR(VLOOKUP($C:$C,Structure!$A:$AJ,G$1,0)*15,0),IFERROR(VLOOKUP($D:$D,Structure!$A:$AJ,G$1,0)*15,0),IFERROR(VLOOKUP($E:$E,Structure!$A:$AJ,G$1,0)*15,0))</f>
        <v>0</v>
      </c>
      <c r="H21" s="13">
        <f>SUM(IFERROR(VLOOKUP($C:$C,Structure!$A:$AJ,H$1,0)*15,0),IFERROR(VLOOKUP($D:$D,Structure!$A:$AJ,H$1,0)*15,0),IFERROR(VLOOKUP($E:$E,Structure!$A:$AJ,H$1,0)*15,0))</f>
        <v>0</v>
      </c>
      <c r="I21" s="13">
        <f>SUM(IFERROR(VLOOKUP($C:$C,Structure!$A:$AJ,I$1,0)*15,0),IFERROR(VLOOKUP($D:$D,Structure!$A:$AJ,I$1,0)*15,0),IFERROR(VLOOKUP($E:$E,Structure!$A:$AJ,I$1,0)*15,0))</f>
        <v>0</v>
      </c>
      <c r="J21" s="13">
        <f>SUM(IFERROR(VLOOKUP($C:$C,Structure!$A:$AJ,J$1,0)*15,0),IFERROR(VLOOKUP($D:$D,Structure!$A:$AJ,J$1,0)*15,0),IFERROR(VLOOKUP($E:$E,Structure!$A:$AJ,J$1,0)*15,0))</f>
        <v>0</v>
      </c>
      <c r="K21" s="13">
        <f>SUM(IFERROR(VLOOKUP($C:$C,Structure!$A:$AJ,K$1,0)*15,0),IFERROR(VLOOKUP($D:$D,Structure!$A:$AJ,K$1,0)*15,0),IFERROR(VLOOKUP($E:$E,Structure!$A:$AJ,K$1,0)*15,0))</f>
        <v>0</v>
      </c>
      <c r="L21" s="13">
        <f>SUM(IFERROR(VLOOKUP($C:$C,Structure!$A:$AJ,L$1,0)*15,0),IFERROR(VLOOKUP($D:$D,Structure!$A:$AJ,L$1,0)*15,0),IFERROR(VLOOKUP($E:$E,Structure!$A:$AJ,L$1,0)*15,0))</f>
        <v>0</v>
      </c>
      <c r="M21" s="13">
        <f>SUM(IFERROR(VLOOKUP($C:$C,Structure!$A:$AJ,M$1,0)*15,0),IFERROR(VLOOKUP($D:$D,Structure!$A:$AJ,M$1,0)*15,0),IFERROR(VLOOKUP($E:$E,Structure!$A:$AJ,M$1,0)*15,0))</f>
        <v>0</v>
      </c>
      <c r="N21" s="13">
        <f>SUM(IFERROR(VLOOKUP($C:$C,Structure!$A:$AJ,N$1,0)*15,0),IFERROR(VLOOKUP($D:$D,Structure!$A:$AJ,N$1,0)*15,0),IFERROR(VLOOKUP($E:$E,Structure!$A:$AJ,N$1,0)*15,0))</f>
        <v>0</v>
      </c>
      <c r="O21" s="13">
        <f>SUM(IFERROR(VLOOKUP($C:$C,Structure!$A:$AJ,O$1,0)*15,0),IFERROR(VLOOKUP($D:$D,Structure!$A:$AJ,O$1,0)*15,0),IFERROR(VLOOKUP($E:$E,Structure!$A:$AJ,O$1,0)*15,0))</f>
        <v>0</v>
      </c>
      <c r="P21" s="13">
        <f>SUM(IFERROR(VLOOKUP($C:$C,Structure!$A:$AJ,P$1,0)*15,0),IFERROR(VLOOKUP($D:$D,Structure!$A:$AJ,P$1,0)*15,0),IFERROR(VLOOKUP($E:$E,Structure!$A:$AJ,P$1,0)*15,0))</f>
        <v>0</v>
      </c>
      <c r="Q21" s="13">
        <f>SUM(IFERROR(VLOOKUP($C:$C,Structure!$A:$AJ,Q$1,0)*15,0),IFERROR(VLOOKUP($D:$D,Structure!$A:$AJ,Q$1,0)*15,0),IFERROR(VLOOKUP($E:$E,Structure!$A:$AJ,Q$1,0)*15,0))</f>
        <v>0</v>
      </c>
      <c r="R21" s="13">
        <f>SUM(IFERROR(VLOOKUP($C:$C,Structure!$A:$AJ,R$1,0)*15,0),IFERROR(VLOOKUP($D:$D,Structure!$A:$AJ,R$1,0)*15,0),IFERROR(VLOOKUP($E:$E,Structure!$A:$AJ,R$1,0)*15,0))</f>
        <v>0</v>
      </c>
      <c r="S21" s="13">
        <f>SUM(IFERROR(VLOOKUP($C:$C,Structure!$A:$AJ,S$1,0)*15,0),IFERROR(VLOOKUP($D:$D,Structure!$A:$AJ,S$1,0)*15,0),IFERROR(VLOOKUP($E:$E,Structure!$A:$AJ,S$1,0)*15,0))</f>
        <v>0</v>
      </c>
      <c r="T21" s="13">
        <f>SUM(IFERROR(VLOOKUP($C:$C,Structure!$A:$AJ,T$1,0)*15,0),IFERROR(VLOOKUP($D:$D,Structure!$A:$AJ,T$1,0)*15,0),IFERROR(VLOOKUP($E:$E,Structure!$A:$AJ,T$1,0)*15,0))</f>
        <v>0</v>
      </c>
      <c r="U21" s="13">
        <f>SUM(IFERROR(VLOOKUP($C:$C,Structure!$A:$AJ,U$1,0)*15,0),IFERROR(VLOOKUP($D:$D,Structure!$A:$AJ,U$1,0)*15,0),IFERROR(VLOOKUP($E:$E,Structure!$A:$AJ,U$1,0)*15,0))</f>
        <v>0</v>
      </c>
      <c r="V21" s="13">
        <f>SUM(IFERROR(VLOOKUP($C:$C,Structure!$A:$AJ,V$1,0)*15,0),IFERROR(VLOOKUP($D:$D,Structure!$A:$AJ,V$1,0)*15,0),IFERROR(VLOOKUP($E:$E,Structure!$A:$AJ,V$1,0)*15,0))</f>
        <v>0</v>
      </c>
      <c r="W21" s="13">
        <f>SUM(IFERROR(VLOOKUP($C:$C,Structure!$A:$AJ,W$1,0)*15,0),IFERROR(VLOOKUP($D:$D,Structure!$A:$AJ,W$1,0)*15,0),IFERROR(VLOOKUP($E:$E,Structure!$A:$AJ,W$1,0)*15,0))</f>
        <v>0</v>
      </c>
      <c r="X21" s="13">
        <f>SUM(IFERROR(VLOOKUP($C:$C,Structure!$A:$AJ,X$1,0)*15,0),IFERROR(VLOOKUP($D:$D,Structure!$A:$AJ,X$1,0)*15,0),IFERROR(VLOOKUP($E:$E,Structure!$A:$AJ,X$1,0)*15,0))</f>
        <v>0</v>
      </c>
      <c r="Y21" s="13">
        <f>SUM(IFERROR(VLOOKUP($C:$C,Structure!$A:$AJ,Y$1,0)*15,0),IFERROR(VLOOKUP($D:$D,Structure!$A:$AJ,Y$1,0)*15,0),IFERROR(VLOOKUP($E:$E,Structure!$A:$AJ,Y$1,0)*15,0))</f>
        <v>0</v>
      </c>
      <c r="Z21" s="13">
        <f>SUM(IFERROR(VLOOKUP($C:$C,Structure!$A:$AJ,Z$1,0)*15,0),IFERROR(VLOOKUP($D:$D,Structure!$A:$AJ,Z$1,0)*15,0),IFERROR(VLOOKUP($E:$E,Structure!$A:$AJ,Z$1,0)*15,0))</f>
        <v>0</v>
      </c>
      <c r="AA21" s="13">
        <f>SUM(IFERROR(VLOOKUP($C:$C,Structure!$A:$AJ,AA$1,0)*15,0),IFERROR(VLOOKUP($D:$D,Structure!$A:$AJ,AA$1,0)*15,0),IFERROR(VLOOKUP($E:$E,Structure!$A:$AJ,AA$1,0)*15,0))</f>
        <v>45</v>
      </c>
      <c r="AB21" s="13">
        <f>SUM(IFERROR(VLOOKUP($C:$C,Structure!$A:$AJ,AB$1,0)*15,0),IFERROR(VLOOKUP($D:$D,Structure!$A:$AJ,AB$1,0)*15,0),IFERROR(VLOOKUP($E:$E,Structure!$A:$AJ,AB$1,0)*15,0))</f>
        <v>0</v>
      </c>
      <c r="AC21" s="13">
        <f>SUM(IFERROR(VLOOKUP($C:$C,Structure!$A:$AJ,AC$1,0)*15,0),IFERROR(VLOOKUP($D:$D,Structure!$A:$AJ,AC$1,0)*15,0),IFERROR(VLOOKUP($E:$E,Structure!$A:$AJ,AC$1,0)*15,0))</f>
        <v>0</v>
      </c>
      <c r="AD21" s="13">
        <f>SUM(IFERROR(VLOOKUP($C:$C,Structure!$A:$AJ,AD$1,0)*15,0),IFERROR(VLOOKUP($D:$D,Structure!$A:$AJ,AD$1,0)*15,0),IFERROR(VLOOKUP($E:$E,Structure!$A:$AJ,AD$1,0)*15,0))</f>
        <v>0</v>
      </c>
      <c r="AE21" s="13">
        <f>SUM(IFERROR(VLOOKUP($C:$C,Structure!$A:$AJ,AE$1,0)*15,0),IFERROR(VLOOKUP($D:$D,Structure!$A:$AJ,AE$1,0)*15,0),IFERROR(VLOOKUP($E:$E,Structure!$A:$AJ,AE$1,0)*15,0))</f>
        <v>0</v>
      </c>
      <c r="AF21" s="13">
        <f>SUM(IFERROR(VLOOKUP($C:$C,Structure!$A:$AJ,AF$1,0)*15,0),IFERROR(VLOOKUP($D:$D,Structure!$A:$AJ,AF$1,0)*15,0),IFERROR(VLOOKUP($E:$E,Structure!$A:$AJ,AF$1,0)*15,0))</f>
        <v>0</v>
      </c>
      <c r="AG21" s="13">
        <f>SUM(IFERROR(VLOOKUP($C:$C,Structure!$A:$AJ,AG$1,0)*15,0),IFERROR(VLOOKUP($D:$D,Structure!$A:$AJ,AG$1,0)*15,0),IFERROR(VLOOKUP($E:$E,Structure!$A:$AJ,AG$1,0)*15,0))</f>
        <v>0</v>
      </c>
      <c r="AH21" s="13">
        <f>SUM(IFERROR(VLOOKUP($C:$C,Structure!$A:$AJ,AH$1,0)*15,0),IFERROR(VLOOKUP($D:$D,Structure!$A:$AJ,AH$1,0)*15,0),IFERROR(VLOOKUP($E:$E,Structure!$A:$AJ,AH$1,0)*15,0))</f>
        <v>0</v>
      </c>
      <c r="AI21" s="13">
        <f>SUM(IFERROR(VLOOKUP($C:$C,Structure!$A:$AJ,AI$1,0)*15,0),IFERROR(VLOOKUP($D:$D,Structure!$A:$AJ,AI$1,0)*15,0),IFERROR(VLOOKUP($E:$E,Structure!$A:$AJ,AI$1,0)*15,0))</f>
        <v>0</v>
      </c>
      <c r="AJ21" s="13">
        <f>SUM(IFERROR(VLOOKUP($C:$C,Structure!$A:$AJ,AJ$1,0)*15,0),IFERROR(VLOOKUP($D:$D,Structure!$A:$AJ,AJ$1,0)*15,0),IFERROR(VLOOKUP($E:$E,Structure!$A:$AJ,AJ$1,0)*15,0))</f>
        <v>30</v>
      </c>
      <c r="AK21" s="13">
        <f>SUM(IFERROR(VLOOKUP($C:$C,Structure!$A:$AJ,AK$1,0)*15,0),IFERROR(VLOOKUP($D:$D,Structure!$A:$AJ,AK$1,0)*15,0),IFERROR(VLOOKUP($E:$E,Structure!$A:$AJ,AK$1,0)*15,0))</f>
        <v>15</v>
      </c>
      <c r="AL21" s="13">
        <f>SUM(IFERROR(VLOOKUP($C:$C,Structure!$A:$AJ,AL$1,0)*15,0),IFERROR(VLOOKUP($D:$D,Structure!$A:$AJ,AL$1,0)*15,0),IFERROR(VLOOKUP($E:$E,Structure!$A:$AJ,AL$1,0)*15,0))</f>
        <v>0</v>
      </c>
      <c r="AM21" s="13">
        <f>SUM(IFERROR(VLOOKUP($C:$C,Structure!$A:$AJ,AM$1,0)*15,0),IFERROR(VLOOKUP($D:$D,Structure!$A:$AJ,AM$1,0)*15,0),IFERROR(VLOOKUP($E:$E,Structure!$A:$AJ,AM$1,0)*15,0))</f>
        <v>0</v>
      </c>
      <c r="AN21" s="13">
        <f>SUM(IFERROR(VLOOKUP($C:$C,Structure!$A:$AJ,AN$1,0)*15,0),IFERROR(VLOOKUP($D:$D,Structure!$A:$AJ,AN$1,0)*15,0),IFERROR(VLOOKUP($E:$E,Structure!$A:$AJ,AN$1,0)*15,0))</f>
        <v>0</v>
      </c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3"/>
      <c r="BZ21" s="4">
        <f>BZ20+AQ21-F21</f>
        <v>0</v>
      </c>
      <c r="CA21" s="4">
        <f>CA20+AR21-G21</f>
        <v>0</v>
      </c>
      <c r="CB21" s="4">
        <f>CB20+AS21-H21</f>
        <v>0</v>
      </c>
      <c r="CC21" s="4">
        <f>CC20+AT21-I21</f>
        <v>0</v>
      </c>
      <c r="CD21" s="4">
        <f>CD20+AU21-J21</f>
        <v>0</v>
      </c>
      <c r="CE21" s="4">
        <f>CE20+AV21-K21</f>
        <v>0</v>
      </c>
      <c r="CF21" s="4">
        <f>CF20+AW21-L21</f>
        <v>0</v>
      </c>
      <c r="CG21" s="4">
        <f>CG20+AX21-M21</f>
        <v>0</v>
      </c>
      <c r="CH21" s="4">
        <f>CH20+AY21-N21</f>
        <v>0</v>
      </c>
      <c r="CI21" s="4">
        <f>CI20+AZ21-O21</f>
        <v>0</v>
      </c>
      <c r="CJ21" s="4">
        <f>CJ20+BA21-P21</f>
        <v>0</v>
      </c>
      <c r="CK21" s="4">
        <f>CK20+BB21-Q21</f>
        <v>0</v>
      </c>
      <c r="CL21" s="4">
        <f>CL20+BC21-R21</f>
        <v>0</v>
      </c>
      <c r="CM21" s="4">
        <f>CM20+BD21-S21</f>
        <v>0</v>
      </c>
      <c r="CN21" s="4">
        <f>CN20+BE21-T21</f>
        <v>0</v>
      </c>
      <c r="CO21" s="4">
        <f>CO20+BF21-U21</f>
        <v>0</v>
      </c>
      <c r="CP21" s="4">
        <f>CP20+BG21-V21</f>
        <v>0</v>
      </c>
      <c r="CQ21" s="4">
        <f>CQ20+BH21-W21</f>
        <v>0</v>
      </c>
      <c r="CR21" s="4">
        <f>CR20+BI21-X21</f>
        <v>0</v>
      </c>
      <c r="CS21" s="4">
        <f>CS20+BJ21-Y21</f>
        <v>0</v>
      </c>
      <c r="CT21" s="4">
        <f>CT20+BK21-Z21</f>
        <v>0</v>
      </c>
      <c r="CU21" s="4">
        <f>CU20+BL21-AA21</f>
        <v>-620</v>
      </c>
      <c r="CV21" s="4">
        <f>CV20+BM21-AB21</f>
        <v>-135</v>
      </c>
      <c r="CW21" s="4">
        <f>CW20+BN21-AC21</f>
        <v>0</v>
      </c>
      <c r="CX21" s="4">
        <f>CX20+BO21-AD21</f>
        <v>0</v>
      </c>
      <c r="CY21" s="4">
        <f>CY20+BP21-AE21</f>
        <v>0</v>
      </c>
      <c r="CZ21" s="4">
        <f>CZ20+BQ21-AF21</f>
        <v>-55</v>
      </c>
      <c r="DA21" s="4">
        <f>DA20+BR21-AG21</f>
        <v>0</v>
      </c>
      <c r="DB21" s="4">
        <f>DB20+BS21-AH21</f>
        <v>0</v>
      </c>
      <c r="DC21" s="4">
        <f>DC20+BT21-AI21</f>
        <v>0</v>
      </c>
      <c r="DD21" s="4">
        <f>DD20+BU21-AJ21</f>
        <v>-520</v>
      </c>
      <c r="DE21" s="4">
        <f>DE20+BV21-AK21</f>
        <v>-120</v>
      </c>
      <c r="DF21" s="4">
        <f>DF20+BW21-AL21</f>
        <v>0</v>
      </c>
      <c r="DG21" s="4">
        <f>DG20+BX21-AM21</f>
        <v>20</v>
      </c>
      <c r="DH21" s="4">
        <f>DH20+BY21-AN21</f>
        <v>0</v>
      </c>
    </row>
    <row r="22" spans="1:112" x14ac:dyDescent="0.25">
      <c r="A22" s="6">
        <v>46180</v>
      </c>
      <c r="B22" s="7">
        <v>0.12499999995634425</v>
      </c>
      <c r="C22" s="3" t="s">
        <v>3</v>
      </c>
      <c r="D22" s="3" t="s">
        <v>6</v>
      </c>
      <c r="E22" s="3" t="s">
        <v>2</v>
      </c>
      <c r="F22" s="13">
        <f>SUM(IFERROR(VLOOKUP($C:$C,Structure!$A:$AJ,F$1,0)*15,0),IFERROR(VLOOKUP($D:$D,Structure!$A:$AJ,F$1,0)*15,0),IFERROR(VLOOKUP($E:$E,Structure!$A:$AJ,F$1,0)*15,0))</f>
        <v>0</v>
      </c>
      <c r="G22" s="13">
        <f>SUM(IFERROR(VLOOKUP($C:$C,Structure!$A:$AJ,G$1,0)*15,0),IFERROR(VLOOKUP($D:$D,Structure!$A:$AJ,G$1,0)*15,0),IFERROR(VLOOKUP($E:$E,Structure!$A:$AJ,G$1,0)*15,0))</f>
        <v>0</v>
      </c>
      <c r="H22" s="13">
        <f>SUM(IFERROR(VLOOKUP($C:$C,Structure!$A:$AJ,H$1,0)*15,0),IFERROR(VLOOKUP($D:$D,Structure!$A:$AJ,H$1,0)*15,0),IFERROR(VLOOKUP($E:$E,Structure!$A:$AJ,H$1,0)*15,0))</f>
        <v>0</v>
      </c>
      <c r="I22" s="13">
        <f>SUM(IFERROR(VLOOKUP($C:$C,Structure!$A:$AJ,I$1,0)*15,0),IFERROR(VLOOKUP($D:$D,Structure!$A:$AJ,I$1,0)*15,0),IFERROR(VLOOKUP($E:$E,Structure!$A:$AJ,I$1,0)*15,0))</f>
        <v>0</v>
      </c>
      <c r="J22" s="13">
        <f>SUM(IFERROR(VLOOKUP($C:$C,Structure!$A:$AJ,J$1,0)*15,0),IFERROR(VLOOKUP($D:$D,Structure!$A:$AJ,J$1,0)*15,0),IFERROR(VLOOKUP($E:$E,Structure!$A:$AJ,J$1,0)*15,0))</f>
        <v>0</v>
      </c>
      <c r="K22" s="13">
        <f>SUM(IFERROR(VLOOKUP($C:$C,Structure!$A:$AJ,K$1,0)*15,0),IFERROR(VLOOKUP($D:$D,Structure!$A:$AJ,K$1,0)*15,0),IFERROR(VLOOKUP($E:$E,Structure!$A:$AJ,K$1,0)*15,0))</f>
        <v>0</v>
      </c>
      <c r="L22" s="13">
        <f>SUM(IFERROR(VLOOKUP($C:$C,Structure!$A:$AJ,L$1,0)*15,0),IFERROR(VLOOKUP($D:$D,Structure!$A:$AJ,L$1,0)*15,0),IFERROR(VLOOKUP($E:$E,Structure!$A:$AJ,L$1,0)*15,0))</f>
        <v>0</v>
      </c>
      <c r="M22" s="13">
        <f>SUM(IFERROR(VLOOKUP($C:$C,Structure!$A:$AJ,M$1,0)*15,0),IFERROR(VLOOKUP($D:$D,Structure!$A:$AJ,M$1,0)*15,0),IFERROR(VLOOKUP($E:$E,Structure!$A:$AJ,M$1,0)*15,0))</f>
        <v>0</v>
      </c>
      <c r="N22" s="13">
        <f>SUM(IFERROR(VLOOKUP($C:$C,Structure!$A:$AJ,N$1,0)*15,0),IFERROR(VLOOKUP($D:$D,Structure!$A:$AJ,N$1,0)*15,0),IFERROR(VLOOKUP($E:$E,Structure!$A:$AJ,N$1,0)*15,0))</f>
        <v>0</v>
      </c>
      <c r="O22" s="13">
        <f>SUM(IFERROR(VLOOKUP($C:$C,Structure!$A:$AJ,O$1,0)*15,0),IFERROR(VLOOKUP($D:$D,Structure!$A:$AJ,O$1,0)*15,0),IFERROR(VLOOKUP($E:$E,Structure!$A:$AJ,O$1,0)*15,0))</f>
        <v>0</v>
      </c>
      <c r="P22" s="13">
        <f>SUM(IFERROR(VLOOKUP($C:$C,Structure!$A:$AJ,P$1,0)*15,0),IFERROR(VLOOKUP($D:$D,Structure!$A:$AJ,P$1,0)*15,0),IFERROR(VLOOKUP($E:$E,Structure!$A:$AJ,P$1,0)*15,0))</f>
        <v>0</v>
      </c>
      <c r="Q22" s="13">
        <f>SUM(IFERROR(VLOOKUP($C:$C,Structure!$A:$AJ,Q$1,0)*15,0),IFERROR(VLOOKUP($D:$D,Structure!$A:$AJ,Q$1,0)*15,0),IFERROR(VLOOKUP($E:$E,Structure!$A:$AJ,Q$1,0)*15,0))</f>
        <v>0</v>
      </c>
      <c r="R22" s="13">
        <f>SUM(IFERROR(VLOOKUP($C:$C,Structure!$A:$AJ,R$1,0)*15,0),IFERROR(VLOOKUP($D:$D,Structure!$A:$AJ,R$1,0)*15,0),IFERROR(VLOOKUP($E:$E,Structure!$A:$AJ,R$1,0)*15,0))</f>
        <v>0</v>
      </c>
      <c r="S22" s="13">
        <f>SUM(IFERROR(VLOOKUP($C:$C,Structure!$A:$AJ,S$1,0)*15,0),IFERROR(VLOOKUP($D:$D,Structure!$A:$AJ,S$1,0)*15,0),IFERROR(VLOOKUP($E:$E,Structure!$A:$AJ,S$1,0)*15,0))</f>
        <v>0</v>
      </c>
      <c r="T22" s="13">
        <f>SUM(IFERROR(VLOOKUP($C:$C,Structure!$A:$AJ,T$1,0)*15,0),IFERROR(VLOOKUP($D:$D,Structure!$A:$AJ,T$1,0)*15,0),IFERROR(VLOOKUP($E:$E,Structure!$A:$AJ,T$1,0)*15,0))</f>
        <v>0</v>
      </c>
      <c r="U22" s="13">
        <f>SUM(IFERROR(VLOOKUP($C:$C,Structure!$A:$AJ,U$1,0)*15,0),IFERROR(VLOOKUP($D:$D,Structure!$A:$AJ,U$1,0)*15,0),IFERROR(VLOOKUP($E:$E,Structure!$A:$AJ,U$1,0)*15,0))</f>
        <v>0</v>
      </c>
      <c r="V22" s="13">
        <f>SUM(IFERROR(VLOOKUP($C:$C,Structure!$A:$AJ,V$1,0)*15,0),IFERROR(VLOOKUP($D:$D,Structure!$A:$AJ,V$1,0)*15,0),IFERROR(VLOOKUP($E:$E,Structure!$A:$AJ,V$1,0)*15,0))</f>
        <v>0</v>
      </c>
      <c r="W22" s="13">
        <f>SUM(IFERROR(VLOOKUP($C:$C,Structure!$A:$AJ,W$1,0)*15,0),IFERROR(VLOOKUP($D:$D,Structure!$A:$AJ,W$1,0)*15,0),IFERROR(VLOOKUP($E:$E,Structure!$A:$AJ,W$1,0)*15,0))</f>
        <v>0</v>
      </c>
      <c r="X22" s="13">
        <f>SUM(IFERROR(VLOOKUP($C:$C,Structure!$A:$AJ,X$1,0)*15,0),IFERROR(VLOOKUP($D:$D,Structure!$A:$AJ,X$1,0)*15,0),IFERROR(VLOOKUP($E:$E,Structure!$A:$AJ,X$1,0)*15,0))</f>
        <v>0</v>
      </c>
      <c r="Y22" s="13">
        <f>SUM(IFERROR(VLOOKUP($C:$C,Structure!$A:$AJ,Y$1,0)*15,0),IFERROR(VLOOKUP($D:$D,Structure!$A:$AJ,Y$1,0)*15,0),IFERROR(VLOOKUP($E:$E,Structure!$A:$AJ,Y$1,0)*15,0))</f>
        <v>0</v>
      </c>
      <c r="Z22" s="13">
        <f>SUM(IFERROR(VLOOKUP($C:$C,Structure!$A:$AJ,Z$1,0)*15,0),IFERROR(VLOOKUP($D:$D,Structure!$A:$AJ,Z$1,0)*15,0),IFERROR(VLOOKUP($E:$E,Structure!$A:$AJ,Z$1,0)*15,0))</f>
        <v>0</v>
      </c>
      <c r="AA22" s="13">
        <f>SUM(IFERROR(VLOOKUP($C:$C,Structure!$A:$AJ,AA$1,0)*15,0),IFERROR(VLOOKUP($D:$D,Structure!$A:$AJ,AA$1,0)*15,0),IFERROR(VLOOKUP($E:$E,Structure!$A:$AJ,AA$1,0)*15,0))</f>
        <v>45</v>
      </c>
      <c r="AB22" s="13">
        <f>SUM(IFERROR(VLOOKUP($C:$C,Structure!$A:$AJ,AB$1,0)*15,0),IFERROR(VLOOKUP($D:$D,Structure!$A:$AJ,AB$1,0)*15,0),IFERROR(VLOOKUP($E:$E,Structure!$A:$AJ,AB$1,0)*15,0))</f>
        <v>0</v>
      </c>
      <c r="AC22" s="13">
        <f>SUM(IFERROR(VLOOKUP($C:$C,Structure!$A:$AJ,AC$1,0)*15,0),IFERROR(VLOOKUP($D:$D,Structure!$A:$AJ,AC$1,0)*15,0),IFERROR(VLOOKUP($E:$E,Structure!$A:$AJ,AC$1,0)*15,0))</f>
        <v>0</v>
      </c>
      <c r="AD22" s="13">
        <f>SUM(IFERROR(VLOOKUP($C:$C,Structure!$A:$AJ,AD$1,0)*15,0),IFERROR(VLOOKUP($D:$D,Structure!$A:$AJ,AD$1,0)*15,0),IFERROR(VLOOKUP($E:$E,Structure!$A:$AJ,AD$1,0)*15,0))</f>
        <v>0</v>
      </c>
      <c r="AE22" s="13">
        <f>SUM(IFERROR(VLOOKUP($C:$C,Structure!$A:$AJ,AE$1,0)*15,0),IFERROR(VLOOKUP($D:$D,Structure!$A:$AJ,AE$1,0)*15,0),IFERROR(VLOOKUP($E:$E,Structure!$A:$AJ,AE$1,0)*15,0))</f>
        <v>0</v>
      </c>
      <c r="AF22" s="13">
        <f>SUM(IFERROR(VLOOKUP($C:$C,Structure!$A:$AJ,AF$1,0)*15,0),IFERROR(VLOOKUP($D:$D,Structure!$A:$AJ,AF$1,0)*15,0),IFERROR(VLOOKUP($E:$E,Structure!$A:$AJ,AF$1,0)*15,0))</f>
        <v>0</v>
      </c>
      <c r="AG22" s="13">
        <f>SUM(IFERROR(VLOOKUP($C:$C,Structure!$A:$AJ,AG$1,0)*15,0),IFERROR(VLOOKUP($D:$D,Structure!$A:$AJ,AG$1,0)*15,0),IFERROR(VLOOKUP($E:$E,Structure!$A:$AJ,AG$1,0)*15,0))</f>
        <v>0</v>
      </c>
      <c r="AH22" s="13">
        <f>SUM(IFERROR(VLOOKUP($C:$C,Structure!$A:$AJ,AH$1,0)*15,0),IFERROR(VLOOKUP($D:$D,Structure!$A:$AJ,AH$1,0)*15,0),IFERROR(VLOOKUP($E:$E,Structure!$A:$AJ,AH$1,0)*15,0))</f>
        <v>0</v>
      </c>
      <c r="AI22" s="13">
        <f>SUM(IFERROR(VLOOKUP($C:$C,Structure!$A:$AJ,AI$1,0)*15,0),IFERROR(VLOOKUP($D:$D,Structure!$A:$AJ,AI$1,0)*15,0),IFERROR(VLOOKUP($E:$E,Structure!$A:$AJ,AI$1,0)*15,0))</f>
        <v>0</v>
      </c>
      <c r="AJ22" s="13">
        <f>SUM(IFERROR(VLOOKUP($C:$C,Structure!$A:$AJ,AJ$1,0)*15,0),IFERROR(VLOOKUP($D:$D,Structure!$A:$AJ,AJ$1,0)*15,0),IFERROR(VLOOKUP($E:$E,Structure!$A:$AJ,AJ$1,0)*15,0))</f>
        <v>30</v>
      </c>
      <c r="AK22" s="13">
        <f>SUM(IFERROR(VLOOKUP($C:$C,Structure!$A:$AJ,AK$1,0)*15,0),IFERROR(VLOOKUP($D:$D,Structure!$A:$AJ,AK$1,0)*15,0),IFERROR(VLOOKUP($E:$E,Structure!$A:$AJ,AK$1,0)*15,0))</f>
        <v>15</v>
      </c>
      <c r="AL22" s="13">
        <f>SUM(IFERROR(VLOOKUP($C:$C,Structure!$A:$AJ,AL$1,0)*15,0),IFERROR(VLOOKUP($D:$D,Structure!$A:$AJ,AL$1,0)*15,0),IFERROR(VLOOKUP($E:$E,Structure!$A:$AJ,AL$1,0)*15,0))</f>
        <v>0</v>
      </c>
      <c r="AM22" s="13">
        <f>SUM(IFERROR(VLOOKUP($C:$C,Structure!$A:$AJ,AM$1,0)*15,0),IFERROR(VLOOKUP($D:$D,Structure!$A:$AJ,AM$1,0)*15,0),IFERROR(VLOOKUP($E:$E,Structure!$A:$AJ,AM$1,0)*15,0))</f>
        <v>0</v>
      </c>
      <c r="AN22" s="13">
        <f>SUM(IFERROR(VLOOKUP($C:$C,Structure!$A:$AJ,AN$1,0)*15,0),IFERROR(VLOOKUP($D:$D,Structure!$A:$AJ,AN$1,0)*15,0),IFERROR(VLOOKUP($E:$E,Structure!$A:$AJ,AN$1,0)*15,0))</f>
        <v>0</v>
      </c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3"/>
      <c r="BZ22" s="4">
        <f>BZ21+AQ22-F22</f>
        <v>0</v>
      </c>
      <c r="CA22" s="4">
        <f>CA21+AR22-G22</f>
        <v>0</v>
      </c>
      <c r="CB22" s="4">
        <f>CB21+AS22-H22</f>
        <v>0</v>
      </c>
      <c r="CC22" s="4">
        <f>CC21+AT22-I22</f>
        <v>0</v>
      </c>
      <c r="CD22" s="4">
        <f>CD21+AU22-J22</f>
        <v>0</v>
      </c>
      <c r="CE22" s="4">
        <f>CE21+AV22-K22</f>
        <v>0</v>
      </c>
      <c r="CF22" s="4">
        <f>CF21+AW22-L22</f>
        <v>0</v>
      </c>
      <c r="CG22" s="4">
        <f>CG21+AX22-M22</f>
        <v>0</v>
      </c>
      <c r="CH22" s="4">
        <f>CH21+AY22-N22</f>
        <v>0</v>
      </c>
      <c r="CI22" s="4">
        <f>CI21+AZ22-O22</f>
        <v>0</v>
      </c>
      <c r="CJ22" s="4">
        <f>CJ21+BA22-P22</f>
        <v>0</v>
      </c>
      <c r="CK22" s="4">
        <f>CK21+BB22-Q22</f>
        <v>0</v>
      </c>
      <c r="CL22" s="4">
        <f>CL21+BC22-R22</f>
        <v>0</v>
      </c>
      <c r="CM22" s="4">
        <f>CM21+BD22-S22</f>
        <v>0</v>
      </c>
      <c r="CN22" s="4">
        <f>CN21+BE22-T22</f>
        <v>0</v>
      </c>
      <c r="CO22" s="4">
        <f>CO21+BF22-U22</f>
        <v>0</v>
      </c>
      <c r="CP22" s="4">
        <f>CP21+BG22-V22</f>
        <v>0</v>
      </c>
      <c r="CQ22" s="4">
        <f>CQ21+BH22-W22</f>
        <v>0</v>
      </c>
      <c r="CR22" s="4">
        <f>CR21+BI22-X22</f>
        <v>0</v>
      </c>
      <c r="CS22" s="4">
        <f>CS21+BJ22-Y22</f>
        <v>0</v>
      </c>
      <c r="CT22" s="4">
        <f>CT21+BK22-Z22</f>
        <v>0</v>
      </c>
      <c r="CU22" s="4">
        <f>CU21+BL22-AA22</f>
        <v>-665</v>
      </c>
      <c r="CV22" s="4">
        <f>CV21+BM22-AB22</f>
        <v>-135</v>
      </c>
      <c r="CW22" s="4">
        <f>CW21+BN22-AC22</f>
        <v>0</v>
      </c>
      <c r="CX22" s="4">
        <f>CX21+BO22-AD22</f>
        <v>0</v>
      </c>
      <c r="CY22" s="4">
        <f>CY21+BP22-AE22</f>
        <v>0</v>
      </c>
      <c r="CZ22" s="4">
        <f>CZ21+BQ22-AF22</f>
        <v>-55</v>
      </c>
      <c r="DA22" s="4">
        <f>DA21+BR22-AG22</f>
        <v>0</v>
      </c>
      <c r="DB22" s="4">
        <f>DB21+BS22-AH22</f>
        <v>0</v>
      </c>
      <c r="DC22" s="4">
        <f>DC21+BT22-AI22</f>
        <v>0</v>
      </c>
      <c r="DD22" s="4">
        <f>DD21+BU22-AJ22</f>
        <v>-550</v>
      </c>
      <c r="DE22" s="4">
        <f>DE21+BV22-AK22</f>
        <v>-135</v>
      </c>
      <c r="DF22" s="4">
        <f>DF21+BW22-AL22</f>
        <v>0</v>
      </c>
      <c r="DG22" s="4">
        <f>DG21+BX22-AM22</f>
        <v>20</v>
      </c>
      <c r="DH22" s="4">
        <f>DH21+BY22-AN22</f>
        <v>0</v>
      </c>
    </row>
    <row r="23" spans="1:112" x14ac:dyDescent="0.25">
      <c r="A23" s="6">
        <v>46180</v>
      </c>
      <c r="B23" s="7">
        <v>0.1666666666205856</v>
      </c>
      <c r="C23" s="3" t="s">
        <v>3</v>
      </c>
      <c r="D23" s="3" t="s">
        <v>6</v>
      </c>
      <c r="E23" s="3" t="s">
        <v>2</v>
      </c>
      <c r="F23" s="13">
        <f>SUM(IFERROR(VLOOKUP($C:$C,Structure!$A:$AJ,F$1,0)*15,0),IFERROR(VLOOKUP($D:$D,Structure!$A:$AJ,F$1,0)*15,0),IFERROR(VLOOKUP($E:$E,Structure!$A:$AJ,F$1,0)*15,0))</f>
        <v>0</v>
      </c>
      <c r="G23" s="13">
        <f>SUM(IFERROR(VLOOKUP($C:$C,Structure!$A:$AJ,G$1,0)*15,0),IFERROR(VLOOKUP($D:$D,Structure!$A:$AJ,G$1,0)*15,0),IFERROR(VLOOKUP($E:$E,Structure!$A:$AJ,G$1,0)*15,0))</f>
        <v>0</v>
      </c>
      <c r="H23" s="13">
        <f>SUM(IFERROR(VLOOKUP($C:$C,Structure!$A:$AJ,H$1,0)*15,0),IFERROR(VLOOKUP($D:$D,Structure!$A:$AJ,H$1,0)*15,0),IFERROR(VLOOKUP($E:$E,Structure!$A:$AJ,H$1,0)*15,0))</f>
        <v>0</v>
      </c>
      <c r="I23" s="13">
        <f>SUM(IFERROR(VLOOKUP($C:$C,Structure!$A:$AJ,I$1,0)*15,0),IFERROR(VLOOKUP($D:$D,Structure!$A:$AJ,I$1,0)*15,0),IFERROR(VLOOKUP($E:$E,Structure!$A:$AJ,I$1,0)*15,0))</f>
        <v>0</v>
      </c>
      <c r="J23" s="13">
        <f>SUM(IFERROR(VLOOKUP($C:$C,Structure!$A:$AJ,J$1,0)*15,0),IFERROR(VLOOKUP($D:$D,Structure!$A:$AJ,J$1,0)*15,0),IFERROR(VLOOKUP($E:$E,Structure!$A:$AJ,J$1,0)*15,0))</f>
        <v>0</v>
      </c>
      <c r="K23" s="13">
        <f>SUM(IFERROR(VLOOKUP($C:$C,Structure!$A:$AJ,K$1,0)*15,0),IFERROR(VLOOKUP($D:$D,Structure!$A:$AJ,K$1,0)*15,0),IFERROR(VLOOKUP($E:$E,Structure!$A:$AJ,K$1,0)*15,0))</f>
        <v>0</v>
      </c>
      <c r="L23" s="13">
        <f>SUM(IFERROR(VLOOKUP($C:$C,Structure!$A:$AJ,L$1,0)*15,0),IFERROR(VLOOKUP($D:$D,Structure!$A:$AJ,L$1,0)*15,0),IFERROR(VLOOKUP($E:$E,Structure!$A:$AJ,L$1,0)*15,0))</f>
        <v>0</v>
      </c>
      <c r="M23" s="13">
        <f>SUM(IFERROR(VLOOKUP($C:$C,Structure!$A:$AJ,M$1,0)*15,0),IFERROR(VLOOKUP($D:$D,Structure!$A:$AJ,M$1,0)*15,0),IFERROR(VLOOKUP($E:$E,Structure!$A:$AJ,M$1,0)*15,0))</f>
        <v>0</v>
      </c>
      <c r="N23" s="13">
        <f>SUM(IFERROR(VLOOKUP($C:$C,Structure!$A:$AJ,N$1,0)*15,0),IFERROR(VLOOKUP($D:$D,Structure!$A:$AJ,N$1,0)*15,0),IFERROR(VLOOKUP($E:$E,Structure!$A:$AJ,N$1,0)*15,0))</f>
        <v>0</v>
      </c>
      <c r="O23" s="13">
        <f>SUM(IFERROR(VLOOKUP($C:$C,Structure!$A:$AJ,O$1,0)*15,0),IFERROR(VLOOKUP($D:$D,Structure!$A:$AJ,O$1,0)*15,0),IFERROR(VLOOKUP($E:$E,Structure!$A:$AJ,O$1,0)*15,0))</f>
        <v>0</v>
      </c>
      <c r="P23" s="13">
        <f>SUM(IFERROR(VLOOKUP($C:$C,Structure!$A:$AJ,P$1,0)*15,0),IFERROR(VLOOKUP($D:$D,Structure!$A:$AJ,P$1,0)*15,0),IFERROR(VLOOKUP($E:$E,Structure!$A:$AJ,P$1,0)*15,0))</f>
        <v>0</v>
      </c>
      <c r="Q23" s="13">
        <f>SUM(IFERROR(VLOOKUP($C:$C,Structure!$A:$AJ,Q$1,0)*15,0),IFERROR(VLOOKUP($D:$D,Structure!$A:$AJ,Q$1,0)*15,0),IFERROR(VLOOKUP($E:$E,Structure!$A:$AJ,Q$1,0)*15,0))</f>
        <v>0</v>
      </c>
      <c r="R23" s="13">
        <f>SUM(IFERROR(VLOOKUP($C:$C,Structure!$A:$AJ,R$1,0)*15,0),IFERROR(VLOOKUP($D:$D,Structure!$A:$AJ,R$1,0)*15,0),IFERROR(VLOOKUP($E:$E,Structure!$A:$AJ,R$1,0)*15,0))</f>
        <v>0</v>
      </c>
      <c r="S23" s="13">
        <f>SUM(IFERROR(VLOOKUP($C:$C,Structure!$A:$AJ,S$1,0)*15,0),IFERROR(VLOOKUP($D:$D,Structure!$A:$AJ,S$1,0)*15,0),IFERROR(VLOOKUP($E:$E,Structure!$A:$AJ,S$1,0)*15,0))</f>
        <v>0</v>
      </c>
      <c r="T23" s="13">
        <f>SUM(IFERROR(VLOOKUP($C:$C,Structure!$A:$AJ,T$1,0)*15,0),IFERROR(VLOOKUP($D:$D,Structure!$A:$AJ,T$1,0)*15,0),IFERROR(VLOOKUP($E:$E,Structure!$A:$AJ,T$1,0)*15,0))</f>
        <v>0</v>
      </c>
      <c r="U23" s="13">
        <f>SUM(IFERROR(VLOOKUP($C:$C,Structure!$A:$AJ,U$1,0)*15,0),IFERROR(VLOOKUP($D:$D,Structure!$A:$AJ,U$1,0)*15,0),IFERROR(VLOOKUP($E:$E,Structure!$A:$AJ,U$1,0)*15,0))</f>
        <v>0</v>
      </c>
      <c r="V23" s="13">
        <f>SUM(IFERROR(VLOOKUP($C:$C,Structure!$A:$AJ,V$1,0)*15,0),IFERROR(VLOOKUP($D:$D,Structure!$A:$AJ,V$1,0)*15,0),IFERROR(VLOOKUP($E:$E,Structure!$A:$AJ,V$1,0)*15,0))</f>
        <v>0</v>
      </c>
      <c r="W23" s="13">
        <f>SUM(IFERROR(VLOOKUP($C:$C,Structure!$A:$AJ,W$1,0)*15,0),IFERROR(VLOOKUP($D:$D,Structure!$A:$AJ,W$1,0)*15,0),IFERROR(VLOOKUP($E:$E,Structure!$A:$AJ,W$1,0)*15,0))</f>
        <v>0</v>
      </c>
      <c r="X23" s="13">
        <f>SUM(IFERROR(VLOOKUP($C:$C,Structure!$A:$AJ,X$1,0)*15,0),IFERROR(VLOOKUP($D:$D,Structure!$A:$AJ,X$1,0)*15,0),IFERROR(VLOOKUP($E:$E,Structure!$A:$AJ,X$1,0)*15,0))</f>
        <v>0</v>
      </c>
      <c r="Y23" s="13">
        <f>SUM(IFERROR(VLOOKUP($C:$C,Structure!$A:$AJ,Y$1,0)*15,0),IFERROR(VLOOKUP($D:$D,Structure!$A:$AJ,Y$1,0)*15,0),IFERROR(VLOOKUP($E:$E,Structure!$A:$AJ,Y$1,0)*15,0))</f>
        <v>0</v>
      </c>
      <c r="Z23" s="13">
        <f>SUM(IFERROR(VLOOKUP($C:$C,Structure!$A:$AJ,Z$1,0)*15,0),IFERROR(VLOOKUP($D:$D,Structure!$A:$AJ,Z$1,0)*15,0),IFERROR(VLOOKUP($E:$E,Structure!$A:$AJ,Z$1,0)*15,0))</f>
        <v>0</v>
      </c>
      <c r="AA23" s="13">
        <f>SUM(IFERROR(VLOOKUP($C:$C,Structure!$A:$AJ,AA$1,0)*15,0),IFERROR(VLOOKUP($D:$D,Structure!$A:$AJ,AA$1,0)*15,0),IFERROR(VLOOKUP($E:$E,Structure!$A:$AJ,AA$1,0)*15,0))</f>
        <v>45</v>
      </c>
      <c r="AB23" s="13">
        <f>SUM(IFERROR(VLOOKUP($C:$C,Structure!$A:$AJ,AB$1,0)*15,0),IFERROR(VLOOKUP($D:$D,Structure!$A:$AJ,AB$1,0)*15,0),IFERROR(VLOOKUP($E:$E,Structure!$A:$AJ,AB$1,0)*15,0))</f>
        <v>0</v>
      </c>
      <c r="AC23" s="13">
        <f>SUM(IFERROR(VLOOKUP($C:$C,Structure!$A:$AJ,AC$1,0)*15,0),IFERROR(VLOOKUP($D:$D,Structure!$A:$AJ,AC$1,0)*15,0),IFERROR(VLOOKUP($E:$E,Structure!$A:$AJ,AC$1,0)*15,0))</f>
        <v>0</v>
      </c>
      <c r="AD23" s="13">
        <f>SUM(IFERROR(VLOOKUP($C:$C,Structure!$A:$AJ,AD$1,0)*15,0),IFERROR(VLOOKUP($D:$D,Structure!$A:$AJ,AD$1,0)*15,0),IFERROR(VLOOKUP($E:$E,Structure!$A:$AJ,AD$1,0)*15,0))</f>
        <v>0</v>
      </c>
      <c r="AE23" s="13">
        <f>SUM(IFERROR(VLOOKUP($C:$C,Structure!$A:$AJ,AE$1,0)*15,0),IFERROR(VLOOKUP($D:$D,Structure!$A:$AJ,AE$1,0)*15,0),IFERROR(VLOOKUP($E:$E,Structure!$A:$AJ,AE$1,0)*15,0))</f>
        <v>0</v>
      </c>
      <c r="AF23" s="13">
        <f>SUM(IFERROR(VLOOKUP($C:$C,Structure!$A:$AJ,AF$1,0)*15,0),IFERROR(VLOOKUP($D:$D,Structure!$A:$AJ,AF$1,0)*15,0),IFERROR(VLOOKUP($E:$E,Structure!$A:$AJ,AF$1,0)*15,0))</f>
        <v>0</v>
      </c>
      <c r="AG23" s="13">
        <f>SUM(IFERROR(VLOOKUP($C:$C,Structure!$A:$AJ,AG$1,0)*15,0),IFERROR(VLOOKUP($D:$D,Structure!$A:$AJ,AG$1,0)*15,0),IFERROR(VLOOKUP($E:$E,Structure!$A:$AJ,AG$1,0)*15,0))</f>
        <v>0</v>
      </c>
      <c r="AH23" s="13">
        <f>SUM(IFERROR(VLOOKUP($C:$C,Structure!$A:$AJ,AH$1,0)*15,0),IFERROR(VLOOKUP($D:$D,Structure!$A:$AJ,AH$1,0)*15,0),IFERROR(VLOOKUP($E:$E,Structure!$A:$AJ,AH$1,0)*15,0))</f>
        <v>0</v>
      </c>
      <c r="AI23" s="13">
        <f>SUM(IFERROR(VLOOKUP($C:$C,Structure!$A:$AJ,AI$1,0)*15,0),IFERROR(VLOOKUP($D:$D,Structure!$A:$AJ,AI$1,0)*15,0),IFERROR(VLOOKUP($E:$E,Structure!$A:$AJ,AI$1,0)*15,0))</f>
        <v>0</v>
      </c>
      <c r="AJ23" s="13">
        <f>SUM(IFERROR(VLOOKUP($C:$C,Structure!$A:$AJ,AJ$1,0)*15,0),IFERROR(VLOOKUP($D:$D,Structure!$A:$AJ,AJ$1,0)*15,0),IFERROR(VLOOKUP($E:$E,Structure!$A:$AJ,AJ$1,0)*15,0))</f>
        <v>30</v>
      </c>
      <c r="AK23" s="13">
        <f>SUM(IFERROR(VLOOKUP($C:$C,Structure!$A:$AJ,AK$1,0)*15,0),IFERROR(VLOOKUP($D:$D,Structure!$A:$AJ,AK$1,0)*15,0),IFERROR(VLOOKUP($E:$E,Structure!$A:$AJ,AK$1,0)*15,0))</f>
        <v>15</v>
      </c>
      <c r="AL23" s="13">
        <f>SUM(IFERROR(VLOOKUP($C:$C,Structure!$A:$AJ,AL$1,0)*15,0),IFERROR(VLOOKUP($D:$D,Structure!$A:$AJ,AL$1,0)*15,0),IFERROR(VLOOKUP($E:$E,Structure!$A:$AJ,AL$1,0)*15,0))</f>
        <v>0</v>
      </c>
      <c r="AM23" s="13">
        <f>SUM(IFERROR(VLOOKUP($C:$C,Structure!$A:$AJ,AM$1,0)*15,0),IFERROR(VLOOKUP($D:$D,Structure!$A:$AJ,AM$1,0)*15,0),IFERROR(VLOOKUP($E:$E,Structure!$A:$AJ,AM$1,0)*15,0))</f>
        <v>0</v>
      </c>
      <c r="AN23" s="13">
        <f>SUM(IFERROR(VLOOKUP($C:$C,Structure!$A:$AJ,AN$1,0)*15,0),IFERROR(VLOOKUP($D:$D,Structure!$A:$AJ,AN$1,0)*15,0),IFERROR(VLOOKUP($E:$E,Structure!$A:$AJ,AN$1,0)*15,0))</f>
        <v>0</v>
      </c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3"/>
      <c r="BZ23" s="4">
        <f>BZ22+AQ23-F23</f>
        <v>0</v>
      </c>
      <c r="CA23" s="4">
        <f>CA22+AR23-G23</f>
        <v>0</v>
      </c>
      <c r="CB23" s="4">
        <f>CB22+AS23-H23</f>
        <v>0</v>
      </c>
      <c r="CC23" s="4">
        <f>CC22+AT23-I23</f>
        <v>0</v>
      </c>
      <c r="CD23" s="4">
        <f>CD22+AU23-J23</f>
        <v>0</v>
      </c>
      <c r="CE23" s="4">
        <f>CE22+AV23-K23</f>
        <v>0</v>
      </c>
      <c r="CF23" s="4">
        <f>CF22+AW23-L23</f>
        <v>0</v>
      </c>
      <c r="CG23" s="4">
        <f>CG22+AX23-M23</f>
        <v>0</v>
      </c>
      <c r="CH23" s="4">
        <f>CH22+AY23-N23</f>
        <v>0</v>
      </c>
      <c r="CI23" s="4">
        <f>CI22+AZ23-O23</f>
        <v>0</v>
      </c>
      <c r="CJ23" s="4">
        <f>CJ22+BA23-P23</f>
        <v>0</v>
      </c>
      <c r="CK23" s="4">
        <f>CK22+BB23-Q23</f>
        <v>0</v>
      </c>
      <c r="CL23" s="4">
        <f>CL22+BC23-R23</f>
        <v>0</v>
      </c>
      <c r="CM23" s="4">
        <f>CM22+BD23-S23</f>
        <v>0</v>
      </c>
      <c r="CN23" s="4">
        <f>CN22+BE23-T23</f>
        <v>0</v>
      </c>
      <c r="CO23" s="4">
        <f>CO22+BF23-U23</f>
        <v>0</v>
      </c>
      <c r="CP23" s="4">
        <f>CP22+BG23-V23</f>
        <v>0</v>
      </c>
      <c r="CQ23" s="4">
        <f>CQ22+BH23-W23</f>
        <v>0</v>
      </c>
      <c r="CR23" s="4">
        <f>CR22+BI23-X23</f>
        <v>0</v>
      </c>
      <c r="CS23" s="4">
        <f>CS22+BJ23-Y23</f>
        <v>0</v>
      </c>
      <c r="CT23" s="4">
        <f>CT22+BK23-Z23</f>
        <v>0</v>
      </c>
      <c r="CU23" s="4">
        <f>CU22+BL23-AA23</f>
        <v>-710</v>
      </c>
      <c r="CV23" s="4">
        <f>CV22+BM23-AB23</f>
        <v>-135</v>
      </c>
      <c r="CW23" s="4">
        <f>CW22+BN23-AC23</f>
        <v>0</v>
      </c>
      <c r="CX23" s="4">
        <f>CX22+BO23-AD23</f>
        <v>0</v>
      </c>
      <c r="CY23" s="4">
        <f>CY22+BP23-AE23</f>
        <v>0</v>
      </c>
      <c r="CZ23" s="4">
        <f>CZ22+BQ23-AF23</f>
        <v>-55</v>
      </c>
      <c r="DA23" s="4">
        <f>DA22+BR23-AG23</f>
        <v>0</v>
      </c>
      <c r="DB23" s="4">
        <f>DB22+BS23-AH23</f>
        <v>0</v>
      </c>
      <c r="DC23" s="4">
        <f>DC22+BT23-AI23</f>
        <v>0</v>
      </c>
      <c r="DD23" s="4">
        <f>DD22+BU23-AJ23</f>
        <v>-580</v>
      </c>
      <c r="DE23" s="4">
        <f>DE22+BV23-AK23</f>
        <v>-150</v>
      </c>
      <c r="DF23" s="4">
        <f>DF22+BW23-AL23</f>
        <v>0</v>
      </c>
      <c r="DG23" s="4">
        <f>DG22+BX23-AM23</f>
        <v>20</v>
      </c>
      <c r="DH23" s="4">
        <f>DH22+BY23-AN23</f>
        <v>0</v>
      </c>
    </row>
    <row r="24" spans="1:112" x14ac:dyDescent="0.25">
      <c r="A24" s="6">
        <v>46180</v>
      </c>
      <c r="B24" s="7">
        <v>0.20833333328482695</v>
      </c>
      <c r="C24" s="3" t="s">
        <v>3</v>
      </c>
      <c r="D24" s="3" t="s">
        <v>6</v>
      </c>
      <c r="E24" s="3" t="s">
        <v>2</v>
      </c>
      <c r="F24" s="13">
        <f>SUM(IFERROR(VLOOKUP($C:$C,Structure!$A:$AJ,F$1,0)*15,0),IFERROR(VLOOKUP($D:$D,Structure!$A:$AJ,F$1,0)*15,0),IFERROR(VLOOKUP($E:$E,Structure!$A:$AJ,F$1,0)*15,0))</f>
        <v>0</v>
      </c>
      <c r="G24" s="13">
        <f>SUM(IFERROR(VLOOKUP($C:$C,Structure!$A:$AJ,G$1,0)*15,0),IFERROR(VLOOKUP($D:$D,Structure!$A:$AJ,G$1,0)*15,0),IFERROR(VLOOKUP($E:$E,Structure!$A:$AJ,G$1,0)*15,0))</f>
        <v>0</v>
      </c>
      <c r="H24" s="13">
        <f>SUM(IFERROR(VLOOKUP($C:$C,Structure!$A:$AJ,H$1,0)*15,0),IFERROR(VLOOKUP($D:$D,Structure!$A:$AJ,H$1,0)*15,0),IFERROR(VLOOKUP($E:$E,Structure!$A:$AJ,H$1,0)*15,0))</f>
        <v>0</v>
      </c>
      <c r="I24" s="13">
        <f>SUM(IFERROR(VLOOKUP($C:$C,Structure!$A:$AJ,I$1,0)*15,0),IFERROR(VLOOKUP($D:$D,Structure!$A:$AJ,I$1,0)*15,0),IFERROR(VLOOKUP($E:$E,Structure!$A:$AJ,I$1,0)*15,0))</f>
        <v>0</v>
      </c>
      <c r="J24" s="13">
        <f>SUM(IFERROR(VLOOKUP($C:$C,Structure!$A:$AJ,J$1,0)*15,0),IFERROR(VLOOKUP($D:$D,Structure!$A:$AJ,J$1,0)*15,0),IFERROR(VLOOKUP($E:$E,Structure!$A:$AJ,J$1,0)*15,0))</f>
        <v>0</v>
      </c>
      <c r="K24" s="13">
        <f>SUM(IFERROR(VLOOKUP($C:$C,Structure!$A:$AJ,K$1,0)*15,0),IFERROR(VLOOKUP($D:$D,Structure!$A:$AJ,K$1,0)*15,0),IFERROR(VLOOKUP($E:$E,Structure!$A:$AJ,K$1,0)*15,0))</f>
        <v>0</v>
      </c>
      <c r="L24" s="13">
        <f>SUM(IFERROR(VLOOKUP($C:$C,Structure!$A:$AJ,L$1,0)*15,0),IFERROR(VLOOKUP($D:$D,Structure!$A:$AJ,L$1,0)*15,0),IFERROR(VLOOKUP($E:$E,Structure!$A:$AJ,L$1,0)*15,0))</f>
        <v>0</v>
      </c>
      <c r="M24" s="13">
        <f>SUM(IFERROR(VLOOKUP($C:$C,Structure!$A:$AJ,M$1,0)*15,0),IFERROR(VLOOKUP($D:$D,Structure!$A:$AJ,M$1,0)*15,0),IFERROR(VLOOKUP($E:$E,Structure!$A:$AJ,M$1,0)*15,0))</f>
        <v>0</v>
      </c>
      <c r="N24" s="13">
        <f>SUM(IFERROR(VLOOKUP($C:$C,Structure!$A:$AJ,N$1,0)*15,0),IFERROR(VLOOKUP($D:$D,Structure!$A:$AJ,N$1,0)*15,0),IFERROR(VLOOKUP($E:$E,Structure!$A:$AJ,N$1,0)*15,0))</f>
        <v>0</v>
      </c>
      <c r="O24" s="13">
        <f>SUM(IFERROR(VLOOKUP($C:$C,Structure!$A:$AJ,O$1,0)*15,0),IFERROR(VLOOKUP($D:$D,Structure!$A:$AJ,O$1,0)*15,0),IFERROR(VLOOKUP($E:$E,Structure!$A:$AJ,O$1,0)*15,0))</f>
        <v>0</v>
      </c>
      <c r="P24" s="13">
        <f>SUM(IFERROR(VLOOKUP($C:$C,Structure!$A:$AJ,P$1,0)*15,0),IFERROR(VLOOKUP($D:$D,Structure!$A:$AJ,P$1,0)*15,0),IFERROR(VLOOKUP($E:$E,Structure!$A:$AJ,P$1,0)*15,0))</f>
        <v>0</v>
      </c>
      <c r="Q24" s="13">
        <f>SUM(IFERROR(VLOOKUP($C:$C,Structure!$A:$AJ,Q$1,0)*15,0),IFERROR(VLOOKUP($D:$D,Structure!$A:$AJ,Q$1,0)*15,0),IFERROR(VLOOKUP($E:$E,Structure!$A:$AJ,Q$1,0)*15,0))</f>
        <v>0</v>
      </c>
      <c r="R24" s="13">
        <f>SUM(IFERROR(VLOOKUP($C:$C,Structure!$A:$AJ,R$1,0)*15,0),IFERROR(VLOOKUP($D:$D,Structure!$A:$AJ,R$1,0)*15,0),IFERROR(VLOOKUP($E:$E,Structure!$A:$AJ,R$1,0)*15,0))</f>
        <v>0</v>
      </c>
      <c r="S24" s="13">
        <f>SUM(IFERROR(VLOOKUP($C:$C,Structure!$A:$AJ,S$1,0)*15,0),IFERROR(VLOOKUP($D:$D,Structure!$A:$AJ,S$1,0)*15,0),IFERROR(VLOOKUP($E:$E,Structure!$A:$AJ,S$1,0)*15,0))</f>
        <v>0</v>
      </c>
      <c r="T24" s="13">
        <f>SUM(IFERROR(VLOOKUP($C:$C,Structure!$A:$AJ,T$1,0)*15,0),IFERROR(VLOOKUP($D:$D,Structure!$A:$AJ,T$1,0)*15,0),IFERROR(VLOOKUP($E:$E,Structure!$A:$AJ,T$1,0)*15,0))</f>
        <v>0</v>
      </c>
      <c r="U24" s="13">
        <f>SUM(IFERROR(VLOOKUP($C:$C,Structure!$A:$AJ,U$1,0)*15,0),IFERROR(VLOOKUP($D:$D,Structure!$A:$AJ,U$1,0)*15,0),IFERROR(VLOOKUP($E:$E,Structure!$A:$AJ,U$1,0)*15,0))</f>
        <v>0</v>
      </c>
      <c r="V24" s="13">
        <f>SUM(IFERROR(VLOOKUP($C:$C,Structure!$A:$AJ,V$1,0)*15,0),IFERROR(VLOOKUP($D:$D,Structure!$A:$AJ,V$1,0)*15,0),IFERROR(VLOOKUP($E:$E,Structure!$A:$AJ,V$1,0)*15,0))</f>
        <v>0</v>
      </c>
      <c r="W24" s="13">
        <f>SUM(IFERROR(VLOOKUP($C:$C,Structure!$A:$AJ,W$1,0)*15,0),IFERROR(VLOOKUP($D:$D,Structure!$A:$AJ,W$1,0)*15,0),IFERROR(VLOOKUP($E:$E,Structure!$A:$AJ,W$1,0)*15,0))</f>
        <v>0</v>
      </c>
      <c r="X24" s="13">
        <f>SUM(IFERROR(VLOOKUP($C:$C,Structure!$A:$AJ,X$1,0)*15,0),IFERROR(VLOOKUP($D:$D,Structure!$A:$AJ,X$1,0)*15,0),IFERROR(VLOOKUP($E:$E,Structure!$A:$AJ,X$1,0)*15,0))</f>
        <v>0</v>
      </c>
      <c r="Y24" s="13">
        <f>SUM(IFERROR(VLOOKUP($C:$C,Structure!$A:$AJ,Y$1,0)*15,0),IFERROR(VLOOKUP($D:$D,Structure!$A:$AJ,Y$1,0)*15,0),IFERROR(VLOOKUP($E:$E,Structure!$A:$AJ,Y$1,0)*15,0))</f>
        <v>0</v>
      </c>
      <c r="Z24" s="13">
        <f>SUM(IFERROR(VLOOKUP($C:$C,Structure!$A:$AJ,Z$1,0)*15,0),IFERROR(VLOOKUP($D:$D,Structure!$A:$AJ,Z$1,0)*15,0),IFERROR(VLOOKUP($E:$E,Structure!$A:$AJ,Z$1,0)*15,0))</f>
        <v>0</v>
      </c>
      <c r="AA24" s="13">
        <f>SUM(IFERROR(VLOOKUP($C:$C,Structure!$A:$AJ,AA$1,0)*15,0),IFERROR(VLOOKUP($D:$D,Structure!$A:$AJ,AA$1,0)*15,0),IFERROR(VLOOKUP($E:$E,Structure!$A:$AJ,AA$1,0)*15,0))</f>
        <v>45</v>
      </c>
      <c r="AB24" s="13">
        <f>SUM(IFERROR(VLOOKUP($C:$C,Structure!$A:$AJ,AB$1,0)*15,0),IFERROR(VLOOKUP($D:$D,Structure!$A:$AJ,AB$1,0)*15,0),IFERROR(VLOOKUP($E:$E,Structure!$A:$AJ,AB$1,0)*15,0))</f>
        <v>0</v>
      </c>
      <c r="AC24" s="13">
        <f>SUM(IFERROR(VLOOKUP($C:$C,Structure!$A:$AJ,AC$1,0)*15,0),IFERROR(VLOOKUP($D:$D,Structure!$A:$AJ,AC$1,0)*15,0),IFERROR(VLOOKUP($E:$E,Structure!$A:$AJ,AC$1,0)*15,0))</f>
        <v>0</v>
      </c>
      <c r="AD24" s="13">
        <f>SUM(IFERROR(VLOOKUP($C:$C,Structure!$A:$AJ,AD$1,0)*15,0),IFERROR(VLOOKUP($D:$D,Structure!$A:$AJ,AD$1,0)*15,0),IFERROR(VLOOKUP($E:$E,Structure!$A:$AJ,AD$1,0)*15,0))</f>
        <v>0</v>
      </c>
      <c r="AE24" s="13">
        <f>SUM(IFERROR(VLOOKUP($C:$C,Structure!$A:$AJ,AE$1,0)*15,0),IFERROR(VLOOKUP($D:$D,Structure!$A:$AJ,AE$1,0)*15,0),IFERROR(VLOOKUP($E:$E,Structure!$A:$AJ,AE$1,0)*15,0))</f>
        <v>0</v>
      </c>
      <c r="AF24" s="13">
        <f>SUM(IFERROR(VLOOKUP($C:$C,Structure!$A:$AJ,AF$1,0)*15,0),IFERROR(VLOOKUP($D:$D,Structure!$A:$AJ,AF$1,0)*15,0),IFERROR(VLOOKUP($E:$E,Structure!$A:$AJ,AF$1,0)*15,0))</f>
        <v>0</v>
      </c>
      <c r="AG24" s="13">
        <f>SUM(IFERROR(VLOOKUP($C:$C,Structure!$A:$AJ,AG$1,0)*15,0),IFERROR(VLOOKUP($D:$D,Structure!$A:$AJ,AG$1,0)*15,0),IFERROR(VLOOKUP($E:$E,Structure!$A:$AJ,AG$1,0)*15,0))</f>
        <v>0</v>
      </c>
      <c r="AH24" s="13">
        <f>SUM(IFERROR(VLOOKUP($C:$C,Structure!$A:$AJ,AH$1,0)*15,0),IFERROR(VLOOKUP($D:$D,Structure!$A:$AJ,AH$1,0)*15,0),IFERROR(VLOOKUP($E:$E,Structure!$A:$AJ,AH$1,0)*15,0))</f>
        <v>0</v>
      </c>
      <c r="AI24" s="13">
        <f>SUM(IFERROR(VLOOKUP($C:$C,Structure!$A:$AJ,AI$1,0)*15,0),IFERROR(VLOOKUP($D:$D,Structure!$A:$AJ,AI$1,0)*15,0),IFERROR(VLOOKUP($E:$E,Structure!$A:$AJ,AI$1,0)*15,0))</f>
        <v>0</v>
      </c>
      <c r="AJ24" s="13">
        <f>SUM(IFERROR(VLOOKUP($C:$C,Structure!$A:$AJ,AJ$1,0)*15,0),IFERROR(VLOOKUP($D:$D,Structure!$A:$AJ,AJ$1,0)*15,0),IFERROR(VLOOKUP($E:$E,Structure!$A:$AJ,AJ$1,0)*15,0))</f>
        <v>30</v>
      </c>
      <c r="AK24" s="13">
        <f>SUM(IFERROR(VLOOKUP($C:$C,Structure!$A:$AJ,AK$1,0)*15,0),IFERROR(VLOOKUP($D:$D,Structure!$A:$AJ,AK$1,0)*15,0),IFERROR(VLOOKUP($E:$E,Structure!$A:$AJ,AK$1,0)*15,0))</f>
        <v>15</v>
      </c>
      <c r="AL24" s="13">
        <f>SUM(IFERROR(VLOOKUP($C:$C,Structure!$A:$AJ,AL$1,0)*15,0),IFERROR(VLOOKUP($D:$D,Structure!$A:$AJ,AL$1,0)*15,0),IFERROR(VLOOKUP($E:$E,Structure!$A:$AJ,AL$1,0)*15,0))</f>
        <v>0</v>
      </c>
      <c r="AM24" s="13">
        <f>SUM(IFERROR(VLOOKUP($C:$C,Structure!$A:$AJ,AM$1,0)*15,0),IFERROR(VLOOKUP($D:$D,Structure!$A:$AJ,AM$1,0)*15,0),IFERROR(VLOOKUP($E:$E,Structure!$A:$AJ,AM$1,0)*15,0))</f>
        <v>0</v>
      </c>
      <c r="AN24" s="13">
        <f>SUM(IFERROR(VLOOKUP($C:$C,Structure!$A:$AJ,AN$1,0)*15,0),IFERROR(VLOOKUP($D:$D,Structure!$A:$AJ,AN$1,0)*15,0),IFERROR(VLOOKUP($E:$E,Structure!$A:$AJ,AN$1,0)*15,0))</f>
        <v>0</v>
      </c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3"/>
      <c r="BZ24" s="4">
        <f>BZ23+AQ24-F24</f>
        <v>0</v>
      </c>
      <c r="CA24" s="4">
        <f>CA23+AR24-G24</f>
        <v>0</v>
      </c>
      <c r="CB24" s="4">
        <f>CB23+AS24-H24</f>
        <v>0</v>
      </c>
      <c r="CC24" s="4">
        <f>CC23+AT24-I24</f>
        <v>0</v>
      </c>
      <c r="CD24" s="4">
        <f>CD23+AU24-J24</f>
        <v>0</v>
      </c>
      <c r="CE24" s="4">
        <f>CE23+AV24-K24</f>
        <v>0</v>
      </c>
      <c r="CF24" s="4">
        <f>CF23+AW24-L24</f>
        <v>0</v>
      </c>
      <c r="CG24" s="4">
        <f>CG23+AX24-M24</f>
        <v>0</v>
      </c>
      <c r="CH24" s="4">
        <f>CH23+AY24-N24</f>
        <v>0</v>
      </c>
      <c r="CI24" s="4">
        <f>CI23+AZ24-O24</f>
        <v>0</v>
      </c>
      <c r="CJ24" s="4">
        <f>CJ23+BA24-P24</f>
        <v>0</v>
      </c>
      <c r="CK24" s="4">
        <f>CK23+BB24-Q24</f>
        <v>0</v>
      </c>
      <c r="CL24" s="4">
        <f>CL23+BC24-R24</f>
        <v>0</v>
      </c>
      <c r="CM24" s="4">
        <f>CM23+BD24-S24</f>
        <v>0</v>
      </c>
      <c r="CN24" s="4">
        <f>CN23+BE24-T24</f>
        <v>0</v>
      </c>
      <c r="CO24" s="4">
        <f>CO23+BF24-U24</f>
        <v>0</v>
      </c>
      <c r="CP24" s="4">
        <f>CP23+BG24-V24</f>
        <v>0</v>
      </c>
      <c r="CQ24" s="4">
        <f>CQ23+BH24-W24</f>
        <v>0</v>
      </c>
      <c r="CR24" s="4">
        <f>CR23+BI24-X24</f>
        <v>0</v>
      </c>
      <c r="CS24" s="4">
        <f>CS23+BJ24-Y24</f>
        <v>0</v>
      </c>
      <c r="CT24" s="4">
        <f>CT23+BK24-Z24</f>
        <v>0</v>
      </c>
      <c r="CU24" s="4">
        <f>CU23+BL24-AA24</f>
        <v>-755</v>
      </c>
      <c r="CV24" s="4">
        <f>CV23+BM24-AB24</f>
        <v>-135</v>
      </c>
      <c r="CW24" s="4">
        <f>CW23+BN24-AC24</f>
        <v>0</v>
      </c>
      <c r="CX24" s="4">
        <f>CX23+BO24-AD24</f>
        <v>0</v>
      </c>
      <c r="CY24" s="4">
        <f>CY23+BP24-AE24</f>
        <v>0</v>
      </c>
      <c r="CZ24" s="4">
        <f>CZ23+BQ24-AF24</f>
        <v>-55</v>
      </c>
      <c r="DA24" s="4">
        <f>DA23+BR24-AG24</f>
        <v>0</v>
      </c>
      <c r="DB24" s="4">
        <f>DB23+BS24-AH24</f>
        <v>0</v>
      </c>
      <c r="DC24" s="4">
        <f>DC23+BT24-AI24</f>
        <v>0</v>
      </c>
      <c r="DD24" s="4">
        <f>DD23+BU24-AJ24</f>
        <v>-610</v>
      </c>
      <c r="DE24" s="4">
        <f>DE23+BV24-AK24</f>
        <v>-165</v>
      </c>
      <c r="DF24" s="4">
        <f>DF23+BW24-AL24</f>
        <v>0</v>
      </c>
      <c r="DG24" s="4">
        <f>DG23+BX24-AM24</f>
        <v>20</v>
      </c>
      <c r="DH24" s="4">
        <f>DH23+BY24-AN24</f>
        <v>0</v>
      </c>
    </row>
    <row r="25" spans="1:112" x14ac:dyDescent="0.25">
      <c r="A25" s="6">
        <v>46180</v>
      </c>
      <c r="B25" s="7">
        <v>0.2499999999490683</v>
      </c>
      <c r="C25" s="3" t="s">
        <v>3</v>
      </c>
      <c r="D25" s="3" t="s">
        <v>6</v>
      </c>
      <c r="E25" s="3" t="s">
        <v>2</v>
      </c>
      <c r="F25" s="13">
        <f>SUM(IFERROR(VLOOKUP($C:$C,Structure!$A:$AJ,F$1,0)*15,0),IFERROR(VLOOKUP($D:$D,Structure!$A:$AJ,F$1,0)*15,0),IFERROR(VLOOKUP($E:$E,Structure!$A:$AJ,F$1,0)*15,0))</f>
        <v>0</v>
      </c>
      <c r="G25" s="13">
        <f>SUM(IFERROR(VLOOKUP($C:$C,Structure!$A:$AJ,G$1,0)*15,0),IFERROR(VLOOKUP($D:$D,Structure!$A:$AJ,G$1,0)*15,0),IFERROR(VLOOKUP($E:$E,Structure!$A:$AJ,G$1,0)*15,0))</f>
        <v>0</v>
      </c>
      <c r="H25" s="13">
        <f>SUM(IFERROR(VLOOKUP($C:$C,Structure!$A:$AJ,H$1,0)*15,0),IFERROR(VLOOKUP($D:$D,Structure!$A:$AJ,H$1,0)*15,0),IFERROR(VLOOKUP($E:$E,Structure!$A:$AJ,H$1,0)*15,0))</f>
        <v>0</v>
      </c>
      <c r="I25" s="13">
        <f>SUM(IFERROR(VLOOKUP($C:$C,Structure!$A:$AJ,I$1,0)*15,0),IFERROR(VLOOKUP($D:$D,Structure!$A:$AJ,I$1,0)*15,0),IFERROR(VLOOKUP($E:$E,Structure!$A:$AJ,I$1,0)*15,0))</f>
        <v>0</v>
      </c>
      <c r="J25" s="13">
        <f>SUM(IFERROR(VLOOKUP($C:$C,Structure!$A:$AJ,J$1,0)*15,0),IFERROR(VLOOKUP($D:$D,Structure!$A:$AJ,J$1,0)*15,0),IFERROR(VLOOKUP($E:$E,Structure!$A:$AJ,J$1,0)*15,0))</f>
        <v>0</v>
      </c>
      <c r="K25" s="13">
        <f>SUM(IFERROR(VLOOKUP($C:$C,Structure!$A:$AJ,K$1,0)*15,0),IFERROR(VLOOKUP($D:$D,Structure!$A:$AJ,K$1,0)*15,0),IFERROR(VLOOKUP($E:$E,Structure!$A:$AJ,K$1,0)*15,0))</f>
        <v>0</v>
      </c>
      <c r="L25" s="13">
        <f>SUM(IFERROR(VLOOKUP($C:$C,Structure!$A:$AJ,L$1,0)*15,0),IFERROR(VLOOKUP($D:$D,Structure!$A:$AJ,L$1,0)*15,0),IFERROR(VLOOKUP($E:$E,Structure!$A:$AJ,L$1,0)*15,0))</f>
        <v>0</v>
      </c>
      <c r="M25" s="13">
        <f>SUM(IFERROR(VLOOKUP($C:$C,Structure!$A:$AJ,M$1,0)*15,0),IFERROR(VLOOKUP($D:$D,Structure!$A:$AJ,M$1,0)*15,0),IFERROR(VLOOKUP($E:$E,Structure!$A:$AJ,M$1,0)*15,0))</f>
        <v>0</v>
      </c>
      <c r="N25" s="13">
        <f>SUM(IFERROR(VLOOKUP($C:$C,Structure!$A:$AJ,N$1,0)*15,0),IFERROR(VLOOKUP($D:$D,Structure!$A:$AJ,N$1,0)*15,0),IFERROR(VLOOKUP($E:$E,Structure!$A:$AJ,N$1,0)*15,0))</f>
        <v>0</v>
      </c>
      <c r="O25" s="13">
        <f>SUM(IFERROR(VLOOKUP($C:$C,Structure!$A:$AJ,O$1,0)*15,0),IFERROR(VLOOKUP($D:$D,Structure!$A:$AJ,O$1,0)*15,0),IFERROR(VLOOKUP($E:$E,Structure!$A:$AJ,O$1,0)*15,0))</f>
        <v>0</v>
      </c>
      <c r="P25" s="13">
        <f>SUM(IFERROR(VLOOKUP($C:$C,Structure!$A:$AJ,P$1,0)*15,0),IFERROR(VLOOKUP($D:$D,Structure!$A:$AJ,P$1,0)*15,0),IFERROR(VLOOKUP($E:$E,Structure!$A:$AJ,P$1,0)*15,0))</f>
        <v>0</v>
      </c>
      <c r="Q25" s="13">
        <f>SUM(IFERROR(VLOOKUP($C:$C,Structure!$A:$AJ,Q$1,0)*15,0),IFERROR(VLOOKUP($D:$D,Structure!$A:$AJ,Q$1,0)*15,0),IFERROR(VLOOKUP($E:$E,Structure!$A:$AJ,Q$1,0)*15,0))</f>
        <v>0</v>
      </c>
      <c r="R25" s="13">
        <f>SUM(IFERROR(VLOOKUP($C:$C,Structure!$A:$AJ,R$1,0)*15,0),IFERROR(VLOOKUP($D:$D,Structure!$A:$AJ,R$1,0)*15,0),IFERROR(VLOOKUP($E:$E,Structure!$A:$AJ,R$1,0)*15,0))</f>
        <v>0</v>
      </c>
      <c r="S25" s="13">
        <f>SUM(IFERROR(VLOOKUP($C:$C,Structure!$A:$AJ,S$1,0)*15,0),IFERROR(VLOOKUP($D:$D,Structure!$A:$AJ,S$1,0)*15,0),IFERROR(VLOOKUP($E:$E,Structure!$A:$AJ,S$1,0)*15,0))</f>
        <v>0</v>
      </c>
      <c r="T25" s="13">
        <f>SUM(IFERROR(VLOOKUP($C:$C,Structure!$A:$AJ,T$1,0)*15,0),IFERROR(VLOOKUP($D:$D,Structure!$A:$AJ,T$1,0)*15,0),IFERROR(VLOOKUP($E:$E,Structure!$A:$AJ,T$1,0)*15,0))</f>
        <v>0</v>
      </c>
      <c r="U25" s="13">
        <f>SUM(IFERROR(VLOOKUP($C:$C,Structure!$A:$AJ,U$1,0)*15,0),IFERROR(VLOOKUP($D:$D,Structure!$A:$AJ,U$1,0)*15,0),IFERROR(VLOOKUP($E:$E,Structure!$A:$AJ,U$1,0)*15,0))</f>
        <v>0</v>
      </c>
      <c r="V25" s="13">
        <f>SUM(IFERROR(VLOOKUP($C:$C,Structure!$A:$AJ,V$1,0)*15,0),IFERROR(VLOOKUP($D:$D,Structure!$A:$AJ,V$1,0)*15,0),IFERROR(VLOOKUP($E:$E,Structure!$A:$AJ,V$1,0)*15,0))</f>
        <v>0</v>
      </c>
      <c r="W25" s="13">
        <f>SUM(IFERROR(VLOOKUP($C:$C,Structure!$A:$AJ,W$1,0)*15,0),IFERROR(VLOOKUP($D:$D,Structure!$A:$AJ,W$1,0)*15,0),IFERROR(VLOOKUP($E:$E,Structure!$A:$AJ,W$1,0)*15,0))</f>
        <v>0</v>
      </c>
      <c r="X25" s="13">
        <f>SUM(IFERROR(VLOOKUP($C:$C,Structure!$A:$AJ,X$1,0)*15,0),IFERROR(VLOOKUP($D:$D,Structure!$A:$AJ,X$1,0)*15,0),IFERROR(VLOOKUP($E:$E,Structure!$A:$AJ,X$1,0)*15,0))</f>
        <v>0</v>
      </c>
      <c r="Y25" s="13">
        <f>SUM(IFERROR(VLOOKUP($C:$C,Structure!$A:$AJ,Y$1,0)*15,0),IFERROR(VLOOKUP($D:$D,Structure!$A:$AJ,Y$1,0)*15,0),IFERROR(VLOOKUP($E:$E,Structure!$A:$AJ,Y$1,0)*15,0))</f>
        <v>0</v>
      </c>
      <c r="Z25" s="13">
        <f>SUM(IFERROR(VLOOKUP($C:$C,Structure!$A:$AJ,Z$1,0)*15,0),IFERROR(VLOOKUP($D:$D,Structure!$A:$AJ,Z$1,0)*15,0),IFERROR(VLOOKUP($E:$E,Structure!$A:$AJ,Z$1,0)*15,0))</f>
        <v>0</v>
      </c>
      <c r="AA25" s="13">
        <f>SUM(IFERROR(VLOOKUP($C:$C,Structure!$A:$AJ,AA$1,0)*15,0),IFERROR(VLOOKUP($D:$D,Structure!$A:$AJ,AA$1,0)*15,0),IFERROR(VLOOKUP($E:$E,Structure!$A:$AJ,AA$1,0)*15,0))</f>
        <v>45</v>
      </c>
      <c r="AB25" s="13">
        <f>SUM(IFERROR(VLOOKUP($C:$C,Structure!$A:$AJ,AB$1,0)*15,0),IFERROR(VLOOKUP($D:$D,Structure!$A:$AJ,AB$1,0)*15,0),IFERROR(VLOOKUP($E:$E,Structure!$A:$AJ,AB$1,0)*15,0))</f>
        <v>0</v>
      </c>
      <c r="AC25" s="13">
        <f>SUM(IFERROR(VLOOKUP($C:$C,Structure!$A:$AJ,AC$1,0)*15,0),IFERROR(VLOOKUP($D:$D,Structure!$A:$AJ,AC$1,0)*15,0),IFERROR(VLOOKUP($E:$E,Structure!$A:$AJ,AC$1,0)*15,0))</f>
        <v>0</v>
      </c>
      <c r="AD25" s="13">
        <f>SUM(IFERROR(VLOOKUP($C:$C,Structure!$A:$AJ,AD$1,0)*15,0),IFERROR(VLOOKUP($D:$D,Structure!$A:$AJ,AD$1,0)*15,0),IFERROR(VLOOKUP($E:$E,Structure!$A:$AJ,AD$1,0)*15,0))</f>
        <v>0</v>
      </c>
      <c r="AE25" s="13">
        <f>SUM(IFERROR(VLOOKUP($C:$C,Structure!$A:$AJ,AE$1,0)*15,0),IFERROR(VLOOKUP($D:$D,Structure!$A:$AJ,AE$1,0)*15,0),IFERROR(VLOOKUP($E:$E,Structure!$A:$AJ,AE$1,0)*15,0))</f>
        <v>0</v>
      </c>
      <c r="AF25" s="13">
        <f>SUM(IFERROR(VLOOKUP($C:$C,Structure!$A:$AJ,AF$1,0)*15,0),IFERROR(VLOOKUP($D:$D,Structure!$A:$AJ,AF$1,0)*15,0),IFERROR(VLOOKUP($E:$E,Structure!$A:$AJ,AF$1,0)*15,0))</f>
        <v>0</v>
      </c>
      <c r="AG25" s="13">
        <f>SUM(IFERROR(VLOOKUP($C:$C,Structure!$A:$AJ,AG$1,0)*15,0),IFERROR(VLOOKUP($D:$D,Structure!$A:$AJ,AG$1,0)*15,0),IFERROR(VLOOKUP($E:$E,Structure!$A:$AJ,AG$1,0)*15,0))</f>
        <v>0</v>
      </c>
      <c r="AH25" s="13">
        <f>SUM(IFERROR(VLOOKUP($C:$C,Structure!$A:$AJ,AH$1,0)*15,0),IFERROR(VLOOKUP($D:$D,Structure!$A:$AJ,AH$1,0)*15,0),IFERROR(VLOOKUP($E:$E,Structure!$A:$AJ,AH$1,0)*15,0))</f>
        <v>0</v>
      </c>
      <c r="AI25" s="13">
        <f>SUM(IFERROR(VLOOKUP($C:$C,Structure!$A:$AJ,AI$1,0)*15,0),IFERROR(VLOOKUP($D:$D,Structure!$A:$AJ,AI$1,0)*15,0),IFERROR(VLOOKUP($E:$E,Structure!$A:$AJ,AI$1,0)*15,0))</f>
        <v>0</v>
      </c>
      <c r="AJ25" s="13">
        <f>SUM(IFERROR(VLOOKUP($C:$C,Structure!$A:$AJ,AJ$1,0)*15,0),IFERROR(VLOOKUP($D:$D,Structure!$A:$AJ,AJ$1,0)*15,0),IFERROR(VLOOKUP($E:$E,Structure!$A:$AJ,AJ$1,0)*15,0))</f>
        <v>30</v>
      </c>
      <c r="AK25" s="13">
        <f>SUM(IFERROR(VLOOKUP($C:$C,Structure!$A:$AJ,AK$1,0)*15,0),IFERROR(VLOOKUP($D:$D,Structure!$A:$AJ,AK$1,0)*15,0),IFERROR(VLOOKUP($E:$E,Structure!$A:$AJ,AK$1,0)*15,0))</f>
        <v>15</v>
      </c>
      <c r="AL25" s="13">
        <f>SUM(IFERROR(VLOOKUP($C:$C,Structure!$A:$AJ,AL$1,0)*15,0),IFERROR(VLOOKUP($D:$D,Structure!$A:$AJ,AL$1,0)*15,0),IFERROR(VLOOKUP($E:$E,Structure!$A:$AJ,AL$1,0)*15,0))</f>
        <v>0</v>
      </c>
      <c r="AM25" s="13">
        <f>SUM(IFERROR(VLOOKUP($C:$C,Structure!$A:$AJ,AM$1,0)*15,0),IFERROR(VLOOKUP($D:$D,Structure!$A:$AJ,AM$1,0)*15,0),IFERROR(VLOOKUP($E:$E,Structure!$A:$AJ,AM$1,0)*15,0))</f>
        <v>0</v>
      </c>
      <c r="AN25" s="13">
        <f>SUM(IFERROR(VLOOKUP($C:$C,Structure!$A:$AJ,AN$1,0)*15,0),IFERROR(VLOOKUP($D:$D,Structure!$A:$AJ,AN$1,0)*15,0),IFERROR(VLOOKUP($E:$E,Structure!$A:$AJ,AN$1,0)*15,0))</f>
        <v>0</v>
      </c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3"/>
      <c r="BZ25" s="4">
        <f>BZ24+AQ25-F25</f>
        <v>0</v>
      </c>
      <c r="CA25" s="4">
        <f>CA24+AR25-G25</f>
        <v>0</v>
      </c>
      <c r="CB25" s="4">
        <f>CB24+AS25-H25</f>
        <v>0</v>
      </c>
      <c r="CC25" s="4">
        <f>CC24+AT25-I25</f>
        <v>0</v>
      </c>
      <c r="CD25" s="4">
        <f>CD24+AU25-J25</f>
        <v>0</v>
      </c>
      <c r="CE25" s="4">
        <f>CE24+AV25-K25</f>
        <v>0</v>
      </c>
      <c r="CF25" s="4">
        <f>CF24+AW25-L25</f>
        <v>0</v>
      </c>
      <c r="CG25" s="4">
        <f>CG24+AX25-M25</f>
        <v>0</v>
      </c>
      <c r="CH25" s="4">
        <f>CH24+AY25-N25</f>
        <v>0</v>
      </c>
      <c r="CI25" s="4">
        <f>CI24+AZ25-O25</f>
        <v>0</v>
      </c>
      <c r="CJ25" s="4">
        <f>CJ24+BA25-P25</f>
        <v>0</v>
      </c>
      <c r="CK25" s="4">
        <f>CK24+BB25-Q25</f>
        <v>0</v>
      </c>
      <c r="CL25" s="4">
        <f>CL24+BC25-R25</f>
        <v>0</v>
      </c>
      <c r="CM25" s="4">
        <f>CM24+BD25-S25</f>
        <v>0</v>
      </c>
      <c r="CN25" s="4">
        <f>CN24+BE25-T25</f>
        <v>0</v>
      </c>
      <c r="CO25" s="4">
        <f>CO24+BF25-U25</f>
        <v>0</v>
      </c>
      <c r="CP25" s="4">
        <f>CP24+BG25-V25</f>
        <v>0</v>
      </c>
      <c r="CQ25" s="4">
        <f>CQ24+BH25-W25</f>
        <v>0</v>
      </c>
      <c r="CR25" s="4">
        <f>CR24+BI25-X25</f>
        <v>0</v>
      </c>
      <c r="CS25" s="4">
        <f>CS24+BJ25-Y25</f>
        <v>0</v>
      </c>
      <c r="CT25" s="4">
        <f>CT24+BK25-Z25</f>
        <v>0</v>
      </c>
      <c r="CU25" s="4">
        <f>CU24+BL25-AA25</f>
        <v>-800</v>
      </c>
      <c r="CV25" s="4">
        <f>CV24+BM25-AB25</f>
        <v>-135</v>
      </c>
      <c r="CW25" s="4">
        <f>CW24+BN25-AC25</f>
        <v>0</v>
      </c>
      <c r="CX25" s="4">
        <f>CX24+BO25-AD25</f>
        <v>0</v>
      </c>
      <c r="CY25" s="4">
        <f>CY24+BP25-AE25</f>
        <v>0</v>
      </c>
      <c r="CZ25" s="4">
        <f>CZ24+BQ25-AF25</f>
        <v>-55</v>
      </c>
      <c r="DA25" s="4">
        <f>DA24+BR25-AG25</f>
        <v>0</v>
      </c>
      <c r="DB25" s="4">
        <f>DB24+BS25-AH25</f>
        <v>0</v>
      </c>
      <c r="DC25" s="4">
        <f>DC24+BT25-AI25</f>
        <v>0</v>
      </c>
      <c r="DD25" s="4">
        <f>DD24+BU25-AJ25</f>
        <v>-640</v>
      </c>
      <c r="DE25" s="4">
        <f>DE24+BV25-AK25</f>
        <v>-180</v>
      </c>
      <c r="DF25" s="4">
        <f>DF24+BW25-AL25</f>
        <v>0</v>
      </c>
      <c r="DG25" s="4">
        <f>DG24+BX25-AM25</f>
        <v>20</v>
      </c>
      <c r="DH25" s="4">
        <f>DH24+BY25-AN25</f>
        <v>0</v>
      </c>
    </row>
    <row r="26" spans="1:112" x14ac:dyDescent="0.25">
      <c r="A26" s="6">
        <v>46180</v>
      </c>
      <c r="B26" s="7">
        <v>0.29166666661330964</v>
      </c>
      <c r="C26" s="3" t="s">
        <v>3</v>
      </c>
      <c r="D26" s="3" t="s">
        <v>6</v>
      </c>
      <c r="E26" s="3" t="s">
        <v>2</v>
      </c>
      <c r="F26" s="13">
        <f>SUM(IFERROR(VLOOKUP($C:$C,Structure!$A:$AJ,F$1,0)*15,0),IFERROR(VLOOKUP($D:$D,Structure!$A:$AJ,F$1,0)*15,0),IFERROR(VLOOKUP($E:$E,Structure!$A:$AJ,F$1,0)*15,0))</f>
        <v>0</v>
      </c>
      <c r="G26" s="13">
        <f>SUM(IFERROR(VLOOKUP($C:$C,Structure!$A:$AJ,G$1,0)*15,0),IFERROR(VLOOKUP($D:$D,Structure!$A:$AJ,G$1,0)*15,0),IFERROR(VLOOKUP($E:$E,Structure!$A:$AJ,G$1,0)*15,0))</f>
        <v>0</v>
      </c>
      <c r="H26" s="13">
        <f>SUM(IFERROR(VLOOKUP($C:$C,Structure!$A:$AJ,H$1,0)*15,0),IFERROR(VLOOKUP($D:$D,Structure!$A:$AJ,H$1,0)*15,0),IFERROR(VLOOKUP($E:$E,Structure!$A:$AJ,H$1,0)*15,0))</f>
        <v>0</v>
      </c>
      <c r="I26" s="13">
        <f>SUM(IFERROR(VLOOKUP($C:$C,Structure!$A:$AJ,I$1,0)*15,0),IFERROR(VLOOKUP($D:$D,Structure!$A:$AJ,I$1,0)*15,0),IFERROR(VLOOKUP($E:$E,Structure!$A:$AJ,I$1,0)*15,0))</f>
        <v>0</v>
      </c>
      <c r="J26" s="13">
        <f>SUM(IFERROR(VLOOKUP($C:$C,Structure!$A:$AJ,J$1,0)*15,0),IFERROR(VLOOKUP($D:$D,Structure!$A:$AJ,J$1,0)*15,0),IFERROR(VLOOKUP($E:$E,Structure!$A:$AJ,J$1,0)*15,0))</f>
        <v>0</v>
      </c>
      <c r="K26" s="13">
        <f>SUM(IFERROR(VLOOKUP($C:$C,Structure!$A:$AJ,K$1,0)*15,0),IFERROR(VLOOKUP($D:$D,Structure!$A:$AJ,K$1,0)*15,0),IFERROR(VLOOKUP($E:$E,Structure!$A:$AJ,K$1,0)*15,0))</f>
        <v>0</v>
      </c>
      <c r="L26" s="13">
        <f>SUM(IFERROR(VLOOKUP($C:$C,Structure!$A:$AJ,L$1,0)*15,0),IFERROR(VLOOKUP($D:$D,Structure!$A:$AJ,L$1,0)*15,0),IFERROR(VLOOKUP($E:$E,Structure!$A:$AJ,L$1,0)*15,0))</f>
        <v>0</v>
      </c>
      <c r="M26" s="13">
        <f>SUM(IFERROR(VLOOKUP($C:$C,Structure!$A:$AJ,M$1,0)*15,0),IFERROR(VLOOKUP($D:$D,Structure!$A:$AJ,M$1,0)*15,0),IFERROR(VLOOKUP($E:$E,Structure!$A:$AJ,M$1,0)*15,0))</f>
        <v>0</v>
      </c>
      <c r="N26" s="13">
        <f>SUM(IFERROR(VLOOKUP($C:$C,Structure!$A:$AJ,N$1,0)*15,0),IFERROR(VLOOKUP($D:$D,Structure!$A:$AJ,N$1,0)*15,0),IFERROR(VLOOKUP($E:$E,Structure!$A:$AJ,N$1,0)*15,0))</f>
        <v>0</v>
      </c>
      <c r="O26" s="13">
        <f>SUM(IFERROR(VLOOKUP($C:$C,Structure!$A:$AJ,O$1,0)*15,0),IFERROR(VLOOKUP($D:$D,Structure!$A:$AJ,O$1,0)*15,0),IFERROR(VLOOKUP($E:$E,Structure!$A:$AJ,O$1,0)*15,0))</f>
        <v>0</v>
      </c>
      <c r="P26" s="13">
        <f>SUM(IFERROR(VLOOKUP($C:$C,Structure!$A:$AJ,P$1,0)*15,0),IFERROR(VLOOKUP($D:$D,Structure!$A:$AJ,P$1,0)*15,0),IFERROR(VLOOKUP($E:$E,Structure!$A:$AJ,P$1,0)*15,0))</f>
        <v>0</v>
      </c>
      <c r="Q26" s="13">
        <f>SUM(IFERROR(VLOOKUP($C:$C,Structure!$A:$AJ,Q$1,0)*15,0),IFERROR(VLOOKUP($D:$D,Structure!$A:$AJ,Q$1,0)*15,0),IFERROR(VLOOKUP($E:$E,Structure!$A:$AJ,Q$1,0)*15,0))</f>
        <v>0</v>
      </c>
      <c r="R26" s="13">
        <f>SUM(IFERROR(VLOOKUP($C:$C,Structure!$A:$AJ,R$1,0)*15,0),IFERROR(VLOOKUP($D:$D,Structure!$A:$AJ,R$1,0)*15,0),IFERROR(VLOOKUP($E:$E,Structure!$A:$AJ,R$1,0)*15,0))</f>
        <v>0</v>
      </c>
      <c r="S26" s="13">
        <f>SUM(IFERROR(VLOOKUP($C:$C,Structure!$A:$AJ,S$1,0)*15,0),IFERROR(VLOOKUP($D:$D,Structure!$A:$AJ,S$1,0)*15,0),IFERROR(VLOOKUP($E:$E,Structure!$A:$AJ,S$1,0)*15,0))</f>
        <v>0</v>
      </c>
      <c r="T26" s="13">
        <f>SUM(IFERROR(VLOOKUP($C:$C,Structure!$A:$AJ,T$1,0)*15,0),IFERROR(VLOOKUP($D:$D,Structure!$A:$AJ,T$1,0)*15,0),IFERROR(VLOOKUP($E:$E,Structure!$A:$AJ,T$1,0)*15,0))</f>
        <v>0</v>
      </c>
      <c r="U26" s="13">
        <f>SUM(IFERROR(VLOOKUP($C:$C,Structure!$A:$AJ,U$1,0)*15,0),IFERROR(VLOOKUP($D:$D,Structure!$A:$AJ,U$1,0)*15,0),IFERROR(VLOOKUP($E:$E,Structure!$A:$AJ,U$1,0)*15,0))</f>
        <v>0</v>
      </c>
      <c r="V26" s="13">
        <f>SUM(IFERROR(VLOOKUP($C:$C,Structure!$A:$AJ,V$1,0)*15,0),IFERROR(VLOOKUP($D:$D,Structure!$A:$AJ,V$1,0)*15,0),IFERROR(VLOOKUP($E:$E,Structure!$A:$AJ,V$1,0)*15,0))</f>
        <v>0</v>
      </c>
      <c r="W26" s="13">
        <f>SUM(IFERROR(VLOOKUP($C:$C,Structure!$A:$AJ,W$1,0)*15,0),IFERROR(VLOOKUP($D:$D,Structure!$A:$AJ,W$1,0)*15,0),IFERROR(VLOOKUP($E:$E,Structure!$A:$AJ,W$1,0)*15,0))</f>
        <v>0</v>
      </c>
      <c r="X26" s="13">
        <f>SUM(IFERROR(VLOOKUP($C:$C,Structure!$A:$AJ,X$1,0)*15,0),IFERROR(VLOOKUP($D:$D,Structure!$A:$AJ,X$1,0)*15,0),IFERROR(VLOOKUP($E:$E,Structure!$A:$AJ,X$1,0)*15,0))</f>
        <v>0</v>
      </c>
      <c r="Y26" s="13">
        <f>SUM(IFERROR(VLOOKUP($C:$C,Structure!$A:$AJ,Y$1,0)*15,0),IFERROR(VLOOKUP($D:$D,Structure!$A:$AJ,Y$1,0)*15,0),IFERROR(VLOOKUP($E:$E,Structure!$A:$AJ,Y$1,0)*15,0))</f>
        <v>0</v>
      </c>
      <c r="Z26" s="13">
        <f>SUM(IFERROR(VLOOKUP($C:$C,Structure!$A:$AJ,Z$1,0)*15,0),IFERROR(VLOOKUP($D:$D,Structure!$A:$AJ,Z$1,0)*15,0),IFERROR(VLOOKUP($E:$E,Structure!$A:$AJ,Z$1,0)*15,0))</f>
        <v>0</v>
      </c>
      <c r="AA26" s="13">
        <f>SUM(IFERROR(VLOOKUP($C:$C,Structure!$A:$AJ,AA$1,0)*15,0),IFERROR(VLOOKUP($D:$D,Structure!$A:$AJ,AA$1,0)*15,0),IFERROR(VLOOKUP($E:$E,Structure!$A:$AJ,AA$1,0)*15,0))</f>
        <v>45</v>
      </c>
      <c r="AB26" s="13">
        <f>SUM(IFERROR(VLOOKUP($C:$C,Structure!$A:$AJ,AB$1,0)*15,0),IFERROR(VLOOKUP($D:$D,Structure!$A:$AJ,AB$1,0)*15,0),IFERROR(VLOOKUP($E:$E,Structure!$A:$AJ,AB$1,0)*15,0))</f>
        <v>0</v>
      </c>
      <c r="AC26" s="13">
        <f>SUM(IFERROR(VLOOKUP($C:$C,Structure!$A:$AJ,AC$1,0)*15,0),IFERROR(VLOOKUP($D:$D,Structure!$A:$AJ,AC$1,0)*15,0),IFERROR(VLOOKUP($E:$E,Structure!$A:$AJ,AC$1,0)*15,0))</f>
        <v>0</v>
      </c>
      <c r="AD26" s="13">
        <f>SUM(IFERROR(VLOOKUP($C:$C,Structure!$A:$AJ,AD$1,0)*15,0),IFERROR(VLOOKUP($D:$D,Structure!$A:$AJ,AD$1,0)*15,0),IFERROR(VLOOKUP($E:$E,Structure!$A:$AJ,AD$1,0)*15,0))</f>
        <v>0</v>
      </c>
      <c r="AE26" s="13">
        <f>SUM(IFERROR(VLOOKUP($C:$C,Structure!$A:$AJ,AE$1,0)*15,0),IFERROR(VLOOKUP($D:$D,Structure!$A:$AJ,AE$1,0)*15,0),IFERROR(VLOOKUP($E:$E,Structure!$A:$AJ,AE$1,0)*15,0))</f>
        <v>0</v>
      </c>
      <c r="AF26" s="13">
        <f>SUM(IFERROR(VLOOKUP($C:$C,Structure!$A:$AJ,AF$1,0)*15,0),IFERROR(VLOOKUP($D:$D,Structure!$A:$AJ,AF$1,0)*15,0),IFERROR(VLOOKUP($E:$E,Structure!$A:$AJ,AF$1,0)*15,0))</f>
        <v>0</v>
      </c>
      <c r="AG26" s="13">
        <f>SUM(IFERROR(VLOOKUP($C:$C,Structure!$A:$AJ,AG$1,0)*15,0),IFERROR(VLOOKUP($D:$D,Structure!$A:$AJ,AG$1,0)*15,0),IFERROR(VLOOKUP($E:$E,Structure!$A:$AJ,AG$1,0)*15,0))</f>
        <v>0</v>
      </c>
      <c r="AH26" s="13">
        <f>SUM(IFERROR(VLOOKUP($C:$C,Structure!$A:$AJ,AH$1,0)*15,0),IFERROR(VLOOKUP($D:$D,Structure!$A:$AJ,AH$1,0)*15,0),IFERROR(VLOOKUP($E:$E,Structure!$A:$AJ,AH$1,0)*15,0))</f>
        <v>0</v>
      </c>
      <c r="AI26" s="13">
        <f>SUM(IFERROR(VLOOKUP($C:$C,Structure!$A:$AJ,AI$1,0)*15,0),IFERROR(VLOOKUP($D:$D,Structure!$A:$AJ,AI$1,0)*15,0),IFERROR(VLOOKUP($E:$E,Structure!$A:$AJ,AI$1,0)*15,0))</f>
        <v>0</v>
      </c>
      <c r="AJ26" s="13">
        <f>SUM(IFERROR(VLOOKUP($C:$C,Structure!$A:$AJ,AJ$1,0)*15,0),IFERROR(VLOOKUP($D:$D,Structure!$A:$AJ,AJ$1,0)*15,0),IFERROR(VLOOKUP($E:$E,Structure!$A:$AJ,AJ$1,0)*15,0))</f>
        <v>30</v>
      </c>
      <c r="AK26" s="13">
        <f>SUM(IFERROR(VLOOKUP($C:$C,Structure!$A:$AJ,AK$1,0)*15,0),IFERROR(VLOOKUP($D:$D,Structure!$A:$AJ,AK$1,0)*15,0),IFERROR(VLOOKUP($E:$E,Structure!$A:$AJ,AK$1,0)*15,0))</f>
        <v>15</v>
      </c>
      <c r="AL26" s="13">
        <f>SUM(IFERROR(VLOOKUP($C:$C,Structure!$A:$AJ,AL$1,0)*15,0),IFERROR(VLOOKUP($D:$D,Structure!$A:$AJ,AL$1,0)*15,0),IFERROR(VLOOKUP($E:$E,Structure!$A:$AJ,AL$1,0)*15,0))</f>
        <v>0</v>
      </c>
      <c r="AM26" s="13">
        <f>SUM(IFERROR(VLOOKUP($C:$C,Structure!$A:$AJ,AM$1,0)*15,0),IFERROR(VLOOKUP($D:$D,Structure!$A:$AJ,AM$1,0)*15,0),IFERROR(VLOOKUP($E:$E,Structure!$A:$AJ,AM$1,0)*15,0))</f>
        <v>0</v>
      </c>
      <c r="AN26" s="13">
        <f>SUM(IFERROR(VLOOKUP($C:$C,Structure!$A:$AJ,AN$1,0)*15,0),IFERROR(VLOOKUP($D:$D,Structure!$A:$AJ,AN$1,0)*15,0),IFERROR(VLOOKUP($E:$E,Structure!$A:$AJ,AN$1,0)*15,0))</f>
        <v>0</v>
      </c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3"/>
      <c r="BZ26" s="4">
        <f>BZ25+AQ26-F26</f>
        <v>0</v>
      </c>
      <c r="CA26" s="4">
        <f>CA25+AR26-G26</f>
        <v>0</v>
      </c>
      <c r="CB26" s="4">
        <f>CB25+AS26-H26</f>
        <v>0</v>
      </c>
      <c r="CC26" s="4">
        <f>CC25+AT26-I26</f>
        <v>0</v>
      </c>
      <c r="CD26" s="4">
        <f>CD25+AU26-J26</f>
        <v>0</v>
      </c>
      <c r="CE26" s="4">
        <f>CE25+AV26-K26</f>
        <v>0</v>
      </c>
      <c r="CF26" s="4">
        <f>CF25+AW26-L26</f>
        <v>0</v>
      </c>
      <c r="CG26" s="4">
        <f>CG25+AX26-M26</f>
        <v>0</v>
      </c>
      <c r="CH26" s="4">
        <f>CH25+AY26-N26</f>
        <v>0</v>
      </c>
      <c r="CI26" s="4">
        <f>CI25+AZ26-O26</f>
        <v>0</v>
      </c>
      <c r="CJ26" s="4">
        <f>CJ25+BA26-P26</f>
        <v>0</v>
      </c>
      <c r="CK26" s="4">
        <f>CK25+BB26-Q26</f>
        <v>0</v>
      </c>
      <c r="CL26" s="4">
        <f>CL25+BC26-R26</f>
        <v>0</v>
      </c>
      <c r="CM26" s="4">
        <f>CM25+BD26-S26</f>
        <v>0</v>
      </c>
      <c r="CN26" s="4">
        <f>CN25+BE26-T26</f>
        <v>0</v>
      </c>
      <c r="CO26" s="4">
        <f>CO25+BF26-U26</f>
        <v>0</v>
      </c>
      <c r="CP26" s="4">
        <f>CP25+BG26-V26</f>
        <v>0</v>
      </c>
      <c r="CQ26" s="4">
        <f>CQ25+BH26-W26</f>
        <v>0</v>
      </c>
      <c r="CR26" s="4">
        <f>CR25+BI26-X26</f>
        <v>0</v>
      </c>
      <c r="CS26" s="4">
        <f>CS25+BJ26-Y26</f>
        <v>0</v>
      </c>
      <c r="CT26" s="4">
        <f>CT25+BK26-Z26</f>
        <v>0</v>
      </c>
      <c r="CU26" s="4">
        <f>CU25+BL26-AA26</f>
        <v>-845</v>
      </c>
      <c r="CV26" s="4">
        <f>CV25+BM26-AB26</f>
        <v>-135</v>
      </c>
      <c r="CW26" s="4">
        <f>CW25+BN26-AC26</f>
        <v>0</v>
      </c>
      <c r="CX26" s="4">
        <f>CX25+BO26-AD26</f>
        <v>0</v>
      </c>
      <c r="CY26" s="4">
        <f>CY25+BP26-AE26</f>
        <v>0</v>
      </c>
      <c r="CZ26" s="4">
        <f>CZ25+BQ26-AF26</f>
        <v>-55</v>
      </c>
      <c r="DA26" s="4">
        <f>DA25+BR26-AG26</f>
        <v>0</v>
      </c>
      <c r="DB26" s="4">
        <f>DB25+BS26-AH26</f>
        <v>0</v>
      </c>
      <c r="DC26" s="4">
        <f>DC25+BT26-AI26</f>
        <v>0</v>
      </c>
      <c r="DD26" s="4">
        <f>DD25+BU26-AJ26</f>
        <v>-670</v>
      </c>
      <c r="DE26" s="4">
        <f>DE25+BV26-AK26</f>
        <v>-195</v>
      </c>
      <c r="DF26" s="4">
        <f>DF25+BW26-AL26</f>
        <v>0</v>
      </c>
      <c r="DG26" s="4">
        <f>DG25+BX26-AM26</f>
        <v>20</v>
      </c>
      <c r="DH26" s="4">
        <f>DH25+BY26-AN26</f>
        <v>0</v>
      </c>
    </row>
    <row r="27" spans="1:112" x14ac:dyDescent="0.25">
      <c r="A27" s="6">
        <v>46180</v>
      </c>
      <c r="B27" s="7">
        <v>0.33333333327755099</v>
      </c>
      <c r="C27" s="3" t="s">
        <v>3</v>
      </c>
      <c r="D27" s="3" t="s">
        <v>6</v>
      </c>
      <c r="E27" s="3" t="s">
        <v>2</v>
      </c>
      <c r="F27" s="13">
        <f>SUM(IFERROR(VLOOKUP($C:$C,Structure!$A:$AJ,F$1,0)*15,0),IFERROR(VLOOKUP($D:$D,Structure!$A:$AJ,F$1,0)*15,0),IFERROR(VLOOKUP($E:$E,Structure!$A:$AJ,F$1,0)*15,0))</f>
        <v>0</v>
      </c>
      <c r="G27" s="13">
        <f>SUM(IFERROR(VLOOKUP($C:$C,Structure!$A:$AJ,G$1,0)*15,0),IFERROR(VLOOKUP($D:$D,Structure!$A:$AJ,G$1,0)*15,0),IFERROR(VLOOKUP($E:$E,Structure!$A:$AJ,G$1,0)*15,0))</f>
        <v>0</v>
      </c>
      <c r="H27" s="13">
        <f>SUM(IFERROR(VLOOKUP($C:$C,Structure!$A:$AJ,H$1,0)*15,0),IFERROR(VLOOKUP($D:$D,Structure!$A:$AJ,H$1,0)*15,0),IFERROR(VLOOKUP($E:$E,Structure!$A:$AJ,H$1,0)*15,0))</f>
        <v>0</v>
      </c>
      <c r="I27" s="13">
        <f>SUM(IFERROR(VLOOKUP($C:$C,Structure!$A:$AJ,I$1,0)*15,0),IFERROR(VLOOKUP($D:$D,Structure!$A:$AJ,I$1,0)*15,0),IFERROR(VLOOKUP($E:$E,Structure!$A:$AJ,I$1,0)*15,0))</f>
        <v>0</v>
      </c>
      <c r="J27" s="13">
        <f>SUM(IFERROR(VLOOKUP($C:$C,Structure!$A:$AJ,J$1,0)*15,0),IFERROR(VLOOKUP($D:$D,Structure!$A:$AJ,J$1,0)*15,0),IFERROR(VLOOKUP($E:$E,Structure!$A:$AJ,J$1,0)*15,0))</f>
        <v>0</v>
      </c>
      <c r="K27" s="13">
        <f>SUM(IFERROR(VLOOKUP($C:$C,Structure!$A:$AJ,K$1,0)*15,0),IFERROR(VLOOKUP($D:$D,Structure!$A:$AJ,K$1,0)*15,0),IFERROR(VLOOKUP($E:$E,Structure!$A:$AJ,K$1,0)*15,0))</f>
        <v>0</v>
      </c>
      <c r="L27" s="13">
        <f>SUM(IFERROR(VLOOKUP($C:$C,Structure!$A:$AJ,L$1,0)*15,0),IFERROR(VLOOKUP($D:$D,Structure!$A:$AJ,L$1,0)*15,0),IFERROR(VLOOKUP($E:$E,Structure!$A:$AJ,L$1,0)*15,0))</f>
        <v>0</v>
      </c>
      <c r="M27" s="13">
        <f>SUM(IFERROR(VLOOKUP($C:$C,Structure!$A:$AJ,M$1,0)*15,0),IFERROR(VLOOKUP($D:$D,Structure!$A:$AJ,M$1,0)*15,0),IFERROR(VLOOKUP($E:$E,Structure!$A:$AJ,M$1,0)*15,0))</f>
        <v>0</v>
      </c>
      <c r="N27" s="13">
        <f>SUM(IFERROR(VLOOKUP($C:$C,Structure!$A:$AJ,N$1,0)*15,0),IFERROR(VLOOKUP($D:$D,Structure!$A:$AJ,N$1,0)*15,0),IFERROR(VLOOKUP($E:$E,Structure!$A:$AJ,N$1,0)*15,0))</f>
        <v>0</v>
      </c>
      <c r="O27" s="13">
        <f>SUM(IFERROR(VLOOKUP($C:$C,Structure!$A:$AJ,O$1,0)*15,0),IFERROR(VLOOKUP($D:$D,Structure!$A:$AJ,O$1,0)*15,0),IFERROR(VLOOKUP($E:$E,Structure!$A:$AJ,O$1,0)*15,0))</f>
        <v>0</v>
      </c>
      <c r="P27" s="13">
        <f>SUM(IFERROR(VLOOKUP($C:$C,Structure!$A:$AJ,P$1,0)*15,0),IFERROR(VLOOKUP($D:$D,Structure!$A:$AJ,P$1,0)*15,0),IFERROR(VLOOKUP($E:$E,Structure!$A:$AJ,P$1,0)*15,0))</f>
        <v>0</v>
      </c>
      <c r="Q27" s="13">
        <f>SUM(IFERROR(VLOOKUP($C:$C,Structure!$A:$AJ,Q$1,0)*15,0),IFERROR(VLOOKUP($D:$D,Structure!$A:$AJ,Q$1,0)*15,0),IFERROR(VLOOKUP($E:$E,Structure!$A:$AJ,Q$1,0)*15,0))</f>
        <v>0</v>
      </c>
      <c r="R27" s="13">
        <f>SUM(IFERROR(VLOOKUP($C:$C,Structure!$A:$AJ,R$1,0)*15,0),IFERROR(VLOOKUP($D:$D,Structure!$A:$AJ,R$1,0)*15,0),IFERROR(VLOOKUP($E:$E,Structure!$A:$AJ,R$1,0)*15,0))</f>
        <v>0</v>
      </c>
      <c r="S27" s="13">
        <f>SUM(IFERROR(VLOOKUP($C:$C,Structure!$A:$AJ,S$1,0)*15,0),IFERROR(VLOOKUP($D:$D,Structure!$A:$AJ,S$1,0)*15,0),IFERROR(VLOOKUP($E:$E,Structure!$A:$AJ,S$1,0)*15,0))</f>
        <v>0</v>
      </c>
      <c r="T27" s="13">
        <f>SUM(IFERROR(VLOOKUP($C:$C,Structure!$A:$AJ,T$1,0)*15,0),IFERROR(VLOOKUP($D:$D,Structure!$A:$AJ,T$1,0)*15,0),IFERROR(VLOOKUP($E:$E,Structure!$A:$AJ,T$1,0)*15,0))</f>
        <v>0</v>
      </c>
      <c r="U27" s="13">
        <f>SUM(IFERROR(VLOOKUP($C:$C,Structure!$A:$AJ,U$1,0)*15,0),IFERROR(VLOOKUP($D:$D,Structure!$A:$AJ,U$1,0)*15,0),IFERROR(VLOOKUP($E:$E,Structure!$A:$AJ,U$1,0)*15,0))</f>
        <v>0</v>
      </c>
      <c r="V27" s="13">
        <f>SUM(IFERROR(VLOOKUP($C:$C,Structure!$A:$AJ,V$1,0)*15,0),IFERROR(VLOOKUP($D:$D,Structure!$A:$AJ,V$1,0)*15,0),IFERROR(VLOOKUP($E:$E,Structure!$A:$AJ,V$1,0)*15,0))</f>
        <v>0</v>
      </c>
      <c r="W27" s="13">
        <f>SUM(IFERROR(VLOOKUP($C:$C,Structure!$A:$AJ,W$1,0)*15,0),IFERROR(VLOOKUP($D:$D,Structure!$A:$AJ,W$1,0)*15,0),IFERROR(VLOOKUP($E:$E,Structure!$A:$AJ,W$1,0)*15,0))</f>
        <v>0</v>
      </c>
      <c r="X27" s="13">
        <f>SUM(IFERROR(VLOOKUP($C:$C,Structure!$A:$AJ,X$1,0)*15,0),IFERROR(VLOOKUP($D:$D,Structure!$A:$AJ,X$1,0)*15,0),IFERROR(VLOOKUP($E:$E,Structure!$A:$AJ,X$1,0)*15,0))</f>
        <v>0</v>
      </c>
      <c r="Y27" s="13">
        <f>SUM(IFERROR(VLOOKUP($C:$C,Structure!$A:$AJ,Y$1,0)*15,0),IFERROR(VLOOKUP($D:$D,Structure!$A:$AJ,Y$1,0)*15,0),IFERROR(VLOOKUP($E:$E,Structure!$A:$AJ,Y$1,0)*15,0))</f>
        <v>0</v>
      </c>
      <c r="Z27" s="13">
        <f>SUM(IFERROR(VLOOKUP($C:$C,Structure!$A:$AJ,Z$1,0)*15,0),IFERROR(VLOOKUP($D:$D,Structure!$A:$AJ,Z$1,0)*15,0),IFERROR(VLOOKUP($E:$E,Structure!$A:$AJ,Z$1,0)*15,0))</f>
        <v>0</v>
      </c>
      <c r="AA27" s="13">
        <f>SUM(IFERROR(VLOOKUP($C:$C,Structure!$A:$AJ,AA$1,0)*15,0),IFERROR(VLOOKUP($D:$D,Structure!$A:$AJ,AA$1,0)*15,0),IFERROR(VLOOKUP($E:$E,Structure!$A:$AJ,AA$1,0)*15,0))</f>
        <v>45</v>
      </c>
      <c r="AB27" s="13">
        <f>SUM(IFERROR(VLOOKUP($C:$C,Structure!$A:$AJ,AB$1,0)*15,0),IFERROR(VLOOKUP($D:$D,Structure!$A:$AJ,AB$1,0)*15,0),IFERROR(VLOOKUP($E:$E,Structure!$A:$AJ,AB$1,0)*15,0))</f>
        <v>0</v>
      </c>
      <c r="AC27" s="13">
        <f>SUM(IFERROR(VLOOKUP($C:$C,Structure!$A:$AJ,AC$1,0)*15,0),IFERROR(VLOOKUP($D:$D,Structure!$A:$AJ,AC$1,0)*15,0),IFERROR(VLOOKUP($E:$E,Structure!$A:$AJ,AC$1,0)*15,0))</f>
        <v>0</v>
      </c>
      <c r="AD27" s="13">
        <f>SUM(IFERROR(VLOOKUP($C:$C,Structure!$A:$AJ,AD$1,0)*15,0),IFERROR(VLOOKUP($D:$D,Structure!$A:$AJ,AD$1,0)*15,0),IFERROR(VLOOKUP($E:$E,Structure!$A:$AJ,AD$1,0)*15,0))</f>
        <v>0</v>
      </c>
      <c r="AE27" s="13">
        <f>SUM(IFERROR(VLOOKUP($C:$C,Structure!$A:$AJ,AE$1,0)*15,0),IFERROR(VLOOKUP($D:$D,Structure!$A:$AJ,AE$1,0)*15,0),IFERROR(VLOOKUP($E:$E,Structure!$A:$AJ,AE$1,0)*15,0))</f>
        <v>0</v>
      </c>
      <c r="AF27" s="13">
        <f>SUM(IFERROR(VLOOKUP($C:$C,Structure!$A:$AJ,AF$1,0)*15,0),IFERROR(VLOOKUP($D:$D,Structure!$A:$AJ,AF$1,0)*15,0),IFERROR(VLOOKUP($E:$E,Structure!$A:$AJ,AF$1,0)*15,0))</f>
        <v>0</v>
      </c>
      <c r="AG27" s="13">
        <f>SUM(IFERROR(VLOOKUP($C:$C,Structure!$A:$AJ,AG$1,0)*15,0),IFERROR(VLOOKUP($D:$D,Structure!$A:$AJ,AG$1,0)*15,0),IFERROR(VLOOKUP($E:$E,Structure!$A:$AJ,AG$1,0)*15,0))</f>
        <v>0</v>
      </c>
      <c r="AH27" s="13">
        <f>SUM(IFERROR(VLOOKUP($C:$C,Structure!$A:$AJ,AH$1,0)*15,0),IFERROR(VLOOKUP($D:$D,Structure!$A:$AJ,AH$1,0)*15,0),IFERROR(VLOOKUP($E:$E,Structure!$A:$AJ,AH$1,0)*15,0))</f>
        <v>0</v>
      </c>
      <c r="AI27" s="13">
        <f>SUM(IFERROR(VLOOKUP($C:$C,Structure!$A:$AJ,AI$1,0)*15,0),IFERROR(VLOOKUP($D:$D,Structure!$A:$AJ,AI$1,0)*15,0),IFERROR(VLOOKUP($E:$E,Structure!$A:$AJ,AI$1,0)*15,0))</f>
        <v>0</v>
      </c>
      <c r="AJ27" s="13">
        <f>SUM(IFERROR(VLOOKUP($C:$C,Structure!$A:$AJ,AJ$1,0)*15,0),IFERROR(VLOOKUP($D:$D,Structure!$A:$AJ,AJ$1,0)*15,0),IFERROR(VLOOKUP($E:$E,Structure!$A:$AJ,AJ$1,0)*15,0))</f>
        <v>30</v>
      </c>
      <c r="AK27" s="13">
        <f>SUM(IFERROR(VLOOKUP($C:$C,Structure!$A:$AJ,AK$1,0)*15,0),IFERROR(VLOOKUP($D:$D,Structure!$A:$AJ,AK$1,0)*15,0),IFERROR(VLOOKUP($E:$E,Structure!$A:$AJ,AK$1,0)*15,0))</f>
        <v>15</v>
      </c>
      <c r="AL27" s="13">
        <f>SUM(IFERROR(VLOOKUP($C:$C,Structure!$A:$AJ,AL$1,0)*15,0),IFERROR(VLOOKUP($D:$D,Structure!$A:$AJ,AL$1,0)*15,0),IFERROR(VLOOKUP($E:$E,Structure!$A:$AJ,AL$1,0)*15,0))</f>
        <v>0</v>
      </c>
      <c r="AM27" s="13">
        <f>SUM(IFERROR(VLOOKUP($C:$C,Structure!$A:$AJ,AM$1,0)*15,0),IFERROR(VLOOKUP($D:$D,Structure!$A:$AJ,AM$1,0)*15,0),IFERROR(VLOOKUP($E:$E,Structure!$A:$AJ,AM$1,0)*15,0))</f>
        <v>0</v>
      </c>
      <c r="AN27" s="13">
        <f>SUM(IFERROR(VLOOKUP($C:$C,Structure!$A:$AJ,AN$1,0)*15,0),IFERROR(VLOOKUP($D:$D,Structure!$A:$AJ,AN$1,0)*15,0),IFERROR(VLOOKUP($E:$E,Structure!$A:$AJ,AN$1,0)*15,0))</f>
        <v>0</v>
      </c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3"/>
      <c r="BZ27" s="4">
        <f>BZ26+AQ27-F27</f>
        <v>0</v>
      </c>
      <c r="CA27" s="4">
        <f>CA26+AR27-G27</f>
        <v>0</v>
      </c>
      <c r="CB27" s="4">
        <f>CB26+AS27-H27</f>
        <v>0</v>
      </c>
      <c r="CC27" s="4">
        <f>CC26+AT27-I27</f>
        <v>0</v>
      </c>
      <c r="CD27" s="4">
        <f>CD26+AU27-J27</f>
        <v>0</v>
      </c>
      <c r="CE27" s="4">
        <f>CE26+AV27-K27</f>
        <v>0</v>
      </c>
      <c r="CF27" s="4">
        <f>CF26+AW27-L27</f>
        <v>0</v>
      </c>
      <c r="CG27" s="4">
        <f>CG26+AX27-M27</f>
        <v>0</v>
      </c>
      <c r="CH27" s="4">
        <f>CH26+AY27-N27</f>
        <v>0</v>
      </c>
      <c r="CI27" s="4">
        <f>CI26+AZ27-O27</f>
        <v>0</v>
      </c>
      <c r="CJ27" s="4">
        <f>CJ26+BA27-P27</f>
        <v>0</v>
      </c>
      <c r="CK27" s="4">
        <f>CK26+BB27-Q27</f>
        <v>0</v>
      </c>
      <c r="CL27" s="4">
        <f>CL26+BC27-R27</f>
        <v>0</v>
      </c>
      <c r="CM27" s="4">
        <f>CM26+BD27-S27</f>
        <v>0</v>
      </c>
      <c r="CN27" s="4">
        <f>CN26+BE27-T27</f>
        <v>0</v>
      </c>
      <c r="CO27" s="4">
        <f>CO26+BF27-U27</f>
        <v>0</v>
      </c>
      <c r="CP27" s="4">
        <f>CP26+BG27-V27</f>
        <v>0</v>
      </c>
      <c r="CQ27" s="4">
        <f>CQ26+BH27-W27</f>
        <v>0</v>
      </c>
      <c r="CR27" s="4">
        <f>CR26+BI27-X27</f>
        <v>0</v>
      </c>
      <c r="CS27" s="4">
        <f>CS26+BJ27-Y27</f>
        <v>0</v>
      </c>
      <c r="CT27" s="4">
        <f>CT26+BK27-Z27</f>
        <v>0</v>
      </c>
      <c r="CU27" s="4">
        <f>CU26+BL27-AA27</f>
        <v>-890</v>
      </c>
      <c r="CV27" s="4">
        <f>CV26+BM27-AB27</f>
        <v>-135</v>
      </c>
      <c r="CW27" s="4">
        <f>CW26+BN27-AC27</f>
        <v>0</v>
      </c>
      <c r="CX27" s="4">
        <f>CX26+BO27-AD27</f>
        <v>0</v>
      </c>
      <c r="CY27" s="4">
        <f>CY26+BP27-AE27</f>
        <v>0</v>
      </c>
      <c r="CZ27" s="4">
        <f>CZ26+BQ27-AF27</f>
        <v>-55</v>
      </c>
      <c r="DA27" s="4">
        <f>DA26+BR27-AG27</f>
        <v>0</v>
      </c>
      <c r="DB27" s="4">
        <f>DB26+BS27-AH27</f>
        <v>0</v>
      </c>
      <c r="DC27" s="4">
        <f>DC26+BT27-AI27</f>
        <v>0</v>
      </c>
      <c r="DD27" s="4">
        <f>DD26+BU27-AJ27</f>
        <v>-700</v>
      </c>
      <c r="DE27" s="4">
        <f>DE26+BV27-AK27</f>
        <v>-210</v>
      </c>
      <c r="DF27" s="4">
        <f>DF26+BW27-AL27</f>
        <v>0</v>
      </c>
      <c r="DG27" s="4">
        <f>DG26+BX27-AM27</f>
        <v>20</v>
      </c>
      <c r="DH27" s="4">
        <f>DH26+BY27-AN27</f>
        <v>0</v>
      </c>
    </row>
    <row r="28" spans="1:112" x14ac:dyDescent="0.25">
      <c r="A28" s="6">
        <v>46180</v>
      </c>
      <c r="B28" s="7">
        <v>0.37499999994179234</v>
      </c>
      <c r="C28" s="3" t="s">
        <v>3</v>
      </c>
      <c r="D28" s="3" t="s">
        <v>6</v>
      </c>
      <c r="E28" s="3" t="s">
        <v>2</v>
      </c>
      <c r="F28" s="13">
        <f>SUM(IFERROR(VLOOKUP($C:$C,Structure!$A:$AJ,F$1,0)*15,0),IFERROR(VLOOKUP($D:$D,Structure!$A:$AJ,F$1,0)*15,0),IFERROR(VLOOKUP($E:$E,Structure!$A:$AJ,F$1,0)*15,0))</f>
        <v>0</v>
      </c>
      <c r="G28" s="13">
        <f>SUM(IFERROR(VLOOKUP($C:$C,Structure!$A:$AJ,G$1,0)*15,0),IFERROR(VLOOKUP($D:$D,Structure!$A:$AJ,G$1,0)*15,0),IFERROR(VLOOKUP($E:$E,Structure!$A:$AJ,G$1,0)*15,0))</f>
        <v>0</v>
      </c>
      <c r="H28" s="13">
        <f>SUM(IFERROR(VLOOKUP($C:$C,Structure!$A:$AJ,H$1,0)*15,0),IFERROR(VLOOKUP($D:$D,Structure!$A:$AJ,H$1,0)*15,0),IFERROR(VLOOKUP($E:$E,Structure!$A:$AJ,H$1,0)*15,0))</f>
        <v>0</v>
      </c>
      <c r="I28" s="13">
        <f>SUM(IFERROR(VLOOKUP($C:$C,Structure!$A:$AJ,I$1,0)*15,0),IFERROR(VLOOKUP($D:$D,Structure!$A:$AJ,I$1,0)*15,0),IFERROR(VLOOKUP($E:$E,Structure!$A:$AJ,I$1,0)*15,0))</f>
        <v>0</v>
      </c>
      <c r="J28" s="13">
        <f>SUM(IFERROR(VLOOKUP($C:$C,Structure!$A:$AJ,J$1,0)*15,0),IFERROR(VLOOKUP($D:$D,Structure!$A:$AJ,J$1,0)*15,0),IFERROR(VLOOKUP($E:$E,Structure!$A:$AJ,J$1,0)*15,0))</f>
        <v>0</v>
      </c>
      <c r="K28" s="13">
        <f>SUM(IFERROR(VLOOKUP($C:$C,Structure!$A:$AJ,K$1,0)*15,0),IFERROR(VLOOKUP($D:$D,Structure!$A:$AJ,K$1,0)*15,0),IFERROR(VLOOKUP($E:$E,Structure!$A:$AJ,K$1,0)*15,0))</f>
        <v>0</v>
      </c>
      <c r="L28" s="13">
        <f>SUM(IFERROR(VLOOKUP($C:$C,Structure!$A:$AJ,L$1,0)*15,0),IFERROR(VLOOKUP($D:$D,Structure!$A:$AJ,L$1,0)*15,0),IFERROR(VLOOKUP($E:$E,Structure!$A:$AJ,L$1,0)*15,0))</f>
        <v>0</v>
      </c>
      <c r="M28" s="13">
        <f>SUM(IFERROR(VLOOKUP($C:$C,Structure!$A:$AJ,M$1,0)*15,0),IFERROR(VLOOKUP($D:$D,Structure!$A:$AJ,M$1,0)*15,0),IFERROR(VLOOKUP($E:$E,Structure!$A:$AJ,M$1,0)*15,0))</f>
        <v>0</v>
      </c>
      <c r="N28" s="13">
        <f>SUM(IFERROR(VLOOKUP($C:$C,Structure!$A:$AJ,N$1,0)*15,0),IFERROR(VLOOKUP($D:$D,Structure!$A:$AJ,N$1,0)*15,0),IFERROR(VLOOKUP($E:$E,Structure!$A:$AJ,N$1,0)*15,0))</f>
        <v>0</v>
      </c>
      <c r="O28" s="13">
        <f>SUM(IFERROR(VLOOKUP($C:$C,Structure!$A:$AJ,O$1,0)*15,0),IFERROR(VLOOKUP($D:$D,Structure!$A:$AJ,O$1,0)*15,0),IFERROR(VLOOKUP($E:$E,Structure!$A:$AJ,O$1,0)*15,0))</f>
        <v>0</v>
      </c>
      <c r="P28" s="13">
        <f>SUM(IFERROR(VLOOKUP($C:$C,Structure!$A:$AJ,P$1,0)*15,0),IFERROR(VLOOKUP($D:$D,Structure!$A:$AJ,P$1,0)*15,0),IFERROR(VLOOKUP($E:$E,Structure!$A:$AJ,P$1,0)*15,0))</f>
        <v>0</v>
      </c>
      <c r="Q28" s="13">
        <f>SUM(IFERROR(VLOOKUP($C:$C,Structure!$A:$AJ,Q$1,0)*15,0),IFERROR(VLOOKUP($D:$D,Structure!$A:$AJ,Q$1,0)*15,0),IFERROR(VLOOKUP($E:$E,Structure!$A:$AJ,Q$1,0)*15,0))</f>
        <v>0</v>
      </c>
      <c r="R28" s="13">
        <f>SUM(IFERROR(VLOOKUP($C:$C,Structure!$A:$AJ,R$1,0)*15,0),IFERROR(VLOOKUP($D:$D,Structure!$A:$AJ,R$1,0)*15,0),IFERROR(VLOOKUP($E:$E,Structure!$A:$AJ,R$1,0)*15,0))</f>
        <v>0</v>
      </c>
      <c r="S28" s="13">
        <f>SUM(IFERROR(VLOOKUP($C:$C,Structure!$A:$AJ,S$1,0)*15,0),IFERROR(VLOOKUP($D:$D,Structure!$A:$AJ,S$1,0)*15,0),IFERROR(VLOOKUP($E:$E,Structure!$A:$AJ,S$1,0)*15,0))</f>
        <v>0</v>
      </c>
      <c r="T28" s="13">
        <f>SUM(IFERROR(VLOOKUP($C:$C,Structure!$A:$AJ,T$1,0)*15,0),IFERROR(VLOOKUP($D:$D,Structure!$A:$AJ,T$1,0)*15,0),IFERROR(VLOOKUP($E:$E,Structure!$A:$AJ,T$1,0)*15,0))</f>
        <v>0</v>
      </c>
      <c r="U28" s="13">
        <f>SUM(IFERROR(VLOOKUP($C:$C,Structure!$A:$AJ,U$1,0)*15,0),IFERROR(VLOOKUP($D:$D,Structure!$A:$AJ,U$1,0)*15,0),IFERROR(VLOOKUP($E:$E,Structure!$A:$AJ,U$1,0)*15,0))</f>
        <v>0</v>
      </c>
      <c r="V28" s="13">
        <f>SUM(IFERROR(VLOOKUP($C:$C,Structure!$A:$AJ,V$1,0)*15,0),IFERROR(VLOOKUP($D:$D,Structure!$A:$AJ,V$1,0)*15,0),IFERROR(VLOOKUP($E:$E,Structure!$A:$AJ,V$1,0)*15,0))</f>
        <v>0</v>
      </c>
      <c r="W28" s="13">
        <f>SUM(IFERROR(VLOOKUP($C:$C,Structure!$A:$AJ,W$1,0)*15,0),IFERROR(VLOOKUP($D:$D,Structure!$A:$AJ,W$1,0)*15,0),IFERROR(VLOOKUP($E:$E,Structure!$A:$AJ,W$1,0)*15,0))</f>
        <v>0</v>
      </c>
      <c r="X28" s="13">
        <f>SUM(IFERROR(VLOOKUP($C:$C,Structure!$A:$AJ,X$1,0)*15,0),IFERROR(VLOOKUP($D:$D,Structure!$A:$AJ,X$1,0)*15,0),IFERROR(VLOOKUP($E:$E,Structure!$A:$AJ,X$1,0)*15,0))</f>
        <v>0</v>
      </c>
      <c r="Y28" s="13">
        <f>SUM(IFERROR(VLOOKUP($C:$C,Structure!$A:$AJ,Y$1,0)*15,0),IFERROR(VLOOKUP($D:$D,Structure!$A:$AJ,Y$1,0)*15,0),IFERROR(VLOOKUP($E:$E,Structure!$A:$AJ,Y$1,0)*15,0))</f>
        <v>0</v>
      </c>
      <c r="Z28" s="13">
        <f>SUM(IFERROR(VLOOKUP($C:$C,Structure!$A:$AJ,Z$1,0)*15,0),IFERROR(VLOOKUP($D:$D,Structure!$A:$AJ,Z$1,0)*15,0),IFERROR(VLOOKUP($E:$E,Structure!$A:$AJ,Z$1,0)*15,0))</f>
        <v>0</v>
      </c>
      <c r="AA28" s="13">
        <f>SUM(IFERROR(VLOOKUP($C:$C,Structure!$A:$AJ,AA$1,0)*15,0),IFERROR(VLOOKUP($D:$D,Structure!$A:$AJ,AA$1,0)*15,0),IFERROR(VLOOKUP($E:$E,Structure!$A:$AJ,AA$1,0)*15,0))</f>
        <v>45</v>
      </c>
      <c r="AB28" s="13">
        <f>SUM(IFERROR(VLOOKUP($C:$C,Structure!$A:$AJ,AB$1,0)*15,0),IFERROR(VLOOKUP($D:$D,Structure!$A:$AJ,AB$1,0)*15,0),IFERROR(VLOOKUP($E:$E,Structure!$A:$AJ,AB$1,0)*15,0))</f>
        <v>0</v>
      </c>
      <c r="AC28" s="13">
        <f>SUM(IFERROR(VLOOKUP($C:$C,Structure!$A:$AJ,AC$1,0)*15,0),IFERROR(VLOOKUP($D:$D,Structure!$A:$AJ,AC$1,0)*15,0),IFERROR(VLOOKUP($E:$E,Structure!$A:$AJ,AC$1,0)*15,0))</f>
        <v>0</v>
      </c>
      <c r="AD28" s="13">
        <f>SUM(IFERROR(VLOOKUP($C:$C,Structure!$A:$AJ,AD$1,0)*15,0),IFERROR(VLOOKUP($D:$D,Structure!$A:$AJ,AD$1,0)*15,0),IFERROR(VLOOKUP($E:$E,Structure!$A:$AJ,AD$1,0)*15,0))</f>
        <v>0</v>
      </c>
      <c r="AE28" s="13">
        <f>SUM(IFERROR(VLOOKUP($C:$C,Structure!$A:$AJ,AE$1,0)*15,0),IFERROR(VLOOKUP($D:$D,Structure!$A:$AJ,AE$1,0)*15,0),IFERROR(VLOOKUP($E:$E,Structure!$A:$AJ,AE$1,0)*15,0))</f>
        <v>0</v>
      </c>
      <c r="AF28" s="13">
        <f>SUM(IFERROR(VLOOKUP($C:$C,Structure!$A:$AJ,AF$1,0)*15,0),IFERROR(VLOOKUP($D:$D,Structure!$A:$AJ,AF$1,0)*15,0),IFERROR(VLOOKUP($E:$E,Structure!$A:$AJ,AF$1,0)*15,0))</f>
        <v>0</v>
      </c>
      <c r="AG28" s="13">
        <f>SUM(IFERROR(VLOOKUP($C:$C,Structure!$A:$AJ,AG$1,0)*15,0),IFERROR(VLOOKUP($D:$D,Structure!$A:$AJ,AG$1,0)*15,0),IFERROR(VLOOKUP($E:$E,Structure!$A:$AJ,AG$1,0)*15,0))</f>
        <v>0</v>
      </c>
      <c r="AH28" s="13">
        <f>SUM(IFERROR(VLOOKUP($C:$C,Structure!$A:$AJ,AH$1,0)*15,0),IFERROR(VLOOKUP($D:$D,Structure!$A:$AJ,AH$1,0)*15,0),IFERROR(VLOOKUP($E:$E,Structure!$A:$AJ,AH$1,0)*15,0))</f>
        <v>0</v>
      </c>
      <c r="AI28" s="13">
        <f>SUM(IFERROR(VLOOKUP($C:$C,Structure!$A:$AJ,AI$1,0)*15,0),IFERROR(VLOOKUP($D:$D,Structure!$A:$AJ,AI$1,0)*15,0),IFERROR(VLOOKUP($E:$E,Structure!$A:$AJ,AI$1,0)*15,0))</f>
        <v>0</v>
      </c>
      <c r="AJ28" s="13">
        <f>SUM(IFERROR(VLOOKUP($C:$C,Structure!$A:$AJ,AJ$1,0)*15,0),IFERROR(VLOOKUP($D:$D,Structure!$A:$AJ,AJ$1,0)*15,0),IFERROR(VLOOKUP($E:$E,Structure!$A:$AJ,AJ$1,0)*15,0))</f>
        <v>30</v>
      </c>
      <c r="AK28" s="13">
        <f>SUM(IFERROR(VLOOKUP($C:$C,Structure!$A:$AJ,AK$1,0)*15,0),IFERROR(VLOOKUP($D:$D,Structure!$A:$AJ,AK$1,0)*15,0),IFERROR(VLOOKUP($E:$E,Structure!$A:$AJ,AK$1,0)*15,0))</f>
        <v>15</v>
      </c>
      <c r="AL28" s="13">
        <f>SUM(IFERROR(VLOOKUP($C:$C,Structure!$A:$AJ,AL$1,0)*15,0),IFERROR(VLOOKUP($D:$D,Structure!$A:$AJ,AL$1,0)*15,0),IFERROR(VLOOKUP($E:$E,Structure!$A:$AJ,AL$1,0)*15,0))</f>
        <v>0</v>
      </c>
      <c r="AM28" s="13">
        <f>SUM(IFERROR(VLOOKUP($C:$C,Structure!$A:$AJ,AM$1,0)*15,0),IFERROR(VLOOKUP($D:$D,Structure!$A:$AJ,AM$1,0)*15,0),IFERROR(VLOOKUP($E:$E,Structure!$A:$AJ,AM$1,0)*15,0))</f>
        <v>0</v>
      </c>
      <c r="AN28" s="13">
        <f>SUM(IFERROR(VLOOKUP($C:$C,Structure!$A:$AJ,AN$1,0)*15,0),IFERROR(VLOOKUP($D:$D,Structure!$A:$AJ,AN$1,0)*15,0),IFERROR(VLOOKUP($E:$E,Structure!$A:$AJ,AN$1,0)*15,0))</f>
        <v>0</v>
      </c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3"/>
      <c r="BZ28" s="4">
        <f>BZ27+AQ28-F28</f>
        <v>0</v>
      </c>
      <c r="CA28" s="4">
        <f>CA27+AR28-G28</f>
        <v>0</v>
      </c>
      <c r="CB28" s="4">
        <f>CB27+AS28-H28</f>
        <v>0</v>
      </c>
      <c r="CC28" s="4">
        <f>CC27+AT28-I28</f>
        <v>0</v>
      </c>
      <c r="CD28" s="4">
        <f>CD27+AU28-J28</f>
        <v>0</v>
      </c>
      <c r="CE28" s="4">
        <f>CE27+AV28-K28</f>
        <v>0</v>
      </c>
      <c r="CF28" s="4">
        <f>CF27+AW28-L28</f>
        <v>0</v>
      </c>
      <c r="CG28" s="4">
        <f>CG27+AX28-M28</f>
        <v>0</v>
      </c>
      <c r="CH28" s="4">
        <f>CH27+AY28-N28</f>
        <v>0</v>
      </c>
      <c r="CI28" s="4">
        <f>CI27+AZ28-O28</f>
        <v>0</v>
      </c>
      <c r="CJ28" s="4">
        <f>CJ27+BA28-P28</f>
        <v>0</v>
      </c>
      <c r="CK28" s="4">
        <f>CK27+BB28-Q28</f>
        <v>0</v>
      </c>
      <c r="CL28" s="4">
        <f>CL27+BC28-R28</f>
        <v>0</v>
      </c>
      <c r="CM28" s="4">
        <f>CM27+BD28-S28</f>
        <v>0</v>
      </c>
      <c r="CN28" s="4">
        <f>CN27+BE28-T28</f>
        <v>0</v>
      </c>
      <c r="CO28" s="4">
        <f>CO27+BF28-U28</f>
        <v>0</v>
      </c>
      <c r="CP28" s="4">
        <f>CP27+BG28-V28</f>
        <v>0</v>
      </c>
      <c r="CQ28" s="4">
        <f>CQ27+BH28-W28</f>
        <v>0</v>
      </c>
      <c r="CR28" s="4">
        <f>CR27+BI28-X28</f>
        <v>0</v>
      </c>
      <c r="CS28" s="4">
        <f>CS27+BJ28-Y28</f>
        <v>0</v>
      </c>
      <c r="CT28" s="4">
        <f>CT27+BK28-Z28</f>
        <v>0</v>
      </c>
      <c r="CU28" s="4">
        <f>CU27+BL28-AA28</f>
        <v>-935</v>
      </c>
      <c r="CV28" s="4">
        <f>CV27+BM28-AB28</f>
        <v>-135</v>
      </c>
      <c r="CW28" s="4">
        <f>CW27+BN28-AC28</f>
        <v>0</v>
      </c>
      <c r="CX28" s="4">
        <f>CX27+BO28-AD28</f>
        <v>0</v>
      </c>
      <c r="CY28" s="4">
        <f>CY27+BP28-AE28</f>
        <v>0</v>
      </c>
      <c r="CZ28" s="4">
        <f>CZ27+BQ28-AF28</f>
        <v>-55</v>
      </c>
      <c r="DA28" s="4">
        <f>DA27+BR28-AG28</f>
        <v>0</v>
      </c>
      <c r="DB28" s="4">
        <f>DB27+BS28-AH28</f>
        <v>0</v>
      </c>
      <c r="DC28" s="4">
        <f>DC27+BT28-AI28</f>
        <v>0</v>
      </c>
      <c r="DD28" s="4">
        <f>DD27+BU28-AJ28</f>
        <v>-730</v>
      </c>
      <c r="DE28" s="4">
        <f>DE27+BV28-AK28</f>
        <v>-225</v>
      </c>
      <c r="DF28" s="4">
        <f>DF27+BW28-AL28</f>
        <v>0</v>
      </c>
      <c r="DG28" s="4">
        <f>DG27+BX28-AM28</f>
        <v>20</v>
      </c>
      <c r="DH28" s="4">
        <f>DH27+BY28-AN28</f>
        <v>0</v>
      </c>
    </row>
    <row r="29" spans="1:112" x14ac:dyDescent="0.25">
      <c r="A29" s="6">
        <v>46180</v>
      </c>
      <c r="B29" s="7">
        <v>0.41666666660603369</v>
      </c>
      <c r="C29" s="3" t="s">
        <v>3</v>
      </c>
      <c r="D29" s="3" t="s">
        <v>6</v>
      </c>
      <c r="E29" s="3" t="s">
        <v>2</v>
      </c>
      <c r="F29" s="13">
        <f>SUM(IFERROR(VLOOKUP($C:$C,Structure!$A:$AJ,F$1,0)*15,0),IFERROR(VLOOKUP($D:$D,Structure!$A:$AJ,F$1,0)*15,0),IFERROR(VLOOKUP($E:$E,Structure!$A:$AJ,F$1,0)*15,0))</f>
        <v>0</v>
      </c>
      <c r="G29" s="13">
        <f>SUM(IFERROR(VLOOKUP($C:$C,Structure!$A:$AJ,G$1,0)*15,0),IFERROR(VLOOKUP($D:$D,Structure!$A:$AJ,G$1,0)*15,0),IFERROR(VLOOKUP($E:$E,Structure!$A:$AJ,G$1,0)*15,0))</f>
        <v>0</v>
      </c>
      <c r="H29" s="13">
        <f>SUM(IFERROR(VLOOKUP($C:$C,Structure!$A:$AJ,H$1,0)*15,0),IFERROR(VLOOKUP($D:$D,Structure!$A:$AJ,H$1,0)*15,0),IFERROR(VLOOKUP($E:$E,Structure!$A:$AJ,H$1,0)*15,0))</f>
        <v>0</v>
      </c>
      <c r="I29" s="13">
        <f>SUM(IFERROR(VLOOKUP($C:$C,Structure!$A:$AJ,I$1,0)*15,0),IFERROR(VLOOKUP($D:$D,Structure!$A:$AJ,I$1,0)*15,0),IFERROR(VLOOKUP($E:$E,Structure!$A:$AJ,I$1,0)*15,0))</f>
        <v>0</v>
      </c>
      <c r="J29" s="13">
        <f>SUM(IFERROR(VLOOKUP($C:$C,Structure!$A:$AJ,J$1,0)*15,0),IFERROR(VLOOKUP($D:$D,Structure!$A:$AJ,J$1,0)*15,0),IFERROR(VLOOKUP($E:$E,Structure!$A:$AJ,J$1,0)*15,0))</f>
        <v>0</v>
      </c>
      <c r="K29" s="13">
        <f>SUM(IFERROR(VLOOKUP($C:$C,Structure!$A:$AJ,K$1,0)*15,0),IFERROR(VLOOKUP($D:$D,Structure!$A:$AJ,K$1,0)*15,0),IFERROR(VLOOKUP($E:$E,Structure!$A:$AJ,K$1,0)*15,0))</f>
        <v>0</v>
      </c>
      <c r="L29" s="13">
        <f>SUM(IFERROR(VLOOKUP($C:$C,Structure!$A:$AJ,L$1,0)*15,0),IFERROR(VLOOKUP($D:$D,Structure!$A:$AJ,L$1,0)*15,0),IFERROR(VLOOKUP($E:$E,Structure!$A:$AJ,L$1,0)*15,0))</f>
        <v>0</v>
      </c>
      <c r="M29" s="13">
        <f>SUM(IFERROR(VLOOKUP($C:$C,Structure!$A:$AJ,M$1,0)*15,0),IFERROR(VLOOKUP($D:$D,Structure!$A:$AJ,M$1,0)*15,0),IFERROR(VLOOKUP($E:$E,Structure!$A:$AJ,M$1,0)*15,0))</f>
        <v>0</v>
      </c>
      <c r="N29" s="13">
        <f>SUM(IFERROR(VLOOKUP($C:$C,Structure!$A:$AJ,N$1,0)*15,0),IFERROR(VLOOKUP($D:$D,Structure!$A:$AJ,N$1,0)*15,0),IFERROR(VLOOKUP($E:$E,Structure!$A:$AJ,N$1,0)*15,0))</f>
        <v>0</v>
      </c>
      <c r="O29" s="13">
        <f>SUM(IFERROR(VLOOKUP($C:$C,Structure!$A:$AJ,O$1,0)*15,0),IFERROR(VLOOKUP($D:$D,Structure!$A:$AJ,O$1,0)*15,0),IFERROR(VLOOKUP($E:$E,Structure!$A:$AJ,O$1,0)*15,0))</f>
        <v>0</v>
      </c>
      <c r="P29" s="13">
        <f>SUM(IFERROR(VLOOKUP($C:$C,Structure!$A:$AJ,P$1,0)*15,0),IFERROR(VLOOKUP($D:$D,Structure!$A:$AJ,P$1,0)*15,0),IFERROR(VLOOKUP($E:$E,Structure!$A:$AJ,P$1,0)*15,0))</f>
        <v>0</v>
      </c>
      <c r="Q29" s="13">
        <f>SUM(IFERROR(VLOOKUP($C:$C,Structure!$A:$AJ,Q$1,0)*15,0),IFERROR(VLOOKUP($D:$D,Structure!$A:$AJ,Q$1,0)*15,0),IFERROR(VLOOKUP($E:$E,Structure!$A:$AJ,Q$1,0)*15,0))</f>
        <v>0</v>
      </c>
      <c r="R29" s="13">
        <f>SUM(IFERROR(VLOOKUP($C:$C,Structure!$A:$AJ,R$1,0)*15,0),IFERROR(VLOOKUP($D:$D,Structure!$A:$AJ,R$1,0)*15,0),IFERROR(VLOOKUP($E:$E,Structure!$A:$AJ,R$1,0)*15,0))</f>
        <v>0</v>
      </c>
      <c r="S29" s="13">
        <f>SUM(IFERROR(VLOOKUP($C:$C,Structure!$A:$AJ,S$1,0)*15,0),IFERROR(VLOOKUP($D:$D,Structure!$A:$AJ,S$1,0)*15,0),IFERROR(VLOOKUP($E:$E,Structure!$A:$AJ,S$1,0)*15,0))</f>
        <v>0</v>
      </c>
      <c r="T29" s="13">
        <f>SUM(IFERROR(VLOOKUP($C:$C,Structure!$A:$AJ,T$1,0)*15,0),IFERROR(VLOOKUP($D:$D,Structure!$A:$AJ,T$1,0)*15,0),IFERROR(VLOOKUP($E:$E,Structure!$A:$AJ,T$1,0)*15,0))</f>
        <v>0</v>
      </c>
      <c r="U29" s="13">
        <f>SUM(IFERROR(VLOOKUP($C:$C,Structure!$A:$AJ,U$1,0)*15,0),IFERROR(VLOOKUP($D:$D,Structure!$A:$AJ,U$1,0)*15,0),IFERROR(VLOOKUP($E:$E,Structure!$A:$AJ,U$1,0)*15,0))</f>
        <v>0</v>
      </c>
      <c r="V29" s="13">
        <f>SUM(IFERROR(VLOOKUP($C:$C,Structure!$A:$AJ,V$1,0)*15,0),IFERROR(VLOOKUP($D:$D,Structure!$A:$AJ,V$1,0)*15,0),IFERROR(VLOOKUP($E:$E,Structure!$A:$AJ,V$1,0)*15,0))</f>
        <v>0</v>
      </c>
      <c r="W29" s="13">
        <f>SUM(IFERROR(VLOOKUP($C:$C,Structure!$A:$AJ,W$1,0)*15,0),IFERROR(VLOOKUP($D:$D,Structure!$A:$AJ,W$1,0)*15,0),IFERROR(VLOOKUP($E:$E,Structure!$A:$AJ,W$1,0)*15,0))</f>
        <v>0</v>
      </c>
      <c r="X29" s="13">
        <f>SUM(IFERROR(VLOOKUP($C:$C,Structure!$A:$AJ,X$1,0)*15,0),IFERROR(VLOOKUP($D:$D,Structure!$A:$AJ,X$1,0)*15,0),IFERROR(VLOOKUP($E:$E,Structure!$A:$AJ,X$1,0)*15,0))</f>
        <v>0</v>
      </c>
      <c r="Y29" s="13">
        <f>SUM(IFERROR(VLOOKUP($C:$C,Structure!$A:$AJ,Y$1,0)*15,0),IFERROR(VLOOKUP($D:$D,Structure!$A:$AJ,Y$1,0)*15,0),IFERROR(VLOOKUP($E:$E,Structure!$A:$AJ,Y$1,0)*15,0))</f>
        <v>0</v>
      </c>
      <c r="Z29" s="13">
        <f>SUM(IFERROR(VLOOKUP($C:$C,Structure!$A:$AJ,Z$1,0)*15,0),IFERROR(VLOOKUP($D:$D,Structure!$A:$AJ,Z$1,0)*15,0),IFERROR(VLOOKUP($E:$E,Structure!$A:$AJ,Z$1,0)*15,0))</f>
        <v>0</v>
      </c>
      <c r="AA29" s="13">
        <f>SUM(IFERROR(VLOOKUP($C:$C,Structure!$A:$AJ,AA$1,0)*15,0),IFERROR(VLOOKUP($D:$D,Structure!$A:$AJ,AA$1,0)*15,0),IFERROR(VLOOKUP($E:$E,Structure!$A:$AJ,AA$1,0)*15,0))</f>
        <v>45</v>
      </c>
      <c r="AB29" s="13">
        <f>SUM(IFERROR(VLOOKUP($C:$C,Structure!$A:$AJ,AB$1,0)*15,0),IFERROR(VLOOKUP($D:$D,Structure!$A:$AJ,AB$1,0)*15,0),IFERROR(VLOOKUP($E:$E,Structure!$A:$AJ,AB$1,0)*15,0))</f>
        <v>0</v>
      </c>
      <c r="AC29" s="13">
        <f>SUM(IFERROR(VLOOKUP($C:$C,Structure!$A:$AJ,AC$1,0)*15,0),IFERROR(VLOOKUP($D:$D,Structure!$A:$AJ,AC$1,0)*15,0),IFERROR(VLOOKUP($E:$E,Structure!$A:$AJ,AC$1,0)*15,0))</f>
        <v>0</v>
      </c>
      <c r="AD29" s="13">
        <f>SUM(IFERROR(VLOOKUP($C:$C,Structure!$A:$AJ,AD$1,0)*15,0),IFERROR(VLOOKUP($D:$D,Structure!$A:$AJ,AD$1,0)*15,0),IFERROR(VLOOKUP($E:$E,Structure!$A:$AJ,AD$1,0)*15,0))</f>
        <v>0</v>
      </c>
      <c r="AE29" s="13">
        <f>SUM(IFERROR(VLOOKUP($C:$C,Structure!$A:$AJ,AE$1,0)*15,0),IFERROR(VLOOKUP($D:$D,Structure!$A:$AJ,AE$1,0)*15,0),IFERROR(VLOOKUP($E:$E,Structure!$A:$AJ,AE$1,0)*15,0))</f>
        <v>0</v>
      </c>
      <c r="AF29" s="13">
        <f>SUM(IFERROR(VLOOKUP($C:$C,Structure!$A:$AJ,AF$1,0)*15,0),IFERROR(VLOOKUP($D:$D,Structure!$A:$AJ,AF$1,0)*15,0),IFERROR(VLOOKUP($E:$E,Structure!$A:$AJ,AF$1,0)*15,0))</f>
        <v>0</v>
      </c>
      <c r="AG29" s="13">
        <f>SUM(IFERROR(VLOOKUP($C:$C,Structure!$A:$AJ,AG$1,0)*15,0),IFERROR(VLOOKUP($D:$D,Structure!$A:$AJ,AG$1,0)*15,0),IFERROR(VLOOKUP($E:$E,Structure!$A:$AJ,AG$1,0)*15,0))</f>
        <v>0</v>
      </c>
      <c r="AH29" s="13">
        <f>SUM(IFERROR(VLOOKUP($C:$C,Structure!$A:$AJ,AH$1,0)*15,0),IFERROR(VLOOKUP($D:$D,Structure!$A:$AJ,AH$1,0)*15,0),IFERROR(VLOOKUP($E:$E,Structure!$A:$AJ,AH$1,0)*15,0))</f>
        <v>0</v>
      </c>
      <c r="AI29" s="13">
        <f>SUM(IFERROR(VLOOKUP($C:$C,Structure!$A:$AJ,AI$1,0)*15,0),IFERROR(VLOOKUP($D:$D,Structure!$A:$AJ,AI$1,0)*15,0),IFERROR(VLOOKUP($E:$E,Structure!$A:$AJ,AI$1,0)*15,0))</f>
        <v>0</v>
      </c>
      <c r="AJ29" s="13">
        <f>SUM(IFERROR(VLOOKUP($C:$C,Structure!$A:$AJ,AJ$1,0)*15,0),IFERROR(VLOOKUP($D:$D,Structure!$A:$AJ,AJ$1,0)*15,0),IFERROR(VLOOKUP($E:$E,Structure!$A:$AJ,AJ$1,0)*15,0))</f>
        <v>30</v>
      </c>
      <c r="AK29" s="13">
        <f>SUM(IFERROR(VLOOKUP($C:$C,Structure!$A:$AJ,AK$1,0)*15,0),IFERROR(VLOOKUP($D:$D,Structure!$A:$AJ,AK$1,0)*15,0),IFERROR(VLOOKUP($E:$E,Structure!$A:$AJ,AK$1,0)*15,0))</f>
        <v>15</v>
      </c>
      <c r="AL29" s="13">
        <f>SUM(IFERROR(VLOOKUP($C:$C,Structure!$A:$AJ,AL$1,0)*15,0),IFERROR(VLOOKUP($D:$D,Structure!$A:$AJ,AL$1,0)*15,0),IFERROR(VLOOKUP($E:$E,Structure!$A:$AJ,AL$1,0)*15,0))</f>
        <v>0</v>
      </c>
      <c r="AM29" s="13">
        <f>SUM(IFERROR(VLOOKUP($C:$C,Structure!$A:$AJ,AM$1,0)*15,0),IFERROR(VLOOKUP($D:$D,Structure!$A:$AJ,AM$1,0)*15,0),IFERROR(VLOOKUP($E:$E,Structure!$A:$AJ,AM$1,0)*15,0))</f>
        <v>0</v>
      </c>
      <c r="AN29" s="13">
        <f>SUM(IFERROR(VLOOKUP($C:$C,Structure!$A:$AJ,AN$1,0)*15,0),IFERROR(VLOOKUP($D:$D,Structure!$A:$AJ,AN$1,0)*15,0),IFERROR(VLOOKUP($E:$E,Structure!$A:$AJ,AN$1,0)*15,0))</f>
        <v>0</v>
      </c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3"/>
      <c r="BZ29" s="4">
        <f>BZ28+AQ29-F29</f>
        <v>0</v>
      </c>
      <c r="CA29" s="4">
        <f>CA28+AR29-G29</f>
        <v>0</v>
      </c>
      <c r="CB29" s="4">
        <f>CB28+AS29-H29</f>
        <v>0</v>
      </c>
      <c r="CC29" s="4">
        <f>CC28+AT29-I29</f>
        <v>0</v>
      </c>
      <c r="CD29" s="4">
        <f>CD28+AU29-J29</f>
        <v>0</v>
      </c>
      <c r="CE29" s="4">
        <f>CE28+AV29-K29</f>
        <v>0</v>
      </c>
      <c r="CF29" s="4">
        <f>CF28+AW29-L29</f>
        <v>0</v>
      </c>
      <c r="CG29" s="4">
        <f>CG28+AX29-M29</f>
        <v>0</v>
      </c>
      <c r="CH29" s="4">
        <f>CH28+AY29-N29</f>
        <v>0</v>
      </c>
      <c r="CI29" s="4">
        <f>CI28+AZ29-O29</f>
        <v>0</v>
      </c>
      <c r="CJ29" s="4">
        <f>CJ28+BA29-P29</f>
        <v>0</v>
      </c>
      <c r="CK29" s="4">
        <f>CK28+BB29-Q29</f>
        <v>0</v>
      </c>
      <c r="CL29" s="4">
        <f>CL28+BC29-R29</f>
        <v>0</v>
      </c>
      <c r="CM29" s="4">
        <f>CM28+BD29-S29</f>
        <v>0</v>
      </c>
      <c r="CN29" s="4">
        <f>CN28+BE29-T29</f>
        <v>0</v>
      </c>
      <c r="CO29" s="4">
        <f>CO28+BF29-U29</f>
        <v>0</v>
      </c>
      <c r="CP29" s="4">
        <f>CP28+BG29-V29</f>
        <v>0</v>
      </c>
      <c r="CQ29" s="4">
        <f>CQ28+BH29-W29</f>
        <v>0</v>
      </c>
      <c r="CR29" s="4">
        <f>CR28+BI29-X29</f>
        <v>0</v>
      </c>
      <c r="CS29" s="4">
        <f>CS28+BJ29-Y29</f>
        <v>0</v>
      </c>
      <c r="CT29" s="4">
        <f>CT28+BK29-Z29</f>
        <v>0</v>
      </c>
      <c r="CU29" s="4">
        <f>CU28+BL29-AA29</f>
        <v>-980</v>
      </c>
      <c r="CV29" s="4">
        <f>CV28+BM29-AB29</f>
        <v>-135</v>
      </c>
      <c r="CW29" s="4">
        <f>CW28+BN29-AC29</f>
        <v>0</v>
      </c>
      <c r="CX29" s="4">
        <f>CX28+BO29-AD29</f>
        <v>0</v>
      </c>
      <c r="CY29" s="4">
        <f>CY28+BP29-AE29</f>
        <v>0</v>
      </c>
      <c r="CZ29" s="4">
        <f>CZ28+BQ29-AF29</f>
        <v>-55</v>
      </c>
      <c r="DA29" s="4">
        <f>DA28+BR29-AG29</f>
        <v>0</v>
      </c>
      <c r="DB29" s="4">
        <f>DB28+BS29-AH29</f>
        <v>0</v>
      </c>
      <c r="DC29" s="4">
        <f>DC28+BT29-AI29</f>
        <v>0</v>
      </c>
      <c r="DD29" s="4">
        <f>DD28+BU29-AJ29</f>
        <v>-760</v>
      </c>
      <c r="DE29" s="4">
        <f>DE28+BV29-AK29</f>
        <v>-240</v>
      </c>
      <c r="DF29" s="4">
        <f>DF28+BW29-AL29</f>
        <v>0</v>
      </c>
      <c r="DG29" s="4">
        <f>DG28+BX29-AM29</f>
        <v>20</v>
      </c>
      <c r="DH29" s="4">
        <f>DH28+BY29-AN29</f>
        <v>0</v>
      </c>
    </row>
    <row r="30" spans="1:112" x14ac:dyDescent="0.25">
      <c r="A30" s="6">
        <v>46180</v>
      </c>
      <c r="B30" s="7">
        <v>0.45833333327027503</v>
      </c>
      <c r="C30" s="3" t="s">
        <v>3</v>
      </c>
      <c r="D30" s="3" t="s">
        <v>6</v>
      </c>
      <c r="E30" s="3" t="s">
        <v>2</v>
      </c>
      <c r="F30" s="13">
        <f>SUM(IFERROR(VLOOKUP($C:$C,Structure!$A:$AJ,F$1,0)*15,0),IFERROR(VLOOKUP($D:$D,Structure!$A:$AJ,F$1,0)*15,0),IFERROR(VLOOKUP($E:$E,Structure!$A:$AJ,F$1,0)*15,0))</f>
        <v>0</v>
      </c>
      <c r="G30" s="13">
        <f>SUM(IFERROR(VLOOKUP($C:$C,Structure!$A:$AJ,G$1,0)*15,0),IFERROR(VLOOKUP($D:$D,Structure!$A:$AJ,G$1,0)*15,0),IFERROR(VLOOKUP($E:$E,Structure!$A:$AJ,G$1,0)*15,0))</f>
        <v>0</v>
      </c>
      <c r="H30" s="13">
        <f>SUM(IFERROR(VLOOKUP($C:$C,Structure!$A:$AJ,H$1,0)*15,0),IFERROR(VLOOKUP($D:$D,Structure!$A:$AJ,H$1,0)*15,0),IFERROR(VLOOKUP($E:$E,Structure!$A:$AJ,H$1,0)*15,0))</f>
        <v>0</v>
      </c>
      <c r="I30" s="13">
        <f>SUM(IFERROR(VLOOKUP($C:$C,Structure!$A:$AJ,I$1,0)*15,0),IFERROR(VLOOKUP($D:$D,Structure!$A:$AJ,I$1,0)*15,0),IFERROR(VLOOKUP($E:$E,Structure!$A:$AJ,I$1,0)*15,0))</f>
        <v>0</v>
      </c>
      <c r="J30" s="13">
        <f>SUM(IFERROR(VLOOKUP($C:$C,Structure!$A:$AJ,J$1,0)*15,0),IFERROR(VLOOKUP($D:$D,Structure!$A:$AJ,J$1,0)*15,0),IFERROR(VLOOKUP($E:$E,Structure!$A:$AJ,J$1,0)*15,0))</f>
        <v>0</v>
      </c>
      <c r="K30" s="13">
        <f>SUM(IFERROR(VLOOKUP($C:$C,Structure!$A:$AJ,K$1,0)*15,0),IFERROR(VLOOKUP($D:$D,Structure!$A:$AJ,K$1,0)*15,0),IFERROR(VLOOKUP($E:$E,Structure!$A:$AJ,K$1,0)*15,0))</f>
        <v>0</v>
      </c>
      <c r="L30" s="13">
        <f>SUM(IFERROR(VLOOKUP($C:$C,Structure!$A:$AJ,L$1,0)*15,0),IFERROR(VLOOKUP($D:$D,Structure!$A:$AJ,L$1,0)*15,0),IFERROR(VLOOKUP($E:$E,Structure!$A:$AJ,L$1,0)*15,0))</f>
        <v>0</v>
      </c>
      <c r="M30" s="13">
        <f>SUM(IFERROR(VLOOKUP($C:$C,Structure!$A:$AJ,M$1,0)*15,0),IFERROR(VLOOKUP($D:$D,Structure!$A:$AJ,M$1,0)*15,0),IFERROR(VLOOKUP($E:$E,Structure!$A:$AJ,M$1,0)*15,0))</f>
        <v>0</v>
      </c>
      <c r="N30" s="13">
        <f>SUM(IFERROR(VLOOKUP($C:$C,Structure!$A:$AJ,N$1,0)*15,0),IFERROR(VLOOKUP($D:$D,Structure!$A:$AJ,N$1,0)*15,0),IFERROR(VLOOKUP($E:$E,Structure!$A:$AJ,N$1,0)*15,0))</f>
        <v>0</v>
      </c>
      <c r="O30" s="13">
        <f>SUM(IFERROR(VLOOKUP($C:$C,Structure!$A:$AJ,O$1,0)*15,0),IFERROR(VLOOKUP($D:$D,Structure!$A:$AJ,O$1,0)*15,0),IFERROR(VLOOKUP($E:$E,Structure!$A:$AJ,O$1,0)*15,0))</f>
        <v>0</v>
      </c>
      <c r="P30" s="13">
        <f>SUM(IFERROR(VLOOKUP($C:$C,Structure!$A:$AJ,P$1,0)*15,0),IFERROR(VLOOKUP($D:$D,Structure!$A:$AJ,P$1,0)*15,0),IFERROR(VLOOKUP($E:$E,Structure!$A:$AJ,P$1,0)*15,0))</f>
        <v>0</v>
      </c>
      <c r="Q30" s="13">
        <f>SUM(IFERROR(VLOOKUP($C:$C,Structure!$A:$AJ,Q$1,0)*15,0),IFERROR(VLOOKUP($D:$D,Structure!$A:$AJ,Q$1,0)*15,0),IFERROR(VLOOKUP($E:$E,Structure!$A:$AJ,Q$1,0)*15,0))</f>
        <v>0</v>
      </c>
      <c r="R30" s="13">
        <f>SUM(IFERROR(VLOOKUP($C:$C,Structure!$A:$AJ,R$1,0)*15,0),IFERROR(VLOOKUP($D:$D,Structure!$A:$AJ,R$1,0)*15,0),IFERROR(VLOOKUP($E:$E,Structure!$A:$AJ,R$1,0)*15,0))</f>
        <v>0</v>
      </c>
      <c r="S30" s="13">
        <f>SUM(IFERROR(VLOOKUP($C:$C,Structure!$A:$AJ,S$1,0)*15,0),IFERROR(VLOOKUP($D:$D,Structure!$A:$AJ,S$1,0)*15,0),IFERROR(VLOOKUP($E:$E,Structure!$A:$AJ,S$1,0)*15,0))</f>
        <v>0</v>
      </c>
      <c r="T30" s="13">
        <f>SUM(IFERROR(VLOOKUP($C:$C,Structure!$A:$AJ,T$1,0)*15,0),IFERROR(VLOOKUP($D:$D,Structure!$A:$AJ,T$1,0)*15,0),IFERROR(VLOOKUP($E:$E,Structure!$A:$AJ,T$1,0)*15,0))</f>
        <v>0</v>
      </c>
      <c r="U30" s="13">
        <f>SUM(IFERROR(VLOOKUP($C:$C,Structure!$A:$AJ,U$1,0)*15,0),IFERROR(VLOOKUP($D:$D,Structure!$A:$AJ,U$1,0)*15,0),IFERROR(VLOOKUP($E:$E,Structure!$A:$AJ,U$1,0)*15,0))</f>
        <v>0</v>
      </c>
      <c r="V30" s="13">
        <f>SUM(IFERROR(VLOOKUP($C:$C,Structure!$A:$AJ,V$1,0)*15,0),IFERROR(VLOOKUP($D:$D,Structure!$A:$AJ,V$1,0)*15,0),IFERROR(VLOOKUP($E:$E,Structure!$A:$AJ,V$1,0)*15,0))</f>
        <v>0</v>
      </c>
      <c r="W30" s="13">
        <f>SUM(IFERROR(VLOOKUP($C:$C,Structure!$A:$AJ,W$1,0)*15,0),IFERROR(VLOOKUP($D:$D,Structure!$A:$AJ,W$1,0)*15,0),IFERROR(VLOOKUP($E:$E,Structure!$A:$AJ,W$1,0)*15,0))</f>
        <v>0</v>
      </c>
      <c r="X30" s="13">
        <f>SUM(IFERROR(VLOOKUP($C:$C,Structure!$A:$AJ,X$1,0)*15,0),IFERROR(VLOOKUP($D:$D,Structure!$A:$AJ,X$1,0)*15,0),IFERROR(VLOOKUP($E:$E,Structure!$A:$AJ,X$1,0)*15,0))</f>
        <v>0</v>
      </c>
      <c r="Y30" s="13">
        <f>SUM(IFERROR(VLOOKUP($C:$C,Structure!$A:$AJ,Y$1,0)*15,0),IFERROR(VLOOKUP($D:$D,Structure!$A:$AJ,Y$1,0)*15,0),IFERROR(VLOOKUP($E:$E,Structure!$A:$AJ,Y$1,0)*15,0))</f>
        <v>0</v>
      </c>
      <c r="Z30" s="13">
        <f>SUM(IFERROR(VLOOKUP($C:$C,Structure!$A:$AJ,Z$1,0)*15,0),IFERROR(VLOOKUP($D:$D,Structure!$A:$AJ,Z$1,0)*15,0),IFERROR(VLOOKUP($E:$E,Structure!$A:$AJ,Z$1,0)*15,0))</f>
        <v>0</v>
      </c>
      <c r="AA30" s="13">
        <f>SUM(IFERROR(VLOOKUP($C:$C,Structure!$A:$AJ,AA$1,0)*15,0),IFERROR(VLOOKUP($D:$D,Structure!$A:$AJ,AA$1,0)*15,0),IFERROR(VLOOKUP($E:$E,Structure!$A:$AJ,AA$1,0)*15,0))</f>
        <v>45</v>
      </c>
      <c r="AB30" s="13">
        <f>SUM(IFERROR(VLOOKUP($C:$C,Structure!$A:$AJ,AB$1,0)*15,0),IFERROR(VLOOKUP($D:$D,Structure!$A:$AJ,AB$1,0)*15,0),IFERROR(VLOOKUP($E:$E,Structure!$A:$AJ,AB$1,0)*15,0))</f>
        <v>0</v>
      </c>
      <c r="AC30" s="13">
        <f>SUM(IFERROR(VLOOKUP($C:$C,Structure!$A:$AJ,AC$1,0)*15,0),IFERROR(VLOOKUP($D:$D,Structure!$A:$AJ,AC$1,0)*15,0),IFERROR(VLOOKUP($E:$E,Structure!$A:$AJ,AC$1,0)*15,0))</f>
        <v>0</v>
      </c>
      <c r="AD30" s="13">
        <f>SUM(IFERROR(VLOOKUP($C:$C,Structure!$A:$AJ,AD$1,0)*15,0),IFERROR(VLOOKUP($D:$D,Structure!$A:$AJ,AD$1,0)*15,0),IFERROR(VLOOKUP($E:$E,Structure!$A:$AJ,AD$1,0)*15,0))</f>
        <v>0</v>
      </c>
      <c r="AE30" s="13">
        <f>SUM(IFERROR(VLOOKUP($C:$C,Structure!$A:$AJ,AE$1,0)*15,0),IFERROR(VLOOKUP($D:$D,Structure!$A:$AJ,AE$1,0)*15,0),IFERROR(VLOOKUP($E:$E,Structure!$A:$AJ,AE$1,0)*15,0))</f>
        <v>0</v>
      </c>
      <c r="AF30" s="13">
        <f>SUM(IFERROR(VLOOKUP($C:$C,Structure!$A:$AJ,AF$1,0)*15,0),IFERROR(VLOOKUP($D:$D,Structure!$A:$AJ,AF$1,0)*15,0),IFERROR(VLOOKUP($E:$E,Structure!$A:$AJ,AF$1,0)*15,0))</f>
        <v>0</v>
      </c>
      <c r="AG30" s="13">
        <f>SUM(IFERROR(VLOOKUP($C:$C,Structure!$A:$AJ,AG$1,0)*15,0),IFERROR(VLOOKUP($D:$D,Structure!$A:$AJ,AG$1,0)*15,0),IFERROR(VLOOKUP($E:$E,Structure!$A:$AJ,AG$1,0)*15,0))</f>
        <v>0</v>
      </c>
      <c r="AH30" s="13">
        <f>SUM(IFERROR(VLOOKUP($C:$C,Structure!$A:$AJ,AH$1,0)*15,0),IFERROR(VLOOKUP($D:$D,Structure!$A:$AJ,AH$1,0)*15,0),IFERROR(VLOOKUP($E:$E,Structure!$A:$AJ,AH$1,0)*15,0))</f>
        <v>0</v>
      </c>
      <c r="AI30" s="13">
        <f>SUM(IFERROR(VLOOKUP($C:$C,Structure!$A:$AJ,AI$1,0)*15,0),IFERROR(VLOOKUP($D:$D,Structure!$A:$AJ,AI$1,0)*15,0),IFERROR(VLOOKUP($E:$E,Structure!$A:$AJ,AI$1,0)*15,0))</f>
        <v>0</v>
      </c>
      <c r="AJ30" s="13">
        <f>SUM(IFERROR(VLOOKUP($C:$C,Structure!$A:$AJ,AJ$1,0)*15,0),IFERROR(VLOOKUP($D:$D,Structure!$A:$AJ,AJ$1,0)*15,0),IFERROR(VLOOKUP($E:$E,Structure!$A:$AJ,AJ$1,0)*15,0))</f>
        <v>30</v>
      </c>
      <c r="AK30" s="13">
        <f>SUM(IFERROR(VLOOKUP($C:$C,Structure!$A:$AJ,AK$1,0)*15,0),IFERROR(VLOOKUP($D:$D,Structure!$A:$AJ,AK$1,0)*15,0),IFERROR(VLOOKUP($E:$E,Structure!$A:$AJ,AK$1,0)*15,0))</f>
        <v>15</v>
      </c>
      <c r="AL30" s="13">
        <f>SUM(IFERROR(VLOOKUP($C:$C,Structure!$A:$AJ,AL$1,0)*15,0),IFERROR(VLOOKUP($D:$D,Structure!$A:$AJ,AL$1,0)*15,0),IFERROR(VLOOKUP($E:$E,Structure!$A:$AJ,AL$1,0)*15,0))</f>
        <v>0</v>
      </c>
      <c r="AM30" s="13">
        <f>SUM(IFERROR(VLOOKUP($C:$C,Structure!$A:$AJ,AM$1,0)*15,0),IFERROR(VLOOKUP($D:$D,Structure!$A:$AJ,AM$1,0)*15,0),IFERROR(VLOOKUP($E:$E,Structure!$A:$AJ,AM$1,0)*15,0))</f>
        <v>0</v>
      </c>
      <c r="AN30" s="13">
        <f>SUM(IFERROR(VLOOKUP($C:$C,Structure!$A:$AJ,AN$1,0)*15,0),IFERROR(VLOOKUP($D:$D,Structure!$A:$AJ,AN$1,0)*15,0),IFERROR(VLOOKUP($E:$E,Structure!$A:$AJ,AN$1,0)*15,0))</f>
        <v>0</v>
      </c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3"/>
      <c r="BZ30" s="4">
        <f>BZ29+AQ30-F30</f>
        <v>0</v>
      </c>
      <c r="CA30" s="4">
        <f>CA29+AR30-G30</f>
        <v>0</v>
      </c>
      <c r="CB30" s="4">
        <f>CB29+AS30-H30</f>
        <v>0</v>
      </c>
      <c r="CC30" s="4">
        <f>CC29+AT30-I30</f>
        <v>0</v>
      </c>
      <c r="CD30" s="4">
        <f>CD29+AU30-J30</f>
        <v>0</v>
      </c>
      <c r="CE30" s="4">
        <f>CE29+AV30-K30</f>
        <v>0</v>
      </c>
      <c r="CF30" s="4">
        <f>CF29+AW30-L30</f>
        <v>0</v>
      </c>
      <c r="CG30" s="4">
        <f>CG29+AX30-M30</f>
        <v>0</v>
      </c>
      <c r="CH30" s="4">
        <f>CH29+AY30-N30</f>
        <v>0</v>
      </c>
      <c r="CI30" s="4">
        <f>CI29+AZ30-O30</f>
        <v>0</v>
      </c>
      <c r="CJ30" s="4">
        <f>CJ29+BA30-P30</f>
        <v>0</v>
      </c>
      <c r="CK30" s="4">
        <f>CK29+BB30-Q30</f>
        <v>0</v>
      </c>
      <c r="CL30" s="4">
        <f>CL29+BC30-R30</f>
        <v>0</v>
      </c>
      <c r="CM30" s="4">
        <f>CM29+BD30-S30</f>
        <v>0</v>
      </c>
      <c r="CN30" s="4">
        <f>CN29+BE30-T30</f>
        <v>0</v>
      </c>
      <c r="CO30" s="4">
        <f>CO29+BF30-U30</f>
        <v>0</v>
      </c>
      <c r="CP30" s="4">
        <f>CP29+BG30-V30</f>
        <v>0</v>
      </c>
      <c r="CQ30" s="4">
        <f>CQ29+BH30-W30</f>
        <v>0</v>
      </c>
      <c r="CR30" s="4">
        <f>CR29+BI30-X30</f>
        <v>0</v>
      </c>
      <c r="CS30" s="4">
        <f>CS29+BJ30-Y30</f>
        <v>0</v>
      </c>
      <c r="CT30" s="4">
        <f>CT29+BK30-Z30</f>
        <v>0</v>
      </c>
      <c r="CU30" s="4">
        <f>CU29+BL30-AA30</f>
        <v>-1025</v>
      </c>
      <c r="CV30" s="4">
        <f>CV29+BM30-AB30</f>
        <v>-135</v>
      </c>
      <c r="CW30" s="4">
        <f>CW29+BN30-AC30</f>
        <v>0</v>
      </c>
      <c r="CX30" s="4">
        <f>CX29+BO30-AD30</f>
        <v>0</v>
      </c>
      <c r="CY30" s="4">
        <f>CY29+BP30-AE30</f>
        <v>0</v>
      </c>
      <c r="CZ30" s="4">
        <f>CZ29+BQ30-AF30</f>
        <v>-55</v>
      </c>
      <c r="DA30" s="4">
        <f>DA29+BR30-AG30</f>
        <v>0</v>
      </c>
      <c r="DB30" s="4">
        <f>DB29+BS30-AH30</f>
        <v>0</v>
      </c>
      <c r="DC30" s="4">
        <f>DC29+BT30-AI30</f>
        <v>0</v>
      </c>
      <c r="DD30" s="4">
        <f>DD29+BU30-AJ30</f>
        <v>-790</v>
      </c>
      <c r="DE30" s="4">
        <f>DE29+BV30-AK30</f>
        <v>-255</v>
      </c>
      <c r="DF30" s="4">
        <f>DF29+BW30-AL30</f>
        <v>0</v>
      </c>
      <c r="DG30" s="4">
        <f>DG29+BX30-AM30</f>
        <v>20</v>
      </c>
      <c r="DH30" s="4">
        <f>DH29+BY30-AN30</f>
        <v>0</v>
      </c>
    </row>
    <row r="31" spans="1:112" x14ac:dyDescent="0.25">
      <c r="A31" s="6">
        <v>46180</v>
      </c>
      <c r="B31" s="7">
        <v>0.49999999993451638</v>
      </c>
      <c r="C31" s="3" t="s">
        <v>3</v>
      </c>
      <c r="D31" s="3" t="s">
        <v>6</v>
      </c>
      <c r="E31" s="3" t="s">
        <v>2</v>
      </c>
      <c r="F31" s="13">
        <f>SUM(IFERROR(VLOOKUP($C:$C,Structure!$A:$AJ,F$1,0)*15,0),IFERROR(VLOOKUP($D:$D,Structure!$A:$AJ,F$1,0)*15,0),IFERROR(VLOOKUP($E:$E,Structure!$A:$AJ,F$1,0)*15,0))</f>
        <v>0</v>
      </c>
      <c r="G31" s="13">
        <f>SUM(IFERROR(VLOOKUP($C:$C,Structure!$A:$AJ,G$1,0)*15,0),IFERROR(VLOOKUP($D:$D,Structure!$A:$AJ,G$1,0)*15,0),IFERROR(VLOOKUP($E:$E,Structure!$A:$AJ,G$1,0)*15,0))</f>
        <v>0</v>
      </c>
      <c r="H31" s="13">
        <f>SUM(IFERROR(VLOOKUP($C:$C,Structure!$A:$AJ,H$1,0)*15,0),IFERROR(VLOOKUP($D:$D,Structure!$A:$AJ,H$1,0)*15,0),IFERROR(VLOOKUP($E:$E,Structure!$A:$AJ,H$1,0)*15,0))</f>
        <v>0</v>
      </c>
      <c r="I31" s="13">
        <f>SUM(IFERROR(VLOOKUP($C:$C,Structure!$A:$AJ,I$1,0)*15,0),IFERROR(VLOOKUP($D:$D,Structure!$A:$AJ,I$1,0)*15,0),IFERROR(VLOOKUP($E:$E,Structure!$A:$AJ,I$1,0)*15,0))</f>
        <v>0</v>
      </c>
      <c r="J31" s="13">
        <f>SUM(IFERROR(VLOOKUP($C:$C,Structure!$A:$AJ,J$1,0)*15,0),IFERROR(VLOOKUP($D:$D,Structure!$A:$AJ,J$1,0)*15,0),IFERROR(VLOOKUP($E:$E,Structure!$A:$AJ,J$1,0)*15,0))</f>
        <v>0</v>
      </c>
      <c r="K31" s="13">
        <f>SUM(IFERROR(VLOOKUP($C:$C,Structure!$A:$AJ,K$1,0)*15,0),IFERROR(VLOOKUP($D:$D,Structure!$A:$AJ,K$1,0)*15,0),IFERROR(VLOOKUP($E:$E,Structure!$A:$AJ,K$1,0)*15,0))</f>
        <v>0</v>
      </c>
      <c r="L31" s="13">
        <f>SUM(IFERROR(VLOOKUP($C:$C,Structure!$A:$AJ,L$1,0)*15,0),IFERROR(VLOOKUP($D:$D,Structure!$A:$AJ,L$1,0)*15,0),IFERROR(VLOOKUP($E:$E,Structure!$A:$AJ,L$1,0)*15,0))</f>
        <v>0</v>
      </c>
      <c r="M31" s="13">
        <f>SUM(IFERROR(VLOOKUP($C:$C,Structure!$A:$AJ,M$1,0)*15,0),IFERROR(VLOOKUP($D:$D,Structure!$A:$AJ,M$1,0)*15,0),IFERROR(VLOOKUP($E:$E,Structure!$A:$AJ,M$1,0)*15,0))</f>
        <v>0</v>
      </c>
      <c r="N31" s="13">
        <f>SUM(IFERROR(VLOOKUP($C:$C,Structure!$A:$AJ,N$1,0)*15,0),IFERROR(VLOOKUP($D:$D,Structure!$A:$AJ,N$1,0)*15,0),IFERROR(VLOOKUP($E:$E,Structure!$A:$AJ,N$1,0)*15,0))</f>
        <v>0</v>
      </c>
      <c r="O31" s="13">
        <f>SUM(IFERROR(VLOOKUP($C:$C,Structure!$A:$AJ,O$1,0)*15,0),IFERROR(VLOOKUP($D:$D,Structure!$A:$AJ,O$1,0)*15,0),IFERROR(VLOOKUP($E:$E,Structure!$A:$AJ,O$1,0)*15,0))</f>
        <v>0</v>
      </c>
      <c r="P31" s="13">
        <f>SUM(IFERROR(VLOOKUP($C:$C,Structure!$A:$AJ,P$1,0)*15,0),IFERROR(VLOOKUP($D:$D,Structure!$A:$AJ,P$1,0)*15,0),IFERROR(VLOOKUP($E:$E,Structure!$A:$AJ,P$1,0)*15,0))</f>
        <v>0</v>
      </c>
      <c r="Q31" s="13">
        <f>SUM(IFERROR(VLOOKUP($C:$C,Structure!$A:$AJ,Q$1,0)*15,0),IFERROR(VLOOKUP($D:$D,Structure!$A:$AJ,Q$1,0)*15,0),IFERROR(VLOOKUP($E:$E,Structure!$A:$AJ,Q$1,0)*15,0))</f>
        <v>0</v>
      </c>
      <c r="R31" s="13">
        <f>SUM(IFERROR(VLOOKUP($C:$C,Structure!$A:$AJ,R$1,0)*15,0),IFERROR(VLOOKUP($D:$D,Structure!$A:$AJ,R$1,0)*15,0),IFERROR(VLOOKUP($E:$E,Structure!$A:$AJ,R$1,0)*15,0))</f>
        <v>0</v>
      </c>
      <c r="S31" s="13">
        <f>SUM(IFERROR(VLOOKUP($C:$C,Structure!$A:$AJ,S$1,0)*15,0),IFERROR(VLOOKUP($D:$D,Structure!$A:$AJ,S$1,0)*15,0),IFERROR(VLOOKUP($E:$E,Structure!$A:$AJ,S$1,0)*15,0))</f>
        <v>0</v>
      </c>
      <c r="T31" s="13">
        <f>SUM(IFERROR(VLOOKUP($C:$C,Structure!$A:$AJ,T$1,0)*15,0),IFERROR(VLOOKUP($D:$D,Structure!$A:$AJ,T$1,0)*15,0),IFERROR(VLOOKUP($E:$E,Structure!$A:$AJ,T$1,0)*15,0))</f>
        <v>0</v>
      </c>
      <c r="U31" s="13">
        <f>SUM(IFERROR(VLOOKUP($C:$C,Structure!$A:$AJ,U$1,0)*15,0),IFERROR(VLOOKUP($D:$D,Structure!$A:$AJ,U$1,0)*15,0),IFERROR(VLOOKUP($E:$E,Structure!$A:$AJ,U$1,0)*15,0))</f>
        <v>0</v>
      </c>
      <c r="V31" s="13">
        <f>SUM(IFERROR(VLOOKUP($C:$C,Structure!$A:$AJ,V$1,0)*15,0),IFERROR(VLOOKUP($D:$D,Structure!$A:$AJ,V$1,0)*15,0),IFERROR(VLOOKUP($E:$E,Structure!$A:$AJ,V$1,0)*15,0))</f>
        <v>0</v>
      </c>
      <c r="W31" s="13">
        <f>SUM(IFERROR(VLOOKUP($C:$C,Structure!$A:$AJ,W$1,0)*15,0),IFERROR(VLOOKUP($D:$D,Structure!$A:$AJ,W$1,0)*15,0),IFERROR(VLOOKUP($E:$E,Structure!$A:$AJ,W$1,0)*15,0))</f>
        <v>0</v>
      </c>
      <c r="X31" s="13">
        <f>SUM(IFERROR(VLOOKUP($C:$C,Structure!$A:$AJ,X$1,0)*15,0),IFERROR(VLOOKUP($D:$D,Structure!$A:$AJ,X$1,0)*15,0),IFERROR(VLOOKUP($E:$E,Structure!$A:$AJ,X$1,0)*15,0))</f>
        <v>0</v>
      </c>
      <c r="Y31" s="13">
        <f>SUM(IFERROR(VLOOKUP($C:$C,Structure!$A:$AJ,Y$1,0)*15,0),IFERROR(VLOOKUP($D:$D,Structure!$A:$AJ,Y$1,0)*15,0),IFERROR(VLOOKUP($E:$E,Structure!$A:$AJ,Y$1,0)*15,0))</f>
        <v>0</v>
      </c>
      <c r="Z31" s="13">
        <f>SUM(IFERROR(VLOOKUP($C:$C,Structure!$A:$AJ,Z$1,0)*15,0),IFERROR(VLOOKUP($D:$D,Structure!$A:$AJ,Z$1,0)*15,0),IFERROR(VLOOKUP($E:$E,Structure!$A:$AJ,Z$1,0)*15,0))</f>
        <v>0</v>
      </c>
      <c r="AA31" s="13">
        <f>SUM(IFERROR(VLOOKUP($C:$C,Structure!$A:$AJ,AA$1,0)*15,0),IFERROR(VLOOKUP($D:$D,Structure!$A:$AJ,AA$1,0)*15,0),IFERROR(VLOOKUP($E:$E,Structure!$A:$AJ,AA$1,0)*15,0))</f>
        <v>45</v>
      </c>
      <c r="AB31" s="13">
        <f>SUM(IFERROR(VLOOKUP($C:$C,Structure!$A:$AJ,AB$1,0)*15,0),IFERROR(VLOOKUP($D:$D,Structure!$A:$AJ,AB$1,0)*15,0),IFERROR(VLOOKUP($E:$E,Structure!$A:$AJ,AB$1,0)*15,0))</f>
        <v>0</v>
      </c>
      <c r="AC31" s="13">
        <f>SUM(IFERROR(VLOOKUP($C:$C,Structure!$A:$AJ,AC$1,0)*15,0),IFERROR(VLOOKUP($D:$D,Structure!$A:$AJ,AC$1,0)*15,0),IFERROR(VLOOKUP($E:$E,Structure!$A:$AJ,AC$1,0)*15,0))</f>
        <v>0</v>
      </c>
      <c r="AD31" s="13">
        <f>SUM(IFERROR(VLOOKUP($C:$C,Structure!$A:$AJ,AD$1,0)*15,0),IFERROR(VLOOKUP($D:$D,Structure!$A:$AJ,AD$1,0)*15,0),IFERROR(VLOOKUP($E:$E,Structure!$A:$AJ,AD$1,0)*15,0))</f>
        <v>0</v>
      </c>
      <c r="AE31" s="13">
        <f>SUM(IFERROR(VLOOKUP($C:$C,Structure!$A:$AJ,AE$1,0)*15,0),IFERROR(VLOOKUP($D:$D,Structure!$A:$AJ,AE$1,0)*15,0),IFERROR(VLOOKUP($E:$E,Structure!$A:$AJ,AE$1,0)*15,0))</f>
        <v>0</v>
      </c>
      <c r="AF31" s="13">
        <f>SUM(IFERROR(VLOOKUP($C:$C,Structure!$A:$AJ,AF$1,0)*15,0),IFERROR(VLOOKUP($D:$D,Structure!$A:$AJ,AF$1,0)*15,0),IFERROR(VLOOKUP($E:$E,Structure!$A:$AJ,AF$1,0)*15,0))</f>
        <v>0</v>
      </c>
      <c r="AG31" s="13">
        <f>SUM(IFERROR(VLOOKUP($C:$C,Structure!$A:$AJ,AG$1,0)*15,0),IFERROR(VLOOKUP($D:$D,Structure!$A:$AJ,AG$1,0)*15,0),IFERROR(VLOOKUP($E:$E,Structure!$A:$AJ,AG$1,0)*15,0))</f>
        <v>0</v>
      </c>
      <c r="AH31" s="13">
        <f>SUM(IFERROR(VLOOKUP($C:$C,Structure!$A:$AJ,AH$1,0)*15,0),IFERROR(VLOOKUP($D:$D,Structure!$A:$AJ,AH$1,0)*15,0),IFERROR(VLOOKUP($E:$E,Structure!$A:$AJ,AH$1,0)*15,0))</f>
        <v>0</v>
      </c>
      <c r="AI31" s="13">
        <f>SUM(IFERROR(VLOOKUP($C:$C,Structure!$A:$AJ,AI$1,0)*15,0),IFERROR(VLOOKUP($D:$D,Structure!$A:$AJ,AI$1,0)*15,0),IFERROR(VLOOKUP($E:$E,Structure!$A:$AJ,AI$1,0)*15,0))</f>
        <v>0</v>
      </c>
      <c r="AJ31" s="13">
        <f>SUM(IFERROR(VLOOKUP($C:$C,Structure!$A:$AJ,AJ$1,0)*15,0),IFERROR(VLOOKUP($D:$D,Structure!$A:$AJ,AJ$1,0)*15,0),IFERROR(VLOOKUP($E:$E,Structure!$A:$AJ,AJ$1,0)*15,0))</f>
        <v>30</v>
      </c>
      <c r="AK31" s="13">
        <f>SUM(IFERROR(VLOOKUP($C:$C,Structure!$A:$AJ,AK$1,0)*15,0),IFERROR(VLOOKUP($D:$D,Structure!$A:$AJ,AK$1,0)*15,0),IFERROR(VLOOKUP($E:$E,Structure!$A:$AJ,AK$1,0)*15,0))</f>
        <v>15</v>
      </c>
      <c r="AL31" s="13">
        <f>SUM(IFERROR(VLOOKUP($C:$C,Structure!$A:$AJ,AL$1,0)*15,0),IFERROR(VLOOKUP($D:$D,Structure!$A:$AJ,AL$1,0)*15,0),IFERROR(VLOOKUP($E:$E,Structure!$A:$AJ,AL$1,0)*15,0))</f>
        <v>0</v>
      </c>
      <c r="AM31" s="13">
        <f>SUM(IFERROR(VLOOKUP($C:$C,Structure!$A:$AJ,AM$1,0)*15,0),IFERROR(VLOOKUP($D:$D,Structure!$A:$AJ,AM$1,0)*15,0),IFERROR(VLOOKUP($E:$E,Structure!$A:$AJ,AM$1,0)*15,0))</f>
        <v>0</v>
      </c>
      <c r="AN31" s="13">
        <f>SUM(IFERROR(VLOOKUP($C:$C,Structure!$A:$AJ,AN$1,0)*15,0),IFERROR(VLOOKUP($D:$D,Structure!$A:$AJ,AN$1,0)*15,0),IFERROR(VLOOKUP($E:$E,Structure!$A:$AJ,AN$1,0)*15,0))</f>
        <v>0</v>
      </c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3"/>
      <c r="BZ31" s="4">
        <f>BZ30+AQ31-F31</f>
        <v>0</v>
      </c>
      <c r="CA31" s="4">
        <f>CA30+AR31-G31</f>
        <v>0</v>
      </c>
      <c r="CB31" s="4">
        <f>CB30+AS31-H31</f>
        <v>0</v>
      </c>
      <c r="CC31" s="4">
        <f>CC30+AT31-I31</f>
        <v>0</v>
      </c>
      <c r="CD31" s="4">
        <f>CD30+AU31-J31</f>
        <v>0</v>
      </c>
      <c r="CE31" s="4">
        <f>CE30+AV31-K31</f>
        <v>0</v>
      </c>
      <c r="CF31" s="4">
        <f>CF30+AW31-L31</f>
        <v>0</v>
      </c>
      <c r="CG31" s="4">
        <f>CG30+AX31-M31</f>
        <v>0</v>
      </c>
      <c r="CH31" s="4">
        <f>CH30+AY31-N31</f>
        <v>0</v>
      </c>
      <c r="CI31" s="4">
        <f>CI30+AZ31-O31</f>
        <v>0</v>
      </c>
      <c r="CJ31" s="4">
        <f>CJ30+BA31-P31</f>
        <v>0</v>
      </c>
      <c r="CK31" s="4">
        <f>CK30+BB31-Q31</f>
        <v>0</v>
      </c>
      <c r="CL31" s="4">
        <f>CL30+BC31-R31</f>
        <v>0</v>
      </c>
      <c r="CM31" s="4">
        <f>CM30+BD31-S31</f>
        <v>0</v>
      </c>
      <c r="CN31" s="4">
        <f>CN30+BE31-T31</f>
        <v>0</v>
      </c>
      <c r="CO31" s="4">
        <f>CO30+BF31-U31</f>
        <v>0</v>
      </c>
      <c r="CP31" s="4">
        <f>CP30+BG31-V31</f>
        <v>0</v>
      </c>
      <c r="CQ31" s="4">
        <f>CQ30+BH31-W31</f>
        <v>0</v>
      </c>
      <c r="CR31" s="4">
        <f>CR30+BI31-X31</f>
        <v>0</v>
      </c>
      <c r="CS31" s="4">
        <f>CS30+BJ31-Y31</f>
        <v>0</v>
      </c>
      <c r="CT31" s="4">
        <f>CT30+BK31-Z31</f>
        <v>0</v>
      </c>
      <c r="CU31" s="4">
        <f>CU30+BL31-AA31</f>
        <v>-1070</v>
      </c>
      <c r="CV31" s="4">
        <f>CV30+BM31-AB31</f>
        <v>-135</v>
      </c>
      <c r="CW31" s="4">
        <f>CW30+BN31-AC31</f>
        <v>0</v>
      </c>
      <c r="CX31" s="4">
        <f>CX30+BO31-AD31</f>
        <v>0</v>
      </c>
      <c r="CY31" s="4">
        <f>CY30+BP31-AE31</f>
        <v>0</v>
      </c>
      <c r="CZ31" s="4">
        <f>CZ30+BQ31-AF31</f>
        <v>-55</v>
      </c>
      <c r="DA31" s="4">
        <f>DA30+BR31-AG31</f>
        <v>0</v>
      </c>
      <c r="DB31" s="4">
        <f>DB30+BS31-AH31</f>
        <v>0</v>
      </c>
      <c r="DC31" s="4">
        <f>DC30+BT31-AI31</f>
        <v>0</v>
      </c>
      <c r="DD31" s="4">
        <f>DD30+BU31-AJ31</f>
        <v>-820</v>
      </c>
      <c r="DE31" s="4">
        <f>DE30+BV31-AK31</f>
        <v>-270</v>
      </c>
      <c r="DF31" s="4">
        <f>DF30+BW31-AL31</f>
        <v>0</v>
      </c>
      <c r="DG31" s="4">
        <f>DG30+BX31-AM31</f>
        <v>20</v>
      </c>
      <c r="DH31" s="4">
        <f>DH30+BY31-AN31</f>
        <v>0</v>
      </c>
    </row>
    <row r="32" spans="1:112" x14ac:dyDescent="0.25">
      <c r="A32" s="6">
        <v>46180</v>
      </c>
      <c r="B32" s="7">
        <v>0.54166666659875773</v>
      </c>
      <c r="C32" s="3" t="s">
        <v>3</v>
      </c>
      <c r="D32" s="3" t="s">
        <v>6</v>
      </c>
      <c r="E32" s="3" t="s">
        <v>2</v>
      </c>
      <c r="F32" s="13">
        <f>SUM(IFERROR(VLOOKUP($C:$C,Structure!$A:$AJ,F$1,0)*15,0),IFERROR(VLOOKUP($D:$D,Structure!$A:$AJ,F$1,0)*15,0),IFERROR(VLOOKUP($E:$E,Structure!$A:$AJ,F$1,0)*15,0))</f>
        <v>0</v>
      </c>
      <c r="G32" s="13">
        <f>SUM(IFERROR(VLOOKUP($C:$C,Structure!$A:$AJ,G$1,0)*15,0),IFERROR(VLOOKUP($D:$D,Structure!$A:$AJ,G$1,0)*15,0),IFERROR(VLOOKUP($E:$E,Structure!$A:$AJ,G$1,0)*15,0))</f>
        <v>0</v>
      </c>
      <c r="H32" s="13">
        <f>SUM(IFERROR(VLOOKUP($C:$C,Structure!$A:$AJ,H$1,0)*15,0),IFERROR(VLOOKUP($D:$D,Structure!$A:$AJ,H$1,0)*15,0),IFERROR(VLOOKUP($E:$E,Structure!$A:$AJ,H$1,0)*15,0))</f>
        <v>0</v>
      </c>
      <c r="I32" s="13">
        <f>SUM(IFERROR(VLOOKUP($C:$C,Structure!$A:$AJ,I$1,0)*15,0),IFERROR(VLOOKUP($D:$D,Structure!$A:$AJ,I$1,0)*15,0),IFERROR(VLOOKUP($E:$E,Structure!$A:$AJ,I$1,0)*15,0))</f>
        <v>0</v>
      </c>
      <c r="J32" s="13">
        <f>SUM(IFERROR(VLOOKUP($C:$C,Structure!$A:$AJ,J$1,0)*15,0),IFERROR(VLOOKUP($D:$D,Structure!$A:$AJ,J$1,0)*15,0),IFERROR(VLOOKUP($E:$E,Structure!$A:$AJ,J$1,0)*15,0))</f>
        <v>0</v>
      </c>
      <c r="K32" s="13">
        <f>SUM(IFERROR(VLOOKUP($C:$C,Structure!$A:$AJ,K$1,0)*15,0),IFERROR(VLOOKUP($D:$D,Structure!$A:$AJ,K$1,0)*15,0),IFERROR(VLOOKUP($E:$E,Structure!$A:$AJ,K$1,0)*15,0))</f>
        <v>0</v>
      </c>
      <c r="L32" s="13">
        <f>SUM(IFERROR(VLOOKUP($C:$C,Structure!$A:$AJ,L$1,0)*15,0),IFERROR(VLOOKUP($D:$D,Structure!$A:$AJ,L$1,0)*15,0),IFERROR(VLOOKUP($E:$E,Structure!$A:$AJ,L$1,0)*15,0))</f>
        <v>0</v>
      </c>
      <c r="M32" s="13">
        <f>SUM(IFERROR(VLOOKUP($C:$C,Structure!$A:$AJ,M$1,0)*15,0),IFERROR(VLOOKUP($D:$D,Structure!$A:$AJ,M$1,0)*15,0),IFERROR(VLOOKUP($E:$E,Structure!$A:$AJ,M$1,0)*15,0))</f>
        <v>0</v>
      </c>
      <c r="N32" s="13">
        <f>SUM(IFERROR(VLOOKUP($C:$C,Structure!$A:$AJ,N$1,0)*15,0),IFERROR(VLOOKUP($D:$D,Structure!$A:$AJ,N$1,0)*15,0),IFERROR(VLOOKUP($E:$E,Structure!$A:$AJ,N$1,0)*15,0))</f>
        <v>0</v>
      </c>
      <c r="O32" s="13">
        <f>SUM(IFERROR(VLOOKUP($C:$C,Structure!$A:$AJ,O$1,0)*15,0),IFERROR(VLOOKUP($D:$D,Structure!$A:$AJ,O$1,0)*15,0),IFERROR(VLOOKUP($E:$E,Structure!$A:$AJ,O$1,0)*15,0))</f>
        <v>0</v>
      </c>
      <c r="P32" s="13">
        <f>SUM(IFERROR(VLOOKUP($C:$C,Structure!$A:$AJ,P$1,0)*15,0),IFERROR(VLOOKUP($D:$D,Structure!$A:$AJ,P$1,0)*15,0),IFERROR(VLOOKUP($E:$E,Structure!$A:$AJ,P$1,0)*15,0))</f>
        <v>0</v>
      </c>
      <c r="Q32" s="13">
        <f>SUM(IFERROR(VLOOKUP($C:$C,Structure!$A:$AJ,Q$1,0)*15,0),IFERROR(VLOOKUP($D:$D,Structure!$A:$AJ,Q$1,0)*15,0),IFERROR(VLOOKUP($E:$E,Structure!$A:$AJ,Q$1,0)*15,0))</f>
        <v>0</v>
      </c>
      <c r="R32" s="13">
        <f>SUM(IFERROR(VLOOKUP($C:$C,Structure!$A:$AJ,R$1,0)*15,0),IFERROR(VLOOKUP($D:$D,Structure!$A:$AJ,R$1,0)*15,0),IFERROR(VLOOKUP($E:$E,Structure!$A:$AJ,R$1,0)*15,0))</f>
        <v>0</v>
      </c>
      <c r="S32" s="13">
        <f>SUM(IFERROR(VLOOKUP($C:$C,Structure!$A:$AJ,S$1,0)*15,0),IFERROR(VLOOKUP($D:$D,Structure!$A:$AJ,S$1,0)*15,0),IFERROR(VLOOKUP($E:$E,Structure!$A:$AJ,S$1,0)*15,0))</f>
        <v>0</v>
      </c>
      <c r="T32" s="13">
        <f>SUM(IFERROR(VLOOKUP($C:$C,Structure!$A:$AJ,T$1,0)*15,0),IFERROR(VLOOKUP($D:$D,Structure!$A:$AJ,T$1,0)*15,0),IFERROR(VLOOKUP($E:$E,Structure!$A:$AJ,T$1,0)*15,0))</f>
        <v>0</v>
      </c>
      <c r="U32" s="13">
        <f>SUM(IFERROR(VLOOKUP($C:$C,Structure!$A:$AJ,U$1,0)*15,0),IFERROR(VLOOKUP($D:$D,Structure!$A:$AJ,U$1,0)*15,0),IFERROR(VLOOKUP($E:$E,Structure!$A:$AJ,U$1,0)*15,0))</f>
        <v>0</v>
      </c>
      <c r="V32" s="13">
        <f>SUM(IFERROR(VLOOKUP($C:$C,Structure!$A:$AJ,V$1,0)*15,0),IFERROR(VLOOKUP($D:$D,Structure!$A:$AJ,V$1,0)*15,0),IFERROR(VLOOKUP($E:$E,Structure!$A:$AJ,V$1,0)*15,0))</f>
        <v>0</v>
      </c>
      <c r="W32" s="13">
        <f>SUM(IFERROR(VLOOKUP($C:$C,Structure!$A:$AJ,W$1,0)*15,0),IFERROR(VLOOKUP($D:$D,Structure!$A:$AJ,W$1,0)*15,0),IFERROR(VLOOKUP($E:$E,Structure!$A:$AJ,W$1,0)*15,0))</f>
        <v>0</v>
      </c>
      <c r="X32" s="13">
        <f>SUM(IFERROR(VLOOKUP($C:$C,Structure!$A:$AJ,X$1,0)*15,0),IFERROR(VLOOKUP($D:$D,Structure!$A:$AJ,X$1,0)*15,0),IFERROR(VLOOKUP($E:$E,Structure!$A:$AJ,X$1,0)*15,0))</f>
        <v>0</v>
      </c>
      <c r="Y32" s="13">
        <f>SUM(IFERROR(VLOOKUP($C:$C,Structure!$A:$AJ,Y$1,0)*15,0),IFERROR(VLOOKUP($D:$D,Structure!$A:$AJ,Y$1,0)*15,0),IFERROR(VLOOKUP($E:$E,Structure!$A:$AJ,Y$1,0)*15,0))</f>
        <v>0</v>
      </c>
      <c r="Z32" s="13">
        <f>SUM(IFERROR(VLOOKUP($C:$C,Structure!$A:$AJ,Z$1,0)*15,0),IFERROR(VLOOKUP($D:$D,Structure!$A:$AJ,Z$1,0)*15,0),IFERROR(VLOOKUP($E:$E,Structure!$A:$AJ,Z$1,0)*15,0))</f>
        <v>0</v>
      </c>
      <c r="AA32" s="13">
        <f>SUM(IFERROR(VLOOKUP($C:$C,Structure!$A:$AJ,AA$1,0)*15,0),IFERROR(VLOOKUP($D:$D,Structure!$A:$AJ,AA$1,0)*15,0),IFERROR(VLOOKUP($E:$E,Structure!$A:$AJ,AA$1,0)*15,0))</f>
        <v>45</v>
      </c>
      <c r="AB32" s="13">
        <f>SUM(IFERROR(VLOOKUP($C:$C,Structure!$A:$AJ,AB$1,0)*15,0),IFERROR(VLOOKUP($D:$D,Structure!$A:$AJ,AB$1,0)*15,0),IFERROR(VLOOKUP($E:$E,Structure!$A:$AJ,AB$1,0)*15,0))</f>
        <v>0</v>
      </c>
      <c r="AC32" s="13">
        <f>SUM(IFERROR(VLOOKUP($C:$C,Structure!$A:$AJ,AC$1,0)*15,0),IFERROR(VLOOKUP($D:$D,Structure!$A:$AJ,AC$1,0)*15,0),IFERROR(VLOOKUP($E:$E,Structure!$A:$AJ,AC$1,0)*15,0))</f>
        <v>0</v>
      </c>
      <c r="AD32" s="13">
        <f>SUM(IFERROR(VLOOKUP($C:$C,Structure!$A:$AJ,AD$1,0)*15,0),IFERROR(VLOOKUP($D:$D,Structure!$A:$AJ,AD$1,0)*15,0),IFERROR(VLOOKUP($E:$E,Structure!$A:$AJ,AD$1,0)*15,0))</f>
        <v>0</v>
      </c>
      <c r="AE32" s="13">
        <f>SUM(IFERROR(VLOOKUP($C:$C,Structure!$A:$AJ,AE$1,0)*15,0),IFERROR(VLOOKUP($D:$D,Structure!$A:$AJ,AE$1,0)*15,0),IFERROR(VLOOKUP($E:$E,Structure!$A:$AJ,AE$1,0)*15,0))</f>
        <v>0</v>
      </c>
      <c r="AF32" s="13">
        <f>SUM(IFERROR(VLOOKUP($C:$C,Structure!$A:$AJ,AF$1,0)*15,0),IFERROR(VLOOKUP($D:$D,Structure!$A:$AJ,AF$1,0)*15,0),IFERROR(VLOOKUP($E:$E,Structure!$A:$AJ,AF$1,0)*15,0))</f>
        <v>0</v>
      </c>
      <c r="AG32" s="13">
        <f>SUM(IFERROR(VLOOKUP($C:$C,Structure!$A:$AJ,AG$1,0)*15,0),IFERROR(VLOOKUP($D:$D,Structure!$A:$AJ,AG$1,0)*15,0),IFERROR(VLOOKUP($E:$E,Structure!$A:$AJ,AG$1,0)*15,0))</f>
        <v>0</v>
      </c>
      <c r="AH32" s="13">
        <f>SUM(IFERROR(VLOOKUP($C:$C,Structure!$A:$AJ,AH$1,0)*15,0),IFERROR(VLOOKUP($D:$D,Structure!$A:$AJ,AH$1,0)*15,0),IFERROR(VLOOKUP($E:$E,Structure!$A:$AJ,AH$1,0)*15,0))</f>
        <v>0</v>
      </c>
      <c r="AI32" s="13">
        <f>SUM(IFERROR(VLOOKUP($C:$C,Structure!$A:$AJ,AI$1,0)*15,0),IFERROR(VLOOKUP($D:$D,Structure!$A:$AJ,AI$1,0)*15,0),IFERROR(VLOOKUP($E:$E,Structure!$A:$AJ,AI$1,0)*15,0))</f>
        <v>0</v>
      </c>
      <c r="AJ32" s="13">
        <f>SUM(IFERROR(VLOOKUP($C:$C,Structure!$A:$AJ,AJ$1,0)*15,0),IFERROR(VLOOKUP($D:$D,Structure!$A:$AJ,AJ$1,0)*15,0),IFERROR(VLOOKUP($E:$E,Structure!$A:$AJ,AJ$1,0)*15,0))</f>
        <v>30</v>
      </c>
      <c r="AK32" s="13">
        <f>SUM(IFERROR(VLOOKUP($C:$C,Structure!$A:$AJ,AK$1,0)*15,0),IFERROR(VLOOKUP($D:$D,Structure!$A:$AJ,AK$1,0)*15,0),IFERROR(VLOOKUP($E:$E,Structure!$A:$AJ,AK$1,0)*15,0))</f>
        <v>15</v>
      </c>
      <c r="AL32" s="13">
        <f>SUM(IFERROR(VLOOKUP($C:$C,Structure!$A:$AJ,AL$1,0)*15,0),IFERROR(VLOOKUP($D:$D,Structure!$A:$AJ,AL$1,0)*15,0),IFERROR(VLOOKUP($E:$E,Structure!$A:$AJ,AL$1,0)*15,0))</f>
        <v>0</v>
      </c>
      <c r="AM32" s="13">
        <f>SUM(IFERROR(VLOOKUP($C:$C,Structure!$A:$AJ,AM$1,0)*15,0),IFERROR(VLOOKUP($D:$D,Structure!$A:$AJ,AM$1,0)*15,0),IFERROR(VLOOKUP($E:$E,Structure!$A:$AJ,AM$1,0)*15,0))</f>
        <v>0</v>
      </c>
      <c r="AN32" s="13">
        <f>SUM(IFERROR(VLOOKUP($C:$C,Structure!$A:$AJ,AN$1,0)*15,0),IFERROR(VLOOKUP($D:$D,Structure!$A:$AJ,AN$1,0)*15,0),IFERROR(VLOOKUP($E:$E,Structure!$A:$AJ,AN$1,0)*15,0))</f>
        <v>0</v>
      </c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3"/>
      <c r="BZ32" s="4">
        <f>BZ31+AQ32-F32</f>
        <v>0</v>
      </c>
      <c r="CA32" s="4">
        <f>CA31+AR32-G32</f>
        <v>0</v>
      </c>
      <c r="CB32" s="4">
        <f>CB31+AS32-H32</f>
        <v>0</v>
      </c>
      <c r="CC32" s="4">
        <f>CC31+AT32-I32</f>
        <v>0</v>
      </c>
      <c r="CD32" s="4">
        <f>CD31+AU32-J32</f>
        <v>0</v>
      </c>
      <c r="CE32" s="4">
        <f>CE31+AV32-K32</f>
        <v>0</v>
      </c>
      <c r="CF32" s="4">
        <f>CF31+AW32-L32</f>
        <v>0</v>
      </c>
      <c r="CG32" s="4">
        <f>CG31+AX32-M32</f>
        <v>0</v>
      </c>
      <c r="CH32" s="4">
        <f>CH31+AY32-N32</f>
        <v>0</v>
      </c>
      <c r="CI32" s="4">
        <f>CI31+AZ32-O32</f>
        <v>0</v>
      </c>
      <c r="CJ32" s="4">
        <f>CJ31+BA32-P32</f>
        <v>0</v>
      </c>
      <c r="CK32" s="4">
        <f>CK31+BB32-Q32</f>
        <v>0</v>
      </c>
      <c r="CL32" s="4">
        <f>CL31+BC32-R32</f>
        <v>0</v>
      </c>
      <c r="CM32" s="4">
        <f>CM31+BD32-S32</f>
        <v>0</v>
      </c>
      <c r="CN32" s="4">
        <f>CN31+BE32-T32</f>
        <v>0</v>
      </c>
      <c r="CO32" s="4">
        <f>CO31+BF32-U32</f>
        <v>0</v>
      </c>
      <c r="CP32" s="4">
        <f>CP31+BG32-V32</f>
        <v>0</v>
      </c>
      <c r="CQ32" s="4">
        <f>CQ31+BH32-W32</f>
        <v>0</v>
      </c>
      <c r="CR32" s="4">
        <f>CR31+BI32-X32</f>
        <v>0</v>
      </c>
      <c r="CS32" s="4">
        <f>CS31+BJ32-Y32</f>
        <v>0</v>
      </c>
      <c r="CT32" s="4">
        <f>CT31+BK32-Z32</f>
        <v>0</v>
      </c>
      <c r="CU32" s="4">
        <f>CU31+BL32-AA32</f>
        <v>-1115</v>
      </c>
      <c r="CV32" s="4">
        <f>CV31+BM32-AB32</f>
        <v>-135</v>
      </c>
      <c r="CW32" s="4">
        <f>CW31+BN32-AC32</f>
        <v>0</v>
      </c>
      <c r="CX32" s="4">
        <f>CX31+BO32-AD32</f>
        <v>0</v>
      </c>
      <c r="CY32" s="4">
        <f>CY31+BP32-AE32</f>
        <v>0</v>
      </c>
      <c r="CZ32" s="4">
        <f>CZ31+BQ32-AF32</f>
        <v>-55</v>
      </c>
      <c r="DA32" s="4">
        <f>DA31+BR32-AG32</f>
        <v>0</v>
      </c>
      <c r="DB32" s="4">
        <f>DB31+BS32-AH32</f>
        <v>0</v>
      </c>
      <c r="DC32" s="4">
        <f>DC31+BT32-AI32</f>
        <v>0</v>
      </c>
      <c r="DD32" s="4">
        <f>DD31+BU32-AJ32</f>
        <v>-850</v>
      </c>
      <c r="DE32" s="4">
        <f>DE31+BV32-AK32</f>
        <v>-285</v>
      </c>
      <c r="DF32" s="4">
        <f>DF31+BW32-AL32</f>
        <v>0</v>
      </c>
      <c r="DG32" s="4">
        <f>DG31+BX32-AM32</f>
        <v>20</v>
      </c>
      <c r="DH32" s="4">
        <f>DH31+BY32-AN32</f>
        <v>0</v>
      </c>
    </row>
    <row r="33" spans="1:112" x14ac:dyDescent="0.25">
      <c r="A33" s="6">
        <v>46180</v>
      </c>
      <c r="B33" s="7">
        <v>0.58333333326299908</v>
      </c>
      <c r="C33" s="3" t="s">
        <v>3</v>
      </c>
      <c r="D33" s="3" t="s">
        <v>6</v>
      </c>
      <c r="E33" s="3" t="s">
        <v>2</v>
      </c>
      <c r="F33" s="13">
        <f>SUM(IFERROR(VLOOKUP($C:$C,Structure!$A:$AJ,F$1,0)*15,0),IFERROR(VLOOKUP($D:$D,Structure!$A:$AJ,F$1,0)*15,0),IFERROR(VLOOKUP($E:$E,Structure!$A:$AJ,F$1,0)*15,0))</f>
        <v>0</v>
      </c>
      <c r="G33" s="13">
        <f>SUM(IFERROR(VLOOKUP($C:$C,Structure!$A:$AJ,G$1,0)*15,0),IFERROR(VLOOKUP($D:$D,Structure!$A:$AJ,G$1,0)*15,0),IFERROR(VLOOKUP($E:$E,Structure!$A:$AJ,G$1,0)*15,0))</f>
        <v>0</v>
      </c>
      <c r="H33" s="13">
        <f>SUM(IFERROR(VLOOKUP($C:$C,Structure!$A:$AJ,H$1,0)*15,0),IFERROR(VLOOKUP($D:$D,Structure!$A:$AJ,H$1,0)*15,0),IFERROR(VLOOKUP($E:$E,Structure!$A:$AJ,H$1,0)*15,0))</f>
        <v>0</v>
      </c>
      <c r="I33" s="13">
        <f>SUM(IFERROR(VLOOKUP($C:$C,Structure!$A:$AJ,I$1,0)*15,0),IFERROR(VLOOKUP($D:$D,Structure!$A:$AJ,I$1,0)*15,0),IFERROR(VLOOKUP($E:$E,Structure!$A:$AJ,I$1,0)*15,0))</f>
        <v>0</v>
      </c>
      <c r="J33" s="13">
        <f>SUM(IFERROR(VLOOKUP($C:$C,Structure!$A:$AJ,J$1,0)*15,0),IFERROR(VLOOKUP($D:$D,Structure!$A:$AJ,J$1,0)*15,0),IFERROR(VLOOKUP($E:$E,Structure!$A:$AJ,J$1,0)*15,0))</f>
        <v>0</v>
      </c>
      <c r="K33" s="13">
        <f>SUM(IFERROR(VLOOKUP($C:$C,Structure!$A:$AJ,K$1,0)*15,0),IFERROR(VLOOKUP($D:$D,Structure!$A:$AJ,K$1,0)*15,0),IFERROR(VLOOKUP($E:$E,Structure!$A:$AJ,K$1,0)*15,0))</f>
        <v>0</v>
      </c>
      <c r="L33" s="13">
        <f>SUM(IFERROR(VLOOKUP($C:$C,Structure!$A:$AJ,L$1,0)*15,0),IFERROR(VLOOKUP($D:$D,Structure!$A:$AJ,L$1,0)*15,0),IFERROR(VLOOKUP($E:$E,Structure!$A:$AJ,L$1,0)*15,0))</f>
        <v>0</v>
      </c>
      <c r="M33" s="13">
        <f>SUM(IFERROR(VLOOKUP($C:$C,Structure!$A:$AJ,M$1,0)*15,0),IFERROR(VLOOKUP($D:$D,Structure!$A:$AJ,M$1,0)*15,0),IFERROR(VLOOKUP($E:$E,Structure!$A:$AJ,M$1,0)*15,0))</f>
        <v>0</v>
      </c>
      <c r="N33" s="13">
        <f>SUM(IFERROR(VLOOKUP($C:$C,Structure!$A:$AJ,N$1,0)*15,0),IFERROR(VLOOKUP($D:$D,Structure!$A:$AJ,N$1,0)*15,0),IFERROR(VLOOKUP($E:$E,Structure!$A:$AJ,N$1,0)*15,0))</f>
        <v>0</v>
      </c>
      <c r="O33" s="13">
        <f>SUM(IFERROR(VLOOKUP($C:$C,Structure!$A:$AJ,O$1,0)*15,0),IFERROR(VLOOKUP($D:$D,Structure!$A:$AJ,O$1,0)*15,0),IFERROR(VLOOKUP($E:$E,Structure!$A:$AJ,O$1,0)*15,0))</f>
        <v>0</v>
      </c>
      <c r="P33" s="13">
        <f>SUM(IFERROR(VLOOKUP($C:$C,Structure!$A:$AJ,P$1,0)*15,0),IFERROR(VLOOKUP($D:$D,Structure!$A:$AJ,P$1,0)*15,0),IFERROR(VLOOKUP($E:$E,Structure!$A:$AJ,P$1,0)*15,0))</f>
        <v>0</v>
      </c>
      <c r="Q33" s="13">
        <f>SUM(IFERROR(VLOOKUP($C:$C,Structure!$A:$AJ,Q$1,0)*15,0),IFERROR(VLOOKUP($D:$D,Structure!$A:$AJ,Q$1,0)*15,0),IFERROR(VLOOKUP($E:$E,Structure!$A:$AJ,Q$1,0)*15,0))</f>
        <v>0</v>
      </c>
      <c r="R33" s="13">
        <f>SUM(IFERROR(VLOOKUP($C:$C,Structure!$A:$AJ,R$1,0)*15,0),IFERROR(VLOOKUP($D:$D,Structure!$A:$AJ,R$1,0)*15,0),IFERROR(VLOOKUP($E:$E,Structure!$A:$AJ,R$1,0)*15,0))</f>
        <v>0</v>
      </c>
      <c r="S33" s="13">
        <f>SUM(IFERROR(VLOOKUP($C:$C,Structure!$A:$AJ,S$1,0)*15,0),IFERROR(VLOOKUP($D:$D,Structure!$A:$AJ,S$1,0)*15,0),IFERROR(VLOOKUP($E:$E,Structure!$A:$AJ,S$1,0)*15,0))</f>
        <v>0</v>
      </c>
      <c r="T33" s="13">
        <f>SUM(IFERROR(VLOOKUP($C:$C,Structure!$A:$AJ,T$1,0)*15,0),IFERROR(VLOOKUP($D:$D,Structure!$A:$AJ,T$1,0)*15,0),IFERROR(VLOOKUP($E:$E,Structure!$A:$AJ,T$1,0)*15,0))</f>
        <v>0</v>
      </c>
      <c r="U33" s="13">
        <f>SUM(IFERROR(VLOOKUP($C:$C,Structure!$A:$AJ,U$1,0)*15,0),IFERROR(VLOOKUP($D:$D,Structure!$A:$AJ,U$1,0)*15,0),IFERROR(VLOOKUP($E:$E,Structure!$A:$AJ,U$1,0)*15,0))</f>
        <v>0</v>
      </c>
      <c r="V33" s="13">
        <f>SUM(IFERROR(VLOOKUP($C:$C,Structure!$A:$AJ,V$1,0)*15,0),IFERROR(VLOOKUP($D:$D,Structure!$A:$AJ,V$1,0)*15,0),IFERROR(VLOOKUP($E:$E,Structure!$A:$AJ,V$1,0)*15,0))</f>
        <v>0</v>
      </c>
      <c r="W33" s="13">
        <f>SUM(IFERROR(VLOOKUP($C:$C,Structure!$A:$AJ,W$1,0)*15,0),IFERROR(VLOOKUP($D:$D,Structure!$A:$AJ,W$1,0)*15,0),IFERROR(VLOOKUP($E:$E,Structure!$A:$AJ,W$1,0)*15,0))</f>
        <v>0</v>
      </c>
      <c r="X33" s="13">
        <f>SUM(IFERROR(VLOOKUP($C:$C,Structure!$A:$AJ,X$1,0)*15,0),IFERROR(VLOOKUP($D:$D,Structure!$A:$AJ,X$1,0)*15,0),IFERROR(VLOOKUP($E:$E,Structure!$A:$AJ,X$1,0)*15,0))</f>
        <v>0</v>
      </c>
      <c r="Y33" s="13">
        <f>SUM(IFERROR(VLOOKUP($C:$C,Structure!$A:$AJ,Y$1,0)*15,0),IFERROR(VLOOKUP($D:$D,Structure!$A:$AJ,Y$1,0)*15,0),IFERROR(VLOOKUP($E:$E,Structure!$A:$AJ,Y$1,0)*15,0))</f>
        <v>0</v>
      </c>
      <c r="Z33" s="13">
        <f>SUM(IFERROR(VLOOKUP($C:$C,Structure!$A:$AJ,Z$1,0)*15,0),IFERROR(VLOOKUP($D:$D,Structure!$A:$AJ,Z$1,0)*15,0),IFERROR(VLOOKUP($E:$E,Structure!$A:$AJ,Z$1,0)*15,0))</f>
        <v>0</v>
      </c>
      <c r="AA33" s="13">
        <f>SUM(IFERROR(VLOOKUP($C:$C,Structure!$A:$AJ,AA$1,0)*15,0),IFERROR(VLOOKUP($D:$D,Structure!$A:$AJ,AA$1,0)*15,0),IFERROR(VLOOKUP($E:$E,Structure!$A:$AJ,AA$1,0)*15,0))</f>
        <v>45</v>
      </c>
      <c r="AB33" s="13">
        <f>SUM(IFERROR(VLOOKUP($C:$C,Structure!$A:$AJ,AB$1,0)*15,0),IFERROR(VLOOKUP($D:$D,Structure!$A:$AJ,AB$1,0)*15,0),IFERROR(VLOOKUP($E:$E,Structure!$A:$AJ,AB$1,0)*15,0))</f>
        <v>0</v>
      </c>
      <c r="AC33" s="13">
        <f>SUM(IFERROR(VLOOKUP($C:$C,Structure!$A:$AJ,AC$1,0)*15,0),IFERROR(VLOOKUP($D:$D,Structure!$A:$AJ,AC$1,0)*15,0),IFERROR(VLOOKUP($E:$E,Structure!$A:$AJ,AC$1,0)*15,0))</f>
        <v>0</v>
      </c>
      <c r="AD33" s="13">
        <f>SUM(IFERROR(VLOOKUP($C:$C,Structure!$A:$AJ,AD$1,0)*15,0),IFERROR(VLOOKUP($D:$D,Structure!$A:$AJ,AD$1,0)*15,0),IFERROR(VLOOKUP($E:$E,Structure!$A:$AJ,AD$1,0)*15,0))</f>
        <v>0</v>
      </c>
      <c r="AE33" s="13">
        <f>SUM(IFERROR(VLOOKUP($C:$C,Structure!$A:$AJ,AE$1,0)*15,0),IFERROR(VLOOKUP($D:$D,Structure!$A:$AJ,AE$1,0)*15,0),IFERROR(VLOOKUP($E:$E,Structure!$A:$AJ,AE$1,0)*15,0))</f>
        <v>0</v>
      </c>
      <c r="AF33" s="13">
        <f>SUM(IFERROR(VLOOKUP($C:$C,Structure!$A:$AJ,AF$1,0)*15,0),IFERROR(VLOOKUP($D:$D,Structure!$A:$AJ,AF$1,0)*15,0),IFERROR(VLOOKUP($E:$E,Structure!$A:$AJ,AF$1,0)*15,0))</f>
        <v>0</v>
      </c>
      <c r="AG33" s="13">
        <f>SUM(IFERROR(VLOOKUP($C:$C,Structure!$A:$AJ,AG$1,0)*15,0),IFERROR(VLOOKUP($D:$D,Structure!$A:$AJ,AG$1,0)*15,0),IFERROR(VLOOKUP($E:$E,Structure!$A:$AJ,AG$1,0)*15,0))</f>
        <v>0</v>
      </c>
      <c r="AH33" s="13">
        <f>SUM(IFERROR(VLOOKUP($C:$C,Structure!$A:$AJ,AH$1,0)*15,0),IFERROR(VLOOKUP($D:$D,Structure!$A:$AJ,AH$1,0)*15,0),IFERROR(VLOOKUP($E:$E,Structure!$A:$AJ,AH$1,0)*15,0))</f>
        <v>0</v>
      </c>
      <c r="AI33" s="13">
        <f>SUM(IFERROR(VLOOKUP($C:$C,Structure!$A:$AJ,AI$1,0)*15,0),IFERROR(VLOOKUP($D:$D,Structure!$A:$AJ,AI$1,0)*15,0),IFERROR(VLOOKUP($E:$E,Structure!$A:$AJ,AI$1,0)*15,0))</f>
        <v>0</v>
      </c>
      <c r="AJ33" s="13">
        <f>SUM(IFERROR(VLOOKUP($C:$C,Structure!$A:$AJ,AJ$1,0)*15,0),IFERROR(VLOOKUP($D:$D,Structure!$A:$AJ,AJ$1,0)*15,0),IFERROR(VLOOKUP($E:$E,Structure!$A:$AJ,AJ$1,0)*15,0))</f>
        <v>30</v>
      </c>
      <c r="AK33" s="13">
        <f>SUM(IFERROR(VLOOKUP($C:$C,Structure!$A:$AJ,AK$1,0)*15,0),IFERROR(VLOOKUP($D:$D,Structure!$A:$AJ,AK$1,0)*15,0),IFERROR(VLOOKUP($E:$E,Structure!$A:$AJ,AK$1,0)*15,0))</f>
        <v>15</v>
      </c>
      <c r="AL33" s="13">
        <f>SUM(IFERROR(VLOOKUP($C:$C,Structure!$A:$AJ,AL$1,0)*15,0),IFERROR(VLOOKUP($D:$D,Structure!$A:$AJ,AL$1,0)*15,0),IFERROR(VLOOKUP($E:$E,Structure!$A:$AJ,AL$1,0)*15,0))</f>
        <v>0</v>
      </c>
      <c r="AM33" s="13">
        <f>SUM(IFERROR(VLOOKUP($C:$C,Structure!$A:$AJ,AM$1,0)*15,0),IFERROR(VLOOKUP($D:$D,Structure!$A:$AJ,AM$1,0)*15,0),IFERROR(VLOOKUP($E:$E,Structure!$A:$AJ,AM$1,0)*15,0))</f>
        <v>0</v>
      </c>
      <c r="AN33" s="13">
        <f>SUM(IFERROR(VLOOKUP($C:$C,Structure!$A:$AJ,AN$1,0)*15,0),IFERROR(VLOOKUP($D:$D,Structure!$A:$AJ,AN$1,0)*15,0),IFERROR(VLOOKUP($E:$E,Structure!$A:$AJ,AN$1,0)*15,0))</f>
        <v>0</v>
      </c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3"/>
      <c r="BZ33" s="4">
        <f>BZ32+AQ33-F33</f>
        <v>0</v>
      </c>
      <c r="CA33" s="4">
        <f>CA32+AR33-G33</f>
        <v>0</v>
      </c>
      <c r="CB33" s="4">
        <f>CB32+AS33-H33</f>
        <v>0</v>
      </c>
      <c r="CC33" s="4">
        <f>CC32+AT33-I33</f>
        <v>0</v>
      </c>
      <c r="CD33" s="4">
        <f>CD32+AU33-J33</f>
        <v>0</v>
      </c>
      <c r="CE33" s="4">
        <f>CE32+AV33-K33</f>
        <v>0</v>
      </c>
      <c r="CF33" s="4">
        <f>CF32+AW33-L33</f>
        <v>0</v>
      </c>
      <c r="CG33" s="4">
        <f>CG32+AX33-M33</f>
        <v>0</v>
      </c>
      <c r="CH33" s="4">
        <f>CH32+AY33-N33</f>
        <v>0</v>
      </c>
      <c r="CI33" s="4">
        <f>CI32+AZ33-O33</f>
        <v>0</v>
      </c>
      <c r="CJ33" s="4">
        <f>CJ32+BA33-P33</f>
        <v>0</v>
      </c>
      <c r="CK33" s="4">
        <f>CK32+BB33-Q33</f>
        <v>0</v>
      </c>
      <c r="CL33" s="4">
        <f>CL32+BC33-R33</f>
        <v>0</v>
      </c>
      <c r="CM33" s="4">
        <f>CM32+BD33-S33</f>
        <v>0</v>
      </c>
      <c r="CN33" s="4">
        <f>CN32+BE33-T33</f>
        <v>0</v>
      </c>
      <c r="CO33" s="4">
        <f>CO32+BF33-U33</f>
        <v>0</v>
      </c>
      <c r="CP33" s="4">
        <f>CP32+BG33-V33</f>
        <v>0</v>
      </c>
      <c r="CQ33" s="4">
        <f>CQ32+BH33-W33</f>
        <v>0</v>
      </c>
      <c r="CR33" s="4">
        <f>CR32+BI33-X33</f>
        <v>0</v>
      </c>
      <c r="CS33" s="4">
        <f>CS32+BJ33-Y33</f>
        <v>0</v>
      </c>
      <c r="CT33" s="4">
        <f>CT32+BK33-Z33</f>
        <v>0</v>
      </c>
      <c r="CU33" s="4">
        <f>CU32+BL33-AA33</f>
        <v>-1160</v>
      </c>
      <c r="CV33" s="4">
        <f>CV32+BM33-AB33</f>
        <v>-135</v>
      </c>
      <c r="CW33" s="4">
        <f>CW32+BN33-AC33</f>
        <v>0</v>
      </c>
      <c r="CX33" s="4">
        <f>CX32+BO33-AD33</f>
        <v>0</v>
      </c>
      <c r="CY33" s="4">
        <f>CY32+BP33-AE33</f>
        <v>0</v>
      </c>
      <c r="CZ33" s="4">
        <f>CZ32+BQ33-AF33</f>
        <v>-55</v>
      </c>
      <c r="DA33" s="4">
        <f>DA32+BR33-AG33</f>
        <v>0</v>
      </c>
      <c r="DB33" s="4">
        <f>DB32+BS33-AH33</f>
        <v>0</v>
      </c>
      <c r="DC33" s="4">
        <f>DC32+BT33-AI33</f>
        <v>0</v>
      </c>
      <c r="DD33" s="4">
        <f>DD32+BU33-AJ33</f>
        <v>-880</v>
      </c>
      <c r="DE33" s="4">
        <f>DE32+BV33-AK33</f>
        <v>-300</v>
      </c>
      <c r="DF33" s="4">
        <f>DF32+BW33-AL33</f>
        <v>0</v>
      </c>
      <c r="DG33" s="4">
        <f>DG32+BX33-AM33</f>
        <v>20</v>
      </c>
      <c r="DH33" s="4">
        <f>DH32+BY33-AN33</f>
        <v>0</v>
      </c>
    </row>
    <row r="34" spans="1:112" x14ac:dyDescent="0.25">
      <c r="A34" s="6">
        <v>46180</v>
      </c>
      <c r="B34" s="7">
        <v>0.62499999992724042</v>
      </c>
      <c r="C34" s="3" t="s">
        <v>3</v>
      </c>
      <c r="D34" s="3" t="s">
        <v>6</v>
      </c>
      <c r="E34" s="3" t="s">
        <v>86</v>
      </c>
      <c r="F34" s="13">
        <f>SUM(IFERROR(VLOOKUP($C:$C,Structure!$A:$AJ,F$1,0)*15,0),IFERROR(VLOOKUP($D:$D,Structure!$A:$AJ,F$1,0)*15,0),IFERROR(VLOOKUP($E:$E,Structure!$A:$AJ,F$1,0)*15,0))</f>
        <v>0</v>
      </c>
      <c r="G34" s="13">
        <f>SUM(IFERROR(VLOOKUP($C:$C,Structure!$A:$AJ,G$1,0)*15,0),IFERROR(VLOOKUP($D:$D,Structure!$A:$AJ,G$1,0)*15,0),IFERROR(VLOOKUP($E:$E,Structure!$A:$AJ,G$1,0)*15,0))</f>
        <v>0</v>
      </c>
      <c r="H34" s="13">
        <f>SUM(IFERROR(VLOOKUP($C:$C,Structure!$A:$AJ,H$1,0)*15,0),IFERROR(VLOOKUP($D:$D,Structure!$A:$AJ,H$1,0)*15,0),IFERROR(VLOOKUP($E:$E,Structure!$A:$AJ,H$1,0)*15,0))</f>
        <v>0</v>
      </c>
      <c r="I34" s="13">
        <f>SUM(IFERROR(VLOOKUP($C:$C,Structure!$A:$AJ,I$1,0)*15,0),IFERROR(VLOOKUP($D:$D,Structure!$A:$AJ,I$1,0)*15,0),IFERROR(VLOOKUP($E:$E,Structure!$A:$AJ,I$1,0)*15,0))</f>
        <v>0</v>
      </c>
      <c r="J34" s="13">
        <f>SUM(IFERROR(VLOOKUP($C:$C,Structure!$A:$AJ,J$1,0)*15,0),IFERROR(VLOOKUP($D:$D,Structure!$A:$AJ,J$1,0)*15,0),IFERROR(VLOOKUP($E:$E,Structure!$A:$AJ,J$1,0)*15,0))</f>
        <v>0</v>
      </c>
      <c r="K34" s="13">
        <f>SUM(IFERROR(VLOOKUP($C:$C,Structure!$A:$AJ,K$1,0)*15,0),IFERROR(VLOOKUP($D:$D,Structure!$A:$AJ,K$1,0)*15,0),IFERROR(VLOOKUP($E:$E,Structure!$A:$AJ,K$1,0)*15,0))</f>
        <v>0</v>
      </c>
      <c r="L34" s="13">
        <f>SUM(IFERROR(VLOOKUP($C:$C,Structure!$A:$AJ,L$1,0)*15,0),IFERROR(VLOOKUP($D:$D,Structure!$A:$AJ,L$1,0)*15,0),IFERROR(VLOOKUP($E:$E,Structure!$A:$AJ,L$1,0)*15,0))</f>
        <v>0</v>
      </c>
      <c r="M34" s="13">
        <f>SUM(IFERROR(VLOOKUP($C:$C,Structure!$A:$AJ,M$1,0)*15,0),IFERROR(VLOOKUP($D:$D,Structure!$A:$AJ,M$1,0)*15,0),IFERROR(VLOOKUP($E:$E,Structure!$A:$AJ,M$1,0)*15,0))</f>
        <v>0</v>
      </c>
      <c r="N34" s="13">
        <f>SUM(IFERROR(VLOOKUP($C:$C,Structure!$A:$AJ,N$1,0)*15,0),IFERROR(VLOOKUP($D:$D,Structure!$A:$AJ,N$1,0)*15,0),IFERROR(VLOOKUP($E:$E,Structure!$A:$AJ,N$1,0)*15,0))</f>
        <v>0</v>
      </c>
      <c r="O34" s="13">
        <f>SUM(IFERROR(VLOOKUP($C:$C,Structure!$A:$AJ,O$1,0)*15,0),IFERROR(VLOOKUP($D:$D,Structure!$A:$AJ,O$1,0)*15,0),IFERROR(VLOOKUP($E:$E,Structure!$A:$AJ,O$1,0)*15,0))</f>
        <v>0</v>
      </c>
      <c r="P34" s="13">
        <f>SUM(IFERROR(VLOOKUP($C:$C,Structure!$A:$AJ,P$1,0)*15,0),IFERROR(VLOOKUP($D:$D,Structure!$A:$AJ,P$1,0)*15,0),IFERROR(VLOOKUP($E:$E,Structure!$A:$AJ,P$1,0)*15,0))</f>
        <v>0</v>
      </c>
      <c r="Q34" s="13">
        <f>SUM(IFERROR(VLOOKUP($C:$C,Structure!$A:$AJ,Q$1,0)*15,0),IFERROR(VLOOKUP($D:$D,Structure!$A:$AJ,Q$1,0)*15,0),IFERROR(VLOOKUP($E:$E,Structure!$A:$AJ,Q$1,0)*15,0))</f>
        <v>0</v>
      </c>
      <c r="R34" s="13">
        <f>SUM(IFERROR(VLOOKUP($C:$C,Structure!$A:$AJ,R$1,0)*15,0),IFERROR(VLOOKUP($D:$D,Structure!$A:$AJ,R$1,0)*15,0),IFERROR(VLOOKUP($E:$E,Structure!$A:$AJ,R$1,0)*15,0))</f>
        <v>0</v>
      </c>
      <c r="S34" s="13">
        <f>SUM(IFERROR(VLOOKUP($C:$C,Structure!$A:$AJ,S$1,0)*15,0),IFERROR(VLOOKUP($D:$D,Structure!$A:$AJ,S$1,0)*15,0),IFERROR(VLOOKUP($E:$E,Structure!$A:$AJ,S$1,0)*15,0))</f>
        <v>0</v>
      </c>
      <c r="T34" s="13">
        <f>SUM(IFERROR(VLOOKUP($C:$C,Structure!$A:$AJ,T$1,0)*15,0),IFERROR(VLOOKUP($D:$D,Structure!$A:$AJ,T$1,0)*15,0),IFERROR(VLOOKUP($E:$E,Structure!$A:$AJ,T$1,0)*15,0))</f>
        <v>0</v>
      </c>
      <c r="U34" s="13">
        <f>SUM(IFERROR(VLOOKUP($C:$C,Structure!$A:$AJ,U$1,0)*15,0),IFERROR(VLOOKUP($D:$D,Structure!$A:$AJ,U$1,0)*15,0),IFERROR(VLOOKUP($E:$E,Structure!$A:$AJ,U$1,0)*15,0))</f>
        <v>0</v>
      </c>
      <c r="V34" s="13">
        <f>SUM(IFERROR(VLOOKUP($C:$C,Structure!$A:$AJ,V$1,0)*15,0),IFERROR(VLOOKUP($D:$D,Structure!$A:$AJ,V$1,0)*15,0),IFERROR(VLOOKUP($E:$E,Structure!$A:$AJ,V$1,0)*15,0))</f>
        <v>0</v>
      </c>
      <c r="W34" s="13">
        <f>SUM(IFERROR(VLOOKUP($C:$C,Structure!$A:$AJ,W$1,0)*15,0),IFERROR(VLOOKUP($D:$D,Structure!$A:$AJ,W$1,0)*15,0),IFERROR(VLOOKUP($E:$E,Structure!$A:$AJ,W$1,0)*15,0))</f>
        <v>0</v>
      </c>
      <c r="X34" s="13">
        <f>SUM(IFERROR(VLOOKUP($C:$C,Structure!$A:$AJ,X$1,0)*15,0),IFERROR(VLOOKUP($D:$D,Structure!$A:$AJ,X$1,0)*15,0),IFERROR(VLOOKUP($E:$E,Structure!$A:$AJ,X$1,0)*15,0))</f>
        <v>0</v>
      </c>
      <c r="Y34" s="13">
        <f>SUM(IFERROR(VLOOKUP($C:$C,Structure!$A:$AJ,Y$1,0)*15,0),IFERROR(VLOOKUP($D:$D,Structure!$A:$AJ,Y$1,0)*15,0),IFERROR(VLOOKUP($E:$E,Structure!$A:$AJ,Y$1,0)*15,0))</f>
        <v>0</v>
      </c>
      <c r="Z34" s="13">
        <f>SUM(IFERROR(VLOOKUP($C:$C,Structure!$A:$AJ,Z$1,0)*15,0),IFERROR(VLOOKUP($D:$D,Structure!$A:$AJ,Z$1,0)*15,0),IFERROR(VLOOKUP($E:$E,Structure!$A:$AJ,Z$1,0)*15,0))</f>
        <v>0</v>
      </c>
      <c r="AA34" s="13">
        <f>SUM(IFERROR(VLOOKUP($C:$C,Structure!$A:$AJ,AA$1,0)*15,0),IFERROR(VLOOKUP($D:$D,Structure!$A:$AJ,AA$1,0)*15,0),IFERROR(VLOOKUP($E:$E,Structure!$A:$AJ,AA$1,0)*15,0))</f>
        <v>30</v>
      </c>
      <c r="AB34" s="13">
        <f>SUM(IFERROR(VLOOKUP($C:$C,Structure!$A:$AJ,AB$1,0)*15,0),IFERROR(VLOOKUP($D:$D,Structure!$A:$AJ,AB$1,0)*15,0),IFERROR(VLOOKUP($E:$E,Structure!$A:$AJ,AB$1,0)*15,0))</f>
        <v>0</v>
      </c>
      <c r="AC34" s="13">
        <f>SUM(IFERROR(VLOOKUP($C:$C,Structure!$A:$AJ,AC$1,0)*15,0),IFERROR(VLOOKUP($D:$D,Structure!$A:$AJ,AC$1,0)*15,0),IFERROR(VLOOKUP($E:$E,Structure!$A:$AJ,AC$1,0)*15,0))</f>
        <v>15</v>
      </c>
      <c r="AD34" s="13">
        <f>SUM(IFERROR(VLOOKUP($C:$C,Structure!$A:$AJ,AD$1,0)*15,0),IFERROR(VLOOKUP($D:$D,Structure!$A:$AJ,AD$1,0)*15,0),IFERROR(VLOOKUP($E:$E,Structure!$A:$AJ,AD$1,0)*15,0))</f>
        <v>0</v>
      </c>
      <c r="AE34" s="13">
        <f>SUM(IFERROR(VLOOKUP($C:$C,Structure!$A:$AJ,AE$1,0)*15,0),IFERROR(VLOOKUP($D:$D,Structure!$A:$AJ,AE$1,0)*15,0),IFERROR(VLOOKUP($E:$E,Structure!$A:$AJ,AE$1,0)*15,0))</f>
        <v>0</v>
      </c>
      <c r="AF34" s="13">
        <f>SUM(IFERROR(VLOOKUP($C:$C,Structure!$A:$AJ,AF$1,0)*15,0),IFERROR(VLOOKUP($D:$D,Structure!$A:$AJ,AF$1,0)*15,0),IFERROR(VLOOKUP($E:$E,Structure!$A:$AJ,AF$1,0)*15,0))</f>
        <v>0</v>
      </c>
      <c r="AG34" s="13">
        <f>SUM(IFERROR(VLOOKUP($C:$C,Structure!$A:$AJ,AG$1,0)*15,0),IFERROR(VLOOKUP($D:$D,Structure!$A:$AJ,AG$1,0)*15,0),IFERROR(VLOOKUP($E:$E,Structure!$A:$AJ,AG$1,0)*15,0))</f>
        <v>0</v>
      </c>
      <c r="AH34" s="13">
        <f>SUM(IFERROR(VLOOKUP($C:$C,Structure!$A:$AJ,AH$1,0)*15,0),IFERROR(VLOOKUP($D:$D,Structure!$A:$AJ,AH$1,0)*15,0),IFERROR(VLOOKUP($E:$E,Structure!$A:$AJ,AH$1,0)*15,0))</f>
        <v>0</v>
      </c>
      <c r="AI34" s="13">
        <f>SUM(IFERROR(VLOOKUP($C:$C,Structure!$A:$AJ,AI$1,0)*15,0),IFERROR(VLOOKUP($D:$D,Structure!$A:$AJ,AI$1,0)*15,0),IFERROR(VLOOKUP($E:$E,Structure!$A:$AJ,AI$1,0)*15,0))</f>
        <v>0</v>
      </c>
      <c r="AJ34" s="13">
        <f>SUM(IFERROR(VLOOKUP($C:$C,Structure!$A:$AJ,AJ$1,0)*15,0),IFERROR(VLOOKUP($D:$D,Structure!$A:$AJ,AJ$1,0)*15,0),IFERROR(VLOOKUP($E:$E,Structure!$A:$AJ,AJ$1,0)*15,0))</f>
        <v>15</v>
      </c>
      <c r="AK34" s="13">
        <f>SUM(IFERROR(VLOOKUP($C:$C,Structure!$A:$AJ,AK$1,0)*15,0),IFERROR(VLOOKUP($D:$D,Structure!$A:$AJ,AK$1,0)*15,0),IFERROR(VLOOKUP($E:$E,Structure!$A:$AJ,AK$1,0)*15,0))</f>
        <v>15</v>
      </c>
      <c r="AL34" s="13">
        <f>SUM(IFERROR(VLOOKUP($C:$C,Structure!$A:$AJ,AL$1,0)*15,0),IFERROR(VLOOKUP($D:$D,Structure!$A:$AJ,AL$1,0)*15,0),IFERROR(VLOOKUP($E:$E,Structure!$A:$AJ,AL$1,0)*15,0))</f>
        <v>0</v>
      </c>
      <c r="AM34" s="13">
        <f>SUM(IFERROR(VLOOKUP($C:$C,Structure!$A:$AJ,AM$1,0)*15,0),IFERROR(VLOOKUP($D:$D,Structure!$A:$AJ,AM$1,0)*15,0),IFERROR(VLOOKUP($E:$E,Structure!$A:$AJ,AM$1,0)*15,0))</f>
        <v>15</v>
      </c>
      <c r="AN34" s="13">
        <f>SUM(IFERROR(VLOOKUP($C:$C,Structure!$A:$AJ,AN$1,0)*15,0),IFERROR(VLOOKUP($D:$D,Structure!$A:$AJ,AN$1,0)*15,0),IFERROR(VLOOKUP($E:$E,Structure!$A:$AJ,AN$1,0)*15,0))</f>
        <v>0</v>
      </c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3"/>
      <c r="BZ34" s="4">
        <f>BZ33+AQ34-F34</f>
        <v>0</v>
      </c>
      <c r="CA34" s="4">
        <f>CA33+AR34-G34</f>
        <v>0</v>
      </c>
      <c r="CB34" s="4">
        <f>CB33+AS34-H34</f>
        <v>0</v>
      </c>
      <c r="CC34" s="4">
        <f>CC33+AT34-I34</f>
        <v>0</v>
      </c>
      <c r="CD34" s="4">
        <f>CD33+AU34-J34</f>
        <v>0</v>
      </c>
      <c r="CE34" s="4">
        <f>CE33+AV34-K34</f>
        <v>0</v>
      </c>
      <c r="CF34" s="4">
        <f>CF33+AW34-L34</f>
        <v>0</v>
      </c>
      <c r="CG34" s="4">
        <f>CG33+AX34-M34</f>
        <v>0</v>
      </c>
      <c r="CH34" s="4">
        <f>CH33+AY34-N34</f>
        <v>0</v>
      </c>
      <c r="CI34" s="4">
        <f>CI33+AZ34-O34</f>
        <v>0</v>
      </c>
      <c r="CJ34" s="4">
        <f>CJ33+BA34-P34</f>
        <v>0</v>
      </c>
      <c r="CK34" s="4">
        <f>CK33+BB34-Q34</f>
        <v>0</v>
      </c>
      <c r="CL34" s="4">
        <f>CL33+BC34-R34</f>
        <v>0</v>
      </c>
      <c r="CM34" s="4">
        <f>CM33+BD34-S34</f>
        <v>0</v>
      </c>
      <c r="CN34" s="4">
        <f>CN33+BE34-T34</f>
        <v>0</v>
      </c>
      <c r="CO34" s="4">
        <f>CO33+BF34-U34</f>
        <v>0</v>
      </c>
      <c r="CP34" s="4">
        <f>CP33+BG34-V34</f>
        <v>0</v>
      </c>
      <c r="CQ34" s="4">
        <f>CQ33+BH34-W34</f>
        <v>0</v>
      </c>
      <c r="CR34" s="4">
        <f>CR33+BI34-X34</f>
        <v>0</v>
      </c>
      <c r="CS34" s="4">
        <f>CS33+BJ34-Y34</f>
        <v>0</v>
      </c>
      <c r="CT34" s="4">
        <f>CT33+BK34-Z34</f>
        <v>0</v>
      </c>
      <c r="CU34" s="4">
        <f>CU33+BL34-AA34</f>
        <v>-1190</v>
      </c>
      <c r="CV34" s="4">
        <f>CV33+BM34-AB34</f>
        <v>-135</v>
      </c>
      <c r="CW34" s="4">
        <f>CW33+BN34-AC34</f>
        <v>-15</v>
      </c>
      <c r="CX34" s="4">
        <f>CX33+BO34-AD34</f>
        <v>0</v>
      </c>
      <c r="CY34" s="4">
        <f>CY33+BP34-AE34</f>
        <v>0</v>
      </c>
      <c r="CZ34" s="4">
        <f>CZ33+BQ34-AF34</f>
        <v>-55</v>
      </c>
      <c r="DA34" s="4">
        <f>DA33+BR34-AG34</f>
        <v>0</v>
      </c>
      <c r="DB34" s="4">
        <f>DB33+BS34-AH34</f>
        <v>0</v>
      </c>
      <c r="DC34" s="4">
        <f>DC33+BT34-AI34</f>
        <v>0</v>
      </c>
      <c r="DD34" s="4">
        <f>DD33+BU34-AJ34</f>
        <v>-895</v>
      </c>
      <c r="DE34" s="4">
        <f>DE33+BV34-AK34</f>
        <v>-315</v>
      </c>
      <c r="DF34" s="4">
        <f>DF33+BW34-AL34</f>
        <v>0</v>
      </c>
      <c r="DG34" s="4">
        <f>DG33+BX34-AM34</f>
        <v>5</v>
      </c>
      <c r="DH34" s="4">
        <f>DH33+BY34-AN34</f>
        <v>0</v>
      </c>
    </row>
    <row r="35" spans="1:112" x14ac:dyDescent="0.25">
      <c r="A35" s="6">
        <v>46180</v>
      </c>
      <c r="B35" s="7">
        <v>0.66666666659148177</v>
      </c>
      <c r="C35" s="3" t="s">
        <v>3</v>
      </c>
      <c r="D35" s="3" t="s">
        <v>6</v>
      </c>
      <c r="E35" s="3" t="s">
        <v>86</v>
      </c>
      <c r="F35" s="13">
        <f>SUM(IFERROR(VLOOKUP($C:$C,Structure!$A:$AJ,F$1,0)*15,0),IFERROR(VLOOKUP($D:$D,Structure!$A:$AJ,F$1,0)*15,0),IFERROR(VLOOKUP($E:$E,Structure!$A:$AJ,F$1,0)*15,0))</f>
        <v>0</v>
      </c>
      <c r="G35" s="13">
        <f>SUM(IFERROR(VLOOKUP($C:$C,Structure!$A:$AJ,G$1,0)*15,0),IFERROR(VLOOKUP($D:$D,Structure!$A:$AJ,G$1,0)*15,0),IFERROR(VLOOKUP($E:$E,Structure!$A:$AJ,G$1,0)*15,0))</f>
        <v>0</v>
      </c>
      <c r="H35" s="13">
        <f>SUM(IFERROR(VLOOKUP($C:$C,Structure!$A:$AJ,H$1,0)*15,0),IFERROR(VLOOKUP($D:$D,Structure!$A:$AJ,H$1,0)*15,0),IFERROR(VLOOKUP($E:$E,Structure!$A:$AJ,H$1,0)*15,0))</f>
        <v>0</v>
      </c>
      <c r="I35" s="13">
        <f>SUM(IFERROR(VLOOKUP($C:$C,Structure!$A:$AJ,I$1,0)*15,0),IFERROR(VLOOKUP($D:$D,Structure!$A:$AJ,I$1,0)*15,0),IFERROR(VLOOKUP($E:$E,Structure!$A:$AJ,I$1,0)*15,0))</f>
        <v>0</v>
      </c>
      <c r="J35" s="13">
        <f>SUM(IFERROR(VLOOKUP($C:$C,Structure!$A:$AJ,J$1,0)*15,0),IFERROR(VLOOKUP($D:$D,Structure!$A:$AJ,J$1,0)*15,0),IFERROR(VLOOKUP($E:$E,Structure!$A:$AJ,J$1,0)*15,0))</f>
        <v>0</v>
      </c>
      <c r="K35" s="13">
        <f>SUM(IFERROR(VLOOKUP($C:$C,Structure!$A:$AJ,K$1,0)*15,0),IFERROR(VLOOKUP($D:$D,Structure!$A:$AJ,K$1,0)*15,0),IFERROR(VLOOKUP($E:$E,Structure!$A:$AJ,K$1,0)*15,0))</f>
        <v>0</v>
      </c>
      <c r="L35" s="13">
        <f>SUM(IFERROR(VLOOKUP($C:$C,Structure!$A:$AJ,L$1,0)*15,0),IFERROR(VLOOKUP($D:$D,Structure!$A:$AJ,L$1,0)*15,0),IFERROR(VLOOKUP($E:$E,Structure!$A:$AJ,L$1,0)*15,0))</f>
        <v>0</v>
      </c>
      <c r="M35" s="13">
        <f>SUM(IFERROR(VLOOKUP($C:$C,Structure!$A:$AJ,M$1,0)*15,0),IFERROR(VLOOKUP($D:$D,Structure!$A:$AJ,M$1,0)*15,0),IFERROR(VLOOKUP($E:$E,Structure!$A:$AJ,M$1,0)*15,0))</f>
        <v>0</v>
      </c>
      <c r="N35" s="13">
        <f>SUM(IFERROR(VLOOKUP($C:$C,Structure!$A:$AJ,N$1,0)*15,0),IFERROR(VLOOKUP($D:$D,Structure!$A:$AJ,N$1,0)*15,0),IFERROR(VLOOKUP($E:$E,Structure!$A:$AJ,N$1,0)*15,0))</f>
        <v>0</v>
      </c>
      <c r="O35" s="13">
        <f>SUM(IFERROR(VLOOKUP($C:$C,Structure!$A:$AJ,O$1,0)*15,0),IFERROR(VLOOKUP($D:$D,Structure!$A:$AJ,O$1,0)*15,0),IFERROR(VLOOKUP($E:$E,Structure!$A:$AJ,O$1,0)*15,0))</f>
        <v>0</v>
      </c>
      <c r="P35" s="13">
        <f>SUM(IFERROR(VLOOKUP($C:$C,Structure!$A:$AJ,P$1,0)*15,0),IFERROR(VLOOKUP($D:$D,Structure!$A:$AJ,P$1,0)*15,0),IFERROR(VLOOKUP($E:$E,Structure!$A:$AJ,P$1,0)*15,0))</f>
        <v>0</v>
      </c>
      <c r="Q35" s="13">
        <f>SUM(IFERROR(VLOOKUP($C:$C,Structure!$A:$AJ,Q$1,0)*15,0),IFERROR(VLOOKUP($D:$D,Structure!$A:$AJ,Q$1,0)*15,0),IFERROR(VLOOKUP($E:$E,Structure!$A:$AJ,Q$1,0)*15,0))</f>
        <v>0</v>
      </c>
      <c r="R35" s="13">
        <f>SUM(IFERROR(VLOOKUP($C:$C,Structure!$A:$AJ,R$1,0)*15,0),IFERROR(VLOOKUP($D:$D,Structure!$A:$AJ,R$1,0)*15,0),IFERROR(VLOOKUP($E:$E,Structure!$A:$AJ,R$1,0)*15,0))</f>
        <v>0</v>
      </c>
      <c r="S35" s="13">
        <f>SUM(IFERROR(VLOOKUP($C:$C,Structure!$A:$AJ,S$1,0)*15,0),IFERROR(VLOOKUP($D:$D,Structure!$A:$AJ,S$1,0)*15,0),IFERROR(VLOOKUP($E:$E,Structure!$A:$AJ,S$1,0)*15,0))</f>
        <v>0</v>
      </c>
      <c r="T35" s="13">
        <f>SUM(IFERROR(VLOOKUP($C:$C,Structure!$A:$AJ,T$1,0)*15,0),IFERROR(VLOOKUP($D:$D,Structure!$A:$AJ,T$1,0)*15,0),IFERROR(VLOOKUP($E:$E,Structure!$A:$AJ,T$1,0)*15,0))</f>
        <v>0</v>
      </c>
      <c r="U35" s="13">
        <f>SUM(IFERROR(VLOOKUP($C:$C,Structure!$A:$AJ,U$1,0)*15,0),IFERROR(VLOOKUP($D:$D,Structure!$A:$AJ,U$1,0)*15,0),IFERROR(VLOOKUP($E:$E,Structure!$A:$AJ,U$1,0)*15,0))</f>
        <v>0</v>
      </c>
      <c r="V35" s="13">
        <f>SUM(IFERROR(VLOOKUP($C:$C,Structure!$A:$AJ,V$1,0)*15,0),IFERROR(VLOOKUP($D:$D,Structure!$A:$AJ,V$1,0)*15,0),IFERROR(VLOOKUP($E:$E,Structure!$A:$AJ,V$1,0)*15,0))</f>
        <v>0</v>
      </c>
      <c r="W35" s="13">
        <f>SUM(IFERROR(VLOOKUP($C:$C,Structure!$A:$AJ,W$1,0)*15,0),IFERROR(VLOOKUP($D:$D,Structure!$A:$AJ,W$1,0)*15,0),IFERROR(VLOOKUP($E:$E,Structure!$A:$AJ,W$1,0)*15,0))</f>
        <v>0</v>
      </c>
      <c r="X35" s="13">
        <f>SUM(IFERROR(VLOOKUP($C:$C,Structure!$A:$AJ,X$1,0)*15,0),IFERROR(VLOOKUP($D:$D,Structure!$A:$AJ,X$1,0)*15,0),IFERROR(VLOOKUP($E:$E,Structure!$A:$AJ,X$1,0)*15,0))</f>
        <v>0</v>
      </c>
      <c r="Y35" s="13">
        <f>SUM(IFERROR(VLOOKUP($C:$C,Structure!$A:$AJ,Y$1,0)*15,0),IFERROR(VLOOKUP($D:$D,Structure!$A:$AJ,Y$1,0)*15,0),IFERROR(VLOOKUP($E:$E,Structure!$A:$AJ,Y$1,0)*15,0))</f>
        <v>0</v>
      </c>
      <c r="Z35" s="13">
        <f>SUM(IFERROR(VLOOKUP($C:$C,Structure!$A:$AJ,Z$1,0)*15,0),IFERROR(VLOOKUP($D:$D,Structure!$A:$AJ,Z$1,0)*15,0),IFERROR(VLOOKUP($E:$E,Structure!$A:$AJ,Z$1,0)*15,0))</f>
        <v>0</v>
      </c>
      <c r="AA35" s="13">
        <f>SUM(IFERROR(VLOOKUP($C:$C,Structure!$A:$AJ,AA$1,0)*15,0),IFERROR(VLOOKUP($D:$D,Structure!$A:$AJ,AA$1,0)*15,0),IFERROR(VLOOKUP($E:$E,Structure!$A:$AJ,AA$1,0)*15,0))</f>
        <v>30</v>
      </c>
      <c r="AB35" s="13">
        <f>SUM(IFERROR(VLOOKUP($C:$C,Structure!$A:$AJ,AB$1,0)*15,0),IFERROR(VLOOKUP($D:$D,Structure!$A:$AJ,AB$1,0)*15,0),IFERROR(VLOOKUP($E:$E,Structure!$A:$AJ,AB$1,0)*15,0))</f>
        <v>0</v>
      </c>
      <c r="AC35" s="13">
        <f>SUM(IFERROR(VLOOKUP($C:$C,Structure!$A:$AJ,AC$1,0)*15,0),IFERROR(VLOOKUP($D:$D,Structure!$A:$AJ,AC$1,0)*15,0),IFERROR(VLOOKUP($E:$E,Structure!$A:$AJ,AC$1,0)*15,0))</f>
        <v>15</v>
      </c>
      <c r="AD35" s="13">
        <f>SUM(IFERROR(VLOOKUP($C:$C,Structure!$A:$AJ,AD$1,0)*15,0),IFERROR(VLOOKUP($D:$D,Structure!$A:$AJ,AD$1,0)*15,0),IFERROR(VLOOKUP($E:$E,Structure!$A:$AJ,AD$1,0)*15,0))</f>
        <v>0</v>
      </c>
      <c r="AE35" s="13">
        <f>SUM(IFERROR(VLOOKUP($C:$C,Structure!$A:$AJ,AE$1,0)*15,0),IFERROR(VLOOKUP($D:$D,Structure!$A:$AJ,AE$1,0)*15,0),IFERROR(VLOOKUP($E:$E,Structure!$A:$AJ,AE$1,0)*15,0))</f>
        <v>0</v>
      </c>
      <c r="AF35" s="13">
        <f>SUM(IFERROR(VLOOKUP($C:$C,Structure!$A:$AJ,AF$1,0)*15,0),IFERROR(VLOOKUP($D:$D,Structure!$A:$AJ,AF$1,0)*15,0),IFERROR(VLOOKUP($E:$E,Structure!$A:$AJ,AF$1,0)*15,0))</f>
        <v>0</v>
      </c>
      <c r="AG35" s="13">
        <f>SUM(IFERROR(VLOOKUP($C:$C,Structure!$A:$AJ,AG$1,0)*15,0),IFERROR(VLOOKUP($D:$D,Structure!$A:$AJ,AG$1,0)*15,0),IFERROR(VLOOKUP($E:$E,Structure!$A:$AJ,AG$1,0)*15,0))</f>
        <v>0</v>
      </c>
      <c r="AH35" s="13">
        <f>SUM(IFERROR(VLOOKUP($C:$C,Structure!$A:$AJ,AH$1,0)*15,0),IFERROR(VLOOKUP($D:$D,Structure!$A:$AJ,AH$1,0)*15,0),IFERROR(VLOOKUP($E:$E,Structure!$A:$AJ,AH$1,0)*15,0))</f>
        <v>0</v>
      </c>
      <c r="AI35" s="13">
        <f>SUM(IFERROR(VLOOKUP($C:$C,Structure!$A:$AJ,AI$1,0)*15,0),IFERROR(VLOOKUP($D:$D,Structure!$A:$AJ,AI$1,0)*15,0),IFERROR(VLOOKUP($E:$E,Structure!$A:$AJ,AI$1,0)*15,0))</f>
        <v>0</v>
      </c>
      <c r="AJ35" s="13">
        <f>SUM(IFERROR(VLOOKUP($C:$C,Structure!$A:$AJ,AJ$1,0)*15,0),IFERROR(VLOOKUP($D:$D,Structure!$A:$AJ,AJ$1,0)*15,0),IFERROR(VLOOKUP($E:$E,Structure!$A:$AJ,AJ$1,0)*15,0))</f>
        <v>15</v>
      </c>
      <c r="AK35" s="13">
        <f>SUM(IFERROR(VLOOKUP($C:$C,Structure!$A:$AJ,AK$1,0)*15,0),IFERROR(VLOOKUP($D:$D,Structure!$A:$AJ,AK$1,0)*15,0),IFERROR(VLOOKUP($E:$E,Structure!$A:$AJ,AK$1,0)*15,0))</f>
        <v>15</v>
      </c>
      <c r="AL35" s="13">
        <f>SUM(IFERROR(VLOOKUP($C:$C,Structure!$A:$AJ,AL$1,0)*15,0),IFERROR(VLOOKUP($D:$D,Structure!$A:$AJ,AL$1,0)*15,0),IFERROR(VLOOKUP($E:$E,Structure!$A:$AJ,AL$1,0)*15,0))</f>
        <v>0</v>
      </c>
      <c r="AM35" s="13">
        <f>SUM(IFERROR(VLOOKUP($C:$C,Structure!$A:$AJ,AM$1,0)*15,0),IFERROR(VLOOKUP($D:$D,Structure!$A:$AJ,AM$1,0)*15,0),IFERROR(VLOOKUP($E:$E,Structure!$A:$AJ,AM$1,0)*15,0))</f>
        <v>15</v>
      </c>
      <c r="AN35" s="13">
        <f>SUM(IFERROR(VLOOKUP($C:$C,Structure!$A:$AJ,AN$1,0)*15,0),IFERROR(VLOOKUP($D:$D,Structure!$A:$AJ,AN$1,0)*15,0),IFERROR(VLOOKUP($E:$E,Structure!$A:$AJ,AN$1,0)*15,0))</f>
        <v>0</v>
      </c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3"/>
      <c r="BZ35" s="4">
        <f>BZ34+AQ35-F35</f>
        <v>0</v>
      </c>
      <c r="CA35" s="4">
        <f>CA34+AR35-G35</f>
        <v>0</v>
      </c>
      <c r="CB35" s="4">
        <f>CB34+AS35-H35</f>
        <v>0</v>
      </c>
      <c r="CC35" s="4">
        <f>CC34+AT35-I35</f>
        <v>0</v>
      </c>
      <c r="CD35" s="4">
        <f>CD34+AU35-J35</f>
        <v>0</v>
      </c>
      <c r="CE35" s="4">
        <f>CE34+AV35-K35</f>
        <v>0</v>
      </c>
      <c r="CF35" s="4">
        <f>CF34+AW35-L35</f>
        <v>0</v>
      </c>
      <c r="CG35" s="4">
        <f>CG34+AX35-M35</f>
        <v>0</v>
      </c>
      <c r="CH35" s="4">
        <f>CH34+AY35-N35</f>
        <v>0</v>
      </c>
      <c r="CI35" s="4">
        <f>CI34+AZ35-O35</f>
        <v>0</v>
      </c>
      <c r="CJ35" s="4">
        <f>CJ34+BA35-P35</f>
        <v>0</v>
      </c>
      <c r="CK35" s="4">
        <f>CK34+BB35-Q35</f>
        <v>0</v>
      </c>
      <c r="CL35" s="4">
        <f>CL34+BC35-R35</f>
        <v>0</v>
      </c>
      <c r="CM35" s="4">
        <f>CM34+BD35-S35</f>
        <v>0</v>
      </c>
      <c r="CN35" s="4">
        <f>CN34+BE35-T35</f>
        <v>0</v>
      </c>
      <c r="CO35" s="4">
        <f>CO34+BF35-U35</f>
        <v>0</v>
      </c>
      <c r="CP35" s="4">
        <f>CP34+BG35-V35</f>
        <v>0</v>
      </c>
      <c r="CQ35" s="4">
        <f>CQ34+BH35-W35</f>
        <v>0</v>
      </c>
      <c r="CR35" s="4">
        <f>CR34+BI35-X35</f>
        <v>0</v>
      </c>
      <c r="CS35" s="4">
        <f>CS34+BJ35-Y35</f>
        <v>0</v>
      </c>
      <c r="CT35" s="4">
        <f>CT34+BK35-Z35</f>
        <v>0</v>
      </c>
      <c r="CU35" s="4">
        <f>CU34+BL35-AA35</f>
        <v>-1220</v>
      </c>
      <c r="CV35" s="4">
        <f>CV34+BM35-AB35</f>
        <v>-135</v>
      </c>
      <c r="CW35" s="4">
        <f>CW34+BN35-AC35</f>
        <v>-30</v>
      </c>
      <c r="CX35" s="4">
        <f>CX34+BO35-AD35</f>
        <v>0</v>
      </c>
      <c r="CY35" s="4">
        <f>CY34+BP35-AE35</f>
        <v>0</v>
      </c>
      <c r="CZ35" s="4">
        <f>CZ34+BQ35-AF35</f>
        <v>-55</v>
      </c>
      <c r="DA35" s="4">
        <f>DA34+BR35-AG35</f>
        <v>0</v>
      </c>
      <c r="DB35" s="4">
        <f>DB34+BS35-AH35</f>
        <v>0</v>
      </c>
      <c r="DC35" s="4">
        <f>DC34+BT35-AI35</f>
        <v>0</v>
      </c>
      <c r="DD35" s="4">
        <f>DD34+BU35-AJ35</f>
        <v>-910</v>
      </c>
      <c r="DE35" s="4">
        <f>DE34+BV35-AK35</f>
        <v>-330</v>
      </c>
      <c r="DF35" s="4">
        <f>DF34+BW35-AL35</f>
        <v>0</v>
      </c>
      <c r="DG35" s="4">
        <f>DG34+BX35-AM35</f>
        <v>-10</v>
      </c>
      <c r="DH35" s="4">
        <f>DH34+BY35-AN35</f>
        <v>0</v>
      </c>
    </row>
    <row r="36" spans="1:112" x14ac:dyDescent="0.25">
      <c r="A36" s="6">
        <v>46180</v>
      </c>
      <c r="B36" s="7">
        <v>0.70833333325572312</v>
      </c>
      <c r="C36" s="3" t="s">
        <v>2</v>
      </c>
      <c r="D36" s="3" t="s">
        <v>6</v>
      </c>
      <c r="E36" s="3" t="s">
        <v>86</v>
      </c>
      <c r="F36" s="13">
        <f>SUM(IFERROR(VLOOKUP($C:$C,Structure!$A:$AJ,F$1,0)*15,0),IFERROR(VLOOKUP($D:$D,Structure!$A:$AJ,F$1,0)*15,0),IFERROR(VLOOKUP($E:$E,Structure!$A:$AJ,F$1,0)*15,0))</f>
        <v>0</v>
      </c>
      <c r="G36" s="13">
        <f>SUM(IFERROR(VLOOKUP($C:$C,Structure!$A:$AJ,G$1,0)*15,0),IFERROR(VLOOKUP($D:$D,Structure!$A:$AJ,G$1,0)*15,0),IFERROR(VLOOKUP($E:$E,Structure!$A:$AJ,G$1,0)*15,0))</f>
        <v>0</v>
      </c>
      <c r="H36" s="13">
        <f>SUM(IFERROR(VLOOKUP($C:$C,Structure!$A:$AJ,H$1,0)*15,0),IFERROR(VLOOKUP($D:$D,Structure!$A:$AJ,H$1,0)*15,0),IFERROR(VLOOKUP($E:$E,Structure!$A:$AJ,H$1,0)*15,0))</f>
        <v>0</v>
      </c>
      <c r="I36" s="13">
        <f>SUM(IFERROR(VLOOKUP($C:$C,Structure!$A:$AJ,I$1,0)*15,0),IFERROR(VLOOKUP($D:$D,Structure!$A:$AJ,I$1,0)*15,0),IFERROR(VLOOKUP($E:$E,Structure!$A:$AJ,I$1,0)*15,0))</f>
        <v>0</v>
      </c>
      <c r="J36" s="13">
        <f>SUM(IFERROR(VLOOKUP($C:$C,Structure!$A:$AJ,J$1,0)*15,0),IFERROR(VLOOKUP($D:$D,Structure!$A:$AJ,J$1,0)*15,0),IFERROR(VLOOKUP($E:$E,Structure!$A:$AJ,J$1,0)*15,0))</f>
        <v>0</v>
      </c>
      <c r="K36" s="13">
        <f>SUM(IFERROR(VLOOKUP($C:$C,Structure!$A:$AJ,K$1,0)*15,0),IFERROR(VLOOKUP($D:$D,Structure!$A:$AJ,K$1,0)*15,0),IFERROR(VLOOKUP($E:$E,Structure!$A:$AJ,K$1,0)*15,0))</f>
        <v>0</v>
      </c>
      <c r="L36" s="13">
        <f>SUM(IFERROR(VLOOKUP($C:$C,Structure!$A:$AJ,L$1,0)*15,0),IFERROR(VLOOKUP($D:$D,Structure!$A:$AJ,L$1,0)*15,0),IFERROR(VLOOKUP($E:$E,Structure!$A:$AJ,L$1,0)*15,0))</f>
        <v>0</v>
      </c>
      <c r="M36" s="13">
        <f>SUM(IFERROR(VLOOKUP($C:$C,Structure!$A:$AJ,M$1,0)*15,0),IFERROR(VLOOKUP($D:$D,Structure!$A:$AJ,M$1,0)*15,0),IFERROR(VLOOKUP($E:$E,Structure!$A:$AJ,M$1,0)*15,0))</f>
        <v>0</v>
      </c>
      <c r="N36" s="13">
        <f>SUM(IFERROR(VLOOKUP($C:$C,Structure!$A:$AJ,N$1,0)*15,0),IFERROR(VLOOKUP($D:$D,Structure!$A:$AJ,N$1,0)*15,0),IFERROR(VLOOKUP($E:$E,Structure!$A:$AJ,N$1,0)*15,0))</f>
        <v>0</v>
      </c>
      <c r="O36" s="13">
        <f>SUM(IFERROR(VLOOKUP($C:$C,Structure!$A:$AJ,O$1,0)*15,0),IFERROR(VLOOKUP($D:$D,Structure!$A:$AJ,O$1,0)*15,0),IFERROR(VLOOKUP($E:$E,Structure!$A:$AJ,O$1,0)*15,0))</f>
        <v>0</v>
      </c>
      <c r="P36" s="13">
        <f>SUM(IFERROR(VLOOKUP($C:$C,Structure!$A:$AJ,P$1,0)*15,0),IFERROR(VLOOKUP($D:$D,Structure!$A:$AJ,P$1,0)*15,0),IFERROR(VLOOKUP($E:$E,Structure!$A:$AJ,P$1,0)*15,0))</f>
        <v>0</v>
      </c>
      <c r="Q36" s="13">
        <f>SUM(IFERROR(VLOOKUP($C:$C,Structure!$A:$AJ,Q$1,0)*15,0),IFERROR(VLOOKUP($D:$D,Structure!$A:$AJ,Q$1,0)*15,0),IFERROR(VLOOKUP($E:$E,Structure!$A:$AJ,Q$1,0)*15,0))</f>
        <v>0</v>
      </c>
      <c r="R36" s="13">
        <f>SUM(IFERROR(VLOOKUP($C:$C,Structure!$A:$AJ,R$1,0)*15,0),IFERROR(VLOOKUP($D:$D,Structure!$A:$AJ,R$1,0)*15,0),IFERROR(VLOOKUP($E:$E,Structure!$A:$AJ,R$1,0)*15,0))</f>
        <v>0</v>
      </c>
      <c r="S36" s="13">
        <f>SUM(IFERROR(VLOOKUP($C:$C,Structure!$A:$AJ,S$1,0)*15,0),IFERROR(VLOOKUP($D:$D,Structure!$A:$AJ,S$1,0)*15,0),IFERROR(VLOOKUP($E:$E,Structure!$A:$AJ,S$1,0)*15,0))</f>
        <v>0</v>
      </c>
      <c r="T36" s="13">
        <f>SUM(IFERROR(VLOOKUP($C:$C,Structure!$A:$AJ,T$1,0)*15,0),IFERROR(VLOOKUP($D:$D,Structure!$A:$AJ,T$1,0)*15,0),IFERROR(VLOOKUP($E:$E,Structure!$A:$AJ,T$1,0)*15,0))</f>
        <v>0</v>
      </c>
      <c r="U36" s="13">
        <f>SUM(IFERROR(VLOOKUP($C:$C,Structure!$A:$AJ,U$1,0)*15,0),IFERROR(VLOOKUP($D:$D,Structure!$A:$AJ,U$1,0)*15,0),IFERROR(VLOOKUP($E:$E,Structure!$A:$AJ,U$1,0)*15,0))</f>
        <v>0</v>
      </c>
      <c r="V36" s="13">
        <f>SUM(IFERROR(VLOOKUP($C:$C,Structure!$A:$AJ,V$1,0)*15,0),IFERROR(VLOOKUP($D:$D,Structure!$A:$AJ,V$1,0)*15,0),IFERROR(VLOOKUP($E:$E,Structure!$A:$AJ,V$1,0)*15,0))</f>
        <v>0</v>
      </c>
      <c r="W36" s="13">
        <f>SUM(IFERROR(VLOOKUP($C:$C,Structure!$A:$AJ,W$1,0)*15,0),IFERROR(VLOOKUP($D:$D,Structure!$A:$AJ,W$1,0)*15,0),IFERROR(VLOOKUP($E:$E,Structure!$A:$AJ,W$1,0)*15,0))</f>
        <v>0</v>
      </c>
      <c r="X36" s="13">
        <f>SUM(IFERROR(VLOOKUP($C:$C,Structure!$A:$AJ,X$1,0)*15,0),IFERROR(VLOOKUP($D:$D,Structure!$A:$AJ,X$1,0)*15,0),IFERROR(VLOOKUP($E:$E,Structure!$A:$AJ,X$1,0)*15,0))</f>
        <v>0</v>
      </c>
      <c r="Y36" s="13">
        <f>SUM(IFERROR(VLOOKUP($C:$C,Structure!$A:$AJ,Y$1,0)*15,0),IFERROR(VLOOKUP($D:$D,Structure!$A:$AJ,Y$1,0)*15,0),IFERROR(VLOOKUP($E:$E,Structure!$A:$AJ,Y$1,0)*15,0))</f>
        <v>0</v>
      </c>
      <c r="Z36" s="13">
        <f>SUM(IFERROR(VLOOKUP($C:$C,Structure!$A:$AJ,Z$1,0)*15,0),IFERROR(VLOOKUP($D:$D,Structure!$A:$AJ,Z$1,0)*15,0),IFERROR(VLOOKUP($E:$E,Structure!$A:$AJ,Z$1,0)*15,0))</f>
        <v>0</v>
      </c>
      <c r="AA36" s="13">
        <f>SUM(IFERROR(VLOOKUP($C:$C,Structure!$A:$AJ,AA$1,0)*15,0),IFERROR(VLOOKUP($D:$D,Structure!$A:$AJ,AA$1,0)*15,0),IFERROR(VLOOKUP($E:$E,Structure!$A:$AJ,AA$1,0)*15,0))</f>
        <v>30</v>
      </c>
      <c r="AB36" s="13">
        <f>SUM(IFERROR(VLOOKUP($C:$C,Structure!$A:$AJ,AB$1,0)*15,0),IFERROR(VLOOKUP($D:$D,Structure!$A:$AJ,AB$1,0)*15,0),IFERROR(VLOOKUP($E:$E,Structure!$A:$AJ,AB$1,0)*15,0))</f>
        <v>0</v>
      </c>
      <c r="AC36" s="13">
        <f>SUM(IFERROR(VLOOKUP($C:$C,Structure!$A:$AJ,AC$1,0)*15,0),IFERROR(VLOOKUP($D:$D,Structure!$A:$AJ,AC$1,0)*15,0),IFERROR(VLOOKUP($E:$E,Structure!$A:$AJ,AC$1,0)*15,0))</f>
        <v>15</v>
      </c>
      <c r="AD36" s="13">
        <f>SUM(IFERROR(VLOOKUP($C:$C,Structure!$A:$AJ,AD$1,0)*15,0),IFERROR(VLOOKUP($D:$D,Structure!$A:$AJ,AD$1,0)*15,0),IFERROR(VLOOKUP($E:$E,Structure!$A:$AJ,AD$1,0)*15,0))</f>
        <v>0</v>
      </c>
      <c r="AE36" s="13">
        <f>SUM(IFERROR(VLOOKUP($C:$C,Structure!$A:$AJ,AE$1,0)*15,0),IFERROR(VLOOKUP($D:$D,Structure!$A:$AJ,AE$1,0)*15,0),IFERROR(VLOOKUP($E:$E,Structure!$A:$AJ,AE$1,0)*15,0))</f>
        <v>0</v>
      </c>
      <c r="AF36" s="13">
        <f>SUM(IFERROR(VLOOKUP($C:$C,Structure!$A:$AJ,AF$1,0)*15,0),IFERROR(VLOOKUP($D:$D,Structure!$A:$AJ,AF$1,0)*15,0),IFERROR(VLOOKUP($E:$E,Structure!$A:$AJ,AF$1,0)*15,0))</f>
        <v>0</v>
      </c>
      <c r="AG36" s="13">
        <f>SUM(IFERROR(VLOOKUP($C:$C,Structure!$A:$AJ,AG$1,0)*15,0),IFERROR(VLOOKUP($D:$D,Structure!$A:$AJ,AG$1,0)*15,0),IFERROR(VLOOKUP($E:$E,Structure!$A:$AJ,AG$1,0)*15,0))</f>
        <v>0</v>
      </c>
      <c r="AH36" s="13">
        <f>SUM(IFERROR(VLOOKUP($C:$C,Structure!$A:$AJ,AH$1,0)*15,0),IFERROR(VLOOKUP($D:$D,Structure!$A:$AJ,AH$1,0)*15,0),IFERROR(VLOOKUP($E:$E,Structure!$A:$AJ,AH$1,0)*15,0))</f>
        <v>0</v>
      </c>
      <c r="AI36" s="13">
        <f>SUM(IFERROR(VLOOKUP($C:$C,Structure!$A:$AJ,AI$1,0)*15,0),IFERROR(VLOOKUP($D:$D,Structure!$A:$AJ,AI$1,0)*15,0),IFERROR(VLOOKUP($E:$E,Structure!$A:$AJ,AI$1,0)*15,0))</f>
        <v>0</v>
      </c>
      <c r="AJ36" s="13">
        <f>SUM(IFERROR(VLOOKUP($C:$C,Structure!$A:$AJ,AJ$1,0)*15,0),IFERROR(VLOOKUP($D:$D,Structure!$A:$AJ,AJ$1,0)*15,0),IFERROR(VLOOKUP($E:$E,Structure!$A:$AJ,AJ$1,0)*15,0))</f>
        <v>30</v>
      </c>
      <c r="AK36" s="13">
        <f>SUM(IFERROR(VLOOKUP($C:$C,Structure!$A:$AJ,AK$1,0)*15,0),IFERROR(VLOOKUP($D:$D,Structure!$A:$AJ,AK$1,0)*15,0),IFERROR(VLOOKUP($E:$E,Structure!$A:$AJ,AK$1,0)*15,0))</f>
        <v>0</v>
      </c>
      <c r="AL36" s="13">
        <f>SUM(IFERROR(VLOOKUP($C:$C,Structure!$A:$AJ,AL$1,0)*15,0),IFERROR(VLOOKUP($D:$D,Structure!$A:$AJ,AL$1,0)*15,0),IFERROR(VLOOKUP($E:$E,Structure!$A:$AJ,AL$1,0)*15,0))</f>
        <v>0</v>
      </c>
      <c r="AM36" s="13">
        <f>SUM(IFERROR(VLOOKUP($C:$C,Structure!$A:$AJ,AM$1,0)*15,0),IFERROR(VLOOKUP($D:$D,Structure!$A:$AJ,AM$1,0)*15,0),IFERROR(VLOOKUP($E:$E,Structure!$A:$AJ,AM$1,0)*15,0))</f>
        <v>15</v>
      </c>
      <c r="AN36" s="13">
        <f>SUM(IFERROR(VLOOKUP($C:$C,Structure!$A:$AJ,AN$1,0)*15,0),IFERROR(VLOOKUP($D:$D,Structure!$A:$AJ,AN$1,0)*15,0),IFERROR(VLOOKUP($E:$E,Structure!$A:$AJ,AN$1,0)*15,0))</f>
        <v>0</v>
      </c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3"/>
      <c r="BZ36" s="4">
        <f>BZ35+AQ36-F36</f>
        <v>0</v>
      </c>
      <c r="CA36" s="4">
        <f>CA35+AR36-G36</f>
        <v>0</v>
      </c>
      <c r="CB36" s="4">
        <f>CB35+AS36-H36</f>
        <v>0</v>
      </c>
      <c r="CC36" s="4">
        <f>CC35+AT36-I36</f>
        <v>0</v>
      </c>
      <c r="CD36" s="4">
        <f>CD35+AU36-J36</f>
        <v>0</v>
      </c>
      <c r="CE36" s="4">
        <f>CE35+AV36-K36</f>
        <v>0</v>
      </c>
      <c r="CF36" s="4">
        <f>CF35+AW36-L36</f>
        <v>0</v>
      </c>
      <c r="CG36" s="4">
        <f>CG35+AX36-M36</f>
        <v>0</v>
      </c>
      <c r="CH36" s="4">
        <f>CH35+AY36-N36</f>
        <v>0</v>
      </c>
      <c r="CI36" s="4">
        <f>CI35+AZ36-O36</f>
        <v>0</v>
      </c>
      <c r="CJ36" s="4">
        <f>CJ35+BA36-P36</f>
        <v>0</v>
      </c>
      <c r="CK36" s="4">
        <f>CK35+BB36-Q36</f>
        <v>0</v>
      </c>
      <c r="CL36" s="4">
        <f>CL35+BC36-R36</f>
        <v>0</v>
      </c>
      <c r="CM36" s="4">
        <f>CM35+BD36-S36</f>
        <v>0</v>
      </c>
      <c r="CN36" s="4">
        <f>CN35+BE36-T36</f>
        <v>0</v>
      </c>
      <c r="CO36" s="4">
        <f>CO35+BF36-U36</f>
        <v>0</v>
      </c>
      <c r="CP36" s="4">
        <f>CP35+BG36-V36</f>
        <v>0</v>
      </c>
      <c r="CQ36" s="4">
        <f>CQ35+BH36-W36</f>
        <v>0</v>
      </c>
      <c r="CR36" s="4">
        <f>CR35+BI36-X36</f>
        <v>0</v>
      </c>
      <c r="CS36" s="4">
        <f>CS35+BJ36-Y36</f>
        <v>0</v>
      </c>
      <c r="CT36" s="4">
        <f>CT35+BK36-Z36</f>
        <v>0</v>
      </c>
      <c r="CU36" s="4">
        <f>CU35+BL36-AA36</f>
        <v>-1250</v>
      </c>
      <c r="CV36" s="4">
        <f>CV35+BM36-AB36</f>
        <v>-135</v>
      </c>
      <c r="CW36" s="4">
        <f>CW35+BN36-AC36</f>
        <v>-45</v>
      </c>
      <c r="CX36" s="4">
        <f>CX35+BO36-AD36</f>
        <v>0</v>
      </c>
      <c r="CY36" s="4">
        <f>CY35+BP36-AE36</f>
        <v>0</v>
      </c>
      <c r="CZ36" s="4">
        <f>CZ35+BQ36-AF36</f>
        <v>-55</v>
      </c>
      <c r="DA36" s="4">
        <f>DA35+BR36-AG36</f>
        <v>0</v>
      </c>
      <c r="DB36" s="4">
        <f>DB35+BS36-AH36</f>
        <v>0</v>
      </c>
      <c r="DC36" s="4">
        <f>DC35+BT36-AI36</f>
        <v>0</v>
      </c>
      <c r="DD36" s="4">
        <f>DD35+BU36-AJ36</f>
        <v>-940</v>
      </c>
      <c r="DE36" s="4">
        <f>DE35+BV36-AK36</f>
        <v>-330</v>
      </c>
      <c r="DF36" s="4">
        <f>DF35+BW36-AL36</f>
        <v>0</v>
      </c>
      <c r="DG36" s="4">
        <f>DG35+BX36-AM36</f>
        <v>-25</v>
      </c>
      <c r="DH36" s="4">
        <f>DH35+BY36-AN36</f>
        <v>0</v>
      </c>
    </row>
    <row r="37" spans="1:112" x14ac:dyDescent="0.25">
      <c r="A37" s="6">
        <v>46180</v>
      </c>
      <c r="B37" s="7">
        <v>0.74999999991996447</v>
      </c>
      <c r="C37" s="3" t="s">
        <v>2</v>
      </c>
      <c r="D37" s="3" t="s">
        <v>9</v>
      </c>
      <c r="E37" s="3" t="s">
        <v>2</v>
      </c>
      <c r="F37" s="13">
        <f>SUM(IFERROR(VLOOKUP($C:$C,Structure!$A:$AJ,F$1,0)*15,0),IFERROR(VLOOKUP($D:$D,Structure!$A:$AJ,F$1,0)*15,0),IFERROR(VLOOKUP($E:$E,Structure!$A:$AJ,F$1,0)*15,0))</f>
        <v>0</v>
      </c>
      <c r="G37" s="13">
        <f>SUM(IFERROR(VLOOKUP($C:$C,Structure!$A:$AJ,G$1,0)*15,0),IFERROR(VLOOKUP($D:$D,Structure!$A:$AJ,G$1,0)*15,0),IFERROR(VLOOKUP($E:$E,Structure!$A:$AJ,G$1,0)*15,0))</f>
        <v>0</v>
      </c>
      <c r="H37" s="13">
        <f>SUM(IFERROR(VLOOKUP($C:$C,Structure!$A:$AJ,H$1,0)*15,0),IFERROR(VLOOKUP($D:$D,Structure!$A:$AJ,H$1,0)*15,0),IFERROR(VLOOKUP($E:$E,Structure!$A:$AJ,H$1,0)*15,0))</f>
        <v>0</v>
      </c>
      <c r="I37" s="13">
        <f>SUM(IFERROR(VLOOKUP($C:$C,Structure!$A:$AJ,I$1,0)*15,0),IFERROR(VLOOKUP($D:$D,Structure!$A:$AJ,I$1,0)*15,0),IFERROR(VLOOKUP($E:$E,Structure!$A:$AJ,I$1,0)*15,0))</f>
        <v>0</v>
      </c>
      <c r="J37" s="13">
        <f>SUM(IFERROR(VLOOKUP($C:$C,Structure!$A:$AJ,J$1,0)*15,0),IFERROR(VLOOKUP($D:$D,Structure!$A:$AJ,J$1,0)*15,0),IFERROR(VLOOKUP($E:$E,Structure!$A:$AJ,J$1,0)*15,0))</f>
        <v>0</v>
      </c>
      <c r="K37" s="13">
        <f>SUM(IFERROR(VLOOKUP($C:$C,Structure!$A:$AJ,K$1,0)*15,0),IFERROR(VLOOKUP($D:$D,Structure!$A:$AJ,K$1,0)*15,0),IFERROR(VLOOKUP($E:$E,Structure!$A:$AJ,K$1,0)*15,0))</f>
        <v>0</v>
      </c>
      <c r="L37" s="13">
        <f>SUM(IFERROR(VLOOKUP($C:$C,Structure!$A:$AJ,L$1,0)*15,0),IFERROR(VLOOKUP($D:$D,Structure!$A:$AJ,L$1,0)*15,0),IFERROR(VLOOKUP($E:$E,Structure!$A:$AJ,L$1,0)*15,0))</f>
        <v>0</v>
      </c>
      <c r="M37" s="13">
        <f>SUM(IFERROR(VLOOKUP($C:$C,Structure!$A:$AJ,M$1,0)*15,0),IFERROR(VLOOKUP($D:$D,Structure!$A:$AJ,M$1,0)*15,0),IFERROR(VLOOKUP($E:$E,Structure!$A:$AJ,M$1,0)*15,0))</f>
        <v>0</v>
      </c>
      <c r="N37" s="13">
        <f>SUM(IFERROR(VLOOKUP($C:$C,Structure!$A:$AJ,N$1,0)*15,0),IFERROR(VLOOKUP($D:$D,Structure!$A:$AJ,N$1,0)*15,0),IFERROR(VLOOKUP($E:$E,Structure!$A:$AJ,N$1,0)*15,0))</f>
        <v>0</v>
      </c>
      <c r="O37" s="13">
        <f>SUM(IFERROR(VLOOKUP($C:$C,Structure!$A:$AJ,O$1,0)*15,0),IFERROR(VLOOKUP($D:$D,Structure!$A:$AJ,O$1,0)*15,0),IFERROR(VLOOKUP($E:$E,Structure!$A:$AJ,O$1,0)*15,0))</f>
        <v>0</v>
      </c>
      <c r="P37" s="13">
        <f>SUM(IFERROR(VLOOKUP($C:$C,Structure!$A:$AJ,P$1,0)*15,0),IFERROR(VLOOKUP($D:$D,Structure!$A:$AJ,P$1,0)*15,0),IFERROR(VLOOKUP($E:$E,Structure!$A:$AJ,P$1,0)*15,0))</f>
        <v>0</v>
      </c>
      <c r="Q37" s="13">
        <f>SUM(IFERROR(VLOOKUP($C:$C,Structure!$A:$AJ,Q$1,0)*15,0),IFERROR(VLOOKUP($D:$D,Structure!$A:$AJ,Q$1,0)*15,0),IFERROR(VLOOKUP($E:$E,Structure!$A:$AJ,Q$1,0)*15,0))</f>
        <v>0</v>
      </c>
      <c r="R37" s="13">
        <f>SUM(IFERROR(VLOOKUP($C:$C,Structure!$A:$AJ,R$1,0)*15,0),IFERROR(VLOOKUP($D:$D,Structure!$A:$AJ,R$1,0)*15,0),IFERROR(VLOOKUP($E:$E,Structure!$A:$AJ,R$1,0)*15,0))</f>
        <v>0</v>
      </c>
      <c r="S37" s="13">
        <f>SUM(IFERROR(VLOOKUP($C:$C,Structure!$A:$AJ,S$1,0)*15,0),IFERROR(VLOOKUP($D:$D,Structure!$A:$AJ,S$1,0)*15,0),IFERROR(VLOOKUP($E:$E,Structure!$A:$AJ,S$1,0)*15,0))</f>
        <v>0</v>
      </c>
      <c r="T37" s="13">
        <f>SUM(IFERROR(VLOOKUP($C:$C,Structure!$A:$AJ,T$1,0)*15,0),IFERROR(VLOOKUP($D:$D,Structure!$A:$AJ,T$1,0)*15,0),IFERROR(VLOOKUP($E:$E,Structure!$A:$AJ,T$1,0)*15,0))</f>
        <v>0</v>
      </c>
      <c r="U37" s="13">
        <f>SUM(IFERROR(VLOOKUP($C:$C,Structure!$A:$AJ,U$1,0)*15,0),IFERROR(VLOOKUP($D:$D,Structure!$A:$AJ,U$1,0)*15,0),IFERROR(VLOOKUP($E:$E,Structure!$A:$AJ,U$1,0)*15,0))</f>
        <v>0</v>
      </c>
      <c r="V37" s="13">
        <f>SUM(IFERROR(VLOOKUP($C:$C,Structure!$A:$AJ,V$1,0)*15,0),IFERROR(VLOOKUP($D:$D,Structure!$A:$AJ,V$1,0)*15,0),IFERROR(VLOOKUP($E:$E,Structure!$A:$AJ,V$1,0)*15,0))</f>
        <v>0</v>
      </c>
      <c r="W37" s="13">
        <f>SUM(IFERROR(VLOOKUP($C:$C,Structure!$A:$AJ,W$1,0)*15,0),IFERROR(VLOOKUP($D:$D,Structure!$A:$AJ,W$1,0)*15,0),IFERROR(VLOOKUP($E:$E,Structure!$A:$AJ,W$1,0)*15,0))</f>
        <v>0</v>
      </c>
      <c r="X37" s="13">
        <f>SUM(IFERROR(VLOOKUP($C:$C,Structure!$A:$AJ,X$1,0)*15,0),IFERROR(VLOOKUP($D:$D,Structure!$A:$AJ,X$1,0)*15,0),IFERROR(VLOOKUP($E:$E,Structure!$A:$AJ,X$1,0)*15,0))</f>
        <v>0</v>
      </c>
      <c r="Y37" s="13">
        <f>SUM(IFERROR(VLOOKUP($C:$C,Structure!$A:$AJ,Y$1,0)*15,0),IFERROR(VLOOKUP($D:$D,Structure!$A:$AJ,Y$1,0)*15,0),IFERROR(VLOOKUP($E:$E,Structure!$A:$AJ,Y$1,0)*15,0))</f>
        <v>0</v>
      </c>
      <c r="Z37" s="13">
        <f>SUM(IFERROR(VLOOKUP($C:$C,Structure!$A:$AJ,Z$1,0)*15,0),IFERROR(VLOOKUP($D:$D,Structure!$A:$AJ,Z$1,0)*15,0),IFERROR(VLOOKUP($E:$E,Structure!$A:$AJ,Z$1,0)*15,0))</f>
        <v>0</v>
      </c>
      <c r="AA37" s="13">
        <f>SUM(IFERROR(VLOOKUP($C:$C,Structure!$A:$AJ,AA$1,0)*15,0),IFERROR(VLOOKUP($D:$D,Structure!$A:$AJ,AA$1,0)*15,0),IFERROR(VLOOKUP($E:$E,Structure!$A:$AJ,AA$1,0)*15,0))</f>
        <v>30</v>
      </c>
      <c r="AB37" s="13">
        <f>SUM(IFERROR(VLOOKUP($C:$C,Structure!$A:$AJ,AB$1,0)*15,0),IFERROR(VLOOKUP($D:$D,Structure!$A:$AJ,AB$1,0)*15,0),IFERROR(VLOOKUP($E:$E,Structure!$A:$AJ,AB$1,0)*15,0))</f>
        <v>15</v>
      </c>
      <c r="AC37" s="13">
        <f>SUM(IFERROR(VLOOKUP($C:$C,Structure!$A:$AJ,AC$1,0)*15,0),IFERROR(VLOOKUP($D:$D,Structure!$A:$AJ,AC$1,0)*15,0),IFERROR(VLOOKUP($E:$E,Structure!$A:$AJ,AC$1,0)*15,0))</f>
        <v>0</v>
      </c>
      <c r="AD37" s="13">
        <f>SUM(IFERROR(VLOOKUP($C:$C,Structure!$A:$AJ,AD$1,0)*15,0),IFERROR(VLOOKUP($D:$D,Structure!$A:$AJ,AD$1,0)*15,0),IFERROR(VLOOKUP($E:$E,Structure!$A:$AJ,AD$1,0)*15,0))</f>
        <v>0</v>
      </c>
      <c r="AE37" s="13">
        <f>SUM(IFERROR(VLOOKUP($C:$C,Structure!$A:$AJ,AE$1,0)*15,0),IFERROR(VLOOKUP($D:$D,Structure!$A:$AJ,AE$1,0)*15,0),IFERROR(VLOOKUP($E:$E,Structure!$A:$AJ,AE$1,0)*15,0))</f>
        <v>0</v>
      </c>
      <c r="AF37" s="13">
        <f>SUM(IFERROR(VLOOKUP($C:$C,Structure!$A:$AJ,AF$1,0)*15,0),IFERROR(VLOOKUP($D:$D,Structure!$A:$AJ,AF$1,0)*15,0),IFERROR(VLOOKUP($E:$E,Structure!$A:$AJ,AF$1,0)*15,0))</f>
        <v>15</v>
      </c>
      <c r="AG37" s="13">
        <f>SUM(IFERROR(VLOOKUP($C:$C,Structure!$A:$AJ,AG$1,0)*15,0),IFERROR(VLOOKUP($D:$D,Structure!$A:$AJ,AG$1,0)*15,0),IFERROR(VLOOKUP($E:$E,Structure!$A:$AJ,AG$1,0)*15,0))</f>
        <v>0</v>
      </c>
      <c r="AH37" s="13">
        <f>SUM(IFERROR(VLOOKUP($C:$C,Structure!$A:$AJ,AH$1,0)*15,0),IFERROR(VLOOKUP($D:$D,Structure!$A:$AJ,AH$1,0)*15,0),IFERROR(VLOOKUP($E:$E,Structure!$A:$AJ,AH$1,0)*15,0))</f>
        <v>0</v>
      </c>
      <c r="AI37" s="13">
        <f>SUM(IFERROR(VLOOKUP($C:$C,Structure!$A:$AJ,AI$1,0)*15,0),IFERROR(VLOOKUP($D:$D,Structure!$A:$AJ,AI$1,0)*15,0),IFERROR(VLOOKUP($E:$E,Structure!$A:$AJ,AI$1,0)*15,0))</f>
        <v>0</v>
      </c>
      <c r="AJ37" s="13">
        <f>SUM(IFERROR(VLOOKUP($C:$C,Structure!$A:$AJ,AJ$1,0)*15,0),IFERROR(VLOOKUP($D:$D,Structure!$A:$AJ,AJ$1,0)*15,0),IFERROR(VLOOKUP($E:$E,Structure!$A:$AJ,AJ$1,0)*15,0))</f>
        <v>30</v>
      </c>
      <c r="AK37" s="13">
        <f>SUM(IFERROR(VLOOKUP($C:$C,Structure!$A:$AJ,AK$1,0)*15,0),IFERROR(VLOOKUP($D:$D,Structure!$A:$AJ,AK$1,0)*15,0),IFERROR(VLOOKUP($E:$E,Structure!$A:$AJ,AK$1,0)*15,0))</f>
        <v>0</v>
      </c>
      <c r="AL37" s="13">
        <f>SUM(IFERROR(VLOOKUP($C:$C,Structure!$A:$AJ,AL$1,0)*15,0),IFERROR(VLOOKUP($D:$D,Structure!$A:$AJ,AL$1,0)*15,0),IFERROR(VLOOKUP($E:$E,Structure!$A:$AJ,AL$1,0)*15,0))</f>
        <v>0</v>
      </c>
      <c r="AM37" s="13">
        <f>SUM(IFERROR(VLOOKUP($C:$C,Structure!$A:$AJ,AM$1,0)*15,0),IFERROR(VLOOKUP($D:$D,Structure!$A:$AJ,AM$1,0)*15,0),IFERROR(VLOOKUP($E:$E,Structure!$A:$AJ,AM$1,0)*15,0))</f>
        <v>0</v>
      </c>
      <c r="AN37" s="13">
        <f>SUM(IFERROR(VLOOKUP($C:$C,Structure!$A:$AJ,AN$1,0)*15,0),IFERROR(VLOOKUP($D:$D,Structure!$A:$AJ,AN$1,0)*15,0),IFERROR(VLOOKUP($E:$E,Structure!$A:$AJ,AN$1,0)*15,0))</f>
        <v>0</v>
      </c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3"/>
      <c r="BZ37" s="4">
        <f>BZ36+AQ37-F37</f>
        <v>0</v>
      </c>
      <c r="CA37" s="4">
        <f>CA36+AR37-G37</f>
        <v>0</v>
      </c>
      <c r="CB37" s="4">
        <f>CB36+AS37-H37</f>
        <v>0</v>
      </c>
      <c r="CC37" s="4">
        <f>CC36+AT37-I37</f>
        <v>0</v>
      </c>
      <c r="CD37" s="4">
        <f>CD36+AU37-J37</f>
        <v>0</v>
      </c>
      <c r="CE37" s="4">
        <f>CE36+AV37-K37</f>
        <v>0</v>
      </c>
      <c r="CF37" s="4">
        <f>CF36+AW37-L37</f>
        <v>0</v>
      </c>
      <c r="CG37" s="4">
        <f>CG36+AX37-M37</f>
        <v>0</v>
      </c>
      <c r="CH37" s="4">
        <f>CH36+AY37-N37</f>
        <v>0</v>
      </c>
      <c r="CI37" s="4">
        <f>CI36+AZ37-O37</f>
        <v>0</v>
      </c>
      <c r="CJ37" s="4">
        <f>CJ36+BA37-P37</f>
        <v>0</v>
      </c>
      <c r="CK37" s="4">
        <f>CK36+BB37-Q37</f>
        <v>0</v>
      </c>
      <c r="CL37" s="4">
        <f>CL36+BC37-R37</f>
        <v>0</v>
      </c>
      <c r="CM37" s="4">
        <f>CM36+BD37-S37</f>
        <v>0</v>
      </c>
      <c r="CN37" s="4">
        <f>CN36+BE37-T37</f>
        <v>0</v>
      </c>
      <c r="CO37" s="4">
        <f>CO36+BF37-U37</f>
        <v>0</v>
      </c>
      <c r="CP37" s="4">
        <f>CP36+BG37-V37</f>
        <v>0</v>
      </c>
      <c r="CQ37" s="4">
        <f>CQ36+BH37-W37</f>
        <v>0</v>
      </c>
      <c r="CR37" s="4">
        <f>CR36+BI37-X37</f>
        <v>0</v>
      </c>
      <c r="CS37" s="4">
        <f>CS36+BJ37-Y37</f>
        <v>0</v>
      </c>
      <c r="CT37" s="4">
        <f>CT36+BK37-Z37</f>
        <v>0</v>
      </c>
      <c r="CU37" s="4">
        <f>CU36+BL37-AA37</f>
        <v>-1280</v>
      </c>
      <c r="CV37" s="4">
        <f>CV36+BM37-AB37</f>
        <v>-150</v>
      </c>
      <c r="CW37" s="4">
        <f>CW36+BN37-AC37</f>
        <v>-45</v>
      </c>
      <c r="CX37" s="4">
        <f>CX36+BO37-AD37</f>
        <v>0</v>
      </c>
      <c r="CY37" s="4">
        <f>CY36+BP37-AE37</f>
        <v>0</v>
      </c>
      <c r="CZ37" s="4">
        <f>CZ36+BQ37-AF37</f>
        <v>-70</v>
      </c>
      <c r="DA37" s="4">
        <f>DA36+BR37-AG37</f>
        <v>0</v>
      </c>
      <c r="DB37" s="4">
        <f>DB36+BS37-AH37</f>
        <v>0</v>
      </c>
      <c r="DC37" s="4">
        <f>DC36+BT37-AI37</f>
        <v>0</v>
      </c>
      <c r="DD37" s="4">
        <f>DD36+BU37-AJ37</f>
        <v>-970</v>
      </c>
      <c r="DE37" s="4">
        <f>DE36+BV37-AK37</f>
        <v>-330</v>
      </c>
      <c r="DF37" s="4">
        <f>DF36+BW37-AL37</f>
        <v>0</v>
      </c>
      <c r="DG37" s="4">
        <f>DG36+BX37-AM37</f>
        <v>-25</v>
      </c>
      <c r="DH37" s="4">
        <f>DH36+BY37-AN37</f>
        <v>0</v>
      </c>
    </row>
    <row r="38" spans="1:112" x14ac:dyDescent="0.25">
      <c r="A38" s="6">
        <v>46180</v>
      </c>
      <c r="B38" s="7">
        <v>0.79166666658420581</v>
      </c>
      <c r="C38" s="3" t="s">
        <v>2</v>
      </c>
      <c r="D38" s="3" t="s">
        <v>76</v>
      </c>
      <c r="E38" s="3" t="s">
        <v>2</v>
      </c>
      <c r="F38" s="13">
        <f>SUM(IFERROR(VLOOKUP($C:$C,Structure!$A:$AJ,F$1,0)*15,0),IFERROR(VLOOKUP($D:$D,Structure!$A:$AJ,F$1,0)*15,0),IFERROR(VLOOKUP($E:$E,Structure!$A:$AJ,F$1,0)*15,0))</f>
        <v>0</v>
      </c>
      <c r="G38" s="13">
        <f>SUM(IFERROR(VLOOKUP($C:$C,Structure!$A:$AJ,G$1,0)*15,0),IFERROR(VLOOKUP($D:$D,Structure!$A:$AJ,G$1,0)*15,0),IFERROR(VLOOKUP($E:$E,Structure!$A:$AJ,G$1,0)*15,0))</f>
        <v>0</v>
      </c>
      <c r="H38" s="13">
        <f>SUM(IFERROR(VLOOKUP($C:$C,Structure!$A:$AJ,H$1,0)*15,0),IFERROR(VLOOKUP($D:$D,Structure!$A:$AJ,H$1,0)*15,0),IFERROR(VLOOKUP($E:$E,Structure!$A:$AJ,H$1,0)*15,0))</f>
        <v>0</v>
      </c>
      <c r="I38" s="13">
        <f>SUM(IFERROR(VLOOKUP($C:$C,Structure!$A:$AJ,I$1,0)*15,0),IFERROR(VLOOKUP($D:$D,Structure!$A:$AJ,I$1,0)*15,0),IFERROR(VLOOKUP($E:$E,Structure!$A:$AJ,I$1,0)*15,0))</f>
        <v>0</v>
      </c>
      <c r="J38" s="13">
        <f>SUM(IFERROR(VLOOKUP($C:$C,Structure!$A:$AJ,J$1,0)*15,0),IFERROR(VLOOKUP($D:$D,Structure!$A:$AJ,J$1,0)*15,0),IFERROR(VLOOKUP($E:$E,Structure!$A:$AJ,J$1,0)*15,0))</f>
        <v>0</v>
      </c>
      <c r="K38" s="13">
        <f>SUM(IFERROR(VLOOKUP($C:$C,Structure!$A:$AJ,K$1,0)*15,0),IFERROR(VLOOKUP($D:$D,Structure!$A:$AJ,K$1,0)*15,0),IFERROR(VLOOKUP($E:$E,Structure!$A:$AJ,K$1,0)*15,0))</f>
        <v>0</v>
      </c>
      <c r="L38" s="13">
        <f>SUM(IFERROR(VLOOKUP($C:$C,Structure!$A:$AJ,L$1,0)*15,0),IFERROR(VLOOKUP($D:$D,Structure!$A:$AJ,L$1,0)*15,0),IFERROR(VLOOKUP($E:$E,Structure!$A:$AJ,L$1,0)*15,0))</f>
        <v>0</v>
      </c>
      <c r="M38" s="13">
        <f>SUM(IFERROR(VLOOKUP($C:$C,Structure!$A:$AJ,M$1,0)*15,0),IFERROR(VLOOKUP($D:$D,Structure!$A:$AJ,M$1,0)*15,0),IFERROR(VLOOKUP($E:$E,Structure!$A:$AJ,M$1,0)*15,0))</f>
        <v>0</v>
      </c>
      <c r="N38" s="13">
        <f>SUM(IFERROR(VLOOKUP($C:$C,Structure!$A:$AJ,N$1,0)*15,0),IFERROR(VLOOKUP($D:$D,Structure!$A:$AJ,N$1,0)*15,0),IFERROR(VLOOKUP($E:$E,Structure!$A:$AJ,N$1,0)*15,0))</f>
        <v>0</v>
      </c>
      <c r="O38" s="13">
        <f>SUM(IFERROR(VLOOKUP($C:$C,Structure!$A:$AJ,O$1,0)*15,0),IFERROR(VLOOKUP($D:$D,Structure!$A:$AJ,O$1,0)*15,0),IFERROR(VLOOKUP($E:$E,Structure!$A:$AJ,O$1,0)*15,0))</f>
        <v>0</v>
      </c>
      <c r="P38" s="13">
        <f>SUM(IFERROR(VLOOKUP($C:$C,Structure!$A:$AJ,P$1,0)*15,0),IFERROR(VLOOKUP($D:$D,Structure!$A:$AJ,P$1,0)*15,0),IFERROR(VLOOKUP($E:$E,Structure!$A:$AJ,P$1,0)*15,0))</f>
        <v>0</v>
      </c>
      <c r="Q38" s="13">
        <f>SUM(IFERROR(VLOOKUP($C:$C,Structure!$A:$AJ,Q$1,0)*15,0),IFERROR(VLOOKUP($D:$D,Structure!$A:$AJ,Q$1,0)*15,0),IFERROR(VLOOKUP($E:$E,Structure!$A:$AJ,Q$1,0)*15,0))</f>
        <v>0</v>
      </c>
      <c r="R38" s="13">
        <f>SUM(IFERROR(VLOOKUP($C:$C,Structure!$A:$AJ,R$1,0)*15,0),IFERROR(VLOOKUP($D:$D,Structure!$A:$AJ,R$1,0)*15,0),IFERROR(VLOOKUP($E:$E,Structure!$A:$AJ,R$1,0)*15,0))</f>
        <v>0</v>
      </c>
      <c r="S38" s="13">
        <f>SUM(IFERROR(VLOOKUP($C:$C,Structure!$A:$AJ,S$1,0)*15,0),IFERROR(VLOOKUP($D:$D,Structure!$A:$AJ,S$1,0)*15,0),IFERROR(VLOOKUP($E:$E,Structure!$A:$AJ,S$1,0)*15,0))</f>
        <v>0</v>
      </c>
      <c r="T38" s="13">
        <f>SUM(IFERROR(VLOOKUP($C:$C,Structure!$A:$AJ,T$1,0)*15,0),IFERROR(VLOOKUP($D:$D,Structure!$A:$AJ,T$1,0)*15,0),IFERROR(VLOOKUP($E:$E,Structure!$A:$AJ,T$1,0)*15,0))</f>
        <v>0</v>
      </c>
      <c r="U38" s="13">
        <f>SUM(IFERROR(VLOOKUP($C:$C,Structure!$A:$AJ,U$1,0)*15,0),IFERROR(VLOOKUP($D:$D,Structure!$A:$AJ,U$1,0)*15,0),IFERROR(VLOOKUP($E:$E,Structure!$A:$AJ,U$1,0)*15,0))</f>
        <v>0</v>
      </c>
      <c r="V38" s="13">
        <f>SUM(IFERROR(VLOOKUP($C:$C,Structure!$A:$AJ,V$1,0)*15,0),IFERROR(VLOOKUP($D:$D,Structure!$A:$AJ,V$1,0)*15,0),IFERROR(VLOOKUP($E:$E,Structure!$A:$AJ,V$1,0)*15,0))</f>
        <v>0</v>
      </c>
      <c r="W38" s="13">
        <f>SUM(IFERROR(VLOOKUP($C:$C,Structure!$A:$AJ,W$1,0)*15,0),IFERROR(VLOOKUP($D:$D,Structure!$A:$AJ,W$1,0)*15,0),IFERROR(VLOOKUP($E:$E,Structure!$A:$AJ,W$1,0)*15,0))</f>
        <v>0</v>
      </c>
      <c r="X38" s="13">
        <f>SUM(IFERROR(VLOOKUP($C:$C,Structure!$A:$AJ,X$1,0)*15,0),IFERROR(VLOOKUP($D:$D,Structure!$A:$AJ,X$1,0)*15,0),IFERROR(VLOOKUP($E:$E,Structure!$A:$AJ,X$1,0)*15,0))</f>
        <v>0</v>
      </c>
      <c r="Y38" s="13">
        <f>SUM(IFERROR(VLOOKUP($C:$C,Structure!$A:$AJ,Y$1,0)*15,0),IFERROR(VLOOKUP($D:$D,Structure!$A:$AJ,Y$1,0)*15,0),IFERROR(VLOOKUP($E:$E,Structure!$A:$AJ,Y$1,0)*15,0))</f>
        <v>0</v>
      </c>
      <c r="Z38" s="13">
        <f>SUM(IFERROR(VLOOKUP($C:$C,Structure!$A:$AJ,Z$1,0)*15,0),IFERROR(VLOOKUP($D:$D,Structure!$A:$AJ,Z$1,0)*15,0),IFERROR(VLOOKUP($E:$E,Structure!$A:$AJ,Z$1,0)*15,0))</f>
        <v>0</v>
      </c>
      <c r="AA38" s="13">
        <f>SUM(IFERROR(VLOOKUP($C:$C,Structure!$A:$AJ,AA$1,0)*15,0),IFERROR(VLOOKUP($D:$D,Structure!$A:$AJ,AA$1,0)*15,0),IFERROR(VLOOKUP($E:$E,Structure!$A:$AJ,AA$1,0)*15,0))</f>
        <v>45</v>
      </c>
      <c r="AB38" s="13">
        <f>SUM(IFERROR(VLOOKUP($C:$C,Structure!$A:$AJ,AB$1,0)*15,0),IFERROR(VLOOKUP($D:$D,Structure!$A:$AJ,AB$1,0)*15,0),IFERROR(VLOOKUP($E:$E,Structure!$A:$AJ,AB$1,0)*15,0))</f>
        <v>0</v>
      </c>
      <c r="AC38" s="13">
        <f>SUM(IFERROR(VLOOKUP($C:$C,Structure!$A:$AJ,AC$1,0)*15,0),IFERROR(VLOOKUP($D:$D,Structure!$A:$AJ,AC$1,0)*15,0),IFERROR(VLOOKUP($E:$E,Structure!$A:$AJ,AC$1,0)*15,0))</f>
        <v>0</v>
      </c>
      <c r="AD38" s="13">
        <f>SUM(IFERROR(VLOOKUP($C:$C,Structure!$A:$AJ,AD$1,0)*15,0),IFERROR(VLOOKUP($D:$D,Structure!$A:$AJ,AD$1,0)*15,0),IFERROR(VLOOKUP($E:$E,Structure!$A:$AJ,AD$1,0)*15,0))</f>
        <v>0</v>
      </c>
      <c r="AE38" s="13">
        <f>SUM(IFERROR(VLOOKUP($C:$C,Structure!$A:$AJ,AE$1,0)*15,0),IFERROR(VLOOKUP($D:$D,Structure!$A:$AJ,AE$1,0)*15,0),IFERROR(VLOOKUP($E:$E,Structure!$A:$AJ,AE$1,0)*15,0))</f>
        <v>0</v>
      </c>
      <c r="AF38" s="13">
        <f>SUM(IFERROR(VLOOKUP($C:$C,Structure!$A:$AJ,AF$1,0)*15,0),IFERROR(VLOOKUP($D:$D,Structure!$A:$AJ,AF$1,0)*15,0),IFERROR(VLOOKUP($E:$E,Structure!$A:$AJ,AF$1,0)*15,0))</f>
        <v>0</v>
      </c>
      <c r="AG38" s="13">
        <f>SUM(IFERROR(VLOOKUP($C:$C,Structure!$A:$AJ,AG$1,0)*15,0),IFERROR(VLOOKUP($D:$D,Structure!$A:$AJ,AG$1,0)*15,0),IFERROR(VLOOKUP($E:$E,Structure!$A:$AJ,AG$1,0)*15,0))</f>
        <v>0</v>
      </c>
      <c r="AH38" s="13">
        <f>SUM(IFERROR(VLOOKUP($C:$C,Structure!$A:$AJ,AH$1,0)*15,0),IFERROR(VLOOKUP($D:$D,Structure!$A:$AJ,AH$1,0)*15,0),IFERROR(VLOOKUP($E:$E,Structure!$A:$AJ,AH$1,0)*15,0))</f>
        <v>0</v>
      </c>
      <c r="AI38" s="13">
        <f>SUM(IFERROR(VLOOKUP($C:$C,Structure!$A:$AJ,AI$1,0)*15,0),IFERROR(VLOOKUP($D:$D,Structure!$A:$AJ,AI$1,0)*15,0),IFERROR(VLOOKUP($E:$E,Structure!$A:$AJ,AI$1,0)*15,0))</f>
        <v>0</v>
      </c>
      <c r="AJ38" s="13">
        <f>SUM(IFERROR(VLOOKUP($C:$C,Structure!$A:$AJ,AJ$1,0)*15,0),IFERROR(VLOOKUP($D:$D,Structure!$A:$AJ,AJ$1,0)*15,0),IFERROR(VLOOKUP($E:$E,Structure!$A:$AJ,AJ$1,0)*15,0))</f>
        <v>30</v>
      </c>
      <c r="AK38" s="13">
        <f>SUM(IFERROR(VLOOKUP($C:$C,Structure!$A:$AJ,AK$1,0)*15,0),IFERROR(VLOOKUP($D:$D,Structure!$A:$AJ,AK$1,0)*15,0),IFERROR(VLOOKUP($E:$E,Structure!$A:$AJ,AK$1,0)*15,0))</f>
        <v>15</v>
      </c>
      <c r="AL38" s="13">
        <f>SUM(IFERROR(VLOOKUP($C:$C,Structure!$A:$AJ,AL$1,0)*15,0),IFERROR(VLOOKUP($D:$D,Structure!$A:$AJ,AL$1,0)*15,0),IFERROR(VLOOKUP($E:$E,Structure!$A:$AJ,AL$1,0)*15,0))</f>
        <v>0</v>
      </c>
      <c r="AM38" s="13">
        <f>SUM(IFERROR(VLOOKUP($C:$C,Structure!$A:$AJ,AM$1,0)*15,0),IFERROR(VLOOKUP($D:$D,Structure!$A:$AJ,AM$1,0)*15,0),IFERROR(VLOOKUP($E:$E,Structure!$A:$AJ,AM$1,0)*15,0))</f>
        <v>0</v>
      </c>
      <c r="AN38" s="13">
        <f>SUM(IFERROR(VLOOKUP($C:$C,Structure!$A:$AJ,AN$1,0)*15,0),IFERROR(VLOOKUP($D:$D,Structure!$A:$AJ,AN$1,0)*15,0),IFERROR(VLOOKUP($E:$E,Structure!$A:$AJ,AN$1,0)*15,0))</f>
        <v>0</v>
      </c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3"/>
      <c r="BZ38" s="4">
        <f>BZ37+AQ38-F38</f>
        <v>0</v>
      </c>
      <c r="CA38" s="4">
        <f>CA37+AR38-G38</f>
        <v>0</v>
      </c>
      <c r="CB38" s="4">
        <f>CB37+AS38-H38</f>
        <v>0</v>
      </c>
      <c r="CC38" s="4">
        <f>CC37+AT38-I38</f>
        <v>0</v>
      </c>
      <c r="CD38" s="4">
        <f>CD37+AU38-J38</f>
        <v>0</v>
      </c>
      <c r="CE38" s="4">
        <f>CE37+AV38-K38</f>
        <v>0</v>
      </c>
      <c r="CF38" s="4">
        <f>CF37+AW38-L38</f>
        <v>0</v>
      </c>
      <c r="CG38" s="4">
        <f>CG37+AX38-M38</f>
        <v>0</v>
      </c>
      <c r="CH38" s="4">
        <f>CH37+AY38-N38</f>
        <v>0</v>
      </c>
      <c r="CI38" s="4">
        <f>CI37+AZ38-O38</f>
        <v>0</v>
      </c>
      <c r="CJ38" s="4">
        <f>CJ37+BA38-P38</f>
        <v>0</v>
      </c>
      <c r="CK38" s="4">
        <f>CK37+BB38-Q38</f>
        <v>0</v>
      </c>
      <c r="CL38" s="4">
        <f>CL37+BC38-R38</f>
        <v>0</v>
      </c>
      <c r="CM38" s="4">
        <f>CM37+BD38-S38</f>
        <v>0</v>
      </c>
      <c r="CN38" s="4">
        <f>CN37+BE38-T38</f>
        <v>0</v>
      </c>
      <c r="CO38" s="4">
        <f>CO37+BF38-U38</f>
        <v>0</v>
      </c>
      <c r="CP38" s="4">
        <f>CP37+BG38-V38</f>
        <v>0</v>
      </c>
      <c r="CQ38" s="4">
        <f>CQ37+BH38-W38</f>
        <v>0</v>
      </c>
      <c r="CR38" s="4">
        <f>CR37+BI38-X38</f>
        <v>0</v>
      </c>
      <c r="CS38" s="4">
        <f>CS37+BJ38-Y38</f>
        <v>0</v>
      </c>
      <c r="CT38" s="4">
        <f>CT37+BK38-Z38</f>
        <v>0</v>
      </c>
      <c r="CU38" s="4">
        <f>CU37+BL38-AA38</f>
        <v>-1325</v>
      </c>
      <c r="CV38" s="4">
        <f>CV37+BM38-AB38</f>
        <v>-150</v>
      </c>
      <c r="CW38" s="4">
        <f>CW37+BN38-AC38</f>
        <v>-45</v>
      </c>
      <c r="CX38" s="4">
        <f>CX37+BO38-AD38</f>
        <v>0</v>
      </c>
      <c r="CY38" s="4">
        <f>CY37+BP38-AE38</f>
        <v>0</v>
      </c>
      <c r="CZ38" s="4">
        <f>CZ37+BQ38-AF38</f>
        <v>-70</v>
      </c>
      <c r="DA38" s="4">
        <f>DA37+BR38-AG38</f>
        <v>0</v>
      </c>
      <c r="DB38" s="4">
        <f>DB37+BS38-AH38</f>
        <v>0</v>
      </c>
      <c r="DC38" s="4">
        <f>DC37+BT38-AI38</f>
        <v>0</v>
      </c>
      <c r="DD38" s="4">
        <f>DD37+BU38-AJ38</f>
        <v>-1000</v>
      </c>
      <c r="DE38" s="4">
        <f>DE37+BV38-AK38</f>
        <v>-345</v>
      </c>
      <c r="DF38" s="4">
        <f>DF37+BW38-AL38</f>
        <v>0</v>
      </c>
      <c r="DG38" s="4">
        <f>DG37+BX38-AM38</f>
        <v>-25</v>
      </c>
      <c r="DH38" s="4">
        <f>DH37+BY38-AN38</f>
        <v>0</v>
      </c>
    </row>
    <row r="39" spans="1:112" x14ac:dyDescent="0.25">
      <c r="A39" s="6">
        <v>46180</v>
      </c>
      <c r="B39" s="7">
        <v>0.83333333324844716</v>
      </c>
      <c r="C39" s="3" t="s">
        <v>2</v>
      </c>
      <c r="D39" s="3" t="s">
        <v>76</v>
      </c>
      <c r="E39" s="3" t="s">
        <v>2</v>
      </c>
      <c r="F39" s="13">
        <f>SUM(IFERROR(VLOOKUP($C:$C,Structure!$A:$AJ,F$1,0)*15,0),IFERROR(VLOOKUP($D:$D,Structure!$A:$AJ,F$1,0)*15,0),IFERROR(VLOOKUP($E:$E,Structure!$A:$AJ,F$1,0)*15,0))</f>
        <v>0</v>
      </c>
      <c r="G39" s="13">
        <f>SUM(IFERROR(VLOOKUP($C:$C,Structure!$A:$AJ,G$1,0)*15,0),IFERROR(VLOOKUP($D:$D,Structure!$A:$AJ,G$1,0)*15,0),IFERROR(VLOOKUP($E:$E,Structure!$A:$AJ,G$1,0)*15,0))</f>
        <v>0</v>
      </c>
      <c r="H39" s="13">
        <f>SUM(IFERROR(VLOOKUP($C:$C,Structure!$A:$AJ,H$1,0)*15,0),IFERROR(VLOOKUP($D:$D,Structure!$A:$AJ,H$1,0)*15,0),IFERROR(VLOOKUP($E:$E,Structure!$A:$AJ,H$1,0)*15,0))</f>
        <v>0</v>
      </c>
      <c r="I39" s="13">
        <f>SUM(IFERROR(VLOOKUP($C:$C,Structure!$A:$AJ,I$1,0)*15,0),IFERROR(VLOOKUP($D:$D,Structure!$A:$AJ,I$1,0)*15,0),IFERROR(VLOOKUP($E:$E,Structure!$A:$AJ,I$1,0)*15,0))</f>
        <v>0</v>
      </c>
      <c r="J39" s="13">
        <f>SUM(IFERROR(VLOOKUP($C:$C,Structure!$A:$AJ,J$1,0)*15,0),IFERROR(VLOOKUP($D:$D,Structure!$A:$AJ,J$1,0)*15,0),IFERROR(VLOOKUP($E:$E,Structure!$A:$AJ,J$1,0)*15,0))</f>
        <v>0</v>
      </c>
      <c r="K39" s="13">
        <f>SUM(IFERROR(VLOOKUP($C:$C,Structure!$A:$AJ,K$1,0)*15,0),IFERROR(VLOOKUP($D:$D,Structure!$A:$AJ,K$1,0)*15,0),IFERROR(VLOOKUP($E:$E,Structure!$A:$AJ,K$1,0)*15,0))</f>
        <v>0</v>
      </c>
      <c r="L39" s="13">
        <f>SUM(IFERROR(VLOOKUP($C:$C,Structure!$A:$AJ,L$1,0)*15,0),IFERROR(VLOOKUP($D:$D,Structure!$A:$AJ,L$1,0)*15,0),IFERROR(VLOOKUP($E:$E,Structure!$A:$AJ,L$1,0)*15,0))</f>
        <v>0</v>
      </c>
      <c r="M39" s="13">
        <f>SUM(IFERROR(VLOOKUP($C:$C,Structure!$A:$AJ,M$1,0)*15,0),IFERROR(VLOOKUP($D:$D,Structure!$A:$AJ,M$1,0)*15,0),IFERROR(VLOOKUP($E:$E,Structure!$A:$AJ,M$1,0)*15,0))</f>
        <v>0</v>
      </c>
      <c r="N39" s="13">
        <f>SUM(IFERROR(VLOOKUP($C:$C,Structure!$A:$AJ,N$1,0)*15,0),IFERROR(VLOOKUP($D:$D,Structure!$A:$AJ,N$1,0)*15,0),IFERROR(VLOOKUP($E:$E,Structure!$A:$AJ,N$1,0)*15,0))</f>
        <v>0</v>
      </c>
      <c r="O39" s="13">
        <f>SUM(IFERROR(VLOOKUP($C:$C,Structure!$A:$AJ,O$1,0)*15,0),IFERROR(VLOOKUP($D:$D,Structure!$A:$AJ,O$1,0)*15,0),IFERROR(VLOOKUP($E:$E,Structure!$A:$AJ,O$1,0)*15,0))</f>
        <v>0</v>
      </c>
      <c r="P39" s="13">
        <f>SUM(IFERROR(VLOOKUP($C:$C,Structure!$A:$AJ,P$1,0)*15,0),IFERROR(VLOOKUP($D:$D,Structure!$A:$AJ,P$1,0)*15,0),IFERROR(VLOOKUP($E:$E,Structure!$A:$AJ,P$1,0)*15,0))</f>
        <v>0</v>
      </c>
      <c r="Q39" s="13">
        <f>SUM(IFERROR(VLOOKUP($C:$C,Structure!$A:$AJ,Q$1,0)*15,0),IFERROR(VLOOKUP($D:$D,Structure!$A:$AJ,Q$1,0)*15,0),IFERROR(VLOOKUP($E:$E,Structure!$A:$AJ,Q$1,0)*15,0))</f>
        <v>0</v>
      </c>
      <c r="R39" s="13">
        <f>SUM(IFERROR(VLOOKUP($C:$C,Structure!$A:$AJ,R$1,0)*15,0),IFERROR(VLOOKUP($D:$D,Structure!$A:$AJ,R$1,0)*15,0),IFERROR(VLOOKUP($E:$E,Structure!$A:$AJ,R$1,0)*15,0))</f>
        <v>0</v>
      </c>
      <c r="S39" s="13">
        <f>SUM(IFERROR(VLOOKUP($C:$C,Structure!$A:$AJ,S$1,0)*15,0),IFERROR(VLOOKUP($D:$D,Structure!$A:$AJ,S$1,0)*15,0),IFERROR(VLOOKUP($E:$E,Structure!$A:$AJ,S$1,0)*15,0))</f>
        <v>0</v>
      </c>
      <c r="T39" s="13">
        <f>SUM(IFERROR(VLOOKUP($C:$C,Structure!$A:$AJ,T$1,0)*15,0),IFERROR(VLOOKUP($D:$D,Structure!$A:$AJ,T$1,0)*15,0),IFERROR(VLOOKUP($E:$E,Structure!$A:$AJ,T$1,0)*15,0))</f>
        <v>0</v>
      </c>
      <c r="U39" s="13">
        <f>SUM(IFERROR(VLOOKUP($C:$C,Structure!$A:$AJ,U$1,0)*15,0),IFERROR(VLOOKUP($D:$D,Structure!$A:$AJ,U$1,0)*15,0),IFERROR(VLOOKUP($E:$E,Structure!$A:$AJ,U$1,0)*15,0))</f>
        <v>0</v>
      </c>
      <c r="V39" s="13">
        <f>SUM(IFERROR(VLOOKUP($C:$C,Structure!$A:$AJ,V$1,0)*15,0),IFERROR(VLOOKUP($D:$D,Structure!$A:$AJ,V$1,0)*15,0),IFERROR(VLOOKUP($E:$E,Structure!$A:$AJ,V$1,0)*15,0))</f>
        <v>0</v>
      </c>
      <c r="W39" s="13">
        <f>SUM(IFERROR(VLOOKUP($C:$C,Structure!$A:$AJ,W$1,0)*15,0),IFERROR(VLOOKUP($D:$D,Structure!$A:$AJ,W$1,0)*15,0),IFERROR(VLOOKUP($E:$E,Structure!$A:$AJ,W$1,0)*15,0))</f>
        <v>0</v>
      </c>
      <c r="X39" s="13">
        <f>SUM(IFERROR(VLOOKUP($C:$C,Structure!$A:$AJ,X$1,0)*15,0),IFERROR(VLOOKUP($D:$D,Structure!$A:$AJ,X$1,0)*15,0),IFERROR(VLOOKUP($E:$E,Structure!$A:$AJ,X$1,0)*15,0))</f>
        <v>0</v>
      </c>
      <c r="Y39" s="13">
        <f>SUM(IFERROR(VLOOKUP($C:$C,Structure!$A:$AJ,Y$1,0)*15,0),IFERROR(VLOOKUP($D:$D,Structure!$A:$AJ,Y$1,0)*15,0),IFERROR(VLOOKUP($E:$E,Structure!$A:$AJ,Y$1,0)*15,0))</f>
        <v>0</v>
      </c>
      <c r="Z39" s="13">
        <f>SUM(IFERROR(VLOOKUP($C:$C,Structure!$A:$AJ,Z$1,0)*15,0),IFERROR(VLOOKUP($D:$D,Structure!$A:$AJ,Z$1,0)*15,0),IFERROR(VLOOKUP($E:$E,Structure!$A:$AJ,Z$1,0)*15,0))</f>
        <v>0</v>
      </c>
      <c r="AA39" s="13">
        <f>SUM(IFERROR(VLOOKUP($C:$C,Structure!$A:$AJ,AA$1,0)*15,0),IFERROR(VLOOKUP($D:$D,Structure!$A:$AJ,AA$1,0)*15,0),IFERROR(VLOOKUP($E:$E,Structure!$A:$AJ,AA$1,0)*15,0))</f>
        <v>45</v>
      </c>
      <c r="AB39" s="13">
        <f>SUM(IFERROR(VLOOKUP($C:$C,Structure!$A:$AJ,AB$1,0)*15,0),IFERROR(VLOOKUP($D:$D,Structure!$A:$AJ,AB$1,0)*15,0),IFERROR(VLOOKUP($E:$E,Structure!$A:$AJ,AB$1,0)*15,0))</f>
        <v>0</v>
      </c>
      <c r="AC39" s="13">
        <f>SUM(IFERROR(VLOOKUP($C:$C,Structure!$A:$AJ,AC$1,0)*15,0),IFERROR(VLOOKUP($D:$D,Structure!$A:$AJ,AC$1,0)*15,0),IFERROR(VLOOKUP($E:$E,Structure!$A:$AJ,AC$1,0)*15,0))</f>
        <v>0</v>
      </c>
      <c r="AD39" s="13">
        <f>SUM(IFERROR(VLOOKUP($C:$C,Structure!$A:$AJ,AD$1,0)*15,0),IFERROR(VLOOKUP($D:$D,Structure!$A:$AJ,AD$1,0)*15,0),IFERROR(VLOOKUP($E:$E,Structure!$A:$AJ,AD$1,0)*15,0))</f>
        <v>0</v>
      </c>
      <c r="AE39" s="13">
        <f>SUM(IFERROR(VLOOKUP($C:$C,Structure!$A:$AJ,AE$1,0)*15,0),IFERROR(VLOOKUP($D:$D,Structure!$A:$AJ,AE$1,0)*15,0),IFERROR(VLOOKUP($E:$E,Structure!$A:$AJ,AE$1,0)*15,0))</f>
        <v>0</v>
      </c>
      <c r="AF39" s="13">
        <f>SUM(IFERROR(VLOOKUP($C:$C,Structure!$A:$AJ,AF$1,0)*15,0),IFERROR(VLOOKUP($D:$D,Structure!$A:$AJ,AF$1,0)*15,0),IFERROR(VLOOKUP($E:$E,Structure!$A:$AJ,AF$1,0)*15,0))</f>
        <v>0</v>
      </c>
      <c r="AG39" s="13">
        <f>SUM(IFERROR(VLOOKUP($C:$C,Structure!$A:$AJ,AG$1,0)*15,0),IFERROR(VLOOKUP($D:$D,Structure!$A:$AJ,AG$1,0)*15,0),IFERROR(VLOOKUP($E:$E,Structure!$A:$AJ,AG$1,0)*15,0))</f>
        <v>0</v>
      </c>
      <c r="AH39" s="13">
        <f>SUM(IFERROR(VLOOKUP($C:$C,Structure!$A:$AJ,AH$1,0)*15,0),IFERROR(VLOOKUP($D:$D,Structure!$A:$AJ,AH$1,0)*15,0),IFERROR(VLOOKUP($E:$E,Structure!$A:$AJ,AH$1,0)*15,0))</f>
        <v>0</v>
      </c>
      <c r="AI39" s="13">
        <f>SUM(IFERROR(VLOOKUP($C:$C,Structure!$A:$AJ,AI$1,0)*15,0),IFERROR(VLOOKUP($D:$D,Structure!$A:$AJ,AI$1,0)*15,0),IFERROR(VLOOKUP($E:$E,Structure!$A:$AJ,AI$1,0)*15,0))</f>
        <v>0</v>
      </c>
      <c r="AJ39" s="13">
        <f>SUM(IFERROR(VLOOKUP($C:$C,Structure!$A:$AJ,AJ$1,0)*15,0),IFERROR(VLOOKUP($D:$D,Structure!$A:$AJ,AJ$1,0)*15,0),IFERROR(VLOOKUP($E:$E,Structure!$A:$AJ,AJ$1,0)*15,0))</f>
        <v>30</v>
      </c>
      <c r="AK39" s="13">
        <f>SUM(IFERROR(VLOOKUP($C:$C,Structure!$A:$AJ,AK$1,0)*15,0),IFERROR(VLOOKUP($D:$D,Structure!$A:$AJ,AK$1,0)*15,0),IFERROR(VLOOKUP($E:$E,Structure!$A:$AJ,AK$1,0)*15,0))</f>
        <v>15</v>
      </c>
      <c r="AL39" s="13">
        <f>SUM(IFERROR(VLOOKUP($C:$C,Structure!$A:$AJ,AL$1,0)*15,0),IFERROR(VLOOKUP($D:$D,Structure!$A:$AJ,AL$1,0)*15,0),IFERROR(VLOOKUP($E:$E,Structure!$A:$AJ,AL$1,0)*15,0))</f>
        <v>0</v>
      </c>
      <c r="AM39" s="13">
        <f>SUM(IFERROR(VLOOKUP($C:$C,Structure!$A:$AJ,AM$1,0)*15,0),IFERROR(VLOOKUP($D:$D,Structure!$A:$AJ,AM$1,0)*15,0),IFERROR(VLOOKUP($E:$E,Structure!$A:$AJ,AM$1,0)*15,0))</f>
        <v>0</v>
      </c>
      <c r="AN39" s="13">
        <f>SUM(IFERROR(VLOOKUP($C:$C,Structure!$A:$AJ,AN$1,0)*15,0),IFERROR(VLOOKUP($D:$D,Structure!$A:$AJ,AN$1,0)*15,0),IFERROR(VLOOKUP($E:$E,Structure!$A:$AJ,AN$1,0)*15,0))</f>
        <v>0</v>
      </c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3"/>
      <c r="BZ39" s="4">
        <f>BZ38+AQ39-F39</f>
        <v>0</v>
      </c>
      <c r="CA39" s="4">
        <f>CA38+AR39-G39</f>
        <v>0</v>
      </c>
      <c r="CB39" s="4">
        <f>CB38+AS39-H39</f>
        <v>0</v>
      </c>
      <c r="CC39" s="4">
        <f>CC38+AT39-I39</f>
        <v>0</v>
      </c>
      <c r="CD39" s="4">
        <f>CD38+AU39-J39</f>
        <v>0</v>
      </c>
      <c r="CE39" s="4">
        <f>CE38+AV39-K39</f>
        <v>0</v>
      </c>
      <c r="CF39" s="4">
        <f>CF38+AW39-L39</f>
        <v>0</v>
      </c>
      <c r="CG39" s="4">
        <f>CG38+AX39-M39</f>
        <v>0</v>
      </c>
      <c r="CH39" s="4">
        <f>CH38+AY39-N39</f>
        <v>0</v>
      </c>
      <c r="CI39" s="4">
        <f>CI38+AZ39-O39</f>
        <v>0</v>
      </c>
      <c r="CJ39" s="4">
        <f>CJ38+BA39-P39</f>
        <v>0</v>
      </c>
      <c r="CK39" s="4">
        <f>CK38+BB39-Q39</f>
        <v>0</v>
      </c>
      <c r="CL39" s="4">
        <f>CL38+BC39-R39</f>
        <v>0</v>
      </c>
      <c r="CM39" s="4">
        <f>CM38+BD39-S39</f>
        <v>0</v>
      </c>
      <c r="CN39" s="4">
        <f>CN38+BE39-T39</f>
        <v>0</v>
      </c>
      <c r="CO39" s="4">
        <f>CO38+BF39-U39</f>
        <v>0</v>
      </c>
      <c r="CP39" s="4">
        <f>CP38+BG39-V39</f>
        <v>0</v>
      </c>
      <c r="CQ39" s="4">
        <f>CQ38+BH39-W39</f>
        <v>0</v>
      </c>
      <c r="CR39" s="4">
        <f>CR38+BI39-X39</f>
        <v>0</v>
      </c>
      <c r="CS39" s="4">
        <f>CS38+BJ39-Y39</f>
        <v>0</v>
      </c>
      <c r="CT39" s="4">
        <f>CT38+BK39-Z39</f>
        <v>0</v>
      </c>
      <c r="CU39" s="4">
        <f>CU38+BL39-AA39</f>
        <v>-1370</v>
      </c>
      <c r="CV39" s="4">
        <f>CV38+BM39-AB39</f>
        <v>-150</v>
      </c>
      <c r="CW39" s="4">
        <f>CW38+BN39-AC39</f>
        <v>-45</v>
      </c>
      <c r="CX39" s="4">
        <f>CX38+BO39-AD39</f>
        <v>0</v>
      </c>
      <c r="CY39" s="4">
        <f>CY38+BP39-AE39</f>
        <v>0</v>
      </c>
      <c r="CZ39" s="4">
        <f>CZ38+BQ39-AF39</f>
        <v>-70</v>
      </c>
      <c r="DA39" s="4">
        <f>DA38+BR39-AG39</f>
        <v>0</v>
      </c>
      <c r="DB39" s="4">
        <f>DB38+BS39-AH39</f>
        <v>0</v>
      </c>
      <c r="DC39" s="4">
        <f>DC38+BT39-AI39</f>
        <v>0</v>
      </c>
      <c r="DD39" s="4">
        <f>DD38+BU39-AJ39</f>
        <v>-1030</v>
      </c>
      <c r="DE39" s="4">
        <f>DE38+BV39-AK39</f>
        <v>-360</v>
      </c>
      <c r="DF39" s="4">
        <f>DF38+BW39-AL39</f>
        <v>0</v>
      </c>
      <c r="DG39" s="4">
        <f>DG38+BX39-AM39</f>
        <v>-25</v>
      </c>
      <c r="DH39" s="4">
        <f>DH38+BY39-AN39</f>
        <v>0</v>
      </c>
    </row>
    <row r="40" spans="1:112" x14ac:dyDescent="0.25">
      <c r="A40" s="6">
        <v>46180</v>
      </c>
      <c r="B40" s="7">
        <v>0.87499999991268851</v>
      </c>
      <c r="C40" s="3" t="s">
        <v>2</v>
      </c>
      <c r="D40" s="3" t="s">
        <v>2</v>
      </c>
      <c r="E40" s="3" t="s">
        <v>2</v>
      </c>
      <c r="F40" s="13">
        <f>SUM(IFERROR(VLOOKUP($C:$C,Structure!$A:$AJ,F$1,0)*15,0),IFERROR(VLOOKUP($D:$D,Structure!$A:$AJ,F$1,0)*15,0),IFERROR(VLOOKUP($E:$E,Structure!$A:$AJ,F$1,0)*15,0))</f>
        <v>0</v>
      </c>
      <c r="G40" s="13">
        <f>SUM(IFERROR(VLOOKUP($C:$C,Structure!$A:$AJ,G$1,0)*15,0),IFERROR(VLOOKUP($D:$D,Structure!$A:$AJ,G$1,0)*15,0),IFERROR(VLOOKUP($E:$E,Structure!$A:$AJ,G$1,0)*15,0))</f>
        <v>0</v>
      </c>
      <c r="H40" s="13">
        <f>SUM(IFERROR(VLOOKUP($C:$C,Structure!$A:$AJ,H$1,0)*15,0),IFERROR(VLOOKUP($D:$D,Structure!$A:$AJ,H$1,0)*15,0),IFERROR(VLOOKUP($E:$E,Structure!$A:$AJ,H$1,0)*15,0))</f>
        <v>0</v>
      </c>
      <c r="I40" s="13">
        <f>SUM(IFERROR(VLOOKUP($C:$C,Structure!$A:$AJ,I$1,0)*15,0),IFERROR(VLOOKUP($D:$D,Structure!$A:$AJ,I$1,0)*15,0),IFERROR(VLOOKUP($E:$E,Structure!$A:$AJ,I$1,0)*15,0))</f>
        <v>0</v>
      </c>
      <c r="J40" s="13">
        <f>SUM(IFERROR(VLOOKUP($C:$C,Structure!$A:$AJ,J$1,0)*15,0),IFERROR(VLOOKUP($D:$D,Structure!$A:$AJ,J$1,0)*15,0),IFERROR(VLOOKUP($E:$E,Structure!$A:$AJ,J$1,0)*15,0))</f>
        <v>0</v>
      </c>
      <c r="K40" s="13">
        <f>SUM(IFERROR(VLOOKUP($C:$C,Structure!$A:$AJ,K$1,0)*15,0),IFERROR(VLOOKUP($D:$D,Structure!$A:$AJ,K$1,0)*15,0),IFERROR(VLOOKUP($E:$E,Structure!$A:$AJ,K$1,0)*15,0))</f>
        <v>0</v>
      </c>
      <c r="L40" s="13">
        <f>SUM(IFERROR(VLOOKUP($C:$C,Structure!$A:$AJ,L$1,0)*15,0),IFERROR(VLOOKUP($D:$D,Structure!$A:$AJ,L$1,0)*15,0),IFERROR(VLOOKUP($E:$E,Structure!$A:$AJ,L$1,0)*15,0))</f>
        <v>0</v>
      </c>
      <c r="M40" s="13">
        <f>SUM(IFERROR(VLOOKUP($C:$C,Structure!$A:$AJ,M$1,0)*15,0),IFERROR(VLOOKUP($D:$D,Structure!$A:$AJ,M$1,0)*15,0),IFERROR(VLOOKUP($E:$E,Structure!$A:$AJ,M$1,0)*15,0))</f>
        <v>0</v>
      </c>
      <c r="N40" s="13">
        <f>SUM(IFERROR(VLOOKUP($C:$C,Structure!$A:$AJ,N$1,0)*15,0),IFERROR(VLOOKUP($D:$D,Structure!$A:$AJ,N$1,0)*15,0),IFERROR(VLOOKUP($E:$E,Structure!$A:$AJ,N$1,0)*15,0))</f>
        <v>0</v>
      </c>
      <c r="O40" s="13">
        <f>SUM(IFERROR(VLOOKUP($C:$C,Structure!$A:$AJ,O$1,0)*15,0),IFERROR(VLOOKUP($D:$D,Structure!$A:$AJ,O$1,0)*15,0),IFERROR(VLOOKUP($E:$E,Structure!$A:$AJ,O$1,0)*15,0))</f>
        <v>0</v>
      </c>
      <c r="P40" s="13">
        <f>SUM(IFERROR(VLOOKUP($C:$C,Structure!$A:$AJ,P$1,0)*15,0),IFERROR(VLOOKUP($D:$D,Structure!$A:$AJ,P$1,0)*15,0),IFERROR(VLOOKUP($E:$E,Structure!$A:$AJ,P$1,0)*15,0))</f>
        <v>0</v>
      </c>
      <c r="Q40" s="13">
        <f>SUM(IFERROR(VLOOKUP($C:$C,Structure!$A:$AJ,Q$1,0)*15,0),IFERROR(VLOOKUP($D:$D,Structure!$A:$AJ,Q$1,0)*15,0),IFERROR(VLOOKUP($E:$E,Structure!$A:$AJ,Q$1,0)*15,0))</f>
        <v>0</v>
      </c>
      <c r="R40" s="13">
        <f>SUM(IFERROR(VLOOKUP($C:$C,Structure!$A:$AJ,R$1,0)*15,0),IFERROR(VLOOKUP($D:$D,Structure!$A:$AJ,R$1,0)*15,0),IFERROR(VLOOKUP($E:$E,Structure!$A:$AJ,R$1,0)*15,0))</f>
        <v>0</v>
      </c>
      <c r="S40" s="13">
        <f>SUM(IFERROR(VLOOKUP($C:$C,Structure!$A:$AJ,S$1,0)*15,0),IFERROR(VLOOKUP($D:$D,Structure!$A:$AJ,S$1,0)*15,0),IFERROR(VLOOKUP($E:$E,Structure!$A:$AJ,S$1,0)*15,0))</f>
        <v>0</v>
      </c>
      <c r="T40" s="13">
        <f>SUM(IFERROR(VLOOKUP($C:$C,Structure!$A:$AJ,T$1,0)*15,0),IFERROR(VLOOKUP($D:$D,Structure!$A:$AJ,T$1,0)*15,0),IFERROR(VLOOKUP($E:$E,Structure!$A:$AJ,T$1,0)*15,0))</f>
        <v>0</v>
      </c>
      <c r="U40" s="13">
        <f>SUM(IFERROR(VLOOKUP($C:$C,Structure!$A:$AJ,U$1,0)*15,0),IFERROR(VLOOKUP($D:$D,Structure!$A:$AJ,U$1,0)*15,0),IFERROR(VLOOKUP($E:$E,Structure!$A:$AJ,U$1,0)*15,0))</f>
        <v>0</v>
      </c>
      <c r="V40" s="13">
        <f>SUM(IFERROR(VLOOKUP($C:$C,Structure!$A:$AJ,V$1,0)*15,0),IFERROR(VLOOKUP($D:$D,Structure!$A:$AJ,V$1,0)*15,0),IFERROR(VLOOKUP($E:$E,Structure!$A:$AJ,V$1,0)*15,0))</f>
        <v>0</v>
      </c>
      <c r="W40" s="13">
        <f>SUM(IFERROR(VLOOKUP($C:$C,Structure!$A:$AJ,W$1,0)*15,0),IFERROR(VLOOKUP($D:$D,Structure!$A:$AJ,W$1,0)*15,0),IFERROR(VLOOKUP($E:$E,Structure!$A:$AJ,W$1,0)*15,0))</f>
        <v>0</v>
      </c>
      <c r="X40" s="13">
        <f>SUM(IFERROR(VLOOKUP($C:$C,Structure!$A:$AJ,X$1,0)*15,0),IFERROR(VLOOKUP($D:$D,Structure!$A:$AJ,X$1,0)*15,0),IFERROR(VLOOKUP($E:$E,Structure!$A:$AJ,X$1,0)*15,0))</f>
        <v>0</v>
      </c>
      <c r="Y40" s="13">
        <f>SUM(IFERROR(VLOOKUP($C:$C,Structure!$A:$AJ,Y$1,0)*15,0),IFERROR(VLOOKUP($D:$D,Structure!$A:$AJ,Y$1,0)*15,0),IFERROR(VLOOKUP($E:$E,Structure!$A:$AJ,Y$1,0)*15,0))</f>
        <v>0</v>
      </c>
      <c r="Z40" s="13">
        <f>SUM(IFERROR(VLOOKUP($C:$C,Structure!$A:$AJ,Z$1,0)*15,0),IFERROR(VLOOKUP($D:$D,Structure!$A:$AJ,Z$1,0)*15,0),IFERROR(VLOOKUP($E:$E,Structure!$A:$AJ,Z$1,0)*15,0))</f>
        <v>0</v>
      </c>
      <c r="AA40" s="13">
        <f>SUM(IFERROR(VLOOKUP($C:$C,Structure!$A:$AJ,AA$1,0)*15,0),IFERROR(VLOOKUP($D:$D,Structure!$A:$AJ,AA$1,0)*15,0),IFERROR(VLOOKUP($E:$E,Structure!$A:$AJ,AA$1,0)*15,0))</f>
        <v>45</v>
      </c>
      <c r="AB40" s="13">
        <f>SUM(IFERROR(VLOOKUP($C:$C,Structure!$A:$AJ,AB$1,0)*15,0),IFERROR(VLOOKUP($D:$D,Structure!$A:$AJ,AB$1,0)*15,0),IFERROR(VLOOKUP($E:$E,Structure!$A:$AJ,AB$1,0)*15,0))</f>
        <v>0</v>
      </c>
      <c r="AC40" s="13">
        <f>SUM(IFERROR(VLOOKUP($C:$C,Structure!$A:$AJ,AC$1,0)*15,0),IFERROR(VLOOKUP($D:$D,Structure!$A:$AJ,AC$1,0)*15,0),IFERROR(VLOOKUP($E:$E,Structure!$A:$AJ,AC$1,0)*15,0))</f>
        <v>0</v>
      </c>
      <c r="AD40" s="13">
        <f>SUM(IFERROR(VLOOKUP($C:$C,Structure!$A:$AJ,AD$1,0)*15,0),IFERROR(VLOOKUP($D:$D,Structure!$A:$AJ,AD$1,0)*15,0),IFERROR(VLOOKUP($E:$E,Structure!$A:$AJ,AD$1,0)*15,0))</f>
        <v>0</v>
      </c>
      <c r="AE40" s="13">
        <f>SUM(IFERROR(VLOOKUP($C:$C,Structure!$A:$AJ,AE$1,0)*15,0),IFERROR(VLOOKUP($D:$D,Structure!$A:$AJ,AE$1,0)*15,0),IFERROR(VLOOKUP($E:$E,Structure!$A:$AJ,AE$1,0)*15,0))</f>
        <v>0</v>
      </c>
      <c r="AF40" s="13">
        <f>SUM(IFERROR(VLOOKUP($C:$C,Structure!$A:$AJ,AF$1,0)*15,0),IFERROR(VLOOKUP($D:$D,Structure!$A:$AJ,AF$1,0)*15,0),IFERROR(VLOOKUP($E:$E,Structure!$A:$AJ,AF$1,0)*15,0))</f>
        <v>0</v>
      </c>
      <c r="AG40" s="13">
        <f>SUM(IFERROR(VLOOKUP($C:$C,Structure!$A:$AJ,AG$1,0)*15,0),IFERROR(VLOOKUP($D:$D,Structure!$A:$AJ,AG$1,0)*15,0),IFERROR(VLOOKUP($E:$E,Structure!$A:$AJ,AG$1,0)*15,0))</f>
        <v>0</v>
      </c>
      <c r="AH40" s="13">
        <f>SUM(IFERROR(VLOOKUP($C:$C,Structure!$A:$AJ,AH$1,0)*15,0),IFERROR(VLOOKUP($D:$D,Structure!$A:$AJ,AH$1,0)*15,0),IFERROR(VLOOKUP($E:$E,Structure!$A:$AJ,AH$1,0)*15,0))</f>
        <v>0</v>
      </c>
      <c r="AI40" s="13">
        <f>SUM(IFERROR(VLOOKUP($C:$C,Structure!$A:$AJ,AI$1,0)*15,0),IFERROR(VLOOKUP($D:$D,Structure!$A:$AJ,AI$1,0)*15,0),IFERROR(VLOOKUP($E:$E,Structure!$A:$AJ,AI$1,0)*15,0))</f>
        <v>0</v>
      </c>
      <c r="AJ40" s="13">
        <f>SUM(IFERROR(VLOOKUP($C:$C,Structure!$A:$AJ,AJ$1,0)*15,0),IFERROR(VLOOKUP($D:$D,Structure!$A:$AJ,AJ$1,0)*15,0),IFERROR(VLOOKUP($E:$E,Structure!$A:$AJ,AJ$1,0)*15,0))</f>
        <v>45</v>
      </c>
      <c r="AK40" s="13">
        <f>SUM(IFERROR(VLOOKUP($C:$C,Structure!$A:$AJ,AK$1,0)*15,0),IFERROR(VLOOKUP($D:$D,Structure!$A:$AJ,AK$1,0)*15,0),IFERROR(VLOOKUP($E:$E,Structure!$A:$AJ,AK$1,0)*15,0))</f>
        <v>0</v>
      </c>
      <c r="AL40" s="13">
        <f>SUM(IFERROR(VLOOKUP($C:$C,Structure!$A:$AJ,AL$1,0)*15,0),IFERROR(VLOOKUP($D:$D,Structure!$A:$AJ,AL$1,0)*15,0),IFERROR(VLOOKUP($E:$E,Structure!$A:$AJ,AL$1,0)*15,0))</f>
        <v>0</v>
      </c>
      <c r="AM40" s="13">
        <f>SUM(IFERROR(VLOOKUP($C:$C,Structure!$A:$AJ,AM$1,0)*15,0),IFERROR(VLOOKUP($D:$D,Structure!$A:$AJ,AM$1,0)*15,0),IFERROR(VLOOKUP($E:$E,Structure!$A:$AJ,AM$1,0)*15,0))</f>
        <v>0</v>
      </c>
      <c r="AN40" s="13">
        <f>SUM(IFERROR(VLOOKUP($C:$C,Structure!$A:$AJ,AN$1,0)*15,0),IFERROR(VLOOKUP($D:$D,Structure!$A:$AJ,AN$1,0)*15,0),IFERROR(VLOOKUP($E:$E,Structure!$A:$AJ,AN$1,0)*15,0))</f>
        <v>0</v>
      </c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3"/>
      <c r="BZ40" s="4">
        <f>BZ39+AQ40-F40</f>
        <v>0</v>
      </c>
      <c r="CA40" s="4">
        <f>CA39+AR40-G40</f>
        <v>0</v>
      </c>
      <c r="CB40" s="4">
        <f>CB39+AS40-H40</f>
        <v>0</v>
      </c>
      <c r="CC40" s="4">
        <f>CC39+AT40-I40</f>
        <v>0</v>
      </c>
      <c r="CD40" s="4">
        <f>CD39+AU40-J40</f>
        <v>0</v>
      </c>
      <c r="CE40" s="4">
        <f>CE39+AV40-K40</f>
        <v>0</v>
      </c>
      <c r="CF40" s="4">
        <f>CF39+AW40-L40</f>
        <v>0</v>
      </c>
      <c r="CG40" s="4">
        <f>CG39+AX40-M40</f>
        <v>0</v>
      </c>
      <c r="CH40" s="4">
        <f>CH39+AY40-N40</f>
        <v>0</v>
      </c>
      <c r="CI40" s="4">
        <f>CI39+AZ40-O40</f>
        <v>0</v>
      </c>
      <c r="CJ40" s="4">
        <f>CJ39+BA40-P40</f>
        <v>0</v>
      </c>
      <c r="CK40" s="4">
        <f>CK39+BB40-Q40</f>
        <v>0</v>
      </c>
      <c r="CL40" s="4">
        <f>CL39+BC40-R40</f>
        <v>0</v>
      </c>
      <c r="CM40" s="4">
        <f>CM39+BD40-S40</f>
        <v>0</v>
      </c>
      <c r="CN40" s="4">
        <f>CN39+BE40-T40</f>
        <v>0</v>
      </c>
      <c r="CO40" s="4">
        <f>CO39+BF40-U40</f>
        <v>0</v>
      </c>
      <c r="CP40" s="4">
        <f>CP39+BG40-V40</f>
        <v>0</v>
      </c>
      <c r="CQ40" s="4">
        <f>CQ39+BH40-W40</f>
        <v>0</v>
      </c>
      <c r="CR40" s="4">
        <f>CR39+BI40-X40</f>
        <v>0</v>
      </c>
      <c r="CS40" s="4">
        <f>CS39+BJ40-Y40</f>
        <v>0</v>
      </c>
      <c r="CT40" s="4">
        <f>CT39+BK40-Z40</f>
        <v>0</v>
      </c>
      <c r="CU40" s="4">
        <f>CU39+BL40-AA40</f>
        <v>-1415</v>
      </c>
      <c r="CV40" s="4">
        <f>CV39+BM40-AB40</f>
        <v>-150</v>
      </c>
      <c r="CW40" s="4">
        <f>CW39+BN40-AC40</f>
        <v>-45</v>
      </c>
      <c r="CX40" s="4">
        <f>CX39+BO40-AD40</f>
        <v>0</v>
      </c>
      <c r="CY40" s="4">
        <f>CY39+BP40-AE40</f>
        <v>0</v>
      </c>
      <c r="CZ40" s="4">
        <f>CZ39+BQ40-AF40</f>
        <v>-70</v>
      </c>
      <c r="DA40" s="4">
        <f>DA39+BR40-AG40</f>
        <v>0</v>
      </c>
      <c r="DB40" s="4">
        <f>DB39+BS40-AH40</f>
        <v>0</v>
      </c>
      <c r="DC40" s="4">
        <f>DC39+BT40-AI40</f>
        <v>0</v>
      </c>
      <c r="DD40" s="4">
        <f>DD39+BU40-AJ40</f>
        <v>-1075</v>
      </c>
      <c r="DE40" s="4">
        <f>DE39+BV40-AK40</f>
        <v>-360</v>
      </c>
      <c r="DF40" s="4">
        <f>DF39+BW40-AL40</f>
        <v>0</v>
      </c>
      <c r="DG40" s="4">
        <f>DG39+BX40-AM40</f>
        <v>-25</v>
      </c>
      <c r="DH40" s="4">
        <f>DH39+BY40-AN40</f>
        <v>0</v>
      </c>
    </row>
    <row r="41" spans="1:112" x14ac:dyDescent="0.25">
      <c r="A41" s="6">
        <v>46180</v>
      </c>
      <c r="B41" s="7">
        <v>0.91666666657692986</v>
      </c>
      <c r="C41" s="3" t="s">
        <v>2</v>
      </c>
      <c r="D41" s="3" t="s">
        <v>2</v>
      </c>
      <c r="E41" s="3" t="s">
        <v>2</v>
      </c>
      <c r="F41" s="13">
        <f>SUM(IFERROR(VLOOKUP($C:$C,Structure!$A:$AJ,F$1,0)*15,0),IFERROR(VLOOKUP($D:$D,Structure!$A:$AJ,F$1,0)*15,0),IFERROR(VLOOKUP($E:$E,Structure!$A:$AJ,F$1,0)*15,0))</f>
        <v>0</v>
      </c>
      <c r="G41" s="13">
        <f>SUM(IFERROR(VLOOKUP($C:$C,Structure!$A:$AJ,G$1,0)*15,0),IFERROR(VLOOKUP($D:$D,Structure!$A:$AJ,G$1,0)*15,0),IFERROR(VLOOKUP($E:$E,Structure!$A:$AJ,G$1,0)*15,0))</f>
        <v>0</v>
      </c>
      <c r="H41" s="13">
        <f>SUM(IFERROR(VLOOKUP($C:$C,Structure!$A:$AJ,H$1,0)*15,0),IFERROR(VLOOKUP($D:$D,Structure!$A:$AJ,H$1,0)*15,0),IFERROR(VLOOKUP($E:$E,Structure!$A:$AJ,H$1,0)*15,0))</f>
        <v>0</v>
      </c>
      <c r="I41" s="13">
        <f>SUM(IFERROR(VLOOKUP($C:$C,Structure!$A:$AJ,I$1,0)*15,0),IFERROR(VLOOKUP($D:$D,Structure!$A:$AJ,I$1,0)*15,0),IFERROR(VLOOKUP($E:$E,Structure!$A:$AJ,I$1,0)*15,0))</f>
        <v>0</v>
      </c>
      <c r="J41" s="13">
        <f>SUM(IFERROR(VLOOKUP($C:$C,Structure!$A:$AJ,J$1,0)*15,0),IFERROR(VLOOKUP($D:$D,Structure!$A:$AJ,J$1,0)*15,0),IFERROR(VLOOKUP($E:$E,Structure!$A:$AJ,J$1,0)*15,0))</f>
        <v>0</v>
      </c>
      <c r="K41" s="13">
        <f>SUM(IFERROR(VLOOKUP($C:$C,Structure!$A:$AJ,K$1,0)*15,0),IFERROR(VLOOKUP($D:$D,Structure!$A:$AJ,K$1,0)*15,0),IFERROR(VLOOKUP($E:$E,Structure!$A:$AJ,K$1,0)*15,0))</f>
        <v>0</v>
      </c>
      <c r="L41" s="13">
        <f>SUM(IFERROR(VLOOKUP($C:$C,Structure!$A:$AJ,L$1,0)*15,0),IFERROR(VLOOKUP($D:$D,Structure!$A:$AJ,L$1,0)*15,0),IFERROR(VLOOKUP($E:$E,Structure!$A:$AJ,L$1,0)*15,0))</f>
        <v>0</v>
      </c>
      <c r="M41" s="13">
        <f>SUM(IFERROR(VLOOKUP($C:$C,Structure!$A:$AJ,M$1,0)*15,0),IFERROR(VLOOKUP($D:$D,Structure!$A:$AJ,M$1,0)*15,0),IFERROR(VLOOKUP($E:$E,Structure!$A:$AJ,M$1,0)*15,0))</f>
        <v>0</v>
      </c>
      <c r="N41" s="13">
        <f>SUM(IFERROR(VLOOKUP($C:$C,Structure!$A:$AJ,N$1,0)*15,0),IFERROR(VLOOKUP($D:$D,Structure!$A:$AJ,N$1,0)*15,0),IFERROR(VLOOKUP($E:$E,Structure!$A:$AJ,N$1,0)*15,0))</f>
        <v>0</v>
      </c>
      <c r="O41" s="13">
        <f>SUM(IFERROR(VLOOKUP($C:$C,Structure!$A:$AJ,O$1,0)*15,0),IFERROR(VLOOKUP($D:$D,Structure!$A:$AJ,O$1,0)*15,0),IFERROR(VLOOKUP($E:$E,Structure!$A:$AJ,O$1,0)*15,0))</f>
        <v>0</v>
      </c>
      <c r="P41" s="13">
        <f>SUM(IFERROR(VLOOKUP($C:$C,Structure!$A:$AJ,P$1,0)*15,0),IFERROR(VLOOKUP($D:$D,Structure!$A:$AJ,P$1,0)*15,0),IFERROR(VLOOKUP($E:$E,Structure!$A:$AJ,P$1,0)*15,0))</f>
        <v>0</v>
      </c>
      <c r="Q41" s="13">
        <f>SUM(IFERROR(VLOOKUP($C:$C,Structure!$A:$AJ,Q$1,0)*15,0),IFERROR(VLOOKUP($D:$D,Structure!$A:$AJ,Q$1,0)*15,0),IFERROR(VLOOKUP($E:$E,Structure!$A:$AJ,Q$1,0)*15,0))</f>
        <v>0</v>
      </c>
      <c r="R41" s="13">
        <f>SUM(IFERROR(VLOOKUP($C:$C,Structure!$A:$AJ,R$1,0)*15,0),IFERROR(VLOOKUP($D:$D,Structure!$A:$AJ,R$1,0)*15,0),IFERROR(VLOOKUP($E:$E,Structure!$A:$AJ,R$1,0)*15,0))</f>
        <v>0</v>
      </c>
      <c r="S41" s="13">
        <f>SUM(IFERROR(VLOOKUP($C:$C,Structure!$A:$AJ,S$1,0)*15,0),IFERROR(VLOOKUP($D:$D,Structure!$A:$AJ,S$1,0)*15,0),IFERROR(VLOOKUP($E:$E,Structure!$A:$AJ,S$1,0)*15,0))</f>
        <v>0</v>
      </c>
      <c r="T41" s="13">
        <f>SUM(IFERROR(VLOOKUP($C:$C,Structure!$A:$AJ,T$1,0)*15,0),IFERROR(VLOOKUP($D:$D,Structure!$A:$AJ,T$1,0)*15,0),IFERROR(VLOOKUP($E:$E,Structure!$A:$AJ,T$1,0)*15,0))</f>
        <v>0</v>
      </c>
      <c r="U41" s="13">
        <f>SUM(IFERROR(VLOOKUP($C:$C,Structure!$A:$AJ,U$1,0)*15,0),IFERROR(VLOOKUP($D:$D,Structure!$A:$AJ,U$1,0)*15,0),IFERROR(VLOOKUP($E:$E,Structure!$A:$AJ,U$1,0)*15,0))</f>
        <v>0</v>
      </c>
      <c r="V41" s="13">
        <f>SUM(IFERROR(VLOOKUP($C:$C,Structure!$A:$AJ,V$1,0)*15,0),IFERROR(VLOOKUP($D:$D,Structure!$A:$AJ,V$1,0)*15,0),IFERROR(VLOOKUP($E:$E,Structure!$A:$AJ,V$1,0)*15,0))</f>
        <v>0</v>
      </c>
      <c r="W41" s="13">
        <f>SUM(IFERROR(VLOOKUP($C:$C,Structure!$A:$AJ,W$1,0)*15,0),IFERROR(VLOOKUP($D:$D,Structure!$A:$AJ,W$1,0)*15,0),IFERROR(VLOOKUP($E:$E,Structure!$A:$AJ,W$1,0)*15,0))</f>
        <v>0</v>
      </c>
      <c r="X41" s="13">
        <f>SUM(IFERROR(VLOOKUP($C:$C,Structure!$A:$AJ,X$1,0)*15,0),IFERROR(VLOOKUP($D:$D,Structure!$A:$AJ,X$1,0)*15,0),IFERROR(VLOOKUP($E:$E,Structure!$A:$AJ,X$1,0)*15,0))</f>
        <v>0</v>
      </c>
      <c r="Y41" s="13">
        <f>SUM(IFERROR(VLOOKUP($C:$C,Structure!$A:$AJ,Y$1,0)*15,0),IFERROR(VLOOKUP($D:$D,Structure!$A:$AJ,Y$1,0)*15,0),IFERROR(VLOOKUP($E:$E,Structure!$A:$AJ,Y$1,0)*15,0))</f>
        <v>0</v>
      </c>
      <c r="Z41" s="13">
        <f>SUM(IFERROR(VLOOKUP($C:$C,Structure!$A:$AJ,Z$1,0)*15,0),IFERROR(VLOOKUP($D:$D,Structure!$A:$AJ,Z$1,0)*15,0),IFERROR(VLOOKUP($E:$E,Structure!$A:$AJ,Z$1,0)*15,0))</f>
        <v>0</v>
      </c>
      <c r="AA41" s="13">
        <f>SUM(IFERROR(VLOOKUP($C:$C,Structure!$A:$AJ,AA$1,0)*15,0),IFERROR(VLOOKUP($D:$D,Structure!$A:$AJ,AA$1,0)*15,0),IFERROR(VLOOKUP($E:$E,Structure!$A:$AJ,AA$1,0)*15,0))</f>
        <v>45</v>
      </c>
      <c r="AB41" s="13">
        <f>SUM(IFERROR(VLOOKUP($C:$C,Structure!$A:$AJ,AB$1,0)*15,0),IFERROR(VLOOKUP($D:$D,Structure!$A:$AJ,AB$1,0)*15,0),IFERROR(VLOOKUP($E:$E,Structure!$A:$AJ,AB$1,0)*15,0))</f>
        <v>0</v>
      </c>
      <c r="AC41" s="13">
        <f>SUM(IFERROR(VLOOKUP($C:$C,Structure!$A:$AJ,AC$1,0)*15,0),IFERROR(VLOOKUP($D:$D,Structure!$A:$AJ,AC$1,0)*15,0),IFERROR(VLOOKUP($E:$E,Structure!$A:$AJ,AC$1,0)*15,0))</f>
        <v>0</v>
      </c>
      <c r="AD41" s="13">
        <f>SUM(IFERROR(VLOOKUP($C:$C,Structure!$A:$AJ,AD$1,0)*15,0),IFERROR(VLOOKUP($D:$D,Structure!$A:$AJ,AD$1,0)*15,0),IFERROR(VLOOKUP($E:$E,Structure!$A:$AJ,AD$1,0)*15,0))</f>
        <v>0</v>
      </c>
      <c r="AE41" s="13">
        <f>SUM(IFERROR(VLOOKUP($C:$C,Structure!$A:$AJ,AE$1,0)*15,0),IFERROR(VLOOKUP($D:$D,Structure!$A:$AJ,AE$1,0)*15,0),IFERROR(VLOOKUP($E:$E,Structure!$A:$AJ,AE$1,0)*15,0))</f>
        <v>0</v>
      </c>
      <c r="AF41" s="13">
        <f>SUM(IFERROR(VLOOKUP($C:$C,Structure!$A:$AJ,AF$1,0)*15,0),IFERROR(VLOOKUP($D:$D,Structure!$A:$AJ,AF$1,0)*15,0),IFERROR(VLOOKUP($E:$E,Structure!$A:$AJ,AF$1,0)*15,0))</f>
        <v>0</v>
      </c>
      <c r="AG41" s="13">
        <f>SUM(IFERROR(VLOOKUP($C:$C,Structure!$A:$AJ,AG$1,0)*15,0),IFERROR(VLOOKUP($D:$D,Structure!$A:$AJ,AG$1,0)*15,0),IFERROR(VLOOKUP($E:$E,Structure!$A:$AJ,AG$1,0)*15,0))</f>
        <v>0</v>
      </c>
      <c r="AH41" s="13">
        <f>SUM(IFERROR(VLOOKUP($C:$C,Structure!$A:$AJ,AH$1,0)*15,0),IFERROR(VLOOKUP($D:$D,Structure!$A:$AJ,AH$1,0)*15,0),IFERROR(VLOOKUP($E:$E,Structure!$A:$AJ,AH$1,0)*15,0))</f>
        <v>0</v>
      </c>
      <c r="AI41" s="13">
        <f>SUM(IFERROR(VLOOKUP($C:$C,Structure!$A:$AJ,AI$1,0)*15,0),IFERROR(VLOOKUP($D:$D,Structure!$A:$AJ,AI$1,0)*15,0),IFERROR(VLOOKUP($E:$E,Structure!$A:$AJ,AI$1,0)*15,0))</f>
        <v>0</v>
      </c>
      <c r="AJ41" s="13">
        <f>SUM(IFERROR(VLOOKUP($C:$C,Structure!$A:$AJ,AJ$1,0)*15,0),IFERROR(VLOOKUP($D:$D,Structure!$A:$AJ,AJ$1,0)*15,0),IFERROR(VLOOKUP($E:$E,Structure!$A:$AJ,AJ$1,0)*15,0))</f>
        <v>45</v>
      </c>
      <c r="AK41" s="13">
        <f>SUM(IFERROR(VLOOKUP($C:$C,Structure!$A:$AJ,AK$1,0)*15,0),IFERROR(VLOOKUP($D:$D,Structure!$A:$AJ,AK$1,0)*15,0),IFERROR(VLOOKUP($E:$E,Structure!$A:$AJ,AK$1,0)*15,0))</f>
        <v>0</v>
      </c>
      <c r="AL41" s="13">
        <f>SUM(IFERROR(VLOOKUP($C:$C,Structure!$A:$AJ,AL$1,0)*15,0),IFERROR(VLOOKUP($D:$D,Structure!$A:$AJ,AL$1,0)*15,0),IFERROR(VLOOKUP($E:$E,Structure!$A:$AJ,AL$1,0)*15,0))</f>
        <v>0</v>
      </c>
      <c r="AM41" s="13">
        <f>SUM(IFERROR(VLOOKUP($C:$C,Structure!$A:$AJ,AM$1,0)*15,0),IFERROR(VLOOKUP($D:$D,Structure!$A:$AJ,AM$1,0)*15,0),IFERROR(VLOOKUP($E:$E,Structure!$A:$AJ,AM$1,0)*15,0))</f>
        <v>0</v>
      </c>
      <c r="AN41" s="13">
        <f>SUM(IFERROR(VLOOKUP($C:$C,Structure!$A:$AJ,AN$1,0)*15,0),IFERROR(VLOOKUP($D:$D,Structure!$A:$AJ,AN$1,0)*15,0),IFERROR(VLOOKUP($E:$E,Structure!$A:$AJ,AN$1,0)*15,0))</f>
        <v>0</v>
      </c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3"/>
      <c r="BZ41" s="4">
        <f>BZ40+AQ41-F41</f>
        <v>0</v>
      </c>
      <c r="CA41" s="4">
        <f>CA40+AR41-G41</f>
        <v>0</v>
      </c>
      <c r="CB41" s="4">
        <f>CB40+AS41-H41</f>
        <v>0</v>
      </c>
      <c r="CC41" s="4">
        <f>CC40+AT41-I41</f>
        <v>0</v>
      </c>
      <c r="CD41" s="4">
        <f>CD40+AU41-J41</f>
        <v>0</v>
      </c>
      <c r="CE41" s="4">
        <f>CE40+AV41-K41</f>
        <v>0</v>
      </c>
      <c r="CF41" s="4">
        <f>CF40+AW41-L41</f>
        <v>0</v>
      </c>
      <c r="CG41" s="4">
        <f>CG40+AX41-M41</f>
        <v>0</v>
      </c>
      <c r="CH41" s="4">
        <f>CH40+AY41-N41</f>
        <v>0</v>
      </c>
      <c r="CI41" s="4">
        <f>CI40+AZ41-O41</f>
        <v>0</v>
      </c>
      <c r="CJ41" s="4">
        <f>CJ40+BA41-P41</f>
        <v>0</v>
      </c>
      <c r="CK41" s="4">
        <f>CK40+BB41-Q41</f>
        <v>0</v>
      </c>
      <c r="CL41" s="4">
        <f>CL40+BC41-R41</f>
        <v>0</v>
      </c>
      <c r="CM41" s="4">
        <f>CM40+BD41-S41</f>
        <v>0</v>
      </c>
      <c r="CN41" s="4">
        <f>CN40+BE41-T41</f>
        <v>0</v>
      </c>
      <c r="CO41" s="4">
        <f>CO40+BF41-U41</f>
        <v>0</v>
      </c>
      <c r="CP41" s="4">
        <f>CP40+BG41-V41</f>
        <v>0</v>
      </c>
      <c r="CQ41" s="4">
        <f>CQ40+BH41-W41</f>
        <v>0</v>
      </c>
      <c r="CR41" s="4">
        <f>CR40+BI41-X41</f>
        <v>0</v>
      </c>
      <c r="CS41" s="4">
        <f>CS40+BJ41-Y41</f>
        <v>0</v>
      </c>
      <c r="CT41" s="4">
        <f>CT40+BK41-Z41</f>
        <v>0</v>
      </c>
      <c r="CU41" s="4">
        <f>CU40+BL41-AA41</f>
        <v>-1460</v>
      </c>
      <c r="CV41" s="4">
        <f>CV40+BM41-AB41</f>
        <v>-150</v>
      </c>
      <c r="CW41" s="4">
        <f>CW40+BN41-AC41</f>
        <v>-45</v>
      </c>
      <c r="CX41" s="4">
        <f>CX40+BO41-AD41</f>
        <v>0</v>
      </c>
      <c r="CY41" s="4">
        <f>CY40+BP41-AE41</f>
        <v>0</v>
      </c>
      <c r="CZ41" s="4">
        <f>CZ40+BQ41-AF41</f>
        <v>-70</v>
      </c>
      <c r="DA41" s="4">
        <f>DA40+BR41-AG41</f>
        <v>0</v>
      </c>
      <c r="DB41" s="4">
        <f>DB40+BS41-AH41</f>
        <v>0</v>
      </c>
      <c r="DC41" s="4">
        <f>DC40+BT41-AI41</f>
        <v>0</v>
      </c>
      <c r="DD41" s="4">
        <f>DD40+BU41-AJ41</f>
        <v>-1120</v>
      </c>
      <c r="DE41" s="4">
        <f>DE40+BV41-AK41</f>
        <v>-360</v>
      </c>
      <c r="DF41" s="4">
        <f>DF40+BW41-AL41</f>
        <v>0</v>
      </c>
      <c r="DG41" s="4">
        <f>DG40+BX41-AM41</f>
        <v>-25</v>
      </c>
      <c r="DH41" s="4">
        <f>DH40+BY41-AN41</f>
        <v>0</v>
      </c>
    </row>
    <row r="42" spans="1:112" x14ac:dyDescent="0.25">
      <c r="A42" s="6">
        <v>46180</v>
      </c>
      <c r="B42" s="7">
        <v>0.9583333332411712</v>
      </c>
      <c r="C42" s="3" t="s">
        <v>2</v>
      </c>
      <c r="D42" s="3" t="s">
        <v>9</v>
      </c>
      <c r="E42" s="3" t="s">
        <v>2</v>
      </c>
      <c r="F42" s="13">
        <f>SUM(IFERROR(VLOOKUP($C:$C,Structure!$A:$AJ,F$1,0)*15,0),IFERROR(VLOOKUP($D:$D,Structure!$A:$AJ,F$1,0)*15,0),IFERROR(VLOOKUP($E:$E,Structure!$A:$AJ,F$1,0)*15,0))</f>
        <v>0</v>
      </c>
      <c r="G42" s="13">
        <f>SUM(IFERROR(VLOOKUP($C:$C,Structure!$A:$AJ,G$1,0)*15,0),IFERROR(VLOOKUP($D:$D,Structure!$A:$AJ,G$1,0)*15,0),IFERROR(VLOOKUP($E:$E,Structure!$A:$AJ,G$1,0)*15,0))</f>
        <v>0</v>
      </c>
      <c r="H42" s="13">
        <f>SUM(IFERROR(VLOOKUP($C:$C,Structure!$A:$AJ,H$1,0)*15,0),IFERROR(VLOOKUP($D:$D,Structure!$A:$AJ,H$1,0)*15,0),IFERROR(VLOOKUP($E:$E,Structure!$A:$AJ,H$1,0)*15,0))</f>
        <v>0</v>
      </c>
      <c r="I42" s="13">
        <f>SUM(IFERROR(VLOOKUP($C:$C,Structure!$A:$AJ,I$1,0)*15,0),IFERROR(VLOOKUP($D:$D,Structure!$A:$AJ,I$1,0)*15,0),IFERROR(VLOOKUP($E:$E,Structure!$A:$AJ,I$1,0)*15,0))</f>
        <v>0</v>
      </c>
      <c r="J42" s="13">
        <f>SUM(IFERROR(VLOOKUP($C:$C,Structure!$A:$AJ,J$1,0)*15,0),IFERROR(VLOOKUP($D:$D,Structure!$A:$AJ,J$1,0)*15,0),IFERROR(VLOOKUP($E:$E,Structure!$A:$AJ,J$1,0)*15,0))</f>
        <v>0</v>
      </c>
      <c r="K42" s="13">
        <f>SUM(IFERROR(VLOOKUP($C:$C,Structure!$A:$AJ,K$1,0)*15,0),IFERROR(VLOOKUP($D:$D,Structure!$A:$AJ,K$1,0)*15,0),IFERROR(VLOOKUP($E:$E,Structure!$A:$AJ,K$1,0)*15,0))</f>
        <v>0</v>
      </c>
      <c r="L42" s="13">
        <f>SUM(IFERROR(VLOOKUP($C:$C,Structure!$A:$AJ,L$1,0)*15,0),IFERROR(VLOOKUP($D:$D,Structure!$A:$AJ,L$1,0)*15,0),IFERROR(VLOOKUP($E:$E,Structure!$A:$AJ,L$1,0)*15,0))</f>
        <v>0</v>
      </c>
      <c r="M42" s="13">
        <f>SUM(IFERROR(VLOOKUP($C:$C,Structure!$A:$AJ,M$1,0)*15,0),IFERROR(VLOOKUP($D:$D,Structure!$A:$AJ,M$1,0)*15,0),IFERROR(VLOOKUP($E:$E,Structure!$A:$AJ,M$1,0)*15,0))</f>
        <v>0</v>
      </c>
      <c r="N42" s="13">
        <f>SUM(IFERROR(VLOOKUP($C:$C,Structure!$A:$AJ,N$1,0)*15,0),IFERROR(VLOOKUP($D:$D,Structure!$A:$AJ,N$1,0)*15,0),IFERROR(VLOOKUP($E:$E,Structure!$A:$AJ,N$1,0)*15,0))</f>
        <v>0</v>
      </c>
      <c r="O42" s="13">
        <f>SUM(IFERROR(VLOOKUP($C:$C,Structure!$A:$AJ,O$1,0)*15,0),IFERROR(VLOOKUP($D:$D,Structure!$A:$AJ,O$1,0)*15,0),IFERROR(VLOOKUP($E:$E,Structure!$A:$AJ,O$1,0)*15,0))</f>
        <v>0</v>
      </c>
      <c r="P42" s="13">
        <f>SUM(IFERROR(VLOOKUP($C:$C,Structure!$A:$AJ,P$1,0)*15,0),IFERROR(VLOOKUP($D:$D,Structure!$A:$AJ,P$1,0)*15,0),IFERROR(VLOOKUP($E:$E,Structure!$A:$AJ,P$1,0)*15,0))</f>
        <v>0</v>
      </c>
      <c r="Q42" s="13">
        <f>SUM(IFERROR(VLOOKUP($C:$C,Structure!$A:$AJ,Q$1,0)*15,0),IFERROR(VLOOKUP($D:$D,Structure!$A:$AJ,Q$1,0)*15,0),IFERROR(VLOOKUP($E:$E,Structure!$A:$AJ,Q$1,0)*15,0))</f>
        <v>0</v>
      </c>
      <c r="R42" s="13">
        <f>SUM(IFERROR(VLOOKUP($C:$C,Structure!$A:$AJ,R$1,0)*15,0),IFERROR(VLOOKUP($D:$D,Structure!$A:$AJ,R$1,0)*15,0),IFERROR(VLOOKUP($E:$E,Structure!$A:$AJ,R$1,0)*15,0))</f>
        <v>0</v>
      </c>
      <c r="S42" s="13">
        <f>SUM(IFERROR(VLOOKUP($C:$C,Structure!$A:$AJ,S$1,0)*15,0),IFERROR(VLOOKUP($D:$D,Structure!$A:$AJ,S$1,0)*15,0),IFERROR(VLOOKUP($E:$E,Structure!$A:$AJ,S$1,0)*15,0))</f>
        <v>0</v>
      </c>
      <c r="T42" s="13">
        <f>SUM(IFERROR(VLOOKUP($C:$C,Structure!$A:$AJ,T$1,0)*15,0),IFERROR(VLOOKUP($D:$D,Structure!$A:$AJ,T$1,0)*15,0),IFERROR(VLOOKUP($E:$E,Structure!$A:$AJ,T$1,0)*15,0))</f>
        <v>0</v>
      </c>
      <c r="U42" s="13">
        <f>SUM(IFERROR(VLOOKUP($C:$C,Structure!$A:$AJ,U$1,0)*15,0),IFERROR(VLOOKUP($D:$D,Structure!$A:$AJ,U$1,0)*15,0),IFERROR(VLOOKUP($E:$E,Structure!$A:$AJ,U$1,0)*15,0))</f>
        <v>0</v>
      </c>
      <c r="V42" s="13">
        <f>SUM(IFERROR(VLOOKUP($C:$C,Structure!$A:$AJ,V$1,0)*15,0),IFERROR(VLOOKUP($D:$D,Structure!$A:$AJ,V$1,0)*15,0),IFERROR(VLOOKUP($E:$E,Structure!$A:$AJ,V$1,0)*15,0))</f>
        <v>0</v>
      </c>
      <c r="W42" s="13">
        <f>SUM(IFERROR(VLOOKUP($C:$C,Structure!$A:$AJ,W$1,0)*15,0),IFERROR(VLOOKUP($D:$D,Structure!$A:$AJ,W$1,0)*15,0),IFERROR(VLOOKUP($E:$E,Structure!$A:$AJ,W$1,0)*15,0))</f>
        <v>0</v>
      </c>
      <c r="X42" s="13">
        <f>SUM(IFERROR(VLOOKUP($C:$C,Structure!$A:$AJ,X$1,0)*15,0),IFERROR(VLOOKUP($D:$D,Structure!$A:$AJ,X$1,0)*15,0),IFERROR(VLOOKUP($E:$E,Structure!$A:$AJ,X$1,0)*15,0))</f>
        <v>0</v>
      </c>
      <c r="Y42" s="13">
        <f>SUM(IFERROR(VLOOKUP($C:$C,Structure!$A:$AJ,Y$1,0)*15,0),IFERROR(VLOOKUP($D:$D,Structure!$A:$AJ,Y$1,0)*15,0),IFERROR(VLOOKUP($E:$E,Structure!$A:$AJ,Y$1,0)*15,0))</f>
        <v>0</v>
      </c>
      <c r="Z42" s="13">
        <f>SUM(IFERROR(VLOOKUP($C:$C,Structure!$A:$AJ,Z$1,0)*15,0),IFERROR(VLOOKUP($D:$D,Structure!$A:$AJ,Z$1,0)*15,0),IFERROR(VLOOKUP($E:$E,Structure!$A:$AJ,Z$1,0)*15,0))</f>
        <v>0</v>
      </c>
      <c r="AA42" s="13">
        <f>SUM(IFERROR(VLOOKUP($C:$C,Structure!$A:$AJ,AA$1,0)*15,0),IFERROR(VLOOKUP($D:$D,Structure!$A:$AJ,AA$1,0)*15,0),IFERROR(VLOOKUP($E:$E,Structure!$A:$AJ,AA$1,0)*15,0))</f>
        <v>30</v>
      </c>
      <c r="AB42" s="13">
        <f>SUM(IFERROR(VLOOKUP($C:$C,Structure!$A:$AJ,AB$1,0)*15,0),IFERROR(VLOOKUP($D:$D,Structure!$A:$AJ,AB$1,0)*15,0),IFERROR(VLOOKUP($E:$E,Structure!$A:$AJ,AB$1,0)*15,0))</f>
        <v>15</v>
      </c>
      <c r="AC42" s="13">
        <f>SUM(IFERROR(VLOOKUP($C:$C,Structure!$A:$AJ,AC$1,0)*15,0),IFERROR(VLOOKUP($D:$D,Structure!$A:$AJ,AC$1,0)*15,0),IFERROR(VLOOKUP($E:$E,Structure!$A:$AJ,AC$1,0)*15,0))</f>
        <v>0</v>
      </c>
      <c r="AD42" s="13">
        <f>SUM(IFERROR(VLOOKUP($C:$C,Structure!$A:$AJ,AD$1,0)*15,0),IFERROR(VLOOKUP($D:$D,Structure!$A:$AJ,AD$1,0)*15,0),IFERROR(VLOOKUP($E:$E,Structure!$A:$AJ,AD$1,0)*15,0))</f>
        <v>0</v>
      </c>
      <c r="AE42" s="13">
        <f>SUM(IFERROR(VLOOKUP($C:$C,Structure!$A:$AJ,AE$1,0)*15,0),IFERROR(VLOOKUP($D:$D,Structure!$A:$AJ,AE$1,0)*15,0),IFERROR(VLOOKUP($E:$E,Structure!$A:$AJ,AE$1,0)*15,0))</f>
        <v>0</v>
      </c>
      <c r="AF42" s="13">
        <f>SUM(IFERROR(VLOOKUP($C:$C,Structure!$A:$AJ,AF$1,0)*15,0),IFERROR(VLOOKUP($D:$D,Structure!$A:$AJ,AF$1,0)*15,0),IFERROR(VLOOKUP($E:$E,Structure!$A:$AJ,AF$1,0)*15,0))</f>
        <v>15</v>
      </c>
      <c r="AG42" s="13">
        <f>SUM(IFERROR(VLOOKUP($C:$C,Structure!$A:$AJ,AG$1,0)*15,0),IFERROR(VLOOKUP($D:$D,Structure!$A:$AJ,AG$1,0)*15,0),IFERROR(VLOOKUP($E:$E,Structure!$A:$AJ,AG$1,0)*15,0))</f>
        <v>0</v>
      </c>
      <c r="AH42" s="13">
        <f>SUM(IFERROR(VLOOKUP($C:$C,Structure!$A:$AJ,AH$1,0)*15,0),IFERROR(VLOOKUP($D:$D,Structure!$A:$AJ,AH$1,0)*15,0),IFERROR(VLOOKUP($E:$E,Structure!$A:$AJ,AH$1,0)*15,0))</f>
        <v>0</v>
      </c>
      <c r="AI42" s="13">
        <f>SUM(IFERROR(VLOOKUP($C:$C,Structure!$A:$AJ,AI$1,0)*15,0),IFERROR(VLOOKUP($D:$D,Structure!$A:$AJ,AI$1,0)*15,0),IFERROR(VLOOKUP($E:$E,Structure!$A:$AJ,AI$1,0)*15,0))</f>
        <v>0</v>
      </c>
      <c r="AJ42" s="13">
        <f>SUM(IFERROR(VLOOKUP($C:$C,Structure!$A:$AJ,AJ$1,0)*15,0),IFERROR(VLOOKUP($D:$D,Structure!$A:$AJ,AJ$1,0)*15,0),IFERROR(VLOOKUP($E:$E,Structure!$A:$AJ,AJ$1,0)*15,0))</f>
        <v>30</v>
      </c>
      <c r="AK42" s="13">
        <f>SUM(IFERROR(VLOOKUP($C:$C,Structure!$A:$AJ,AK$1,0)*15,0),IFERROR(VLOOKUP($D:$D,Structure!$A:$AJ,AK$1,0)*15,0),IFERROR(VLOOKUP($E:$E,Structure!$A:$AJ,AK$1,0)*15,0))</f>
        <v>0</v>
      </c>
      <c r="AL42" s="13">
        <f>SUM(IFERROR(VLOOKUP($C:$C,Structure!$A:$AJ,AL$1,0)*15,0),IFERROR(VLOOKUP($D:$D,Structure!$A:$AJ,AL$1,0)*15,0),IFERROR(VLOOKUP($E:$E,Structure!$A:$AJ,AL$1,0)*15,0))</f>
        <v>0</v>
      </c>
      <c r="AM42" s="13">
        <f>SUM(IFERROR(VLOOKUP($C:$C,Structure!$A:$AJ,AM$1,0)*15,0),IFERROR(VLOOKUP($D:$D,Structure!$A:$AJ,AM$1,0)*15,0),IFERROR(VLOOKUP($E:$E,Structure!$A:$AJ,AM$1,0)*15,0))</f>
        <v>0</v>
      </c>
      <c r="AN42" s="13">
        <f>SUM(IFERROR(VLOOKUP($C:$C,Structure!$A:$AJ,AN$1,0)*15,0),IFERROR(VLOOKUP($D:$D,Structure!$A:$AJ,AN$1,0)*15,0),IFERROR(VLOOKUP($E:$E,Structure!$A:$AJ,AN$1,0)*15,0))</f>
        <v>0</v>
      </c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3"/>
      <c r="BZ42" s="4">
        <f>BZ41+AQ42-F42</f>
        <v>0</v>
      </c>
      <c r="CA42" s="4">
        <f>CA41+AR42-G42</f>
        <v>0</v>
      </c>
      <c r="CB42" s="4">
        <f>CB41+AS42-H42</f>
        <v>0</v>
      </c>
      <c r="CC42" s="4">
        <f>CC41+AT42-I42</f>
        <v>0</v>
      </c>
      <c r="CD42" s="4">
        <f>CD41+AU42-J42</f>
        <v>0</v>
      </c>
      <c r="CE42" s="4">
        <f>CE41+AV42-K42</f>
        <v>0</v>
      </c>
      <c r="CF42" s="4">
        <f>CF41+AW42-L42</f>
        <v>0</v>
      </c>
      <c r="CG42" s="4">
        <f>CG41+AX42-M42</f>
        <v>0</v>
      </c>
      <c r="CH42" s="4">
        <f>CH41+AY42-N42</f>
        <v>0</v>
      </c>
      <c r="CI42" s="4">
        <f>CI41+AZ42-O42</f>
        <v>0</v>
      </c>
      <c r="CJ42" s="4">
        <f>CJ41+BA42-P42</f>
        <v>0</v>
      </c>
      <c r="CK42" s="4">
        <f>CK41+BB42-Q42</f>
        <v>0</v>
      </c>
      <c r="CL42" s="4">
        <f>CL41+BC42-R42</f>
        <v>0</v>
      </c>
      <c r="CM42" s="4">
        <f>CM41+BD42-S42</f>
        <v>0</v>
      </c>
      <c r="CN42" s="4">
        <f>CN41+BE42-T42</f>
        <v>0</v>
      </c>
      <c r="CO42" s="4">
        <f>CO41+BF42-U42</f>
        <v>0</v>
      </c>
      <c r="CP42" s="4">
        <f>CP41+BG42-V42</f>
        <v>0</v>
      </c>
      <c r="CQ42" s="4">
        <f>CQ41+BH42-W42</f>
        <v>0</v>
      </c>
      <c r="CR42" s="4">
        <f>CR41+BI42-X42</f>
        <v>0</v>
      </c>
      <c r="CS42" s="4">
        <f>CS41+BJ42-Y42</f>
        <v>0</v>
      </c>
      <c r="CT42" s="4">
        <f>CT41+BK42-Z42</f>
        <v>0</v>
      </c>
      <c r="CU42" s="4">
        <f>CU41+BL42-AA42</f>
        <v>-1490</v>
      </c>
      <c r="CV42" s="4">
        <f>CV41+BM42-AB42</f>
        <v>-165</v>
      </c>
      <c r="CW42" s="4">
        <f>CW41+BN42-AC42</f>
        <v>-45</v>
      </c>
      <c r="CX42" s="4">
        <f>CX41+BO42-AD42</f>
        <v>0</v>
      </c>
      <c r="CY42" s="4">
        <f>CY41+BP42-AE42</f>
        <v>0</v>
      </c>
      <c r="CZ42" s="4">
        <f>CZ41+BQ42-AF42</f>
        <v>-85</v>
      </c>
      <c r="DA42" s="4">
        <f>DA41+BR42-AG42</f>
        <v>0</v>
      </c>
      <c r="DB42" s="4">
        <f>DB41+BS42-AH42</f>
        <v>0</v>
      </c>
      <c r="DC42" s="4">
        <f>DC41+BT42-AI42</f>
        <v>0</v>
      </c>
      <c r="DD42" s="4">
        <f>DD41+BU42-AJ42</f>
        <v>-1150</v>
      </c>
      <c r="DE42" s="4">
        <f>DE41+BV42-AK42</f>
        <v>-360</v>
      </c>
      <c r="DF42" s="4">
        <f>DF41+BW42-AL42</f>
        <v>0</v>
      </c>
      <c r="DG42" s="4">
        <f>DG41+BX42-AM42</f>
        <v>-25</v>
      </c>
      <c r="DH42" s="4">
        <f>DH41+BY42-AN42</f>
        <v>0</v>
      </c>
    </row>
    <row r="43" spans="1:112" x14ac:dyDescent="0.25">
      <c r="A43" s="6">
        <v>46180</v>
      </c>
      <c r="B43" s="7">
        <v>0.99999999990541255</v>
      </c>
      <c r="C43" s="3" t="s">
        <v>2</v>
      </c>
      <c r="D43" s="3" t="s">
        <v>6</v>
      </c>
      <c r="E43" s="3" t="s">
        <v>2</v>
      </c>
      <c r="F43" s="13">
        <f>SUM(IFERROR(VLOOKUP($C:$C,Structure!$A:$AJ,F$1,0)*15,0),IFERROR(VLOOKUP($D:$D,Structure!$A:$AJ,F$1,0)*15,0),IFERROR(VLOOKUP($E:$E,Structure!$A:$AJ,F$1,0)*15,0))</f>
        <v>0</v>
      </c>
      <c r="G43" s="13">
        <f>SUM(IFERROR(VLOOKUP($C:$C,Structure!$A:$AJ,G$1,0)*15,0),IFERROR(VLOOKUP($D:$D,Structure!$A:$AJ,G$1,0)*15,0),IFERROR(VLOOKUP($E:$E,Structure!$A:$AJ,G$1,0)*15,0))</f>
        <v>0</v>
      </c>
      <c r="H43" s="13">
        <f>SUM(IFERROR(VLOOKUP($C:$C,Structure!$A:$AJ,H$1,0)*15,0),IFERROR(VLOOKUP($D:$D,Structure!$A:$AJ,H$1,0)*15,0),IFERROR(VLOOKUP($E:$E,Structure!$A:$AJ,H$1,0)*15,0))</f>
        <v>0</v>
      </c>
      <c r="I43" s="13">
        <f>SUM(IFERROR(VLOOKUP($C:$C,Structure!$A:$AJ,I$1,0)*15,0),IFERROR(VLOOKUP($D:$D,Structure!$A:$AJ,I$1,0)*15,0),IFERROR(VLOOKUP($E:$E,Structure!$A:$AJ,I$1,0)*15,0))</f>
        <v>0</v>
      </c>
      <c r="J43" s="13">
        <f>SUM(IFERROR(VLOOKUP($C:$C,Structure!$A:$AJ,J$1,0)*15,0),IFERROR(VLOOKUP($D:$D,Structure!$A:$AJ,J$1,0)*15,0),IFERROR(VLOOKUP($E:$E,Structure!$A:$AJ,J$1,0)*15,0))</f>
        <v>0</v>
      </c>
      <c r="K43" s="13">
        <f>SUM(IFERROR(VLOOKUP($C:$C,Structure!$A:$AJ,K$1,0)*15,0),IFERROR(VLOOKUP($D:$D,Structure!$A:$AJ,K$1,0)*15,0),IFERROR(VLOOKUP($E:$E,Structure!$A:$AJ,K$1,0)*15,0))</f>
        <v>0</v>
      </c>
      <c r="L43" s="13">
        <f>SUM(IFERROR(VLOOKUP($C:$C,Structure!$A:$AJ,L$1,0)*15,0),IFERROR(VLOOKUP($D:$D,Structure!$A:$AJ,L$1,0)*15,0),IFERROR(VLOOKUP($E:$E,Structure!$A:$AJ,L$1,0)*15,0))</f>
        <v>0</v>
      </c>
      <c r="M43" s="13">
        <f>SUM(IFERROR(VLOOKUP($C:$C,Structure!$A:$AJ,M$1,0)*15,0),IFERROR(VLOOKUP($D:$D,Structure!$A:$AJ,M$1,0)*15,0),IFERROR(VLOOKUP($E:$E,Structure!$A:$AJ,M$1,0)*15,0))</f>
        <v>0</v>
      </c>
      <c r="N43" s="13">
        <f>SUM(IFERROR(VLOOKUP($C:$C,Structure!$A:$AJ,N$1,0)*15,0),IFERROR(VLOOKUP($D:$D,Structure!$A:$AJ,N$1,0)*15,0),IFERROR(VLOOKUP($E:$E,Structure!$A:$AJ,N$1,0)*15,0))</f>
        <v>0</v>
      </c>
      <c r="O43" s="13">
        <f>SUM(IFERROR(VLOOKUP($C:$C,Structure!$A:$AJ,O$1,0)*15,0),IFERROR(VLOOKUP($D:$D,Structure!$A:$AJ,O$1,0)*15,0),IFERROR(VLOOKUP($E:$E,Structure!$A:$AJ,O$1,0)*15,0))</f>
        <v>0</v>
      </c>
      <c r="P43" s="13">
        <f>SUM(IFERROR(VLOOKUP($C:$C,Structure!$A:$AJ,P$1,0)*15,0),IFERROR(VLOOKUP($D:$D,Structure!$A:$AJ,P$1,0)*15,0),IFERROR(VLOOKUP($E:$E,Structure!$A:$AJ,P$1,0)*15,0))</f>
        <v>0</v>
      </c>
      <c r="Q43" s="13">
        <f>SUM(IFERROR(VLOOKUP($C:$C,Structure!$A:$AJ,Q$1,0)*15,0),IFERROR(VLOOKUP($D:$D,Structure!$A:$AJ,Q$1,0)*15,0),IFERROR(VLOOKUP($E:$E,Structure!$A:$AJ,Q$1,0)*15,0))</f>
        <v>0</v>
      </c>
      <c r="R43" s="13">
        <f>SUM(IFERROR(VLOOKUP($C:$C,Structure!$A:$AJ,R$1,0)*15,0),IFERROR(VLOOKUP($D:$D,Structure!$A:$AJ,R$1,0)*15,0),IFERROR(VLOOKUP($E:$E,Structure!$A:$AJ,R$1,0)*15,0))</f>
        <v>0</v>
      </c>
      <c r="S43" s="13">
        <f>SUM(IFERROR(VLOOKUP($C:$C,Structure!$A:$AJ,S$1,0)*15,0),IFERROR(VLOOKUP($D:$D,Structure!$A:$AJ,S$1,0)*15,0),IFERROR(VLOOKUP($E:$E,Structure!$A:$AJ,S$1,0)*15,0))</f>
        <v>0</v>
      </c>
      <c r="T43" s="13">
        <f>SUM(IFERROR(VLOOKUP($C:$C,Structure!$A:$AJ,T$1,0)*15,0),IFERROR(VLOOKUP($D:$D,Structure!$A:$AJ,T$1,0)*15,0),IFERROR(VLOOKUP($E:$E,Structure!$A:$AJ,T$1,0)*15,0))</f>
        <v>0</v>
      </c>
      <c r="U43" s="13">
        <f>SUM(IFERROR(VLOOKUP($C:$C,Structure!$A:$AJ,U$1,0)*15,0),IFERROR(VLOOKUP($D:$D,Structure!$A:$AJ,U$1,0)*15,0),IFERROR(VLOOKUP($E:$E,Structure!$A:$AJ,U$1,0)*15,0))</f>
        <v>0</v>
      </c>
      <c r="V43" s="13">
        <f>SUM(IFERROR(VLOOKUP($C:$C,Structure!$A:$AJ,V$1,0)*15,0),IFERROR(VLOOKUP($D:$D,Structure!$A:$AJ,V$1,0)*15,0),IFERROR(VLOOKUP($E:$E,Structure!$A:$AJ,V$1,0)*15,0))</f>
        <v>0</v>
      </c>
      <c r="W43" s="13">
        <f>SUM(IFERROR(VLOOKUP($C:$C,Structure!$A:$AJ,W$1,0)*15,0),IFERROR(VLOOKUP($D:$D,Structure!$A:$AJ,W$1,0)*15,0),IFERROR(VLOOKUP($E:$E,Structure!$A:$AJ,W$1,0)*15,0))</f>
        <v>0</v>
      </c>
      <c r="X43" s="13">
        <f>SUM(IFERROR(VLOOKUP($C:$C,Structure!$A:$AJ,X$1,0)*15,0),IFERROR(VLOOKUP($D:$D,Structure!$A:$AJ,X$1,0)*15,0),IFERROR(VLOOKUP($E:$E,Structure!$A:$AJ,X$1,0)*15,0))</f>
        <v>0</v>
      </c>
      <c r="Y43" s="13">
        <f>SUM(IFERROR(VLOOKUP($C:$C,Structure!$A:$AJ,Y$1,0)*15,0),IFERROR(VLOOKUP($D:$D,Structure!$A:$AJ,Y$1,0)*15,0),IFERROR(VLOOKUP($E:$E,Structure!$A:$AJ,Y$1,0)*15,0))</f>
        <v>0</v>
      </c>
      <c r="Z43" s="13">
        <f>SUM(IFERROR(VLOOKUP($C:$C,Structure!$A:$AJ,Z$1,0)*15,0),IFERROR(VLOOKUP($D:$D,Structure!$A:$AJ,Z$1,0)*15,0),IFERROR(VLOOKUP($E:$E,Structure!$A:$AJ,Z$1,0)*15,0))</f>
        <v>0</v>
      </c>
      <c r="AA43" s="13">
        <f>SUM(IFERROR(VLOOKUP($C:$C,Structure!$A:$AJ,AA$1,0)*15,0),IFERROR(VLOOKUP($D:$D,Structure!$A:$AJ,AA$1,0)*15,0),IFERROR(VLOOKUP($E:$E,Structure!$A:$AJ,AA$1,0)*15,0))</f>
        <v>45</v>
      </c>
      <c r="AB43" s="13">
        <f>SUM(IFERROR(VLOOKUP($C:$C,Structure!$A:$AJ,AB$1,0)*15,0),IFERROR(VLOOKUP($D:$D,Structure!$A:$AJ,AB$1,0)*15,0),IFERROR(VLOOKUP($E:$E,Structure!$A:$AJ,AB$1,0)*15,0))</f>
        <v>0</v>
      </c>
      <c r="AC43" s="13">
        <f>SUM(IFERROR(VLOOKUP($C:$C,Structure!$A:$AJ,AC$1,0)*15,0),IFERROR(VLOOKUP($D:$D,Structure!$A:$AJ,AC$1,0)*15,0),IFERROR(VLOOKUP($E:$E,Structure!$A:$AJ,AC$1,0)*15,0))</f>
        <v>0</v>
      </c>
      <c r="AD43" s="13">
        <f>SUM(IFERROR(VLOOKUP($C:$C,Structure!$A:$AJ,AD$1,0)*15,0),IFERROR(VLOOKUP($D:$D,Structure!$A:$AJ,AD$1,0)*15,0),IFERROR(VLOOKUP($E:$E,Structure!$A:$AJ,AD$1,0)*15,0))</f>
        <v>0</v>
      </c>
      <c r="AE43" s="13">
        <f>SUM(IFERROR(VLOOKUP($C:$C,Structure!$A:$AJ,AE$1,0)*15,0),IFERROR(VLOOKUP($D:$D,Structure!$A:$AJ,AE$1,0)*15,0),IFERROR(VLOOKUP($E:$E,Structure!$A:$AJ,AE$1,0)*15,0))</f>
        <v>0</v>
      </c>
      <c r="AF43" s="13">
        <f>SUM(IFERROR(VLOOKUP($C:$C,Structure!$A:$AJ,AF$1,0)*15,0),IFERROR(VLOOKUP($D:$D,Structure!$A:$AJ,AF$1,0)*15,0),IFERROR(VLOOKUP($E:$E,Structure!$A:$AJ,AF$1,0)*15,0))</f>
        <v>0</v>
      </c>
      <c r="AG43" s="13">
        <f>SUM(IFERROR(VLOOKUP($C:$C,Structure!$A:$AJ,AG$1,0)*15,0),IFERROR(VLOOKUP($D:$D,Structure!$A:$AJ,AG$1,0)*15,0),IFERROR(VLOOKUP($E:$E,Structure!$A:$AJ,AG$1,0)*15,0))</f>
        <v>0</v>
      </c>
      <c r="AH43" s="13">
        <f>SUM(IFERROR(VLOOKUP($C:$C,Structure!$A:$AJ,AH$1,0)*15,0),IFERROR(VLOOKUP($D:$D,Structure!$A:$AJ,AH$1,0)*15,0),IFERROR(VLOOKUP($E:$E,Structure!$A:$AJ,AH$1,0)*15,0))</f>
        <v>0</v>
      </c>
      <c r="AI43" s="13">
        <f>SUM(IFERROR(VLOOKUP($C:$C,Structure!$A:$AJ,AI$1,0)*15,0),IFERROR(VLOOKUP($D:$D,Structure!$A:$AJ,AI$1,0)*15,0),IFERROR(VLOOKUP($E:$E,Structure!$A:$AJ,AI$1,0)*15,0))</f>
        <v>0</v>
      </c>
      <c r="AJ43" s="13">
        <f>SUM(IFERROR(VLOOKUP($C:$C,Structure!$A:$AJ,AJ$1,0)*15,0),IFERROR(VLOOKUP($D:$D,Structure!$A:$AJ,AJ$1,0)*15,0),IFERROR(VLOOKUP($E:$E,Structure!$A:$AJ,AJ$1,0)*15,0))</f>
        <v>45</v>
      </c>
      <c r="AK43" s="13">
        <f>SUM(IFERROR(VLOOKUP($C:$C,Structure!$A:$AJ,AK$1,0)*15,0),IFERROR(VLOOKUP($D:$D,Structure!$A:$AJ,AK$1,0)*15,0),IFERROR(VLOOKUP($E:$E,Structure!$A:$AJ,AK$1,0)*15,0))</f>
        <v>0</v>
      </c>
      <c r="AL43" s="13">
        <f>SUM(IFERROR(VLOOKUP($C:$C,Structure!$A:$AJ,AL$1,0)*15,0),IFERROR(VLOOKUP($D:$D,Structure!$A:$AJ,AL$1,0)*15,0),IFERROR(VLOOKUP($E:$E,Structure!$A:$AJ,AL$1,0)*15,0))</f>
        <v>0</v>
      </c>
      <c r="AM43" s="13">
        <f>SUM(IFERROR(VLOOKUP($C:$C,Structure!$A:$AJ,AM$1,0)*15,0),IFERROR(VLOOKUP($D:$D,Structure!$A:$AJ,AM$1,0)*15,0),IFERROR(VLOOKUP($E:$E,Structure!$A:$AJ,AM$1,0)*15,0))</f>
        <v>0</v>
      </c>
      <c r="AN43" s="13">
        <f>SUM(IFERROR(VLOOKUP($C:$C,Structure!$A:$AJ,AN$1,0)*15,0),IFERROR(VLOOKUP($D:$D,Structure!$A:$AJ,AN$1,0)*15,0),IFERROR(VLOOKUP($E:$E,Structure!$A:$AJ,AN$1,0)*15,0))</f>
        <v>0</v>
      </c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3"/>
      <c r="BZ43" s="4">
        <f>BZ42+AQ43-F43</f>
        <v>0</v>
      </c>
      <c r="CA43" s="4">
        <f>CA42+AR43-G43</f>
        <v>0</v>
      </c>
      <c r="CB43" s="4">
        <f>CB42+AS43-H43</f>
        <v>0</v>
      </c>
      <c r="CC43" s="4">
        <f>CC42+AT43-I43</f>
        <v>0</v>
      </c>
      <c r="CD43" s="4">
        <f>CD42+AU43-J43</f>
        <v>0</v>
      </c>
      <c r="CE43" s="4">
        <f>CE42+AV43-K43</f>
        <v>0</v>
      </c>
      <c r="CF43" s="4">
        <f>CF42+AW43-L43</f>
        <v>0</v>
      </c>
      <c r="CG43" s="4">
        <f>CG42+AX43-M43</f>
        <v>0</v>
      </c>
      <c r="CH43" s="4">
        <f>CH42+AY43-N43</f>
        <v>0</v>
      </c>
      <c r="CI43" s="4">
        <f>CI42+AZ43-O43</f>
        <v>0</v>
      </c>
      <c r="CJ43" s="4">
        <f>CJ42+BA43-P43</f>
        <v>0</v>
      </c>
      <c r="CK43" s="4">
        <f>CK42+BB43-Q43</f>
        <v>0</v>
      </c>
      <c r="CL43" s="4">
        <f>CL42+BC43-R43</f>
        <v>0</v>
      </c>
      <c r="CM43" s="4">
        <f>CM42+BD43-S43</f>
        <v>0</v>
      </c>
      <c r="CN43" s="4">
        <f>CN42+BE43-T43</f>
        <v>0</v>
      </c>
      <c r="CO43" s="4">
        <f>CO42+BF43-U43</f>
        <v>0</v>
      </c>
      <c r="CP43" s="4">
        <f>CP42+BG43-V43</f>
        <v>0</v>
      </c>
      <c r="CQ43" s="4">
        <f>CQ42+BH43-W43</f>
        <v>0</v>
      </c>
      <c r="CR43" s="4">
        <f>CR42+BI43-X43</f>
        <v>0</v>
      </c>
      <c r="CS43" s="4">
        <f>CS42+BJ43-Y43</f>
        <v>0</v>
      </c>
      <c r="CT43" s="4">
        <f>CT42+BK43-Z43</f>
        <v>0</v>
      </c>
      <c r="CU43" s="4">
        <f>CU42+BL43-AA43</f>
        <v>-1535</v>
      </c>
      <c r="CV43" s="4">
        <f>CV42+BM43-AB43</f>
        <v>-165</v>
      </c>
      <c r="CW43" s="4">
        <f>CW42+BN43-AC43</f>
        <v>-45</v>
      </c>
      <c r="CX43" s="4">
        <f>CX42+BO43-AD43</f>
        <v>0</v>
      </c>
      <c r="CY43" s="4">
        <f>CY42+BP43-AE43</f>
        <v>0</v>
      </c>
      <c r="CZ43" s="4">
        <f>CZ42+BQ43-AF43</f>
        <v>-85</v>
      </c>
      <c r="DA43" s="4">
        <f>DA42+BR43-AG43</f>
        <v>0</v>
      </c>
      <c r="DB43" s="4">
        <f>DB42+BS43-AH43</f>
        <v>0</v>
      </c>
      <c r="DC43" s="4">
        <f>DC42+BT43-AI43</f>
        <v>0</v>
      </c>
      <c r="DD43" s="4">
        <f>DD42+BU43-AJ43</f>
        <v>-1195</v>
      </c>
      <c r="DE43" s="4">
        <f>DE42+BV43-AK43</f>
        <v>-360</v>
      </c>
      <c r="DF43" s="4">
        <f>DF42+BW43-AL43</f>
        <v>0</v>
      </c>
      <c r="DG43" s="4">
        <f>DG42+BX43-AM43</f>
        <v>-25</v>
      </c>
      <c r="DH43" s="4">
        <f>DH42+BY43-AN43</f>
        <v>0</v>
      </c>
    </row>
    <row r="44" spans="1:112" x14ac:dyDescent="0.25">
      <c r="A44" s="6">
        <v>46181</v>
      </c>
      <c r="B44" s="7">
        <v>4.1666666569653898E-2</v>
      </c>
      <c r="C44" s="3" t="s">
        <v>3</v>
      </c>
      <c r="D44" s="3" t="s">
        <v>6</v>
      </c>
      <c r="E44" s="3" t="s">
        <v>2</v>
      </c>
      <c r="F44" s="13">
        <f>SUM(IFERROR(VLOOKUP($C:$C,Structure!$A:$AJ,F$1,0)*15,0),IFERROR(VLOOKUP($D:$D,Structure!$A:$AJ,F$1,0)*15,0),IFERROR(VLOOKUP($E:$E,Structure!$A:$AJ,F$1,0)*15,0))</f>
        <v>0</v>
      </c>
      <c r="G44" s="13">
        <f>SUM(IFERROR(VLOOKUP($C:$C,Structure!$A:$AJ,G$1,0)*15,0),IFERROR(VLOOKUP($D:$D,Structure!$A:$AJ,G$1,0)*15,0),IFERROR(VLOOKUP($E:$E,Structure!$A:$AJ,G$1,0)*15,0))</f>
        <v>0</v>
      </c>
      <c r="H44" s="13">
        <f>SUM(IFERROR(VLOOKUP($C:$C,Structure!$A:$AJ,H$1,0)*15,0),IFERROR(VLOOKUP($D:$D,Structure!$A:$AJ,H$1,0)*15,0),IFERROR(VLOOKUP($E:$E,Structure!$A:$AJ,H$1,0)*15,0))</f>
        <v>0</v>
      </c>
      <c r="I44" s="13">
        <f>SUM(IFERROR(VLOOKUP($C:$C,Structure!$A:$AJ,I$1,0)*15,0),IFERROR(VLOOKUP($D:$D,Structure!$A:$AJ,I$1,0)*15,0),IFERROR(VLOOKUP($E:$E,Structure!$A:$AJ,I$1,0)*15,0))</f>
        <v>0</v>
      </c>
      <c r="J44" s="13">
        <f>SUM(IFERROR(VLOOKUP($C:$C,Structure!$A:$AJ,J$1,0)*15,0),IFERROR(VLOOKUP($D:$D,Structure!$A:$AJ,J$1,0)*15,0),IFERROR(VLOOKUP($E:$E,Structure!$A:$AJ,J$1,0)*15,0))</f>
        <v>0</v>
      </c>
      <c r="K44" s="13">
        <f>SUM(IFERROR(VLOOKUP($C:$C,Structure!$A:$AJ,K$1,0)*15,0),IFERROR(VLOOKUP($D:$D,Structure!$A:$AJ,K$1,0)*15,0),IFERROR(VLOOKUP($E:$E,Structure!$A:$AJ,K$1,0)*15,0))</f>
        <v>0</v>
      </c>
      <c r="L44" s="13">
        <f>SUM(IFERROR(VLOOKUP($C:$C,Structure!$A:$AJ,L$1,0)*15,0),IFERROR(VLOOKUP($D:$D,Structure!$A:$AJ,L$1,0)*15,0),IFERROR(VLOOKUP($E:$E,Structure!$A:$AJ,L$1,0)*15,0))</f>
        <v>0</v>
      </c>
      <c r="M44" s="13">
        <f>SUM(IFERROR(VLOOKUP($C:$C,Structure!$A:$AJ,M$1,0)*15,0),IFERROR(VLOOKUP($D:$D,Structure!$A:$AJ,M$1,0)*15,0),IFERROR(VLOOKUP($E:$E,Structure!$A:$AJ,M$1,0)*15,0))</f>
        <v>0</v>
      </c>
      <c r="N44" s="13">
        <f>SUM(IFERROR(VLOOKUP($C:$C,Structure!$A:$AJ,N$1,0)*15,0),IFERROR(VLOOKUP($D:$D,Structure!$A:$AJ,N$1,0)*15,0),IFERROR(VLOOKUP($E:$E,Structure!$A:$AJ,N$1,0)*15,0))</f>
        <v>0</v>
      </c>
      <c r="O44" s="13">
        <f>SUM(IFERROR(VLOOKUP($C:$C,Structure!$A:$AJ,O$1,0)*15,0),IFERROR(VLOOKUP($D:$D,Structure!$A:$AJ,O$1,0)*15,0),IFERROR(VLOOKUP($E:$E,Structure!$A:$AJ,O$1,0)*15,0))</f>
        <v>0</v>
      </c>
      <c r="P44" s="13">
        <f>SUM(IFERROR(VLOOKUP($C:$C,Structure!$A:$AJ,P$1,0)*15,0),IFERROR(VLOOKUP($D:$D,Structure!$A:$AJ,P$1,0)*15,0),IFERROR(VLOOKUP($E:$E,Structure!$A:$AJ,P$1,0)*15,0))</f>
        <v>0</v>
      </c>
      <c r="Q44" s="13">
        <f>SUM(IFERROR(VLOOKUP($C:$C,Structure!$A:$AJ,Q$1,0)*15,0),IFERROR(VLOOKUP($D:$D,Structure!$A:$AJ,Q$1,0)*15,0),IFERROR(VLOOKUP($E:$E,Structure!$A:$AJ,Q$1,0)*15,0))</f>
        <v>0</v>
      </c>
      <c r="R44" s="13">
        <f>SUM(IFERROR(VLOOKUP($C:$C,Structure!$A:$AJ,R$1,0)*15,0),IFERROR(VLOOKUP($D:$D,Structure!$A:$AJ,R$1,0)*15,0),IFERROR(VLOOKUP($E:$E,Structure!$A:$AJ,R$1,0)*15,0))</f>
        <v>0</v>
      </c>
      <c r="S44" s="13">
        <f>SUM(IFERROR(VLOOKUP($C:$C,Structure!$A:$AJ,S$1,0)*15,0),IFERROR(VLOOKUP($D:$D,Structure!$A:$AJ,S$1,0)*15,0),IFERROR(VLOOKUP($E:$E,Structure!$A:$AJ,S$1,0)*15,0))</f>
        <v>0</v>
      </c>
      <c r="T44" s="13">
        <f>SUM(IFERROR(VLOOKUP($C:$C,Structure!$A:$AJ,T$1,0)*15,0),IFERROR(VLOOKUP($D:$D,Structure!$A:$AJ,T$1,0)*15,0),IFERROR(VLOOKUP($E:$E,Structure!$A:$AJ,T$1,0)*15,0))</f>
        <v>0</v>
      </c>
      <c r="U44" s="13">
        <f>SUM(IFERROR(VLOOKUP($C:$C,Structure!$A:$AJ,U$1,0)*15,0),IFERROR(VLOOKUP($D:$D,Structure!$A:$AJ,U$1,0)*15,0),IFERROR(VLOOKUP($E:$E,Structure!$A:$AJ,U$1,0)*15,0))</f>
        <v>0</v>
      </c>
      <c r="V44" s="13">
        <f>SUM(IFERROR(VLOOKUP($C:$C,Structure!$A:$AJ,V$1,0)*15,0),IFERROR(VLOOKUP($D:$D,Structure!$A:$AJ,V$1,0)*15,0),IFERROR(VLOOKUP($E:$E,Structure!$A:$AJ,V$1,0)*15,0))</f>
        <v>0</v>
      </c>
      <c r="W44" s="13">
        <f>SUM(IFERROR(VLOOKUP($C:$C,Structure!$A:$AJ,W$1,0)*15,0),IFERROR(VLOOKUP($D:$D,Structure!$A:$AJ,W$1,0)*15,0),IFERROR(VLOOKUP($E:$E,Structure!$A:$AJ,W$1,0)*15,0))</f>
        <v>0</v>
      </c>
      <c r="X44" s="13">
        <f>SUM(IFERROR(VLOOKUP($C:$C,Structure!$A:$AJ,X$1,0)*15,0),IFERROR(VLOOKUP($D:$D,Structure!$A:$AJ,X$1,0)*15,0),IFERROR(VLOOKUP($E:$E,Structure!$A:$AJ,X$1,0)*15,0))</f>
        <v>0</v>
      </c>
      <c r="Y44" s="13">
        <f>SUM(IFERROR(VLOOKUP($C:$C,Structure!$A:$AJ,Y$1,0)*15,0),IFERROR(VLOOKUP($D:$D,Structure!$A:$AJ,Y$1,0)*15,0),IFERROR(VLOOKUP($E:$E,Structure!$A:$AJ,Y$1,0)*15,0))</f>
        <v>0</v>
      </c>
      <c r="Z44" s="13">
        <f>SUM(IFERROR(VLOOKUP($C:$C,Structure!$A:$AJ,Z$1,0)*15,0),IFERROR(VLOOKUP($D:$D,Structure!$A:$AJ,Z$1,0)*15,0),IFERROR(VLOOKUP($E:$E,Structure!$A:$AJ,Z$1,0)*15,0))</f>
        <v>0</v>
      </c>
      <c r="AA44" s="13">
        <f>SUM(IFERROR(VLOOKUP($C:$C,Structure!$A:$AJ,AA$1,0)*15,0),IFERROR(VLOOKUP($D:$D,Structure!$A:$AJ,AA$1,0)*15,0),IFERROR(VLOOKUP($E:$E,Structure!$A:$AJ,AA$1,0)*15,0))</f>
        <v>45</v>
      </c>
      <c r="AB44" s="13">
        <f>SUM(IFERROR(VLOOKUP($C:$C,Structure!$A:$AJ,AB$1,0)*15,0),IFERROR(VLOOKUP($D:$D,Structure!$A:$AJ,AB$1,0)*15,0),IFERROR(VLOOKUP($E:$E,Structure!$A:$AJ,AB$1,0)*15,0))</f>
        <v>0</v>
      </c>
      <c r="AC44" s="13">
        <f>SUM(IFERROR(VLOOKUP($C:$C,Structure!$A:$AJ,AC$1,0)*15,0),IFERROR(VLOOKUP($D:$D,Structure!$A:$AJ,AC$1,0)*15,0),IFERROR(VLOOKUP($E:$E,Structure!$A:$AJ,AC$1,0)*15,0))</f>
        <v>0</v>
      </c>
      <c r="AD44" s="13">
        <f>SUM(IFERROR(VLOOKUP($C:$C,Structure!$A:$AJ,AD$1,0)*15,0),IFERROR(VLOOKUP($D:$D,Structure!$A:$AJ,AD$1,0)*15,0),IFERROR(VLOOKUP($E:$E,Structure!$A:$AJ,AD$1,0)*15,0))</f>
        <v>0</v>
      </c>
      <c r="AE44" s="13">
        <f>SUM(IFERROR(VLOOKUP($C:$C,Structure!$A:$AJ,AE$1,0)*15,0),IFERROR(VLOOKUP($D:$D,Structure!$A:$AJ,AE$1,0)*15,0),IFERROR(VLOOKUP($E:$E,Structure!$A:$AJ,AE$1,0)*15,0))</f>
        <v>0</v>
      </c>
      <c r="AF44" s="13">
        <f>SUM(IFERROR(VLOOKUP($C:$C,Structure!$A:$AJ,AF$1,0)*15,0),IFERROR(VLOOKUP($D:$D,Structure!$A:$AJ,AF$1,0)*15,0),IFERROR(VLOOKUP($E:$E,Structure!$A:$AJ,AF$1,0)*15,0))</f>
        <v>0</v>
      </c>
      <c r="AG44" s="13">
        <f>SUM(IFERROR(VLOOKUP($C:$C,Structure!$A:$AJ,AG$1,0)*15,0),IFERROR(VLOOKUP($D:$D,Structure!$A:$AJ,AG$1,0)*15,0),IFERROR(VLOOKUP($E:$E,Structure!$A:$AJ,AG$1,0)*15,0))</f>
        <v>0</v>
      </c>
      <c r="AH44" s="13">
        <f>SUM(IFERROR(VLOOKUP($C:$C,Structure!$A:$AJ,AH$1,0)*15,0),IFERROR(VLOOKUP($D:$D,Structure!$A:$AJ,AH$1,0)*15,0),IFERROR(VLOOKUP($E:$E,Structure!$A:$AJ,AH$1,0)*15,0))</f>
        <v>0</v>
      </c>
      <c r="AI44" s="13">
        <f>SUM(IFERROR(VLOOKUP($C:$C,Structure!$A:$AJ,AI$1,0)*15,0),IFERROR(VLOOKUP($D:$D,Structure!$A:$AJ,AI$1,0)*15,0),IFERROR(VLOOKUP($E:$E,Structure!$A:$AJ,AI$1,0)*15,0))</f>
        <v>0</v>
      </c>
      <c r="AJ44" s="13">
        <f>SUM(IFERROR(VLOOKUP($C:$C,Structure!$A:$AJ,AJ$1,0)*15,0),IFERROR(VLOOKUP($D:$D,Structure!$A:$AJ,AJ$1,0)*15,0),IFERROR(VLOOKUP($E:$E,Structure!$A:$AJ,AJ$1,0)*15,0))</f>
        <v>30</v>
      </c>
      <c r="AK44" s="13">
        <f>SUM(IFERROR(VLOOKUP($C:$C,Structure!$A:$AJ,AK$1,0)*15,0),IFERROR(VLOOKUP($D:$D,Structure!$A:$AJ,AK$1,0)*15,0),IFERROR(VLOOKUP($E:$E,Structure!$A:$AJ,AK$1,0)*15,0))</f>
        <v>15</v>
      </c>
      <c r="AL44" s="13">
        <f>SUM(IFERROR(VLOOKUP($C:$C,Structure!$A:$AJ,AL$1,0)*15,0),IFERROR(VLOOKUP($D:$D,Structure!$A:$AJ,AL$1,0)*15,0),IFERROR(VLOOKUP($E:$E,Structure!$A:$AJ,AL$1,0)*15,0))</f>
        <v>0</v>
      </c>
      <c r="AM44" s="13">
        <f>SUM(IFERROR(VLOOKUP($C:$C,Structure!$A:$AJ,AM$1,0)*15,0),IFERROR(VLOOKUP($D:$D,Structure!$A:$AJ,AM$1,0)*15,0),IFERROR(VLOOKUP($E:$E,Structure!$A:$AJ,AM$1,0)*15,0))</f>
        <v>0</v>
      </c>
      <c r="AN44" s="13">
        <f>SUM(IFERROR(VLOOKUP($C:$C,Structure!$A:$AJ,AN$1,0)*15,0),IFERROR(VLOOKUP($D:$D,Structure!$A:$AJ,AN$1,0)*15,0),IFERROR(VLOOKUP($E:$E,Structure!$A:$AJ,AN$1,0)*15,0))</f>
        <v>0</v>
      </c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3"/>
      <c r="BZ44" s="4">
        <f>BZ43+AQ44-F44</f>
        <v>0</v>
      </c>
      <c r="CA44" s="4">
        <f>CA43+AR44-G44</f>
        <v>0</v>
      </c>
      <c r="CB44" s="4">
        <f>CB43+AS44-H44</f>
        <v>0</v>
      </c>
      <c r="CC44" s="4">
        <f>CC43+AT44-I44</f>
        <v>0</v>
      </c>
      <c r="CD44" s="4">
        <f>CD43+AU44-J44</f>
        <v>0</v>
      </c>
      <c r="CE44" s="4">
        <f>CE43+AV44-K44</f>
        <v>0</v>
      </c>
      <c r="CF44" s="4">
        <f>CF43+AW44-L44</f>
        <v>0</v>
      </c>
      <c r="CG44" s="4">
        <f>CG43+AX44-M44</f>
        <v>0</v>
      </c>
      <c r="CH44" s="4">
        <f>CH43+AY44-N44</f>
        <v>0</v>
      </c>
      <c r="CI44" s="4">
        <f>CI43+AZ44-O44</f>
        <v>0</v>
      </c>
      <c r="CJ44" s="4">
        <f>CJ43+BA44-P44</f>
        <v>0</v>
      </c>
      <c r="CK44" s="4">
        <f>CK43+BB44-Q44</f>
        <v>0</v>
      </c>
      <c r="CL44" s="4">
        <f>CL43+BC44-R44</f>
        <v>0</v>
      </c>
      <c r="CM44" s="4">
        <f>CM43+BD44-S44</f>
        <v>0</v>
      </c>
      <c r="CN44" s="4">
        <f>CN43+BE44-T44</f>
        <v>0</v>
      </c>
      <c r="CO44" s="4">
        <f>CO43+BF44-U44</f>
        <v>0</v>
      </c>
      <c r="CP44" s="4">
        <f>CP43+BG44-V44</f>
        <v>0</v>
      </c>
      <c r="CQ44" s="4">
        <f>CQ43+BH44-W44</f>
        <v>0</v>
      </c>
      <c r="CR44" s="4">
        <f>CR43+BI44-X44</f>
        <v>0</v>
      </c>
      <c r="CS44" s="4">
        <f>CS43+BJ44-Y44</f>
        <v>0</v>
      </c>
      <c r="CT44" s="4">
        <f>CT43+BK44-Z44</f>
        <v>0</v>
      </c>
      <c r="CU44" s="4">
        <f>CU43+BL44-AA44</f>
        <v>-1580</v>
      </c>
      <c r="CV44" s="4">
        <f>CV43+BM44-AB44</f>
        <v>-165</v>
      </c>
      <c r="CW44" s="4">
        <f>CW43+BN44-AC44</f>
        <v>-45</v>
      </c>
      <c r="CX44" s="4">
        <f>CX43+BO44-AD44</f>
        <v>0</v>
      </c>
      <c r="CY44" s="4">
        <f>CY43+BP44-AE44</f>
        <v>0</v>
      </c>
      <c r="CZ44" s="4">
        <f>CZ43+BQ44-AF44</f>
        <v>-85</v>
      </c>
      <c r="DA44" s="4">
        <f>DA43+BR44-AG44</f>
        <v>0</v>
      </c>
      <c r="DB44" s="4">
        <f>DB43+BS44-AH44</f>
        <v>0</v>
      </c>
      <c r="DC44" s="4">
        <f>DC43+BT44-AI44</f>
        <v>0</v>
      </c>
      <c r="DD44" s="4">
        <f>DD43+BU44-AJ44</f>
        <v>-1225</v>
      </c>
      <c r="DE44" s="4">
        <f>DE43+BV44-AK44</f>
        <v>-375</v>
      </c>
      <c r="DF44" s="4">
        <f>DF43+BW44-AL44</f>
        <v>0</v>
      </c>
      <c r="DG44" s="4">
        <f>DG43+BX44-AM44</f>
        <v>-25</v>
      </c>
      <c r="DH44" s="4">
        <f>DH43+BY44-AN44</f>
        <v>0</v>
      </c>
    </row>
    <row r="45" spans="1:112" x14ac:dyDescent="0.25">
      <c r="A45" s="6">
        <v>46181</v>
      </c>
      <c r="B45" s="7">
        <v>8.3333333233895246E-2</v>
      </c>
      <c r="C45" s="3" t="s">
        <v>3</v>
      </c>
      <c r="D45" s="3" t="s">
        <v>6</v>
      </c>
      <c r="E45" s="3" t="s">
        <v>2</v>
      </c>
      <c r="F45" s="13">
        <f>SUM(IFERROR(VLOOKUP($C:$C,Structure!$A:$AJ,F$1,0)*15,0),IFERROR(VLOOKUP($D:$D,Structure!$A:$AJ,F$1,0)*15,0),IFERROR(VLOOKUP($E:$E,Structure!$A:$AJ,F$1,0)*15,0))</f>
        <v>0</v>
      </c>
      <c r="G45" s="13">
        <f>SUM(IFERROR(VLOOKUP($C:$C,Structure!$A:$AJ,G$1,0)*15,0),IFERROR(VLOOKUP($D:$D,Structure!$A:$AJ,G$1,0)*15,0),IFERROR(VLOOKUP($E:$E,Structure!$A:$AJ,G$1,0)*15,0))</f>
        <v>0</v>
      </c>
      <c r="H45" s="13">
        <f>SUM(IFERROR(VLOOKUP($C:$C,Structure!$A:$AJ,H$1,0)*15,0),IFERROR(VLOOKUP($D:$D,Structure!$A:$AJ,H$1,0)*15,0),IFERROR(VLOOKUP($E:$E,Structure!$A:$AJ,H$1,0)*15,0))</f>
        <v>0</v>
      </c>
      <c r="I45" s="13">
        <f>SUM(IFERROR(VLOOKUP($C:$C,Structure!$A:$AJ,I$1,0)*15,0),IFERROR(VLOOKUP($D:$D,Structure!$A:$AJ,I$1,0)*15,0),IFERROR(VLOOKUP($E:$E,Structure!$A:$AJ,I$1,0)*15,0))</f>
        <v>0</v>
      </c>
      <c r="J45" s="13">
        <f>SUM(IFERROR(VLOOKUP($C:$C,Structure!$A:$AJ,J$1,0)*15,0),IFERROR(VLOOKUP($D:$D,Structure!$A:$AJ,J$1,0)*15,0),IFERROR(VLOOKUP($E:$E,Structure!$A:$AJ,J$1,0)*15,0))</f>
        <v>0</v>
      </c>
      <c r="K45" s="13">
        <f>SUM(IFERROR(VLOOKUP($C:$C,Structure!$A:$AJ,K$1,0)*15,0),IFERROR(VLOOKUP($D:$D,Structure!$A:$AJ,K$1,0)*15,0),IFERROR(VLOOKUP($E:$E,Structure!$A:$AJ,K$1,0)*15,0))</f>
        <v>0</v>
      </c>
      <c r="L45" s="13">
        <f>SUM(IFERROR(VLOOKUP($C:$C,Structure!$A:$AJ,L$1,0)*15,0),IFERROR(VLOOKUP($D:$D,Structure!$A:$AJ,L$1,0)*15,0),IFERROR(VLOOKUP($E:$E,Structure!$A:$AJ,L$1,0)*15,0))</f>
        <v>0</v>
      </c>
      <c r="M45" s="13">
        <f>SUM(IFERROR(VLOOKUP($C:$C,Structure!$A:$AJ,M$1,0)*15,0),IFERROR(VLOOKUP($D:$D,Structure!$A:$AJ,M$1,0)*15,0),IFERROR(VLOOKUP($E:$E,Structure!$A:$AJ,M$1,0)*15,0))</f>
        <v>0</v>
      </c>
      <c r="N45" s="13">
        <f>SUM(IFERROR(VLOOKUP($C:$C,Structure!$A:$AJ,N$1,0)*15,0),IFERROR(VLOOKUP($D:$D,Structure!$A:$AJ,N$1,0)*15,0),IFERROR(VLOOKUP($E:$E,Structure!$A:$AJ,N$1,0)*15,0))</f>
        <v>0</v>
      </c>
      <c r="O45" s="13">
        <f>SUM(IFERROR(VLOOKUP($C:$C,Structure!$A:$AJ,O$1,0)*15,0),IFERROR(VLOOKUP($D:$D,Structure!$A:$AJ,O$1,0)*15,0),IFERROR(VLOOKUP($E:$E,Structure!$A:$AJ,O$1,0)*15,0))</f>
        <v>0</v>
      </c>
      <c r="P45" s="13">
        <f>SUM(IFERROR(VLOOKUP($C:$C,Structure!$A:$AJ,P$1,0)*15,0),IFERROR(VLOOKUP($D:$D,Structure!$A:$AJ,P$1,0)*15,0),IFERROR(VLOOKUP($E:$E,Structure!$A:$AJ,P$1,0)*15,0))</f>
        <v>0</v>
      </c>
      <c r="Q45" s="13">
        <f>SUM(IFERROR(VLOOKUP($C:$C,Structure!$A:$AJ,Q$1,0)*15,0),IFERROR(VLOOKUP($D:$D,Structure!$A:$AJ,Q$1,0)*15,0),IFERROR(VLOOKUP($E:$E,Structure!$A:$AJ,Q$1,0)*15,0))</f>
        <v>0</v>
      </c>
      <c r="R45" s="13">
        <f>SUM(IFERROR(VLOOKUP($C:$C,Structure!$A:$AJ,R$1,0)*15,0),IFERROR(VLOOKUP($D:$D,Structure!$A:$AJ,R$1,0)*15,0),IFERROR(VLOOKUP($E:$E,Structure!$A:$AJ,R$1,0)*15,0))</f>
        <v>0</v>
      </c>
      <c r="S45" s="13">
        <f>SUM(IFERROR(VLOOKUP($C:$C,Structure!$A:$AJ,S$1,0)*15,0),IFERROR(VLOOKUP($D:$D,Structure!$A:$AJ,S$1,0)*15,0),IFERROR(VLOOKUP($E:$E,Structure!$A:$AJ,S$1,0)*15,0))</f>
        <v>0</v>
      </c>
      <c r="T45" s="13">
        <f>SUM(IFERROR(VLOOKUP($C:$C,Structure!$A:$AJ,T$1,0)*15,0),IFERROR(VLOOKUP($D:$D,Structure!$A:$AJ,T$1,0)*15,0),IFERROR(VLOOKUP($E:$E,Structure!$A:$AJ,T$1,0)*15,0))</f>
        <v>0</v>
      </c>
      <c r="U45" s="13">
        <f>SUM(IFERROR(VLOOKUP($C:$C,Structure!$A:$AJ,U$1,0)*15,0),IFERROR(VLOOKUP($D:$D,Structure!$A:$AJ,U$1,0)*15,0),IFERROR(VLOOKUP($E:$E,Structure!$A:$AJ,U$1,0)*15,0))</f>
        <v>0</v>
      </c>
      <c r="V45" s="13">
        <f>SUM(IFERROR(VLOOKUP($C:$C,Structure!$A:$AJ,V$1,0)*15,0),IFERROR(VLOOKUP($D:$D,Structure!$A:$AJ,V$1,0)*15,0),IFERROR(VLOOKUP($E:$E,Structure!$A:$AJ,V$1,0)*15,0))</f>
        <v>0</v>
      </c>
      <c r="W45" s="13">
        <f>SUM(IFERROR(VLOOKUP($C:$C,Structure!$A:$AJ,W$1,0)*15,0),IFERROR(VLOOKUP($D:$D,Structure!$A:$AJ,W$1,0)*15,0),IFERROR(VLOOKUP($E:$E,Structure!$A:$AJ,W$1,0)*15,0))</f>
        <v>0</v>
      </c>
      <c r="X45" s="13">
        <f>SUM(IFERROR(VLOOKUP($C:$C,Structure!$A:$AJ,X$1,0)*15,0),IFERROR(VLOOKUP($D:$D,Structure!$A:$AJ,X$1,0)*15,0),IFERROR(VLOOKUP($E:$E,Structure!$A:$AJ,X$1,0)*15,0))</f>
        <v>0</v>
      </c>
      <c r="Y45" s="13">
        <f>SUM(IFERROR(VLOOKUP($C:$C,Structure!$A:$AJ,Y$1,0)*15,0),IFERROR(VLOOKUP($D:$D,Structure!$A:$AJ,Y$1,0)*15,0),IFERROR(VLOOKUP($E:$E,Structure!$A:$AJ,Y$1,0)*15,0))</f>
        <v>0</v>
      </c>
      <c r="Z45" s="13">
        <f>SUM(IFERROR(VLOOKUP($C:$C,Structure!$A:$AJ,Z$1,0)*15,0),IFERROR(VLOOKUP($D:$D,Structure!$A:$AJ,Z$1,0)*15,0),IFERROR(VLOOKUP($E:$E,Structure!$A:$AJ,Z$1,0)*15,0))</f>
        <v>0</v>
      </c>
      <c r="AA45" s="13">
        <f>SUM(IFERROR(VLOOKUP($C:$C,Structure!$A:$AJ,AA$1,0)*15,0),IFERROR(VLOOKUP($D:$D,Structure!$A:$AJ,AA$1,0)*15,0),IFERROR(VLOOKUP($E:$E,Structure!$A:$AJ,AA$1,0)*15,0))</f>
        <v>45</v>
      </c>
      <c r="AB45" s="13">
        <f>SUM(IFERROR(VLOOKUP($C:$C,Structure!$A:$AJ,AB$1,0)*15,0),IFERROR(VLOOKUP($D:$D,Structure!$A:$AJ,AB$1,0)*15,0),IFERROR(VLOOKUP($E:$E,Structure!$A:$AJ,AB$1,0)*15,0))</f>
        <v>0</v>
      </c>
      <c r="AC45" s="13">
        <f>SUM(IFERROR(VLOOKUP($C:$C,Structure!$A:$AJ,AC$1,0)*15,0),IFERROR(VLOOKUP($D:$D,Structure!$A:$AJ,AC$1,0)*15,0),IFERROR(VLOOKUP($E:$E,Structure!$A:$AJ,AC$1,0)*15,0))</f>
        <v>0</v>
      </c>
      <c r="AD45" s="13">
        <f>SUM(IFERROR(VLOOKUP($C:$C,Structure!$A:$AJ,AD$1,0)*15,0),IFERROR(VLOOKUP($D:$D,Structure!$A:$AJ,AD$1,0)*15,0),IFERROR(VLOOKUP($E:$E,Structure!$A:$AJ,AD$1,0)*15,0))</f>
        <v>0</v>
      </c>
      <c r="AE45" s="13">
        <f>SUM(IFERROR(VLOOKUP($C:$C,Structure!$A:$AJ,AE$1,0)*15,0),IFERROR(VLOOKUP($D:$D,Structure!$A:$AJ,AE$1,0)*15,0),IFERROR(VLOOKUP($E:$E,Structure!$A:$AJ,AE$1,0)*15,0))</f>
        <v>0</v>
      </c>
      <c r="AF45" s="13">
        <f>SUM(IFERROR(VLOOKUP($C:$C,Structure!$A:$AJ,AF$1,0)*15,0),IFERROR(VLOOKUP($D:$D,Structure!$A:$AJ,AF$1,0)*15,0),IFERROR(VLOOKUP($E:$E,Structure!$A:$AJ,AF$1,0)*15,0))</f>
        <v>0</v>
      </c>
      <c r="AG45" s="13">
        <f>SUM(IFERROR(VLOOKUP($C:$C,Structure!$A:$AJ,AG$1,0)*15,0),IFERROR(VLOOKUP($D:$D,Structure!$A:$AJ,AG$1,0)*15,0),IFERROR(VLOOKUP($E:$E,Structure!$A:$AJ,AG$1,0)*15,0))</f>
        <v>0</v>
      </c>
      <c r="AH45" s="13">
        <f>SUM(IFERROR(VLOOKUP($C:$C,Structure!$A:$AJ,AH$1,0)*15,0),IFERROR(VLOOKUP($D:$D,Structure!$A:$AJ,AH$1,0)*15,0),IFERROR(VLOOKUP($E:$E,Structure!$A:$AJ,AH$1,0)*15,0))</f>
        <v>0</v>
      </c>
      <c r="AI45" s="13">
        <f>SUM(IFERROR(VLOOKUP($C:$C,Structure!$A:$AJ,AI$1,0)*15,0),IFERROR(VLOOKUP($D:$D,Structure!$A:$AJ,AI$1,0)*15,0),IFERROR(VLOOKUP($E:$E,Structure!$A:$AJ,AI$1,0)*15,0))</f>
        <v>0</v>
      </c>
      <c r="AJ45" s="13">
        <f>SUM(IFERROR(VLOOKUP($C:$C,Structure!$A:$AJ,AJ$1,0)*15,0),IFERROR(VLOOKUP($D:$D,Structure!$A:$AJ,AJ$1,0)*15,0),IFERROR(VLOOKUP($E:$E,Structure!$A:$AJ,AJ$1,0)*15,0))</f>
        <v>30</v>
      </c>
      <c r="AK45" s="13">
        <f>SUM(IFERROR(VLOOKUP($C:$C,Structure!$A:$AJ,AK$1,0)*15,0),IFERROR(VLOOKUP($D:$D,Structure!$A:$AJ,AK$1,0)*15,0),IFERROR(VLOOKUP($E:$E,Structure!$A:$AJ,AK$1,0)*15,0))</f>
        <v>15</v>
      </c>
      <c r="AL45" s="13">
        <f>SUM(IFERROR(VLOOKUP($C:$C,Structure!$A:$AJ,AL$1,0)*15,0),IFERROR(VLOOKUP($D:$D,Structure!$A:$AJ,AL$1,0)*15,0),IFERROR(VLOOKUP($E:$E,Structure!$A:$AJ,AL$1,0)*15,0))</f>
        <v>0</v>
      </c>
      <c r="AM45" s="13">
        <f>SUM(IFERROR(VLOOKUP($C:$C,Structure!$A:$AJ,AM$1,0)*15,0),IFERROR(VLOOKUP($D:$D,Structure!$A:$AJ,AM$1,0)*15,0),IFERROR(VLOOKUP($E:$E,Structure!$A:$AJ,AM$1,0)*15,0))</f>
        <v>0</v>
      </c>
      <c r="AN45" s="13">
        <f>SUM(IFERROR(VLOOKUP($C:$C,Structure!$A:$AJ,AN$1,0)*15,0),IFERROR(VLOOKUP($D:$D,Structure!$A:$AJ,AN$1,0)*15,0),IFERROR(VLOOKUP($E:$E,Structure!$A:$AJ,AN$1,0)*15,0))</f>
        <v>0</v>
      </c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3"/>
      <c r="BZ45" s="4">
        <f>BZ44+AQ45-F45</f>
        <v>0</v>
      </c>
      <c r="CA45" s="4">
        <f>CA44+AR45-G45</f>
        <v>0</v>
      </c>
      <c r="CB45" s="4">
        <f>CB44+AS45-H45</f>
        <v>0</v>
      </c>
      <c r="CC45" s="4">
        <f>CC44+AT45-I45</f>
        <v>0</v>
      </c>
      <c r="CD45" s="4">
        <f>CD44+AU45-J45</f>
        <v>0</v>
      </c>
      <c r="CE45" s="4">
        <f>CE44+AV45-K45</f>
        <v>0</v>
      </c>
      <c r="CF45" s="4">
        <f>CF44+AW45-L45</f>
        <v>0</v>
      </c>
      <c r="CG45" s="4">
        <f>CG44+AX45-M45</f>
        <v>0</v>
      </c>
      <c r="CH45" s="4">
        <f>CH44+AY45-N45</f>
        <v>0</v>
      </c>
      <c r="CI45" s="4">
        <f>CI44+AZ45-O45</f>
        <v>0</v>
      </c>
      <c r="CJ45" s="4">
        <f>CJ44+BA45-P45</f>
        <v>0</v>
      </c>
      <c r="CK45" s="4">
        <f>CK44+BB45-Q45</f>
        <v>0</v>
      </c>
      <c r="CL45" s="4">
        <f>CL44+BC45-R45</f>
        <v>0</v>
      </c>
      <c r="CM45" s="4">
        <f>CM44+BD45-S45</f>
        <v>0</v>
      </c>
      <c r="CN45" s="4">
        <f>CN44+BE45-T45</f>
        <v>0</v>
      </c>
      <c r="CO45" s="4">
        <f>CO44+BF45-U45</f>
        <v>0</v>
      </c>
      <c r="CP45" s="4">
        <f>CP44+BG45-V45</f>
        <v>0</v>
      </c>
      <c r="CQ45" s="4">
        <f>CQ44+BH45-W45</f>
        <v>0</v>
      </c>
      <c r="CR45" s="4">
        <f>CR44+BI45-X45</f>
        <v>0</v>
      </c>
      <c r="CS45" s="4">
        <f>CS44+BJ45-Y45</f>
        <v>0</v>
      </c>
      <c r="CT45" s="4">
        <f>CT44+BK45-Z45</f>
        <v>0</v>
      </c>
      <c r="CU45" s="4">
        <f>CU44+BL45-AA45</f>
        <v>-1625</v>
      </c>
      <c r="CV45" s="4">
        <f>CV44+BM45-AB45</f>
        <v>-165</v>
      </c>
      <c r="CW45" s="4">
        <f>CW44+BN45-AC45</f>
        <v>-45</v>
      </c>
      <c r="CX45" s="4">
        <f>CX44+BO45-AD45</f>
        <v>0</v>
      </c>
      <c r="CY45" s="4">
        <f>CY44+BP45-AE45</f>
        <v>0</v>
      </c>
      <c r="CZ45" s="4">
        <f>CZ44+BQ45-AF45</f>
        <v>-85</v>
      </c>
      <c r="DA45" s="4">
        <f>DA44+BR45-AG45</f>
        <v>0</v>
      </c>
      <c r="DB45" s="4">
        <f>DB44+BS45-AH45</f>
        <v>0</v>
      </c>
      <c r="DC45" s="4">
        <f>DC44+BT45-AI45</f>
        <v>0</v>
      </c>
      <c r="DD45" s="4">
        <f>DD44+BU45-AJ45</f>
        <v>-1255</v>
      </c>
      <c r="DE45" s="4">
        <f>DE44+BV45-AK45</f>
        <v>-390</v>
      </c>
      <c r="DF45" s="4">
        <f>DF44+BW45-AL45</f>
        <v>0</v>
      </c>
      <c r="DG45" s="4">
        <f>DG44+BX45-AM45</f>
        <v>-25</v>
      </c>
      <c r="DH45" s="4">
        <f>DH44+BY45-AN45</f>
        <v>0</v>
      </c>
    </row>
    <row r="46" spans="1:112" x14ac:dyDescent="0.25">
      <c r="A46" s="6">
        <v>46181</v>
      </c>
      <c r="B46" s="7">
        <v>0.12499999989813659</v>
      </c>
      <c r="C46" s="3" t="s">
        <v>3</v>
      </c>
      <c r="D46" s="3" t="s">
        <v>6</v>
      </c>
      <c r="E46" s="3" t="s">
        <v>2</v>
      </c>
      <c r="F46" s="13">
        <f>SUM(IFERROR(VLOOKUP($C:$C,Structure!$A:$AJ,F$1,0)*15,0),IFERROR(VLOOKUP($D:$D,Structure!$A:$AJ,F$1,0)*15,0),IFERROR(VLOOKUP($E:$E,Structure!$A:$AJ,F$1,0)*15,0))</f>
        <v>0</v>
      </c>
      <c r="G46" s="13">
        <f>SUM(IFERROR(VLOOKUP($C:$C,Structure!$A:$AJ,G$1,0)*15,0),IFERROR(VLOOKUP($D:$D,Structure!$A:$AJ,G$1,0)*15,0),IFERROR(VLOOKUP($E:$E,Structure!$A:$AJ,G$1,0)*15,0))</f>
        <v>0</v>
      </c>
      <c r="H46" s="13">
        <f>SUM(IFERROR(VLOOKUP($C:$C,Structure!$A:$AJ,H$1,0)*15,0),IFERROR(VLOOKUP($D:$D,Structure!$A:$AJ,H$1,0)*15,0),IFERROR(VLOOKUP($E:$E,Structure!$A:$AJ,H$1,0)*15,0))</f>
        <v>0</v>
      </c>
      <c r="I46" s="13">
        <f>SUM(IFERROR(VLOOKUP($C:$C,Structure!$A:$AJ,I$1,0)*15,0),IFERROR(VLOOKUP($D:$D,Structure!$A:$AJ,I$1,0)*15,0),IFERROR(VLOOKUP($E:$E,Structure!$A:$AJ,I$1,0)*15,0))</f>
        <v>0</v>
      </c>
      <c r="J46" s="13">
        <f>SUM(IFERROR(VLOOKUP($C:$C,Structure!$A:$AJ,J$1,0)*15,0),IFERROR(VLOOKUP($D:$D,Structure!$A:$AJ,J$1,0)*15,0),IFERROR(VLOOKUP($E:$E,Structure!$A:$AJ,J$1,0)*15,0))</f>
        <v>0</v>
      </c>
      <c r="K46" s="13">
        <f>SUM(IFERROR(VLOOKUP($C:$C,Structure!$A:$AJ,K$1,0)*15,0),IFERROR(VLOOKUP($D:$D,Structure!$A:$AJ,K$1,0)*15,0),IFERROR(VLOOKUP($E:$E,Structure!$A:$AJ,K$1,0)*15,0))</f>
        <v>0</v>
      </c>
      <c r="L46" s="13">
        <f>SUM(IFERROR(VLOOKUP($C:$C,Structure!$A:$AJ,L$1,0)*15,0),IFERROR(VLOOKUP($D:$D,Structure!$A:$AJ,L$1,0)*15,0),IFERROR(VLOOKUP($E:$E,Structure!$A:$AJ,L$1,0)*15,0))</f>
        <v>0</v>
      </c>
      <c r="M46" s="13">
        <f>SUM(IFERROR(VLOOKUP($C:$C,Structure!$A:$AJ,M$1,0)*15,0),IFERROR(VLOOKUP($D:$D,Structure!$A:$AJ,M$1,0)*15,0),IFERROR(VLOOKUP($E:$E,Structure!$A:$AJ,M$1,0)*15,0))</f>
        <v>0</v>
      </c>
      <c r="N46" s="13">
        <f>SUM(IFERROR(VLOOKUP($C:$C,Structure!$A:$AJ,N$1,0)*15,0),IFERROR(VLOOKUP($D:$D,Structure!$A:$AJ,N$1,0)*15,0),IFERROR(VLOOKUP($E:$E,Structure!$A:$AJ,N$1,0)*15,0))</f>
        <v>0</v>
      </c>
      <c r="O46" s="13">
        <f>SUM(IFERROR(VLOOKUP($C:$C,Structure!$A:$AJ,O$1,0)*15,0),IFERROR(VLOOKUP($D:$D,Structure!$A:$AJ,O$1,0)*15,0),IFERROR(VLOOKUP($E:$E,Structure!$A:$AJ,O$1,0)*15,0))</f>
        <v>0</v>
      </c>
      <c r="P46" s="13">
        <f>SUM(IFERROR(VLOOKUP($C:$C,Structure!$A:$AJ,P$1,0)*15,0),IFERROR(VLOOKUP($D:$D,Structure!$A:$AJ,P$1,0)*15,0),IFERROR(VLOOKUP($E:$E,Structure!$A:$AJ,P$1,0)*15,0))</f>
        <v>0</v>
      </c>
      <c r="Q46" s="13">
        <f>SUM(IFERROR(VLOOKUP($C:$C,Structure!$A:$AJ,Q$1,0)*15,0),IFERROR(VLOOKUP($D:$D,Structure!$A:$AJ,Q$1,0)*15,0),IFERROR(VLOOKUP($E:$E,Structure!$A:$AJ,Q$1,0)*15,0))</f>
        <v>0</v>
      </c>
      <c r="R46" s="13">
        <f>SUM(IFERROR(VLOOKUP($C:$C,Structure!$A:$AJ,R$1,0)*15,0),IFERROR(VLOOKUP($D:$D,Structure!$A:$AJ,R$1,0)*15,0),IFERROR(VLOOKUP($E:$E,Structure!$A:$AJ,R$1,0)*15,0))</f>
        <v>0</v>
      </c>
      <c r="S46" s="13">
        <f>SUM(IFERROR(VLOOKUP($C:$C,Structure!$A:$AJ,S$1,0)*15,0),IFERROR(VLOOKUP($D:$D,Structure!$A:$AJ,S$1,0)*15,0),IFERROR(VLOOKUP($E:$E,Structure!$A:$AJ,S$1,0)*15,0))</f>
        <v>0</v>
      </c>
      <c r="T46" s="13">
        <f>SUM(IFERROR(VLOOKUP($C:$C,Structure!$A:$AJ,T$1,0)*15,0),IFERROR(VLOOKUP($D:$D,Structure!$A:$AJ,T$1,0)*15,0),IFERROR(VLOOKUP($E:$E,Structure!$A:$AJ,T$1,0)*15,0))</f>
        <v>0</v>
      </c>
      <c r="U46" s="13">
        <f>SUM(IFERROR(VLOOKUP($C:$C,Structure!$A:$AJ,U$1,0)*15,0),IFERROR(VLOOKUP($D:$D,Structure!$A:$AJ,U$1,0)*15,0),IFERROR(VLOOKUP($E:$E,Structure!$A:$AJ,U$1,0)*15,0))</f>
        <v>0</v>
      </c>
      <c r="V46" s="13">
        <f>SUM(IFERROR(VLOOKUP($C:$C,Structure!$A:$AJ,V$1,0)*15,0),IFERROR(VLOOKUP($D:$D,Structure!$A:$AJ,V$1,0)*15,0),IFERROR(VLOOKUP($E:$E,Structure!$A:$AJ,V$1,0)*15,0))</f>
        <v>0</v>
      </c>
      <c r="W46" s="13">
        <f>SUM(IFERROR(VLOOKUP($C:$C,Structure!$A:$AJ,W$1,0)*15,0),IFERROR(VLOOKUP($D:$D,Structure!$A:$AJ,W$1,0)*15,0),IFERROR(VLOOKUP($E:$E,Structure!$A:$AJ,W$1,0)*15,0))</f>
        <v>0</v>
      </c>
      <c r="X46" s="13">
        <f>SUM(IFERROR(VLOOKUP($C:$C,Structure!$A:$AJ,X$1,0)*15,0),IFERROR(VLOOKUP($D:$D,Structure!$A:$AJ,X$1,0)*15,0),IFERROR(VLOOKUP($E:$E,Structure!$A:$AJ,X$1,0)*15,0))</f>
        <v>0</v>
      </c>
      <c r="Y46" s="13">
        <f>SUM(IFERROR(VLOOKUP($C:$C,Structure!$A:$AJ,Y$1,0)*15,0),IFERROR(VLOOKUP($D:$D,Structure!$A:$AJ,Y$1,0)*15,0),IFERROR(VLOOKUP($E:$E,Structure!$A:$AJ,Y$1,0)*15,0))</f>
        <v>0</v>
      </c>
      <c r="Z46" s="13">
        <f>SUM(IFERROR(VLOOKUP($C:$C,Structure!$A:$AJ,Z$1,0)*15,0),IFERROR(VLOOKUP($D:$D,Structure!$A:$AJ,Z$1,0)*15,0),IFERROR(VLOOKUP($E:$E,Structure!$A:$AJ,Z$1,0)*15,0))</f>
        <v>0</v>
      </c>
      <c r="AA46" s="13">
        <f>SUM(IFERROR(VLOOKUP($C:$C,Structure!$A:$AJ,AA$1,0)*15,0),IFERROR(VLOOKUP($D:$D,Structure!$A:$AJ,AA$1,0)*15,0),IFERROR(VLOOKUP($E:$E,Structure!$A:$AJ,AA$1,0)*15,0))</f>
        <v>45</v>
      </c>
      <c r="AB46" s="13">
        <f>SUM(IFERROR(VLOOKUP($C:$C,Structure!$A:$AJ,AB$1,0)*15,0),IFERROR(VLOOKUP($D:$D,Structure!$A:$AJ,AB$1,0)*15,0),IFERROR(VLOOKUP($E:$E,Structure!$A:$AJ,AB$1,0)*15,0))</f>
        <v>0</v>
      </c>
      <c r="AC46" s="13">
        <f>SUM(IFERROR(VLOOKUP($C:$C,Structure!$A:$AJ,AC$1,0)*15,0),IFERROR(VLOOKUP($D:$D,Structure!$A:$AJ,AC$1,0)*15,0),IFERROR(VLOOKUP($E:$E,Structure!$A:$AJ,AC$1,0)*15,0))</f>
        <v>0</v>
      </c>
      <c r="AD46" s="13">
        <f>SUM(IFERROR(VLOOKUP($C:$C,Structure!$A:$AJ,AD$1,0)*15,0),IFERROR(VLOOKUP($D:$D,Structure!$A:$AJ,AD$1,0)*15,0),IFERROR(VLOOKUP($E:$E,Structure!$A:$AJ,AD$1,0)*15,0))</f>
        <v>0</v>
      </c>
      <c r="AE46" s="13">
        <f>SUM(IFERROR(VLOOKUP($C:$C,Structure!$A:$AJ,AE$1,0)*15,0),IFERROR(VLOOKUP($D:$D,Structure!$A:$AJ,AE$1,0)*15,0),IFERROR(VLOOKUP($E:$E,Structure!$A:$AJ,AE$1,0)*15,0))</f>
        <v>0</v>
      </c>
      <c r="AF46" s="13">
        <f>SUM(IFERROR(VLOOKUP($C:$C,Structure!$A:$AJ,AF$1,0)*15,0),IFERROR(VLOOKUP($D:$D,Structure!$A:$AJ,AF$1,0)*15,0),IFERROR(VLOOKUP($E:$E,Structure!$A:$AJ,AF$1,0)*15,0))</f>
        <v>0</v>
      </c>
      <c r="AG46" s="13">
        <f>SUM(IFERROR(VLOOKUP($C:$C,Structure!$A:$AJ,AG$1,0)*15,0),IFERROR(VLOOKUP($D:$D,Structure!$A:$AJ,AG$1,0)*15,0),IFERROR(VLOOKUP($E:$E,Structure!$A:$AJ,AG$1,0)*15,0))</f>
        <v>0</v>
      </c>
      <c r="AH46" s="13">
        <f>SUM(IFERROR(VLOOKUP($C:$C,Structure!$A:$AJ,AH$1,0)*15,0),IFERROR(VLOOKUP($D:$D,Structure!$A:$AJ,AH$1,0)*15,0),IFERROR(VLOOKUP($E:$E,Structure!$A:$AJ,AH$1,0)*15,0))</f>
        <v>0</v>
      </c>
      <c r="AI46" s="13">
        <f>SUM(IFERROR(VLOOKUP($C:$C,Structure!$A:$AJ,AI$1,0)*15,0),IFERROR(VLOOKUP($D:$D,Structure!$A:$AJ,AI$1,0)*15,0),IFERROR(VLOOKUP($E:$E,Structure!$A:$AJ,AI$1,0)*15,0))</f>
        <v>0</v>
      </c>
      <c r="AJ46" s="13">
        <f>SUM(IFERROR(VLOOKUP($C:$C,Structure!$A:$AJ,AJ$1,0)*15,0),IFERROR(VLOOKUP($D:$D,Structure!$A:$AJ,AJ$1,0)*15,0),IFERROR(VLOOKUP($E:$E,Structure!$A:$AJ,AJ$1,0)*15,0))</f>
        <v>30</v>
      </c>
      <c r="AK46" s="13">
        <f>SUM(IFERROR(VLOOKUP($C:$C,Structure!$A:$AJ,AK$1,0)*15,0),IFERROR(VLOOKUP($D:$D,Structure!$A:$AJ,AK$1,0)*15,0),IFERROR(VLOOKUP($E:$E,Structure!$A:$AJ,AK$1,0)*15,0))</f>
        <v>15</v>
      </c>
      <c r="AL46" s="13">
        <f>SUM(IFERROR(VLOOKUP($C:$C,Structure!$A:$AJ,AL$1,0)*15,0),IFERROR(VLOOKUP($D:$D,Structure!$A:$AJ,AL$1,0)*15,0),IFERROR(VLOOKUP($E:$E,Structure!$A:$AJ,AL$1,0)*15,0))</f>
        <v>0</v>
      </c>
      <c r="AM46" s="13">
        <f>SUM(IFERROR(VLOOKUP($C:$C,Structure!$A:$AJ,AM$1,0)*15,0),IFERROR(VLOOKUP($D:$D,Structure!$A:$AJ,AM$1,0)*15,0),IFERROR(VLOOKUP($E:$E,Structure!$A:$AJ,AM$1,0)*15,0))</f>
        <v>0</v>
      </c>
      <c r="AN46" s="13">
        <f>SUM(IFERROR(VLOOKUP($C:$C,Structure!$A:$AJ,AN$1,0)*15,0),IFERROR(VLOOKUP($D:$D,Structure!$A:$AJ,AN$1,0)*15,0),IFERROR(VLOOKUP($E:$E,Structure!$A:$AJ,AN$1,0)*15,0))</f>
        <v>0</v>
      </c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3"/>
      <c r="BZ46" s="4">
        <f>BZ45+AQ46-F46</f>
        <v>0</v>
      </c>
      <c r="CA46" s="4">
        <f>CA45+AR46-G46</f>
        <v>0</v>
      </c>
      <c r="CB46" s="4">
        <f>CB45+AS46-H46</f>
        <v>0</v>
      </c>
      <c r="CC46" s="4">
        <f>CC45+AT46-I46</f>
        <v>0</v>
      </c>
      <c r="CD46" s="4">
        <f>CD45+AU46-J46</f>
        <v>0</v>
      </c>
      <c r="CE46" s="4">
        <f>CE45+AV46-K46</f>
        <v>0</v>
      </c>
      <c r="CF46" s="4">
        <f>CF45+AW46-L46</f>
        <v>0</v>
      </c>
      <c r="CG46" s="4">
        <f>CG45+AX46-M46</f>
        <v>0</v>
      </c>
      <c r="CH46" s="4">
        <f>CH45+AY46-N46</f>
        <v>0</v>
      </c>
      <c r="CI46" s="4">
        <f>CI45+AZ46-O46</f>
        <v>0</v>
      </c>
      <c r="CJ46" s="4">
        <f>CJ45+BA46-P46</f>
        <v>0</v>
      </c>
      <c r="CK46" s="4">
        <f>CK45+BB46-Q46</f>
        <v>0</v>
      </c>
      <c r="CL46" s="4">
        <f>CL45+BC46-R46</f>
        <v>0</v>
      </c>
      <c r="CM46" s="4">
        <f>CM45+BD46-S46</f>
        <v>0</v>
      </c>
      <c r="CN46" s="4">
        <f>CN45+BE46-T46</f>
        <v>0</v>
      </c>
      <c r="CO46" s="4">
        <f>CO45+BF46-U46</f>
        <v>0</v>
      </c>
      <c r="CP46" s="4">
        <f>CP45+BG46-V46</f>
        <v>0</v>
      </c>
      <c r="CQ46" s="4">
        <f>CQ45+BH46-W46</f>
        <v>0</v>
      </c>
      <c r="CR46" s="4">
        <f>CR45+BI46-X46</f>
        <v>0</v>
      </c>
      <c r="CS46" s="4">
        <f>CS45+BJ46-Y46</f>
        <v>0</v>
      </c>
      <c r="CT46" s="4">
        <f>CT45+BK46-Z46</f>
        <v>0</v>
      </c>
      <c r="CU46" s="4">
        <f>CU45+BL46-AA46</f>
        <v>-1670</v>
      </c>
      <c r="CV46" s="4">
        <f>CV45+BM46-AB46</f>
        <v>-165</v>
      </c>
      <c r="CW46" s="4">
        <f>CW45+BN46-AC46</f>
        <v>-45</v>
      </c>
      <c r="CX46" s="4">
        <f>CX45+BO46-AD46</f>
        <v>0</v>
      </c>
      <c r="CY46" s="4">
        <f>CY45+BP46-AE46</f>
        <v>0</v>
      </c>
      <c r="CZ46" s="4">
        <f>CZ45+BQ46-AF46</f>
        <v>-85</v>
      </c>
      <c r="DA46" s="4">
        <f>DA45+BR46-AG46</f>
        <v>0</v>
      </c>
      <c r="DB46" s="4">
        <f>DB45+BS46-AH46</f>
        <v>0</v>
      </c>
      <c r="DC46" s="4">
        <f>DC45+BT46-AI46</f>
        <v>0</v>
      </c>
      <c r="DD46" s="4">
        <f>DD45+BU46-AJ46</f>
        <v>-1285</v>
      </c>
      <c r="DE46" s="4">
        <f>DE45+BV46-AK46</f>
        <v>-405</v>
      </c>
      <c r="DF46" s="4">
        <f>DF45+BW46-AL46</f>
        <v>0</v>
      </c>
      <c r="DG46" s="4">
        <f>DG45+BX46-AM46</f>
        <v>-25</v>
      </c>
      <c r="DH46" s="4">
        <f>DH45+BY46-AN46</f>
        <v>0</v>
      </c>
    </row>
    <row r="47" spans="1:112" x14ac:dyDescent="0.25">
      <c r="A47" s="6">
        <v>46181</v>
      </c>
      <c r="B47" s="7">
        <v>0.16666666656237794</v>
      </c>
      <c r="C47" s="3" t="s">
        <v>3</v>
      </c>
      <c r="D47" s="3" t="s">
        <v>6</v>
      </c>
      <c r="E47" s="3" t="s">
        <v>2</v>
      </c>
      <c r="F47" s="13">
        <f>SUM(IFERROR(VLOOKUP($C:$C,Structure!$A:$AJ,F$1,0)*15,0),IFERROR(VLOOKUP($D:$D,Structure!$A:$AJ,F$1,0)*15,0),IFERROR(VLOOKUP($E:$E,Structure!$A:$AJ,F$1,0)*15,0))</f>
        <v>0</v>
      </c>
      <c r="G47" s="13">
        <f>SUM(IFERROR(VLOOKUP($C:$C,Structure!$A:$AJ,G$1,0)*15,0),IFERROR(VLOOKUP($D:$D,Structure!$A:$AJ,G$1,0)*15,0),IFERROR(VLOOKUP($E:$E,Structure!$A:$AJ,G$1,0)*15,0))</f>
        <v>0</v>
      </c>
      <c r="H47" s="13">
        <f>SUM(IFERROR(VLOOKUP($C:$C,Structure!$A:$AJ,H$1,0)*15,0),IFERROR(VLOOKUP($D:$D,Structure!$A:$AJ,H$1,0)*15,0),IFERROR(VLOOKUP($E:$E,Structure!$A:$AJ,H$1,0)*15,0))</f>
        <v>0</v>
      </c>
      <c r="I47" s="13">
        <f>SUM(IFERROR(VLOOKUP($C:$C,Structure!$A:$AJ,I$1,0)*15,0),IFERROR(VLOOKUP($D:$D,Structure!$A:$AJ,I$1,0)*15,0),IFERROR(VLOOKUP($E:$E,Structure!$A:$AJ,I$1,0)*15,0))</f>
        <v>0</v>
      </c>
      <c r="J47" s="13">
        <f>SUM(IFERROR(VLOOKUP($C:$C,Structure!$A:$AJ,J$1,0)*15,0),IFERROR(VLOOKUP($D:$D,Structure!$A:$AJ,J$1,0)*15,0),IFERROR(VLOOKUP($E:$E,Structure!$A:$AJ,J$1,0)*15,0))</f>
        <v>0</v>
      </c>
      <c r="K47" s="13">
        <f>SUM(IFERROR(VLOOKUP($C:$C,Structure!$A:$AJ,K$1,0)*15,0),IFERROR(VLOOKUP($D:$D,Structure!$A:$AJ,K$1,0)*15,0),IFERROR(VLOOKUP($E:$E,Structure!$A:$AJ,K$1,0)*15,0))</f>
        <v>0</v>
      </c>
      <c r="L47" s="13">
        <f>SUM(IFERROR(VLOOKUP($C:$C,Structure!$A:$AJ,L$1,0)*15,0),IFERROR(VLOOKUP($D:$D,Structure!$A:$AJ,L$1,0)*15,0),IFERROR(VLOOKUP($E:$E,Structure!$A:$AJ,L$1,0)*15,0))</f>
        <v>0</v>
      </c>
      <c r="M47" s="13">
        <f>SUM(IFERROR(VLOOKUP($C:$C,Structure!$A:$AJ,M$1,0)*15,0),IFERROR(VLOOKUP($D:$D,Structure!$A:$AJ,M$1,0)*15,0),IFERROR(VLOOKUP($E:$E,Structure!$A:$AJ,M$1,0)*15,0))</f>
        <v>0</v>
      </c>
      <c r="N47" s="13">
        <f>SUM(IFERROR(VLOOKUP($C:$C,Structure!$A:$AJ,N$1,0)*15,0),IFERROR(VLOOKUP($D:$D,Structure!$A:$AJ,N$1,0)*15,0),IFERROR(VLOOKUP($E:$E,Structure!$A:$AJ,N$1,0)*15,0))</f>
        <v>0</v>
      </c>
      <c r="O47" s="13">
        <f>SUM(IFERROR(VLOOKUP($C:$C,Structure!$A:$AJ,O$1,0)*15,0),IFERROR(VLOOKUP($D:$D,Structure!$A:$AJ,O$1,0)*15,0),IFERROR(VLOOKUP($E:$E,Structure!$A:$AJ,O$1,0)*15,0))</f>
        <v>0</v>
      </c>
      <c r="P47" s="13">
        <f>SUM(IFERROR(VLOOKUP($C:$C,Structure!$A:$AJ,P$1,0)*15,0),IFERROR(VLOOKUP($D:$D,Structure!$A:$AJ,P$1,0)*15,0),IFERROR(VLOOKUP($E:$E,Structure!$A:$AJ,P$1,0)*15,0))</f>
        <v>0</v>
      </c>
      <c r="Q47" s="13">
        <f>SUM(IFERROR(VLOOKUP($C:$C,Structure!$A:$AJ,Q$1,0)*15,0),IFERROR(VLOOKUP($D:$D,Structure!$A:$AJ,Q$1,0)*15,0),IFERROR(VLOOKUP($E:$E,Structure!$A:$AJ,Q$1,0)*15,0))</f>
        <v>0</v>
      </c>
      <c r="R47" s="13">
        <f>SUM(IFERROR(VLOOKUP($C:$C,Structure!$A:$AJ,R$1,0)*15,0),IFERROR(VLOOKUP($D:$D,Structure!$A:$AJ,R$1,0)*15,0),IFERROR(VLOOKUP($E:$E,Structure!$A:$AJ,R$1,0)*15,0))</f>
        <v>0</v>
      </c>
      <c r="S47" s="13">
        <f>SUM(IFERROR(VLOOKUP($C:$C,Structure!$A:$AJ,S$1,0)*15,0),IFERROR(VLOOKUP($D:$D,Structure!$A:$AJ,S$1,0)*15,0),IFERROR(VLOOKUP($E:$E,Structure!$A:$AJ,S$1,0)*15,0))</f>
        <v>0</v>
      </c>
      <c r="T47" s="13">
        <f>SUM(IFERROR(VLOOKUP($C:$C,Structure!$A:$AJ,T$1,0)*15,0),IFERROR(VLOOKUP($D:$D,Structure!$A:$AJ,T$1,0)*15,0),IFERROR(VLOOKUP($E:$E,Structure!$A:$AJ,T$1,0)*15,0))</f>
        <v>0</v>
      </c>
      <c r="U47" s="13">
        <f>SUM(IFERROR(VLOOKUP($C:$C,Structure!$A:$AJ,U$1,0)*15,0),IFERROR(VLOOKUP($D:$D,Structure!$A:$AJ,U$1,0)*15,0),IFERROR(VLOOKUP($E:$E,Structure!$A:$AJ,U$1,0)*15,0))</f>
        <v>0</v>
      </c>
      <c r="V47" s="13">
        <f>SUM(IFERROR(VLOOKUP($C:$C,Structure!$A:$AJ,V$1,0)*15,0),IFERROR(VLOOKUP($D:$D,Structure!$A:$AJ,V$1,0)*15,0),IFERROR(VLOOKUP($E:$E,Structure!$A:$AJ,V$1,0)*15,0))</f>
        <v>0</v>
      </c>
      <c r="W47" s="13">
        <f>SUM(IFERROR(VLOOKUP($C:$C,Structure!$A:$AJ,W$1,0)*15,0),IFERROR(VLOOKUP($D:$D,Structure!$A:$AJ,W$1,0)*15,0),IFERROR(VLOOKUP($E:$E,Structure!$A:$AJ,W$1,0)*15,0))</f>
        <v>0</v>
      </c>
      <c r="X47" s="13">
        <f>SUM(IFERROR(VLOOKUP($C:$C,Structure!$A:$AJ,X$1,0)*15,0),IFERROR(VLOOKUP($D:$D,Structure!$A:$AJ,X$1,0)*15,0),IFERROR(VLOOKUP($E:$E,Structure!$A:$AJ,X$1,0)*15,0))</f>
        <v>0</v>
      </c>
      <c r="Y47" s="13">
        <f>SUM(IFERROR(VLOOKUP($C:$C,Structure!$A:$AJ,Y$1,0)*15,0),IFERROR(VLOOKUP($D:$D,Structure!$A:$AJ,Y$1,0)*15,0),IFERROR(VLOOKUP($E:$E,Structure!$A:$AJ,Y$1,0)*15,0))</f>
        <v>0</v>
      </c>
      <c r="Z47" s="13">
        <f>SUM(IFERROR(VLOOKUP($C:$C,Structure!$A:$AJ,Z$1,0)*15,0),IFERROR(VLOOKUP($D:$D,Structure!$A:$AJ,Z$1,0)*15,0),IFERROR(VLOOKUP($E:$E,Structure!$A:$AJ,Z$1,0)*15,0))</f>
        <v>0</v>
      </c>
      <c r="AA47" s="13">
        <f>SUM(IFERROR(VLOOKUP($C:$C,Structure!$A:$AJ,AA$1,0)*15,0),IFERROR(VLOOKUP($D:$D,Structure!$A:$AJ,AA$1,0)*15,0),IFERROR(VLOOKUP($E:$E,Structure!$A:$AJ,AA$1,0)*15,0))</f>
        <v>45</v>
      </c>
      <c r="AB47" s="13">
        <f>SUM(IFERROR(VLOOKUP($C:$C,Structure!$A:$AJ,AB$1,0)*15,0),IFERROR(VLOOKUP($D:$D,Structure!$A:$AJ,AB$1,0)*15,0),IFERROR(VLOOKUP($E:$E,Structure!$A:$AJ,AB$1,0)*15,0))</f>
        <v>0</v>
      </c>
      <c r="AC47" s="13">
        <f>SUM(IFERROR(VLOOKUP($C:$C,Structure!$A:$AJ,AC$1,0)*15,0),IFERROR(VLOOKUP($D:$D,Structure!$A:$AJ,AC$1,0)*15,0),IFERROR(VLOOKUP($E:$E,Structure!$A:$AJ,AC$1,0)*15,0))</f>
        <v>0</v>
      </c>
      <c r="AD47" s="13">
        <f>SUM(IFERROR(VLOOKUP($C:$C,Structure!$A:$AJ,AD$1,0)*15,0),IFERROR(VLOOKUP($D:$D,Structure!$A:$AJ,AD$1,0)*15,0),IFERROR(VLOOKUP($E:$E,Structure!$A:$AJ,AD$1,0)*15,0))</f>
        <v>0</v>
      </c>
      <c r="AE47" s="13">
        <f>SUM(IFERROR(VLOOKUP($C:$C,Structure!$A:$AJ,AE$1,0)*15,0),IFERROR(VLOOKUP($D:$D,Structure!$A:$AJ,AE$1,0)*15,0),IFERROR(VLOOKUP($E:$E,Structure!$A:$AJ,AE$1,0)*15,0))</f>
        <v>0</v>
      </c>
      <c r="AF47" s="13">
        <f>SUM(IFERROR(VLOOKUP($C:$C,Structure!$A:$AJ,AF$1,0)*15,0),IFERROR(VLOOKUP($D:$D,Structure!$A:$AJ,AF$1,0)*15,0),IFERROR(VLOOKUP($E:$E,Structure!$A:$AJ,AF$1,0)*15,0))</f>
        <v>0</v>
      </c>
      <c r="AG47" s="13">
        <f>SUM(IFERROR(VLOOKUP($C:$C,Structure!$A:$AJ,AG$1,0)*15,0),IFERROR(VLOOKUP($D:$D,Structure!$A:$AJ,AG$1,0)*15,0),IFERROR(VLOOKUP($E:$E,Structure!$A:$AJ,AG$1,0)*15,0))</f>
        <v>0</v>
      </c>
      <c r="AH47" s="13">
        <f>SUM(IFERROR(VLOOKUP($C:$C,Structure!$A:$AJ,AH$1,0)*15,0),IFERROR(VLOOKUP($D:$D,Structure!$A:$AJ,AH$1,0)*15,0),IFERROR(VLOOKUP($E:$E,Structure!$A:$AJ,AH$1,0)*15,0))</f>
        <v>0</v>
      </c>
      <c r="AI47" s="13">
        <f>SUM(IFERROR(VLOOKUP($C:$C,Structure!$A:$AJ,AI$1,0)*15,0),IFERROR(VLOOKUP($D:$D,Structure!$A:$AJ,AI$1,0)*15,0),IFERROR(VLOOKUP($E:$E,Structure!$A:$AJ,AI$1,0)*15,0))</f>
        <v>0</v>
      </c>
      <c r="AJ47" s="13">
        <f>SUM(IFERROR(VLOOKUP($C:$C,Structure!$A:$AJ,AJ$1,0)*15,0),IFERROR(VLOOKUP($D:$D,Structure!$A:$AJ,AJ$1,0)*15,0),IFERROR(VLOOKUP($E:$E,Structure!$A:$AJ,AJ$1,0)*15,0))</f>
        <v>30</v>
      </c>
      <c r="AK47" s="13">
        <f>SUM(IFERROR(VLOOKUP($C:$C,Structure!$A:$AJ,AK$1,0)*15,0),IFERROR(VLOOKUP($D:$D,Structure!$A:$AJ,AK$1,0)*15,0),IFERROR(VLOOKUP($E:$E,Structure!$A:$AJ,AK$1,0)*15,0))</f>
        <v>15</v>
      </c>
      <c r="AL47" s="13">
        <f>SUM(IFERROR(VLOOKUP($C:$C,Structure!$A:$AJ,AL$1,0)*15,0),IFERROR(VLOOKUP($D:$D,Structure!$A:$AJ,AL$1,0)*15,0),IFERROR(VLOOKUP($E:$E,Structure!$A:$AJ,AL$1,0)*15,0))</f>
        <v>0</v>
      </c>
      <c r="AM47" s="13">
        <f>SUM(IFERROR(VLOOKUP($C:$C,Structure!$A:$AJ,AM$1,0)*15,0),IFERROR(VLOOKUP($D:$D,Structure!$A:$AJ,AM$1,0)*15,0),IFERROR(VLOOKUP($E:$E,Structure!$A:$AJ,AM$1,0)*15,0))</f>
        <v>0</v>
      </c>
      <c r="AN47" s="13">
        <f>SUM(IFERROR(VLOOKUP($C:$C,Structure!$A:$AJ,AN$1,0)*15,0),IFERROR(VLOOKUP($D:$D,Structure!$A:$AJ,AN$1,0)*15,0),IFERROR(VLOOKUP($E:$E,Structure!$A:$AJ,AN$1,0)*15,0))</f>
        <v>0</v>
      </c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3"/>
      <c r="BZ47" s="4">
        <f>BZ46+AQ47-F47</f>
        <v>0</v>
      </c>
      <c r="CA47" s="4">
        <f>CA46+AR47-G47</f>
        <v>0</v>
      </c>
      <c r="CB47" s="4">
        <f>CB46+AS47-H47</f>
        <v>0</v>
      </c>
      <c r="CC47" s="4">
        <f>CC46+AT47-I47</f>
        <v>0</v>
      </c>
      <c r="CD47" s="4">
        <f>CD46+AU47-J47</f>
        <v>0</v>
      </c>
      <c r="CE47" s="4">
        <f>CE46+AV47-K47</f>
        <v>0</v>
      </c>
      <c r="CF47" s="4">
        <f>CF46+AW47-L47</f>
        <v>0</v>
      </c>
      <c r="CG47" s="4">
        <f>CG46+AX47-M47</f>
        <v>0</v>
      </c>
      <c r="CH47" s="4">
        <f>CH46+AY47-N47</f>
        <v>0</v>
      </c>
      <c r="CI47" s="4">
        <f>CI46+AZ47-O47</f>
        <v>0</v>
      </c>
      <c r="CJ47" s="4">
        <f>CJ46+BA47-P47</f>
        <v>0</v>
      </c>
      <c r="CK47" s="4">
        <f>CK46+BB47-Q47</f>
        <v>0</v>
      </c>
      <c r="CL47" s="4">
        <f>CL46+BC47-R47</f>
        <v>0</v>
      </c>
      <c r="CM47" s="4">
        <f>CM46+BD47-S47</f>
        <v>0</v>
      </c>
      <c r="CN47" s="4">
        <f>CN46+BE47-T47</f>
        <v>0</v>
      </c>
      <c r="CO47" s="4">
        <f>CO46+BF47-U47</f>
        <v>0</v>
      </c>
      <c r="CP47" s="4">
        <f>CP46+BG47-V47</f>
        <v>0</v>
      </c>
      <c r="CQ47" s="4">
        <f>CQ46+BH47-W47</f>
        <v>0</v>
      </c>
      <c r="CR47" s="4">
        <f>CR46+BI47-X47</f>
        <v>0</v>
      </c>
      <c r="CS47" s="4">
        <f>CS46+BJ47-Y47</f>
        <v>0</v>
      </c>
      <c r="CT47" s="4">
        <f>CT46+BK47-Z47</f>
        <v>0</v>
      </c>
      <c r="CU47" s="4">
        <f>CU46+BL47-AA47</f>
        <v>-1715</v>
      </c>
      <c r="CV47" s="4">
        <f>CV46+BM47-AB47</f>
        <v>-165</v>
      </c>
      <c r="CW47" s="4">
        <f>CW46+BN47-AC47</f>
        <v>-45</v>
      </c>
      <c r="CX47" s="4">
        <f>CX46+BO47-AD47</f>
        <v>0</v>
      </c>
      <c r="CY47" s="4">
        <f>CY46+BP47-AE47</f>
        <v>0</v>
      </c>
      <c r="CZ47" s="4">
        <f>CZ46+BQ47-AF47</f>
        <v>-85</v>
      </c>
      <c r="DA47" s="4">
        <f>DA46+BR47-AG47</f>
        <v>0</v>
      </c>
      <c r="DB47" s="4">
        <f>DB46+BS47-AH47</f>
        <v>0</v>
      </c>
      <c r="DC47" s="4">
        <f>DC46+BT47-AI47</f>
        <v>0</v>
      </c>
      <c r="DD47" s="4">
        <f>DD46+BU47-AJ47</f>
        <v>-1315</v>
      </c>
      <c r="DE47" s="4">
        <f>DE46+BV47-AK47</f>
        <v>-420</v>
      </c>
      <c r="DF47" s="4">
        <f>DF46+BW47-AL47</f>
        <v>0</v>
      </c>
      <c r="DG47" s="4">
        <f>DG46+BX47-AM47</f>
        <v>-25</v>
      </c>
      <c r="DH47" s="4">
        <f>DH46+BY47-AN47</f>
        <v>0</v>
      </c>
    </row>
    <row r="48" spans="1:112" x14ac:dyDescent="0.25">
      <c r="A48" s="6">
        <v>46181</v>
      </c>
      <c r="B48" s="7">
        <v>0.20833333322661929</v>
      </c>
      <c r="C48" s="3" t="s">
        <v>3</v>
      </c>
      <c r="D48" s="3" t="s">
        <v>6</v>
      </c>
      <c r="E48" s="3" t="s">
        <v>2</v>
      </c>
      <c r="F48" s="13">
        <f>SUM(IFERROR(VLOOKUP($C:$C,Structure!$A:$AJ,F$1,0)*15,0),IFERROR(VLOOKUP($D:$D,Structure!$A:$AJ,F$1,0)*15,0),IFERROR(VLOOKUP($E:$E,Structure!$A:$AJ,F$1,0)*15,0))</f>
        <v>0</v>
      </c>
      <c r="G48" s="13">
        <f>SUM(IFERROR(VLOOKUP($C:$C,Structure!$A:$AJ,G$1,0)*15,0),IFERROR(VLOOKUP($D:$D,Structure!$A:$AJ,G$1,0)*15,0),IFERROR(VLOOKUP($E:$E,Structure!$A:$AJ,G$1,0)*15,0))</f>
        <v>0</v>
      </c>
      <c r="H48" s="13">
        <f>SUM(IFERROR(VLOOKUP($C:$C,Structure!$A:$AJ,H$1,0)*15,0),IFERROR(VLOOKUP($D:$D,Structure!$A:$AJ,H$1,0)*15,0),IFERROR(VLOOKUP($E:$E,Structure!$A:$AJ,H$1,0)*15,0))</f>
        <v>0</v>
      </c>
      <c r="I48" s="13">
        <f>SUM(IFERROR(VLOOKUP($C:$C,Structure!$A:$AJ,I$1,0)*15,0),IFERROR(VLOOKUP($D:$D,Structure!$A:$AJ,I$1,0)*15,0),IFERROR(VLOOKUP($E:$E,Structure!$A:$AJ,I$1,0)*15,0))</f>
        <v>0</v>
      </c>
      <c r="J48" s="13">
        <f>SUM(IFERROR(VLOOKUP($C:$C,Structure!$A:$AJ,J$1,0)*15,0),IFERROR(VLOOKUP($D:$D,Structure!$A:$AJ,J$1,0)*15,0),IFERROR(VLOOKUP($E:$E,Structure!$A:$AJ,J$1,0)*15,0))</f>
        <v>0</v>
      </c>
      <c r="K48" s="13">
        <f>SUM(IFERROR(VLOOKUP($C:$C,Structure!$A:$AJ,K$1,0)*15,0),IFERROR(VLOOKUP($D:$D,Structure!$A:$AJ,K$1,0)*15,0),IFERROR(VLOOKUP($E:$E,Structure!$A:$AJ,K$1,0)*15,0))</f>
        <v>0</v>
      </c>
      <c r="L48" s="13">
        <f>SUM(IFERROR(VLOOKUP($C:$C,Structure!$A:$AJ,L$1,0)*15,0),IFERROR(VLOOKUP($D:$D,Structure!$A:$AJ,L$1,0)*15,0),IFERROR(VLOOKUP($E:$E,Structure!$A:$AJ,L$1,0)*15,0))</f>
        <v>0</v>
      </c>
      <c r="M48" s="13">
        <f>SUM(IFERROR(VLOOKUP($C:$C,Structure!$A:$AJ,M$1,0)*15,0),IFERROR(VLOOKUP($D:$D,Structure!$A:$AJ,M$1,0)*15,0),IFERROR(VLOOKUP($E:$E,Structure!$A:$AJ,M$1,0)*15,0))</f>
        <v>0</v>
      </c>
      <c r="N48" s="13">
        <f>SUM(IFERROR(VLOOKUP($C:$C,Structure!$A:$AJ,N$1,0)*15,0),IFERROR(VLOOKUP($D:$D,Structure!$A:$AJ,N$1,0)*15,0),IFERROR(VLOOKUP($E:$E,Structure!$A:$AJ,N$1,0)*15,0))</f>
        <v>0</v>
      </c>
      <c r="O48" s="13">
        <f>SUM(IFERROR(VLOOKUP($C:$C,Structure!$A:$AJ,O$1,0)*15,0),IFERROR(VLOOKUP($D:$D,Structure!$A:$AJ,O$1,0)*15,0),IFERROR(VLOOKUP($E:$E,Structure!$A:$AJ,O$1,0)*15,0))</f>
        <v>0</v>
      </c>
      <c r="P48" s="13">
        <f>SUM(IFERROR(VLOOKUP($C:$C,Structure!$A:$AJ,P$1,0)*15,0),IFERROR(VLOOKUP($D:$D,Structure!$A:$AJ,P$1,0)*15,0),IFERROR(VLOOKUP($E:$E,Structure!$A:$AJ,P$1,0)*15,0))</f>
        <v>0</v>
      </c>
      <c r="Q48" s="13">
        <f>SUM(IFERROR(VLOOKUP($C:$C,Structure!$A:$AJ,Q$1,0)*15,0),IFERROR(VLOOKUP($D:$D,Structure!$A:$AJ,Q$1,0)*15,0),IFERROR(VLOOKUP($E:$E,Structure!$A:$AJ,Q$1,0)*15,0))</f>
        <v>0</v>
      </c>
      <c r="R48" s="13">
        <f>SUM(IFERROR(VLOOKUP($C:$C,Structure!$A:$AJ,R$1,0)*15,0),IFERROR(VLOOKUP($D:$D,Structure!$A:$AJ,R$1,0)*15,0),IFERROR(VLOOKUP($E:$E,Structure!$A:$AJ,R$1,0)*15,0))</f>
        <v>0</v>
      </c>
      <c r="S48" s="13">
        <f>SUM(IFERROR(VLOOKUP($C:$C,Structure!$A:$AJ,S$1,0)*15,0),IFERROR(VLOOKUP($D:$D,Structure!$A:$AJ,S$1,0)*15,0),IFERROR(VLOOKUP($E:$E,Structure!$A:$AJ,S$1,0)*15,0))</f>
        <v>0</v>
      </c>
      <c r="T48" s="13">
        <f>SUM(IFERROR(VLOOKUP($C:$C,Structure!$A:$AJ,T$1,0)*15,0),IFERROR(VLOOKUP($D:$D,Structure!$A:$AJ,T$1,0)*15,0),IFERROR(VLOOKUP($E:$E,Structure!$A:$AJ,T$1,0)*15,0))</f>
        <v>0</v>
      </c>
      <c r="U48" s="13">
        <f>SUM(IFERROR(VLOOKUP($C:$C,Structure!$A:$AJ,U$1,0)*15,0),IFERROR(VLOOKUP($D:$D,Structure!$A:$AJ,U$1,0)*15,0),IFERROR(VLOOKUP($E:$E,Structure!$A:$AJ,U$1,0)*15,0))</f>
        <v>0</v>
      </c>
      <c r="V48" s="13">
        <f>SUM(IFERROR(VLOOKUP($C:$C,Structure!$A:$AJ,V$1,0)*15,0),IFERROR(VLOOKUP($D:$D,Structure!$A:$AJ,V$1,0)*15,0),IFERROR(VLOOKUP($E:$E,Structure!$A:$AJ,V$1,0)*15,0))</f>
        <v>0</v>
      </c>
      <c r="W48" s="13">
        <f>SUM(IFERROR(VLOOKUP($C:$C,Structure!$A:$AJ,W$1,0)*15,0),IFERROR(VLOOKUP($D:$D,Structure!$A:$AJ,W$1,0)*15,0),IFERROR(VLOOKUP($E:$E,Structure!$A:$AJ,W$1,0)*15,0))</f>
        <v>0</v>
      </c>
      <c r="X48" s="13">
        <f>SUM(IFERROR(VLOOKUP($C:$C,Structure!$A:$AJ,X$1,0)*15,0),IFERROR(VLOOKUP($D:$D,Structure!$A:$AJ,X$1,0)*15,0),IFERROR(VLOOKUP($E:$E,Structure!$A:$AJ,X$1,0)*15,0))</f>
        <v>0</v>
      </c>
      <c r="Y48" s="13">
        <f>SUM(IFERROR(VLOOKUP($C:$C,Structure!$A:$AJ,Y$1,0)*15,0),IFERROR(VLOOKUP($D:$D,Structure!$A:$AJ,Y$1,0)*15,0),IFERROR(VLOOKUP($E:$E,Structure!$A:$AJ,Y$1,0)*15,0))</f>
        <v>0</v>
      </c>
      <c r="Z48" s="13">
        <f>SUM(IFERROR(VLOOKUP($C:$C,Structure!$A:$AJ,Z$1,0)*15,0),IFERROR(VLOOKUP($D:$D,Structure!$A:$AJ,Z$1,0)*15,0),IFERROR(VLOOKUP($E:$E,Structure!$A:$AJ,Z$1,0)*15,0))</f>
        <v>0</v>
      </c>
      <c r="AA48" s="13">
        <f>SUM(IFERROR(VLOOKUP($C:$C,Structure!$A:$AJ,AA$1,0)*15,0),IFERROR(VLOOKUP($D:$D,Structure!$A:$AJ,AA$1,0)*15,0),IFERROR(VLOOKUP($E:$E,Structure!$A:$AJ,AA$1,0)*15,0))</f>
        <v>45</v>
      </c>
      <c r="AB48" s="13">
        <f>SUM(IFERROR(VLOOKUP($C:$C,Structure!$A:$AJ,AB$1,0)*15,0),IFERROR(VLOOKUP($D:$D,Structure!$A:$AJ,AB$1,0)*15,0),IFERROR(VLOOKUP($E:$E,Structure!$A:$AJ,AB$1,0)*15,0))</f>
        <v>0</v>
      </c>
      <c r="AC48" s="13">
        <f>SUM(IFERROR(VLOOKUP($C:$C,Structure!$A:$AJ,AC$1,0)*15,0),IFERROR(VLOOKUP($D:$D,Structure!$A:$AJ,AC$1,0)*15,0),IFERROR(VLOOKUP($E:$E,Structure!$A:$AJ,AC$1,0)*15,0))</f>
        <v>0</v>
      </c>
      <c r="AD48" s="13">
        <f>SUM(IFERROR(VLOOKUP($C:$C,Structure!$A:$AJ,AD$1,0)*15,0),IFERROR(VLOOKUP($D:$D,Structure!$A:$AJ,AD$1,0)*15,0),IFERROR(VLOOKUP($E:$E,Structure!$A:$AJ,AD$1,0)*15,0))</f>
        <v>0</v>
      </c>
      <c r="AE48" s="13">
        <f>SUM(IFERROR(VLOOKUP($C:$C,Structure!$A:$AJ,AE$1,0)*15,0),IFERROR(VLOOKUP($D:$D,Structure!$A:$AJ,AE$1,0)*15,0),IFERROR(VLOOKUP($E:$E,Structure!$A:$AJ,AE$1,0)*15,0))</f>
        <v>0</v>
      </c>
      <c r="AF48" s="13">
        <f>SUM(IFERROR(VLOOKUP($C:$C,Structure!$A:$AJ,AF$1,0)*15,0),IFERROR(VLOOKUP($D:$D,Structure!$A:$AJ,AF$1,0)*15,0),IFERROR(VLOOKUP($E:$E,Structure!$A:$AJ,AF$1,0)*15,0))</f>
        <v>0</v>
      </c>
      <c r="AG48" s="13">
        <f>SUM(IFERROR(VLOOKUP($C:$C,Structure!$A:$AJ,AG$1,0)*15,0),IFERROR(VLOOKUP($D:$D,Structure!$A:$AJ,AG$1,0)*15,0),IFERROR(VLOOKUP($E:$E,Structure!$A:$AJ,AG$1,0)*15,0))</f>
        <v>0</v>
      </c>
      <c r="AH48" s="13">
        <f>SUM(IFERROR(VLOOKUP($C:$C,Structure!$A:$AJ,AH$1,0)*15,0),IFERROR(VLOOKUP($D:$D,Structure!$A:$AJ,AH$1,0)*15,0),IFERROR(VLOOKUP($E:$E,Structure!$A:$AJ,AH$1,0)*15,0))</f>
        <v>0</v>
      </c>
      <c r="AI48" s="13">
        <f>SUM(IFERROR(VLOOKUP($C:$C,Structure!$A:$AJ,AI$1,0)*15,0),IFERROR(VLOOKUP($D:$D,Structure!$A:$AJ,AI$1,0)*15,0),IFERROR(VLOOKUP($E:$E,Structure!$A:$AJ,AI$1,0)*15,0))</f>
        <v>0</v>
      </c>
      <c r="AJ48" s="13">
        <f>SUM(IFERROR(VLOOKUP($C:$C,Structure!$A:$AJ,AJ$1,0)*15,0),IFERROR(VLOOKUP($D:$D,Structure!$A:$AJ,AJ$1,0)*15,0),IFERROR(VLOOKUP($E:$E,Structure!$A:$AJ,AJ$1,0)*15,0))</f>
        <v>30</v>
      </c>
      <c r="AK48" s="13">
        <f>SUM(IFERROR(VLOOKUP($C:$C,Structure!$A:$AJ,AK$1,0)*15,0),IFERROR(VLOOKUP($D:$D,Structure!$A:$AJ,AK$1,0)*15,0),IFERROR(VLOOKUP($E:$E,Structure!$A:$AJ,AK$1,0)*15,0))</f>
        <v>15</v>
      </c>
      <c r="AL48" s="13">
        <f>SUM(IFERROR(VLOOKUP($C:$C,Structure!$A:$AJ,AL$1,0)*15,0),IFERROR(VLOOKUP($D:$D,Structure!$A:$AJ,AL$1,0)*15,0),IFERROR(VLOOKUP($E:$E,Structure!$A:$AJ,AL$1,0)*15,0))</f>
        <v>0</v>
      </c>
      <c r="AM48" s="13">
        <f>SUM(IFERROR(VLOOKUP($C:$C,Structure!$A:$AJ,AM$1,0)*15,0),IFERROR(VLOOKUP($D:$D,Structure!$A:$AJ,AM$1,0)*15,0),IFERROR(VLOOKUP($E:$E,Structure!$A:$AJ,AM$1,0)*15,0))</f>
        <v>0</v>
      </c>
      <c r="AN48" s="13">
        <f>SUM(IFERROR(VLOOKUP($C:$C,Structure!$A:$AJ,AN$1,0)*15,0),IFERROR(VLOOKUP($D:$D,Structure!$A:$AJ,AN$1,0)*15,0),IFERROR(VLOOKUP($E:$E,Structure!$A:$AJ,AN$1,0)*15,0))</f>
        <v>0</v>
      </c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3"/>
      <c r="BZ48" s="4">
        <f>BZ47+AQ48-F48</f>
        <v>0</v>
      </c>
      <c r="CA48" s="4">
        <f>CA47+AR48-G48</f>
        <v>0</v>
      </c>
      <c r="CB48" s="4">
        <f>CB47+AS48-H48</f>
        <v>0</v>
      </c>
      <c r="CC48" s="4">
        <f>CC47+AT48-I48</f>
        <v>0</v>
      </c>
      <c r="CD48" s="4">
        <f>CD47+AU48-J48</f>
        <v>0</v>
      </c>
      <c r="CE48" s="4">
        <f>CE47+AV48-K48</f>
        <v>0</v>
      </c>
      <c r="CF48" s="4">
        <f>CF47+AW48-L48</f>
        <v>0</v>
      </c>
      <c r="CG48" s="4">
        <f>CG47+AX48-M48</f>
        <v>0</v>
      </c>
      <c r="CH48" s="4">
        <f>CH47+AY48-N48</f>
        <v>0</v>
      </c>
      <c r="CI48" s="4">
        <f>CI47+AZ48-O48</f>
        <v>0</v>
      </c>
      <c r="CJ48" s="4">
        <f>CJ47+BA48-P48</f>
        <v>0</v>
      </c>
      <c r="CK48" s="4">
        <f>CK47+BB48-Q48</f>
        <v>0</v>
      </c>
      <c r="CL48" s="4">
        <f>CL47+BC48-R48</f>
        <v>0</v>
      </c>
      <c r="CM48" s="4">
        <f>CM47+BD48-S48</f>
        <v>0</v>
      </c>
      <c r="CN48" s="4">
        <f>CN47+BE48-T48</f>
        <v>0</v>
      </c>
      <c r="CO48" s="4">
        <f>CO47+BF48-U48</f>
        <v>0</v>
      </c>
      <c r="CP48" s="4">
        <f>CP47+BG48-V48</f>
        <v>0</v>
      </c>
      <c r="CQ48" s="4">
        <f>CQ47+BH48-W48</f>
        <v>0</v>
      </c>
      <c r="CR48" s="4">
        <f>CR47+BI48-X48</f>
        <v>0</v>
      </c>
      <c r="CS48" s="4">
        <f>CS47+BJ48-Y48</f>
        <v>0</v>
      </c>
      <c r="CT48" s="4">
        <f>CT47+BK48-Z48</f>
        <v>0</v>
      </c>
      <c r="CU48" s="4">
        <f>CU47+BL48-AA48</f>
        <v>-1760</v>
      </c>
      <c r="CV48" s="4">
        <f>CV47+BM48-AB48</f>
        <v>-165</v>
      </c>
      <c r="CW48" s="4">
        <f>CW47+BN48-AC48</f>
        <v>-45</v>
      </c>
      <c r="CX48" s="4">
        <f>CX47+BO48-AD48</f>
        <v>0</v>
      </c>
      <c r="CY48" s="4">
        <f>CY47+BP48-AE48</f>
        <v>0</v>
      </c>
      <c r="CZ48" s="4">
        <f>CZ47+BQ48-AF48</f>
        <v>-85</v>
      </c>
      <c r="DA48" s="4">
        <f>DA47+BR48-AG48</f>
        <v>0</v>
      </c>
      <c r="DB48" s="4">
        <f>DB47+BS48-AH48</f>
        <v>0</v>
      </c>
      <c r="DC48" s="4">
        <f>DC47+BT48-AI48</f>
        <v>0</v>
      </c>
      <c r="DD48" s="4">
        <f>DD47+BU48-AJ48</f>
        <v>-1345</v>
      </c>
      <c r="DE48" s="4">
        <f>DE47+BV48-AK48</f>
        <v>-435</v>
      </c>
      <c r="DF48" s="4">
        <f>DF47+BW48-AL48</f>
        <v>0</v>
      </c>
      <c r="DG48" s="4">
        <f>DG47+BX48-AM48</f>
        <v>-25</v>
      </c>
      <c r="DH48" s="4">
        <f>DH47+BY48-AN48</f>
        <v>0</v>
      </c>
    </row>
    <row r="49" spans="1:112" x14ac:dyDescent="0.25">
      <c r="A49" s="6">
        <v>46181</v>
      </c>
      <c r="B49" s="7">
        <v>0.24999999989086064</v>
      </c>
      <c r="C49" s="3" t="s">
        <v>3</v>
      </c>
      <c r="D49" s="3" t="s">
        <v>6</v>
      </c>
      <c r="E49" s="3" t="s">
        <v>2</v>
      </c>
      <c r="F49" s="13">
        <f>SUM(IFERROR(VLOOKUP($C:$C,Structure!$A:$AJ,F$1,0)*15,0),IFERROR(VLOOKUP($D:$D,Structure!$A:$AJ,F$1,0)*15,0),IFERROR(VLOOKUP($E:$E,Structure!$A:$AJ,F$1,0)*15,0))</f>
        <v>0</v>
      </c>
      <c r="G49" s="13">
        <f>SUM(IFERROR(VLOOKUP($C:$C,Structure!$A:$AJ,G$1,0)*15,0),IFERROR(VLOOKUP($D:$D,Structure!$A:$AJ,G$1,0)*15,0),IFERROR(VLOOKUP($E:$E,Structure!$A:$AJ,G$1,0)*15,0))</f>
        <v>0</v>
      </c>
      <c r="H49" s="13">
        <f>SUM(IFERROR(VLOOKUP($C:$C,Structure!$A:$AJ,H$1,0)*15,0),IFERROR(VLOOKUP($D:$D,Structure!$A:$AJ,H$1,0)*15,0),IFERROR(VLOOKUP($E:$E,Structure!$A:$AJ,H$1,0)*15,0))</f>
        <v>0</v>
      </c>
      <c r="I49" s="13">
        <f>SUM(IFERROR(VLOOKUP($C:$C,Structure!$A:$AJ,I$1,0)*15,0),IFERROR(VLOOKUP($D:$D,Structure!$A:$AJ,I$1,0)*15,0),IFERROR(VLOOKUP($E:$E,Structure!$A:$AJ,I$1,0)*15,0))</f>
        <v>0</v>
      </c>
      <c r="J49" s="13">
        <f>SUM(IFERROR(VLOOKUP($C:$C,Structure!$A:$AJ,J$1,0)*15,0),IFERROR(VLOOKUP($D:$D,Structure!$A:$AJ,J$1,0)*15,0),IFERROR(VLOOKUP($E:$E,Structure!$A:$AJ,J$1,0)*15,0))</f>
        <v>0</v>
      </c>
      <c r="K49" s="13">
        <f>SUM(IFERROR(VLOOKUP($C:$C,Structure!$A:$AJ,K$1,0)*15,0),IFERROR(VLOOKUP($D:$D,Structure!$A:$AJ,K$1,0)*15,0),IFERROR(VLOOKUP($E:$E,Structure!$A:$AJ,K$1,0)*15,0))</f>
        <v>0</v>
      </c>
      <c r="L49" s="13">
        <f>SUM(IFERROR(VLOOKUP($C:$C,Structure!$A:$AJ,L$1,0)*15,0),IFERROR(VLOOKUP($D:$D,Structure!$A:$AJ,L$1,0)*15,0),IFERROR(VLOOKUP($E:$E,Structure!$A:$AJ,L$1,0)*15,0))</f>
        <v>0</v>
      </c>
      <c r="M49" s="13">
        <f>SUM(IFERROR(VLOOKUP($C:$C,Structure!$A:$AJ,M$1,0)*15,0),IFERROR(VLOOKUP($D:$D,Structure!$A:$AJ,M$1,0)*15,0),IFERROR(VLOOKUP($E:$E,Structure!$A:$AJ,M$1,0)*15,0))</f>
        <v>0</v>
      </c>
      <c r="N49" s="13">
        <f>SUM(IFERROR(VLOOKUP($C:$C,Structure!$A:$AJ,N$1,0)*15,0),IFERROR(VLOOKUP($D:$D,Structure!$A:$AJ,N$1,0)*15,0),IFERROR(VLOOKUP($E:$E,Structure!$A:$AJ,N$1,0)*15,0))</f>
        <v>0</v>
      </c>
      <c r="O49" s="13">
        <f>SUM(IFERROR(VLOOKUP($C:$C,Structure!$A:$AJ,O$1,0)*15,0),IFERROR(VLOOKUP($D:$D,Structure!$A:$AJ,O$1,0)*15,0),IFERROR(VLOOKUP($E:$E,Structure!$A:$AJ,O$1,0)*15,0))</f>
        <v>0</v>
      </c>
      <c r="P49" s="13">
        <f>SUM(IFERROR(VLOOKUP($C:$C,Structure!$A:$AJ,P$1,0)*15,0),IFERROR(VLOOKUP($D:$D,Structure!$A:$AJ,P$1,0)*15,0),IFERROR(VLOOKUP($E:$E,Structure!$A:$AJ,P$1,0)*15,0))</f>
        <v>0</v>
      </c>
      <c r="Q49" s="13">
        <f>SUM(IFERROR(VLOOKUP($C:$C,Structure!$A:$AJ,Q$1,0)*15,0),IFERROR(VLOOKUP($D:$D,Structure!$A:$AJ,Q$1,0)*15,0),IFERROR(VLOOKUP($E:$E,Structure!$A:$AJ,Q$1,0)*15,0))</f>
        <v>0</v>
      </c>
      <c r="R49" s="13">
        <f>SUM(IFERROR(VLOOKUP($C:$C,Structure!$A:$AJ,R$1,0)*15,0),IFERROR(VLOOKUP($D:$D,Structure!$A:$AJ,R$1,0)*15,0),IFERROR(VLOOKUP($E:$E,Structure!$A:$AJ,R$1,0)*15,0))</f>
        <v>0</v>
      </c>
      <c r="S49" s="13">
        <f>SUM(IFERROR(VLOOKUP($C:$C,Structure!$A:$AJ,S$1,0)*15,0),IFERROR(VLOOKUP($D:$D,Structure!$A:$AJ,S$1,0)*15,0),IFERROR(VLOOKUP($E:$E,Structure!$A:$AJ,S$1,0)*15,0))</f>
        <v>0</v>
      </c>
      <c r="T49" s="13">
        <f>SUM(IFERROR(VLOOKUP($C:$C,Structure!$A:$AJ,T$1,0)*15,0),IFERROR(VLOOKUP($D:$D,Structure!$A:$AJ,T$1,0)*15,0),IFERROR(VLOOKUP($E:$E,Structure!$A:$AJ,T$1,0)*15,0))</f>
        <v>0</v>
      </c>
      <c r="U49" s="13">
        <f>SUM(IFERROR(VLOOKUP($C:$C,Structure!$A:$AJ,U$1,0)*15,0),IFERROR(VLOOKUP($D:$D,Structure!$A:$AJ,U$1,0)*15,0),IFERROR(VLOOKUP($E:$E,Structure!$A:$AJ,U$1,0)*15,0))</f>
        <v>0</v>
      </c>
      <c r="V49" s="13">
        <f>SUM(IFERROR(VLOOKUP($C:$C,Structure!$A:$AJ,V$1,0)*15,0),IFERROR(VLOOKUP($D:$D,Structure!$A:$AJ,V$1,0)*15,0),IFERROR(VLOOKUP($E:$E,Structure!$A:$AJ,V$1,0)*15,0))</f>
        <v>0</v>
      </c>
      <c r="W49" s="13">
        <f>SUM(IFERROR(VLOOKUP($C:$C,Structure!$A:$AJ,W$1,0)*15,0),IFERROR(VLOOKUP($D:$D,Structure!$A:$AJ,W$1,0)*15,0),IFERROR(VLOOKUP($E:$E,Structure!$A:$AJ,W$1,0)*15,0))</f>
        <v>0</v>
      </c>
      <c r="X49" s="13">
        <f>SUM(IFERROR(VLOOKUP($C:$C,Structure!$A:$AJ,X$1,0)*15,0),IFERROR(VLOOKUP($D:$D,Structure!$A:$AJ,X$1,0)*15,0),IFERROR(VLOOKUP($E:$E,Structure!$A:$AJ,X$1,0)*15,0))</f>
        <v>0</v>
      </c>
      <c r="Y49" s="13">
        <f>SUM(IFERROR(VLOOKUP($C:$C,Structure!$A:$AJ,Y$1,0)*15,0),IFERROR(VLOOKUP($D:$D,Structure!$A:$AJ,Y$1,0)*15,0),IFERROR(VLOOKUP($E:$E,Structure!$A:$AJ,Y$1,0)*15,0))</f>
        <v>0</v>
      </c>
      <c r="Z49" s="13">
        <f>SUM(IFERROR(VLOOKUP($C:$C,Structure!$A:$AJ,Z$1,0)*15,0),IFERROR(VLOOKUP($D:$D,Structure!$A:$AJ,Z$1,0)*15,0),IFERROR(VLOOKUP($E:$E,Structure!$A:$AJ,Z$1,0)*15,0))</f>
        <v>0</v>
      </c>
      <c r="AA49" s="13">
        <f>SUM(IFERROR(VLOOKUP($C:$C,Structure!$A:$AJ,AA$1,0)*15,0),IFERROR(VLOOKUP($D:$D,Structure!$A:$AJ,AA$1,0)*15,0),IFERROR(VLOOKUP($E:$E,Structure!$A:$AJ,AA$1,0)*15,0))</f>
        <v>45</v>
      </c>
      <c r="AB49" s="13">
        <f>SUM(IFERROR(VLOOKUP($C:$C,Structure!$A:$AJ,AB$1,0)*15,0),IFERROR(VLOOKUP($D:$D,Structure!$A:$AJ,AB$1,0)*15,0),IFERROR(VLOOKUP($E:$E,Structure!$A:$AJ,AB$1,0)*15,0))</f>
        <v>0</v>
      </c>
      <c r="AC49" s="13">
        <f>SUM(IFERROR(VLOOKUP($C:$C,Structure!$A:$AJ,AC$1,0)*15,0),IFERROR(VLOOKUP($D:$D,Structure!$A:$AJ,AC$1,0)*15,0),IFERROR(VLOOKUP($E:$E,Structure!$A:$AJ,AC$1,0)*15,0))</f>
        <v>0</v>
      </c>
      <c r="AD49" s="13">
        <f>SUM(IFERROR(VLOOKUP($C:$C,Structure!$A:$AJ,AD$1,0)*15,0),IFERROR(VLOOKUP($D:$D,Structure!$A:$AJ,AD$1,0)*15,0),IFERROR(VLOOKUP($E:$E,Structure!$A:$AJ,AD$1,0)*15,0))</f>
        <v>0</v>
      </c>
      <c r="AE49" s="13">
        <f>SUM(IFERROR(VLOOKUP($C:$C,Structure!$A:$AJ,AE$1,0)*15,0),IFERROR(VLOOKUP($D:$D,Structure!$A:$AJ,AE$1,0)*15,0),IFERROR(VLOOKUP($E:$E,Structure!$A:$AJ,AE$1,0)*15,0))</f>
        <v>0</v>
      </c>
      <c r="AF49" s="13">
        <f>SUM(IFERROR(VLOOKUP($C:$C,Structure!$A:$AJ,AF$1,0)*15,0),IFERROR(VLOOKUP($D:$D,Structure!$A:$AJ,AF$1,0)*15,0),IFERROR(VLOOKUP($E:$E,Structure!$A:$AJ,AF$1,0)*15,0))</f>
        <v>0</v>
      </c>
      <c r="AG49" s="13">
        <f>SUM(IFERROR(VLOOKUP($C:$C,Structure!$A:$AJ,AG$1,0)*15,0),IFERROR(VLOOKUP($D:$D,Structure!$A:$AJ,AG$1,0)*15,0),IFERROR(VLOOKUP($E:$E,Structure!$A:$AJ,AG$1,0)*15,0))</f>
        <v>0</v>
      </c>
      <c r="AH49" s="13">
        <f>SUM(IFERROR(VLOOKUP($C:$C,Structure!$A:$AJ,AH$1,0)*15,0),IFERROR(VLOOKUP($D:$D,Structure!$A:$AJ,AH$1,0)*15,0),IFERROR(VLOOKUP($E:$E,Structure!$A:$AJ,AH$1,0)*15,0))</f>
        <v>0</v>
      </c>
      <c r="AI49" s="13">
        <f>SUM(IFERROR(VLOOKUP($C:$C,Structure!$A:$AJ,AI$1,0)*15,0),IFERROR(VLOOKUP($D:$D,Structure!$A:$AJ,AI$1,0)*15,0),IFERROR(VLOOKUP($E:$E,Structure!$A:$AJ,AI$1,0)*15,0))</f>
        <v>0</v>
      </c>
      <c r="AJ49" s="13">
        <f>SUM(IFERROR(VLOOKUP($C:$C,Structure!$A:$AJ,AJ$1,0)*15,0),IFERROR(VLOOKUP($D:$D,Structure!$A:$AJ,AJ$1,0)*15,0),IFERROR(VLOOKUP($E:$E,Structure!$A:$AJ,AJ$1,0)*15,0))</f>
        <v>30</v>
      </c>
      <c r="AK49" s="13">
        <f>SUM(IFERROR(VLOOKUP($C:$C,Structure!$A:$AJ,AK$1,0)*15,0),IFERROR(VLOOKUP($D:$D,Structure!$A:$AJ,AK$1,0)*15,0),IFERROR(VLOOKUP($E:$E,Structure!$A:$AJ,AK$1,0)*15,0))</f>
        <v>15</v>
      </c>
      <c r="AL49" s="13">
        <f>SUM(IFERROR(VLOOKUP($C:$C,Structure!$A:$AJ,AL$1,0)*15,0),IFERROR(VLOOKUP($D:$D,Structure!$A:$AJ,AL$1,0)*15,0),IFERROR(VLOOKUP($E:$E,Structure!$A:$AJ,AL$1,0)*15,0))</f>
        <v>0</v>
      </c>
      <c r="AM49" s="13">
        <f>SUM(IFERROR(VLOOKUP($C:$C,Structure!$A:$AJ,AM$1,0)*15,0),IFERROR(VLOOKUP($D:$D,Structure!$A:$AJ,AM$1,0)*15,0),IFERROR(VLOOKUP($E:$E,Structure!$A:$AJ,AM$1,0)*15,0))</f>
        <v>0</v>
      </c>
      <c r="AN49" s="13">
        <f>SUM(IFERROR(VLOOKUP($C:$C,Structure!$A:$AJ,AN$1,0)*15,0),IFERROR(VLOOKUP($D:$D,Structure!$A:$AJ,AN$1,0)*15,0),IFERROR(VLOOKUP($E:$E,Structure!$A:$AJ,AN$1,0)*15,0))</f>
        <v>0</v>
      </c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3"/>
      <c r="BZ49" s="4">
        <f>BZ48+AQ49-F49</f>
        <v>0</v>
      </c>
      <c r="CA49" s="4">
        <f>CA48+AR49-G49</f>
        <v>0</v>
      </c>
      <c r="CB49" s="4">
        <f>CB48+AS49-H49</f>
        <v>0</v>
      </c>
      <c r="CC49" s="4">
        <f>CC48+AT49-I49</f>
        <v>0</v>
      </c>
      <c r="CD49" s="4">
        <f>CD48+AU49-J49</f>
        <v>0</v>
      </c>
      <c r="CE49" s="4">
        <f>CE48+AV49-K49</f>
        <v>0</v>
      </c>
      <c r="CF49" s="4">
        <f>CF48+AW49-L49</f>
        <v>0</v>
      </c>
      <c r="CG49" s="4">
        <f>CG48+AX49-M49</f>
        <v>0</v>
      </c>
      <c r="CH49" s="4">
        <f>CH48+AY49-N49</f>
        <v>0</v>
      </c>
      <c r="CI49" s="4">
        <f>CI48+AZ49-O49</f>
        <v>0</v>
      </c>
      <c r="CJ49" s="4">
        <f>CJ48+BA49-P49</f>
        <v>0</v>
      </c>
      <c r="CK49" s="4">
        <f>CK48+BB49-Q49</f>
        <v>0</v>
      </c>
      <c r="CL49" s="4">
        <f>CL48+BC49-R49</f>
        <v>0</v>
      </c>
      <c r="CM49" s="4">
        <f>CM48+BD49-S49</f>
        <v>0</v>
      </c>
      <c r="CN49" s="4">
        <f>CN48+BE49-T49</f>
        <v>0</v>
      </c>
      <c r="CO49" s="4">
        <f>CO48+BF49-U49</f>
        <v>0</v>
      </c>
      <c r="CP49" s="4">
        <f>CP48+BG49-V49</f>
        <v>0</v>
      </c>
      <c r="CQ49" s="4">
        <f>CQ48+BH49-W49</f>
        <v>0</v>
      </c>
      <c r="CR49" s="4">
        <f>CR48+BI49-X49</f>
        <v>0</v>
      </c>
      <c r="CS49" s="4">
        <f>CS48+BJ49-Y49</f>
        <v>0</v>
      </c>
      <c r="CT49" s="4">
        <f>CT48+BK49-Z49</f>
        <v>0</v>
      </c>
      <c r="CU49" s="4">
        <f>CU48+BL49-AA49</f>
        <v>-1805</v>
      </c>
      <c r="CV49" s="4">
        <f>CV48+BM49-AB49</f>
        <v>-165</v>
      </c>
      <c r="CW49" s="4">
        <f>CW48+BN49-AC49</f>
        <v>-45</v>
      </c>
      <c r="CX49" s="4">
        <f>CX48+BO49-AD49</f>
        <v>0</v>
      </c>
      <c r="CY49" s="4">
        <f>CY48+BP49-AE49</f>
        <v>0</v>
      </c>
      <c r="CZ49" s="4">
        <f>CZ48+BQ49-AF49</f>
        <v>-85</v>
      </c>
      <c r="DA49" s="4">
        <f>DA48+BR49-AG49</f>
        <v>0</v>
      </c>
      <c r="DB49" s="4">
        <f>DB48+BS49-AH49</f>
        <v>0</v>
      </c>
      <c r="DC49" s="4">
        <f>DC48+BT49-AI49</f>
        <v>0</v>
      </c>
      <c r="DD49" s="4">
        <f>DD48+BU49-AJ49</f>
        <v>-1375</v>
      </c>
      <c r="DE49" s="4">
        <f>DE48+BV49-AK49</f>
        <v>-450</v>
      </c>
      <c r="DF49" s="4">
        <f>DF48+BW49-AL49</f>
        <v>0</v>
      </c>
      <c r="DG49" s="4">
        <f>DG48+BX49-AM49</f>
        <v>-25</v>
      </c>
      <c r="DH49" s="4">
        <f>DH48+BY49-AN49</f>
        <v>0</v>
      </c>
    </row>
    <row r="50" spans="1:112" x14ac:dyDescent="0.25">
      <c r="A50" s="6">
        <v>46181</v>
      </c>
      <c r="B50" s="7">
        <v>0.29166666655510198</v>
      </c>
      <c r="C50" s="3" t="s">
        <v>3</v>
      </c>
      <c r="D50" s="3" t="s">
        <v>6</v>
      </c>
      <c r="E50" s="3" t="s">
        <v>86</v>
      </c>
      <c r="F50" s="13">
        <f>SUM(IFERROR(VLOOKUP($C:$C,Structure!$A:$AJ,F$1,0)*15,0),IFERROR(VLOOKUP($D:$D,Structure!$A:$AJ,F$1,0)*15,0),IFERROR(VLOOKUP($E:$E,Structure!$A:$AJ,F$1,0)*15,0))</f>
        <v>0</v>
      </c>
      <c r="G50" s="13">
        <f>SUM(IFERROR(VLOOKUP($C:$C,Structure!$A:$AJ,G$1,0)*15,0),IFERROR(VLOOKUP($D:$D,Structure!$A:$AJ,G$1,0)*15,0),IFERROR(VLOOKUP($E:$E,Structure!$A:$AJ,G$1,0)*15,0))</f>
        <v>0</v>
      </c>
      <c r="H50" s="13">
        <f>SUM(IFERROR(VLOOKUP($C:$C,Structure!$A:$AJ,H$1,0)*15,0),IFERROR(VLOOKUP($D:$D,Structure!$A:$AJ,H$1,0)*15,0),IFERROR(VLOOKUP($E:$E,Structure!$A:$AJ,H$1,0)*15,0))</f>
        <v>0</v>
      </c>
      <c r="I50" s="13">
        <f>SUM(IFERROR(VLOOKUP($C:$C,Structure!$A:$AJ,I$1,0)*15,0),IFERROR(VLOOKUP($D:$D,Structure!$A:$AJ,I$1,0)*15,0),IFERROR(VLOOKUP($E:$E,Structure!$A:$AJ,I$1,0)*15,0))</f>
        <v>0</v>
      </c>
      <c r="J50" s="13">
        <f>SUM(IFERROR(VLOOKUP($C:$C,Structure!$A:$AJ,J$1,0)*15,0),IFERROR(VLOOKUP($D:$D,Structure!$A:$AJ,J$1,0)*15,0),IFERROR(VLOOKUP($E:$E,Structure!$A:$AJ,J$1,0)*15,0))</f>
        <v>0</v>
      </c>
      <c r="K50" s="13">
        <f>SUM(IFERROR(VLOOKUP($C:$C,Structure!$A:$AJ,K$1,0)*15,0),IFERROR(VLOOKUP($D:$D,Structure!$A:$AJ,K$1,0)*15,0),IFERROR(VLOOKUP($E:$E,Structure!$A:$AJ,K$1,0)*15,0))</f>
        <v>0</v>
      </c>
      <c r="L50" s="13">
        <f>SUM(IFERROR(VLOOKUP($C:$C,Structure!$A:$AJ,L$1,0)*15,0),IFERROR(VLOOKUP($D:$D,Structure!$A:$AJ,L$1,0)*15,0),IFERROR(VLOOKUP($E:$E,Structure!$A:$AJ,L$1,0)*15,0))</f>
        <v>0</v>
      </c>
      <c r="M50" s="13">
        <f>SUM(IFERROR(VLOOKUP($C:$C,Structure!$A:$AJ,M$1,0)*15,0),IFERROR(VLOOKUP($D:$D,Structure!$A:$AJ,M$1,0)*15,0),IFERROR(VLOOKUP($E:$E,Structure!$A:$AJ,M$1,0)*15,0))</f>
        <v>0</v>
      </c>
      <c r="N50" s="13">
        <f>SUM(IFERROR(VLOOKUP($C:$C,Structure!$A:$AJ,N$1,0)*15,0),IFERROR(VLOOKUP($D:$D,Structure!$A:$AJ,N$1,0)*15,0),IFERROR(VLOOKUP($E:$E,Structure!$A:$AJ,N$1,0)*15,0))</f>
        <v>0</v>
      </c>
      <c r="O50" s="13">
        <f>SUM(IFERROR(VLOOKUP($C:$C,Structure!$A:$AJ,O$1,0)*15,0),IFERROR(VLOOKUP($D:$D,Structure!$A:$AJ,O$1,0)*15,0),IFERROR(VLOOKUP($E:$E,Structure!$A:$AJ,O$1,0)*15,0))</f>
        <v>0</v>
      </c>
      <c r="P50" s="13">
        <f>SUM(IFERROR(VLOOKUP($C:$C,Structure!$A:$AJ,P$1,0)*15,0),IFERROR(VLOOKUP($D:$D,Structure!$A:$AJ,P$1,0)*15,0),IFERROR(VLOOKUP($E:$E,Structure!$A:$AJ,P$1,0)*15,0))</f>
        <v>0</v>
      </c>
      <c r="Q50" s="13">
        <f>SUM(IFERROR(VLOOKUP($C:$C,Structure!$A:$AJ,Q$1,0)*15,0),IFERROR(VLOOKUP($D:$D,Structure!$A:$AJ,Q$1,0)*15,0),IFERROR(VLOOKUP($E:$E,Structure!$A:$AJ,Q$1,0)*15,0))</f>
        <v>0</v>
      </c>
      <c r="R50" s="13">
        <f>SUM(IFERROR(VLOOKUP($C:$C,Structure!$A:$AJ,R$1,0)*15,0),IFERROR(VLOOKUP($D:$D,Structure!$A:$AJ,R$1,0)*15,0),IFERROR(VLOOKUP($E:$E,Structure!$A:$AJ,R$1,0)*15,0))</f>
        <v>0</v>
      </c>
      <c r="S50" s="13">
        <f>SUM(IFERROR(VLOOKUP($C:$C,Structure!$A:$AJ,S$1,0)*15,0),IFERROR(VLOOKUP($D:$D,Structure!$A:$AJ,S$1,0)*15,0),IFERROR(VLOOKUP($E:$E,Structure!$A:$AJ,S$1,0)*15,0))</f>
        <v>0</v>
      </c>
      <c r="T50" s="13">
        <f>SUM(IFERROR(VLOOKUP($C:$C,Structure!$A:$AJ,T$1,0)*15,0),IFERROR(VLOOKUP($D:$D,Structure!$A:$AJ,T$1,0)*15,0),IFERROR(VLOOKUP($E:$E,Structure!$A:$AJ,T$1,0)*15,0))</f>
        <v>0</v>
      </c>
      <c r="U50" s="13">
        <f>SUM(IFERROR(VLOOKUP($C:$C,Structure!$A:$AJ,U$1,0)*15,0),IFERROR(VLOOKUP($D:$D,Structure!$A:$AJ,U$1,0)*15,0),IFERROR(VLOOKUP($E:$E,Structure!$A:$AJ,U$1,0)*15,0))</f>
        <v>0</v>
      </c>
      <c r="V50" s="13">
        <f>SUM(IFERROR(VLOOKUP($C:$C,Structure!$A:$AJ,V$1,0)*15,0),IFERROR(VLOOKUP($D:$D,Structure!$A:$AJ,V$1,0)*15,0),IFERROR(VLOOKUP($E:$E,Structure!$A:$AJ,V$1,0)*15,0))</f>
        <v>0</v>
      </c>
      <c r="W50" s="13">
        <f>SUM(IFERROR(VLOOKUP($C:$C,Structure!$A:$AJ,W$1,0)*15,0),IFERROR(VLOOKUP($D:$D,Structure!$A:$AJ,W$1,0)*15,0),IFERROR(VLOOKUP($E:$E,Structure!$A:$AJ,W$1,0)*15,0))</f>
        <v>0</v>
      </c>
      <c r="X50" s="13">
        <f>SUM(IFERROR(VLOOKUP($C:$C,Structure!$A:$AJ,X$1,0)*15,0),IFERROR(VLOOKUP($D:$D,Structure!$A:$AJ,X$1,0)*15,0),IFERROR(VLOOKUP($E:$E,Structure!$A:$AJ,X$1,0)*15,0))</f>
        <v>0</v>
      </c>
      <c r="Y50" s="13">
        <f>SUM(IFERROR(VLOOKUP($C:$C,Structure!$A:$AJ,Y$1,0)*15,0),IFERROR(VLOOKUP($D:$D,Structure!$A:$AJ,Y$1,0)*15,0),IFERROR(VLOOKUP($E:$E,Structure!$A:$AJ,Y$1,0)*15,0))</f>
        <v>0</v>
      </c>
      <c r="Z50" s="13">
        <f>SUM(IFERROR(VLOOKUP($C:$C,Structure!$A:$AJ,Z$1,0)*15,0),IFERROR(VLOOKUP($D:$D,Structure!$A:$AJ,Z$1,0)*15,0),IFERROR(VLOOKUP($E:$E,Structure!$A:$AJ,Z$1,0)*15,0))</f>
        <v>0</v>
      </c>
      <c r="AA50" s="13">
        <f>SUM(IFERROR(VLOOKUP($C:$C,Structure!$A:$AJ,AA$1,0)*15,0),IFERROR(VLOOKUP($D:$D,Structure!$A:$AJ,AA$1,0)*15,0),IFERROR(VLOOKUP($E:$E,Structure!$A:$AJ,AA$1,0)*15,0))</f>
        <v>30</v>
      </c>
      <c r="AB50" s="13">
        <f>SUM(IFERROR(VLOOKUP($C:$C,Structure!$A:$AJ,AB$1,0)*15,0),IFERROR(VLOOKUP($D:$D,Structure!$A:$AJ,AB$1,0)*15,0),IFERROR(VLOOKUP($E:$E,Structure!$A:$AJ,AB$1,0)*15,0))</f>
        <v>0</v>
      </c>
      <c r="AC50" s="13">
        <f>SUM(IFERROR(VLOOKUP($C:$C,Structure!$A:$AJ,AC$1,0)*15,0),IFERROR(VLOOKUP($D:$D,Structure!$A:$AJ,AC$1,0)*15,0),IFERROR(VLOOKUP($E:$E,Structure!$A:$AJ,AC$1,0)*15,0))</f>
        <v>15</v>
      </c>
      <c r="AD50" s="13">
        <f>SUM(IFERROR(VLOOKUP($C:$C,Structure!$A:$AJ,AD$1,0)*15,0),IFERROR(VLOOKUP($D:$D,Structure!$A:$AJ,AD$1,0)*15,0),IFERROR(VLOOKUP($E:$E,Structure!$A:$AJ,AD$1,0)*15,0))</f>
        <v>0</v>
      </c>
      <c r="AE50" s="13">
        <f>SUM(IFERROR(VLOOKUP($C:$C,Structure!$A:$AJ,AE$1,0)*15,0),IFERROR(VLOOKUP($D:$D,Structure!$A:$AJ,AE$1,0)*15,0),IFERROR(VLOOKUP($E:$E,Structure!$A:$AJ,AE$1,0)*15,0))</f>
        <v>0</v>
      </c>
      <c r="AF50" s="13">
        <f>SUM(IFERROR(VLOOKUP($C:$C,Structure!$A:$AJ,AF$1,0)*15,0),IFERROR(VLOOKUP($D:$D,Structure!$A:$AJ,AF$1,0)*15,0),IFERROR(VLOOKUP($E:$E,Structure!$A:$AJ,AF$1,0)*15,0))</f>
        <v>0</v>
      </c>
      <c r="AG50" s="13">
        <f>SUM(IFERROR(VLOOKUP($C:$C,Structure!$A:$AJ,AG$1,0)*15,0),IFERROR(VLOOKUP($D:$D,Structure!$A:$AJ,AG$1,0)*15,0),IFERROR(VLOOKUP($E:$E,Structure!$A:$AJ,AG$1,0)*15,0))</f>
        <v>0</v>
      </c>
      <c r="AH50" s="13">
        <f>SUM(IFERROR(VLOOKUP($C:$C,Structure!$A:$AJ,AH$1,0)*15,0),IFERROR(VLOOKUP($D:$D,Structure!$A:$AJ,AH$1,0)*15,0),IFERROR(VLOOKUP($E:$E,Structure!$A:$AJ,AH$1,0)*15,0))</f>
        <v>0</v>
      </c>
      <c r="AI50" s="13">
        <f>SUM(IFERROR(VLOOKUP($C:$C,Structure!$A:$AJ,AI$1,0)*15,0),IFERROR(VLOOKUP($D:$D,Structure!$A:$AJ,AI$1,0)*15,0),IFERROR(VLOOKUP($E:$E,Structure!$A:$AJ,AI$1,0)*15,0))</f>
        <v>0</v>
      </c>
      <c r="AJ50" s="13">
        <f>SUM(IFERROR(VLOOKUP($C:$C,Structure!$A:$AJ,AJ$1,0)*15,0),IFERROR(VLOOKUP($D:$D,Structure!$A:$AJ,AJ$1,0)*15,0),IFERROR(VLOOKUP($E:$E,Structure!$A:$AJ,AJ$1,0)*15,0))</f>
        <v>15</v>
      </c>
      <c r="AK50" s="13">
        <f>SUM(IFERROR(VLOOKUP($C:$C,Structure!$A:$AJ,AK$1,0)*15,0),IFERROR(VLOOKUP($D:$D,Structure!$A:$AJ,AK$1,0)*15,0),IFERROR(VLOOKUP($E:$E,Structure!$A:$AJ,AK$1,0)*15,0))</f>
        <v>15</v>
      </c>
      <c r="AL50" s="13">
        <f>SUM(IFERROR(VLOOKUP($C:$C,Structure!$A:$AJ,AL$1,0)*15,0),IFERROR(VLOOKUP($D:$D,Structure!$A:$AJ,AL$1,0)*15,0),IFERROR(VLOOKUP($E:$E,Structure!$A:$AJ,AL$1,0)*15,0))</f>
        <v>0</v>
      </c>
      <c r="AM50" s="13">
        <f>SUM(IFERROR(VLOOKUP($C:$C,Structure!$A:$AJ,AM$1,0)*15,0),IFERROR(VLOOKUP($D:$D,Structure!$A:$AJ,AM$1,0)*15,0),IFERROR(VLOOKUP($E:$E,Structure!$A:$AJ,AM$1,0)*15,0))</f>
        <v>15</v>
      </c>
      <c r="AN50" s="13">
        <f>SUM(IFERROR(VLOOKUP($C:$C,Structure!$A:$AJ,AN$1,0)*15,0),IFERROR(VLOOKUP($D:$D,Structure!$A:$AJ,AN$1,0)*15,0),IFERROR(VLOOKUP($E:$E,Structure!$A:$AJ,AN$1,0)*15,0))</f>
        <v>0</v>
      </c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3"/>
      <c r="BZ50" s="4">
        <f>BZ49+AQ50-F50</f>
        <v>0</v>
      </c>
      <c r="CA50" s="4">
        <f>CA49+AR50-G50</f>
        <v>0</v>
      </c>
      <c r="CB50" s="4">
        <f>CB49+AS50-H50</f>
        <v>0</v>
      </c>
      <c r="CC50" s="4">
        <f>CC49+AT50-I50</f>
        <v>0</v>
      </c>
      <c r="CD50" s="4">
        <f>CD49+AU50-J50</f>
        <v>0</v>
      </c>
      <c r="CE50" s="4">
        <f>CE49+AV50-K50</f>
        <v>0</v>
      </c>
      <c r="CF50" s="4">
        <f>CF49+AW50-L50</f>
        <v>0</v>
      </c>
      <c r="CG50" s="4">
        <f>CG49+AX50-M50</f>
        <v>0</v>
      </c>
      <c r="CH50" s="4">
        <f>CH49+AY50-N50</f>
        <v>0</v>
      </c>
      <c r="CI50" s="4">
        <f>CI49+AZ50-O50</f>
        <v>0</v>
      </c>
      <c r="CJ50" s="4">
        <f>CJ49+BA50-P50</f>
        <v>0</v>
      </c>
      <c r="CK50" s="4">
        <f>CK49+BB50-Q50</f>
        <v>0</v>
      </c>
      <c r="CL50" s="4">
        <f>CL49+BC50-R50</f>
        <v>0</v>
      </c>
      <c r="CM50" s="4">
        <f>CM49+BD50-S50</f>
        <v>0</v>
      </c>
      <c r="CN50" s="4">
        <f>CN49+BE50-T50</f>
        <v>0</v>
      </c>
      <c r="CO50" s="4">
        <f>CO49+BF50-U50</f>
        <v>0</v>
      </c>
      <c r="CP50" s="4">
        <f>CP49+BG50-V50</f>
        <v>0</v>
      </c>
      <c r="CQ50" s="4">
        <f>CQ49+BH50-W50</f>
        <v>0</v>
      </c>
      <c r="CR50" s="4">
        <f>CR49+BI50-X50</f>
        <v>0</v>
      </c>
      <c r="CS50" s="4">
        <f>CS49+BJ50-Y50</f>
        <v>0</v>
      </c>
      <c r="CT50" s="4">
        <f>CT49+BK50-Z50</f>
        <v>0</v>
      </c>
      <c r="CU50" s="4">
        <f>CU49+BL50-AA50</f>
        <v>-1835</v>
      </c>
      <c r="CV50" s="4">
        <f>CV49+BM50-AB50</f>
        <v>-165</v>
      </c>
      <c r="CW50" s="4">
        <f>CW49+BN50-AC50</f>
        <v>-60</v>
      </c>
      <c r="CX50" s="4">
        <f>CX49+BO50-AD50</f>
        <v>0</v>
      </c>
      <c r="CY50" s="4">
        <f>CY49+BP50-AE50</f>
        <v>0</v>
      </c>
      <c r="CZ50" s="4">
        <f>CZ49+BQ50-AF50</f>
        <v>-85</v>
      </c>
      <c r="DA50" s="4">
        <f>DA49+BR50-AG50</f>
        <v>0</v>
      </c>
      <c r="DB50" s="4">
        <f>DB49+BS50-AH50</f>
        <v>0</v>
      </c>
      <c r="DC50" s="4">
        <f>DC49+BT50-AI50</f>
        <v>0</v>
      </c>
      <c r="DD50" s="4">
        <f>DD49+BU50-AJ50</f>
        <v>-1390</v>
      </c>
      <c r="DE50" s="4">
        <f>DE49+BV50-AK50</f>
        <v>-465</v>
      </c>
      <c r="DF50" s="4">
        <f>DF49+BW50-AL50</f>
        <v>0</v>
      </c>
      <c r="DG50" s="4">
        <f>DG49+BX50-AM50</f>
        <v>-40</v>
      </c>
      <c r="DH50" s="4">
        <f>DH49+BY50-AN50</f>
        <v>0</v>
      </c>
    </row>
    <row r="51" spans="1:112" x14ac:dyDescent="0.25">
      <c r="A51" s="6">
        <v>46181</v>
      </c>
      <c r="B51" s="7">
        <v>0.33333333321934333</v>
      </c>
      <c r="C51" s="3" t="s">
        <v>3</v>
      </c>
      <c r="D51" s="3" t="s">
        <v>6</v>
      </c>
      <c r="E51" s="3" t="s">
        <v>86</v>
      </c>
      <c r="F51" s="13">
        <f>SUM(IFERROR(VLOOKUP($C:$C,Structure!$A:$AJ,F$1,0)*15,0),IFERROR(VLOOKUP($D:$D,Structure!$A:$AJ,F$1,0)*15,0),IFERROR(VLOOKUP($E:$E,Structure!$A:$AJ,F$1,0)*15,0))</f>
        <v>0</v>
      </c>
      <c r="G51" s="13">
        <f>SUM(IFERROR(VLOOKUP($C:$C,Structure!$A:$AJ,G$1,0)*15,0),IFERROR(VLOOKUP($D:$D,Structure!$A:$AJ,G$1,0)*15,0),IFERROR(VLOOKUP($E:$E,Structure!$A:$AJ,G$1,0)*15,0))</f>
        <v>0</v>
      </c>
      <c r="H51" s="13">
        <f>SUM(IFERROR(VLOOKUP($C:$C,Structure!$A:$AJ,H$1,0)*15,0),IFERROR(VLOOKUP($D:$D,Structure!$A:$AJ,H$1,0)*15,0),IFERROR(VLOOKUP($E:$E,Structure!$A:$AJ,H$1,0)*15,0))</f>
        <v>0</v>
      </c>
      <c r="I51" s="13">
        <f>SUM(IFERROR(VLOOKUP($C:$C,Structure!$A:$AJ,I$1,0)*15,0),IFERROR(VLOOKUP($D:$D,Structure!$A:$AJ,I$1,0)*15,0),IFERROR(VLOOKUP($E:$E,Structure!$A:$AJ,I$1,0)*15,0))</f>
        <v>0</v>
      </c>
      <c r="J51" s="13">
        <f>SUM(IFERROR(VLOOKUP($C:$C,Structure!$A:$AJ,J$1,0)*15,0),IFERROR(VLOOKUP($D:$D,Structure!$A:$AJ,J$1,0)*15,0),IFERROR(VLOOKUP($E:$E,Structure!$A:$AJ,J$1,0)*15,0))</f>
        <v>0</v>
      </c>
      <c r="K51" s="13">
        <f>SUM(IFERROR(VLOOKUP($C:$C,Structure!$A:$AJ,K$1,0)*15,0),IFERROR(VLOOKUP($D:$D,Structure!$A:$AJ,K$1,0)*15,0),IFERROR(VLOOKUP($E:$E,Structure!$A:$AJ,K$1,0)*15,0))</f>
        <v>0</v>
      </c>
      <c r="L51" s="13">
        <f>SUM(IFERROR(VLOOKUP($C:$C,Structure!$A:$AJ,L$1,0)*15,0),IFERROR(VLOOKUP($D:$D,Structure!$A:$AJ,L$1,0)*15,0),IFERROR(VLOOKUP($E:$E,Structure!$A:$AJ,L$1,0)*15,0))</f>
        <v>0</v>
      </c>
      <c r="M51" s="13">
        <f>SUM(IFERROR(VLOOKUP($C:$C,Structure!$A:$AJ,M$1,0)*15,0),IFERROR(VLOOKUP($D:$D,Structure!$A:$AJ,M$1,0)*15,0),IFERROR(VLOOKUP($E:$E,Structure!$A:$AJ,M$1,0)*15,0))</f>
        <v>0</v>
      </c>
      <c r="N51" s="13">
        <f>SUM(IFERROR(VLOOKUP($C:$C,Structure!$A:$AJ,N$1,0)*15,0),IFERROR(VLOOKUP($D:$D,Structure!$A:$AJ,N$1,0)*15,0),IFERROR(VLOOKUP($E:$E,Structure!$A:$AJ,N$1,0)*15,0))</f>
        <v>0</v>
      </c>
      <c r="O51" s="13">
        <f>SUM(IFERROR(VLOOKUP($C:$C,Structure!$A:$AJ,O$1,0)*15,0),IFERROR(VLOOKUP($D:$D,Structure!$A:$AJ,O$1,0)*15,0),IFERROR(VLOOKUP($E:$E,Structure!$A:$AJ,O$1,0)*15,0))</f>
        <v>0</v>
      </c>
      <c r="P51" s="13">
        <f>SUM(IFERROR(VLOOKUP($C:$C,Structure!$A:$AJ,P$1,0)*15,0),IFERROR(VLOOKUP($D:$D,Structure!$A:$AJ,P$1,0)*15,0),IFERROR(VLOOKUP($E:$E,Structure!$A:$AJ,P$1,0)*15,0))</f>
        <v>0</v>
      </c>
      <c r="Q51" s="13">
        <f>SUM(IFERROR(VLOOKUP($C:$C,Structure!$A:$AJ,Q$1,0)*15,0),IFERROR(VLOOKUP($D:$D,Structure!$A:$AJ,Q$1,0)*15,0),IFERROR(VLOOKUP($E:$E,Structure!$A:$AJ,Q$1,0)*15,0))</f>
        <v>0</v>
      </c>
      <c r="R51" s="13">
        <f>SUM(IFERROR(VLOOKUP($C:$C,Structure!$A:$AJ,R$1,0)*15,0),IFERROR(VLOOKUP($D:$D,Structure!$A:$AJ,R$1,0)*15,0),IFERROR(VLOOKUP($E:$E,Structure!$A:$AJ,R$1,0)*15,0))</f>
        <v>0</v>
      </c>
      <c r="S51" s="13">
        <f>SUM(IFERROR(VLOOKUP($C:$C,Structure!$A:$AJ,S$1,0)*15,0),IFERROR(VLOOKUP($D:$D,Structure!$A:$AJ,S$1,0)*15,0),IFERROR(VLOOKUP($E:$E,Structure!$A:$AJ,S$1,0)*15,0))</f>
        <v>0</v>
      </c>
      <c r="T51" s="13">
        <f>SUM(IFERROR(VLOOKUP($C:$C,Structure!$A:$AJ,T$1,0)*15,0),IFERROR(VLOOKUP($D:$D,Structure!$A:$AJ,T$1,0)*15,0),IFERROR(VLOOKUP($E:$E,Structure!$A:$AJ,T$1,0)*15,0))</f>
        <v>0</v>
      </c>
      <c r="U51" s="13">
        <f>SUM(IFERROR(VLOOKUP($C:$C,Structure!$A:$AJ,U$1,0)*15,0),IFERROR(VLOOKUP($D:$D,Structure!$A:$AJ,U$1,0)*15,0),IFERROR(VLOOKUP($E:$E,Structure!$A:$AJ,U$1,0)*15,0))</f>
        <v>0</v>
      </c>
      <c r="V51" s="13">
        <f>SUM(IFERROR(VLOOKUP($C:$C,Structure!$A:$AJ,V$1,0)*15,0),IFERROR(VLOOKUP($D:$D,Structure!$A:$AJ,V$1,0)*15,0),IFERROR(VLOOKUP($E:$E,Structure!$A:$AJ,V$1,0)*15,0))</f>
        <v>0</v>
      </c>
      <c r="W51" s="13">
        <f>SUM(IFERROR(VLOOKUP($C:$C,Structure!$A:$AJ,W$1,0)*15,0),IFERROR(VLOOKUP($D:$D,Structure!$A:$AJ,W$1,0)*15,0),IFERROR(VLOOKUP($E:$E,Structure!$A:$AJ,W$1,0)*15,0))</f>
        <v>0</v>
      </c>
      <c r="X51" s="13">
        <f>SUM(IFERROR(VLOOKUP($C:$C,Structure!$A:$AJ,X$1,0)*15,0),IFERROR(VLOOKUP($D:$D,Structure!$A:$AJ,X$1,0)*15,0),IFERROR(VLOOKUP($E:$E,Structure!$A:$AJ,X$1,0)*15,0))</f>
        <v>0</v>
      </c>
      <c r="Y51" s="13">
        <f>SUM(IFERROR(VLOOKUP($C:$C,Structure!$A:$AJ,Y$1,0)*15,0),IFERROR(VLOOKUP($D:$D,Structure!$A:$AJ,Y$1,0)*15,0),IFERROR(VLOOKUP($E:$E,Structure!$A:$AJ,Y$1,0)*15,0))</f>
        <v>0</v>
      </c>
      <c r="Z51" s="13">
        <f>SUM(IFERROR(VLOOKUP($C:$C,Structure!$A:$AJ,Z$1,0)*15,0),IFERROR(VLOOKUP($D:$D,Structure!$A:$AJ,Z$1,0)*15,0),IFERROR(VLOOKUP($E:$E,Structure!$A:$AJ,Z$1,0)*15,0))</f>
        <v>0</v>
      </c>
      <c r="AA51" s="13">
        <f>SUM(IFERROR(VLOOKUP($C:$C,Structure!$A:$AJ,AA$1,0)*15,0),IFERROR(VLOOKUP($D:$D,Structure!$A:$AJ,AA$1,0)*15,0),IFERROR(VLOOKUP($E:$E,Structure!$A:$AJ,AA$1,0)*15,0))</f>
        <v>30</v>
      </c>
      <c r="AB51" s="13">
        <f>SUM(IFERROR(VLOOKUP($C:$C,Structure!$A:$AJ,AB$1,0)*15,0),IFERROR(VLOOKUP($D:$D,Structure!$A:$AJ,AB$1,0)*15,0),IFERROR(VLOOKUP($E:$E,Structure!$A:$AJ,AB$1,0)*15,0))</f>
        <v>0</v>
      </c>
      <c r="AC51" s="13">
        <f>SUM(IFERROR(VLOOKUP($C:$C,Structure!$A:$AJ,AC$1,0)*15,0),IFERROR(VLOOKUP($D:$D,Structure!$A:$AJ,AC$1,0)*15,0),IFERROR(VLOOKUP($E:$E,Structure!$A:$AJ,AC$1,0)*15,0))</f>
        <v>15</v>
      </c>
      <c r="AD51" s="13">
        <f>SUM(IFERROR(VLOOKUP($C:$C,Structure!$A:$AJ,AD$1,0)*15,0),IFERROR(VLOOKUP($D:$D,Structure!$A:$AJ,AD$1,0)*15,0),IFERROR(VLOOKUP($E:$E,Structure!$A:$AJ,AD$1,0)*15,0))</f>
        <v>0</v>
      </c>
      <c r="AE51" s="13">
        <f>SUM(IFERROR(VLOOKUP($C:$C,Structure!$A:$AJ,AE$1,0)*15,0),IFERROR(VLOOKUP($D:$D,Structure!$A:$AJ,AE$1,0)*15,0),IFERROR(VLOOKUP($E:$E,Structure!$A:$AJ,AE$1,0)*15,0))</f>
        <v>0</v>
      </c>
      <c r="AF51" s="13">
        <f>SUM(IFERROR(VLOOKUP($C:$C,Structure!$A:$AJ,AF$1,0)*15,0),IFERROR(VLOOKUP($D:$D,Structure!$A:$AJ,AF$1,0)*15,0),IFERROR(VLOOKUP($E:$E,Structure!$A:$AJ,AF$1,0)*15,0))</f>
        <v>0</v>
      </c>
      <c r="AG51" s="13">
        <f>SUM(IFERROR(VLOOKUP($C:$C,Structure!$A:$AJ,AG$1,0)*15,0),IFERROR(VLOOKUP($D:$D,Structure!$A:$AJ,AG$1,0)*15,0),IFERROR(VLOOKUP($E:$E,Structure!$A:$AJ,AG$1,0)*15,0))</f>
        <v>0</v>
      </c>
      <c r="AH51" s="13">
        <f>SUM(IFERROR(VLOOKUP($C:$C,Structure!$A:$AJ,AH$1,0)*15,0),IFERROR(VLOOKUP($D:$D,Structure!$A:$AJ,AH$1,0)*15,0),IFERROR(VLOOKUP($E:$E,Structure!$A:$AJ,AH$1,0)*15,0))</f>
        <v>0</v>
      </c>
      <c r="AI51" s="13">
        <f>SUM(IFERROR(VLOOKUP($C:$C,Structure!$A:$AJ,AI$1,0)*15,0),IFERROR(VLOOKUP($D:$D,Structure!$A:$AJ,AI$1,0)*15,0),IFERROR(VLOOKUP($E:$E,Structure!$A:$AJ,AI$1,0)*15,0))</f>
        <v>0</v>
      </c>
      <c r="AJ51" s="13">
        <f>SUM(IFERROR(VLOOKUP($C:$C,Structure!$A:$AJ,AJ$1,0)*15,0),IFERROR(VLOOKUP($D:$D,Structure!$A:$AJ,AJ$1,0)*15,0),IFERROR(VLOOKUP($E:$E,Structure!$A:$AJ,AJ$1,0)*15,0))</f>
        <v>15</v>
      </c>
      <c r="AK51" s="13">
        <f>SUM(IFERROR(VLOOKUP($C:$C,Structure!$A:$AJ,AK$1,0)*15,0),IFERROR(VLOOKUP($D:$D,Structure!$A:$AJ,AK$1,0)*15,0),IFERROR(VLOOKUP($E:$E,Structure!$A:$AJ,AK$1,0)*15,0))</f>
        <v>15</v>
      </c>
      <c r="AL51" s="13">
        <f>SUM(IFERROR(VLOOKUP($C:$C,Structure!$A:$AJ,AL$1,0)*15,0),IFERROR(VLOOKUP($D:$D,Structure!$A:$AJ,AL$1,0)*15,0),IFERROR(VLOOKUP($E:$E,Structure!$A:$AJ,AL$1,0)*15,0))</f>
        <v>0</v>
      </c>
      <c r="AM51" s="13">
        <f>SUM(IFERROR(VLOOKUP($C:$C,Structure!$A:$AJ,AM$1,0)*15,0),IFERROR(VLOOKUP($D:$D,Structure!$A:$AJ,AM$1,0)*15,0),IFERROR(VLOOKUP($E:$E,Structure!$A:$AJ,AM$1,0)*15,0))</f>
        <v>15</v>
      </c>
      <c r="AN51" s="13">
        <f>SUM(IFERROR(VLOOKUP($C:$C,Structure!$A:$AJ,AN$1,0)*15,0),IFERROR(VLOOKUP($D:$D,Structure!$A:$AJ,AN$1,0)*15,0),IFERROR(VLOOKUP($E:$E,Structure!$A:$AJ,AN$1,0)*15,0))</f>
        <v>0</v>
      </c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3"/>
      <c r="BZ51" s="4">
        <f>BZ50+AQ51-F51</f>
        <v>0</v>
      </c>
      <c r="CA51" s="4">
        <f>CA50+AR51-G51</f>
        <v>0</v>
      </c>
      <c r="CB51" s="4">
        <f>CB50+AS51-H51</f>
        <v>0</v>
      </c>
      <c r="CC51" s="4">
        <f>CC50+AT51-I51</f>
        <v>0</v>
      </c>
      <c r="CD51" s="4">
        <f>CD50+AU51-J51</f>
        <v>0</v>
      </c>
      <c r="CE51" s="4">
        <f>CE50+AV51-K51</f>
        <v>0</v>
      </c>
      <c r="CF51" s="4">
        <f>CF50+AW51-L51</f>
        <v>0</v>
      </c>
      <c r="CG51" s="4">
        <f>CG50+AX51-M51</f>
        <v>0</v>
      </c>
      <c r="CH51" s="4">
        <f>CH50+AY51-N51</f>
        <v>0</v>
      </c>
      <c r="CI51" s="4">
        <f>CI50+AZ51-O51</f>
        <v>0</v>
      </c>
      <c r="CJ51" s="4">
        <f>CJ50+BA51-P51</f>
        <v>0</v>
      </c>
      <c r="CK51" s="4">
        <f>CK50+BB51-Q51</f>
        <v>0</v>
      </c>
      <c r="CL51" s="4">
        <f>CL50+BC51-R51</f>
        <v>0</v>
      </c>
      <c r="CM51" s="4">
        <f>CM50+BD51-S51</f>
        <v>0</v>
      </c>
      <c r="CN51" s="4">
        <f>CN50+BE51-T51</f>
        <v>0</v>
      </c>
      <c r="CO51" s="4">
        <f>CO50+BF51-U51</f>
        <v>0</v>
      </c>
      <c r="CP51" s="4">
        <f>CP50+BG51-V51</f>
        <v>0</v>
      </c>
      <c r="CQ51" s="4">
        <f>CQ50+BH51-W51</f>
        <v>0</v>
      </c>
      <c r="CR51" s="4">
        <f>CR50+BI51-X51</f>
        <v>0</v>
      </c>
      <c r="CS51" s="4">
        <f>CS50+BJ51-Y51</f>
        <v>0</v>
      </c>
      <c r="CT51" s="4">
        <f>CT50+BK51-Z51</f>
        <v>0</v>
      </c>
      <c r="CU51" s="4">
        <f>CU50+BL51-AA51</f>
        <v>-1865</v>
      </c>
      <c r="CV51" s="4">
        <f>CV50+BM51-AB51</f>
        <v>-165</v>
      </c>
      <c r="CW51" s="4">
        <f>CW50+BN51-AC51</f>
        <v>-75</v>
      </c>
      <c r="CX51" s="4">
        <f>CX50+BO51-AD51</f>
        <v>0</v>
      </c>
      <c r="CY51" s="4">
        <f>CY50+BP51-AE51</f>
        <v>0</v>
      </c>
      <c r="CZ51" s="4">
        <f>CZ50+BQ51-AF51</f>
        <v>-85</v>
      </c>
      <c r="DA51" s="4">
        <f>DA50+BR51-AG51</f>
        <v>0</v>
      </c>
      <c r="DB51" s="4">
        <f>DB50+BS51-AH51</f>
        <v>0</v>
      </c>
      <c r="DC51" s="4">
        <f>DC50+BT51-AI51</f>
        <v>0</v>
      </c>
      <c r="DD51" s="4">
        <f>DD50+BU51-AJ51</f>
        <v>-1405</v>
      </c>
      <c r="DE51" s="4">
        <f>DE50+BV51-AK51</f>
        <v>-480</v>
      </c>
      <c r="DF51" s="4">
        <f>DF50+BW51-AL51</f>
        <v>0</v>
      </c>
      <c r="DG51" s="4">
        <f>DG50+BX51-AM51</f>
        <v>-55</v>
      </c>
      <c r="DH51" s="4">
        <f>DH50+BY51-AN51</f>
        <v>0</v>
      </c>
    </row>
    <row r="52" spans="1:112" x14ac:dyDescent="0.25">
      <c r="A52" s="6">
        <v>46181</v>
      </c>
      <c r="B52" s="7">
        <v>0.37499999988358468</v>
      </c>
      <c r="C52" s="3" t="s">
        <v>3</v>
      </c>
      <c r="D52" s="3" t="s">
        <v>6</v>
      </c>
      <c r="E52" s="3" t="s">
        <v>86</v>
      </c>
      <c r="F52" s="13">
        <f>SUM(IFERROR(VLOOKUP($C:$C,Structure!$A:$AJ,F$1,0)*15,0),IFERROR(VLOOKUP($D:$D,Structure!$A:$AJ,F$1,0)*15,0),IFERROR(VLOOKUP($E:$E,Structure!$A:$AJ,F$1,0)*15,0))</f>
        <v>0</v>
      </c>
      <c r="G52" s="13">
        <f>SUM(IFERROR(VLOOKUP($C:$C,Structure!$A:$AJ,G$1,0)*15,0),IFERROR(VLOOKUP($D:$D,Structure!$A:$AJ,G$1,0)*15,0),IFERROR(VLOOKUP($E:$E,Structure!$A:$AJ,G$1,0)*15,0))</f>
        <v>0</v>
      </c>
      <c r="H52" s="13">
        <f>SUM(IFERROR(VLOOKUP($C:$C,Structure!$A:$AJ,H$1,0)*15,0),IFERROR(VLOOKUP($D:$D,Structure!$A:$AJ,H$1,0)*15,0),IFERROR(VLOOKUP($E:$E,Structure!$A:$AJ,H$1,0)*15,0))</f>
        <v>0</v>
      </c>
      <c r="I52" s="13">
        <f>SUM(IFERROR(VLOOKUP($C:$C,Structure!$A:$AJ,I$1,0)*15,0),IFERROR(VLOOKUP($D:$D,Structure!$A:$AJ,I$1,0)*15,0),IFERROR(VLOOKUP($E:$E,Structure!$A:$AJ,I$1,0)*15,0))</f>
        <v>0</v>
      </c>
      <c r="J52" s="13">
        <f>SUM(IFERROR(VLOOKUP($C:$C,Structure!$A:$AJ,J$1,0)*15,0),IFERROR(VLOOKUP($D:$D,Structure!$A:$AJ,J$1,0)*15,0),IFERROR(VLOOKUP($E:$E,Structure!$A:$AJ,J$1,0)*15,0))</f>
        <v>0</v>
      </c>
      <c r="K52" s="13">
        <f>SUM(IFERROR(VLOOKUP($C:$C,Structure!$A:$AJ,K$1,0)*15,0),IFERROR(VLOOKUP($D:$D,Structure!$A:$AJ,K$1,0)*15,0),IFERROR(VLOOKUP($E:$E,Structure!$A:$AJ,K$1,0)*15,0))</f>
        <v>0</v>
      </c>
      <c r="L52" s="13">
        <f>SUM(IFERROR(VLOOKUP($C:$C,Structure!$A:$AJ,L$1,0)*15,0),IFERROR(VLOOKUP($D:$D,Structure!$A:$AJ,L$1,0)*15,0),IFERROR(VLOOKUP($E:$E,Structure!$A:$AJ,L$1,0)*15,0))</f>
        <v>0</v>
      </c>
      <c r="M52" s="13">
        <f>SUM(IFERROR(VLOOKUP($C:$C,Structure!$A:$AJ,M$1,0)*15,0),IFERROR(VLOOKUP($D:$D,Structure!$A:$AJ,M$1,0)*15,0),IFERROR(VLOOKUP($E:$E,Structure!$A:$AJ,M$1,0)*15,0))</f>
        <v>0</v>
      </c>
      <c r="N52" s="13">
        <f>SUM(IFERROR(VLOOKUP($C:$C,Structure!$A:$AJ,N$1,0)*15,0),IFERROR(VLOOKUP($D:$D,Structure!$A:$AJ,N$1,0)*15,0),IFERROR(VLOOKUP($E:$E,Structure!$A:$AJ,N$1,0)*15,0))</f>
        <v>0</v>
      </c>
      <c r="O52" s="13">
        <f>SUM(IFERROR(VLOOKUP($C:$C,Structure!$A:$AJ,O$1,0)*15,0),IFERROR(VLOOKUP($D:$D,Structure!$A:$AJ,O$1,0)*15,0),IFERROR(VLOOKUP($E:$E,Structure!$A:$AJ,O$1,0)*15,0))</f>
        <v>0</v>
      </c>
      <c r="P52" s="13">
        <f>SUM(IFERROR(VLOOKUP($C:$C,Structure!$A:$AJ,P$1,0)*15,0),IFERROR(VLOOKUP($D:$D,Structure!$A:$AJ,P$1,0)*15,0),IFERROR(VLOOKUP($E:$E,Structure!$A:$AJ,P$1,0)*15,0))</f>
        <v>0</v>
      </c>
      <c r="Q52" s="13">
        <f>SUM(IFERROR(VLOOKUP($C:$C,Structure!$A:$AJ,Q$1,0)*15,0),IFERROR(VLOOKUP($D:$D,Structure!$A:$AJ,Q$1,0)*15,0),IFERROR(VLOOKUP($E:$E,Structure!$A:$AJ,Q$1,0)*15,0))</f>
        <v>0</v>
      </c>
      <c r="R52" s="13">
        <f>SUM(IFERROR(VLOOKUP($C:$C,Structure!$A:$AJ,R$1,0)*15,0),IFERROR(VLOOKUP($D:$D,Structure!$A:$AJ,R$1,0)*15,0),IFERROR(VLOOKUP($E:$E,Structure!$A:$AJ,R$1,0)*15,0))</f>
        <v>0</v>
      </c>
      <c r="S52" s="13">
        <f>SUM(IFERROR(VLOOKUP($C:$C,Structure!$A:$AJ,S$1,0)*15,0),IFERROR(VLOOKUP($D:$D,Structure!$A:$AJ,S$1,0)*15,0),IFERROR(VLOOKUP($E:$E,Structure!$A:$AJ,S$1,0)*15,0))</f>
        <v>0</v>
      </c>
      <c r="T52" s="13">
        <f>SUM(IFERROR(VLOOKUP($C:$C,Structure!$A:$AJ,T$1,0)*15,0),IFERROR(VLOOKUP($D:$D,Structure!$A:$AJ,T$1,0)*15,0),IFERROR(VLOOKUP($E:$E,Structure!$A:$AJ,T$1,0)*15,0))</f>
        <v>0</v>
      </c>
      <c r="U52" s="13">
        <f>SUM(IFERROR(VLOOKUP($C:$C,Structure!$A:$AJ,U$1,0)*15,0),IFERROR(VLOOKUP($D:$D,Structure!$A:$AJ,U$1,0)*15,0),IFERROR(VLOOKUP($E:$E,Structure!$A:$AJ,U$1,0)*15,0))</f>
        <v>0</v>
      </c>
      <c r="V52" s="13">
        <f>SUM(IFERROR(VLOOKUP($C:$C,Structure!$A:$AJ,V$1,0)*15,0),IFERROR(VLOOKUP($D:$D,Structure!$A:$AJ,V$1,0)*15,0),IFERROR(VLOOKUP($E:$E,Structure!$A:$AJ,V$1,0)*15,0))</f>
        <v>0</v>
      </c>
      <c r="W52" s="13">
        <f>SUM(IFERROR(VLOOKUP($C:$C,Structure!$A:$AJ,W$1,0)*15,0),IFERROR(VLOOKUP($D:$D,Structure!$A:$AJ,W$1,0)*15,0),IFERROR(VLOOKUP($E:$E,Structure!$A:$AJ,W$1,0)*15,0))</f>
        <v>0</v>
      </c>
      <c r="X52" s="13">
        <f>SUM(IFERROR(VLOOKUP($C:$C,Structure!$A:$AJ,X$1,0)*15,0),IFERROR(VLOOKUP($D:$D,Structure!$A:$AJ,X$1,0)*15,0),IFERROR(VLOOKUP($E:$E,Structure!$A:$AJ,X$1,0)*15,0))</f>
        <v>0</v>
      </c>
      <c r="Y52" s="13">
        <f>SUM(IFERROR(VLOOKUP($C:$C,Structure!$A:$AJ,Y$1,0)*15,0),IFERROR(VLOOKUP($D:$D,Structure!$A:$AJ,Y$1,0)*15,0),IFERROR(VLOOKUP($E:$E,Structure!$A:$AJ,Y$1,0)*15,0))</f>
        <v>0</v>
      </c>
      <c r="Z52" s="13">
        <f>SUM(IFERROR(VLOOKUP($C:$C,Structure!$A:$AJ,Z$1,0)*15,0),IFERROR(VLOOKUP($D:$D,Structure!$A:$AJ,Z$1,0)*15,0),IFERROR(VLOOKUP($E:$E,Structure!$A:$AJ,Z$1,0)*15,0))</f>
        <v>0</v>
      </c>
      <c r="AA52" s="13">
        <f>SUM(IFERROR(VLOOKUP($C:$C,Structure!$A:$AJ,AA$1,0)*15,0),IFERROR(VLOOKUP($D:$D,Structure!$A:$AJ,AA$1,0)*15,0),IFERROR(VLOOKUP($E:$E,Structure!$A:$AJ,AA$1,0)*15,0))</f>
        <v>30</v>
      </c>
      <c r="AB52" s="13">
        <f>SUM(IFERROR(VLOOKUP($C:$C,Structure!$A:$AJ,AB$1,0)*15,0),IFERROR(VLOOKUP($D:$D,Structure!$A:$AJ,AB$1,0)*15,0),IFERROR(VLOOKUP($E:$E,Structure!$A:$AJ,AB$1,0)*15,0))</f>
        <v>0</v>
      </c>
      <c r="AC52" s="13">
        <f>SUM(IFERROR(VLOOKUP($C:$C,Structure!$A:$AJ,AC$1,0)*15,0),IFERROR(VLOOKUP($D:$D,Structure!$A:$AJ,AC$1,0)*15,0),IFERROR(VLOOKUP($E:$E,Structure!$A:$AJ,AC$1,0)*15,0))</f>
        <v>15</v>
      </c>
      <c r="AD52" s="13">
        <f>SUM(IFERROR(VLOOKUP($C:$C,Structure!$A:$AJ,AD$1,0)*15,0),IFERROR(VLOOKUP($D:$D,Structure!$A:$AJ,AD$1,0)*15,0),IFERROR(VLOOKUP($E:$E,Structure!$A:$AJ,AD$1,0)*15,0))</f>
        <v>0</v>
      </c>
      <c r="AE52" s="13">
        <f>SUM(IFERROR(VLOOKUP($C:$C,Structure!$A:$AJ,AE$1,0)*15,0),IFERROR(VLOOKUP($D:$D,Structure!$A:$AJ,AE$1,0)*15,0),IFERROR(VLOOKUP($E:$E,Structure!$A:$AJ,AE$1,0)*15,0))</f>
        <v>0</v>
      </c>
      <c r="AF52" s="13">
        <f>SUM(IFERROR(VLOOKUP($C:$C,Structure!$A:$AJ,AF$1,0)*15,0),IFERROR(VLOOKUP($D:$D,Structure!$A:$AJ,AF$1,0)*15,0),IFERROR(VLOOKUP($E:$E,Structure!$A:$AJ,AF$1,0)*15,0))</f>
        <v>0</v>
      </c>
      <c r="AG52" s="13">
        <f>SUM(IFERROR(VLOOKUP($C:$C,Structure!$A:$AJ,AG$1,0)*15,0),IFERROR(VLOOKUP($D:$D,Structure!$A:$AJ,AG$1,0)*15,0),IFERROR(VLOOKUP($E:$E,Structure!$A:$AJ,AG$1,0)*15,0))</f>
        <v>0</v>
      </c>
      <c r="AH52" s="13">
        <f>SUM(IFERROR(VLOOKUP($C:$C,Structure!$A:$AJ,AH$1,0)*15,0),IFERROR(VLOOKUP($D:$D,Structure!$A:$AJ,AH$1,0)*15,0),IFERROR(VLOOKUP($E:$E,Structure!$A:$AJ,AH$1,0)*15,0))</f>
        <v>0</v>
      </c>
      <c r="AI52" s="13">
        <f>SUM(IFERROR(VLOOKUP($C:$C,Structure!$A:$AJ,AI$1,0)*15,0),IFERROR(VLOOKUP($D:$D,Structure!$A:$AJ,AI$1,0)*15,0),IFERROR(VLOOKUP($E:$E,Structure!$A:$AJ,AI$1,0)*15,0))</f>
        <v>0</v>
      </c>
      <c r="AJ52" s="13">
        <f>SUM(IFERROR(VLOOKUP($C:$C,Structure!$A:$AJ,AJ$1,0)*15,0),IFERROR(VLOOKUP($D:$D,Structure!$A:$AJ,AJ$1,0)*15,0),IFERROR(VLOOKUP($E:$E,Structure!$A:$AJ,AJ$1,0)*15,0))</f>
        <v>15</v>
      </c>
      <c r="AK52" s="13">
        <f>SUM(IFERROR(VLOOKUP($C:$C,Structure!$A:$AJ,AK$1,0)*15,0),IFERROR(VLOOKUP($D:$D,Structure!$A:$AJ,AK$1,0)*15,0),IFERROR(VLOOKUP($E:$E,Structure!$A:$AJ,AK$1,0)*15,0))</f>
        <v>15</v>
      </c>
      <c r="AL52" s="13">
        <f>SUM(IFERROR(VLOOKUP($C:$C,Structure!$A:$AJ,AL$1,0)*15,0),IFERROR(VLOOKUP($D:$D,Structure!$A:$AJ,AL$1,0)*15,0),IFERROR(VLOOKUP($E:$E,Structure!$A:$AJ,AL$1,0)*15,0))</f>
        <v>0</v>
      </c>
      <c r="AM52" s="13">
        <f>SUM(IFERROR(VLOOKUP($C:$C,Structure!$A:$AJ,AM$1,0)*15,0),IFERROR(VLOOKUP($D:$D,Structure!$A:$AJ,AM$1,0)*15,0),IFERROR(VLOOKUP($E:$E,Structure!$A:$AJ,AM$1,0)*15,0))</f>
        <v>15</v>
      </c>
      <c r="AN52" s="13">
        <f>SUM(IFERROR(VLOOKUP($C:$C,Structure!$A:$AJ,AN$1,0)*15,0),IFERROR(VLOOKUP($D:$D,Structure!$A:$AJ,AN$1,0)*15,0),IFERROR(VLOOKUP($E:$E,Structure!$A:$AJ,AN$1,0)*15,0))</f>
        <v>0</v>
      </c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3"/>
      <c r="BZ52" s="4">
        <f>BZ51+AQ52-F52</f>
        <v>0</v>
      </c>
      <c r="CA52" s="4">
        <f>CA51+AR52-G52</f>
        <v>0</v>
      </c>
      <c r="CB52" s="4">
        <f>CB51+AS52-H52</f>
        <v>0</v>
      </c>
      <c r="CC52" s="4">
        <f>CC51+AT52-I52</f>
        <v>0</v>
      </c>
      <c r="CD52" s="4">
        <f>CD51+AU52-J52</f>
        <v>0</v>
      </c>
      <c r="CE52" s="4">
        <f>CE51+AV52-K52</f>
        <v>0</v>
      </c>
      <c r="CF52" s="4">
        <f>CF51+AW52-L52</f>
        <v>0</v>
      </c>
      <c r="CG52" s="4">
        <f>CG51+AX52-M52</f>
        <v>0</v>
      </c>
      <c r="CH52" s="4">
        <f>CH51+AY52-N52</f>
        <v>0</v>
      </c>
      <c r="CI52" s="4">
        <f>CI51+AZ52-O52</f>
        <v>0</v>
      </c>
      <c r="CJ52" s="4">
        <f>CJ51+BA52-P52</f>
        <v>0</v>
      </c>
      <c r="CK52" s="4">
        <f>CK51+BB52-Q52</f>
        <v>0</v>
      </c>
      <c r="CL52" s="4">
        <f>CL51+BC52-R52</f>
        <v>0</v>
      </c>
      <c r="CM52" s="4">
        <f>CM51+BD52-S52</f>
        <v>0</v>
      </c>
      <c r="CN52" s="4">
        <f>CN51+BE52-T52</f>
        <v>0</v>
      </c>
      <c r="CO52" s="4">
        <f>CO51+BF52-U52</f>
        <v>0</v>
      </c>
      <c r="CP52" s="4">
        <f>CP51+BG52-V52</f>
        <v>0</v>
      </c>
      <c r="CQ52" s="4">
        <f>CQ51+BH52-W52</f>
        <v>0</v>
      </c>
      <c r="CR52" s="4">
        <f>CR51+BI52-X52</f>
        <v>0</v>
      </c>
      <c r="CS52" s="4">
        <f>CS51+BJ52-Y52</f>
        <v>0</v>
      </c>
      <c r="CT52" s="4">
        <f>CT51+BK52-Z52</f>
        <v>0</v>
      </c>
      <c r="CU52" s="4">
        <f>CU51+BL52-AA52</f>
        <v>-1895</v>
      </c>
      <c r="CV52" s="4">
        <f>CV51+BM52-AB52</f>
        <v>-165</v>
      </c>
      <c r="CW52" s="4">
        <f>CW51+BN52-AC52</f>
        <v>-90</v>
      </c>
      <c r="CX52" s="4">
        <f>CX51+BO52-AD52</f>
        <v>0</v>
      </c>
      <c r="CY52" s="4">
        <f>CY51+BP52-AE52</f>
        <v>0</v>
      </c>
      <c r="CZ52" s="4">
        <f>CZ51+BQ52-AF52</f>
        <v>-85</v>
      </c>
      <c r="DA52" s="4">
        <f>DA51+BR52-AG52</f>
        <v>0</v>
      </c>
      <c r="DB52" s="4">
        <f>DB51+BS52-AH52</f>
        <v>0</v>
      </c>
      <c r="DC52" s="4">
        <f>DC51+BT52-AI52</f>
        <v>0</v>
      </c>
      <c r="DD52" s="4">
        <f>DD51+BU52-AJ52</f>
        <v>-1420</v>
      </c>
      <c r="DE52" s="4">
        <f>DE51+BV52-AK52</f>
        <v>-495</v>
      </c>
      <c r="DF52" s="4">
        <f>DF51+BW52-AL52</f>
        <v>0</v>
      </c>
      <c r="DG52" s="4">
        <f>DG51+BX52-AM52</f>
        <v>-70</v>
      </c>
      <c r="DH52" s="4">
        <f>DH51+BY52-AN52</f>
        <v>0</v>
      </c>
    </row>
    <row r="53" spans="1:112" x14ac:dyDescent="0.25">
      <c r="A53" s="6">
        <v>46181</v>
      </c>
      <c r="B53" s="7">
        <v>0.41666666654782603</v>
      </c>
      <c r="C53" s="3" t="s">
        <v>3</v>
      </c>
      <c r="D53" s="3" t="s">
        <v>6</v>
      </c>
      <c r="E53" s="3" t="s">
        <v>2</v>
      </c>
      <c r="F53" s="13">
        <f>SUM(IFERROR(VLOOKUP($C:$C,Structure!$A:$AJ,F$1,0)*15,0),IFERROR(VLOOKUP($D:$D,Structure!$A:$AJ,F$1,0)*15,0),IFERROR(VLOOKUP($E:$E,Structure!$A:$AJ,F$1,0)*15,0))</f>
        <v>0</v>
      </c>
      <c r="G53" s="13">
        <f>SUM(IFERROR(VLOOKUP($C:$C,Structure!$A:$AJ,G$1,0)*15,0),IFERROR(VLOOKUP($D:$D,Structure!$A:$AJ,G$1,0)*15,0),IFERROR(VLOOKUP($E:$E,Structure!$A:$AJ,G$1,0)*15,0))</f>
        <v>0</v>
      </c>
      <c r="H53" s="13">
        <f>SUM(IFERROR(VLOOKUP($C:$C,Structure!$A:$AJ,H$1,0)*15,0),IFERROR(VLOOKUP($D:$D,Structure!$A:$AJ,H$1,0)*15,0),IFERROR(VLOOKUP($E:$E,Structure!$A:$AJ,H$1,0)*15,0))</f>
        <v>0</v>
      </c>
      <c r="I53" s="13">
        <f>SUM(IFERROR(VLOOKUP($C:$C,Structure!$A:$AJ,I$1,0)*15,0),IFERROR(VLOOKUP($D:$D,Structure!$A:$AJ,I$1,0)*15,0),IFERROR(VLOOKUP($E:$E,Structure!$A:$AJ,I$1,0)*15,0))</f>
        <v>0</v>
      </c>
      <c r="J53" s="13">
        <f>SUM(IFERROR(VLOOKUP($C:$C,Structure!$A:$AJ,J$1,0)*15,0),IFERROR(VLOOKUP($D:$D,Structure!$A:$AJ,J$1,0)*15,0),IFERROR(VLOOKUP($E:$E,Structure!$A:$AJ,J$1,0)*15,0))</f>
        <v>0</v>
      </c>
      <c r="K53" s="13">
        <f>SUM(IFERROR(VLOOKUP($C:$C,Structure!$A:$AJ,K$1,0)*15,0),IFERROR(VLOOKUP($D:$D,Structure!$A:$AJ,K$1,0)*15,0),IFERROR(VLOOKUP($E:$E,Structure!$A:$AJ,K$1,0)*15,0))</f>
        <v>0</v>
      </c>
      <c r="L53" s="13">
        <f>SUM(IFERROR(VLOOKUP($C:$C,Structure!$A:$AJ,L$1,0)*15,0),IFERROR(VLOOKUP($D:$D,Structure!$A:$AJ,L$1,0)*15,0),IFERROR(VLOOKUP($E:$E,Structure!$A:$AJ,L$1,0)*15,0))</f>
        <v>0</v>
      </c>
      <c r="M53" s="13">
        <f>SUM(IFERROR(VLOOKUP($C:$C,Structure!$A:$AJ,M$1,0)*15,0),IFERROR(VLOOKUP($D:$D,Structure!$A:$AJ,M$1,0)*15,0),IFERROR(VLOOKUP($E:$E,Structure!$A:$AJ,M$1,0)*15,0))</f>
        <v>0</v>
      </c>
      <c r="N53" s="13">
        <f>SUM(IFERROR(VLOOKUP($C:$C,Structure!$A:$AJ,N$1,0)*15,0),IFERROR(VLOOKUP($D:$D,Structure!$A:$AJ,N$1,0)*15,0),IFERROR(VLOOKUP($E:$E,Structure!$A:$AJ,N$1,0)*15,0))</f>
        <v>0</v>
      </c>
      <c r="O53" s="13">
        <f>SUM(IFERROR(VLOOKUP($C:$C,Structure!$A:$AJ,O$1,0)*15,0),IFERROR(VLOOKUP($D:$D,Structure!$A:$AJ,O$1,0)*15,0),IFERROR(VLOOKUP($E:$E,Structure!$A:$AJ,O$1,0)*15,0))</f>
        <v>0</v>
      </c>
      <c r="P53" s="13">
        <f>SUM(IFERROR(VLOOKUP($C:$C,Structure!$A:$AJ,P$1,0)*15,0),IFERROR(VLOOKUP($D:$D,Structure!$A:$AJ,P$1,0)*15,0),IFERROR(VLOOKUP($E:$E,Structure!$A:$AJ,P$1,0)*15,0))</f>
        <v>0</v>
      </c>
      <c r="Q53" s="13">
        <f>SUM(IFERROR(VLOOKUP($C:$C,Structure!$A:$AJ,Q$1,0)*15,0),IFERROR(VLOOKUP($D:$D,Structure!$A:$AJ,Q$1,0)*15,0),IFERROR(VLOOKUP($E:$E,Structure!$A:$AJ,Q$1,0)*15,0))</f>
        <v>0</v>
      </c>
      <c r="R53" s="13">
        <f>SUM(IFERROR(VLOOKUP($C:$C,Structure!$A:$AJ,R$1,0)*15,0),IFERROR(VLOOKUP($D:$D,Structure!$A:$AJ,R$1,0)*15,0),IFERROR(VLOOKUP($E:$E,Structure!$A:$AJ,R$1,0)*15,0))</f>
        <v>0</v>
      </c>
      <c r="S53" s="13">
        <f>SUM(IFERROR(VLOOKUP($C:$C,Structure!$A:$AJ,S$1,0)*15,0),IFERROR(VLOOKUP($D:$D,Structure!$A:$AJ,S$1,0)*15,0),IFERROR(VLOOKUP($E:$E,Structure!$A:$AJ,S$1,0)*15,0))</f>
        <v>0</v>
      </c>
      <c r="T53" s="13">
        <f>SUM(IFERROR(VLOOKUP($C:$C,Structure!$A:$AJ,T$1,0)*15,0),IFERROR(VLOOKUP($D:$D,Structure!$A:$AJ,T$1,0)*15,0),IFERROR(VLOOKUP($E:$E,Structure!$A:$AJ,T$1,0)*15,0))</f>
        <v>0</v>
      </c>
      <c r="U53" s="13">
        <f>SUM(IFERROR(VLOOKUP($C:$C,Structure!$A:$AJ,U$1,0)*15,0),IFERROR(VLOOKUP($D:$D,Structure!$A:$AJ,U$1,0)*15,0),IFERROR(VLOOKUP($E:$E,Structure!$A:$AJ,U$1,0)*15,0))</f>
        <v>0</v>
      </c>
      <c r="V53" s="13">
        <f>SUM(IFERROR(VLOOKUP($C:$C,Structure!$A:$AJ,V$1,0)*15,0),IFERROR(VLOOKUP($D:$D,Structure!$A:$AJ,V$1,0)*15,0),IFERROR(VLOOKUP($E:$E,Structure!$A:$AJ,V$1,0)*15,0))</f>
        <v>0</v>
      </c>
      <c r="W53" s="13">
        <f>SUM(IFERROR(VLOOKUP($C:$C,Structure!$A:$AJ,W$1,0)*15,0),IFERROR(VLOOKUP($D:$D,Structure!$A:$AJ,W$1,0)*15,0),IFERROR(VLOOKUP($E:$E,Structure!$A:$AJ,W$1,0)*15,0))</f>
        <v>0</v>
      </c>
      <c r="X53" s="13">
        <f>SUM(IFERROR(VLOOKUP($C:$C,Structure!$A:$AJ,X$1,0)*15,0),IFERROR(VLOOKUP($D:$D,Structure!$A:$AJ,X$1,0)*15,0),IFERROR(VLOOKUP($E:$E,Structure!$A:$AJ,X$1,0)*15,0))</f>
        <v>0</v>
      </c>
      <c r="Y53" s="13">
        <f>SUM(IFERROR(VLOOKUP($C:$C,Structure!$A:$AJ,Y$1,0)*15,0),IFERROR(VLOOKUP($D:$D,Structure!$A:$AJ,Y$1,0)*15,0),IFERROR(VLOOKUP($E:$E,Structure!$A:$AJ,Y$1,0)*15,0))</f>
        <v>0</v>
      </c>
      <c r="Z53" s="13">
        <f>SUM(IFERROR(VLOOKUP($C:$C,Structure!$A:$AJ,Z$1,0)*15,0),IFERROR(VLOOKUP($D:$D,Structure!$A:$AJ,Z$1,0)*15,0),IFERROR(VLOOKUP($E:$E,Structure!$A:$AJ,Z$1,0)*15,0))</f>
        <v>0</v>
      </c>
      <c r="AA53" s="13">
        <f>SUM(IFERROR(VLOOKUP($C:$C,Structure!$A:$AJ,AA$1,0)*15,0),IFERROR(VLOOKUP($D:$D,Structure!$A:$AJ,AA$1,0)*15,0),IFERROR(VLOOKUP($E:$E,Structure!$A:$AJ,AA$1,0)*15,0))</f>
        <v>45</v>
      </c>
      <c r="AB53" s="13">
        <f>SUM(IFERROR(VLOOKUP($C:$C,Structure!$A:$AJ,AB$1,0)*15,0),IFERROR(VLOOKUP($D:$D,Structure!$A:$AJ,AB$1,0)*15,0),IFERROR(VLOOKUP($E:$E,Structure!$A:$AJ,AB$1,0)*15,0))</f>
        <v>0</v>
      </c>
      <c r="AC53" s="13">
        <f>SUM(IFERROR(VLOOKUP($C:$C,Structure!$A:$AJ,AC$1,0)*15,0),IFERROR(VLOOKUP($D:$D,Structure!$A:$AJ,AC$1,0)*15,0),IFERROR(VLOOKUP($E:$E,Structure!$A:$AJ,AC$1,0)*15,0))</f>
        <v>0</v>
      </c>
      <c r="AD53" s="13">
        <f>SUM(IFERROR(VLOOKUP($C:$C,Structure!$A:$AJ,AD$1,0)*15,0),IFERROR(VLOOKUP($D:$D,Structure!$A:$AJ,AD$1,0)*15,0),IFERROR(VLOOKUP($E:$E,Structure!$A:$AJ,AD$1,0)*15,0))</f>
        <v>0</v>
      </c>
      <c r="AE53" s="13">
        <f>SUM(IFERROR(VLOOKUP($C:$C,Structure!$A:$AJ,AE$1,0)*15,0),IFERROR(VLOOKUP($D:$D,Structure!$A:$AJ,AE$1,0)*15,0),IFERROR(VLOOKUP($E:$E,Structure!$A:$AJ,AE$1,0)*15,0))</f>
        <v>0</v>
      </c>
      <c r="AF53" s="13">
        <f>SUM(IFERROR(VLOOKUP($C:$C,Structure!$A:$AJ,AF$1,0)*15,0),IFERROR(VLOOKUP($D:$D,Structure!$A:$AJ,AF$1,0)*15,0),IFERROR(VLOOKUP($E:$E,Structure!$A:$AJ,AF$1,0)*15,0))</f>
        <v>0</v>
      </c>
      <c r="AG53" s="13">
        <f>SUM(IFERROR(VLOOKUP($C:$C,Structure!$A:$AJ,AG$1,0)*15,0),IFERROR(VLOOKUP($D:$D,Structure!$A:$AJ,AG$1,0)*15,0),IFERROR(VLOOKUP($E:$E,Structure!$A:$AJ,AG$1,0)*15,0))</f>
        <v>0</v>
      </c>
      <c r="AH53" s="13">
        <f>SUM(IFERROR(VLOOKUP($C:$C,Structure!$A:$AJ,AH$1,0)*15,0),IFERROR(VLOOKUP($D:$D,Structure!$A:$AJ,AH$1,0)*15,0),IFERROR(VLOOKUP($E:$E,Structure!$A:$AJ,AH$1,0)*15,0))</f>
        <v>0</v>
      </c>
      <c r="AI53" s="13">
        <f>SUM(IFERROR(VLOOKUP($C:$C,Structure!$A:$AJ,AI$1,0)*15,0),IFERROR(VLOOKUP($D:$D,Structure!$A:$AJ,AI$1,0)*15,0),IFERROR(VLOOKUP($E:$E,Structure!$A:$AJ,AI$1,0)*15,0))</f>
        <v>0</v>
      </c>
      <c r="AJ53" s="13">
        <f>SUM(IFERROR(VLOOKUP($C:$C,Structure!$A:$AJ,AJ$1,0)*15,0),IFERROR(VLOOKUP($D:$D,Structure!$A:$AJ,AJ$1,0)*15,0),IFERROR(VLOOKUP($E:$E,Structure!$A:$AJ,AJ$1,0)*15,0))</f>
        <v>30</v>
      </c>
      <c r="AK53" s="13">
        <f>SUM(IFERROR(VLOOKUP($C:$C,Structure!$A:$AJ,AK$1,0)*15,0),IFERROR(VLOOKUP($D:$D,Structure!$A:$AJ,AK$1,0)*15,0),IFERROR(VLOOKUP($E:$E,Structure!$A:$AJ,AK$1,0)*15,0))</f>
        <v>15</v>
      </c>
      <c r="AL53" s="13">
        <f>SUM(IFERROR(VLOOKUP($C:$C,Structure!$A:$AJ,AL$1,0)*15,0),IFERROR(VLOOKUP($D:$D,Structure!$A:$AJ,AL$1,0)*15,0),IFERROR(VLOOKUP($E:$E,Structure!$A:$AJ,AL$1,0)*15,0))</f>
        <v>0</v>
      </c>
      <c r="AM53" s="13">
        <f>SUM(IFERROR(VLOOKUP($C:$C,Structure!$A:$AJ,AM$1,0)*15,0),IFERROR(VLOOKUP($D:$D,Structure!$A:$AJ,AM$1,0)*15,0),IFERROR(VLOOKUP($E:$E,Structure!$A:$AJ,AM$1,0)*15,0))</f>
        <v>0</v>
      </c>
      <c r="AN53" s="13">
        <f>SUM(IFERROR(VLOOKUP($C:$C,Structure!$A:$AJ,AN$1,0)*15,0),IFERROR(VLOOKUP($D:$D,Structure!$A:$AJ,AN$1,0)*15,0),IFERROR(VLOOKUP($E:$E,Structure!$A:$AJ,AN$1,0)*15,0))</f>
        <v>0</v>
      </c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3"/>
      <c r="BZ53" s="4">
        <f>BZ52+AQ53-F53</f>
        <v>0</v>
      </c>
      <c r="CA53" s="4">
        <f>CA52+AR53-G53</f>
        <v>0</v>
      </c>
      <c r="CB53" s="4">
        <f>CB52+AS53-H53</f>
        <v>0</v>
      </c>
      <c r="CC53" s="4">
        <f>CC52+AT53-I53</f>
        <v>0</v>
      </c>
      <c r="CD53" s="4">
        <f>CD52+AU53-J53</f>
        <v>0</v>
      </c>
      <c r="CE53" s="4">
        <f>CE52+AV53-K53</f>
        <v>0</v>
      </c>
      <c r="CF53" s="4">
        <f>CF52+AW53-L53</f>
        <v>0</v>
      </c>
      <c r="CG53" s="4">
        <f>CG52+AX53-M53</f>
        <v>0</v>
      </c>
      <c r="CH53" s="4">
        <f>CH52+AY53-N53</f>
        <v>0</v>
      </c>
      <c r="CI53" s="4">
        <f>CI52+AZ53-O53</f>
        <v>0</v>
      </c>
      <c r="CJ53" s="4">
        <f>CJ52+BA53-P53</f>
        <v>0</v>
      </c>
      <c r="CK53" s="4">
        <f>CK52+BB53-Q53</f>
        <v>0</v>
      </c>
      <c r="CL53" s="4">
        <f>CL52+BC53-R53</f>
        <v>0</v>
      </c>
      <c r="CM53" s="4">
        <f>CM52+BD53-S53</f>
        <v>0</v>
      </c>
      <c r="CN53" s="4">
        <f>CN52+BE53-T53</f>
        <v>0</v>
      </c>
      <c r="CO53" s="4">
        <f>CO52+BF53-U53</f>
        <v>0</v>
      </c>
      <c r="CP53" s="4">
        <f>CP52+BG53-V53</f>
        <v>0</v>
      </c>
      <c r="CQ53" s="4">
        <f>CQ52+BH53-W53</f>
        <v>0</v>
      </c>
      <c r="CR53" s="4">
        <f>CR52+BI53-X53</f>
        <v>0</v>
      </c>
      <c r="CS53" s="4">
        <f>CS52+BJ53-Y53</f>
        <v>0</v>
      </c>
      <c r="CT53" s="4">
        <f>CT52+BK53-Z53</f>
        <v>0</v>
      </c>
      <c r="CU53" s="4">
        <f>CU52+BL53-AA53</f>
        <v>-1940</v>
      </c>
      <c r="CV53" s="4">
        <f>CV52+BM53-AB53</f>
        <v>-165</v>
      </c>
      <c r="CW53" s="4">
        <f>CW52+BN53-AC53</f>
        <v>-90</v>
      </c>
      <c r="CX53" s="4">
        <f>CX52+BO53-AD53</f>
        <v>0</v>
      </c>
      <c r="CY53" s="4">
        <f>CY52+BP53-AE53</f>
        <v>0</v>
      </c>
      <c r="CZ53" s="4">
        <f>CZ52+BQ53-AF53</f>
        <v>-85</v>
      </c>
      <c r="DA53" s="4">
        <f>DA52+BR53-AG53</f>
        <v>0</v>
      </c>
      <c r="DB53" s="4">
        <f>DB52+BS53-AH53</f>
        <v>0</v>
      </c>
      <c r="DC53" s="4">
        <f>DC52+BT53-AI53</f>
        <v>0</v>
      </c>
      <c r="DD53" s="4">
        <f>DD52+BU53-AJ53</f>
        <v>-1450</v>
      </c>
      <c r="DE53" s="4">
        <f>DE52+BV53-AK53</f>
        <v>-510</v>
      </c>
      <c r="DF53" s="4">
        <f>DF52+BW53-AL53</f>
        <v>0</v>
      </c>
      <c r="DG53" s="4">
        <f>DG52+BX53-AM53</f>
        <v>-70</v>
      </c>
      <c r="DH53" s="4">
        <f>DH52+BY53-AN53</f>
        <v>0</v>
      </c>
    </row>
    <row r="54" spans="1:112" x14ac:dyDescent="0.25">
      <c r="A54" s="6">
        <v>46181</v>
      </c>
      <c r="B54" s="7">
        <v>0.45833333321206737</v>
      </c>
      <c r="C54" s="3" t="s">
        <v>3</v>
      </c>
      <c r="D54" s="3" t="s">
        <v>6</v>
      </c>
      <c r="E54" s="3" t="s">
        <v>2</v>
      </c>
      <c r="F54" s="13">
        <f>SUM(IFERROR(VLOOKUP($C:$C,Structure!$A:$AJ,F$1,0)*15,0),IFERROR(VLOOKUP($D:$D,Structure!$A:$AJ,F$1,0)*15,0),IFERROR(VLOOKUP($E:$E,Structure!$A:$AJ,F$1,0)*15,0))</f>
        <v>0</v>
      </c>
      <c r="G54" s="13">
        <f>SUM(IFERROR(VLOOKUP($C:$C,Structure!$A:$AJ,G$1,0)*15,0),IFERROR(VLOOKUP($D:$D,Structure!$A:$AJ,G$1,0)*15,0),IFERROR(VLOOKUP($E:$E,Structure!$A:$AJ,G$1,0)*15,0))</f>
        <v>0</v>
      </c>
      <c r="H54" s="13">
        <f>SUM(IFERROR(VLOOKUP($C:$C,Structure!$A:$AJ,H$1,0)*15,0),IFERROR(VLOOKUP($D:$D,Structure!$A:$AJ,H$1,0)*15,0),IFERROR(VLOOKUP($E:$E,Structure!$A:$AJ,H$1,0)*15,0))</f>
        <v>0</v>
      </c>
      <c r="I54" s="13">
        <f>SUM(IFERROR(VLOOKUP($C:$C,Structure!$A:$AJ,I$1,0)*15,0),IFERROR(VLOOKUP($D:$D,Structure!$A:$AJ,I$1,0)*15,0),IFERROR(VLOOKUP($E:$E,Structure!$A:$AJ,I$1,0)*15,0))</f>
        <v>0</v>
      </c>
      <c r="J54" s="13">
        <f>SUM(IFERROR(VLOOKUP($C:$C,Structure!$A:$AJ,J$1,0)*15,0),IFERROR(VLOOKUP($D:$D,Structure!$A:$AJ,J$1,0)*15,0),IFERROR(VLOOKUP($E:$E,Structure!$A:$AJ,J$1,0)*15,0))</f>
        <v>0</v>
      </c>
      <c r="K54" s="13">
        <f>SUM(IFERROR(VLOOKUP($C:$C,Structure!$A:$AJ,K$1,0)*15,0),IFERROR(VLOOKUP($D:$D,Structure!$A:$AJ,K$1,0)*15,0),IFERROR(VLOOKUP($E:$E,Structure!$A:$AJ,K$1,0)*15,0))</f>
        <v>0</v>
      </c>
      <c r="L54" s="13">
        <f>SUM(IFERROR(VLOOKUP($C:$C,Structure!$A:$AJ,L$1,0)*15,0),IFERROR(VLOOKUP($D:$D,Structure!$A:$AJ,L$1,0)*15,0),IFERROR(VLOOKUP($E:$E,Structure!$A:$AJ,L$1,0)*15,0))</f>
        <v>0</v>
      </c>
      <c r="M54" s="13">
        <f>SUM(IFERROR(VLOOKUP($C:$C,Structure!$A:$AJ,M$1,0)*15,0),IFERROR(VLOOKUP($D:$D,Structure!$A:$AJ,M$1,0)*15,0),IFERROR(VLOOKUP($E:$E,Structure!$A:$AJ,M$1,0)*15,0))</f>
        <v>0</v>
      </c>
      <c r="N54" s="13">
        <f>SUM(IFERROR(VLOOKUP($C:$C,Structure!$A:$AJ,N$1,0)*15,0),IFERROR(VLOOKUP($D:$D,Structure!$A:$AJ,N$1,0)*15,0),IFERROR(VLOOKUP($E:$E,Structure!$A:$AJ,N$1,0)*15,0))</f>
        <v>0</v>
      </c>
      <c r="O54" s="13">
        <f>SUM(IFERROR(VLOOKUP($C:$C,Structure!$A:$AJ,O$1,0)*15,0),IFERROR(VLOOKUP($D:$D,Structure!$A:$AJ,O$1,0)*15,0),IFERROR(VLOOKUP($E:$E,Structure!$A:$AJ,O$1,0)*15,0))</f>
        <v>0</v>
      </c>
      <c r="P54" s="13">
        <f>SUM(IFERROR(VLOOKUP($C:$C,Structure!$A:$AJ,P$1,0)*15,0),IFERROR(VLOOKUP($D:$D,Structure!$A:$AJ,P$1,0)*15,0),IFERROR(VLOOKUP($E:$E,Structure!$A:$AJ,P$1,0)*15,0))</f>
        <v>0</v>
      </c>
      <c r="Q54" s="13">
        <f>SUM(IFERROR(VLOOKUP($C:$C,Structure!$A:$AJ,Q$1,0)*15,0),IFERROR(VLOOKUP($D:$D,Structure!$A:$AJ,Q$1,0)*15,0),IFERROR(VLOOKUP($E:$E,Structure!$A:$AJ,Q$1,0)*15,0))</f>
        <v>0</v>
      </c>
      <c r="R54" s="13">
        <f>SUM(IFERROR(VLOOKUP($C:$C,Structure!$A:$AJ,R$1,0)*15,0),IFERROR(VLOOKUP($D:$D,Structure!$A:$AJ,R$1,0)*15,0),IFERROR(VLOOKUP($E:$E,Structure!$A:$AJ,R$1,0)*15,0))</f>
        <v>0</v>
      </c>
      <c r="S54" s="13">
        <f>SUM(IFERROR(VLOOKUP($C:$C,Structure!$A:$AJ,S$1,0)*15,0),IFERROR(VLOOKUP($D:$D,Structure!$A:$AJ,S$1,0)*15,0),IFERROR(VLOOKUP($E:$E,Structure!$A:$AJ,S$1,0)*15,0))</f>
        <v>0</v>
      </c>
      <c r="T54" s="13">
        <f>SUM(IFERROR(VLOOKUP($C:$C,Structure!$A:$AJ,T$1,0)*15,0),IFERROR(VLOOKUP($D:$D,Structure!$A:$AJ,T$1,0)*15,0),IFERROR(VLOOKUP($E:$E,Structure!$A:$AJ,T$1,0)*15,0))</f>
        <v>0</v>
      </c>
      <c r="U54" s="13">
        <f>SUM(IFERROR(VLOOKUP($C:$C,Structure!$A:$AJ,U$1,0)*15,0),IFERROR(VLOOKUP($D:$D,Structure!$A:$AJ,U$1,0)*15,0),IFERROR(VLOOKUP($E:$E,Structure!$A:$AJ,U$1,0)*15,0))</f>
        <v>0</v>
      </c>
      <c r="V54" s="13">
        <f>SUM(IFERROR(VLOOKUP($C:$C,Structure!$A:$AJ,V$1,0)*15,0),IFERROR(VLOOKUP($D:$D,Structure!$A:$AJ,V$1,0)*15,0),IFERROR(VLOOKUP($E:$E,Structure!$A:$AJ,V$1,0)*15,0))</f>
        <v>0</v>
      </c>
      <c r="W54" s="13">
        <f>SUM(IFERROR(VLOOKUP($C:$C,Structure!$A:$AJ,W$1,0)*15,0),IFERROR(VLOOKUP($D:$D,Structure!$A:$AJ,W$1,0)*15,0),IFERROR(VLOOKUP($E:$E,Structure!$A:$AJ,W$1,0)*15,0))</f>
        <v>0</v>
      </c>
      <c r="X54" s="13">
        <f>SUM(IFERROR(VLOOKUP($C:$C,Structure!$A:$AJ,X$1,0)*15,0),IFERROR(VLOOKUP($D:$D,Structure!$A:$AJ,X$1,0)*15,0),IFERROR(VLOOKUP($E:$E,Structure!$A:$AJ,X$1,0)*15,0))</f>
        <v>0</v>
      </c>
      <c r="Y54" s="13">
        <f>SUM(IFERROR(VLOOKUP($C:$C,Structure!$A:$AJ,Y$1,0)*15,0),IFERROR(VLOOKUP($D:$D,Structure!$A:$AJ,Y$1,0)*15,0),IFERROR(VLOOKUP($E:$E,Structure!$A:$AJ,Y$1,0)*15,0))</f>
        <v>0</v>
      </c>
      <c r="Z54" s="13">
        <f>SUM(IFERROR(VLOOKUP($C:$C,Structure!$A:$AJ,Z$1,0)*15,0),IFERROR(VLOOKUP($D:$D,Structure!$A:$AJ,Z$1,0)*15,0),IFERROR(VLOOKUP($E:$E,Structure!$A:$AJ,Z$1,0)*15,0))</f>
        <v>0</v>
      </c>
      <c r="AA54" s="13">
        <f>SUM(IFERROR(VLOOKUP($C:$C,Structure!$A:$AJ,AA$1,0)*15,0),IFERROR(VLOOKUP($D:$D,Structure!$A:$AJ,AA$1,0)*15,0),IFERROR(VLOOKUP($E:$E,Structure!$A:$AJ,AA$1,0)*15,0))</f>
        <v>45</v>
      </c>
      <c r="AB54" s="13">
        <f>SUM(IFERROR(VLOOKUP($C:$C,Structure!$A:$AJ,AB$1,0)*15,0),IFERROR(VLOOKUP($D:$D,Structure!$A:$AJ,AB$1,0)*15,0),IFERROR(VLOOKUP($E:$E,Structure!$A:$AJ,AB$1,0)*15,0))</f>
        <v>0</v>
      </c>
      <c r="AC54" s="13">
        <f>SUM(IFERROR(VLOOKUP($C:$C,Structure!$A:$AJ,AC$1,0)*15,0),IFERROR(VLOOKUP($D:$D,Structure!$A:$AJ,AC$1,0)*15,0),IFERROR(VLOOKUP($E:$E,Structure!$A:$AJ,AC$1,0)*15,0))</f>
        <v>0</v>
      </c>
      <c r="AD54" s="13">
        <f>SUM(IFERROR(VLOOKUP($C:$C,Structure!$A:$AJ,AD$1,0)*15,0),IFERROR(VLOOKUP($D:$D,Structure!$A:$AJ,AD$1,0)*15,0),IFERROR(VLOOKUP($E:$E,Structure!$A:$AJ,AD$1,0)*15,0))</f>
        <v>0</v>
      </c>
      <c r="AE54" s="13">
        <f>SUM(IFERROR(VLOOKUP($C:$C,Structure!$A:$AJ,AE$1,0)*15,0),IFERROR(VLOOKUP($D:$D,Structure!$A:$AJ,AE$1,0)*15,0),IFERROR(VLOOKUP($E:$E,Structure!$A:$AJ,AE$1,0)*15,0))</f>
        <v>0</v>
      </c>
      <c r="AF54" s="13">
        <f>SUM(IFERROR(VLOOKUP($C:$C,Structure!$A:$AJ,AF$1,0)*15,0),IFERROR(VLOOKUP($D:$D,Structure!$A:$AJ,AF$1,0)*15,0),IFERROR(VLOOKUP($E:$E,Structure!$A:$AJ,AF$1,0)*15,0))</f>
        <v>0</v>
      </c>
      <c r="AG54" s="13">
        <f>SUM(IFERROR(VLOOKUP($C:$C,Structure!$A:$AJ,AG$1,0)*15,0),IFERROR(VLOOKUP($D:$D,Structure!$A:$AJ,AG$1,0)*15,0),IFERROR(VLOOKUP($E:$E,Structure!$A:$AJ,AG$1,0)*15,0))</f>
        <v>0</v>
      </c>
      <c r="AH54" s="13">
        <f>SUM(IFERROR(VLOOKUP($C:$C,Structure!$A:$AJ,AH$1,0)*15,0),IFERROR(VLOOKUP($D:$D,Structure!$A:$AJ,AH$1,0)*15,0),IFERROR(VLOOKUP($E:$E,Structure!$A:$AJ,AH$1,0)*15,0))</f>
        <v>0</v>
      </c>
      <c r="AI54" s="13">
        <f>SUM(IFERROR(VLOOKUP($C:$C,Structure!$A:$AJ,AI$1,0)*15,0),IFERROR(VLOOKUP($D:$D,Structure!$A:$AJ,AI$1,0)*15,0),IFERROR(VLOOKUP($E:$E,Structure!$A:$AJ,AI$1,0)*15,0))</f>
        <v>0</v>
      </c>
      <c r="AJ54" s="13">
        <f>SUM(IFERROR(VLOOKUP($C:$C,Structure!$A:$AJ,AJ$1,0)*15,0),IFERROR(VLOOKUP($D:$D,Structure!$A:$AJ,AJ$1,0)*15,0),IFERROR(VLOOKUP($E:$E,Structure!$A:$AJ,AJ$1,0)*15,0))</f>
        <v>30</v>
      </c>
      <c r="AK54" s="13">
        <f>SUM(IFERROR(VLOOKUP($C:$C,Structure!$A:$AJ,AK$1,0)*15,0),IFERROR(VLOOKUP($D:$D,Structure!$A:$AJ,AK$1,0)*15,0),IFERROR(VLOOKUP($E:$E,Structure!$A:$AJ,AK$1,0)*15,0))</f>
        <v>15</v>
      </c>
      <c r="AL54" s="13">
        <f>SUM(IFERROR(VLOOKUP($C:$C,Structure!$A:$AJ,AL$1,0)*15,0),IFERROR(VLOOKUP($D:$D,Structure!$A:$AJ,AL$1,0)*15,0),IFERROR(VLOOKUP($E:$E,Structure!$A:$AJ,AL$1,0)*15,0))</f>
        <v>0</v>
      </c>
      <c r="AM54" s="13">
        <f>SUM(IFERROR(VLOOKUP($C:$C,Structure!$A:$AJ,AM$1,0)*15,0),IFERROR(VLOOKUP($D:$D,Structure!$A:$AJ,AM$1,0)*15,0),IFERROR(VLOOKUP($E:$E,Structure!$A:$AJ,AM$1,0)*15,0))</f>
        <v>0</v>
      </c>
      <c r="AN54" s="13">
        <f>SUM(IFERROR(VLOOKUP($C:$C,Structure!$A:$AJ,AN$1,0)*15,0),IFERROR(VLOOKUP($D:$D,Structure!$A:$AJ,AN$1,0)*15,0),IFERROR(VLOOKUP($E:$E,Structure!$A:$AJ,AN$1,0)*15,0))</f>
        <v>0</v>
      </c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3"/>
      <c r="BZ54" s="4">
        <f>BZ53+AQ54-F54</f>
        <v>0</v>
      </c>
      <c r="CA54" s="4">
        <f>CA53+AR54-G54</f>
        <v>0</v>
      </c>
      <c r="CB54" s="4">
        <f>CB53+AS54-H54</f>
        <v>0</v>
      </c>
      <c r="CC54" s="4">
        <f>CC53+AT54-I54</f>
        <v>0</v>
      </c>
      <c r="CD54" s="4">
        <f>CD53+AU54-J54</f>
        <v>0</v>
      </c>
      <c r="CE54" s="4">
        <f>CE53+AV54-K54</f>
        <v>0</v>
      </c>
      <c r="CF54" s="4">
        <f>CF53+AW54-L54</f>
        <v>0</v>
      </c>
      <c r="CG54" s="4">
        <f>CG53+AX54-M54</f>
        <v>0</v>
      </c>
      <c r="CH54" s="4">
        <f>CH53+AY54-N54</f>
        <v>0</v>
      </c>
      <c r="CI54" s="4">
        <f>CI53+AZ54-O54</f>
        <v>0</v>
      </c>
      <c r="CJ54" s="4">
        <f>CJ53+BA54-P54</f>
        <v>0</v>
      </c>
      <c r="CK54" s="4">
        <f>CK53+BB54-Q54</f>
        <v>0</v>
      </c>
      <c r="CL54" s="4">
        <f>CL53+BC54-R54</f>
        <v>0</v>
      </c>
      <c r="CM54" s="4">
        <f>CM53+BD54-S54</f>
        <v>0</v>
      </c>
      <c r="CN54" s="4">
        <f>CN53+BE54-T54</f>
        <v>0</v>
      </c>
      <c r="CO54" s="4">
        <f>CO53+BF54-U54</f>
        <v>0</v>
      </c>
      <c r="CP54" s="4">
        <f>CP53+BG54-V54</f>
        <v>0</v>
      </c>
      <c r="CQ54" s="4">
        <f>CQ53+BH54-W54</f>
        <v>0</v>
      </c>
      <c r="CR54" s="4">
        <f>CR53+BI54-X54</f>
        <v>0</v>
      </c>
      <c r="CS54" s="4">
        <f>CS53+BJ54-Y54</f>
        <v>0</v>
      </c>
      <c r="CT54" s="4">
        <f>CT53+BK54-Z54</f>
        <v>0</v>
      </c>
      <c r="CU54" s="4">
        <f>CU53+BL54-AA54</f>
        <v>-1985</v>
      </c>
      <c r="CV54" s="4">
        <f>CV53+BM54-AB54</f>
        <v>-165</v>
      </c>
      <c r="CW54" s="4">
        <f>CW53+BN54-AC54</f>
        <v>-90</v>
      </c>
      <c r="CX54" s="4">
        <f>CX53+BO54-AD54</f>
        <v>0</v>
      </c>
      <c r="CY54" s="4">
        <f>CY53+BP54-AE54</f>
        <v>0</v>
      </c>
      <c r="CZ54" s="4">
        <f>CZ53+BQ54-AF54</f>
        <v>-85</v>
      </c>
      <c r="DA54" s="4">
        <f>DA53+BR54-AG54</f>
        <v>0</v>
      </c>
      <c r="DB54" s="4">
        <f>DB53+BS54-AH54</f>
        <v>0</v>
      </c>
      <c r="DC54" s="4">
        <f>DC53+BT54-AI54</f>
        <v>0</v>
      </c>
      <c r="DD54" s="4">
        <f>DD53+BU54-AJ54</f>
        <v>-1480</v>
      </c>
      <c r="DE54" s="4">
        <f>DE53+BV54-AK54</f>
        <v>-525</v>
      </c>
      <c r="DF54" s="4">
        <f>DF53+BW54-AL54</f>
        <v>0</v>
      </c>
      <c r="DG54" s="4">
        <f>DG53+BX54-AM54</f>
        <v>-70</v>
      </c>
      <c r="DH54" s="4">
        <f>DH53+BY54-AN54</f>
        <v>0</v>
      </c>
    </row>
    <row r="55" spans="1:112" x14ac:dyDescent="0.25">
      <c r="A55" s="6">
        <v>46181</v>
      </c>
      <c r="B55" s="7">
        <v>0.49999999987630872</v>
      </c>
      <c r="C55" s="3" t="s">
        <v>3</v>
      </c>
      <c r="D55" s="3" t="s">
        <v>6</v>
      </c>
      <c r="E55" s="3" t="s">
        <v>2</v>
      </c>
      <c r="F55" s="13">
        <f>SUM(IFERROR(VLOOKUP($C:$C,Structure!$A:$AJ,F$1,0)*15,0),IFERROR(VLOOKUP($D:$D,Structure!$A:$AJ,F$1,0)*15,0),IFERROR(VLOOKUP($E:$E,Structure!$A:$AJ,F$1,0)*15,0))</f>
        <v>0</v>
      </c>
      <c r="G55" s="13">
        <f>SUM(IFERROR(VLOOKUP($C:$C,Structure!$A:$AJ,G$1,0)*15,0),IFERROR(VLOOKUP($D:$D,Structure!$A:$AJ,G$1,0)*15,0),IFERROR(VLOOKUP($E:$E,Structure!$A:$AJ,G$1,0)*15,0))</f>
        <v>0</v>
      </c>
      <c r="H55" s="13">
        <f>SUM(IFERROR(VLOOKUP($C:$C,Structure!$A:$AJ,H$1,0)*15,0),IFERROR(VLOOKUP($D:$D,Structure!$A:$AJ,H$1,0)*15,0),IFERROR(VLOOKUP($E:$E,Structure!$A:$AJ,H$1,0)*15,0))</f>
        <v>0</v>
      </c>
      <c r="I55" s="13">
        <f>SUM(IFERROR(VLOOKUP($C:$C,Structure!$A:$AJ,I$1,0)*15,0),IFERROR(VLOOKUP($D:$D,Structure!$A:$AJ,I$1,0)*15,0),IFERROR(VLOOKUP($E:$E,Structure!$A:$AJ,I$1,0)*15,0))</f>
        <v>0</v>
      </c>
      <c r="J55" s="13">
        <f>SUM(IFERROR(VLOOKUP($C:$C,Structure!$A:$AJ,J$1,0)*15,0),IFERROR(VLOOKUP($D:$D,Structure!$A:$AJ,J$1,0)*15,0),IFERROR(VLOOKUP($E:$E,Structure!$A:$AJ,J$1,0)*15,0))</f>
        <v>0</v>
      </c>
      <c r="K55" s="13">
        <f>SUM(IFERROR(VLOOKUP($C:$C,Structure!$A:$AJ,K$1,0)*15,0),IFERROR(VLOOKUP($D:$D,Structure!$A:$AJ,K$1,0)*15,0),IFERROR(VLOOKUP($E:$E,Structure!$A:$AJ,K$1,0)*15,0))</f>
        <v>0</v>
      </c>
      <c r="L55" s="13">
        <f>SUM(IFERROR(VLOOKUP($C:$C,Structure!$A:$AJ,L$1,0)*15,0),IFERROR(VLOOKUP($D:$D,Structure!$A:$AJ,L$1,0)*15,0),IFERROR(VLOOKUP($E:$E,Structure!$A:$AJ,L$1,0)*15,0))</f>
        <v>0</v>
      </c>
      <c r="M55" s="13">
        <f>SUM(IFERROR(VLOOKUP($C:$C,Structure!$A:$AJ,M$1,0)*15,0),IFERROR(VLOOKUP($D:$D,Structure!$A:$AJ,M$1,0)*15,0),IFERROR(VLOOKUP($E:$E,Structure!$A:$AJ,M$1,0)*15,0))</f>
        <v>0</v>
      </c>
      <c r="N55" s="13">
        <f>SUM(IFERROR(VLOOKUP($C:$C,Structure!$A:$AJ,N$1,0)*15,0),IFERROR(VLOOKUP($D:$D,Structure!$A:$AJ,N$1,0)*15,0),IFERROR(VLOOKUP($E:$E,Structure!$A:$AJ,N$1,0)*15,0))</f>
        <v>0</v>
      </c>
      <c r="O55" s="13">
        <f>SUM(IFERROR(VLOOKUP($C:$C,Structure!$A:$AJ,O$1,0)*15,0),IFERROR(VLOOKUP($D:$D,Structure!$A:$AJ,O$1,0)*15,0),IFERROR(VLOOKUP($E:$E,Structure!$A:$AJ,O$1,0)*15,0))</f>
        <v>0</v>
      </c>
      <c r="P55" s="13">
        <f>SUM(IFERROR(VLOOKUP($C:$C,Structure!$A:$AJ,P$1,0)*15,0),IFERROR(VLOOKUP($D:$D,Structure!$A:$AJ,P$1,0)*15,0),IFERROR(VLOOKUP($E:$E,Structure!$A:$AJ,P$1,0)*15,0))</f>
        <v>0</v>
      </c>
      <c r="Q55" s="13">
        <f>SUM(IFERROR(VLOOKUP($C:$C,Structure!$A:$AJ,Q$1,0)*15,0),IFERROR(VLOOKUP($D:$D,Structure!$A:$AJ,Q$1,0)*15,0),IFERROR(VLOOKUP($E:$E,Structure!$A:$AJ,Q$1,0)*15,0))</f>
        <v>0</v>
      </c>
      <c r="R55" s="13">
        <f>SUM(IFERROR(VLOOKUP($C:$C,Structure!$A:$AJ,R$1,0)*15,0),IFERROR(VLOOKUP($D:$D,Structure!$A:$AJ,R$1,0)*15,0),IFERROR(VLOOKUP($E:$E,Structure!$A:$AJ,R$1,0)*15,0))</f>
        <v>0</v>
      </c>
      <c r="S55" s="13">
        <f>SUM(IFERROR(VLOOKUP($C:$C,Structure!$A:$AJ,S$1,0)*15,0),IFERROR(VLOOKUP($D:$D,Structure!$A:$AJ,S$1,0)*15,0),IFERROR(VLOOKUP($E:$E,Structure!$A:$AJ,S$1,0)*15,0))</f>
        <v>0</v>
      </c>
      <c r="T55" s="13">
        <f>SUM(IFERROR(VLOOKUP($C:$C,Structure!$A:$AJ,T$1,0)*15,0),IFERROR(VLOOKUP($D:$D,Structure!$A:$AJ,T$1,0)*15,0),IFERROR(VLOOKUP($E:$E,Structure!$A:$AJ,T$1,0)*15,0))</f>
        <v>0</v>
      </c>
      <c r="U55" s="13">
        <f>SUM(IFERROR(VLOOKUP($C:$C,Structure!$A:$AJ,U$1,0)*15,0),IFERROR(VLOOKUP($D:$D,Structure!$A:$AJ,U$1,0)*15,0),IFERROR(VLOOKUP($E:$E,Structure!$A:$AJ,U$1,0)*15,0))</f>
        <v>0</v>
      </c>
      <c r="V55" s="13">
        <f>SUM(IFERROR(VLOOKUP($C:$C,Structure!$A:$AJ,V$1,0)*15,0),IFERROR(VLOOKUP($D:$D,Structure!$A:$AJ,V$1,0)*15,0),IFERROR(VLOOKUP($E:$E,Structure!$A:$AJ,V$1,0)*15,0))</f>
        <v>0</v>
      </c>
      <c r="W55" s="13">
        <f>SUM(IFERROR(VLOOKUP($C:$C,Structure!$A:$AJ,W$1,0)*15,0),IFERROR(VLOOKUP($D:$D,Structure!$A:$AJ,W$1,0)*15,0),IFERROR(VLOOKUP($E:$E,Structure!$A:$AJ,W$1,0)*15,0))</f>
        <v>0</v>
      </c>
      <c r="X55" s="13">
        <f>SUM(IFERROR(VLOOKUP($C:$C,Structure!$A:$AJ,X$1,0)*15,0),IFERROR(VLOOKUP($D:$D,Structure!$A:$AJ,X$1,0)*15,0),IFERROR(VLOOKUP($E:$E,Structure!$A:$AJ,X$1,0)*15,0))</f>
        <v>0</v>
      </c>
      <c r="Y55" s="13">
        <f>SUM(IFERROR(VLOOKUP($C:$C,Structure!$A:$AJ,Y$1,0)*15,0),IFERROR(VLOOKUP($D:$D,Structure!$A:$AJ,Y$1,0)*15,0),IFERROR(VLOOKUP($E:$E,Structure!$A:$AJ,Y$1,0)*15,0))</f>
        <v>0</v>
      </c>
      <c r="Z55" s="13">
        <f>SUM(IFERROR(VLOOKUP($C:$C,Structure!$A:$AJ,Z$1,0)*15,0),IFERROR(VLOOKUP($D:$D,Structure!$A:$AJ,Z$1,0)*15,0),IFERROR(VLOOKUP($E:$E,Structure!$A:$AJ,Z$1,0)*15,0))</f>
        <v>0</v>
      </c>
      <c r="AA55" s="13">
        <f>SUM(IFERROR(VLOOKUP($C:$C,Structure!$A:$AJ,AA$1,0)*15,0),IFERROR(VLOOKUP($D:$D,Structure!$A:$AJ,AA$1,0)*15,0),IFERROR(VLOOKUP($E:$E,Structure!$A:$AJ,AA$1,0)*15,0))</f>
        <v>45</v>
      </c>
      <c r="AB55" s="13">
        <f>SUM(IFERROR(VLOOKUP($C:$C,Structure!$A:$AJ,AB$1,0)*15,0),IFERROR(VLOOKUP($D:$D,Structure!$A:$AJ,AB$1,0)*15,0),IFERROR(VLOOKUP($E:$E,Structure!$A:$AJ,AB$1,0)*15,0))</f>
        <v>0</v>
      </c>
      <c r="AC55" s="13">
        <f>SUM(IFERROR(VLOOKUP($C:$C,Structure!$A:$AJ,AC$1,0)*15,0),IFERROR(VLOOKUP($D:$D,Structure!$A:$AJ,AC$1,0)*15,0),IFERROR(VLOOKUP($E:$E,Structure!$A:$AJ,AC$1,0)*15,0))</f>
        <v>0</v>
      </c>
      <c r="AD55" s="13">
        <f>SUM(IFERROR(VLOOKUP($C:$C,Structure!$A:$AJ,AD$1,0)*15,0),IFERROR(VLOOKUP($D:$D,Structure!$A:$AJ,AD$1,0)*15,0),IFERROR(VLOOKUP($E:$E,Structure!$A:$AJ,AD$1,0)*15,0))</f>
        <v>0</v>
      </c>
      <c r="AE55" s="13">
        <f>SUM(IFERROR(VLOOKUP($C:$C,Structure!$A:$AJ,AE$1,0)*15,0),IFERROR(VLOOKUP($D:$D,Structure!$A:$AJ,AE$1,0)*15,0),IFERROR(VLOOKUP($E:$E,Structure!$A:$AJ,AE$1,0)*15,0))</f>
        <v>0</v>
      </c>
      <c r="AF55" s="13">
        <f>SUM(IFERROR(VLOOKUP($C:$C,Structure!$A:$AJ,AF$1,0)*15,0),IFERROR(VLOOKUP($D:$D,Structure!$A:$AJ,AF$1,0)*15,0),IFERROR(VLOOKUP($E:$E,Structure!$A:$AJ,AF$1,0)*15,0))</f>
        <v>0</v>
      </c>
      <c r="AG55" s="13">
        <f>SUM(IFERROR(VLOOKUP($C:$C,Structure!$A:$AJ,AG$1,0)*15,0),IFERROR(VLOOKUP($D:$D,Structure!$A:$AJ,AG$1,0)*15,0),IFERROR(VLOOKUP($E:$E,Structure!$A:$AJ,AG$1,0)*15,0))</f>
        <v>0</v>
      </c>
      <c r="AH55" s="13">
        <f>SUM(IFERROR(VLOOKUP($C:$C,Structure!$A:$AJ,AH$1,0)*15,0),IFERROR(VLOOKUP($D:$D,Structure!$A:$AJ,AH$1,0)*15,0),IFERROR(VLOOKUP($E:$E,Structure!$A:$AJ,AH$1,0)*15,0))</f>
        <v>0</v>
      </c>
      <c r="AI55" s="13">
        <f>SUM(IFERROR(VLOOKUP($C:$C,Structure!$A:$AJ,AI$1,0)*15,0),IFERROR(VLOOKUP($D:$D,Structure!$A:$AJ,AI$1,0)*15,0),IFERROR(VLOOKUP($E:$E,Structure!$A:$AJ,AI$1,0)*15,0))</f>
        <v>0</v>
      </c>
      <c r="AJ55" s="13">
        <f>SUM(IFERROR(VLOOKUP($C:$C,Structure!$A:$AJ,AJ$1,0)*15,0),IFERROR(VLOOKUP($D:$D,Structure!$A:$AJ,AJ$1,0)*15,0),IFERROR(VLOOKUP($E:$E,Structure!$A:$AJ,AJ$1,0)*15,0))</f>
        <v>30</v>
      </c>
      <c r="AK55" s="13">
        <f>SUM(IFERROR(VLOOKUP($C:$C,Structure!$A:$AJ,AK$1,0)*15,0),IFERROR(VLOOKUP($D:$D,Structure!$A:$AJ,AK$1,0)*15,0),IFERROR(VLOOKUP($E:$E,Structure!$A:$AJ,AK$1,0)*15,0))</f>
        <v>15</v>
      </c>
      <c r="AL55" s="13">
        <f>SUM(IFERROR(VLOOKUP($C:$C,Structure!$A:$AJ,AL$1,0)*15,0),IFERROR(VLOOKUP($D:$D,Structure!$A:$AJ,AL$1,0)*15,0),IFERROR(VLOOKUP($E:$E,Structure!$A:$AJ,AL$1,0)*15,0))</f>
        <v>0</v>
      </c>
      <c r="AM55" s="13">
        <f>SUM(IFERROR(VLOOKUP($C:$C,Structure!$A:$AJ,AM$1,0)*15,0),IFERROR(VLOOKUP($D:$D,Structure!$A:$AJ,AM$1,0)*15,0),IFERROR(VLOOKUP($E:$E,Structure!$A:$AJ,AM$1,0)*15,0))</f>
        <v>0</v>
      </c>
      <c r="AN55" s="13">
        <f>SUM(IFERROR(VLOOKUP($C:$C,Structure!$A:$AJ,AN$1,0)*15,0),IFERROR(VLOOKUP($D:$D,Structure!$A:$AJ,AN$1,0)*15,0),IFERROR(VLOOKUP($E:$E,Structure!$A:$AJ,AN$1,0)*15,0))</f>
        <v>0</v>
      </c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3"/>
      <c r="BZ55" s="4">
        <f>BZ54+AQ55-F55</f>
        <v>0</v>
      </c>
      <c r="CA55" s="4">
        <f>CA54+AR55-G55</f>
        <v>0</v>
      </c>
      <c r="CB55" s="4">
        <f>CB54+AS55-H55</f>
        <v>0</v>
      </c>
      <c r="CC55" s="4">
        <f>CC54+AT55-I55</f>
        <v>0</v>
      </c>
      <c r="CD55" s="4">
        <f>CD54+AU55-J55</f>
        <v>0</v>
      </c>
      <c r="CE55" s="4">
        <f>CE54+AV55-K55</f>
        <v>0</v>
      </c>
      <c r="CF55" s="4">
        <f>CF54+AW55-L55</f>
        <v>0</v>
      </c>
      <c r="CG55" s="4">
        <f>CG54+AX55-M55</f>
        <v>0</v>
      </c>
      <c r="CH55" s="4">
        <f>CH54+AY55-N55</f>
        <v>0</v>
      </c>
      <c r="CI55" s="4">
        <f>CI54+AZ55-O55</f>
        <v>0</v>
      </c>
      <c r="CJ55" s="4">
        <f>CJ54+BA55-P55</f>
        <v>0</v>
      </c>
      <c r="CK55" s="4">
        <f>CK54+BB55-Q55</f>
        <v>0</v>
      </c>
      <c r="CL55" s="4">
        <f>CL54+BC55-R55</f>
        <v>0</v>
      </c>
      <c r="CM55" s="4">
        <f>CM54+BD55-S55</f>
        <v>0</v>
      </c>
      <c r="CN55" s="4">
        <f>CN54+BE55-T55</f>
        <v>0</v>
      </c>
      <c r="CO55" s="4">
        <f>CO54+BF55-U55</f>
        <v>0</v>
      </c>
      <c r="CP55" s="4">
        <f>CP54+BG55-V55</f>
        <v>0</v>
      </c>
      <c r="CQ55" s="4">
        <f>CQ54+BH55-W55</f>
        <v>0</v>
      </c>
      <c r="CR55" s="4">
        <f>CR54+BI55-X55</f>
        <v>0</v>
      </c>
      <c r="CS55" s="4">
        <f>CS54+BJ55-Y55</f>
        <v>0</v>
      </c>
      <c r="CT55" s="4">
        <f>CT54+BK55-Z55</f>
        <v>0</v>
      </c>
      <c r="CU55" s="4">
        <f>CU54+BL55-AA55</f>
        <v>-2030</v>
      </c>
      <c r="CV55" s="4">
        <f>CV54+BM55-AB55</f>
        <v>-165</v>
      </c>
      <c r="CW55" s="4">
        <f>CW54+BN55-AC55</f>
        <v>-90</v>
      </c>
      <c r="CX55" s="4">
        <f>CX54+BO55-AD55</f>
        <v>0</v>
      </c>
      <c r="CY55" s="4">
        <f>CY54+BP55-AE55</f>
        <v>0</v>
      </c>
      <c r="CZ55" s="4">
        <f>CZ54+BQ55-AF55</f>
        <v>-85</v>
      </c>
      <c r="DA55" s="4">
        <f>DA54+BR55-AG55</f>
        <v>0</v>
      </c>
      <c r="DB55" s="4">
        <f>DB54+BS55-AH55</f>
        <v>0</v>
      </c>
      <c r="DC55" s="4">
        <f>DC54+BT55-AI55</f>
        <v>0</v>
      </c>
      <c r="DD55" s="4">
        <f>DD54+BU55-AJ55</f>
        <v>-1510</v>
      </c>
      <c r="DE55" s="4">
        <f>DE54+BV55-AK55</f>
        <v>-540</v>
      </c>
      <c r="DF55" s="4">
        <f>DF54+BW55-AL55</f>
        <v>0</v>
      </c>
      <c r="DG55" s="4">
        <f>DG54+BX55-AM55</f>
        <v>-70</v>
      </c>
      <c r="DH55" s="4">
        <f>DH54+BY55-AN55</f>
        <v>0</v>
      </c>
    </row>
    <row r="56" spans="1:112" x14ac:dyDescent="0.25">
      <c r="A56" s="6">
        <v>46181</v>
      </c>
      <c r="B56" s="7">
        <v>0.54166666654055007</v>
      </c>
      <c r="C56" s="3" t="s">
        <v>3</v>
      </c>
      <c r="D56" s="3" t="s">
        <v>6</v>
      </c>
      <c r="E56" s="3" t="s">
        <v>2</v>
      </c>
      <c r="F56" s="13">
        <f>SUM(IFERROR(VLOOKUP($C:$C,Structure!$A:$AJ,F$1,0)*15,0),IFERROR(VLOOKUP($D:$D,Structure!$A:$AJ,F$1,0)*15,0),IFERROR(VLOOKUP($E:$E,Structure!$A:$AJ,F$1,0)*15,0))</f>
        <v>0</v>
      </c>
      <c r="G56" s="13">
        <f>SUM(IFERROR(VLOOKUP($C:$C,Structure!$A:$AJ,G$1,0)*15,0),IFERROR(VLOOKUP($D:$D,Structure!$A:$AJ,G$1,0)*15,0),IFERROR(VLOOKUP($E:$E,Structure!$A:$AJ,G$1,0)*15,0))</f>
        <v>0</v>
      </c>
      <c r="H56" s="13">
        <f>SUM(IFERROR(VLOOKUP($C:$C,Structure!$A:$AJ,H$1,0)*15,0),IFERROR(VLOOKUP($D:$D,Structure!$A:$AJ,H$1,0)*15,0),IFERROR(VLOOKUP($E:$E,Structure!$A:$AJ,H$1,0)*15,0))</f>
        <v>0</v>
      </c>
      <c r="I56" s="13">
        <f>SUM(IFERROR(VLOOKUP($C:$C,Structure!$A:$AJ,I$1,0)*15,0),IFERROR(VLOOKUP($D:$D,Structure!$A:$AJ,I$1,0)*15,0),IFERROR(VLOOKUP($E:$E,Structure!$A:$AJ,I$1,0)*15,0))</f>
        <v>0</v>
      </c>
      <c r="J56" s="13">
        <f>SUM(IFERROR(VLOOKUP($C:$C,Structure!$A:$AJ,J$1,0)*15,0),IFERROR(VLOOKUP($D:$D,Structure!$A:$AJ,J$1,0)*15,0),IFERROR(VLOOKUP($E:$E,Structure!$A:$AJ,J$1,0)*15,0))</f>
        <v>0</v>
      </c>
      <c r="K56" s="13">
        <f>SUM(IFERROR(VLOOKUP($C:$C,Structure!$A:$AJ,K$1,0)*15,0),IFERROR(VLOOKUP($D:$D,Structure!$A:$AJ,K$1,0)*15,0),IFERROR(VLOOKUP($E:$E,Structure!$A:$AJ,K$1,0)*15,0))</f>
        <v>0</v>
      </c>
      <c r="L56" s="13">
        <f>SUM(IFERROR(VLOOKUP($C:$C,Structure!$A:$AJ,L$1,0)*15,0),IFERROR(VLOOKUP($D:$D,Structure!$A:$AJ,L$1,0)*15,0),IFERROR(VLOOKUP($E:$E,Structure!$A:$AJ,L$1,0)*15,0))</f>
        <v>0</v>
      </c>
      <c r="M56" s="13">
        <f>SUM(IFERROR(VLOOKUP($C:$C,Structure!$A:$AJ,M$1,0)*15,0),IFERROR(VLOOKUP($D:$D,Structure!$A:$AJ,M$1,0)*15,0),IFERROR(VLOOKUP($E:$E,Structure!$A:$AJ,M$1,0)*15,0))</f>
        <v>0</v>
      </c>
      <c r="N56" s="13">
        <f>SUM(IFERROR(VLOOKUP($C:$C,Structure!$A:$AJ,N$1,0)*15,0),IFERROR(VLOOKUP($D:$D,Structure!$A:$AJ,N$1,0)*15,0),IFERROR(VLOOKUP($E:$E,Structure!$A:$AJ,N$1,0)*15,0))</f>
        <v>0</v>
      </c>
      <c r="O56" s="13">
        <f>SUM(IFERROR(VLOOKUP($C:$C,Structure!$A:$AJ,O$1,0)*15,0),IFERROR(VLOOKUP($D:$D,Structure!$A:$AJ,O$1,0)*15,0),IFERROR(VLOOKUP($E:$E,Structure!$A:$AJ,O$1,0)*15,0))</f>
        <v>0</v>
      </c>
      <c r="P56" s="13">
        <f>SUM(IFERROR(VLOOKUP($C:$C,Structure!$A:$AJ,P$1,0)*15,0),IFERROR(VLOOKUP($D:$D,Structure!$A:$AJ,P$1,0)*15,0),IFERROR(VLOOKUP($E:$E,Structure!$A:$AJ,P$1,0)*15,0))</f>
        <v>0</v>
      </c>
      <c r="Q56" s="13">
        <f>SUM(IFERROR(VLOOKUP($C:$C,Structure!$A:$AJ,Q$1,0)*15,0),IFERROR(VLOOKUP($D:$D,Structure!$A:$AJ,Q$1,0)*15,0),IFERROR(VLOOKUP($E:$E,Structure!$A:$AJ,Q$1,0)*15,0))</f>
        <v>0</v>
      </c>
      <c r="R56" s="13">
        <f>SUM(IFERROR(VLOOKUP($C:$C,Structure!$A:$AJ,R$1,0)*15,0),IFERROR(VLOOKUP($D:$D,Structure!$A:$AJ,R$1,0)*15,0),IFERROR(VLOOKUP($E:$E,Structure!$A:$AJ,R$1,0)*15,0))</f>
        <v>0</v>
      </c>
      <c r="S56" s="13">
        <f>SUM(IFERROR(VLOOKUP($C:$C,Structure!$A:$AJ,S$1,0)*15,0),IFERROR(VLOOKUP($D:$D,Structure!$A:$AJ,S$1,0)*15,0),IFERROR(VLOOKUP($E:$E,Structure!$A:$AJ,S$1,0)*15,0))</f>
        <v>0</v>
      </c>
      <c r="T56" s="13">
        <f>SUM(IFERROR(VLOOKUP($C:$C,Structure!$A:$AJ,T$1,0)*15,0),IFERROR(VLOOKUP($D:$D,Structure!$A:$AJ,T$1,0)*15,0),IFERROR(VLOOKUP($E:$E,Structure!$A:$AJ,T$1,0)*15,0))</f>
        <v>0</v>
      </c>
      <c r="U56" s="13">
        <f>SUM(IFERROR(VLOOKUP($C:$C,Structure!$A:$AJ,U$1,0)*15,0),IFERROR(VLOOKUP($D:$D,Structure!$A:$AJ,U$1,0)*15,0),IFERROR(VLOOKUP($E:$E,Structure!$A:$AJ,U$1,0)*15,0))</f>
        <v>0</v>
      </c>
      <c r="V56" s="13">
        <f>SUM(IFERROR(VLOOKUP($C:$C,Structure!$A:$AJ,V$1,0)*15,0),IFERROR(VLOOKUP($D:$D,Structure!$A:$AJ,V$1,0)*15,0),IFERROR(VLOOKUP($E:$E,Structure!$A:$AJ,V$1,0)*15,0))</f>
        <v>0</v>
      </c>
      <c r="W56" s="13">
        <f>SUM(IFERROR(VLOOKUP($C:$C,Structure!$A:$AJ,W$1,0)*15,0),IFERROR(VLOOKUP($D:$D,Structure!$A:$AJ,W$1,0)*15,0),IFERROR(VLOOKUP($E:$E,Structure!$A:$AJ,W$1,0)*15,0))</f>
        <v>0</v>
      </c>
      <c r="X56" s="13">
        <f>SUM(IFERROR(VLOOKUP($C:$C,Structure!$A:$AJ,X$1,0)*15,0),IFERROR(VLOOKUP($D:$D,Structure!$A:$AJ,X$1,0)*15,0),IFERROR(VLOOKUP($E:$E,Structure!$A:$AJ,X$1,0)*15,0))</f>
        <v>0</v>
      </c>
      <c r="Y56" s="13">
        <f>SUM(IFERROR(VLOOKUP($C:$C,Structure!$A:$AJ,Y$1,0)*15,0),IFERROR(VLOOKUP($D:$D,Structure!$A:$AJ,Y$1,0)*15,0),IFERROR(VLOOKUP($E:$E,Structure!$A:$AJ,Y$1,0)*15,0))</f>
        <v>0</v>
      </c>
      <c r="Z56" s="13">
        <f>SUM(IFERROR(VLOOKUP($C:$C,Structure!$A:$AJ,Z$1,0)*15,0),IFERROR(VLOOKUP($D:$D,Structure!$A:$AJ,Z$1,0)*15,0),IFERROR(VLOOKUP($E:$E,Structure!$A:$AJ,Z$1,0)*15,0))</f>
        <v>0</v>
      </c>
      <c r="AA56" s="13">
        <f>SUM(IFERROR(VLOOKUP($C:$C,Structure!$A:$AJ,AA$1,0)*15,0),IFERROR(VLOOKUP($D:$D,Structure!$A:$AJ,AA$1,0)*15,0),IFERROR(VLOOKUP($E:$E,Structure!$A:$AJ,AA$1,0)*15,0))</f>
        <v>45</v>
      </c>
      <c r="AB56" s="13">
        <f>SUM(IFERROR(VLOOKUP($C:$C,Structure!$A:$AJ,AB$1,0)*15,0),IFERROR(VLOOKUP($D:$D,Structure!$A:$AJ,AB$1,0)*15,0),IFERROR(VLOOKUP($E:$E,Structure!$A:$AJ,AB$1,0)*15,0))</f>
        <v>0</v>
      </c>
      <c r="AC56" s="13">
        <f>SUM(IFERROR(VLOOKUP($C:$C,Structure!$A:$AJ,AC$1,0)*15,0),IFERROR(VLOOKUP($D:$D,Structure!$A:$AJ,AC$1,0)*15,0),IFERROR(VLOOKUP($E:$E,Structure!$A:$AJ,AC$1,0)*15,0))</f>
        <v>0</v>
      </c>
      <c r="AD56" s="13">
        <f>SUM(IFERROR(VLOOKUP($C:$C,Structure!$A:$AJ,AD$1,0)*15,0),IFERROR(VLOOKUP($D:$D,Structure!$A:$AJ,AD$1,0)*15,0),IFERROR(VLOOKUP($E:$E,Structure!$A:$AJ,AD$1,0)*15,0))</f>
        <v>0</v>
      </c>
      <c r="AE56" s="13">
        <f>SUM(IFERROR(VLOOKUP($C:$C,Structure!$A:$AJ,AE$1,0)*15,0),IFERROR(VLOOKUP($D:$D,Structure!$A:$AJ,AE$1,0)*15,0),IFERROR(VLOOKUP($E:$E,Structure!$A:$AJ,AE$1,0)*15,0))</f>
        <v>0</v>
      </c>
      <c r="AF56" s="13">
        <f>SUM(IFERROR(VLOOKUP($C:$C,Structure!$A:$AJ,AF$1,0)*15,0),IFERROR(VLOOKUP($D:$D,Structure!$A:$AJ,AF$1,0)*15,0),IFERROR(VLOOKUP($E:$E,Structure!$A:$AJ,AF$1,0)*15,0))</f>
        <v>0</v>
      </c>
      <c r="AG56" s="13">
        <f>SUM(IFERROR(VLOOKUP($C:$C,Structure!$A:$AJ,AG$1,0)*15,0),IFERROR(VLOOKUP($D:$D,Structure!$A:$AJ,AG$1,0)*15,0),IFERROR(VLOOKUP($E:$E,Structure!$A:$AJ,AG$1,0)*15,0))</f>
        <v>0</v>
      </c>
      <c r="AH56" s="13">
        <f>SUM(IFERROR(VLOOKUP($C:$C,Structure!$A:$AJ,AH$1,0)*15,0),IFERROR(VLOOKUP($D:$D,Structure!$A:$AJ,AH$1,0)*15,0),IFERROR(VLOOKUP($E:$E,Structure!$A:$AJ,AH$1,0)*15,0))</f>
        <v>0</v>
      </c>
      <c r="AI56" s="13">
        <f>SUM(IFERROR(VLOOKUP($C:$C,Structure!$A:$AJ,AI$1,0)*15,0),IFERROR(VLOOKUP($D:$D,Structure!$A:$AJ,AI$1,0)*15,0),IFERROR(VLOOKUP($E:$E,Structure!$A:$AJ,AI$1,0)*15,0))</f>
        <v>0</v>
      </c>
      <c r="AJ56" s="13">
        <f>SUM(IFERROR(VLOOKUP($C:$C,Structure!$A:$AJ,AJ$1,0)*15,0),IFERROR(VLOOKUP($D:$D,Structure!$A:$AJ,AJ$1,0)*15,0),IFERROR(VLOOKUP($E:$E,Structure!$A:$AJ,AJ$1,0)*15,0))</f>
        <v>30</v>
      </c>
      <c r="AK56" s="13">
        <f>SUM(IFERROR(VLOOKUP($C:$C,Structure!$A:$AJ,AK$1,0)*15,0),IFERROR(VLOOKUP($D:$D,Structure!$A:$AJ,AK$1,0)*15,0),IFERROR(VLOOKUP($E:$E,Structure!$A:$AJ,AK$1,0)*15,0))</f>
        <v>15</v>
      </c>
      <c r="AL56" s="13">
        <f>SUM(IFERROR(VLOOKUP($C:$C,Structure!$A:$AJ,AL$1,0)*15,0),IFERROR(VLOOKUP($D:$D,Structure!$A:$AJ,AL$1,0)*15,0),IFERROR(VLOOKUP($E:$E,Structure!$A:$AJ,AL$1,0)*15,0))</f>
        <v>0</v>
      </c>
      <c r="AM56" s="13">
        <f>SUM(IFERROR(VLOOKUP($C:$C,Structure!$A:$AJ,AM$1,0)*15,0),IFERROR(VLOOKUP($D:$D,Structure!$A:$AJ,AM$1,0)*15,0),IFERROR(VLOOKUP($E:$E,Structure!$A:$AJ,AM$1,0)*15,0))</f>
        <v>0</v>
      </c>
      <c r="AN56" s="13">
        <f>SUM(IFERROR(VLOOKUP($C:$C,Structure!$A:$AJ,AN$1,0)*15,0),IFERROR(VLOOKUP($D:$D,Structure!$A:$AJ,AN$1,0)*15,0),IFERROR(VLOOKUP($E:$E,Structure!$A:$AJ,AN$1,0)*15,0))</f>
        <v>0</v>
      </c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3"/>
      <c r="BZ56" s="4">
        <f>BZ55+AQ56-F56</f>
        <v>0</v>
      </c>
      <c r="CA56" s="4">
        <f>CA55+AR56-G56</f>
        <v>0</v>
      </c>
      <c r="CB56" s="4">
        <f>CB55+AS56-H56</f>
        <v>0</v>
      </c>
      <c r="CC56" s="4">
        <f>CC55+AT56-I56</f>
        <v>0</v>
      </c>
      <c r="CD56" s="4">
        <f>CD55+AU56-J56</f>
        <v>0</v>
      </c>
      <c r="CE56" s="4">
        <f>CE55+AV56-K56</f>
        <v>0</v>
      </c>
      <c r="CF56" s="4">
        <f>CF55+AW56-L56</f>
        <v>0</v>
      </c>
      <c r="CG56" s="4">
        <f>CG55+AX56-M56</f>
        <v>0</v>
      </c>
      <c r="CH56" s="4">
        <f>CH55+AY56-N56</f>
        <v>0</v>
      </c>
      <c r="CI56" s="4">
        <f>CI55+AZ56-O56</f>
        <v>0</v>
      </c>
      <c r="CJ56" s="4">
        <f>CJ55+BA56-P56</f>
        <v>0</v>
      </c>
      <c r="CK56" s="4">
        <f>CK55+BB56-Q56</f>
        <v>0</v>
      </c>
      <c r="CL56" s="4">
        <f>CL55+BC56-R56</f>
        <v>0</v>
      </c>
      <c r="CM56" s="4">
        <f>CM55+BD56-S56</f>
        <v>0</v>
      </c>
      <c r="CN56" s="4">
        <f>CN55+BE56-T56</f>
        <v>0</v>
      </c>
      <c r="CO56" s="4">
        <f>CO55+BF56-U56</f>
        <v>0</v>
      </c>
      <c r="CP56" s="4">
        <f>CP55+BG56-V56</f>
        <v>0</v>
      </c>
      <c r="CQ56" s="4">
        <f>CQ55+BH56-W56</f>
        <v>0</v>
      </c>
      <c r="CR56" s="4">
        <f>CR55+BI56-X56</f>
        <v>0</v>
      </c>
      <c r="CS56" s="4">
        <f>CS55+BJ56-Y56</f>
        <v>0</v>
      </c>
      <c r="CT56" s="4">
        <f>CT55+BK56-Z56</f>
        <v>0</v>
      </c>
      <c r="CU56" s="4">
        <f>CU55+BL56-AA56</f>
        <v>-2075</v>
      </c>
      <c r="CV56" s="4">
        <f>CV55+BM56-AB56</f>
        <v>-165</v>
      </c>
      <c r="CW56" s="4">
        <f>CW55+BN56-AC56</f>
        <v>-90</v>
      </c>
      <c r="CX56" s="4">
        <f>CX55+BO56-AD56</f>
        <v>0</v>
      </c>
      <c r="CY56" s="4">
        <f>CY55+BP56-AE56</f>
        <v>0</v>
      </c>
      <c r="CZ56" s="4">
        <f>CZ55+BQ56-AF56</f>
        <v>-85</v>
      </c>
      <c r="DA56" s="4">
        <f>DA55+BR56-AG56</f>
        <v>0</v>
      </c>
      <c r="DB56" s="4">
        <f>DB55+BS56-AH56</f>
        <v>0</v>
      </c>
      <c r="DC56" s="4">
        <f>DC55+BT56-AI56</f>
        <v>0</v>
      </c>
      <c r="DD56" s="4">
        <f>DD55+BU56-AJ56</f>
        <v>-1540</v>
      </c>
      <c r="DE56" s="4">
        <f>DE55+BV56-AK56</f>
        <v>-555</v>
      </c>
      <c r="DF56" s="4">
        <f>DF55+BW56-AL56</f>
        <v>0</v>
      </c>
      <c r="DG56" s="4">
        <f>DG55+BX56-AM56</f>
        <v>-70</v>
      </c>
      <c r="DH56" s="4">
        <f>DH55+BY56-AN56</f>
        <v>0</v>
      </c>
    </row>
    <row r="57" spans="1:112" x14ac:dyDescent="0.25">
      <c r="A57" s="6">
        <v>46181</v>
      </c>
      <c r="B57" s="7">
        <v>0.58333333320479142</v>
      </c>
      <c r="C57" s="3" t="s">
        <v>3</v>
      </c>
      <c r="D57" s="3" t="s">
        <v>6</v>
      </c>
      <c r="E57" s="3" t="s">
        <v>2</v>
      </c>
      <c r="F57" s="13">
        <f>SUM(IFERROR(VLOOKUP($C:$C,Structure!$A:$AJ,F$1,0)*15,0),IFERROR(VLOOKUP($D:$D,Structure!$A:$AJ,F$1,0)*15,0),IFERROR(VLOOKUP($E:$E,Structure!$A:$AJ,F$1,0)*15,0))</f>
        <v>0</v>
      </c>
      <c r="G57" s="13">
        <f>SUM(IFERROR(VLOOKUP($C:$C,Structure!$A:$AJ,G$1,0)*15,0),IFERROR(VLOOKUP($D:$D,Structure!$A:$AJ,G$1,0)*15,0),IFERROR(VLOOKUP($E:$E,Structure!$A:$AJ,G$1,0)*15,0))</f>
        <v>0</v>
      </c>
      <c r="H57" s="13">
        <f>SUM(IFERROR(VLOOKUP($C:$C,Structure!$A:$AJ,H$1,0)*15,0),IFERROR(VLOOKUP($D:$D,Structure!$A:$AJ,H$1,0)*15,0),IFERROR(VLOOKUP($E:$E,Structure!$A:$AJ,H$1,0)*15,0))</f>
        <v>0</v>
      </c>
      <c r="I57" s="13">
        <f>SUM(IFERROR(VLOOKUP($C:$C,Structure!$A:$AJ,I$1,0)*15,0),IFERROR(VLOOKUP($D:$D,Structure!$A:$AJ,I$1,0)*15,0),IFERROR(VLOOKUP($E:$E,Structure!$A:$AJ,I$1,0)*15,0))</f>
        <v>0</v>
      </c>
      <c r="J57" s="13">
        <f>SUM(IFERROR(VLOOKUP($C:$C,Structure!$A:$AJ,J$1,0)*15,0),IFERROR(VLOOKUP($D:$D,Structure!$A:$AJ,J$1,0)*15,0),IFERROR(VLOOKUP($E:$E,Structure!$A:$AJ,J$1,0)*15,0))</f>
        <v>0</v>
      </c>
      <c r="K57" s="13">
        <f>SUM(IFERROR(VLOOKUP($C:$C,Structure!$A:$AJ,K$1,0)*15,0),IFERROR(VLOOKUP($D:$D,Structure!$A:$AJ,K$1,0)*15,0),IFERROR(VLOOKUP($E:$E,Structure!$A:$AJ,K$1,0)*15,0))</f>
        <v>0</v>
      </c>
      <c r="L57" s="13">
        <f>SUM(IFERROR(VLOOKUP($C:$C,Structure!$A:$AJ,L$1,0)*15,0),IFERROR(VLOOKUP($D:$D,Structure!$A:$AJ,L$1,0)*15,0),IFERROR(VLOOKUP($E:$E,Structure!$A:$AJ,L$1,0)*15,0))</f>
        <v>0</v>
      </c>
      <c r="M57" s="13">
        <f>SUM(IFERROR(VLOOKUP($C:$C,Structure!$A:$AJ,M$1,0)*15,0),IFERROR(VLOOKUP($D:$D,Structure!$A:$AJ,M$1,0)*15,0),IFERROR(VLOOKUP($E:$E,Structure!$A:$AJ,M$1,0)*15,0))</f>
        <v>0</v>
      </c>
      <c r="N57" s="13">
        <f>SUM(IFERROR(VLOOKUP($C:$C,Structure!$A:$AJ,N$1,0)*15,0),IFERROR(VLOOKUP($D:$D,Structure!$A:$AJ,N$1,0)*15,0),IFERROR(VLOOKUP($E:$E,Structure!$A:$AJ,N$1,0)*15,0))</f>
        <v>0</v>
      </c>
      <c r="O57" s="13">
        <f>SUM(IFERROR(VLOOKUP($C:$C,Structure!$A:$AJ,O$1,0)*15,0),IFERROR(VLOOKUP($D:$D,Structure!$A:$AJ,O$1,0)*15,0),IFERROR(VLOOKUP($E:$E,Structure!$A:$AJ,O$1,0)*15,0))</f>
        <v>0</v>
      </c>
      <c r="P57" s="13">
        <f>SUM(IFERROR(VLOOKUP($C:$C,Structure!$A:$AJ,P$1,0)*15,0),IFERROR(VLOOKUP($D:$D,Structure!$A:$AJ,P$1,0)*15,0),IFERROR(VLOOKUP($E:$E,Structure!$A:$AJ,P$1,0)*15,0))</f>
        <v>0</v>
      </c>
      <c r="Q57" s="13">
        <f>SUM(IFERROR(VLOOKUP($C:$C,Structure!$A:$AJ,Q$1,0)*15,0),IFERROR(VLOOKUP($D:$D,Structure!$A:$AJ,Q$1,0)*15,0),IFERROR(VLOOKUP($E:$E,Structure!$A:$AJ,Q$1,0)*15,0))</f>
        <v>0</v>
      </c>
      <c r="R57" s="13">
        <f>SUM(IFERROR(VLOOKUP($C:$C,Structure!$A:$AJ,R$1,0)*15,0),IFERROR(VLOOKUP($D:$D,Structure!$A:$AJ,R$1,0)*15,0),IFERROR(VLOOKUP($E:$E,Structure!$A:$AJ,R$1,0)*15,0))</f>
        <v>0</v>
      </c>
      <c r="S57" s="13">
        <f>SUM(IFERROR(VLOOKUP($C:$C,Structure!$A:$AJ,S$1,0)*15,0),IFERROR(VLOOKUP($D:$D,Structure!$A:$AJ,S$1,0)*15,0),IFERROR(VLOOKUP($E:$E,Structure!$A:$AJ,S$1,0)*15,0))</f>
        <v>0</v>
      </c>
      <c r="T57" s="13">
        <f>SUM(IFERROR(VLOOKUP($C:$C,Structure!$A:$AJ,T$1,0)*15,0),IFERROR(VLOOKUP($D:$D,Structure!$A:$AJ,T$1,0)*15,0),IFERROR(VLOOKUP($E:$E,Structure!$A:$AJ,T$1,0)*15,0))</f>
        <v>0</v>
      </c>
      <c r="U57" s="13">
        <f>SUM(IFERROR(VLOOKUP($C:$C,Structure!$A:$AJ,U$1,0)*15,0),IFERROR(VLOOKUP($D:$D,Structure!$A:$AJ,U$1,0)*15,0),IFERROR(VLOOKUP($E:$E,Structure!$A:$AJ,U$1,0)*15,0))</f>
        <v>0</v>
      </c>
      <c r="V57" s="13">
        <f>SUM(IFERROR(VLOOKUP($C:$C,Structure!$A:$AJ,V$1,0)*15,0),IFERROR(VLOOKUP($D:$D,Structure!$A:$AJ,V$1,0)*15,0),IFERROR(VLOOKUP($E:$E,Structure!$A:$AJ,V$1,0)*15,0))</f>
        <v>0</v>
      </c>
      <c r="W57" s="13">
        <f>SUM(IFERROR(VLOOKUP($C:$C,Structure!$A:$AJ,W$1,0)*15,0),IFERROR(VLOOKUP($D:$D,Structure!$A:$AJ,W$1,0)*15,0),IFERROR(VLOOKUP($E:$E,Structure!$A:$AJ,W$1,0)*15,0))</f>
        <v>0</v>
      </c>
      <c r="X57" s="13">
        <f>SUM(IFERROR(VLOOKUP($C:$C,Structure!$A:$AJ,X$1,0)*15,0),IFERROR(VLOOKUP($D:$D,Structure!$A:$AJ,X$1,0)*15,0),IFERROR(VLOOKUP($E:$E,Structure!$A:$AJ,X$1,0)*15,0))</f>
        <v>0</v>
      </c>
      <c r="Y57" s="13">
        <f>SUM(IFERROR(VLOOKUP($C:$C,Structure!$A:$AJ,Y$1,0)*15,0),IFERROR(VLOOKUP($D:$D,Structure!$A:$AJ,Y$1,0)*15,0),IFERROR(VLOOKUP($E:$E,Structure!$A:$AJ,Y$1,0)*15,0))</f>
        <v>0</v>
      </c>
      <c r="Z57" s="13">
        <f>SUM(IFERROR(VLOOKUP($C:$C,Structure!$A:$AJ,Z$1,0)*15,0),IFERROR(VLOOKUP($D:$D,Structure!$A:$AJ,Z$1,0)*15,0),IFERROR(VLOOKUP($E:$E,Structure!$A:$AJ,Z$1,0)*15,0))</f>
        <v>0</v>
      </c>
      <c r="AA57" s="13">
        <f>SUM(IFERROR(VLOOKUP($C:$C,Structure!$A:$AJ,AA$1,0)*15,0),IFERROR(VLOOKUP($D:$D,Structure!$A:$AJ,AA$1,0)*15,0),IFERROR(VLOOKUP($E:$E,Structure!$A:$AJ,AA$1,0)*15,0))</f>
        <v>45</v>
      </c>
      <c r="AB57" s="13">
        <f>SUM(IFERROR(VLOOKUP($C:$C,Structure!$A:$AJ,AB$1,0)*15,0),IFERROR(VLOOKUP($D:$D,Structure!$A:$AJ,AB$1,0)*15,0),IFERROR(VLOOKUP($E:$E,Structure!$A:$AJ,AB$1,0)*15,0))</f>
        <v>0</v>
      </c>
      <c r="AC57" s="13">
        <f>SUM(IFERROR(VLOOKUP($C:$C,Structure!$A:$AJ,AC$1,0)*15,0),IFERROR(VLOOKUP($D:$D,Structure!$A:$AJ,AC$1,0)*15,0),IFERROR(VLOOKUP($E:$E,Structure!$A:$AJ,AC$1,0)*15,0))</f>
        <v>0</v>
      </c>
      <c r="AD57" s="13">
        <f>SUM(IFERROR(VLOOKUP($C:$C,Structure!$A:$AJ,AD$1,0)*15,0),IFERROR(VLOOKUP($D:$D,Structure!$A:$AJ,AD$1,0)*15,0),IFERROR(VLOOKUP($E:$E,Structure!$A:$AJ,AD$1,0)*15,0))</f>
        <v>0</v>
      </c>
      <c r="AE57" s="13">
        <f>SUM(IFERROR(VLOOKUP($C:$C,Structure!$A:$AJ,AE$1,0)*15,0),IFERROR(VLOOKUP($D:$D,Structure!$A:$AJ,AE$1,0)*15,0),IFERROR(VLOOKUP($E:$E,Structure!$A:$AJ,AE$1,0)*15,0))</f>
        <v>0</v>
      </c>
      <c r="AF57" s="13">
        <f>SUM(IFERROR(VLOOKUP($C:$C,Structure!$A:$AJ,AF$1,0)*15,0),IFERROR(VLOOKUP($D:$D,Structure!$A:$AJ,AF$1,0)*15,0),IFERROR(VLOOKUP($E:$E,Structure!$A:$AJ,AF$1,0)*15,0))</f>
        <v>0</v>
      </c>
      <c r="AG57" s="13">
        <f>SUM(IFERROR(VLOOKUP($C:$C,Structure!$A:$AJ,AG$1,0)*15,0),IFERROR(VLOOKUP($D:$D,Structure!$A:$AJ,AG$1,0)*15,0),IFERROR(VLOOKUP($E:$E,Structure!$A:$AJ,AG$1,0)*15,0))</f>
        <v>0</v>
      </c>
      <c r="AH57" s="13">
        <f>SUM(IFERROR(VLOOKUP($C:$C,Structure!$A:$AJ,AH$1,0)*15,0),IFERROR(VLOOKUP($D:$D,Structure!$A:$AJ,AH$1,0)*15,0),IFERROR(VLOOKUP($E:$E,Structure!$A:$AJ,AH$1,0)*15,0))</f>
        <v>0</v>
      </c>
      <c r="AI57" s="13">
        <f>SUM(IFERROR(VLOOKUP($C:$C,Structure!$A:$AJ,AI$1,0)*15,0),IFERROR(VLOOKUP($D:$D,Structure!$A:$AJ,AI$1,0)*15,0),IFERROR(VLOOKUP($E:$E,Structure!$A:$AJ,AI$1,0)*15,0))</f>
        <v>0</v>
      </c>
      <c r="AJ57" s="13">
        <f>SUM(IFERROR(VLOOKUP($C:$C,Structure!$A:$AJ,AJ$1,0)*15,0),IFERROR(VLOOKUP($D:$D,Structure!$A:$AJ,AJ$1,0)*15,0),IFERROR(VLOOKUP($E:$E,Structure!$A:$AJ,AJ$1,0)*15,0))</f>
        <v>30</v>
      </c>
      <c r="AK57" s="13">
        <f>SUM(IFERROR(VLOOKUP($C:$C,Structure!$A:$AJ,AK$1,0)*15,0),IFERROR(VLOOKUP($D:$D,Structure!$A:$AJ,AK$1,0)*15,0),IFERROR(VLOOKUP($E:$E,Structure!$A:$AJ,AK$1,0)*15,0))</f>
        <v>15</v>
      </c>
      <c r="AL57" s="13">
        <f>SUM(IFERROR(VLOOKUP($C:$C,Structure!$A:$AJ,AL$1,0)*15,0),IFERROR(VLOOKUP($D:$D,Structure!$A:$AJ,AL$1,0)*15,0),IFERROR(VLOOKUP($E:$E,Structure!$A:$AJ,AL$1,0)*15,0))</f>
        <v>0</v>
      </c>
      <c r="AM57" s="13">
        <f>SUM(IFERROR(VLOOKUP($C:$C,Structure!$A:$AJ,AM$1,0)*15,0),IFERROR(VLOOKUP($D:$D,Structure!$A:$AJ,AM$1,0)*15,0),IFERROR(VLOOKUP($E:$E,Structure!$A:$AJ,AM$1,0)*15,0))</f>
        <v>0</v>
      </c>
      <c r="AN57" s="13">
        <f>SUM(IFERROR(VLOOKUP($C:$C,Structure!$A:$AJ,AN$1,0)*15,0),IFERROR(VLOOKUP($D:$D,Structure!$A:$AJ,AN$1,0)*15,0),IFERROR(VLOOKUP($E:$E,Structure!$A:$AJ,AN$1,0)*15,0))</f>
        <v>0</v>
      </c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3"/>
      <c r="BZ57" s="4">
        <f>BZ56+AQ57-F57</f>
        <v>0</v>
      </c>
      <c r="CA57" s="4">
        <f>CA56+AR57-G57</f>
        <v>0</v>
      </c>
      <c r="CB57" s="4">
        <f>CB56+AS57-H57</f>
        <v>0</v>
      </c>
      <c r="CC57" s="4">
        <f>CC56+AT57-I57</f>
        <v>0</v>
      </c>
      <c r="CD57" s="4">
        <f>CD56+AU57-J57</f>
        <v>0</v>
      </c>
      <c r="CE57" s="4">
        <f>CE56+AV57-K57</f>
        <v>0</v>
      </c>
      <c r="CF57" s="4">
        <f>CF56+AW57-L57</f>
        <v>0</v>
      </c>
      <c r="CG57" s="4">
        <f>CG56+AX57-M57</f>
        <v>0</v>
      </c>
      <c r="CH57" s="4">
        <f>CH56+AY57-N57</f>
        <v>0</v>
      </c>
      <c r="CI57" s="4">
        <f>CI56+AZ57-O57</f>
        <v>0</v>
      </c>
      <c r="CJ57" s="4">
        <f>CJ56+BA57-P57</f>
        <v>0</v>
      </c>
      <c r="CK57" s="4">
        <f>CK56+BB57-Q57</f>
        <v>0</v>
      </c>
      <c r="CL57" s="4">
        <f>CL56+BC57-R57</f>
        <v>0</v>
      </c>
      <c r="CM57" s="4">
        <f>CM56+BD57-S57</f>
        <v>0</v>
      </c>
      <c r="CN57" s="4">
        <f>CN56+BE57-T57</f>
        <v>0</v>
      </c>
      <c r="CO57" s="4">
        <f>CO56+BF57-U57</f>
        <v>0</v>
      </c>
      <c r="CP57" s="4">
        <f>CP56+BG57-V57</f>
        <v>0</v>
      </c>
      <c r="CQ57" s="4">
        <f>CQ56+BH57-W57</f>
        <v>0</v>
      </c>
      <c r="CR57" s="4">
        <f>CR56+BI57-X57</f>
        <v>0</v>
      </c>
      <c r="CS57" s="4">
        <f>CS56+BJ57-Y57</f>
        <v>0</v>
      </c>
      <c r="CT57" s="4">
        <f>CT56+BK57-Z57</f>
        <v>0</v>
      </c>
      <c r="CU57" s="4">
        <f>CU56+BL57-AA57</f>
        <v>-2120</v>
      </c>
      <c r="CV57" s="4">
        <f>CV56+BM57-AB57</f>
        <v>-165</v>
      </c>
      <c r="CW57" s="4">
        <f>CW56+BN57-AC57</f>
        <v>-90</v>
      </c>
      <c r="CX57" s="4">
        <f>CX56+BO57-AD57</f>
        <v>0</v>
      </c>
      <c r="CY57" s="4">
        <f>CY56+BP57-AE57</f>
        <v>0</v>
      </c>
      <c r="CZ57" s="4">
        <f>CZ56+BQ57-AF57</f>
        <v>-85</v>
      </c>
      <c r="DA57" s="4">
        <f>DA56+BR57-AG57</f>
        <v>0</v>
      </c>
      <c r="DB57" s="4">
        <f>DB56+BS57-AH57</f>
        <v>0</v>
      </c>
      <c r="DC57" s="4">
        <f>DC56+BT57-AI57</f>
        <v>0</v>
      </c>
      <c r="DD57" s="4">
        <f>DD56+BU57-AJ57</f>
        <v>-1570</v>
      </c>
      <c r="DE57" s="4">
        <f>DE56+BV57-AK57</f>
        <v>-570</v>
      </c>
      <c r="DF57" s="4">
        <f>DF56+BW57-AL57</f>
        <v>0</v>
      </c>
      <c r="DG57" s="4">
        <f>DG56+BX57-AM57</f>
        <v>-70</v>
      </c>
      <c r="DH57" s="4">
        <f>DH56+BY57-AN57</f>
        <v>0</v>
      </c>
    </row>
    <row r="58" spans="1:112" x14ac:dyDescent="0.25">
      <c r="A58" s="6">
        <v>46181</v>
      </c>
      <c r="B58" s="7">
        <v>0.62499999986903276</v>
      </c>
      <c r="C58" s="3" t="s">
        <v>3</v>
      </c>
      <c r="D58" s="3" t="s">
        <v>6</v>
      </c>
      <c r="E58" s="3" t="s">
        <v>2</v>
      </c>
      <c r="F58" s="13">
        <f>SUM(IFERROR(VLOOKUP($C:$C,Structure!$A:$AJ,F$1,0)*15,0),IFERROR(VLOOKUP($D:$D,Structure!$A:$AJ,F$1,0)*15,0),IFERROR(VLOOKUP($E:$E,Structure!$A:$AJ,F$1,0)*15,0))</f>
        <v>0</v>
      </c>
      <c r="G58" s="13">
        <f>SUM(IFERROR(VLOOKUP($C:$C,Structure!$A:$AJ,G$1,0)*15,0),IFERROR(VLOOKUP($D:$D,Structure!$A:$AJ,G$1,0)*15,0),IFERROR(VLOOKUP($E:$E,Structure!$A:$AJ,G$1,0)*15,0))</f>
        <v>0</v>
      </c>
      <c r="H58" s="13">
        <f>SUM(IFERROR(VLOOKUP($C:$C,Structure!$A:$AJ,H$1,0)*15,0),IFERROR(VLOOKUP($D:$D,Structure!$A:$AJ,H$1,0)*15,0),IFERROR(VLOOKUP($E:$E,Structure!$A:$AJ,H$1,0)*15,0))</f>
        <v>0</v>
      </c>
      <c r="I58" s="13">
        <f>SUM(IFERROR(VLOOKUP($C:$C,Structure!$A:$AJ,I$1,0)*15,0),IFERROR(VLOOKUP($D:$D,Structure!$A:$AJ,I$1,0)*15,0),IFERROR(VLOOKUP($E:$E,Structure!$A:$AJ,I$1,0)*15,0))</f>
        <v>0</v>
      </c>
      <c r="J58" s="13">
        <f>SUM(IFERROR(VLOOKUP($C:$C,Structure!$A:$AJ,J$1,0)*15,0),IFERROR(VLOOKUP($D:$D,Structure!$A:$AJ,J$1,0)*15,0),IFERROR(VLOOKUP($E:$E,Structure!$A:$AJ,J$1,0)*15,0))</f>
        <v>0</v>
      </c>
      <c r="K58" s="13">
        <f>SUM(IFERROR(VLOOKUP($C:$C,Structure!$A:$AJ,K$1,0)*15,0),IFERROR(VLOOKUP($D:$D,Structure!$A:$AJ,K$1,0)*15,0),IFERROR(VLOOKUP($E:$E,Structure!$A:$AJ,K$1,0)*15,0))</f>
        <v>0</v>
      </c>
      <c r="L58" s="13">
        <f>SUM(IFERROR(VLOOKUP($C:$C,Structure!$A:$AJ,L$1,0)*15,0),IFERROR(VLOOKUP($D:$D,Structure!$A:$AJ,L$1,0)*15,0),IFERROR(VLOOKUP($E:$E,Structure!$A:$AJ,L$1,0)*15,0))</f>
        <v>0</v>
      </c>
      <c r="M58" s="13">
        <f>SUM(IFERROR(VLOOKUP($C:$C,Structure!$A:$AJ,M$1,0)*15,0),IFERROR(VLOOKUP($D:$D,Structure!$A:$AJ,M$1,0)*15,0),IFERROR(VLOOKUP($E:$E,Structure!$A:$AJ,M$1,0)*15,0))</f>
        <v>0</v>
      </c>
      <c r="N58" s="13">
        <f>SUM(IFERROR(VLOOKUP($C:$C,Structure!$A:$AJ,N$1,0)*15,0),IFERROR(VLOOKUP($D:$D,Structure!$A:$AJ,N$1,0)*15,0),IFERROR(VLOOKUP($E:$E,Structure!$A:$AJ,N$1,0)*15,0))</f>
        <v>0</v>
      </c>
      <c r="O58" s="13">
        <f>SUM(IFERROR(VLOOKUP($C:$C,Structure!$A:$AJ,O$1,0)*15,0),IFERROR(VLOOKUP($D:$D,Structure!$A:$AJ,O$1,0)*15,0),IFERROR(VLOOKUP($E:$E,Structure!$A:$AJ,O$1,0)*15,0))</f>
        <v>0</v>
      </c>
      <c r="P58" s="13">
        <f>SUM(IFERROR(VLOOKUP($C:$C,Structure!$A:$AJ,P$1,0)*15,0),IFERROR(VLOOKUP($D:$D,Structure!$A:$AJ,P$1,0)*15,0),IFERROR(VLOOKUP($E:$E,Structure!$A:$AJ,P$1,0)*15,0))</f>
        <v>0</v>
      </c>
      <c r="Q58" s="13">
        <f>SUM(IFERROR(VLOOKUP($C:$C,Structure!$A:$AJ,Q$1,0)*15,0),IFERROR(VLOOKUP($D:$D,Structure!$A:$AJ,Q$1,0)*15,0),IFERROR(VLOOKUP($E:$E,Structure!$A:$AJ,Q$1,0)*15,0))</f>
        <v>0</v>
      </c>
      <c r="R58" s="13">
        <f>SUM(IFERROR(VLOOKUP($C:$C,Structure!$A:$AJ,R$1,0)*15,0),IFERROR(VLOOKUP($D:$D,Structure!$A:$AJ,R$1,0)*15,0),IFERROR(VLOOKUP($E:$E,Structure!$A:$AJ,R$1,0)*15,0))</f>
        <v>0</v>
      </c>
      <c r="S58" s="13">
        <f>SUM(IFERROR(VLOOKUP($C:$C,Structure!$A:$AJ,S$1,0)*15,0),IFERROR(VLOOKUP($D:$D,Structure!$A:$AJ,S$1,0)*15,0),IFERROR(VLOOKUP($E:$E,Structure!$A:$AJ,S$1,0)*15,0))</f>
        <v>0</v>
      </c>
      <c r="T58" s="13">
        <f>SUM(IFERROR(VLOOKUP($C:$C,Structure!$A:$AJ,T$1,0)*15,0),IFERROR(VLOOKUP($D:$D,Structure!$A:$AJ,T$1,0)*15,0),IFERROR(VLOOKUP($E:$E,Structure!$A:$AJ,T$1,0)*15,0))</f>
        <v>0</v>
      </c>
      <c r="U58" s="13">
        <f>SUM(IFERROR(VLOOKUP($C:$C,Structure!$A:$AJ,U$1,0)*15,0),IFERROR(VLOOKUP($D:$D,Structure!$A:$AJ,U$1,0)*15,0),IFERROR(VLOOKUP($E:$E,Structure!$A:$AJ,U$1,0)*15,0))</f>
        <v>0</v>
      </c>
      <c r="V58" s="13">
        <f>SUM(IFERROR(VLOOKUP($C:$C,Structure!$A:$AJ,V$1,0)*15,0),IFERROR(VLOOKUP($D:$D,Structure!$A:$AJ,V$1,0)*15,0),IFERROR(VLOOKUP($E:$E,Structure!$A:$AJ,V$1,0)*15,0))</f>
        <v>0</v>
      </c>
      <c r="W58" s="13">
        <f>SUM(IFERROR(VLOOKUP($C:$C,Structure!$A:$AJ,W$1,0)*15,0),IFERROR(VLOOKUP($D:$D,Structure!$A:$AJ,W$1,0)*15,0),IFERROR(VLOOKUP($E:$E,Structure!$A:$AJ,W$1,0)*15,0))</f>
        <v>0</v>
      </c>
      <c r="X58" s="13">
        <f>SUM(IFERROR(VLOOKUP($C:$C,Structure!$A:$AJ,X$1,0)*15,0),IFERROR(VLOOKUP($D:$D,Structure!$A:$AJ,X$1,0)*15,0),IFERROR(VLOOKUP($E:$E,Structure!$A:$AJ,X$1,0)*15,0))</f>
        <v>0</v>
      </c>
      <c r="Y58" s="13">
        <f>SUM(IFERROR(VLOOKUP($C:$C,Structure!$A:$AJ,Y$1,0)*15,0),IFERROR(VLOOKUP($D:$D,Structure!$A:$AJ,Y$1,0)*15,0),IFERROR(VLOOKUP($E:$E,Structure!$A:$AJ,Y$1,0)*15,0))</f>
        <v>0</v>
      </c>
      <c r="Z58" s="13">
        <f>SUM(IFERROR(VLOOKUP($C:$C,Structure!$A:$AJ,Z$1,0)*15,0),IFERROR(VLOOKUP($D:$D,Structure!$A:$AJ,Z$1,0)*15,0),IFERROR(VLOOKUP($E:$E,Structure!$A:$AJ,Z$1,0)*15,0))</f>
        <v>0</v>
      </c>
      <c r="AA58" s="13">
        <f>SUM(IFERROR(VLOOKUP($C:$C,Structure!$A:$AJ,AA$1,0)*15,0),IFERROR(VLOOKUP($D:$D,Structure!$A:$AJ,AA$1,0)*15,0),IFERROR(VLOOKUP($E:$E,Structure!$A:$AJ,AA$1,0)*15,0))</f>
        <v>45</v>
      </c>
      <c r="AB58" s="13">
        <f>SUM(IFERROR(VLOOKUP($C:$C,Structure!$A:$AJ,AB$1,0)*15,0),IFERROR(VLOOKUP($D:$D,Structure!$A:$AJ,AB$1,0)*15,0),IFERROR(VLOOKUP($E:$E,Structure!$A:$AJ,AB$1,0)*15,0))</f>
        <v>0</v>
      </c>
      <c r="AC58" s="13">
        <f>SUM(IFERROR(VLOOKUP($C:$C,Structure!$A:$AJ,AC$1,0)*15,0),IFERROR(VLOOKUP($D:$D,Structure!$A:$AJ,AC$1,0)*15,0),IFERROR(VLOOKUP($E:$E,Structure!$A:$AJ,AC$1,0)*15,0))</f>
        <v>0</v>
      </c>
      <c r="AD58" s="13">
        <f>SUM(IFERROR(VLOOKUP($C:$C,Structure!$A:$AJ,AD$1,0)*15,0),IFERROR(VLOOKUP($D:$D,Structure!$A:$AJ,AD$1,0)*15,0),IFERROR(VLOOKUP($E:$E,Structure!$A:$AJ,AD$1,0)*15,0))</f>
        <v>0</v>
      </c>
      <c r="AE58" s="13">
        <f>SUM(IFERROR(VLOOKUP($C:$C,Structure!$A:$AJ,AE$1,0)*15,0),IFERROR(VLOOKUP($D:$D,Structure!$A:$AJ,AE$1,0)*15,0),IFERROR(VLOOKUP($E:$E,Structure!$A:$AJ,AE$1,0)*15,0))</f>
        <v>0</v>
      </c>
      <c r="AF58" s="13">
        <f>SUM(IFERROR(VLOOKUP($C:$C,Structure!$A:$AJ,AF$1,0)*15,0),IFERROR(VLOOKUP($D:$D,Structure!$A:$AJ,AF$1,0)*15,0),IFERROR(VLOOKUP($E:$E,Structure!$A:$AJ,AF$1,0)*15,0))</f>
        <v>0</v>
      </c>
      <c r="AG58" s="13">
        <f>SUM(IFERROR(VLOOKUP($C:$C,Structure!$A:$AJ,AG$1,0)*15,0),IFERROR(VLOOKUP($D:$D,Structure!$A:$AJ,AG$1,0)*15,0),IFERROR(VLOOKUP($E:$E,Structure!$A:$AJ,AG$1,0)*15,0))</f>
        <v>0</v>
      </c>
      <c r="AH58" s="13">
        <f>SUM(IFERROR(VLOOKUP($C:$C,Structure!$A:$AJ,AH$1,0)*15,0),IFERROR(VLOOKUP($D:$D,Structure!$A:$AJ,AH$1,0)*15,0),IFERROR(VLOOKUP($E:$E,Structure!$A:$AJ,AH$1,0)*15,0))</f>
        <v>0</v>
      </c>
      <c r="AI58" s="13">
        <f>SUM(IFERROR(VLOOKUP($C:$C,Structure!$A:$AJ,AI$1,0)*15,0),IFERROR(VLOOKUP($D:$D,Structure!$A:$AJ,AI$1,0)*15,0),IFERROR(VLOOKUP($E:$E,Structure!$A:$AJ,AI$1,0)*15,0))</f>
        <v>0</v>
      </c>
      <c r="AJ58" s="13">
        <f>SUM(IFERROR(VLOOKUP($C:$C,Structure!$A:$AJ,AJ$1,0)*15,0),IFERROR(VLOOKUP($D:$D,Structure!$A:$AJ,AJ$1,0)*15,0),IFERROR(VLOOKUP($E:$E,Structure!$A:$AJ,AJ$1,0)*15,0))</f>
        <v>30</v>
      </c>
      <c r="AK58" s="13">
        <f>SUM(IFERROR(VLOOKUP($C:$C,Structure!$A:$AJ,AK$1,0)*15,0),IFERROR(VLOOKUP($D:$D,Structure!$A:$AJ,AK$1,0)*15,0),IFERROR(VLOOKUP($E:$E,Structure!$A:$AJ,AK$1,0)*15,0))</f>
        <v>15</v>
      </c>
      <c r="AL58" s="13">
        <f>SUM(IFERROR(VLOOKUP($C:$C,Structure!$A:$AJ,AL$1,0)*15,0),IFERROR(VLOOKUP($D:$D,Structure!$A:$AJ,AL$1,0)*15,0),IFERROR(VLOOKUP($E:$E,Structure!$A:$AJ,AL$1,0)*15,0))</f>
        <v>0</v>
      </c>
      <c r="AM58" s="13">
        <f>SUM(IFERROR(VLOOKUP($C:$C,Structure!$A:$AJ,AM$1,0)*15,0),IFERROR(VLOOKUP($D:$D,Structure!$A:$AJ,AM$1,0)*15,0),IFERROR(VLOOKUP($E:$E,Structure!$A:$AJ,AM$1,0)*15,0))</f>
        <v>0</v>
      </c>
      <c r="AN58" s="13">
        <f>SUM(IFERROR(VLOOKUP($C:$C,Structure!$A:$AJ,AN$1,0)*15,0),IFERROR(VLOOKUP($D:$D,Structure!$A:$AJ,AN$1,0)*15,0),IFERROR(VLOOKUP($E:$E,Structure!$A:$AJ,AN$1,0)*15,0))</f>
        <v>0</v>
      </c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3"/>
      <c r="BZ58" s="4">
        <f>BZ57+AQ58-F58</f>
        <v>0</v>
      </c>
      <c r="CA58" s="4">
        <f>CA57+AR58-G58</f>
        <v>0</v>
      </c>
      <c r="CB58" s="4">
        <f>CB57+AS58-H58</f>
        <v>0</v>
      </c>
      <c r="CC58" s="4">
        <f>CC57+AT58-I58</f>
        <v>0</v>
      </c>
      <c r="CD58" s="4">
        <f>CD57+AU58-J58</f>
        <v>0</v>
      </c>
      <c r="CE58" s="4">
        <f>CE57+AV58-K58</f>
        <v>0</v>
      </c>
      <c r="CF58" s="4">
        <f>CF57+AW58-L58</f>
        <v>0</v>
      </c>
      <c r="CG58" s="4">
        <f>CG57+AX58-M58</f>
        <v>0</v>
      </c>
      <c r="CH58" s="4">
        <f>CH57+AY58-N58</f>
        <v>0</v>
      </c>
      <c r="CI58" s="4">
        <f>CI57+AZ58-O58</f>
        <v>0</v>
      </c>
      <c r="CJ58" s="4">
        <f>CJ57+BA58-P58</f>
        <v>0</v>
      </c>
      <c r="CK58" s="4">
        <f>CK57+BB58-Q58</f>
        <v>0</v>
      </c>
      <c r="CL58" s="4">
        <f>CL57+BC58-R58</f>
        <v>0</v>
      </c>
      <c r="CM58" s="4">
        <f>CM57+BD58-S58</f>
        <v>0</v>
      </c>
      <c r="CN58" s="4">
        <f>CN57+BE58-T58</f>
        <v>0</v>
      </c>
      <c r="CO58" s="4">
        <f>CO57+BF58-U58</f>
        <v>0</v>
      </c>
      <c r="CP58" s="4">
        <f>CP57+BG58-V58</f>
        <v>0</v>
      </c>
      <c r="CQ58" s="4">
        <f>CQ57+BH58-W58</f>
        <v>0</v>
      </c>
      <c r="CR58" s="4">
        <f>CR57+BI58-X58</f>
        <v>0</v>
      </c>
      <c r="CS58" s="4">
        <f>CS57+BJ58-Y58</f>
        <v>0</v>
      </c>
      <c r="CT58" s="4">
        <f>CT57+BK58-Z58</f>
        <v>0</v>
      </c>
      <c r="CU58" s="4">
        <f>CU57+BL58-AA58</f>
        <v>-2165</v>
      </c>
      <c r="CV58" s="4">
        <f>CV57+BM58-AB58</f>
        <v>-165</v>
      </c>
      <c r="CW58" s="4">
        <f>CW57+BN58-AC58</f>
        <v>-90</v>
      </c>
      <c r="CX58" s="4">
        <f>CX57+BO58-AD58</f>
        <v>0</v>
      </c>
      <c r="CY58" s="4">
        <f>CY57+BP58-AE58</f>
        <v>0</v>
      </c>
      <c r="CZ58" s="4">
        <f>CZ57+BQ58-AF58</f>
        <v>-85</v>
      </c>
      <c r="DA58" s="4">
        <f>DA57+BR58-AG58</f>
        <v>0</v>
      </c>
      <c r="DB58" s="4">
        <f>DB57+BS58-AH58</f>
        <v>0</v>
      </c>
      <c r="DC58" s="4">
        <f>DC57+BT58-AI58</f>
        <v>0</v>
      </c>
      <c r="DD58" s="4">
        <f>DD57+BU58-AJ58</f>
        <v>-1600</v>
      </c>
      <c r="DE58" s="4">
        <f>DE57+BV58-AK58</f>
        <v>-585</v>
      </c>
      <c r="DF58" s="4">
        <f>DF57+BW58-AL58</f>
        <v>0</v>
      </c>
      <c r="DG58" s="4">
        <f>DG57+BX58-AM58</f>
        <v>-70</v>
      </c>
      <c r="DH58" s="4">
        <f>DH57+BY58-AN58</f>
        <v>0</v>
      </c>
    </row>
    <row r="59" spans="1:112" x14ac:dyDescent="0.25">
      <c r="A59" s="6">
        <v>46181</v>
      </c>
      <c r="B59" s="7">
        <v>0.66666666653327411</v>
      </c>
      <c r="C59" s="3" t="s">
        <v>3</v>
      </c>
      <c r="D59" s="3" t="s">
        <v>6</v>
      </c>
      <c r="E59" s="3" t="s">
        <v>86</v>
      </c>
      <c r="F59" s="13">
        <f>SUM(IFERROR(VLOOKUP($C:$C,Structure!$A:$AJ,F$1,0)*15,0),IFERROR(VLOOKUP($D:$D,Structure!$A:$AJ,F$1,0)*15,0),IFERROR(VLOOKUP($E:$E,Structure!$A:$AJ,F$1,0)*15,0))</f>
        <v>0</v>
      </c>
      <c r="G59" s="13">
        <f>SUM(IFERROR(VLOOKUP($C:$C,Structure!$A:$AJ,G$1,0)*15,0),IFERROR(VLOOKUP($D:$D,Structure!$A:$AJ,G$1,0)*15,0),IFERROR(VLOOKUP($E:$E,Structure!$A:$AJ,G$1,0)*15,0))</f>
        <v>0</v>
      </c>
      <c r="H59" s="13">
        <f>SUM(IFERROR(VLOOKUP($C:$C,Structure!$A:$AJ,H$1,0)*15,0),IFERROR(VLOOKUP($D:$D,Structure!$A:$AJ,H$1,0)*15,0),IFERROR(VLOOKUP($E:$E,Structure!$A:$AJ,H$1,0)*15,0))</f>
        <v>0</v>
      </c>
      <c r="I59" s="13">
        <f>SUM(IFERROR(VLOOKUP($C:$C,Structure!$A:$AJ,I$1,0)*15,0),IFERROR(VLOOKUP($D:$D,Structure!$A:$AJ,I$1,0)*15,0),IFERROR(VLOOKUP($E:$E,Structure!$A:$AJ,I$1,0)*15,0))</f>
        <v>0</v>
      </c>
      <c r="J59" s="13">
        <f>SUM(IFERROR(VLOOKUP($C:$C,Structure!$A:$AJ,J$1,0)*15,0),IFERROR(VLOOKUP($D:$D,Structure!$A:$AJ,J$1,0)*15,0),IFERROR(VLOOKUP($E:$E,Structure!$A:$AJ,J$1,0)*15,0))</f>
        <v>0</v>
      </c>
      <c r="K59" s="13">
        <f>SUM(IFERROR(VLOOKUP($C:$C,Structure!$A:$AJ,K$1,0)*15,0),IFERROR(VLOOKUP($D:$D,Structure!$A:$AJ,K$1,0)*15,0),IFERROR(VLOOKUP($E:$E,Structure!$A:$AJ,K$1,0)*15,0))</f>
        <v>0</v>
      </c>
      <c r="L59" s="13">
        <f>SUM(IFERROR(VLOOKUP($C:$C,Structure!$A:$AJ,L$1,0)*15,0),IFERROR(VLOOKUP($D:$D,Structure!$A:$AJ,L$1,0)*15,0),IFERROR(VLOOKUP($E:$E,Structure!$A:$AJ,L$1,0)*15,0))</f>
        <v>0</v>
      </c>
      <c r="M59" s="13">
        <f>SUM(IFERROR(VLOOKUP($C:$C,Structure!$A:$AJ,M$1,0)*15,0),IFERROR(VLOOKUP($D:$D,Structure!$A:$AJ,M$1,0)*15,0),IFERROR(VLOOKUP($E:$E,Structure!$A:$AJ,M$1,0)*15,0))</f>
        <v>0</v>
      </c>
      <c r="N59" s="13">
        <f>SUM(IFERROR(VLOOKUP($C:$C,Structure!$A:$AJ,N$1,0)*15,0),IFERROR(VLOOKUP($D:$D,Structure!$A:$AJ,N$1,0)*15,0),IFERROR(VLOOKUP($E:$E,Structure!$A:$AJ,N$1,0)*15,0))</f>
        <v>0</v>
      </c>
      <c r="O59" s="13">
        <f>SUM(IFERROR(VLOOKUP($C:$C,Structure!$A:$AJ,O$1,0)*15,0),IFERROR(VLOOKUP($D:$D,Structure!$A:$AJ,O$1,0)*15,0),IFERROR(VLOOKUP($E:$E,Structure!$A:$AJ,O$1,0)*15,0))</f>
        <v>0</v>
      </c>
      <c r="P59" s="13">
        <f>SUM(IFERROR(VLOOKUP($C:$C,Structure!$A:$AJ,P$1,0)*15,0),IFERROR(VLOOKUP($D:$D,Structure!$A:$AJ,P$1,0)*15,0),IFERROR(VLOOKUP($E:$E,Structure!$A:$AJ,P$1,0)*15,0))</f>
        <v>0</v>
      </c>
      <c r="Q59" s="13">
        <f>SUM(IFERROR(VLOOKUP($C:$C,Structure!$A:$AJ,Q$1,0)*15,0),IFERROR(VLOOKUP($D:$D,Structure!$A:$AJ,Q$1,0)*15,0),IFERROR(VLOOKUP($E:$E,Structure!$A:$AJ,Q$1,0)*15,0))</f>
        <v>0</v>
      </c>
      <c r="R59" s="13">
        <f>SUM(IFERROR(VLOOKUP($C:$C,Structure!$A:$AJ,R$1,0)*15,0),IFERROR(VLOOKUP($D:$D,Structure!$A:$AJ,R$1,0)*15,0),IFERROR(VLOOKUP($E:$E,Structure!$A:$AJ,R$1,0)*15,0))</f>
        <v>0</v>
      </c>
      <c r="S59" s="13">
        <f>SUM(IFERROR(VLOOKUP($C:$C,Structure!$A:$AJ,S$1,0)*15,0),IFERROR(VLOOKUP($D:$D,Structure!$A:$AJ,S$1,0)*15,0),IFERROR(VLOOKUP($E:$E,Structure!$A:$AJ,S$1,0)*15,0))</f>
        <v>0</v>
      </c>
      <c r="T59" s="13">
        <f>SUM(IFERROR(VLOOKUP($C:$C,Structure!$A:$AJ,T$1,0)*15,0),IFERROR(VLOOKUP($D:$D,Structure!$A:$AJ,T$1,0)*15,0),IFERROR(VLOOKUP($E:$E,Structure!$A:$AJ,T$1,0)*15,0))</f>
        <v>0</v>
      </c>
      <c r="U59" s="13">
        <f>SUM(IFERROR(VLOOKUP($C:$C,Structure!$A:$AJ,U$1,0)*15,0),IFERROR(VLOOKUP($D:$D,Structure!$A:$AJ,U$1,0)*15,0),IFERROR(VLOOKUP($E:$E,Structure!$A:$AJ,U$1,0)*15,0))</f>
        <v>0</v>
      </c>
      <c r="V59" s="13">
        <f>SUM(IFERROR(VLOOKUP($C:$C,Structure!$A:$AJ,V$1,0)*15,0),IFERROR(VLOOKUP($D:$D,Structure!$A:$AJ,V$1,0)*15,0),IFERROR(VLOOKUP($E:$E,Structure!$A:$AJ,V$1,0)*15,0))</f>
        <v>0</v>
      </c>
      <c r="W59" s="13">
        <f>SUM(IFERROR(VLOOKUP($C:$C,Structure!$A:$AJ,W$1,0)*15,0),IFERROR(VLOOKUP($D:$D,Structure!$A:$AJ,W$1,0)*15,0),IFERROR(VLOOKUP($E:$E,Structure!$A:$AJ,W$1,0)*15,0))</f>
        <v>0</v>
      </c>
      <c r="X59" s="13">
        <f>SUM(IFERROR(VLOOKUP($C:$C,Structure!$A:$AJ,X$1,0)*15,0),IFERROR(VLOOKUP($D:$D,Structure!$A:$AJ,X$1,0)*15,0),IFERROR(VLOOKUP($E:$E,Structure!$A:$AJ,X$1,0)*15,0))</f>
        <v>0</v>
      </c>
      <c r="Y59" s="13">
        <f>SUM(IFERROR(VLOOKUP($C:$C,Structure!$A:$AJ,Y$1,0)*15,0),IFERROR(VLOOKUP($D:$D,Structure!$A:$AJ,Y$1,0)*15,0),IFERROR(VLOOKUP($E:$E,Structure!$A:$AJ,Y$1,0)*15,0))</f>
        <v>0</v>
      </c>
      <c r="Z59" s="13">
        <f>SUM(IFERROR(VLOOKUP($C:$C,Structure!$A:$AJ,Z$1,0)*15,0),IFERROR(VLOOKUP($D:$D,Structure!$A:$AJ,Z$1,0)*15,0),IFERROR(VLOOKUP($E:$E,Structure!$A:$AJ,Z$1,0)*15,0))</f>
        <v>0</v>
      </c>
      <c r="AA59" s="13">
        <f>SUM(IFERROR(VLOOKUP($C:$C,Structure!$A:$AJ,AA$1,0)*15,0),IFERROR(VLOOKUP($D:$D,Structure!$A:$AJ,AA$1,0)*15,0),IFERROR(VLOOKUP($E:$E,Structure!$A:$AJ,AA$1,0)*15,0))</f>
        <v>30</v>
      </c>
      <c r="AB59" s="13">
        <f>SUM(IFERROR(VLOOKUP($C:$C,Structure!$A:$AJ,AB$1,0)*15,0),IFERROR(VLOOKUP($D:$D,Structure!$A:$AJ,AB$1,0)*15,0),IFERROR(VLOOKUP($E:$E,Structure!$A:$AJ,AB$1,0)*15,0))</f>
        <v>0</v>
      </c>
      <c r="AC59" s="13">
        <f>SUM(IFERROR(VLOOKUP($C:$C,Structure!$A:$AJ,AC$1,0)*15,0),IFERROR(VLOOKUP($D:$D,Structure!$A:$AJ,AC$1,0)*15,0),IFERROR(VLOOKUP($E:$E,Structure!$A:$AJ,AC$1,0)*15,0))</f>
        <v>15</v>
      </c>
      <c r="AD59" s="13">
        <f>SUM(IFERROR(VLOOKUP($C:$C,Structure!$A:$AJ,AD$1,0)*15,0),IFERROR(VLOOKUP($D:$D,Structure!$A:$AJ,AD$1,0)*15,0),IFERROR(VLOOKUP($E:$E,Structure!$A:$AJ,AD$1,0)*15,0))</f>
        <v>0</v>
      </c>
      <c r="AE59" s="13">
        <f>SUM(IFERROR(VLOOKUP($C:$C,Structure!$A:$AJ,AE$1,0)*15,0),IFERROR(VLOOKUP($D:$D,Structure!$A:$AJ,AE$1,0)*15,0),IFERROR(VLOOKUP($E:$E,Structure!$A:$AJ,AE$1,0)*15,0))</f>
        <v>0</v>
      </c>
      <c r="AF59" s="13">
        <f>SUM(IFERROR(VLOOKUP($C:$C,Structure!$A:$AJ,AF$1,0)*15,0),IFERROR(VLOOKUP($D:$D,Structure!$A:$AJ,AF$1,0)*15,0),IFERROR(VLOOKUP($E:$E,Structure!$A:$AJ,AF$1,0)*15,0))</f>
        <v>0</v>
      </c>
      <c r="AG59" s="13">
        <f>SUM(IFERROR(VLOOKUP($C:$C,Structure!$A:$AJ,AG$1,0)*15,0),IFERROR(VLOOKUP($D:$D,Structure!$A:$AJ,AG$1,0)*15,0),IFERROR(VLOOKUP($E:$E,Structure!$A:$AJ,AG$1,0)*15,0))</f>
        <v>0</v>
      </c>
      <c r="AH59" s="13">
        <f>SUM(IFERROR(VLOOKUP($C:$C,Structure!$A:$AJ,AH$1,0)*15,0),IFERROR(VLOOKUP($D:$D,Structure!$A:$AJ,AH$1,0)*15,0),IFERROR(VLOOKUP($E:$E,Structure!$A:$AJ,AH$1,0)*15,0))</f>
        <v>0</v>
      </c>
      <c r="AI59" s="13">
        <f>SUM(IFERROR(VLOOKUP($C:$C,Structure!$A:$AJ,AI$1,0)*15,0),IFERROR(VLOOKUP($D:$D,Structure!$A:$AJ,AI$1,0)*15,0),IFERROR(VLOOKUP($E:$E,Structure!$A:$AJ,AI$1,0)*15,0))</f>
        <v>0</v>
      </c>
      <c r="AJ59" s="13">
        <f>SUM(IFERROR(VLOOKUP($C:$C,Structure!$A:$AJ,AJ$1,0)*15,0),IFERROR(VLOOKUP($D:$D,Structure!$A:$AJ,AJ$1,0)*15,0),IFERROR(VLOOKUP($E:$E,Structure!$A:$AJ,AJ$1,0)*15,0))</f>
        <v>15</v>
      </c>
      <c r="AK59" s="13">
        <f>SUM(IFERROR(VLOOKUP($C:$C,Structure!$A:$AJ,AK$1,0)*15,0),IFERROR(VLOOKUP($D:$D,Structure!$A:$AJ,AK$1,0)*15,0),IFERROR(VLOOKUP($E:$E,Structure!$A:$AJ,AK$1,0)*15,0))</f>
        <v>15</v>
      </c>
      <c r="AL59" s="13">
        <f>SUM(IFERROR(VLOOKUP($C:$C,Structure!$A:$AJ,AL$1,0)*15,0),IFERROR(VLOOKUP($D:$D,Structure!$A:$AJ,AL$1,0)*15,0),IFERROR(VLOOKUP($E:$E,Structure!$A:$AJ,AL$1,0)*15,0))</f>
        <v>0</v>
      </c>
      <c r="AM59" s="13">
        <f>SUM(IFERROR(VLOOKUP($C:$C,Structure!$A:$AJ,AM$1,0)*15,0),IFERROR(VLOOKUP($D:$D,Structure!$A:$AJ,AM$1,0)*15,0),IFERROR(VLOOKUP($E:$E,Structure!$A:$AJ,AM$1,0)*15,0))</f>
        <v>15</v>
      </c>
      <c r="AN59" s="13">
        <f>SUM(IFERROR(VLOOKUP($C:$C,Structure!$A:$AJ,AN$1,0)*15,0),IFERROR(VLOOKUP($D:$D,Structure!$A:$AJ,AN$1,0)*15,0),IFERROR(VLOOKUP($E:$E,Structure!$A:$AJ,AN$1,0)*15,0))</f>
        <v>0</v>
      </c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3"/>
      <c r="BZ59" s="4">
        <f>BZ58+AQ59-F59</f>
        <v>0</v>
      </c>
      <c r="CA59" s="4">
        <f>CA58+AR59-G59</f>
        <v>0</v>
      </c>
      <c r="CB59" s="4">
        <f>CB58+AS59-H59</f>
        <v>0</v>
      </c>
      <c r="CC59" s="4">
        <f>CC58+AT59-I59</f>
        <v>0</v>
      </c>
      <c r="CD59" s="4">
        <f>CD58+AU59-J59</f>
        <v>0</v>
      </c>
      <c r="CE59" s="4">
        <f>CE58+AV59-K59</f>
        <v>0</v>
      </c>
      <c r="CF59" s="4">
        <f>CF58+AW59-L59</f>
        <v>0</v>
      </c>
      <c r="CG59" s="4">
        <f>CG58+AX59-M59</f>
        <v>0</v>
      </c>
      <c r="CH59" s="4">
        <f>CH58+AY59-N59</f>
        <v>0</v>
      </c>
      <c r="CI59" s="4">
        <f>CI58+AZ59-O59</f>
        <v>0</v>
      </c>
      <c r="CJ59" s="4">
        <f>CJ58+BA59-P59</f>
        <v>0</v>
      </c>
      <c r="CK59" s="4">
        <f>CK58+BB59-Q59</f>
        <v>0</v>
      </c>
      <c r="CL59" s="4">
        <f>CL58+BC59-R59</f>
        <v>0</v>
      </c>
      <c r="CM59" s="4">
        <f>CM58+BD59-S59</f>
        <v>0</v>
      </c>
      <c r="CN59" s="4">
        <f>CN58+BE59-T59</f>
        <v>0</v>
      </c>
      <c r="CO59" s="4">
        <f>CO58+BF59-U59</f>
        <v>0</v>
      </c>
      <c r="CP59" s="4">
        <f>CP58+BG59-V59</f>
        <v>0</v>
      </c>
      <c r="CQ59" s="4">
        <f>CQ58+BH59-W59</f>
        <v>0</v>
      </c>
      <c r="CR59" s="4">
        <f>CR58+BI59-X59</f>
        <v>0</v>
      </c>
      <c r="CS59" s="4">
        <f>CS58+BJ59-Y59</f>
        <v>0</v>
      </c>
      <c r="CT59" s="4">
        <f>CT58+BK59-Z59</f>
        <v>0</v>
      </c>
      <c r="CU59" s="4">
        <f>CU58+BL59-AA59</f>
        <v>-2195</v>
      </c>
      <c r="CV59" s="4">
        <f>CV58+BM59-AB59</f>
        <v>-165</v>
      </c>
      <c r="CW59" s="4">
        <f>CW58+BN59-AC59</f>
        <v>-105</v>
      </c>
      <c r="CX59" s="4">
        <f>CX58+BO59-AD59</f>
        <v>0</v>
      </c>
      <c r="CY59" s="4">
        <f>CY58+BP59-AE59</f>
        <v>0</v>
      </c>
      <c r="CZ59" s="4">
        <f>CZ58+BQ59-AF59</f>
        <v>-85</v>
      </c>
      <c r="DA59" s="4">
        <f>DA58+BR59-AG59</f>
        <v>0</v>
      </c>
      <c r="DB59" s="4">
        <f>DB58+BS59-AH59</f>
        <v>0</v>
      </c>
      <c r="DC59" s="4">
        <f>DC58+BT59-AI59</f>
        <v>0</v>
      </c>
      <c r="DD59" s="4">
        <f>DD58+BU59-AJ59</f>
        <v>-1615</v>
      </c>
      <c r="DE59" s="4">
        <f>DE58+BV59-AK59</f>
        <v>-600</v>
      </c>
      <c r="DF59" s="4">
        <f>DF58+BW59-AL59</f>
        <v>0</v>
      </c>
      <c r="DG59" s="4">
        <f>DG58+BX59-AM59</f>
        <v>-85</v>
      </c>
      <c r="DH59" s="4">
        <f>DH58+BY59-AN59</f>
        <v>0</v>
      </c>
    </row>
    <row r="60" spans="1:112" x14ac:dyDescent="0.25">
      <c r="A60" s="6">
        <v>46181</v>
      </c>
      <c r="B60" s="7">
        <v>0.70833333319751546</v>
      </c>
      <c r="C60" s="3" t="s">
        <v>3</v>
      </c>
      <c r="D60" s="3" t="s">
        <v>6</v>
      </c>
      <c r="E60" s="3" t="s">
        <v>86</v>
      </c>
      <c r="F60" s="13">
        <f>SUM(IFERROR(VLOOKUP($C:$C,Structure!$A:$AJ,F$1,0)*15,0),IFERROR(VLOOKUP($D:$D,Structure!$A:$AJ,F$1,0)*15,0),IFERROR(VLOOKUP($E:$E,Structure!$A:$AJ,F$1,0)*15,0))</f>
        <v>0</v>
      </c>
      <c r="G60" s="13">
        <f>SUM(IFERROR(VLOOKUP($C:$C,Structure!$A:$AJ,G$1,0)*15,0),IFERROR(VLOOKUP($D:$D,Structure!$A:$AJ,G$1,0)*15,0),IFERROR(VLOOKUP($E:$E,Structure!$A:$AJ,G$1,0)*15,0))</f>
        <v>0</v>
      </c>
      <c r="H60" s="13">
        <f>SUM(IFERROR(VLOOKUP($C:$C,Structure!$A:$AJ,H$1,0)*15,0),IFERROR(VLOOKUP($D:$D,Structure!$A:$AJ,H$1,0)*15,0),IFERROR(VLOOKUP($E:$E,Structure!$A:$AJ,H$1,0)*15,0))</f>
        <v>0</v>
      </c>
      <c r="I60" s="13">
        <f>SUM(IFERROR(VLOOKUP($C:$C,Structure!$A:$AJ,I$1,0)*15,0),IFERROR(VLOOKUP($D:$D,Structure!$A:$AJ,I$1,0)*15,0),IFERROR(VLOOKUP($E:$E,Structure!$A:$AJ,I$1,0)*15,0))</f>
        <v>0</v>
      </c>
      <c r="J60" s="13">
        <f>SUM(IFERROR(VLOOKUP($C:$C,Structure!$A:$AJ,J$1,0)*15,0),IFERROR(VLOOKUP($D:$D,Structure!$A:$AJ,J$1,0)*15,0),IFERROR(VLOOKUP($E:$E,Structure!$A:$AJ,J$1,0)*15,0))</f>
        <v>0</v>
      </c>
      <c r="K60" s="13">
        <f>SUM(IFERROR(VLOOKUP($C:$C,Structure!$A:$AJ,K$1,0)*15,0),IFERROR(VLOOKUP($D:$D,Structure!$A:$AJ,K$1,0)*15,0),IFERROR(VLOOKUP($E:$E,Structure!$A:$AJ,K$1,0)*15,0))</f>
        <v>0</v>
      </c>
      <c r="L60" s="13">
        <f>SUM(IFERROR(VLOOKUP($C:$C,Structure!$A:$AJ,L$1,0)*15,0),IFERROR(VLOOKUP($D:$D,Structure!$A:$AJ,L$1,0)*15,0),IFERROR(VLOOKUP($E:$E,Structure!$A:$AJ,L$1,0)*15,0))</f>
        <v>0</v>
      </c>
      <c r="M60" s="13">
        <f>SUM(IFERROR(VLOOKUP($C:$C,Structure!$A:$AJ,M$1,0)*15,0),IFERROR(VLOOKUP($D:$D,Structure!$A:$AJ,M$1,0)*15,0),IFERROR(VLOOKUP($E:$E,Structure!$A:$AJ,M$1,0)*15,0))</f>
        <v>0</v>
      </c>
      <c r="N60" s="13">
        <f>SUM(IFERROR(VLOOKUP($C:$C,Structure!$A:$AJ,N$1,0)*15,0),IFERROR(VLOOKUP($D:$D,Structure!$A:$AJ,N$1,0)*15,0),IFERROR(VLOOKUP($E:$E,Structure!$A:$AJ,N$1,0)*15,0))</f>
        <v>0</v>
      </c>
      <c r="O60" s="13">
        <f>SUM(IFERROR(VLOOKUP($C:$C,Structure!$A:$AJ,O$1,0)*15,0),IFERROR(VLOOKUP($D:$D,Structure!$A:$AJ,O$1,0)*15,0),IFERROR(VLOOKUP($E:$E,Structure!$A:$AJ,O$1,0)*15,0))</f>
        <v>0</v>
      </c>
      <c r="P60" s="13">
        <f>SUM(IFERROR(VLOOKUP($C:$C,Structure!$A:$AJ,P$1,0)*15,0),IFERROR(VLOOKUP($D:$D,Structure!$A:$AJ,P$1,0)*15,0),IFERROR(VLOOKUP($E:$E,Structure!$A:$AJ,P$1,0)*15,0))</f>
        <v>0</v>
      </c>
      <c r="Q60" s="13">
        <f>SUM(IFERROR(VLOOKUP($C:$C,Structure!$A:$AJ,Q$1,0)*15,0),IFERROR(VLOOKUP($D:$D,Structure!$A:$AJ,Q$1,0)*15,0),IFERROR(VLOOKUP($E:$E,Structure!$A:$AJ,Q$1,0)*15,0))</f>
        <v>0</v>
      </c>
      <c r="R60" s="13">
        <f>SUM(IFERROR(VLOOKUP($C:$C,Structure!$A:$AJ,R$1,0)*15,0),IFERROR(VLOOKUP($D:$D,Structure!$A:$AJ,R$1,0)*15,0),IFERROR(VLOOKUP($E:$E,Structure!$A:$AJ,R$1,0)*15,0))</f>
        <v>0</v>
      </c>
      <c r="S60" s="13">
        <f>SUM(IFERROR(VLOOKUP($C:$C,Structure!$A:$AJ,S$1,0)*15,0),IFERROR(VLOOKUP($D:$D,Structure!$A:$AJ,S$1,0)*15,0),IFERROR(VLOOKUP($E:$E,Structure!$A:$AJ,S$1,0)*15,0))</f>
        <v>0</v>
      </c>
      <c r="T60" s="13">
        <f>SUM(IFERROR(VLOOKUP($C:$C,Structure!$A:$AJ,T$1,0)*15,0),IFERROR(VLOOKUP($D:$D,Structure!$A:$AJ,T$1,0)*15,0),IFERROR(VLOOKUP($E:$E,Structure!$A:$AJ,T$1,0)*15,0))</f>
        <v>0</v>
      </c>
      <c r="U60" s="13">
        <f>SUM(IFERROR(VLOOKUP($C:$C,Structure!$A:$AJ,U$1,0)*15,0),IFERROR(VLOOKUP($D:$D,Structure!$A:$AJ,U$1,0)*15,0),IFERROR(VLOOKUP($E:$E,Structure!$A:$AJ,U$1,0)*15,0))</f>
        <v>0</v>
      </c>
      <c r="V60" s="13">
        <f>SUM(IFERROR(VLOOKUP($C:$C,Structure!$A:$AJ,V$1,0)*15,0),IFERROR(VLOOKUP($D:$D,Structure!$A:$AJ,V$1,0)*15,0),IFERROR(VLOOKUP($E:$E,Structure!$A:$AJ,V$1,0)*15,0))</f>
        <v>0</v>
      </c>
      <c r="W60" s="13">
        <f>SUM(IFERROR(VLOOKUP($C:$C,Structure!$A:$AJ,W$1,0)*15,0),IFERROR(VLOOKUP($D:$D,Structure!$A:$AJ,W$1,0)*15,0),IFERROR(VLOOKUP($E:$E,Structure!$A:$AJ,W$1,0)*15,0))</f>
        <v>0</v>
      </c>
      <c r="X60" s="13">
        <f>SUM(IFERROR(VLOOKUP($C:$C,Structure!$A:$AJ,X$1,0)*15,0),IFERROR(VLOOKUP($D:$D,Structure!$A:$AJ,X$1,0)*15,0),IFERROR(VLOOKUP($E:$E,Structure!$A:$AJ,X$1,0)*15,0))</f>
        <v>0</v>
      </c>
      <c r="Y60" s="13">
        <f>SUM(IFERROR(VLOOKUP($C:$C,Structure!$A:$AJ,Y$1,0)*15,0),IFERROR(VLOOKUP($D:$D,Structure!$A:$AJ,Y$1,0)*15,0),IFERROR(VLOOKUP($E:$E,Structure!$A:$AJ,Y$1,0)*15,0))</f>
        <v>0</v>
      </c>
      <c r="Z60" s="13">
        <f>SUM(IFERROR(VLOOKUP($C:$C,Structure!$A:$AJ,Z$1,0)*15,0),IFERROR(VLOOKUP($D:$D,Structure!$A:$AJ,Z$1,0)*15,0),IFERROR(VLOOKUP($E:$E,Structure!$A:$AJ,Z$1,0)*15,0))</f>
        <v>0</v>
      </c>
      <c r="AA60" s="13">
        <f>SUM(IFERROR(VLOOKUP($C:$C,Structure!$A:$AJ,AA$1,0)*15,0),IFERROR(VLOOKUP($D:$D,Structure!$A:$AJ,AA$1,0)*15,0),IFERROR(VLOOKUP($E:$E,Structure!$A:$AJ,AA$1,0)*15,0))</f>
        <v>30</v>
      </c>
      <c r="AB60" s="13">
        <f>SUM(IFERROR(VLOOKUP($C:$C,Structure!$A:$AJ,AB$1,0)*15,0),IFERROR(VLOOKUP($D:$D,Structure!$A:$AJ,AB$1,0)*15,0),IFERROR(VLOOKUP($E:$E,Structure!$A:$AJ,AB$1,0)*15,0))</f>
        <v>0</v>
      </c>
      <c r="AC60" s="13">
        <f>SUM(IFERROR(VLOOKUP($C:$C,Structure!$A:$AJ,AC$1,0)*15,0),IFERROR(VLOOKUP($D:$D,Structure!$A:$AJ,AC$1,0)*15,0),IFERROR(VLOOKUP($E:$E,Structure!$A:$AJ,AC$1,0)*15,0))</f>
        <v>15</v>
      </c>
      <c r="AD60" s="13">
        <f>SUM(IFERROR(VLOOKUP($C:$C,Structure!$A:$AJ,AD$1,0)*15,0),IFERROR(VLOOKUP($D:$D,Structure!$A:$AJ,AD$1,0)*15,0),IFERROR(VLOOKUP($E:$E,Structure!$A:$AJ,AD$1,0)*15,0))</f>
        <v>0</v>
      </c>
      <c r="AE60" s="13">
        <f>SUM(IFERROR(VLOOKUP($C:$C,Structure!$A:$AJ,AE$1,0)*15,0),IFERROR(VLOOKUP($D:$D,Structure!$A:$AJ,AE$1,0)*15,0),IFERROR(VLOOKUP($E:$E,Structure!$A:$AJ,AE$1,0)*15,0))</f>
        <v>0</v>
      </c>
      <c r="AF60" s="13">
        <f>SUM(IFERROR(VLOOKUP($C:$C,Structure!$A:$AJ,AF$1,0)*15,0),IFERROR(VLOOKUP($D:$D,Structure!$A:$AJ,AF$1,0)*15,0),IFERROR(VLOOKUP($E:$E,Structure!$A:$AJ,AF$1,0)*15,0))</f>
        <v>0</v>
      </c>
      <c r="AG60" s="13">
        <f>SUM(IFERROR(VLOOKUP($C:$C,Structure!$A:$AJ,AG$1,0)*15,0),IFERROR(VLOOKUP($D:$D,Structure!$A:$AJ,AG$1,0)*15,0),IFERROR(VLOOKUP($E:$E,Structure!$A:$AJ,AG$1,0)*15,0))</f>
        <v>0</v>
      </c>
      <c r="AH60" s="13">
        <f>SUM(IFERROR(VLOOKUP($C:$C,Structure!$A:$AJ,AH$1,0)*15,0),IFERROR(VLOOKUP($D:$D,Structure!$A:$AJ,AH$1,0)*15,0),IFERROR(VLOOKUP($E:$E,Structure!$A:$AJ,AH$1,0)*15,0))</f>
        <v>0</v>
      </c>
      <c r="AI60" s="13">
        <f>SUM(IFERROR(VLOOKUP($C:$C,Structure!$A:$AJ,AI$1,0)*15,0),IFERROR(VLOOKUP($D:$D,Structure!$A:$AJ,AI$1,0)*15,0),IFERROR(VLOOKUP($E:$E,Structure!$A:$AJ,AI$1,0)*15,0))</f>
        <v>0</v>
      </c>
      <c r="AJ60" s="13">
        <f>SUM(IFERROR(VLOOKUP($C:$C,Structure!$A:$AJ,AJ$1,0)*15,0),IFERROR(VLOOKUP($D:$D,Structure!$A:$AJ,AJ$1,0)*15,0),IFERROR(VLOOKUP($E:$E,Structure!$A:$AJ,AJ$1,0)*15,0))</f>
        <v>15</v>
      </c>
      <c r="AK60" s="13">
        <f>SUM(IFERROR(VLOOKUP($C:$C,Structure!$A:$AJ,AK$1,0)*15,0),IFERROR(VLOOKUP($D:$D,Structure!$A:$AJ,AK$1,0)*15,0),IFERROR(VLOOKUP($E:$E,Structure!$A:$AJ,AK$1,0)*15,0))</f>
        <v>15</v>
      </c>
      <c r="AL60" s="13">
        <f>SUM(IFERROR(VLOOKUP($C:$C,Structure!$A:$AJ,AL$1,0)*15,0),IFERROR(VLOOKUP($D:$D,Structure!$A:$AJ,AL$1,0)*15,0),IFERROR(VLOOKUP($E:$E,Structure!$A:$AJ,AL$1,0)*15,0))</f>
        <v>0</v>
      </c>
      <c r="AM60" s="13">
        <f>SUM(IFERROR(VLOOKUP($C:$C,Structure!$A:$AJ,AM$1,0)*15,0),IFERROR(VLOOKUP($D:$D,Structure!$A:$AJ,AM$1,0)*15,0),IFERROR(VLOOKUP($E:$E,Structure!$A:$AJ,AM$1,0)*15,0))</f>
        <v>15</v>
      </c>
      <c r="AN60" s="13">
        <f>SUM(IFERROR(VLOOKUP($C:$C,Structure!$A:$AJ,AN$1,0)*15,0),IFERROR(VLOOKUP($D:$D,Structure!$A:$AJ,AN$1,0)*15,0),IFERROR(VLOOKUP($E:$E,Structure!$A:$AJ,AN$1,0)*15,0))</f>
        <v>0</v>
      </c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3"/>
      <c r="BZ60" s="4">
        <f>BZ59+AQ60-F60</f>
        <v>0</v>
      </c>
      <c r="CA60" s="4">
        <f>CA59+AR60-G60</f>
        <v>0</v>
      </c>
      <c r="CB60" s="4">
        <f>CB59+AS60-H60</f>
        <v>0</v>
      </c>
      <c r="CC60" s="4">
        <f>CC59+AT60-I60</f>
        <v>0</v>
      </c>
      <c r="CD60" s="4">
        <f>CD59+AU60-J60</f>
        <v>0</v>
      </c>
      <c r="CE60" s="4">
        <f>CE59+AV60-K60</f>
        <v>0</v>
      </c>
      <c r="CF60" s="4">
        <f>CF59+AW60-L60</f>
        <v>0</v>
      </c>
      <c r="CG60" s="4">
        <f>CG59+AX60-M60</f>
        <v>0</v>
      </c>
      <c r="CH60" s="4">
        <f>CH59+AY60-N60</f>
        <v>0</v>
      </c>
      <c r="CI60" s="4">
        <f>CI59+AZ60-O60</f>
        <v>0</v>
      </c>
      <c r="CJ60" s="4">
        <f>CJ59+BA60-P60</f>
        <v>0</v>
      </c>
      <c r="CK60" s="4">
        <f>CK59+BB60-Q60</f>
        <v>0</v>
      </c>
      <c r="CL60" s="4">
        <f>CL59+BC60-R60</f>
        <v>0</v>
      </c>
      <c r="CM60" s="4">
        <f>CM59+BD60-S60</f>
        <v>0</v>
      </c>
      <c r="CN60" s="4">
        <f>CN59+BE60-T60</f>
        <v>0</v>
      </c>
      <c r="CO60" s="4">
        <f>CO59+BF60-U60</f>
        <v>0</v>
      </c>
      <c r="CP60" s="4">
        <f>CP59+BG60-V60</f>
        <v>0</v>
      </c>
      <c r="CQ60" s="4">
        <f>CQ59+BH60-W60</f>
        <v>0</v>
      </c>
      <c r="CR60" s="4">
        <f>CR59+BI60-X60</f>
        <v>0</v>
      </c>
      <c r="CS60" s="4">
        <f>CS59+BJ60-Y60</f>
        <v>0</v>
      </c>
      <c r="CT60" s="4">
        <f>CT59+BK60-Z60</f>
        <v>0</v>
      </c>
      <c r="CU60" s="4">
        <f>CU59+BL60-AA60</f>
        <v>-2225</v>
      </c>
      <c r="CV60" s="4">
        <f>CV59+BM60-AB60</f>
        <v>-165</v>
      </c>
      <c r="CW60" s="4">
        <f>CW59+BN60-AC60</f>
        <v>-120</v>
      </c>
      <c r="CX60" s="4">
        <f>CX59+BO60-AD60</f>
        <v>0</v>
      </c>
      <c r="CY60" s="4">
        <f>CY59+BP60-AE60</f>
        <v>0</v>
      </c>
      <c r="CZ60" s="4">
        <f>CZ59+BQ60-AF60</f>
        <v>-85</v>
      </c>
      <c r="DA60" s="4">
        <f>DA59+BR60-AG60</f>
        <v>0</v>
      </c>
      <c r="DB60" s="4">
        <f>DB59+BS60-AH60</f>
        <v>0</v>
      </c>
      <c r="DC60" s="4">
        <f>DC59+BT60-AI60</f>
        <v>0</v>
      </c>
      <c r="DD60" s="4">
        <f>DD59+BU60-AJ60</f>
        <v>-1630</v>
      </c>
      <c r="DE60" s="4">
        <f>DE59+BV60-AK60</f>
        <v>-615</v>
      </c>
      <c r="DF60" s="4">
        <f>DF59+BW60-AL60</f>
        <v>0</v>
      </c>
      <c r="DG60" s="4">
        <f>DG59+BX60-AM60</f>
        <v>-100</v>
      </c>
      <c r="DH60" s="4">
        <f>DH59+BY60-AN60</f>
        <v>0</v>
      </c>
    </row>
    <row r="61" spans="1:112" x14ac:dyDescent="0.25">
      <c r="A61" s="6">
        <v>46181</v>
      </c>
      <c r="B61" s="7">
        <v>0.74999999986175681</v>
      </c>
      <c r="C61" s="3" t="s">
        <v>3</v>
      </c>
      <c r="D61" s="3" t="s">
        <v>6</v>
      </c>
      <c r="E61" s="3" t="s">
        <v>86</v>
      </c>
      <c r="F61" s="13">
        <f>SUM(IFERROR(VLOOKUP($C:$C,Structure!$A:$AJ,F$1,0)*15,0),IFERROR(VLOOKUP($D:$D,Structure!$A:$AJ,F$1,0)*15,0),IFERROR(VLOOKUP($E:$E,Structure!$A:$AJ,F$1,0)*15,0))</f>
        <v>0</v>
      </c>
      <c r="G61" s="13">
        <f>SUM(IFERROR(VLOOKUP($C:$C,Structure!$A:$AJ,G$1,0)*15,0),IFERROR(VLOOKUP($D:$D,Structure!$A:$AJ,G$1,0)*15,0),IFERROR(VLOOKUP($E:$E,Structure!$A:$AJ,G$1,0)*15,0))</f>
        <v>0</v>
      </c>
      <c r="H61" s="13">
        <f>SUM(IFERROR(VLOOKUP($C:$C,Structure!$A:$AJ,H$1,0)*15,0),IFERROR(VLOOKUP($D:$D,Structure!$A:$AJ,H$1,0)*15,0),IFERROR(VLOOKUP($E:$E,Structure!$A:$AJ,H$1,0)*15,0))</f>
        <v>0</v>
      </c>
      <c r="I61" s="13">
        <f>SUM(IFERROR(VLOOKUP($C:$C,Structure!$A:$AJ,I$1,0)*15,0),IFERROR(VLOOKUP($D:$D,Structure!$A:$AJ,I$1,0)*15,0),IFERROR(VLOOKUP($E:$E,Structure!$A:$AJ,I$1,0)*15,0))</f>
        <v>0</v>
      </c>
      <c r="J61" s="13">
        <f>SUM(IFERROR(VLOOKUP($C:$C,Structure!$A:$AJ,J$1,0)*15,0),IFERROR(VLOOKUP($D:$D,Structure!$A:$AJ,J$1,0)*15,0),IFERROR(VLOOKUP($E:$E,Structure!$A:$AJ,J$1,0)*15,0))</f>
        <v>0</v>
      </c>
      <c r="K61" s="13">
        <f>SUM(IFERROR(VLOOKUP($C:$C,Structure!$A:$AJ,K$1,0)*15,0),IFERROR(VLOOKUP($D:$D,Structure!$A:$AJ,K$1,0)*15,0),IFERROR(VLOOKUP($E:$E,Structure!$A:$AJ,K$1,0)*15,0))</f>
        <v>0</v>
      </c>
      <c r="L61" s="13">
        <f>SUM(IFERROR(VLOOKUP($C:$C,Structure!$A:$AJ,L$1,0)*15,0),IFERROR(VLOOKUP($D:$D,Structure!$A:$AJ,L$1,0)*15,0),IFERROR(VLOOKUP($E:$E,Structure!$A:$AJ,L$1,0)*15,0))</f>
        <v>0</v>
      </c>
      <c r="M61" s="13">
        <f>SUM(IFERROR(VLOOKUP($C:$C,Structure!$A:$AJ,M$1,0)*15,0),IFERROR(VLOOKUP($D:$D,Structure!$A:$AJ,M$1,0)*15,0),IFERROR(VLOOKUP($E:$E,Structure!$A:$AJ,M$1,0)*15,0))</f>
        <v>0</v>
      </c>
      <c r="N61" s="13">
        <f>SUM(IFERROR(VLOOKUP($C:$C,Structure!$A:$AJ,N$1,0)*15,0),IFERROR(VLOOKUP($D:$D,Structure!$A:$AJ,N$1,0)*15,0),IFERROR(VLOOKUP($E:$E,Structure!$A:$AJ,N$1,0)*15,0))</f>
        <v>0</v>
      </c>
      <c r="O61" s="13">
        <f>SUM(IFERROR(VLOOKUP($C:$C,Structure!$A:$AJ,O$1,0)*15,0),IFERROR(VLOOKUP($D:$D,Structure!$A:$AJ,O$1,0)*15,0),IFERROR(VLOOKUP($E:$E,Structure!$A:$AJ,O$1,0)*15,0))</f>
        <v>0</v>
      </c>
      <c r="P61" s="13">
        <f>SUM(IFERROR(VLOOKUP($C:$C,Structure!$A:$AJ,P$1,0)*15,0),IFERROR(VLOOKUP($D:$D,Structure!$A:$AJ,P$1,0)*15,0),IFERROR(VLOOKUP($E:$E,Structure!$A:$AJ,P$1,0)*15,0))</f>
        <v>0</v>
      </c>
      <c r="Q61" s="13">
        <f>SUM(IFERROR(VLOOKUP($C:$C,Structure!$A:$AJ,Q$1,0)*15,0),IFERROR(VLOOKUP($D:$D,Structure!$A:$AJ,Q$1,0)*15,0),IFERROR(VLOOKUP($E:$E,Structure!$A:$AJ,Q$1,0)*15,0))</f>
        <v>0</v>
      </c>
      <c r="R61" s="13">
        <f>SUM(IFERROR(VLOOKUP($C:$C,Structure!$A:$AJ,R$1,0)*15,0),IFERROR(VLOOKUP($D:$D,Structure!$A:$AJ,R$1,0)*15,0),IFERROR(VLOOKUP($E:$E,Structure!$A:$AJ,R$1,0)*15,0))</f>
        <v>0</v>
      </c>
      <c r="S61" s="13">
        <f>SUM(IFERROR(VLOOKUP($C:$C,Structure!$A:$AJ,S$1,0)*15,0),IFERROR(VLOOKUP($D:$D,Structure!$A:$AJ,S$1,0)*15,0),IFERROR(VLOOKUP($E:$E,Structure!$A:$AJ,S$1,0)*15,0))</f>
        <v>0</v>
      </c>
      <c r="T61" s="13">
        <f>SUM(IFERROR(VLOOKUP($C:$C,Structure!$A:$AJ,T$1,0)*15,0),IFERROR(VLOOKUP($D:$D,Structure!$A:$AJ,T$1,0)*15,0),IFERROR(VLOOKUP($E:$E,Structure!$A:$AJ,T$1,0)*15,0))</f>
        <v>0</v>
      </c>
      <c r="U61" s="13">
        <f>SUM(IFERROR(VLOOKUP($C:$C,Structure!$A:$AJ,U$1,0)*15,0),IFERROR(VLOOKUP($D:$D,Structure!$A:$AJ,U$1,0)*15,0),IFERROR(VLOOKUP($E:$E,Structure!$A:$AJ,U$1,0)*15,0))</f>
        <v>0</v>
      </c>
      <c r="V61" s="13">
        <f>SUM(IFERROR(VLOOKUP($C:$C,Structure!$A:$AJ,V$1,0)*15,0),IFERROR(VLOOKUP($D:$D,Structure!$A:$AJ,V$1,0)*15,0),IFERROR(VLOOKUP($E:$E,Structure!$A:$AJ,V$1,0)*15,0))</f>
        <v>0</v>
      </c>
      <c r="W61" s="13">
        <f>SUM(IFERROR(VLOOKUP($C:$C,Structure!$A:$AJ,W$1,0)*15,0),IFERROR(VLOOKUP($D:$D,Structure!$A:$AJ,W$1,0)*15,0),IFERROR(VLOOKUP($E:$E,Structure!$A:$AJ,W$1,0)*15,0))</f>
        <v>0</v>
      </c>
      <c r="X61" s="13">
        <f>SUM(IFERROR(VLOOKUP($C:$C,Structure!$A:$AJ,X$1,0)*15,0),IFERROR(VLOOKUP($D:$D,Structure!$A:$AJ,X$1,0)*15,0),IFERROR(VLOOKUP($E:$E,Structure!$A:$AJ,X$1,0)*15,0))</f>
        <v>0</v>
      </c>
      <c r="Y61" s="13">
        <f>SUM(IFERROR(VLOOKUP($C:$C,Structure!$A:$AJ,Y$1,0)*15,0),IFERROR(VLOOKUP($D:$D,Structure!$A:$AJ,Y$1,0)*15,0),IFERROR(VLOOKUP($E:$E,Structure!$A:$AJ,Y$1,0)*15,0))</f>
        <v>0</v>
      </c>
      <c r="Z61" s="13">
        <f>SUM(IFERROR(VLOOKUP($C:$C,Structure!$A:$AJ,Z$1,0)*15,0),IFERROR(VLOOKUP($D:$D,Structure!$A:$AJ,Z$1,0)*15,0),IFERROR(VLOOKUP($E:$E,Structure!$A:$AJ,Z$1,0)*15,0))</f>
        <v>0</v>
      </c>
      <c r="AA61" s="13">
        <f>SUM(IFERROR(VLOOKUP($C:$C,Structure!$A:$AJ,AA$1,0)*15,0),IFERROR(VLOOKUP($D:$D,Structure!$A:$AJ,AA$1,0)*15,0),IFERROR(VLOOKUP($E:$E,Structure!$A:$AJ,AA$1,0)*15,0))</f>
        <v>30</v>
      </c>
      <c r="AB61" s="13">
        <f>SUM(IFERROR(VLOOKUP($C:$C,Structure!$A:$AJ,AB$1,0)*15,0),IFERROR(VLOOKUP($D:$D,Structure!$A:$AJ,AB$1,0)*15,0),IFERROR(VLOOKUP($E:$E,Structure!$A:$AJ,AB$1,0)*15,0))</f>
        <v>0</v>
      </c>
      <c r="AC61" s="13">
        <f>SUM(IFERROR(VLOOKUP($C:$C,Structure!$A:$AJ,AC$1,0)*15,0),IFERROR(VLOOKUP($D:$D,Structure!$A:$AJ,AC$1,0)*15,0),IFERROR(VLOOKUP($E:$E,Structure!$A:$AJ,AC$1,0)*15,0))</f>
        <v>15</v>
      </c>
      <c r="AD61" s="13">
        <f>SUM(IFERROR(VLOOKUP($C:$C,Structure!$A:$AJ,AD$1,0)*15,0),IFERROR(VLOOKUP($D:$D,Structure!$A:$AJ,AD$1,0)*15,0),IFERROR(VLOOKUP($E:$E,Structure!$A:$AJ,AD$1,0)*15,0))</f>
        <v>0</v>
      </c>
      <c r="AE61" s="13">
        <f>SUM(IFERROR(VLOOKUP($C:$C,Structure!$A:$AJ,AE$1,0)*15,0),IFERROR(VLOOKUP($D:$D,Structure!$A:$AJ,AE$1,0)*15,0),IFERROR(VLOOKUP($E:$E,Structure!$A:$AJ,AE$1,0)*15,0))</f>
        <v>0</v>
      </c>
      <c r="AF61" s="13">
        <f>SUM(IFERROR(VLOOKUP($C:$C,Structure!$A:$AJ,AF$1,0)*15,0),IFERROR(VLOOKUP($D:$D,Structure!$A:$AJ,AF$1,0)*15,0),IFERROR(VLOOKUP($E:$E,Structure!$A:$AJ,AF$1,0)*15,0))</f>
        <v>0</v>
      </c>
      <c r="AG61" s="13">
        <f>SUM(IFERROR(VLOOKUP($C:$C,Structure!$A:$AJ,AG$1,0)*15,0),IFERROR(VLOOKUP($D:$D,Structure!$A:$AJ,AG$1,0)*15,0),IFERROR(VLOOKUP($E:$E,Structure!$A:$AJ,AG$1,0)*15,0))</f>
        <v>0</v>
      </c>
      <c r="AH61" s="13">
        <f>SUM(IFERROR(VLOOKUP($C:$C,Structure!$A:$AJ,AH$1,0)*15,0),IFERROR(VLOOKUP($D:$D,Structure!$A:$AJ,AH$1,0)*15,0),IFERROR(VLOOKUP($E:$E,Structure!$A:$AJ,AH$1,0)*15,0))</f>
        <v>0</v>
      </c>
      <c r="AI61" s="13">
        <f>SUM(IFERROR(VLOOKUP($C:$C,Structure!$A:$AJ,AI$1,0)*15,0),IFERROR(VLOOKUP($D:$D,Structure!$A:$AJ,AI$1,0)*15,0),IFERROR(VLOOKUP($E:$E,Structure!$A:$AJ,AI$1,0)*15,0))</f>
        <v>0</v>
      </c>
      <c r="AJ61" s="13">
        <f>SUM(IFERROR(VLOOKUP($C:$C,Structure!$A:$AJ,AJ$1,0)*15,0),IFERROR(VLOOKUP($D:$D,Structure!$A:$AJ,AJ$1,0)*15,0),IFERROR(VLOOKUP($E:$E,Structure!$A:$AJ,AJ$1,0)*15,0))</f>
        <v>15</v>
      </c>
      <c r="AK61" s="13">
        <f>SUM(IFERROR(VLOOKUP($C:$C,Structure!$A:$AJ,AK$1,0)*15,0),IFERROR(VLOOKUP($D:$D,Structure!$A:$AJ,AK$1,0)*15,0),IFERROR(VLOOKUP($E:$E,Structure!$A:$AJ,AK$1,0)*15,0))</f>
        <v>15</v>
      </c>
      <c r="AL61" s="13">
        <f>SUM(IFERROR(VLOOKUP($C:$C,Structure!$A:$AJ,AL$1,0)*15,0),IFERROR(VLOOKUP($D:$D,Structure!$A:$AJ,AL$1,0)*15,0),IFERROR(VLOOKUP($E:$E,Structure!$A:$AJ,AL$1,0)*15,0))</f>
        <v>0</v>
      </c>
      <c r="AM61" s="13">
        <f>SUM(IFERROR(VLOOKUP($C:$C,Structure!$A:$AJ,AM$1,0)*15,0),IFERROR(VLOOKUP($D:$D,Structure!$A:$AJ,AM$1,0)*15,0),IFERROR(VLOOKUP($E:$E,Structure!$A:$AJ,AM$1,0)*15,0))</f>
        <v>15</v>
      </c>
      <c r="AN61" s="13">
        <f>SUM(IFERROR(VLOOKUP($C:$C,Structure!$A:$AJ,AN$1,0)*15,0),IFERROR(VLOOKUP($D:$D,Structure!$A:$AJ,AN$1,0)*15,0),IFERROR(VLOOKUP($E:$E,Structure!$A:$AJ,AN$1,0)*15,0))</f>
        <v>0</v>
      </c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3"/>
      <c r="BZ61" s="4">
        <f>BZ60+AQ61-F61</f>
        <v>0</v>
      </c>
      <c r="CA61" s="4">
        <f>CA60+AR61-G61</f>
        <v>0</v>
      </c>
      <c r="CB61" s="4">
        <f>CB60+AS61-H61</f>
        <v>0</v>
      </c>
      <c r="CC61" s="4">
        <f>CC60+AT61-I61</f>
        <v>0</v>
      </c>
      <c r="CD61" s="4">
        <f>CD60+AU61-J61</f>
        <v>0</v>
      </c>
      <c r="CE61" s="4">
        <f>CE60+AV61-K61</f>
        <v>0</v>
      </c>
      <c r="CF61" s="4">
        <f>CF60+AW61-L61</f>
        <v>0</v>
      </c>
      <c r="CG61" s="4">
        <f>CG60+AX61-M61</f>
        <v>0</v>
      </c>
      <c r="CH61" s="4">
        <f>CH60+AY61-N61</f>
        <v>0</v>
      </c>
      <c r="CI61" s="4">
        <f>CI60+AZ61-O61</f>
        <v>0</v>
      </c>
      <c r="CJ61" s="4">
        <f>CJ60+BA61-P61</f>
        <v>0</v>
      </c>
      <c r="CK61" s="4">
        <f>CK60+BB61-Q61</f>
        <v>0</v>
      </c>
      <c r="CL61" s="4">
        <f>CL60+BC61-R61</f>
        <v>0</v>
      </c>
      <c r="CM61" s="4">
        <f>CM60+BD61-S61</f>
        <v>0</v>
      </c>
      <c r="CN61" s="4">
        <f>CN60+BE61-T61</f>
        <v>0</v>
      </c>
      <c r="CO61" s="4">
        <f>CO60+BF61-U61</f>
        <v>0</v>
      </c>
      <c r="CP61" s="4">
        <f>CP60+BG61-V61</f>
        <v>0</v>
      </c>
      <c r="CQ61" s="4">
        <f>CQ60+BH61-W61</f>
        <v>0</v>
      </c>
      <c r="CR61" s="4">
        <f>CR60+BI61-X61</f>
        <v>0</v>
      </c>
      <c r="CS61" s="4">
        <f>CS60+BJ61-Y61</f>
        <v>0</v>
      </c>
      <c r="CT61" s="4">
        <f>CT60+BK61-Z61</f>
        <v>0</v>
      </c>
      <c r="CU61" s="4">
        <f>CU60+BL61-AA61</f>
        <v>-2255</v>
      </c>
      <c r="CV61" s="4">
        <f>CV60+BM61-AB61</f>
        <v>-165</v>
      </c>
      <c r="CW61" s="4">
        <f>CW60+BN61-AC61</f>
        <v>-135</v>
      </c>
      <c r="CX61" s="4">
        <f>CX60+BO61-AD61</f>
        <v>0</v>
      </c>
      <c r="CY61" s="4">
        <f>CY60+BP61-AE61</f>
        <v>0</v>
      </c>
      <c r="CZ61" s="4">
        <f>CZ60+BQ61-AF61</f>
        <v>-85</v>
      </c>
      <c r="DA61" s="4">
        <f>DA60+BR61-AG61</f>
        <v>0</v>
      </c>
      <c r="DB61" s="4">
        <f>DB60+BS61-AH61</f>
        <v>0</v>
      </c>
      <c r="DC61" s="4">
        <f>DC60+BT61-AI61</f>
        <v>0</v>
      </c>
      <c r="DD61" s="4">
        <f>DD60+BU61-AJ61</f>
        <v>-1645</v>
      </c>
      <c r="DE61" s="4">
        <f>DE60+BV61-AK61</f>
        <v>-630</v>
      </c>
      <c r="DF61" s="4">
        <f>DF60+BW61-AL61</f>
        <v>0</v>
      </c>
      <c r="DG61" s="4">
        <f>DG60+BX61-AM61</f>
        <v>-115</v>
      </c>
      <c r="DH61" s="4">
        <f>DH60+BY61-AN61</f>
        <v>0</v>
      </c>
    </row>
    <row r="62" spans="1:112" x14ac:dyDescent="0.25">
      <c r="A62" s="6">
        <v>46181</v>
      </c>
      <c r="B62" s="7">
        <v>0.79166666652599815</v>
      </c>
      <c r="C62" s="3" t="s">
        <v>3</v>
      </c>
      <c r="D62" s="3" t="s">
        <v>6</v>
      </c>
      <c r="E62" s="3" t="s">
        <v>2</v>
      </c>
      <c r="F62" s="13">
        <f>SUM(IFERROR(VLOOKUP($C:$C,Structure!$A:$AJ,F$1,0)*15,0),IFERROR(VLOOKUP($D:$D,Structure!$A:$AJ,F$1,0)*15,0),IFERROR(VLOOKUP($E:$E,Structure!$A:$AJ,F$1,0)*15,0))</f>
        <v>0</v>
      </c>
      <c r="G62" s="13">
        <f>SUM(IFERROR(VLOOKUP($C:$C,Structure!$A:$AJ,G$1,0)*15,0),IFERROR(VLOOKUP($D:$D,Structure!$A:$AJ,G$1,0)*15,0),IFERROR(VLOOKUP($E:$E,Structure!$A:$AJ,G$1,0)*15,0))</f>
        <v>0</v>
      </c>
      <c r="H62" s="13">
        <f>SUM(IFERROR(VLOOKUP($C:$C,Structure!$A:$AJ,H$1,0)*15,0),IFERROR(VLOOKUP($D:$D,Structure!$A:$AJ,H$1,0)*15,0),IFERROR(VLOOKUP($E:$E,Structure!$A:$AJ,H$1,0)*15,0))</f>
        <v>0</v>
      </c>
      <c r="I62" s="13">
        <f>SUM(IFERROR(VLOOKUP($C:$C,Structure!$A:$AJ,I$1,0)*15,0),IFERROR(VLOOKUP($D:$D,Structure!$A:$AJ,I$1,0)*15,0),IFERROR(VLOOKUP($E:$E,Structure!$A:$AJ,I$1,0)*15,0))</f>
        <v>0</v>
      </c>
      <c r="J62" s="13">
        <f>SUM(IFERROR(VLOOKUP($C:$C,Structure!$A:$AJ,J$1,0)*15,0),IFERROR(VLOOKUP($D:$D,Structure!$A:$AJ,J$1,0)*15,0),IFERROR(VLOOKUP($E:$E,Structure!$A:$AJ,J$1,0)*15,0))</f>
        <v>0</v>
      </c>
      <c r="K62" s="13">
        <f>SUM(IFERROR(VLOOKUP($C:$C,Structure!$A:$AJ,K$1,0)*15,0),IFERROR(VLOOKUP($D:$D,Structure!$A:$AJ,K$1,0)*15,0),IFERROR(VLOOKUP($E:$E,Structure!$A:$AJ,K$1,0)*15,0))</f>
        <v>0</v>
      </c>
      <c r="L62" s="13">
        <f>SUM(IFERROR(VLOOKUP($C:$C,Structure!$A:$AJ,L$1,0)*15,0),IFERROR(VLOOKUP($D:$D,Structure!$A:$AJ,L$1,0)*15,0),IFERROR(VLOOKUP($E:$E,Structure!$A:$AJ,L$1,0)*15,0))</f>
        <v>0</v>
      </c>
      <c r="M62" s="13">
        <f>SUM(IFERROR(VLOOKUP($C:$C,Structure!$A:$AJ,M$1,0)*15,0),IFERROR(VLOOKUP($D:$D,Structure!$A:$AJ,M$1,0)*15,0),IFERROR(VLOOKUP($E:$E,Structure!$A:$AJ,M$1,0)*15,0))</f>
        <v>0</v>
      </c>
      <c r="N62" s="13">
        <f>SUM(IFERROR(VLOOKUP($C:$C,Structure!$A:$AJ,N$1,0)*15,0),IFERROR(VLOOKUP($D:$D,Structure!$A:$AJ,N$1,0)*15,0),IFERROR(VLOOKUP($E:$E,Structure!$A:$AJ,N$1,0)*15,0))</f>
        <v>0</v>
      </c>
      <c r="O62" s="13">
        <f>SUM(IFERROR(VLOOKUP($C:$C,Structure!$A:$AJ,O$1,0)*15,0),IFERROR(VLOOKUP($D:$D,Structure!$A:$AJ,O$1,0)*15,0),IFERROR(VLOOKUP($E:$E,Structure!$A:$AJ,O$1,0)*15,0))</f>
        <v>0</v>
      </c>
      <c r="P62" s="13">
        <f>SUM(IFERROR(VLOOKUP($C:$C,Structure!$A:$AJ,P$1,0)*15,0),IFERROR(VLOOKUP($D:$D,Structure!$A:$AJ,P$1,0)*15,0),IFERROR(VLOOKUP($E:$E,Structure!$A:$AJ,P$1,0)*15,0))</f>
        <v>0</v>
      </c>
      <c r="Q62" s="13">
        <f>SUM(IFERROR(VLOOKUP($C:$C,Structure!$A:$AJ,Q$1,0)*15,0),IFERROR(VLOOKUP($D:$D,Structure!$A:$AJ,Q$1,0)*15,0),IFERROR(VLOOKUP($E:$E,Structure!$A:$AJ,Q$1,0)*15,0))</f>
        <v>0</v>
      </c>
      <c r="R62" s="13">
        <f>SUM(IFERROR(VLOOKUP($C:$C,Structure!$A:$AJ,R$1,0)*15,0),IFERROR(VLOOKUP($D:$D,Structure!$A:$AJ,R$1,0)*15,0),IFERROR(VLOOKUP($E:$E,Structure!$A:$AJ,R$1,0)*15,0))</f>
        <v>0</v>
      </c>
      <c r="S62" s="13">
        <f>SUM(IFERROR(VLOOKUP($C:$C,Structure!$A:$AJ,S$1,0)*15,0),IFERROR(VLOOKUP($D:$D,Structure!$A:$AJ,S$1,0)*15,0),IFERROR(VLOOKUP($E:$E,Structure!$A:$AJ,S$1,0)*15,0))</f>
        <v>0</v>
      </c>
      <c r="T62" s="13">
        <f>SUM(IFERROR(VLOOKUP($C:$C,Structure!$A:$AJ,T$1,0)*15,0),IFERROR(VLOOKUP($D:$D,Structure!$A:$AJ,T$1,0)*15,0),IFERROR(VLOOKUP($E:$E,Structure!$A:$AJ,T$1,0)*15,0))</f>
        <v>0</v>
      </c>
      <c r="U62" s="13">
        <f>SUM(IFERROR(VLOOKUP($C:$C,Structure!$A:$AJ,U$1,0)*15,0),IFERROR(VLOOKUP($D:$D,Structure!$A:$AJ,U$1,0)*15,0),IFERROR(VLOOKUP($E:$E,Structure!$A:$AJ,U$1,0)*15,0))</f>
        <v>0</v>
      </c>
      <c r="V62" s="13">
        <f>SUM(IFERROR(VLOOKUP($C:$C,Structure!$A:$AJ,V$1,0)*15,0),IFERROR(VLOOKUP($D:$D,Structure!$A:$AJ,V$1,0)*15,0),IFERROR(VLOOKUP($E:$E,Structure!$A:$AJ,V$1,0)*15,0))</f>
        <v>0</v>
      </c>
      <c r="W62" s="13">
        <f>SUM(IFERROR(VLOOKUP($C:$C,Structure!$A:$AJ,W$1,0)*15,0),IFERROR(VLOOKUP($D:$D,Structure!$A:$AJ,W$1,0)*15,0),IFERROR(VLOOKUP($E:$E,Structure!$A:$AJ,W$1,0)*15,0))</f>
        <v>0</v>
      </c>
      <c r="X62" s="13">
        <f>SUM(IFERROR(VLOOKUP($C:$C,Structure!$A:$AJ,X$1,0)*15,0),IFERROR(VLOOKUP($D:$D,Structure!$A:$AJ,X$1,0)*15,0),IFERROR(VLOOKUP($E:$E,Structure!$A:$AJ,X$1,0)*15,0))</f>
        <v>0</v>
      </c>
      <c r="Y62" s="13">
        <f>SUM(IFERROR(VLOOKUP($C:$C,Structure!$A:$AJ,Y$1,0)*15,0),IFERROR(VLOOKUP($D:$D,Structure!$A:$AJ,Y$1,0)*15,0),IFERROR(VLOOKUP($E:$E,Structure!$A:$AJ,Y$1,0)*15,0))</f>
        <v>0</v>
      </c>
      <c r="Z62" s="13">
        <f>SUM(IFERROR(VLOOKUP($C:$C,Structure!$A:$AJ,Z$1,0)*15,0),IFERROR(VLOOKUP($D:$D,Structure!$A:$AJ,Z$1,0)*15,0),IFERROR(VLOOKUP($E:$E,Structure!$A:$AJ,Z$1,0)*15,0))</f>
        <v>0</v>
      </c>
      <c r="AA62" s="13">
        <f>SUM(IFERROR(VLOOKUP($C:$C,Structure!$A:$AJ,AA$1,0)*15,0),IFERROR(VLOOKUP($D:$D,Structure!$A:$AJ,AA$1,0)*15,0),IFERROR(VLOOKUP($E:$E,Structure!$A:$AJ,AA$1,0)*15,0))</f>
        <v>45</v>
      </c>
      <c r="AB62" s="13">
        <f>SUM(IFERROR(VLOOKUP($C:$C,Structure!$A:$AJ,AB$1,0)*15,0),IFERROR(VLOOKUP($D:$D,Structure!$A:$AJ,AB$1,0)*15,0),IFERROR(VLOOKUP($E:$E,Structure!$A:$AJ,AB$1,0)*15,0))</f>
        <v>0</v>
      </c>
      <c r="AC62" s="13">
        <f>SUM(IFERROR(VLOOKUP($C:$C,Structure!$A:$AJ,AC$1,0)*15,0),IFERROR(VLOOKUP($D:$D,Structure!$A:$AJ,AC$1,0)*15,0),IFERROR(VLOOKUP($E:$E,Structure!$A:$AJ,AC$1,0)*15,0))</f>
        <v>0</v>
      </c>
      <c r="AD62" s="13">
        <f>SUM(IFERROR(VLOOKUP($C:$C,Structure!$A:$AJ,AD$1,0)*15,0),IFERROR(VLOOKUP($D:$D,Structure!$A:$AJ,AD$1,0)*15,0),IFERROR(VLOOKUP($E:$E,Structure!$A:$AJ,AD$1,0)*15,0))</f>
        <v>0</v>
      </c>
      <c r="AE62" s="13">
        <f>SUM(IFERROR(VLOOKUP($C:$C,Structure!$A:$AJ,AE$1,0)*15,0),IFERROR(VLOOKUP($D:$D,Structure!$A:$AJ,AE$1,0)*15,0),IFERROR(VLOOKUP($E:$E,Structure!$A:$AJ,AE$1,0)*15,0))</f>
        <v>0</v>
      </c>
      <c r="AF62" s="13">
        <f>SUM(IFERROR(VLOOKUP($C:$C,Structure!$A:$AJ,AF$1,0)*15,0),IFERROR(VLOOKUP($D:$D,Structure!$A:$AJ,AF$1,0)*15,0),IFERROR(VLOOKUP($E:$E,Structure!$A:$AJ,AF$1,0)*15,0))</f>
        <v>0</v>
      </c>
      <c r="AG62" s="13">
        <f>SUM(IFERROR(VLOOKUP($C:$C,Structure!$A:$AJ,AG$1,0)*15,0),IFERROR(VLOOKUP($D:$D,Structure!$A:$AJ,AG$1,0)*15,0),IFERROR(VLOOKUP($E:$E,Structure!$A:$AJ,AG$1,0)*15,0))</f>
        <v>0</v>
      </c>
      <c r="AH62" s="13">
        <f>SUM(IFERROR(VLOOKUP($C:$C,Structure!$A:$AJ,AH$1,0)*15,0),IFERROR(VLOOKUP($D:$D,Structure!$A:$AJ,AH$1,0)*15,0),IFERROR(VLOOKUP($E:$E,Structure!$A:$AJ,AH$1,0)*15,0))</f>
        <v>0</v>
      </c>
      <c r="AI62" s="13">
        <f>SUM(IFERROR(VLOOKUP($C:$C,Structure!$A:$AJ,AI$1,0)*15,0),IFERROR(VLOOKUP($D:$D,Structure!$A:$AJ,AI$1,0)*15,0),IFERROR(VLOOKUP($E:$E,Structure!$A:$AJ,AI$1,0)*15,0))</f>
        <v>0</v>
      </c>
      <c r="AJ62" s="13">
        <f>SUM(IFERROR(VLOOKUP($C:$C,Structure!$A:$AJ,AJ$1,0)*15,0),IFERROR(VLOOKUP($D:$D,Structure!$A:$AJ,AJ$1,0)*15,0),IFERROR(VLOOKUP($E:$E,Structure!$A:$AJ,AJ$1,0)*15,0))</f>
        <v>30</v>
      </c>
      <c r="AK62" s="13">
        <f>SUM(IFERROR(VLOOKUP($C:$C,Structure!$A:$AJ,AK$1,0)*15,0),IFERROR(VLOOKUP($D:$D,Structure!$A:$AJ,AK$1,0)*15,0),IFERROR(VLOOKUP($E:$E,Structure!$A:$AJ,AK$1,0)*15,0))</f>
        <v>15</v>
      </c>
      <c r="AL62" s="13">
        <f>SUM(IFERROR(VLOOKUP($C:$C,Structure!$A:$AJ,AL$1,0)*15,0),IFERROR(VLOOKUP($D:$D,Structure!$A:$AJ,AL$1,0)*15,0),IFERROR(VLOOKUP($E:$E,Structure!$A:$AJ,AL$1,0)*15,0))</f>
        <v>0</v>
      </c>
      <c r="AM62" s="13">
        <f>SUM(IFERROR(VLOOKUP($C:$C,Structure!$A:$AJ,AM$1,0)*15,0),IFERROR(VLOOKUP($D:$D,Structure!$A:$AJ,AM$1,0)*15,0),IFERROR(VLOOKUP($E:$E,Structure!$A:$AJ,AM$1,0)*15,0))</f>
        <v>0</v>
      </c>
      <c r="AN62" s="13">
        <f>SUM(IFERROR(VLOOKUP($C:$C,Structure!$A:$AJ,AN$1,0)*15,0),IFERROR(VLOOKUP($D:$D,Structure!$A:$AJ,AN$1,0)*15,0),IFERROR(VLOOKUP($E:$E,Structure!$A:$AJ,AN$1,0)*15,0))</f>
        <v>0</v>
      </c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3"/>
      <c r="BZ62" s="4">
        <f>BZ61+AQ62-F62</f>
        <v>0</v>
      </c>
      <c r="CA62" s="4">
        <f>CA61+AR62-G62</f>
        <v>0</v>
      </c>
      <c r="CB62" s="4">
        <f>CB61+AS62-H62</f>
        <v>0</v>
      </c>
      <c r="CC62" s="4">
        <f>CC61+AT62-I62</f>
        <v>0</v>
      </c>
      <c r="CD62" s="4">
        <f>CD61+AU62-J62</f>
        <v>0</v>
      </c>
      <c r="CE62" s="4">
        <f>CE61+AV62-K62</f>
        <v>0</v>
      </c>
      <c r="CF62" s="4">
        <f>CF61+AW62-L62</f>
        <v>0</v>
      </c>
      <c r="CG62" s="4">
        <f>CG61+AX62-M62</f>
        <v>0</v>
      </c>
      <c r="CH62" s="4">
        <f>CH61+AY62-N62</f>
        <v>0</v>
      </c>
      <c r="CI62" s="4">
        <f>CI61+AZ62-O62</f>
        <v>0</v>
      </c>
      <c r="CJ62" s="4">
        <f>CJ61+BA62-P62</f>
        <v>0</v>
      </c>
      <c r="CK62" s="4">
        <f>CK61+BB62-Q62</f>
        <v>0</v>
      </c>
      <c r="CL62" s="4">
        <f>CL61+BC62-R62</f>
        <v>0</v>
      </c>
      <c r="CM62" s="4">
        <f>CM61+BD62-S62</f>
        <v>0</v>
      </c>
      <c r="CN62" s="4">
        <f>CN61+BE62-T62</f>
        <v>0</v>
      </c>
      <c r="CO62" s="4">
        <f>CO61+BF62-U62</f>
        <v>0</v>
      </c>
      <c r="CP62" s="4">
        <f>CP61+BG62-V62</f>
        <v>0</v>
      </c>
      <c r="CQ62" s="4">
        <f>CQ61+BH62-W62</f>
        <v>0</v>
      </c>
      <c r="CR62" s="4">
        <f>CR61+BI62-X62</f>
        <v>0</v>
      </c>
      <c r="CS62" s="4">
        <f>CS61+BJ62-Y62</f>
        <v>0</v>
      </c>
      <c r="CT62" s="4">
        <f>CT61+BK62-Z62</f>
        <v>0</v>
      </c>
      <c r="CU62" s="4">
        <f>CU61+BL62-AA62</f>
        <v>-2300</v>
      </c>
      <c r="CV62" s="4">
        <f>CV61+BM62-AB62</f>
        <v>-165</v>
      </c>
      <c r="CW62" s="4">
        <f>CW61+BN62-AC62</f>
        <v>-135</v>
      </c>
      <c r="CX62" s="4">
        <f>CX61+BO62-AD62</f>
        <v>0</v>
      </c>
      <c r="CY62" s="4">
        <f>CY61+BP62-AE62</f>
        <v>0</v>
      </c>
      <c r="CZ62" s="4">
        <f>CZ61+BQ62-AF62</f>
        <v>-85</v>
      </c>
      <c r="DA62" s="4">
        <f>DA61+BR62-AG62</f>
        <v>0</v>
      </c>
      <c r="DB62" s="4">
        <f>DB61+BS62-AH62</f>
        <v>0</v>
      </c>
      <c r="DC62" s="4">
        <f>DC61+BT62-AI62</f>
        <v>0</v>
      </c>
      <c r="DD62" s="4">
        <f>DD61+BU62-AJ62</f>
        <v>-1675</v>
      </c>
      <c r="DE62" s="4">
        <f>DE61+BV62-AK62</f>
        <v>-645</v>
      </c>
      <c r="DF62" s="4">
        <f>DF61+BW62-AL62</f>
        <v>0</v>
      </c>
      <c r="DG62" s="4">
        <f>DG61+BX62-AM62</f>
        <v>-115</v>
      </c>
      <c r="DH62" s="4">
        <f>DH61+BY62-AN62</f>
        <v>0</v>
      </c>
    </row>
    <row r="63" spans="1:112" x14ac:dyDescent="0.25">
      <c r="A63" s="6">
        <v>46181</v>
      </c>
      <c r="B63" s="7">
        <v>0.8333333331902395</v>
      </c>
      <c r="C63" s="3" t="s">
        <v>3</v>
      </c>
      <c r="D63" s="3" t="s">
        <v>6</v>
      </c>
      <c r="E63" s="3" t="s">
        <v>2</v>
      </c>
      <c r="F63" s="13">
        <f>SUM(IFERROR(VLOOKUP($C:$C,Structure!$A:$AJ,F$1,0)*15,0),IFERROR(VLOOKUP($D:$D,Structure!$A:$AJ,F$1,0)*15,0),IFERROR(VLOOKUP($E:$E,Structure!$A:$AJ,F$1,0)*15,0))</f>
        <v>0</v>
      </c>
      <c r="G63" s="13">
        <f>SUM(IFERROR(VLOOKUP($C:$C,Structure!$A:$AJ,G$1,0)*15,0),IFERROR(VLOOKUP($D:$D,Structure!$A:$AJ,G$1,0)*15,0),IFERROR(VLOOKUP($E:$E,Structure!$A:$AJ,G$1,0)*15,0))</f>
        <v>0</v>
      </c>
      <c r="H63" s="13">
        <f>SUM(IFERROR(VLOOKUP($C:$C,Structure!$A:$AJ,H$1,0)*15,0),IFERROR(VLOOKUP($D:$D,Structure!$A:$AJ,H$1,0)*15,0),IFERROR(VLOOKUP($E:$E,Structure!$A:$AJ,H$1,0)*15,0))</f>
        <v>0</v>
      </c>
      <c r="I63" s="13">
        <f>SUM(IFERROR(VLOOKUP($C:$C,Structure!$A:$AJ,I$1,0)*15,0),IFERROR(VLOOKUP($D:$D,Structure!$A:$AJ,I$1,0)*15,0),IFERROR(VLOOKUP($E:$E,Structure!$A:$AJ,I$1,0)*15,0))</f>
        <v>0</v>
      </c>
      <c r="J63" s="13">
        <f>SUM(IFERROR(VLOOKUP($C:$C,Structure!$A:$AJ,J$1,0)*15,0),IFERROR(VLOOKUP($D:$D,Structure!$A:$AJ,J$1,0)*15,0),IFERROR(VLOOKUP($E:$E,Structure!$A:$AJ,J$1,0)*15,0))</f>
        <v>0</v>
      </c>
      <c r="K63" s="13">
        <f>SUM(IFERROR(VLOOKUP($C:$C,Structure!$A:$AJ,K$1,0)*15,0),IFERROR(VLOOKUP($D:$D,Structure!$A:$AJ,K$1,0)*15,0),IFERROR(VLOOKUP($E:$E,Structure!$A:$AJ,K$1,0)*15,0))</f>
        <v>0</v>
      </c>
      <c r="L63" s="13">
        <f>SUM(IFERROR(VLOOKUP($C:$C,Structure!$A:$AJ,L$1,0)*15,0),IFERROR(VLOOKUP($D:$D,Structure!$A:$AJ,L$1,0)*15,0),IFERROR(VLOOKUP($E:$E,Structure!$A:$AJ,L$1,0)*15,0))</f>
        <v>0</v>
      </c>
      <c r="M63" s="13">
        <f>SUM(IFERROR(VLOOKUP($C:$C,Structure!$A:$AJ,M$1,0)*15,0),IFERROR(VLOOKUP($D:$D,Structure!$A:$AJ,M$1,0)*15,0),IFERROR(VLOOKUP($E:$E,Structure!$A:$AJ,M$1,0)*15,0))</f>
        <v>0</v>
      </c>
      <c r="N63" s="13">
        <f>SUM(IFERROR(VLOOKUP($C:$C,Structure!$A:$AJ,N$1,0)*15,0),IFERROR(VLOOKUP($D:$D,Structure!$A:$AJ,N$1,0)*15,0),IFERROR(VLOOKUP($E:$E,Structure!$A:$AJ,N$1,0)*15,0))</f>
        <v>0</v>
      </c>
      <c r="O63" s="13">
        <f>SUM(IFERROR(VLOOKUP($C:$C,Structure!$A:$AJ,O$1,0)*15,0),IFERROR(VLOOKUP($D:$D,Structure!$A:$AJ,O$1,0)*15,0),IFERROR(VLOOKUP($E:$E,Structure!$A:$AJ,O$1,0)*15,0))</f>
        <v>0</v>
      </c>
      <c r="P63" s="13">
        <f>SUM(IFERROR(VLOOKUP($C:$C,Structure!$A:$AJ,P$1,0)*15,0),IFERROR(VLOOKUP($D:$D,Structure!$A:$AJ,P$1,0)*15,0),IFERROR(VLOOKUP($E:$E,Structure!$A:$AJ,P$1,0)*15,0))</f>
        <v>0</v>
      </c>
      <c r="Q63" s="13">
        <f>SUM(IFERROR(VLOOKUP($C:$C,Structure!$A:$AJ,Q$1,0)*15,0),IFERROR(VLOOKUP($D:$D,Structure!$A:$AJ,Q$1,0)*15,0),IFERROR(VLOOKUP($E:$E,Structure!$A:$AJ,Q$1,0)*15,0))</f>
        <v>0</v>
      </c>
      <c r="R63" s="13">
        <f>SUM(IFERROR(VLOOKUP($C:$C,Structure!$A:$AJ,R$1,0)*15,0),IFERROR(VLOOKUP($D:$D,Structure!$A:$AJ,R$1,0)*15,0),IFERROR(VLOOKUP($E:$E,Structure!$A:$AJ,R$1,0)*15,0))</f>
        <v>0</v>
      </c>
      <c r="S63" s="13">
        <f>SUM(IFERROR(VLOOKUP($C:$C,Structure!$A:$AJ,S$1,0)*15,0),IFERROR(VLOOKUP($D:$D,Structure!$A:$AJ,S$1,0)*15,0),IFERROR(VLOOKUP($E:$E,Structure!$A:$AJ,S$1,0)*15,0))</f>
        <v>0</v>
      </c>
      <c r="T63" s="13">
        <f>SUM(IFERROR(VLOOKUP($C:$C,Structure!$A:$AJ,T$1,0)*15,0),IFERROR(VLOOKUP($D:$D,Structure!$A:$AJ,T$1,0)*15,0),IFERROR(VLOOKUP($E:$E,Structure!$A:$AJ,T$1,0)*15,0))</f>
        <v>0</v>
      </c>
      <c r="U63" s="13">
        <f>SUM(IFERROR(VLOOKUP($C:$C,Structure!$A:$AJ,U$1,0)*15,0),IFERROR(VLOOKUP($D:$D,Structure!$A:$AJ,U$1,0)*15,0),IFERROR(VLOOKUP($E:$E,Structure!$A:$AJ,U$1,0)*15,0))</f>
        <v>0</v>
      </c>
      <c r="V63" s="13">
        <f>SUM(IFERROR(VLOOKUP($C:$C,Structure!$A:$AJ,V$1,0)*15,0),IFERROR(VLOOKUP($D:$D,Structure!$A:$AJ,V$1,0)*15,0),IFERROR(VLOOKUP($E:$E,Structure!$A:$AJ,V$1,0)*15,0))</f>
        <v>0</v>
      </c>
      <c r="W63" s="13">
        <f>SUM(IFERROR(VLOOKUP($C:$C,Structure!$A:$AJ,W$1,0)*15,0),IFERROR(VLOOKUP($D:$D,Structure!$A:$AJ,W$1,0)*15,0),IFERROR(VLOOKUP($E:$E,Structure!$A:$AJ,W$1,0)*15,0))</f>
        <v>0</v>
      </c>
      <c r="X63" s="13">
        <f>SUM(IFERROR(VLOOKUP($C:$C,Structure!$A:$AJ,X$1,0)*15,0),IFERROR(VLOOKUP($D:$D,Structure!$A:$AJ,X$1,0)*15,0),IFERROR(VLOOKUP($E:$E,Structure!$A:$AJ,X$1,0)*15,0))</f>
        <v>0</v>
      </c>
      <c r="Y63" s="13">
        <f>SUM(IFERROR(VLOOKUP($C:$C,Structure!$A:$AJ,Y$1,0)*15,0),IFERROR(VLOOKUP($D:$D,Structure!$A:$AJ,Y$1,0)*15,0),IFERROR(VLOOKUP($E:$E,Structure!$A:$AJ,Y$1,0)*15,0))</f>
        <v>0</v>
      </c>
      <c r="Z63" s="13">
        <f>SUM(IFERROR(VLOOKUP($C:$C,Structure!$A:$AJ,Z$1,0)*15,0),IFERROR(VLOOKUP($D:$D,Structure!$A:$AJ,Z$1,0)*15,0),IFERROR(VLOOKUP($E:$E,Structure!$A:$AJ,Z$1,0)*15,0))</f>
        <v>0</v>
      </c>
      <c r="AA63" s="13">
        <f>SUM(IFERROR(VLOOKUP($C:$C,Structure!$A:$AJ,AA$1,0)*15,0),IFERROR(VLOOKUP($D:$D,Structure!$A:$AJ,AA$1,0)*15,0),IFERROR(VLOOKUP($E:$E,Structure!$A:$AJ,AA$1,0)*15,0))</f>
        <v>45</v>
      </c>
      <c r="AB63" s="13">
        <f>SUM(IFERROR(VLOOKUP($C:$C,Structure!$A:$AJ,AB$1,0)*15,0),IFERROR(VLOOKUP($D:$D,Structure!$A:$AJ,AB$1,0)*15,0),IFERROR(VLOOKUP($E:$E,Structure!$A:$AJ,AB$1,0)*15,0))</f>
        <v>0</v>
      </c>
      <c r="AC63" s="13">
        <f>SUM(IFERROR(VLOOKUP($C:$C,Structure!$A:$AJ,AC$1,0)*15,0),IFERROR(VLOOKUP($D:$D,Structure!$A:$AJ,AC$1,0)*15,0),IFERROR(VLOOKUP($E:$E,Structure!$A:$AJ,AC$1,0)*15,0))</f>
        <v>0</v>
      </c>
      <c r="AD63" s="13">
        <f>SUM(IFERROR(VLOOKUP($C:$C,Structure!$A:$AJ,AD$1,0)*15,0),IFERROR(VLOOKUP($D:$D,Structure!$A:$AJ,AD$1,0)*15,0),IFERROR(VLOOKUP($E:$E,Structure!$A:$AJ,AD$1,0)*15,0))</f>
        <v>0</v>
      </c>
      <c r="AE63" s="13">
        <f>SUM(IFERROR(VLOOKUP($C:$C,Structure!$A:$AJ,AE$1,0)*15,0),IFERROR(VLOOKUP($D:$D,Structure!$A:$AJ,AE$1,0)*15,0),IFERROR(VLOOKUP($E:$E,Structure!$A:$AJ,AE$1,0)*15,0))</f>
        <v>0</v>
      </c>
      <c r="AF63" s="13">
        <f>SUM(IFERROR(VLOOKUP($C:$C,Structure!$A:$AJ,AF$1,0)*15,0),IFERROR(VLOOKUP($D:$D,Structure!$A:$AJ,AF$1,0)*15,0),IFERROR(VLOOKUP($E:$E,Structure!$A:$AJ,AF$1,0)*15,0))</f>
        <v>0</v>
      </c>
      <c r="AG63" s="13">
        <f>SUM(IFERROR(VLOOKUP($C:$C,Structure!$A:$AJ,AG$1,0)*15,0),IFERROR(VLOOKUP($D:$D,Structure!$A:$AJ,AG$1,0)*15,0),IFERROR(VLOOKUP($E:$E,Structure!$A:$AJ,AG$1,0)*15,0))</f>
        <v>0</v>
      </c>
      <c r="AH63" s="13">
        <f>SUM(IFERROR(VLOOKUP($C:$C,Structure!$A:$AJ,AH$1,0)*15,0),IFERROR(VLOOKUP($D:$D,Structure!$A:$AJ,AH$1,0)*15,0),IFERROR(VLOOKUP($E:$E,Structure!$A:$AJ,AH$1,0)*15,0))</f>
        <v>0</v>
      </c>
      <c r="AI63" s="13">
        <f>SUM(IFERROR(VLOOKUP($C:$C,Structure!$A:$AJ,AI$1,0)*15,0),IFERROR(VLOOKUP($D:$D,Structure!$A:$AJ,AI$1,0)*15,0),IFERROR(VLOOKUP($E:$E,Structure!$A:$AJ,AI$1,0)*15,0))</f>
        <v>0</v>
      </c>
      <c r="AJ63" s="13">
        <f>SUM(IFERROR(VLOOKUP($C:$C,Structure!$A:$AJ,AJ$1,0)*15,0),IFERROR(VLOOKUP($D:$D,Structure!$A:$AJ,AJ$1,0)*15,0),IFERROR(VLOOKUP($E:$E,Structure!$A:$AJ,AJ$1,0)*15,0))</f>
        <v>30</v>
      </c>
      <c r="AK63" s="13">
        <f>SUM(IFERROR(VLOOKUP($C:$C,Structure!$A:$AJ,AK$1,0)*15,0),IFERROR(VLOOKUP($D:$D,Structure!$A:$AJ,AK$1,0)*15,0),IFERROR(VLOOKUP($E:$E,Structure!$A:$AJ,AK$1,0)*15,0))</f>
        <v>15</v>
      </c>
      <c r="AL63" s="13">
        <f>SUM(IFERROR(VLOOKUP($C:$C,Structure!$A:$AJ,AL$1,0)*15,0),IFERROR(VLOOKUP($D:$D,Structure!$A:$AJ,AL$1,0)*15,0),IFERROR(VLOOKUP($E:$E,Structure!$A:$AJ,AL$1,0)*15,0))</f>
        <v>0</v>
      </c>
      <c r="AM63" s="13">
        <f>SUM(IFERROR(VLOOKUP($C:$C,Structure!$A:$AJ,AM$1,0)*15,0),IFERROR(VLOOKUP($D:$D,Structure!$A:$AJ,AM$1,0)*15,0),IFERROR(VLOOKUP($E:$E,Structure!$A:$AJ,AM$1,0)*15,0))</f>
        <v>0</v>
      </c>
      <c r="AN63" s="13">
        <f>SUM(IFERROR(VLOOKUP($C:$C,Structure!$A:$AJ,AN$1,0)*15,0),IFERROR(VLOOKUP($D:$D,Structure!$A:$AJ,AN$1,0)*15,0),IFERROR(VLOOKUP($E:$E,Structure!$A:$AJ,AN$1,0)*15,0))</f>
        <v>0</v>
      </c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3"/>
      <c r="BZ63" s="4">
        <f>BZ62+AQ63-F63</f>
        <v>0</v>
      </c>
      <c r="CA63" s="4">
        <f>CA62+AR63-G63</f>
        <v>0</v>
      </c>
      <c r="CB63" s="4">
        <f>CB62+AS63-H63</f>
        <v>0</v>
      </c>
      <c r="CC63" s="4">
        <f>CC62+AT63-I63</f>
        <v>0</v>
      </c>
      <c r="CD63" s="4">
        <f>CD62+AU63-J63</f>
        <v>0</v>
      </c>
      <c r="CE63" s="4">
        <f>CE62+AV63-K63</f>
        <v>0</v>
      </c>
      <c r="CF63" s="4">
        <f>CF62+AW63-L63</f>
        <v>0</v>
      </c>
      <c r="CG63" s="4">
        <f>CG62+AX63-M63</f>
        <v>0</v>
      </c>
      <c r="CH63" s="4">
        <f>CH62+AY63-N63</f>
        <v>0</v>
      </c>
      <c r="CI63" s="4">
        <f>CI62+AZ63-O63</f>
        <v>0</v>
      </c>
      <c r="CJ63" s="4">
        <f>CJ62+BA63-P63</f>
        <v>0</v>
      </c>
      <c r="CK63" s="4">
        <f>CK62+BB63-Q63</f>
        <v>0</v>
      </c>
      <c r="CL63" s="4">
        <f>CL62+BC63-R63</f>
        <v>0</v>
      </c>
      <c r="CM63" s="4">
        <f>CM62+BD63-S63</f>
        <v>0</v>
      </c>
      <c r="CN63" s="4">
        <f>CN62+BE63-T63</f>
        <v>0</v>
      </c>
      <c r="CO63" s="4">
        <f>CO62+BF63-U63</f>
        <v>0</v>
      </c>
      <c r="CP63" s="4">
        <f>CP62+BG63-V63</f>
        <v>0</v>
      </c>
      <c r="CQ63" s="4">
        <f>CQ62+BH63-W63</f>
        <v>0</v>
      </c>
      <c r="CR63" s="4">
        <f>CR62+BI63-X63</f>
        <v>0</v>
      </c>
      <c r="CS63" s="4">
        <f>CS62+BJ63-Y63</f>
        <v>0</v>
      </c>
      <c r="CT63" s="4">
        <f>CT62+BK63-Z63</f>
        <v>0</v>
      </c>
      <c r="CU63" s="4">
        <f>CU62+BL63-AA63</f>
        <v>-2345</v>
      </c>
      <c r="CV63" s="4">
        <f>CV62+BM63-AB63</f>
        <v>-165</v>
      </c>
      <c r="CW63" s="4">
        <f>CW62+BN63-AC63</f>
        <v>-135</v>
      </c>
      <c r="CX63" s="4">
        <f>CX62+BO63-AD63</f>
        <v>0</v>
      </c>
      <c r="CY63" s="4">
        <f>CY62+BP63-AE63</f>
        <v>0</v>
      </c>
      <c r="CZ63" s="4">
        <f>CZ62+BQ63-AF63</f>
        <v>-85</v>
      </c>
      <c r="DA63" s="4">
        <f>DA62+BR63-AG63</f>
        <v>0</v>
      </c>
      <c r="DB63" s="4">
        <f>DB62+BS63-AH63</f>
        <v>0</v>
      </c>
      <c r="DC63" s="4">
        <f>DC62+BT63-AI63</f>
        <v>0</v>
      </c>
      <c r="DD63" s="4">
        <f>DD62+BU63-AJ63</f>
        <v>-1705</v>
      </c>
      <c r="DE63" s="4">
        <f>DE62+BV63-AK63</f>
        <v>-660</v>
      </c>
      <c r="DF63" s="4">
        <f>DF62+BW63-AL63</f>
        <v>0</v>
      </c>
      <c r="DG63" s="4">
        <f>DG62+BX63-AM63</f>
        <v>-115</v>
      </c>
      <c r="DH63" s="4">
        <f>DH62+BY63-AN63</f>
        <v>0</v>
      </c>
    </row>
    <row r="64" spans="1:112" x14ac:dyDescent="0.25">
      <c r="A64" s="6">
        <v>46181</v>
      </c>
      <c r="B64" s="7">
        <v>0.87499999985448085</v>
      </c>
      <c r="C64" s="3" t="s">
        <v>3</v>
      </c>
      <c r="D64" s="3" t="s">
        <v>6</v>
      </c>
      <c r="E64" s="3" t="s">
        <v>2</v>
      </c>
      <c r="F64" s="13">
        <f>SUM(IFERROR(VLOOKUP($C:$C,Structure!$A:$AJ,F$1,0)*15,0),IFERROR(VLOOKUP($D:$D,Structure!$A:$AJ,F$1,0)*15,0),IFERROR(VLOOKUP($E:$E,Structure!$A:$AJ,F$1,0)*15,0))</f>
        <v>0</v>
      </c>
      <c r="G64" s="13">
        <f>SUM(IFERROR(VLOOKUP($C:$C,Structure!$A:$AJ,G$1,0)*15,0),IFERROR(VLOOKUP($D:$D,Structure!$A:$AJ,G$1,0)*15,0),IFERROR(VLOOKUP($E:$E,Structure!$A:$AJ,G$1,0)*15,0))</f>
        <v>0</v>
      </c>
      <c r="H64" s="13">
        <f>SUM(IFERROR(VLOOKUP($C:$C,Structure!$A:$AJ,H$1,0)*15,0),IFERROR(VLOOKUP($D:$D,Structure!$A:$AJ,H$1,0)*15,0),IFERROR(VLOOKUP($E:$E,Structure!$A:$AJ,H$1,0)*15,0))</f>
        <v>0</v>
      </c>
      <c r="I64" s="13">
        <f>SUM(IFERROR(VLOOKUP($C:$C,Structure!$A:$AJ,I$1,0)*15,0),IFERROR(VLOOKUP($D:$D,Structure!$A:$AJ,I$1,0)*15,0),IFERROR(VLOOKUP($E:$E,Structure!$A:$AJ,I$1,0)*15,0))</f>
        <v>0</v>
      </c>
      <c r="J64" s="13">
        <f>SUM(IFERROR(VLOOKUP($C:$C,Structure!$A:$AJ,J$1,0)*15,0),IFERROR(VLOOKUP($D:$D,Structure!$A:$AJ,J$1,0)*15,0),IFERROR(VLOOKUP($E:$E,Structure!$A:$AJ,J$1,0)*15,0))</f>
        <v>0</v>
      </c>
      <c r="K64" s="13">
        <f>SUM(IFERROR(VLOOKUP($C:$C,Structure!$A:$AJ,K$1,0)*15,0),IFERROR(VLOOKUP($D:$D,Structure!$A:$AJ,K$1,0)*15,0),IFERROR(VLOOKUP($E:$E,Structure!$A:$AJ,K$1,0)*15,0))</f>
        <v>0</v>
      </c>
      <c r="L64" s="13">
        <f>SUM(IFERROR(VLOOKUP($C:$C,Structure!$A:$AJ,L$1,0)*15,0),IFERROR(VLOOKUP($D:$D,Structure!$A:$AJ,L$1,0)*15,0),IFERROR(VLOOKUP($E:$E,Structure!$A:$AJ,L$1,0)*15,0))</f>
        <v>0</v>
      </c>
      <c r="M64" s="13">
        <f>SUM(IFERROR(VLOOKUP($C:$C,Structure!$A:$AJ,M$1,0)*15,0),IFERROR(VLOOKUP($D:$D,Structure!$A:$AJ,M$1,0)*15,0),IFERROR(VLOOKUP($E:$E,Structure!$A:$AJ,M$1,0)*15,0))</f>
        <v>0</v>
      </c>
      <c r="N64" s="13">
        <f>SUM(IFERROR(VLOOKUP($C:$C,Structure!$A:$AJ,N$1,0)*15,0),IFERROR(VLOOKUP($D:$D,Structure!$A:$AJ,N$1,0)*15,0),IFERROR(VLOOKUP($E:$E,Structure!$A:$AJ,N$1,0)*15,0))</f>
        <v>0</v>
      </c>
      <c r="O64" s="13">
        <f>SUM(IFERROR(VLOOKUP($C:$C,Structure!$A:$AJ,O$1,0)*15,0),IFERROR(VLOOKUP($D:$D,Structure!$A:$AJ,O$1,0)*15,0),IFERROR(VLOOKUP($E:$E,Structure!$A:$AJ,O$1,0)*15,0))</f>
        <v>0</v>
      </c>
      <c r="P64" s="13">
        <f>SUM(IFERROR(VLOOKUP($C:$C,Structure!$A:$AJ,P$1,0)*15,0),IFERROR(VLOOKUP($D:$D,Structure!$A:$AJ,P$1,0)*15,0),IFERROR(VLOOKUP($E:$E,Structure!$A:$AJ,P$1,0)*15,0))</f>
        <v>0</v>
      </c>
      <c r="Q64" s="13">
        <f>SUM(IFERROR(VLOOKUP($C:$C,Structure!$A:$AJ,Q$1,0)*15,0),IFERROR(VLOOKUP($D:$D,Structure!$A:$AJ,Q$1,0)*15,0),IFERROR(VLOOKUP($E:$E,Structure!$A:$AJ,Q$1,0)*15,0))</f>
        <v>0</v>
      </c>
      <c r="R64" s="13">
        <f>SUM(IFERROR(VLOOKUP($C:$C,Structure!$A:$AJ,R$1,0)*15,0),IFERROR(VLOOKUP($D:$D,Structure!$A:$AJ,R$1,0)*15,0),IFERROR(VLOOKUP($E:$E,Structure!$A:$AJ,R$1,0)*15,0))</f>
        <v>0</v>
      </c>
      <c r="S64" s="13">
        <f>SUM(IFERROR(VLOOKUP($C:$C,Structure!$A:$AJ,S$1,0)*15,0),IFERROR(VLOOKUP($D:$D,Structure!$A:$AJ,S$1,0)*15,0),IFERROR(VLOOKUP($E:$E,Structure!$A:$AJ,S$1,0)*15,0))</f>
        <v>0</v>
      </c>
      <c r="T64" s="13">
        <f>SUM(IFERROR(VLOOKUP($C:$C,Structure!$A:$AJ,T$1,0)*15,0),IFERROR(VLOOKUP($D:$D,Structure!$A:$AJ,T$1,0)*15,0),IFERROR(VLOOKUP($E:$E,Structure!$A:$AJ,T$1,0)*15,0))</f>
        <v>0</v>
      </c>
      <c r="U64" s="13">
        <f>SUM(IFERROR(VLOOKUP($C:$C,Structure!$A:$AJ,U$1,0)*15,0),IFERROR(VLOOKUP($D:$D,Structure!$A:$AJ,U$1,0)*15,0),IFERROR(VLOOKUP($E:$E,Structure!$A:$AJ,U$1,0)*15,0))</f>
        <v>0</v>
      </c>
      <c r="V64" s="13">
        <f>SUM(IFERROR(VLOOKUP($C:$C,Structure!$A:$AJ,V$1,0)*15,0),IFERROR(VLOOKUP($D:$D,Structure!$A:$AJ,V$1,0)*15,0),IFERROR(VLOOKUP($E:$E,Structure!$A:$AJ,V$1,0)*15,0))</f>
        <v>0</v>
      </c>
      <c r="W64" s="13">
        <f>SUM(IFERROR(VLOOKUP($C:$C,Structure!$A:$AJ,W$1,0)*15,0),IFERROR(VLOOKUP($D:$D,Structure!$A:$AJ,W$1,0)*15,0),IFERROR(VLOOKUP($E:$E,Structure!$A:$AJ,W$1,0)*15,0))</f>
        <v>0</v>
      </c>
      <c r="X64" s="13">
        <f>SUM(IFERROR(VLOOKUP($C:$C,Structure!$A:$AJ,X$1,0)*15,0),IFERROR(VLOOKUP($D:$D,Structure!$A:$AJ,X$1,0)*15,0),IFERROR(VLOOKUP($E:$E,Structure!$A:$AJ,X$1,0)*15,0))</f>
        <v>0</v>
      </c>
      <c r="Y64" s="13">
        <f>SUM(IFERROR(VLOOKUP($C:$C,Structure!$A:$AJ,Y$1,0)*15,0),IFERROR(VLOOKUP($D:$D,Structure!$A:$AJ,Y$1,0)*15,0),IFERROR(VLOOKUP($E:$E,Structure!$A:$AJ,Y$1,0)*15,0))</f>
        <v>0</v>
      </c>
      <c r="Z64" s="13">
        <f>SUM(IFERROR(VLOOKUP($C:$C,Structure!$A:$AJ,Z$1,0)*15,0),IFERROR(VLOOKUP($D:$D,Structure!$A:$AJ,Z$1,0)*15,0),IFERROR(VLOOKUP($E:$E,Structure!$A:$AJ,Z$1,0)*15,0))</f>
        <v>0</v>
      </c>
      <c r="AA64" s="13">
        <f>SUM(IFERROR(VLOOKUP($C:$C,Structure!$A:$AJ,AA$1,0)*15,0),IFERROR(VLOOKUP($D:$D,Structure!$A:$AJ,AA$1,0)*15,0),IFERROR(VLOOKUP($E:$E,Structure!$A:$AJ,AA$1,0)*15,0))</f>
        <v>45</v>
      </c>
      <c r="AB64" s="13">
        <f>SUM(IFERROR(VLOOKUP($C:$C,Structure!$A:$AJ,AB$1,0)*15,0),IFERROR(VLOOKUP($D:$D,Structure!$A:$AJ,AB$1,0)*15,0),IFERROR(VLOOKUP($E:$E,Structure!$A:$AJ,AB$1,0)*15,0))</f>
        <v>0</v>
      </c>
      <c r="AC64" s="13">
        <f>SUM(IFERROR(VLOOKUP($C:$C,Structure!$A:$AJ,AC$1,0)*15,0),IFERROR(VLOOKUP($D:$D,Structure!$A:$AJ,AC$1,0)*15,0),IFERROR(VLOOKUP($E:$E,Structure!$A:$AJ,AC$1,0)*15,0))</f>
        <v>0</v>
      </c>
      <c r="AD64" s="13">
        <f>SUM(IFERROR(VLOOKUP($C:$C,Structure!$A:$AJ,AD$1,0)*15,0),IFERROR(VLOOKUP($D:$D,Structure!$A:$AJ,AD$1,0)*15,0),IFERROR(VLOOKUP($E:$E,Structure!$A:$AJ,AD$1,0)*15,0))</f>
        <v>0</v>
      </c>
      <c r="AE64" s="13">
        <f>SUM(IFERROR(VLOOKUP($C:$C,Structure!$A:$AJ,AE$1,0)*15,0),IFERROR(VLOOKUP($D:$D,Structure!$A:$AJ,AE$1,0)*15,0),IFERROR(VLOOKUP($E:$E,Structure!$A:$AJ,AE$1,0)*15,0))</f>
        <v>0</v>
      </c>
      <c r="AF64" s="13">
        <f>SUM(IFERROR(VLOOKUP($C:$C,Structure!$A:$AJ,AF$1,0)*15,0),IFERROR(VLOOKUP($D:$D,Structure!$A:$AJ,AF$1,0)*15,0),IFERROR(VLOOKUP($E:$E,Structure!$A:$AJ,AF$1,0)*15,0))</f>
        <v>0</v>
      </c>
      <c r="AG64" s="13">
        <f>SUM(IFERROR(VLOOKUP($C:$C,Structure!$A:$AJ,AG$1,0)*15,0),IFERROR(VLOOKUP($D:$D,Structure!$A:$AJ,AG$1,0)*15,0),IFERROR(VLOOKUP($E:$E,Structure!$A:$AJ,AG$1,0)*15,0))</f>
        <v>0</v>
      </c>
      <c r="AH64" s="13">
        <f>SUM(IFERROR(VLOOKUP($C:$C,Structure!$A:$AJ,AH$1,0)*15,0),IFERROR(VLOOKUP($D:$D,Structure!$A:$AJ,AH$1,0)*15,0),IFERROR(VLOOKUP($E:$E,Structure!$A:$AJ,AH$1,0)*15,0))</f>
        <v>0</v>
      </c>
      <c r="AI64" s="13">
        <f>SUM(IFERROR(VLOOKUP($C:$C,Structure!$A:$AJ,AI$1,0)*15,0),IFERROR(VLOOKUP($D:$D,Structure!$A:$AJ,AI$1,0)*15,0),IFERROR(VLOOKUP($E:$E,Structure!$A:$AJ,AI$1,0)*15,0))</f>
        <v>0</v>
      </c>
      <c r="AJ64" s="13">
        <f>SUM(IFERROR(VLOOKUP($C:$C,Structure!$A:$AJ,AJ$1,0)*15,0),IFERROR(VLOOKUP($D:$D,Structure!$A:$AJ,AJ$1,0)*15,0),IFERROR(VLOOKUP($E:$E,Structure!$A:$AJ,AJ$1,0)*15,0))</f>
        <v>30</v>
      </c>
      <c r="AK64" s="13">
        <f>SUM(IFERROR(VLOOKUP($C:$C,Structure!$A:$AJ,AK$1,0)*15,0),IFERROR(VLOOKUP($D:$D,Structure!$A:$AJ,AK$1,0)*15,0),IFERROR(VLOOKUP($E:$E,Structure!$A:$AJ,AK$1,0)*15,0))</f>
        <v>15</v>
      </c>
      <c r="AL64" s="13">
        <f>SUM(IFERROR(VLOOKUP($C:$C,Structure!$A:$AJ,AL$1,0)*15,0),IFERROR(VLOOKUP($D:$D,Structure!$A:$AJ,AL$1,0)*15,0),IFERROR(VLOOKUP($E:$E,Structure!$A:$AJ,AL$1,0)*15,0))</f>
        <v>0</v>
      </c>
      <c r="AM64" s="13">
        <f>SUM(IFERROR(VLOOKUP($C:$C,Structure!$A:$AJ,AM$1,0)*15,0),IFERROR(VLOOKUP($D:$D,Structure!$A:$AJ,AM$1,0)*15,0),IFERROR(VLOOKUP($E:$E,Structure!$A:$AJ,AM$1,0)*15,0))</f>
        <v>0</v>
      </c>
      <c r="AN64" s="13">
        <f>SUM(IFERROR(VLOOKUP($C:$C,Structure!$A:$AJ,AN$1,0)*15,0),IFERROR(VLOOKUP($D:$D,Structure!$A:$AJ,AN$1,0)*15,0),IFERROR(VLOOKUP($E:$E,Structure!$A:$AJ,AN$1,0)*15,0))</f>
        <v>0</v>
      </c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3"/>
      <c r="BZ64" s="4">
        <f>BZ63+AQ64-F64</f>
        <v>0</v>
      </c>
      <c r="CA64" s="4">
        <f>CA63+AR64-G64</f>
        <v>0</v>
      </c>
      <c r="CB64" s="4">
        <f>CB63+AS64-H64</f>
        <v>0</v>
      </c>
      <c r="CC64" s="4">
        <f>CC63+AT64-I64</f>
        <v>0</v>
      </c>
      <c r="CD64" s="4">
        <f>CD63+AU64-J64</f>
        <v>0</v>
      </c>
      <c r="CE64" s="4">
        <f>CE63+AV64-K64</f>
        <v>0</v>
      </c>
      <c r="CF64" s="4">
        <f>CF63+AW64-L64</f>
        <v>0</v>
      </c>
      <c r="CG64" s="4">
        <f>CG63+AX64-M64</f>
        <v>0</v>
      </c>
      <c r="CH64" s="4">
        <f>CH63+AY64-N64</f>
        <v>0</v>
      </c>
      <c r="CI64" s="4">
        <f>CI63+AZ64-O64</f>
        <v>0</v>
      </c>
      <c r="CJ64" s="4">
        <f>CJ63+BA64-P64</f>
        <v>0</v>
      </c>
      <c r="CK64" s="4">
        <f>CK63+BB64-Q64</f>
        <v>0</v>
      </c>
      <c r="CL64" s="4">
        <f>CL63+BC64-R64</f>
        <v>0</v>
      </c>
      <c r="CM64" s="4">
        <f>CM63+BD64-S64</f>
        <v>0</v>
      </c>
      <c r="CN64" s="4">
        <f>CN63+BE64-T64</f>
        <v>0</v>
      </c>
      <c r="CO64" s="4">
        <f>CO63+BF64-U64</f>
        <v>0</v>
      </c>
      <c r="CP64" s="4">
        <f>CP63+BG64-V64</f>
        <v>0</v>
      </c>
      <c r="CQ64" s="4">
        <f>CQ63+BH64-W64</f>
        <v>0</v>
      </c>
      <c r="CR64" s="4">
        <f>CR63+BI64-X64</f>
        <v>0</v>
      </c>
      <c r="CS64" s="4">
        <f>CS63+BJ64-Y64</f>
        <v>0</v>
      </c>
      <c r="CT64" s="4">
        <f>CT63+BK64-Z64</f>
        <v>0</v>
      </c>
      <c r="CU64" s="4">
        <f>CU63+BL64-AA64</f>
        <v>-2390</v>
      </c>
      <c r="CV64" s="4">
        <f>CV63+BM64-AB64</f>
        <v>-165</v>
      </c>
      <c r="CW64" s="4">
        <f>CW63+BN64-AC64</f>
        <v>-135</v>
      </c>
      <c r="CX64" s="4">
        <f>CX63+BO64-AD64</f>
        <v>0</v>
      </c>
      <c r="CY64" s="4">
        <f>CY63+BP64-AE64</f>
        <v>0</v>
      </c>
      <c r="CZ64" s="4">
        <f>CZ63+BQ64-AF64</f>
        <v>-85</v>
      </c>
      <c r="DA64" s="4">
        <f>DA63+BR64-AG64</f>
        <v>0</v>
      </c>
      <c r="DB64" s="4">
        <f>DB63+BS64-AH64</f>
        <v>0</v>
      </c>
      <c r="DC64" s="4">
        <f>DC63+BT64-AI64</f>
        <v>0</v>
      </c>
      <c r="DD64" s="4">
        <f>DD63+BU64-AJ64</f>
        <v>-1735</v>
      </c>
      <c r="DE64" s="4">
        <f>DE63+BV64-AK64</f>
        <v>-675</v>
      </c>
      <c r="DF64" s="4">
        <f>DF63+BW64-AL64</f>
        <v>0</v>
      </c>
      <c r="DG64" s="4">
        <f>DG63+BX64-AM64</f>
        <v>-115</v>
      </c>
      <c r="DH64" s="4">
        <f>DH63+BY64-AN64</f>
        <v>0</v>
      </c>
    </row>
    <row r="65" spans="1:112" x14ac:dyDescent="0.25">
      <c r="A65" s="6">
        <v>46181</v>
      </c>
      <c r="B65" s="7">
        <v>0.9166666665187222</v>
      </c>
      <c r="C65" s="3" t="s">
        <v>3</v>
      </c>
      <c r="D65" s="3" t="s">
        <v>6</v>
      </c>
      <c r="E65" s="3" t="s">
        <v>2</v>
      </c>
      <c r="F65" s="13">
        <f>SUM(IFERROR(VLOOKUP($C:$C,Structure!$A:$AJ,F$1,0)*15,0),IFERROR(VLOOKUP($D:$D,Structure!$A:$AJ,F$1,0)*15,0),IFERROR(VLOOKUP($E:$E,Structure!$A:$AJ,F$1,0)*15,0))</f>
        <v>0</v>
      </c>
      <c r="G65" s="13">
        <f>SUM(IFERROR(VLOOKUP($C:$C,Structure!$A:$AJ,G$1,0)*15,0),IFERROR(VLOOKUP($D:$D,Structure!$A:$AJ,G$1,0)*15,0),IFERROR(VLOOKUP($E:$E,Structure!$A:$AJ,G$1,0)*15,0))</f>
        <v>0</v>
      </c>
      <c r="H65" s="13">
        <f>SUM(IFERROR(VLOOKUP($C:$C,Structure!$A:$AJ,H$1,0)*15,0),IFERROR(VLOOKUP($D:$D,Structure!$A:$AJ,H$1,0)*15,0),IFERROR(VLOOKUP($E:$E,Structure!$A:$AJ,H$1,0)*15,0))</f>
        <v>0</v>
      </c>
      <c r="I65" s="13">
        <f>SUM(IFERROR(VLOOKUP($C:$C,Structure!$A:$AJ,I$1,0)*15,0),IFERROR(VLOOKUP($D:$D,Structure!$A:$AJ,I$1,0)*15,0),IFERROR(VLOOKUP($E:$E,Structure!$A:$AJ,I$1,0)*15,0))</f>
        <v>0</v>
      </c>
      <c r="J65" s="13">
        <f>SUM(IFERROR(VLOOKUP($C:$C,Structure!$A:$AJ,J$1,0)*15,0),IFERROR(VLOOKUP($D:$D,Structure!$A:$AJ,J$1,0)*15,0),IFERROR(VLOOKUP($E:$E,Structure!$A:$AJ,J$1,0)*15,0))</f>
        <v>0</v>
      </c>
      <c r="K65" s="13">
        <f>SUM(IFERROR(VLOOKUP($C:$C,Structure!$A:$AJ,K$1,0)*15,0),IFERROR(VLOOKUP($D:$D,Structure!$A:$AJ,K$1,0)*15,0),IFERROR(VLOOKUP($E:$E,Structure!$A:$AJ,K$1,0)*15,0))</f>
        <v>0</v>
      </c>
      <c r="L65" s="13">
        <f>SUM(IFERROR(VLOOKUP($C:$C,Structure!$A:$AJ,L$1,0)*15,0),IFERROR(VLOOKUP($D:$D,Structure!$A:$AJ,L$1,0)*15,0),IFERROR(VLOOKUP($E:$E,Structure!$A:$AJ,L$1,0)*15,0))</f>
        <v>0</v>
      </c>
      <c r="M65" s="13">
        <f>SUM(IFERROR(VLOOKUP($C:$C,Structure!$A:$AJ,M$1,0)*15,0),IFERROR(VLOOKUP($D:$D,Structure!$A:$AJ,M$1,0)*15,0),IFERROR(VLOOKUP($E:$E,Structure!$A:$AJ,M$1,0)*15,0))</f>
        <v>0</v>
      </c>
      <c r="N65" s="13">
        <f>SUM(IFERROR(VLOOKUP($C:$C,Structure!$A:$AJ,N$1,0)*15,0),IFERROR(VLOOKUP($D:$D,Structure!$A:$AJ,N$1,0)*15,0),IFERROR(VLOOKUP($E:$E,Structure!$A:$AJ,N$1,0)*15,0))</f>
        <v>0</v>
      </c>
      <c r="O65" s="13">
        <f>SUM(IFERROR(VLOOKUP($C:$C,Structure!$A:$AJ,O$1,0)*15,0),IFERROR(VLOOKUP($D:$D,Structure!$A:$AJ,O$1,0)*15,0),IFERROR(VLOOKUP($E:$E,Structure!$A:$AJ,O$1,0)*15,0))</f>
        <v>0</v>
      </c>
      <c r="P65" s="13">
        <f>SUM(IFERROR(VLOOKUP($C:$C,Structure!$A:$AJ,P$1,0)*15,0),IFERROR(VLOOKUP($D:$D,Structure!$A:$AJ,P$1,0)*15,0),IFERROR(VLOOKUP($E:$E,Structure!$A:$AJ,P$1,0)*15,0))</f>
        <v>0</v>
      </c>
      <c r="Q65" s="13">
        <f>SUM(IFERROR(VLOOKUP($C:$C,Structure!$A:$AJ,Q$1,0)*15,0),IFERROR(VLOOKUP($D:$D,Structure!$A:$AJ,Q$1,0)*15,0),IFERROR(VLOOKUP($E:$E,Structure!$A:$AJ,Q$1,0)*15,0))</f>
        <v>0</v>
      </c>
      <c r="R65" s="13">
        <f>SUM(IFERROR(VLOOKUP($C:$C,Structure!$A:$AJ,R$1,0)*15,0),IFERROR(VLOOKUP($D:$D,Structure!$A:$AJ,R$1,0)*15,0),IFERROR(VLOOKUP($E:$E,Structure!$A:$AJ,R$1,0)*15,0))</f>
        <v>0</v>
      </c>
      <c r="S65" s="13">
        <f>SUM(IFERROR(VLOOKUP($C:$C,Structure!$A:$AJ,S$1,0)*15,0),IFERROR(VLOOKUP($D:$D,Structure!$A:$AJ,S$1,0)*15,0),IFERROR(VLOOKUP($E:$E,Structure!$A:$AJ,S$1,0)*15,0))</f>
        <v>0</v>
      </c>
      <c r="T65" s="13">
        <f>SUM(IFERROR(VLOOKUP($C:$C,Structure!$A:$AJ,T$1,0)*15,0),IFERROR(VLOOKUP($D:$D,Structure!$A:$AJ,T$1,0)*15,0),IFERROR(VLOOKUP($E:$E,Structure!$A:$AJ,T$1,0)*15,0))</f>
        <v>0</v>
      </c>
      <c r="U65" s="13">
        <f>SUM(IFERROR(VLOOKUP($C:$C,Structure!$A:$AJ,U$1,0)*15,0),IFERROR(VLOOKUP($D:$D,Structure!$A:$AJ,U$1,0)*15,0),IFERROR(VLOOKUP($E:$E,Structure!$A:$AJ,U$1,0)*15,0))</f>
        <v>0</v>
      </c>
      <c r="V65" s="13">
        <f>SUM(IFERROR(VLOOKUP($C:$C,Structure!$A:$AJ,V$1,0)*15,0),IFERROR(VLOOKUP($D:$D,Structure!$A:$AJ,V$1,0)*15,0),IFERROR(VLOOKUP($E:$E,Structure!$A:$AJ,V$1,0)*15,0))</f>
        <v>0</v>
      </c>
      <c r="W65" s="13">
        <f>SUM(IFERROR(VLOOKUP($C:$C,Structure!$A:$AJ,W$1,0)*15,0),IFERROR(VLOOKUP($D:$D,Structure!$A:$AJ,W$1,0)*15,0),IFERROR(VLOOKUP($E:$E,Structure!$A:$AJ,W$1,0)*15,0))</f>
        <v>0</v>
      </c>
      <c r="X65" s="13">
        <f>SUM(IFERROR(VLOOKUP($C:$C,Structure!$A:$AJ,X$1,0)*15,0),IFERROR(VLOOKUP($D:$D,Structure!$A:$AJ,X$1,0)*15,0),IFERROR(VLOOKUP($E:$E,Structure!$A:$AJ,X$1,0)*15,0))</f>
        <v>0</v>
      </c>
      <c r="Y65" s="13">
        <f>SUM(IFERROR(VLOOKUP($C:$C,Structure!$A:$AJ,Y$1,0)*15,0),IFERROR(VLOOKUP($D:$D,Structure!$A:$AJ,Y$1,0)*15,0),IFERROR(VLOOKUP($E:$E,Structure!$A:$AJ,Y$1,0)*15,0))</f>
        <v>0</v>
      </c>
      <c r="Z65" s="13">
        <f>SUM(IFERROR(VLOOKUP($C:$C,Structure!$A:$AJ,Z$1,0)*15,0),IFERROR(VLOOKUP($D:$D,Structure!$A:$AJ,Z$1,0)*15,0),IFERROR(VLOOKUP($E:$E,Structure!$A:$AJ,Z$1,0)*15,0))</f>
        <v>0</v>
      </c>
      <c r="AA65" s="13">
        <f>SUM(IFERROR(VLOOKUP($C:$C,Structure!$A:$AJ,AA$1,0)*15,0),IFERROR(VLOOKUP($D:$D,Structure!$A:$AJ,AA$1,0)*15,0),IFERROR(VLOOKUP($E:$E,Structure!$A:$AJ,AA$1,0)*15,0))</f>
        <v>45</v>
      </c>
      <c r="AB65" s="13">
        <f>SUM(IFERROR(VLOOKUP($C:$C,Structure!$A:$AJ,AB$1,0)*15,0),IFERROR(VLOOKUP($D:$D,Structure!$A:$AJ,AB$1,0)*15,0),IFERROR(VLOOKUP($E:$E,Structure!$A:$AJ,AB$1,0)*15,0))</f>
        <v>0</v>
      </c>
      <c r="AC65" s="13">
        <f>SUM(IFERROR(VLOOKUP($C:$C,Structure!$A:$AJ,AC$1,0)*15,0),IFERROR(VLOOKUP($D:$D,Structure!$A:$AJ,AC$1,0)*15,0),IFERROR(VLOOKUP($E:$E,Structure!$A:$AJ,AC$1,0)*15,0))</f>
        <v>0</v>
      </c>
      <c r="AD65" s="13">
        <f>SUM(IFERROR(VLOOKUP($C:$C,Structure!$A:$AJ,AD$1,0)*15,0),IFERROR(VLOOKUP($D:$D,Structure!$A:$AJ,AD$1,0)*15,0),IFERROR(VLOOKUP($E:$E,Structure!$A:$AJ,AD$1,0)*15,0))</f>
        <v>0</v>
      </c>
      <c r="AE65" s="13">
        <f>SUM(IFERROR(VLOOKUP($C:$C,Structure!$A:$AJ,AE$1,0)*15,0),IFERROR(VLOOKUP($D:$D,Structure!$A:$AJ,AE$1,0)*15,0),IFERROR(VLOOKUP($E:$E,Structure!$A:$AJ,AE$1,0)*15,0))</f>
        <v>0</v>
      </c>
      <c r="AF65" s="13">
        <f>SUM(IFERROR(VLOOKUP($C:$C,Structure!$A:$AJ,AF$1,0)*15,0),IFERROR(VLOOKUP($D:$D,Structure!$A:$AJ,AF$1,0)*15,0),IFERROR(VLOOKUP($E:$E,Structure!$A:$AJ,AF$1,0)*15,0))</f>
        <v>0</v>
      </c>
      <c r="AG65" s="13">
        <f>SUM(IFERROR(VLOOKUP($C:$C,Structure!$A:$AJ,AG$1,0)*15,0),IFERROR(VLOOKUP($D:$D,Structure!$A:$AJ,AG$1,0)*15,0),IFERROR(VLOOKUP($E:$E,Structure!$A:$AJ,AG$1,0)*15,0))</f>
        <v>0</v>
      </c>
      <c r="AH65" s="13">
        <f>SUM(IFERROR(VLOOKUP($C:$C,Structure!$A:$AJ,AH$1,0)*15,0),IFERROR(VLOOKUP($D:$D,Structure!$A:$AJ,AH$1,0)*15,0),IFERROR(VLOOKUP($E:$E,Structure!$A:$AJ,AH$1,0)*15,0))</f>
        <v>0</v>
      </c>
      <c r="AI65" s="13">
        <f>SUM(IFERROR(VLOOKUP($C:$C,Structure!$A:$AJ,AI$1,0)*15,0),IFERROR(VLOOKUP($D:$D,Structure!$A:$AJ,AI$1,0)*15,0),IFERROR(VLOOKUP($E:$E,Structure!$A:$AJ,AI$1,0)*15,0))</f>
        <v>0</v>
      </c>
      <c r="AJ65" s="13">
        <f>SUM(IFERROR(VLOOKUP($C:$C,Structure!$A:$AJ,AJ$1,0)*15,0),IFERROR(VLOOKUP($D:$D,Structure!$A:$AJ,AJ$1,0)*15,0),IFERROR(VLOOKUP($E:$E,Structure!$A:$AJ,AJ$1,0)*15,0))</f>
        <v>30</v>
      </c>
      <c r="AK65" s="13">
        <f>SUM(IFERROR(VLOOKUP($C:$C,Structure!$A:$AJ,AK$1,0)*15,0),IFERROR(VLOOKUP($D:$D,Structure!$A:$AJ,AK$1,0)*15,0),IFERROR(VLOOKUP($E:$E,Structure!$A:$AJ,AK$1,0)*15,0))</f>
        <v>15</v>
      </c>
      <c r="AL65" s="13">
        <f>SUM(IFERROR(VLOOKUP($C:$C,Structure!$A:$AJ,AL$1,0)*15,0),IFERROR(VLOOKUP($D:$D,Structure!$A:$AJ,AL$1,0)*15,0),IFERROR(VLOOKUP($E:$E,Structure!$A:$AJ,AL$1,0)*15,0))</f>
        <v>0</v>
      </c>
      <c r="AM65" s="13">
        <f>SUM(IFERROR(VLOOKUP($C:$C,Structure!$A:$AJ,AM$1,0)*15,0),IFERROR(VLOOKUP($D:$D,Structure!$A:$AJ,AM$1,0)*15,0),IFERROR(VLOOKUP($E:$E,Structure!$A:$AJ,AM$1,0)*15,0))</f>
        <v>0</v>
      </c>
      <c r="AN65" s="13">
        <f>SUM(IFERROR(VLOOKUP($C:$C,Structure!$A:$AJ,AN$1,0)*15,0),IFERROR(VLOOKUP($D:$D,Structure!$A:$AJ,AN$1,0)*15,0),IFERROR(VLOOKUP($E:$E,Structure!$A:$AJ,AN$1,0)*15,0))</f>
        <v>0</v>
      </c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3"/>
      <c r="BZ65" s="4">
        <f>BZ64+AQ65-F65</f>
        <v>0</v>
      </c>
      <c r="CA65" s="4">
        <f>CA64+AR65-G65</f>
        <v>0</v>
      </c>
      <c r="CB65" s="4">
        <f>CB64+AS65-H65</f>
        <v>0</v>
      </c>
      <c r="CC65" s="4">
        <f>CC64+AT65-I65</f>
        <v>0</v>
      </c>
      <c r="CD65" s="4">
        <f>CD64+AU65-J65</f>
        <v>0</v>
      </c>
      <c r="CE65" s="4">
        <f>CE64+AV65-K65</f>
        <v>0</v>
      </c>
      <c r="CF65" s="4">
        <f>CF64+AW65-L65</f>
        <v>0</v>
      </c>
      <c r="CG65" s="4">
        <f>CG64+AX65-M65</f>
        <v>0</v>
      </c>
      <c r="CH65" s="4">
        <f>CH64+AY65-N65</f>
        <v>0</v>
      </c>
      <c r="CI65" s="4">
        <f>CI64+AZ65-O65</f>
        <v>0</v>
      </c>
      <c r="CJ65" s="4">
        <f>CJ64+BA65-P65</f>
        <v>0</v>
      </c>
      <c r="CK65" s="4">
        <f>CK64+BB65-Q65</f>
        <v>0</v>
      </c>
      <c r="CL65" s="4">
        <f>CL64+BC65-R65</f>
        <v>0</v>
      </c>
      <c r="CM65" s="4">
        <f>CM64+BD65-S65</f>
        <v>0</v>
      </c>
      <c r="CN65" s="4">
        <f>CN64+BE65-T65</f>
        <v>0</v>
      </c>
      <c r="CO65" s="4">
        <f>CO64+BF65-U65</f>
        <v>0</v>
      </c>
      <c r="CP65" s="4">
        <f>CP64+BG65-V65</f>
        <v>0</v>
      </c>
      <c r="CQ65" s="4">
        <f>CQ64+BH65-W65</f>
        <v>0</v>
      </c>
      <c r="CR65" s="4">
        <f>CR64+BI65-X65</f>
        <v>0</v>
      </c>
      <c r="CS65" s="4">
        <f>CS64+BJ65-Y65</f>
        <v>0</v>
      </c>
      <c r="CT65" s="4">
        <f>CT64+BK65-Z65</f>
        <v>0</v>
      </c>
      <c r="CU65" s="4">
        <f>CU64+BL65-AA65</f>
        <v>-2435</v>
      </c>
      <c r="CV65" s="4">
        <f>CV64+BM65-AB65</f>
        <v>-165</v>
      </c>
      <c r="CW65" s="4">
        <f>CW64+BN65-AC65</f>
        <v>-135</v>
      </c>
      <c r="CX65" s="4">
        <f>CX64+BO65-AD65</f>
        <v>0</v>
      </c>
      <c r="CY65" s="4">
        <f>CY64+BP65-AE65</f>
        <v>0</v>
      </c>
      <c r="CZ65" s="4">
        <f>CZ64+BQ65-AF65</f>
        <v>-85</v>
      </c>
      <c r="DA65" s="4">
        <f>DA64+BR65-AG65</f>
        <v>0</v>
      </c>
      <c r="DB65" s="4">
        <f>DB64+BS65-AH65</f>
        <v>0</v>
      </c>
      <c r="DC65" s="4">
        <f>DC64+BT65-AI65</f>
        <v>0</v>
      </c>
      <c r="DD65" s="4">
        <f>DD64+BU65-AJ65</f>
        <v>-1765</v>
      </c>
      <c r="DE65" s="4">
        <f>DE64+BV65-AK65</f>
        <v>-690</v>
      </c>
      <c r="DF65" s="4">
        <f>DF64+BW65-AL65</f>
        <v>0</v>
      </c>
      <c r="DG65" s="4">
        <f>DG64+BX65-AM65</f>
        <v>-115</v>
      </c>
      <c r="DH65" s="4">
        <f>DH64+BY65-AN65</f>
        <v>0</v>
      </c>
    </row>
    <row r="66" spans="1:112" x14ac:dyDescent="0.25">
      <c r="A66" s="6">
        <v>46181</v>
      </c>
      <c r="B66" s="7">
        <v>0.95833333318296354</v>
      </c>
      <c r="C66" s="3" t="s">
        <v>3</v>
      </c>
      <c r="D66" s="3" t="s">
        <v>6</v>
      </c>
      <c r="E66" s="3" t="s">
        <v>2</v>
      </c>
      <c r="F66" s="13">
        <f>SUM(IFERROR(VLOOKUP($C:$C,Structure!$A:$AJ,F$1,0)*15,0),IFERROR(VLOOKUP($D:$D,Structure!$A:$AJ,F$1,0)*15,0),IFERROR(VLOOKUP($E:$E,Structure!$A:$AJ,F$1,0)*15,0))</f>
        <v>0</v>
      </c>
      <c r="G66" s="13">
        <f>SUM(IFERROR(VLOOKUP($C:$C,Structure!$A:$AJ,G$1,0)*15,0),IFERROR(VLOOKUP($D:$D,Structure!$A:$AJ,G$1,0)*15,0),IFERROR(VLOOKUP($E:$E,Structure!$A:$AJ,G$1,0)*15,0))</f>
        <v>0</v>
      </c>
      <c r="H66" s="13">
        <f>SUM(IFERROR(VLOOKUP($C:$C,Structure!$A:$AJ,H$1,0)*15,0),IFERROR(VLOOKUP($D:$D,Structure!$A:$AJ,H$1,0)*15,0),IFERROR(VLOOKUP($E:$E,Structure!$A:$AJ,H$1,0)*15,0))</f>
        <v>0</v>
      </c>
      <c r="I66" s="13">
        <f>SUM(IFERROR(VLOOKUP($C:$C,Structure!$A:$AJ,I$1,0)*15,0),IFERROR(VLOOKUP($D:$D,Structure!$A:$AJ,I$1,0)*15,0),IFERROR(VLOOKUP($E:$E,Structure!$A:$AJ,I$1,0)*15,0))</f>
        <v>0</v>
      </c>
      <c r="J66" s="13">
        <f>SUM(IFERROR(VLOOKUP($C:$C,Structure!$A:$AJ,J$1,0)*15,0),IFERROR(VLOOKUP($D:$D,Structure!$A:$AJ,J$1,0)*15,0),IFERROR(VLOOKUP($E:$E,Structure!$A:$AJ,J$1,0)*15,0))</f>
        <v>0</v>
      </c>
      <c r="K66" s="13">
        <f>SUM(IFERROR(VLOOKUP($C:$C,Structure!$A:$AJ,K$1,0)*15,0),IFERROR(VLOOKUP($D:$D,Structure!$A:$AJ,K$1,0)*15,0),IFERROR(VLOOKUP($E:$E,Structure!$A:$AJ,K$1,0)*15,0))</f>
        <v>0</v>
      </c>
      <c r="L66" s="13">
        <f>SUM(IFERROR(VLOOKUP($C:$C,Structure!$A:$AJ,L$1,0)*15,0),IFERROR(VLOOKUP($D:$D,Structure!$A:$AJ,L$1,0)*15,0),IFERROR(VLOOKUP($E:$E,Structure!$A:$AJ,L$1,0)*15,0))</f>
        <v>0</v>
      </c>
      <c r="M66" s="13">
        <f>SUM(IFERROR(VLOOKUP($C:$C,Structure!$A:$AJ,M$1,0)*15,0),IFERROR(VLOOKUP($D:$D,Structure!$A:$AJ,M$1,0)*15,0),IFERROR(VLOOKUP($E:$E,Structure!$A:$AJ,M$1,0)*15,0))</f>
        <v>0</v>
      </c>
      <c r="N66" s="13">
        <f>SUM(IFERROR(VLOOKUP($C:$C,Structure!$A:$AJ,N$1,0)*15,0),IFERROR(VLOOKUP($D:$D,Structure!$A:$AJ,N$1,0)*15,0),IFERROR(VLOOKUP($E:$E,Structure!$A:$AJ,N$1,0)*15,0))</f>
        <v>0</v>
      </c>
      <c r="O66" s="13">
        <f>SUM(IFERROR(VLOOKUP($C:$C,Structure!$A:$AJ,O$1,0)*15,0),IFERROR(VLOOKUP($D:$D,Structure!$A:$AJ,O$1,0)*15,0),IFERROR(VLOOKUP($E:$E,Structure!$A:$AJ,O$1,0)*15,0))</f>
        <v>0</v>
      </c>
      <c r="P66" s="13">
        <f>SUM(IFERROR(VLOOKUP($C:$C,Structure!$A:$AJ,P$1,0)*15,0),IFERROR(VLOOKUP($D:$D,Structure!$A:$AJ,P$1,0)*15,0),IFERROR(VLOOKUP($E:$E,Structure!$A:$AJ,P$1,0)*15,0))</f>
        <v>0</v>
      </c>
      <c r="Q66" s="13">
        <f>SUM(IFERROR(VLOOKUP($C:$C,Structure!$A:$AJ,Q$1,0)*15,0),IFERROR(VLOOKUP($D:$D,Structure!$A:$AJ,Q$1,0)*15,0),IFERROR(VLOOKUP($E:$E,Structure!$A:$AJ,Q$1,0)*15,0))</f>
        <v>0</v>
      </c>
      <c r="R66" s="13">
        <f>SUM(IFERROR(VLOOKUP($C:$C,Structure!$A:$AJ,R$1,0)*15,0),IFERROR(VLOOKUP($D:$D,Structure!$A:$AJ,R$1,0)*15,0),IFERROR(VLOOKUP($E:$E,Structure!$A:$AJ,R$1,0)*15,0))</f>
        <v>0</v>
      </c>
      <c r="S66" s="13">
        <f>SUM(IFERROR(VLOOKUP($C:$C,Structure!$A:$AJ,S$1,0)*15,0),IFERROR(VLOOKUP($D:$D,Structure!$A:$AJ,S$1,0)*15,0),IFERROR(VLOOKUP($E:$E,Structure!$A:$AJ,S$1,0)*15,0))</f>
        <v>0</v>
      </c>
      <c r="T66" s="13">
        <f>SUM(IFERROR(VLOOKUP($C:$C,Structure!$A:$AJ,T$1,0)*15,0),IFERROR(VLOOKUP($D:$D,Structure!$A:$AJ,T$1,0)*15,0),IFERROR(VLOOKUP($E:$E,Structure!$A:$AJ,T$1,0)*15,0))</f>
        <v>0</v>
      </c>
      <c r="U66" s="13">
        <f>SUM(IFERROR(VLOOKUP($C:$C,Structure!$A:$AJ,U$1,0)*15,0),IFERROR(VLOOKUP($D:$D,Structure!$A:$AJ,U$1,0)*15,0),IFERROR(VLOOKUP($E:$E,Structure!$A:$AJ,U$1,0)*15,0))</f>
        <v>0</v>
      </c>
      <c r="V66" s="13">
        <f>SUM(IFERROR(VLOOKUP($C:$C,Structure!$A:$AJ,V$1,0)*15,0),IFERROR(VLOOKUP($D:$D,Structure!$A:$AJ,V$1,0)*15,0),IFERROR(VLOOKUP($E:$E,Structure!$A:$AJ,V$1,0)*15,0))</f>
        <v>0</v>
      </c>
      <c r="W66" s="13">
        <f>SUM(IFERROR(VLOOKUP($C:$C,Structure!$A:$AJ,W$1,0)*15,0),IFERROR(VLOOKUP($D:$D,Structure!$A:$AJ,W$1,0)*15,0),IFERROR(VLOOKUP($E:$E,Structure!$A:$AJ,W$1,0)*15,0))</f>
        <v>0</v>
      </c>
      <c r="X66" s="13">
        <f>SUM(IFERROR(VLOOKUP($C:$C,Structure!$A:$AJ,X$1,0)*15,0),IFERROR(VLOOKUP($D:$D,Structure!$A:$AJ,X$1,0)*15,0),IFERROR(VLOOKUP($E:$E,Structure!$A:$AJ,X$1,0)*15,0))</f>
        <v>0</v>
      </c>
      <c r="Y66" s="13">
        <f>SUM(IFERROR(VLOOKUP($C:$C,Structure!$A:$AJ,Y$1,0)*15,0),IFERROR(VLOOKUP($D:$D,Structure!$A:$AJ,Y$1,0)*15,0),IFERROR(VLOOKUP($E:$E,Structure!$A:$AJ,Y$1,0)*15,0))</f>
        <v>0</v>
      </c>
      <c r="Z66" s="13">
        <f>SUM(IFERROR(VLOOKUP($C:$C,Structure!$A:$AJ,Z$1,0)*15,0),IFERROR(VLOOKUP($D:$D,Structure!$A:$AJ,Z$1,0)*15,0),IFERROR(VLOOKUP($E:$E,Structure!$A:$AJ,Z$1,0)*15,0))</f>
        <v>0</v>
      </c>
      <c r="AA66" s="13">
        <f>SUM(IFERROR(VLOOKUP($C:$C,Structure!$A:$AJ,AA$1,0)*15,0),IFERROR(VLOOKUP($D:$D,Structure!$A:$AJ,AA$1,0)*15,0),IFERROR(VLOOKUP($E:$E,Structure!$A:$AJ,AA$1,0)*15,0))</f>
        <v>45</v>
      </c>
      <c r="AB66" s="13">
        <f>SUM(IFERROR(VLOOKUP($C:$C,Structure!$A:$AJ,AB$1,0)*15,0),IFERROR(VLOOKUP($D:$D,Structure!$A:$AJ,AB$1,0)*15,0),IFERROR(VLOOKUP($E:$E,Structure!$A:$AJ,AB$1,0)*15,0))</f>
        <v>0</v>
      </c>
      <c r="AC66" s="13">
        <f>SUM(IFERROR(VLOOKUP($C:$C,Structure!$A:$AJ,AC$1,0)*15,0),IFERROR(VLOOKUP($D:$D,Structure!$A:$AJ,AC$1,0)*15,0),IFERROR(VLOOKUP($E:$E,Structure!$A:$AJ,AC$1,0)*15,0))</f>
        <v>0</v>
      </c>
      <c r="AD66" s="13">
        <f>SUM(IFERROR(VLOOKUP($C:$C,Structure!$A:$AJ,AD$1,0)*15,0),IFERROR(VLOOKUP($D:$D,Structure!$A:$AJ,AD$1,0)*15,0),IFERROR(VLOOKUP($E:$E,Structure!$A:$AJ,AD$1,0)*15,0))</f>
        <v>0</v>
      </c>
      <c r="AE66" s="13">
        <f>SUM(IFERROR(VLOOKUP($C:$C,Structure!$A:$AJ,AE$1,0)*15,0),IFERROR(VLOOKUP($D:$D,Structure!$A:$AJ,AE$1,0)*15,0),IFERROR(VLOOKUP($E:$E,Structure!$A:$AJ,AE$1,0)*15,0))</f>
        <v>0</v>
      </c>
      <c r="AF66" s="13">
        <f>SUM(IFERROR(VLOOKUP($C:$C,Structure!$A:$AJ,AF$1,0)*15,0),IFERROR(VLOOKUP($D:$D,Structure!$A:$AJ,AF$1,0)*15,0),IFERROR(VLOOKUP($E:$E,Structure!$A:$AJ,AF$1,0)*15,0))</f>
        <v>0</v>
      </c>
      <c r="AG66" s="13">
        <f>SUM(IFERROR(VLOOKUP($C:$C,Structure!$A:$AJ,AG$1,0)*15,0),IFERROR(VLOOKUP($D:$D,Structure!$A:$AJ,AG$1,0)*15,0),IFERROR(VLOOKUP($E:$E,Structure!$A:$AJ,AG$1,0)*15,0))</f>
        <v>0</v>
      </c>
      <c r="AH66" s="13">
        <f>SUM(IFERROR(VLOOKUP($C:$C,Structure!$A:$AJ,AH$1,0)*15,0),IFERROR(VLOOKUP($D:$D,Structure!$A:$AJ,AH$1,0)*15,0),IFERROR(VLOOKUP($E:$E,Structure!$A:$AJ,AH$1,0)*15,0))</f>
        <v>0</v>
      </c>
      <c r="AI66" s="13">
        <f>SUM(IFERROR(VLOOKUP($C:$C,Structure!$A:$AJ,AI$1,0)*15,0),IFERROR(VLOOKUP($D:$D,Structure!$A:$AJ,AI$1,0)*15,0),IFERROR(VLOOKUP($E:$E,Structure!$A:$AJ,AI$1,0)*15,0))</f>
        <v>0</v>
      </c>
      <c r="AJ66" s="13">
        <f>SUM(IFERROR(VLOOKUP($C:$C,Structure!$A:$AJ,AJ$1,0)*15,0),IFERROR(VLOOKUP($D:$D,Structure!$A:$AJ,AJ$1,0)*15,0),IFERROR(VLOOKUP($E:$E,Structure!$A:$AJ,AJ$1,0)*15,0))</f>
        <v>30</v>
      </c>
      <c r="AK66" s="13">
        <f>SUM(IFERROR(VLOOKUP($C:$C,Structure!$A:$AJ,AK$1,0)*15,0),IFERROR(VLOOKUP($D:$D,Structure!$A:$AJ,AK$1,0)*15,0),IFERROR(VLOOKUP($E:$E,Structure!$A:$AJ,AK$1,0)*15,0))</f>
        <v>15</v>
      </c>
      <c r="AL66" s="13">
        <f>SUM(IFERROR(VLOOKUP($C:$C,Structure!$A:$AJ,AL$1,0)*15,0),IFERROR(VLOOKUP($D:$D,Structure!$A:$AJ,AL$1,0)*15,0),IFERROR(VLOOKUP($E:$E,Structure!$A:$AJ,AL$1,0)*15,0))</f>
        <v>0</v>
      </c>
      <c r="AM66" s="13">
        <f>SUM(IFERROR(VLOOKUP($C:$C,Structure!$A:$AJ,AM$1,0)*15,0),IFERROR(VLOOKUP($D:$D,Structure!$A:$AJ,AM$1,0)*15,0),IFERROR(VLOOKUP($E:$E,Structure!$A:$AJ,AM$1,0)*15,0))</f>
        <v>0</v>
      </c>
      <c r="AN66" s="13">
        <f>SUM(IFERROR(VLOOKUP($C:$C,Structure!$A:$AJ,AN$1,0)*15,0),IFERROR(VLOOKUP($D:$D,Structure!$A:$AJ,AN$1,0)*15,0),IFERROR(VLOOKUP($E:$E,Structure!$A:$AJ,AN$1,0)*15,0))</f>
        <v>0</v>
      </c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3"/>
      <c r="BZ66" s="4">
        <f>BZ65+AQ66-F66</f>
        <v>0</v>
      </c>
      <c r="CA66" s="4">
        <f>CA65+AR66-G66</f>
        <v>0</v>
      </c>
      <c r="CB66" s="4">
        <f>CB65+AS66-H66</f>
        <v>0</v>
      </c>
      <c r="CC66" s="4">
        <f>CC65+AT66-I66</f>
        <v>0</v>
      </c>
      <c r="CD66" s="4">
        <f>CD65+AU66-J66</f>
        <v>0</v>
      </c>
      <c r="CE66" s="4">
        <f>CE65+AV66-K66</f>
        <v>0</v>
      </c>
      <c r="CF66" s="4">
        <f>CF65+AW66-L66</f>
        <v>0</v>
      </c>
      <c r="CG66" s="4">
        <f>CG65+AX66-M66</f>
        <v>0</v>
      </c>
      <c r="CH66" s="4">
        <f>CH65+AY66-N66</f>
        <v>0</v>
      </c>
      <c r="CI66" s="4">
        <f>CI65+AZ66-O66</f>
        <v>0</v>
      </c>
      <c r="CJ66" s="4">
        <f>CJ65+BA66-P66</f>
        <v>0</v>
      </c>
      <c r="CK66" s="4">
        <f>CK65+BB66-Q66</f>
        <v>0</v>
      </c>
      <c r="CL66" s="4">
        <f>CL65+BC66-R66</f>
        <v>0</v>
      </c>
      <c r="CM66" s="4">
        <f>CM65+BD66-S66</f>
        <v>0</v>
      </c>
      <c r="CN66" s="4">
        <f>CN65+BE66-T66</f>
        <v>0</v>
      </c>
      <c r="CO66" s="4">
        <f>CO65+BF66-U66</f>
        <v>0</v>
      </c>
      <c r="CP66" s="4">
        <f>CP65+BG66-V66</f>
        <v>0</v>
      </c>
      <c r="CQ66" s="4">
        <f>CQ65+BH66-W66</f>
        <v>0</v>
      </c>
      <c r="CR66" s="4">
        <f>CR65+BI66-X66</f>
        <v>0</v>
      </c>
      <c r="CS66" s="4">
        <f>CS65+BJ66-Y66</f>
        <v>0</v>
      </c>
      <c r="CT66" s="4">
        <f>CT65+BK66-Z66</f>
        <v>0</v>
      </c>
      <c r="CU66" s="4">
        <f>CU65+BL66-AA66</f>
        <v>-2480</v>
      </c>
      <c r="CV66" s="4">
        <f>CV65+BM66-AB66</f>
        <v>-165</v>
      </c>
      <c r="CW66" s="4">
        <f>CW65+BN66-AC66</f>
        <v>-135</v>
      </c>
      <c r="CX66" s="4">
        <f>CX65+BO66-AD66</f>
        <v>0</v>
      </c>
      <c r="CY66" s="4">
        <f>CY65+BP66-AE66</f>
        <v>0</v>
      </c>
      <c r="CZ66" s="4">
        <f>CZ65+BQ66-AF66</f>
        <v>-85</v>
      </c>
      <c r="DA66" s="4">
        <f>DA65+BR66-AG66</f>
        <v>0</v>
      </c>
      <c r="DB66" s="4">
        <f>DB65+BS66-AH66</f>
        <v>0</v>
      </c>
      <c r="DC66" s="4">
        <f>DC65+BT66-AI66</f>
        <v>0</v>
      </c>
      <c r="DD66" s="4">
        <f>DD65+BU66-AJ66</f>
        <v>-1795</v>
      </c>
      <c r="DE66" s="4">
        <f>DE65+BV66-AK66</f>
        <v>-705</v>
      </c>
      <c r="DF66" s="4">
        <f>DF65+BW66-AL66</f>
        <v>0</v>
      </c>
      <c r="DG66" s="4">
        <f>DG65+BX66-AM66</f>
        <v>-115</v>
      </c>
      <c r="DH66" s="4">
        <f>DH65+BY66-AN66</f>
        <v>0</v>
      </c>
    </row>
    <row r="67" spans="1:112" x14ac:dyDescent="0.25">
      <c r="A67" s="6">
        <v>46181</v>
      </c>
      <c r="B67" s="7">
        <v>0.99999999984720489</v>
      </c>
      <c r="C67" s="3" t="s">
        <v>3</v>
      </c>
      <c r="D67" s="3" t="s">
        <v>6</v>
      </c>
      <c r="E67" s="3" t="s">
        <v>2</v>
      </c>
      <c r="F67" s="13">
        <f>SUM(IFERROR(VLOOKUP($C:$C,Structure!$A:$AJ,F$1,0)*15,0),IFERROR(VLOOKUP($D:$D,Structure!$A:$AJ,F$1,0)*15,0),IFERROR(VLOOKUP($E:$E,Structure!$A:$AJ,F$1,0)*15,0))</f>
        <v>0</v>
      </c>
      <c r="G67" s="13">
        <f>SUM(IFERROR(VLOOKUP($C:$C,Structure!$A:$AJ,G$1,0)*15,0),IFERROR(VLOOKUP($D:$D,Structure!$A:$AJ,G$1,0)*15,0),IFERROR(VLOOKUP($E:$E,Structure!$A:$AJ,G$1,0)*15,0))</f>
        <v>0</v>
      </c>
      <c r="H67" s="13">
        <f>SUM(IFERROR(VLOOKUP($C:$C,Structure!$A:$AJ,H$1,0)*15,0),IFERROR(VLOOKUP($D:$D,Structure!$A:$AJ,H$1,0)*15,0),IFERROR(VLOOKUP($E:$E,Structure!$A:$AJ,H$1,0)*15,0))</f>
        <v>0</v>
      </c>
      <c r="I67" s="13">
        <f>SUM(IFERROR(VLOOKUP($C:$C,Structure!$A:$AJ,I$1,0)*15,0),IFERROR(VLOOKUP($D:$D,Structure!$A:$AJ,I$1,0)*15,0),IFERROR(VLOOKUP($E:$E,Structure!$A:$AJ,I$1,0)*15,0))</f>
        <v>0</v>
      </c>
      <c r="J67" s="13">
        <f>SUM(IFERROR(VLOOKUP($C:$C,Structure!$A:$AJ,J$1,0)*15,0),IFERROR(VLOOKUP($D:$D,Structure!$A:$AJ,J$1,0)*15,0),IFERROR(VLOOKUP($E:$E,Structure!$A:$AJ,J$1,0)*15,0))</f>
        <v>0</v>
      </c>
      <c r="K67" s="13">
        <f>SUM(IFERROR(VLOOKUP($C:$C,Structure!$A:$AJ,K$1,0)*15,0),IFERROR(VLOOKUP($D:$D,Structure!$A:$AJ,K$1,0)*15,0),IFERROR(VLOOKUP($E:$E,Structure!$A:$AJ,K$1,0)*15,0))</f>
        <v>0</v>
      </c>
      <c r="L67" s="13">
        <f>SUM(IFERROR(VLOOKUP($C:$C,Structure!$A:$AJ,L$1,0)*15,0),IFERROR(VLOOKUP($D:$D,Structure!$A:$AJ,L$1,0)*15,0),IFERROR(VLOOKUP($E:$E,Structure!$A:$AJ,L$1,0)*15,0))</f>
        <v>0</v>
      </c>
      <c r="M67" s="13">
        <f>SUM(IFERROR(VLOOKUP($C:$C,Structure!$A:$AJ,M$1,0)*15,0),IFERROR(VLOOKUP($D:$D,Structure!$A:$AJ,M$1,0)*15,0),IFERROR(VLOOKUP($E:$E,Structure!$A:$AJ,M$1,0)*15,0))</f>
        <v>0</v>
      </c>
      <c r="N67" s="13">
        <f>SUM(IFERROR(VLOOKUP($C:$C,Structure!$A:$AJ,N$1,0)*15,0),IFERROR(VLOOKUP($D:$D,Structure!$A:$AJ,N$1,0)*15,0),IFERROR(VLOOKUP($E:$E,Structure!$A:$AJ,N$1,0)*15,0))</f>
        <v>0</v>
      </c>
      <c r="O67" s="13">
        <f>SUM(IFERROR(VLOOKUP($C:$C,Structure!$A:$AJ,O$1,0)*15,0),IFERROR(VLOOKUP($D:$D,Structure!$A:$AJ,O$1,0)*15,0),IFERROR(VLOOKUP($E:$E,Structure!$A:$AJ,O$1,0)*15,0))</f>
        <v>0</v>
      </c>
      <c r="P67" s="13">
        <f>SUM(IFERROR(VLOOKUP($C:$C,Structure!$A:$AJ,P$1,0)*15,0),IFERROR(VLOOKUP($D:$D,Structure!$A:$AJ,P$1,0)*15,0),IFERROR(VLOOKUP($E:$E,Structure!$A:$AJ,P$1,0)*15,0))</f>
        <v>0</v>
      </c>
      <c r="Q67" s="13">
        <f>SUM(IFERROR(VLOOKUP($C:$C,Structure!$A:$AJ,Q$1,0)*15,0),IFERROR(VLOOKUP($D:$D,Structure!$A:$AJ,Q$1,0)*15,0),IFERROR(VLOOKUP($E:$E,Structure!$A:$AJ,Q$1,0)*15,0))</f>
        <v>0</v>
      </c>
      <c r="R67" s="13">
        <f>SUM(IFERROR(VLOOKUP($C:$C,Structure!$A:$AJ,R$1,0)*15,0),IFERROR(VLOOKUP($D:$D,Structure!$A:$AJ,R$1,0)*15,0),IFERROR(VLOOKUP($E:$E,Structure!$A:$AJ,R$1,0)*15,0))</f>
        <v>0</v>
      </c>
      <c r="S67" s="13">
        <f>SUM(IFERROR(VLOOKUP($C:$C,Structure!$A:$AJ,S$1,0)*15,0),IFERROR(VLOOKUP($D:$D,Structure!$A:$AJ,S$1,0)*15,0),IFERROR(VLOOKUP($E:$E,Structure!$A:$AJ,S$1,0)*15,0))</f>
        <v>0</v>
      </c>
      <c r="T67" s="13">
        <f>SUM(IFERROR(VLOOKUP($C:$C,Structure!$A:$AJ,T$1,0)*15,0),IFERROR(VLOOKUP($D:$D,Structure!$A:$AJ,T$1,0)*15,0),IFERROR(VLOOKUP($E:$E,Structure!$A:$AJ,T$1,0)*15,0))</f>
        <v>0</v>
      </c>
      <c r="U67" s="13">
        <f>SUM(IFERROR(VLOOKUP($C:$C,Structure!$A:$AJ,U$1,0)*15,0),IFERROR(VLOOKUP($D:$D,Structure!$A:$AJ,U$1,0)*15,0),IFERROR(VLOOKUP($E:$E,Structure!$A:$AJ,U$1,0)*15,0))</f>
        <v>0</v>
      </c>
      <c r="V67" s="13">
        <f>SUM(IFERROR(VLOOKUP($C:$C,Structure!$A:$AJ,V$1,0)*15,0),IFERROR(VLOOKUP($D:$D,Structure!$A:$AJ,V$1,0)*15,0),IFERROR(VLOOKUP($E:$E,Structure!$A:$AJ,V$1,0)*15,0))</f>
        <v>0</v>
      </c>
      <c r="W67" s="13">
        <f>SUM(IFERROR(VLOOKUP($C:$C,Structure!$A:$AJ,W$1,0)*15,0),IFERROR(VLOOKUP($D:$D,Structure!$A:$AJ,W$1,0)*15,0),IFERROR(VLOOKUP($E:$E,Structure!$A:$AJ,W$1,0)*15,0))</f>
        <v>0</v>
      </c>
      <c r="X67" s="13">
        <f>SUM(IFERROR(VLOOKUP($C:$C,Structure!$A:$AJ,X$1,0)*15,0),IFERROR(VLOOKUP($D:$D,Structure!$A:$AJ,X$1,0)*15,0),IFERROR(VLOOKUP($E:$E,Structure!$A:$AJ,X$1,0)*15,0))</f>
        <v>0</v>
      </c>
      <c r="Y67" s="13">
        <f>SUM(IFERROR(VLOOKUP($C:$C,Structure!$A:$AJ,Y$1,0)*15,0),IFERROR(VLOOKUP($D:$D,Structure!$A:$AJ,Y$1,0)*15,0),IFERROR(VLOOKUP($E:$E,Structure!$A:$AJ,Y$1,0)*15,0))</f>
        <v>0</v>
      </c>
      <c r="Z67" s="13">
        <f>SUM(IFERROR(VLOOKUP($C:$C,Structure!$A:$AJ,Z$1,0)*15,0),IFERROR(VLOOKUP($D:$D,Structure!$A:$AJ,Z$1,0)*15,0),IFERROR(VLOOKUP($E:$E,Structure!$A:$AJ,Z$1,0)*15,0))</f>
        <v>0</v>
      </c>
      <c r="AA67" s="13">
        <f>SUM(IFERROR(VLOOKUP($C:$C,Structure!$A:$AJ,AA$1,0)*15,0),IFERROR(VLOOKUP($D:$D,Structure!$A:$AJ,AA$1,0)*15,0),IFERROR(VLOOKUP($E:$E,Structure!$A:$AJ,AA$1,0)*15,0))</f>
        <v>45</v>
      </c>
      <c r="AB67" s="13">
        <f>SUM(IFERROR(VLOOKUP($C:$C,Structure!$A:$AJ,AB$1,0)*15,0),IFERROR(VLOOKUP($D:$D,Structure!$A:$AJ,AB$1,0)*15,0),IFERROR(VLOOKUP($E:$E,Structure!$A:$AJ,AB$1,0)*15,0))</f>
        <v>0</v>
      </c>
      <c r="AC67" s="13">
        <f>SUM(IFERROR(VLOOKUP($C:$C,Structure!$A:$AJ,AC$1,0)*15,0),IFERROR(VLOOKUP($D:$D,Structure!$A:$AJ,AC$1,0)*15,0),IFERROR(VLOOKUP($E:$E,Structure!$A:$AJ,AC$1,0)*15,0))</f>
        <v>0</v>
      </c>
      <c r="AD67" s="13">
        <f>SUM(IFERROR(VLOOKUP($C:$C,Structure!$A:$AJ,AD$1,0)*15,0),IFERROR(VLOOKUP($D:$D,Structure!$A:$AJ,AD$1,0)*15,0),IFERROR(VLOOKUP($E:$E,Structure!$A:$AJ,AD$1,0)*15,0))</f>
        <v>0</v>
      </c>
      <c r="AE67" s="13">
        <f>SUM(IFERROR(VLOOKUP($C:$C,Structure!$A:$AJ,AE$1,0)*15,0),IFERROR(VLOOKUP($D:$D,Structure!$A:$AJ,AE$1,0)*15,0),IFERROR(VLOOKUP($E:$E,Structure!$A:$AJ,AE$1,0)*15,0))</f>
        <v>0</v>
      </c>
      <c r="AF67" s="13">
        <f>SUM(IFERROR(VLOOKUP($C:$C,Structure!$A:$AJ,AF$1,0)*15,0),IFERROR(VLOOKUP($D:$D,Structure!$A:$AJ,AF$1,0)*15,0),IFERROR(VLOOKUP($E:$E,Structure!$A:$AJ,AF$1,0)*15,0))</f>
        <v>0</v>
      </c>
      <c r="AG67" s="13">
        <f>SUM(IFERROR(VLOOKUP($C:$C,Structure!$A:$AJ,AG$1,0)*15,0),IFERROR(VLOOKUP($D:$D,Structure!$A:$AJ,AG$1,0)*15,0),IFERROR(VLOOKUP($E:$E,Structure!$A:$AJ,AG$1,0)*15,0))</f>
        <v>0</v>
      </c>
      <c r="AH67" s="13">
        <f>SUM(IFERROR(VLOOKUP($C:$C,Structure!$A:$AJ,AH$1,0)*15,0),IFERROR(VLOOKUP($D:$D,Structure!$A:$AJ,AH$1,0)*15,0),IFERROR(VLOOKUP($E:$E,Structure!$A:$AJ,AH$1,0)*15,0))</f>
        <v>0</v>
      </c>
      <c r="AI67" s="13">
        <f>SUM(IFERROR(VLOOKUP($C:$C,Structure!$A:$AJ,AI$1,0)*15,0),IFERROR(VLOOKUP($D:$D,Structure!$A:$AJ,AI$1,0)*15,0),IFERROR(VLOOKUP($E:$E,Structure!$A:$AJ,AI$1,0)*15,0))</f>
        <v>0</v>
      </c>
      <c r="AJ67" s="13">
        <f>SUM(IFERROR(VLOOKUP($C:$C,Structure!$A:$AJ,AJ$1,0)*15,0),IFERROR(VLOOKUP($D:$D,Structure!$A:$AJ,AJ$1,0)*15,0),IFERROR(VLOOKUP($E:$E,Structure!$A:$AJ,AJ$1,0)*15,0))</f>
        <v>30</v>
      </c>
      <c r="AK67" s="13">
        <f>SUM(IFERROR(VLOOKUP($C:$C,Structure!$A:$AJ,AK$1,0)*15,0),IFERROR(VLOOKUP($D:$D,Structure!$A:$AJ,AK$1,0)*15,0),IFERROR(VLOOKUP($E:$E,Structure!$A:$AJ,AK$1,0)*15,0))</f>
        <v>15</v>
      </c>
      <c r="AL67" s="13">
        <f>SUM(IFERROR(VLOOKUP($C:$C,Structure!$A:$AJ,AL$1,0)*15,0),IFERROR(VLOOKUP($D:$D,Structure!$A:$AJ,AL$1,0)*15,0),IFERROR(VLOOKUP($E:$E,Structure!$A:$AJ,AL$1,0)*15,0))</f>
        <v>0</v>
      </c>
      <c r="AM67" s="13">
        <f>SUM(IFERROR(VLOOKUP($C:$C,Structure!$A:$AJ,AM$1,0)*15,0),IFERROR(VLOOKUP($D:$D,Structure!$A:$AJ,AM$1,0)*15,0),IFERROR(VLOOKUP($E:$E,Structure!$A:$AJ,AM$1,0)*15,0))</f>
        <v>0</v>
      </c>
      <c r="AN67" s="13">
        <f>SUM(IFERROR(VLOOKUP($C:$C,Structure!$A:$AJ,AN$1,0)*15,0),IFERROR(VLOOKUP($D:$D,Structure!$A:$AJ,AN$1,0)*15,0),IFERROR(VLOOKUP($E:$E,Structure!$A:$AJ,AN$1,0)*15,0))</f>
        <v>0</v>
      </c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3"/>
      <c r="BZ67" s="4">
        <f>BZ66+AQ67-F67</f>
        <v>0</v>
      </c>
      <c r="CA67" s="4">
        <f>CA66+AR67-G67</f>
        <v>0</v>
      </c>
      <c r="CB67" s="4">
        <f>CB66+AS67-H67</f>
        <v>0</v>
      </c>
      <c r="CC67" s="4">
        <f>CC66+AT67-I67</f>
        <v>0</v>
      </c>
      <c r="CD67" s="4">
        <f>CD66+AU67-J67</f>
        <v>0</v>
      </c>
      <c r="CE67" s="4">
        <f>CE66+AV67-K67</f>
        <v>0</v>
      </c>
      <c r="CF67" s="4">
        <f>CF66+AW67-L67</f>
        <v>0</v>
      </c>
      <c r="CG67" s="4">
        <f>CG66+AX67-M67</f>
        <v>0</v>
      </c>
      <c r="CH67" s="4">
        <f>CH66+AY67-N67</f>
        <v>0</v>
      </c>
      <c r="CI67" s="4">
        <f>CI66+AZ67-O67</f>
        <v>0</v>
      </c>
      <c r="CJ67" s="4">
        <f>CJ66+BA67-P67</f>
        <v>0</v>
      </c>
      <c r="CK67" s="4">
        <f>CK66+BB67-Q67</f>
        <v>0</v>
      </c>
      <c r="CL67" s="4">
        <f>CL66+BC67-R67</f>
        <v>0</v>
      </c>
      <c r="CM67" s="4">
        <f>CM66+BD67-S67</f>
        <v>0</v>
      </c>
      <c r="CN67" s="4">
        <f>CN66+BE67-T67</f>
        <v>0</v>
      </c>
      <c r="CO67" s="4">
        <f>CO66+BF67-U67</f>
        <v>0</v>
      </c>
      <c r="CP67" s="4">
        <f>CP66+BG67-V67</f>
        <v>0</v>
      </c>
      <c r="CQ67" s="4">
        <f>CQ66+BH67-W67</f>
        <v>0</v>
      </c>
      <c r="CR67" s="4">
        <f>CR66+BI67-X67</f>
        <v>0</v>
      </c>
      <c r="CS67" s="4">
        <f>CS66+BJ67-Y67</f>
        <v>0</v>
      </c>
      <c r="CT67" s="4">
        <f>CT66+BK67-Z67</f>
        <v>0</v>
      </c>
      <c r="CU67" s="4">
        <f>CU66+BL67-AA67</f>
        <v>-2525</v>
      </c>
      <c r="CV67" s="4">
        <f>CV66+BM67-AB67</f>
        <v>-165</v>
      </c>
      <c r="CW67" s="4">
        <f>CW66+BN67-AC67</f>
        <v>-135</v>
      </c>
      <c r="CX67" s="4">
        <f>CX66+BO67-AD67</f>
        <v>0</v>
      </c>
      <c r="CY67" s="4">
        <f>CY66+BP67-AE67</f>
        <v>0</v>
      </c>
      <c r="CZ67" s="4">
        <f>CZ66+BQ67-AF67</f>
        <v>-85</v>
      </c>
      <c r="DA67" s="4">
        <f>DA66+BR67-AG67</f>
        <v>0</v>
      </c>
      <c r="DB67" s="4">
        <f>DB66+BS67-AH67</f>
        <v>0</v>
      </c>
      <c r="DC67" s="4">
        <f>DC66+BT67-AI67</f>
        <v>0</v>
      </c>
      <c r="DD67" s="4">
        <f>DD66+BU67-AJ67</f>
        <v>-1825</v>
      </c>
      <c r="DE67" s="4">
        <f>DE66+BV67-AK67</f>
        <v>-720</v>
      </c>
      <c r="DF67" s="4">
        <f>DF66+BW67-AL67</f>
        <v>0</v>
      </c>
      <c r="DG67" s="4">
        <f>DG66+BX67-AM67</f>
        <v>-115</v>
      </c>
      <c r="DH67" s="4">
        <f>DH66+BY67-AN67</f>
        <v>0</v>
      </c>
    </row>
    <row r="68" spans="1:112" x14ac:dyDescent="0.25">
      <c r="A68" s="6">
        <v>46182</v>
      </c>
      <c r="B68" s="7">
        <v>4.1666666511446238E-2</v>
      </c>
      <c r="C68" s="3" t="s">
        <v>3</v>
      </c>
      <c r="D68" s="3" t="s">
        <v>6</v>
      </c>
      <c r="E68" s="3" t="s">
        <v>86</v>
      </c>
      <c r="F68" s="13">
        <f>SUM(IFERROR(VLOOKUP($C:$C,Structure!$A:$AJ,F$1,0)*15,0),IFERROR(VLOOKUP($D:$D,Structure!$A:$AJ,F$1,0)*15,0),IFERROR(VLOOKUP($E:$E,Structure!$A:$AJ,F$1,0)*15,0))</f>
        <v>0</v>
      </c>
      <c r="G68" s="13">
        <f>SUM(IFERROR(VLOOKUP($C:$C,Structure!$A:$AJ,G$1,0)*15,0),IFERROR(VLOOKUP($D:$D,Structure!$A:$AJ,G$1,0)*15,0),IFERROR(VLOOKUP($E:$E,Structure!$A:$AJ,G$1,0)*15,0))</f>
        <v>0</v>
      </c>
      <c r="H68" s="13">
        <f>SUM(IFERROR(VLOOKUP($C:$C,Structure!$A:$AJ,H$1,0)*15,0),IFERROR(VLOOKUP($D:$D,Structure!$A:$AJ,H$1,0)*15,0),IFERROR(VLOOKUP($E:$E,Structure!$A:$AJ,H$1,0)*15,0))</f>
        <v>0</v>
      </c>
      <c r="I68" s="13">
        <f>SUM(IFERROR(VLOOKUP($C:$C,Structure!$A:$AJ,I$1,0)*15,0),IFERROR(VLOOKUP($D:$D,Structure!$A:$AJ,I$1,0)*15,0),IFERROR(VLOOKUP($E:$E,Structure!$A:$AJ,I$1,0)*15,0))</f>
        <v>0</v>
      </c>
      <c r="J68" s="13">
        <f>SUM(IFERROR(VLOOKUP($C:$C,Structure!$A:$AJ,J$1,0)*15,0),IFERROR(VLOOKUP($D:$D,Structure!$A:$AJ,J$1,0)*15,0),IFERROR(VLOOKUP($E:$E,Structure!$A:$AJ,J$1,0)*15,0))</f>
        <v>0</v>
      </c>
      <c r="K68" s="13">
        <f>SUM(IFERROR(VLOOKUP($C:$C,Structure!$A:$AJ,K$1,0)*15,0),IFERROR(VLOOKUP($D:$D,Structure!$A:$AJ,K$1,0)*15,0),IFERROR(VLOOKUP($E:$E,Structure!$A:$AJ,K$1,0)*15,0))</f>
        <v>0</v>
      </c>
      <c r="L68" s="13">
        <f>SUM(IFERROR(VLOOKUP($C:$C,Structure!$A:$AJ,L$1,0)*15,0),IFERROR(VLOOKUP($D:$D,Structure!$A:$AJ,L$1,0)*15,0),IFERROR(VLOOKUP($E:$E,Structure!$A:$AJ,L$1,0)*15,0))</f>
        <v>0</v>
      </c>
      <c r="M68" s="13">
        <f>SUM(IFERROR(VLOOKUP($C:$C,Structure!$A:$AJ,M$1,0)*15,0),IFERROR(VLOOKUP($D:$D,Structure!$A:$AJ,M$1,0)*15,0),IFERROR(VLOOKUP($E:$E,Structure!$A:$AJ,M$1,0)*15,0))</f>
        <v>0</v>
      </c>
      <c r="N68" s="13">
        <f>SUM(IFERROR(VLOOKUP($C:$C,Structure!$A:$AJ,N$1,0)*15,0),IFERROR(VLOOKUP($D:$D,Structure!$A:$AJ,N$1,0)*15,0),IFERROR(VLOOKUP($E:$E,Structure!$A:$AJ,N$1,0)*15,0))</f>
        <v>0</v>
      </c>
      <c r="O68" s="13">
        <f>SUM(IFERROR(VLOOKUP($C:$C,Structure!$A:$AJ,O$1,0)*15,0),IFERROR(VLOOKUP($D:$D,Structure!$A:$AJ,O$1,0)*15,0),IFERROR(VLOOKUP($E:$E,Structure!$A:$AJ,O$1,0)*15,0))</f>
        <v>0</v>
      </c>
      <c r="P68" s="13">
        <f>SUM(IFERROR(VLOOKUP($C:$C,Structure!$A:$AJ,P$1,0)*15,0),IFERROR(VLOOKUP($D:$D,Structure!$A:$AJ,P$1,0)*15,0),IFERROR(VLOOKUP($E:$E,Structure!$A:$AJ,P$1,0)*15,0))</f>
        <v>0</v>
      </c>
      <c r="Q68" s="13">
        <f>SUM(IFERROR(VLOOKUP($C:$C,Structure!$A:$AJ,Q$1,0)*15,0),IFERROR(VLOOKUP($D:$D,Structure!$A:$AJ,Q$1,0)*15,0),IFERROR(VLOOKUP($E:$E,Structure!$A:$AJ,Q$1,0)*15,0))</f>
        <v>0</v>
      </c>
      <c r="R68" s="13">
        <f>SUM(IFERROR(VLOOKUP($C:$C,Structure!$A:$AJ,R$1,0)*15,0),IFERROR(VLOOKUP($D:$D,Structure!$A:$AJ,R$1,0)*15,0),IFERROR(VLOOKUP($E:$E,Structure!$A:$AJ,R$1,0)*15,0))</f>
        <v>0</v>
      </c>
      <c r="S68" s="13">
        <f>SUM(IFERROR(VLOOKUP($C:$C,Structure!$A:$AJ,S$1,0)*15,0),IFERROR(VLOOKUP($D:$D,Structure!$A:$AJ,S$1,0)*15,0),IFERROR(VLOOKUP($E:$E,Structure!$A:$AJ,S$1,0)*15,0))</f>
        <v>0</v>
      </c>
      <c r="T68" s="13">
        <f>SUM(IFERROR(VLOOKUP($C:$C,Structure!$A:$AJ,T$1,0)*15,0),IFERROR(VLOOKUP($D:$D,Structure!$A:$AJ,T$1,0)*15,0),IFERROR(VLOOKUP($E:$E,Structure!$A:$AJ,T$1,0)*15,0))</f>
        <v>0</v>
      </c>
      <c r="U68" s="13">
        <f>SUM(IFERROR(VLOOKUP($C:$C,Structure!$A:$AJ,U$1,0)*15,0),IFERROR(VLOOKUP($D:$D,Structure!$A:$AJ,U$1,0)*15,0),IFERROR(VLOOKUP($E:$E,Structure!$A:$AJ,U$1,0)*15,0))</f>
        <v>0</v>
      </c>
      <c r="V68" s="13">
        <f>SUM(IFERROR(VLOOKUP($C:$C,Structure!$A:$AJ,V$1,0)*15,0),IFERROR(VLOOKUP($D:$D,Structure!$A:$AJ,V$1,0)*15,0),IFERROR(VLOOKUP($E:$E,Structure!$A:$AJ,V$1,0)*15,0))</f>
        <v>0</v>
      </c>
      <c r="W68" s="13">
        <f>SUM(IFERROR(VLOOKUP($C:$C,Structure!$A:$AJ,W$1,0)*15,0),IFERROR(VLOOKUP($D:$D,Structure!$A:$AJ,W$1,0)*15,0),IFERROR(VLOOKUP($E:$E,Structure!$A:$AJ,W$1,0)*15,0))</f>
        <v>0</v>
      </c>
      <c r="X68" s="13">
        <f>SUM(IFERROR(VLOOKUP($C:$C,Structure!$A:$AJ,X$1,0)*15,0),IFERROR(VLOOKUP($D:$D,Structure!$A:$AJ,X$1,0)*15,0),IFERROR(VLOOKUP($E:$E,Structure!$A:$AJ,X$1,0)*15,0))</f>
        <v>0</v>
      </c>
      <c r="Y68" s="13">
        <f>SUM(IFERROR(VLOOKUP($C:$C,Structure!$A:$AJ,Y$1,0)*15,0),IFERROR(VLOOKUP($D:$D,Structure!$A:$AJ,Y$1,0)*15,0),IFERROR(VLOOKUP($E:$E,Structure!$A:$AJ,Y$1,0)*15,0))</f>
        <v>0</v>
      </c>
      <c r="Z68" s="13">
        <f>SUM(IFERROR(VLOOKUP($C:$C,Structure!$A:$AJ,Z$1,0)*15,0),IFERROR(VLOOKUP($D:$D,Structure!$A:$AJ,Z$1,0)*15,0),IFERROR(VLOOKUP($E:$E,Structure!$A:$AJ,Z$1,0)*15,0))</f>
        <v>0</v>
      </c>
      <c r="AA68" s="13">
        <f>SUM(IFERROR(VLOOKUP($C:$C,Structure!$A:$AJ,AA$1,0)*15,0),IFERROR(VLOOKUP($D:$D,Structure!$A:$AJ,AA$1,0)*15,0),IFERROR(VLOOKUP($E:$E,Structure!$A:$AJ,AA$1,0)*15,0))</f>
        <v>30</v>
      </c>
      <c r="AB68" s="13">
        <f>SUM(IFERROR(VLOOKUP($C:$C,Structure!$A:$AJ,AB$1,0)*15,0),IFERROR(VLOOKUP($D:$D,Structure!$A:$AJ,AB$1,0)*15,0),IFERROR(VLOOKUP($E:$E,Structure!$A:$AJ,AB$1,0)*15,0))</f>
        <v>0</v>
      </c>
      <c r="AC68" s="13">
        <f>SUM(IFERROR(VLOOKUP($C:$C,Structure!$A:$AJ,AC$1,0)*15,0),IFERROR(VLOOKUP($D:$D,Structure!$A:$AJ,AC$1,0)*15,0),IFERROR(VLOOKUP($E:$E,Structure!$A:$AJ,AC$1,0)*15,0))</f>
        <v>15</v>
      </c>
      <c r="AD68" s="13">
        <f>SUM(IFERROR(VLOOKUP($C:$C,Structure!$A:$AJ,AD$1,0)*15,0),IFERROR(VLOOKUP($D:$D,Structure!$A:$AJ,AD$1,0)*15,0),IFERROR(VLOOKUP($E:$E,Structure!$A:$AJ,AD$1,0)*15,0))</f>
        <v>0</v>
      </c>
      <c r="AE68" s="13">
        <f>SUM(IFERROR(VLOOKUP($C:$C,Structure!$A:$AJ,AE$1,0)*15,0),IFERROR(VLOOKUP($D:$D,Structure!$A:$AJ,AE$1,0)*15,0),IFERROR(VLOOKUP($E:$E,Structure!$A:$AJ,AE$1,0)*15,0))</f>
        <v>0</v>
      </c>
      <c r="AF68" s="13">
        <f>SUM(IFERROR(VLOOKUP($C:$C,Structure!$A:$AJ,AF$1,0)*15,0),IFERROR(VLOOKUP($D:$D,Structure!$A:$AJ,AF$1,0)*15,0),IFERROR(VLOOKUP($E:$E,Structure!$A:$AJ,AF$1,0)*15,0))</f>
        <v>0</v>
      </c>
      <c r="AG68" s="13">
        <f>SUM(IFERROR(VLOOKUP($C:$C,Structure!$A:$AJ,AG$1,0)*15,0),IFERROR(VLOOKUP($D:$D,Structure!$A:$AJ,AG$1,0)*15,0),IFERROR(VLOOKUP($E:$E,Structure!$A:$AJ,AG$1,0)*15,0))</f>
        <v>0</v>
      </c>
      <c r="AH68" s="13">
        <f>SUM(IFERROR(VLOOKUP($C:$C,Structure!$A:$AJ,AH$1,0)*15,0),IFERROR(VLOOKUP($D:$D,Structure!$A:$AJ,AH$1,0)*15,0),IFERROR(VLOOKUP($E:$E,Structure!$A:$AJ,AH$1,0)*15,0))</f>
        <v>0</v>
      </c>
      <c r="AI68" s="13">
        <f>SUM(IFERROR(VLOOKUP($C:$C,Structure!$A:$AJ,AI$1,0)*15,0),IFERROR(VLOOKUP($D:$D,Structure!$A:$AJ,AI$1,0)*15,0),IFERROR(VLOOKUP($E:$E,Structure!$A:$AJ,AI$1,0)*15,0))</f>
        <v>0</v>
      </c>
      <c r="AJ68" s="13">
        <f>SUM(IFERROR(VLOOKUP($C:$C,Structure!$A:$AJ,AJ$1,0)*15,0),IFERROR(VLOOKUP($D:$D,Structure!$A:$AJ,AJ$1,0)*15,0),IFERROR(VLOOKUP($E:$E,Structure!$A:$AJ,AJ$1,0)*15,0))</f>
        <v>15</v>
      </c>
      <c r="AK68" s="13">
        <f>SUM(IFERROR(VLOOKUP($C:$C,Structure!$A:$AJ,AK$1,0)*15,0),IFERROR(VLOOKUP($D:$D,Structure!$A:$AJ,AK$1,0)*15,0),IFERROR(VLOOKUP($E:$E,Structure!$A:$AJ,AK$1,0)*15,0))</f>
        <v>15</v>
      </c>
      <c r="AL68" s="13">
        <f>SUM(IFERROR(VLOOKUP($C:$C,Structure!$A:$AJ,AL$1,0)*15,0),IFERROR(VLOOKUP($D:$D,Structure!$A:$AJ,AL$1,0)*15,0),IFERROR(VLOOKUP($E:$E,Structure!$A:$AJ,AL$1,0)*15,0))</f>
        <v>0</v>
      </c>
      <c r="AM68" s="13">
        <f>SUM(IFERROR(VLOOKUP($C:$C,Structure!$A:$AJ,AM$1,0)*15,0),IFERROR(VLOOKUP($D:$D,Structure!$A:$AJ,AM$1,0)*15,0),IFERROR(VLOOKUP($E:$E,Structure!$A:$AJ,AM$1,0)*15,0))</f>
        <v>15</v>
      </c>
      <c r="AN68" s="13">
        <f>SUM(IFERROR(VLOOKUP($C:$C,Structure!$A:$AJ,AN$1,0)*15,0),IFERROR(VLOOKUP($D:$D,Structure!$A:$AJ,AN$1,0)*15,0),IFERROR(VLOOKUP($E:$E,Structure!$A:$AJ,AN$1,0)*15,0))</f>
        <v>0</v>
      </c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3"/>
      <c r="BZ68" s="4">
        <f>BZ67+AQ68-F68</f>
        <v>0</v>
      </c>
      <c r="CA68" s="4">
        <f>CA67+AR68-G68</f>
        <v>0</v>
      </c>
      <c r="CB68" s="4">
        <f>CB67+AS68-H68</f>
        <v>0</v>
      </c>
      <c r="CC68" s="4">
        <f>CC67+AT68-I68</f>
        <v>0</v>
      </c>
      <c r="CD68" s="4">
        <f>CD67+AU68-J68</f>
        <v>0</v>
      </c>
      <c r="CE68" s="4">
        <f>CE67+AV68-K68</f>
        <v>0</v>
      </c>
      <c r="CF68" s="4">
        <f>CF67+AW68-L68</f>
        <v>0</v>
      </c>
      <c r="CG68" s="4">
        <f>CG67+AX68-M68</f>
        <v>0</v>
      </c>
      <c r="CH68" s="4">
        <f>CH67+AY68-N68</f>
        <v>0</v>
      </c>
      <c r="CI68" s="4">
        <f>CI67+AZ68-O68</f>
        <v>0</v>
      </c>
      <c r="CJ68" s="4">
        <f>CJ67+BA68-P68</f>
        <v>0</v>
      </c>
      <c r="CK68" s="4">
        <f>CK67+BB68-Q68</f>
        <v>0</v>
      </c>
      <c r="CL68" s="4">
        <f>CL67+BC68-R68</f>
        <v>0</v>
      </c>
      <c r="CM68" s="4">
        <f>CM67+BD68-S68</f>
        <v>0</v>
      </c>
      <c r="CN68" s="4">
        <f>CN67+BE68-T68</f>
        <v>0</v>
      </c>
      <c r="CO68" s="4">
        <f>CO67+BF68-U68</f>
        <v>0</v>
      </c>
      <c r="CP68" s="4">
        <f>CP67+BG68-V68</f>
        <v>0</v>
      </c>
      <c r="CQ68" s="4">
        <f>CQ67+BH68-W68</f>
        <v>0</v>
      </c>
      <c r="CR68" s="4">
        <f>CR67+BI68-X68</f>
        <v>0</v>
      </c>
      <c r="CS68" s="4">
        <f>CS67+BJ68-Y68</f>
        <v>0</v>
      </c>
      <c r="CT68" s="4">
        <f>CT67+BK68-Z68</f>
        <v>0</v>
      </c>
      <c r="CU68" s="4">
        <f>CU67+BL68-AA68</f>
        <v>-2555</v>
      </c>
      <c r="CV68" s="4">
        <f>CV67+BM68-AB68</f>
        <v>-165</v>
      </c>
      <c r="CW68" s="4">
        <f>CW67+BN68-AC68</f>
        <v>-150</v>
      </c>
      <c r="CX68" s="4">
        <f>CX67+BO68-AD68</f>
        <v>0</v>
      </c>
      <c r="CY68" s="4">
        <f>CY67+BP68-AE68</f>
        <v>0</v>
      </c>
      <c r="CZ68" s="4">
        <f>CZ67+BQ68-AF68</f>
        <v>-85</v>
      </c>
      <c r="DA68" s="4">
        <f>DA67+BR68-AG68</f>
        <v>0</v>
      </c>
      <c r="DB68" s="4">
        <f>DB67+BS68-AH68</f>
        <v>0</v>
      </c>
      <c r="DC68" s="4">
        <f>DC67+BT68-AI68</f>
        <v>0</v>
      </c>
      <c r="DD68" s="4">
        <f>DD67+BU68-AJ68</f>
        <v>-1840</v>
      </c>
      <c r="DE68" s="4">
        <f>DE67+BV68-AK68</f>
        <v>-735</v>
      </c>
      <c r="DF68" s="4">
        <f>DF67+BW68-AL68</f>
        <v>0</v>
      </c>
      <c r="DG68" s="4">
        <f>DG67+BX68-AM68</f>
        <v>-130</v>
      </c>
      <c r="DH68" s="4">
        <f>DH67+BY68-AN68</f>
        <v>0</v>
      </c>
    </row>
    <row r="69" spans="1:112" x14ac:dyDescent="0.25">
      <c r="A69" s="6">
        <v>46182</v>
      </c>
      <c r="B69" s="7">
        <v>8.3333333175687585E-2</v>
      </c>
      <c r="C69" s="3" t="s">
        <v>2</v>
      </c>
      <c r="D69" s="3" t="s">
        <v>9</v>
      </c>
      <c r="E69" s="3" t="s">
        <v>86</v>
      </c>
      <c r="F69" s="13">
        <f>SUM(IFERROR(VLOOKUP($C:$C,Structure!$A:$AJ,F$1,0)*15,0),IFERROR(VLOOKUP($D:$D,Structure!$A:$AJ,F$1,0)*15,0),IFERROR(VLOOKUP($E:$E,Structure!$A:$AJ,F$1,0)*15,0))</f>
        <v>0</v>
      </c>
      <c r="G69" s="13">
        <f>SUM(IFERROR(VLOOKUP($C:$C,Structure!$A:$AJ,G$1,0)*15,0),IFERROR(VLOOKUP($D:$D,Structure!$A:$AJ,G$1,0)*15,0),IFERROR(VLOOKUP($E:$E,Structure!$A:$AJ,G$1,0)*15,0))</f>
        <v>0</v>
      </c>
      <c r="H69" s="13">
        <f>SUM(IFERROR(VLOOKUP($C:$C,Structure!$A:$AJ,H$1,0)*15,0),IFERROR(VLOOKUP($D:$D,Structure!$A:$AJ,H$1,0)*15,0),IFERROR(VLOOKUP($E:$E,Structure!$A:$AJ,H$1,0)*15,0))</f>
        <v>0</v>
      </c>
      <c r="I69" s="13">
        <f>SUM(IFERROR(VLOOKUP($C:$C,Structure!$A:$AJ,I$1,0)*15,0),IFERROR(VLOOKUP($D:$D,Structure!$A:$AJ,I$1,0)*15,0),IFERROR(VLOOKUP($E:$E,Structure!$A:$AJ,I$1,0)*15,0))</f>
        <v>0</v>
      </c>
      <c r="J69" s="13">
        <f>SUM(IFERROR(VLOOKUP($C:$C,Structure!$A:$AJ,J$1,0)*15,0),IFERROR(VLOOKUP($D:$D,Structure!$A:$AJ,J$1,0)*15,0),IFERROR(VLOOKUP($E:$E,Structure!$A:$AJ,J$1,0)*15,0))</f>
        <v>0</v>
      </c>
      <c r="K69" s="13">
        <f>SUM(IFERROR(VLOOKUP($C:$C,Structure!$A:$AJ,K$1,0)*15,0),IFERROR(VLOOKUP($D:$D,Structure!$A:$AJ,K$1,0)*15,0),IFERROR(VLOOKUP($E:$E,Structure!$A:$AJ,K$1,0)*15,0))</f>
        <v>0</v>
      </c>
      <c r="L69" s="13">
        <f>SUM(IFERROR(VLOOKUP($C:$C,Structure!$A:$AJ,L$1,0)*15,0),IFERROR(VLOOKUP($D:$D,Structure!$A:$AJ,L$1,0)*15,0),IFERROR(VLOOKUP($E:$E,Structure!$A:$AJ,L$1,0)*15,0))</f>
        <v>0</v>
      </c>
      <c r="M69" s="13">
        <f>SUM(IFERROR(VLOOKUP($C:$C,Structure!$A:$AJ,M$1,0)*15,0),IFERROR(VLOOKUP($D:$D,Structure!$A:$AJ,M$1,0)*15,0),IFERROR(VLOOKUP($E:$E,Structure!$A:$AJ,M$1,0)*15,0))</f>
        <v>0</v>
      </c>
      <c r="N69" s="13">
        <f>SUM(IFERROR(VLOOKUP($C:$C,Structure!$A:$AJ,N$1,0)*15,0),IFERROR(VLOOKUP($D:$D,Structure!$A:$AJ,N$1,0)*15,0),IFERROR(VLOOKUP($E:$E,Structure!$A:$AJ,N$1,0)*15,0))</f>
        <v>0</v>
      </c>
      <c r="O69" s="13">
        <f>SUM(IFERROR(VLOOKUP($C:$C,Structure!$A:$AJ,O$1,0)*15,0),IFERROR(VLOOKUP($D:$D,Structure!$A:$AJ,O$1,0)*15,0),IFERROR(VLOOKUP($E:$E,Structure!$A:$AJ,O$1,0)*15,0))</f>
        <v>0</v>
      </c>
      <c r="P69" s="13">
        <f>SUM(IFERROR(VLOOKUP($C:$C,Structure!$A:$AJ,P$1,0)*15,0),IFERROR(VLOOKUP($D:$D,Structure!$A:$AJ,P$1,0)*15,0),IFERROR(VLOOKUP($E:$E,Structure!$A:$AJ,P$1,0)*15,0))</f>
        <v>0</v>
      </c>
      <c r="Q69" s="13">
        <f>SUM(IFERROR(VLOOKUP($C:$C,Structure!$A:$AJ,Q$1,0)*15,0),IFERROR(VLOOKUP($D:$D,Structure!$A:$AJ,Q$1,0)*15,0),IFERROR(VLOOKUP($E:$E,Structure!$A:$AJ,Q$1,0)*15,0))</f>
        <v>0</v>
      </c>
      <c r="R69" s="13">
        <f>SUM(IFERROR(VLOOKUP($C:$C,Structure!$A:$AJ,R$1,0)*15,0),IFERROR(VLOOKUP($D:$D,Structure!$A:$AJ,R$1,0)*15,0),IFERROR(VLOOKUP($E:$E,Structure!$A:$AJ,R$1,0)*15,0))</f>
        <v>0</v>
      </c>
      <c r="S69" s="13">
        <f>SUM(IFERROR(VLOOKUP($C:$C,Structure!$A:$AJ,S$1,0)*15,0),IFERROR(VLOOKUP($D:$D,Structure!$A:$AJ,S$1,0)*15,0),IFERROR(VLOOKUP($E:$E,Structure!$A:$AJ,S$1,0)*15,0))</f>
        <v>0</v>
      </c>
      <c r="T69" s="13">
        <f>SUM(IFERROR(VLOOKUP($C:$C,Structure!$A:$AJ,T$1,0)*15,0),IFERROR(VLOOKUP($D:$D,Structure!$A:$AJ,T$1,0)*15,0),IFERROR(VLOOKUP($E:$E,Structure!$A:$AJ,T$1,0)*15,0))</f>
        <v>0</v>
      </c>
      <c r="U69" s="13">
        <f>SUM(IFERROR(VLOOKUP($C:$C,Structure!$A:$AJ,U$1,0)*15,0),IFERROR(VLOOKUP($D:$D,Structure!$A:$AJ,U$1,0)*15,0),IFERROR(VLOOKUP($E:$E,Structure!$A:$AJ,U$1,0)*15,0))</f>
        <v>0</v>
      </c>
      <c r="V69" s="13">
        <f>SUM(IFERROR(VLOOKUP($C:$C,Structure!$A:$AJ,V$1,0)*15,0),IFERROR(VLOOKUP($D:$D,Structure!$A:$AJ,V$1,0)*15,0),IFERROR(VLOOKUP($E:$E,Structure!$A:$AJ,V$1,0)*15,0))</f>
        <v>0</v>
      </c>
      <c r="W69" s="13">
        <f>SUM(IFERROR(VLOOKUP($C:$C,Structure!$A:$AJ,W$1,0)*15,0),IFERROR(VLOOKUP($D:$D,Structure!$A:$AJ,W$1,0)*15,0),IFERROR(VLOOKUP($E:$E,Structure!$A:$AJ,W$1,0)*15,0))</f>
        <v>0</v>
      </c>
      <c r="X69" s="13">
        <f>SUM(IFERROR(VLOOKUP($C:$C,Structure!$A:$AJ,X$1,0)*15,0),IFERROR(VLOOKUP($D:$D,Structure!$A:$AJ,X$1,0)*15,0),IFERROR(VLOOKUP($E:$E,Structure!$A:$AJ,X$1,0)*15,0))</f>
        <v>0</v>
      </c>
      <c r="Y69" s="13">
        <f>SUM(IFERROR(VLOOKUP($C:$C,Structure!$A:$AJ,Y$1,0)*15,0),IFERROR(VLOOKUP($D:$D,Structure!$A:$AJ,Y$1,0)*15,0),IFERROR(VLOOKUP($E:$E,Structure!$A:$AJ,Y$1,0)*15,0))</f>
        <v>0</v>
      </c>
      <c r="Z69" s="13">
        <f>SUM(IFERROR(VLOOKUP($C:$C,Structure!$A:$AJ,Z$1,0)*15,0),IFERROR(VLOOKUP($D:$D,Structure!$A:$AJ,Z$1,0)*15,0),IFERROR(VLOOKUP($E:$E,Structure!$A:$AJ,Z$1,0)*15,0))</f>
        <v>0</v>
      </c>
      <c r="AA69" s="13">
        <f>SUM(IFERROR(VLOOKUP($C:$C,Structure!$A:$AJ,AA$1,0)*15,0),IFERROR(VLOOKUP($D:$D,Structure!$A:$AJ,AA$1,0)*15,0),IFERROR(VLOOKUP($E:$E,Structure!$A:$AJ,AA$1,0)*15,0))</f>
        <v>15</v>
      </c>
      <c r="AB69" s="13">
        <f>SUM(IFERROR(VLOOKUP($C:$C,Structure!$A:$AJ,AB$1,0)*15,0),IFERROR(VLOOKUP($D:$D,Structure!$A:$AJ,AB$1,0)*15,0),IFERROR(VLOOKUP($E:$E,Structure!$A:$AJ,AB$1,0)*15,0))</f>
        <v>15</v>
      </c>
      <c r="AC69" s="13">
        <f>SUM(IFERROR(VLOOKUP($C:$C,Structure!$A:$AJ,AC$1,0)*15,0),IFERROR(VLOOKUP($D:$D,Structure!$A:$AJ,AC$1,0)*15,0),IFERROR(VLOOKUP($E:$E,Structure!$A:$AJ,AC$1,0)*15,0))</f>
        <v>15</v>
      </c>
      <c r="AD69" s="13">
        <f>SUM(IFERROR(VLOOKUP($C:$C,Structure!$A:$AJ,AD$1,0)*15,0),IFERROR(VLOOKUP($D:$D,Structure!$A:$AJ,AD$1,0)*15,0),IFERROR(VLOOKUP($E:$E,Structure!$A:$AJ,AD$1,0)*15,0))</f>
        <v>0</v>
      </c>
      <c r="AE69" s="13">
        <f>SUM(IFERROR(VLOOKUP($C:$C,Structure!$A:$AJ,AE$1,0)*15,0),IFERROR(VLOOKUP($D:$D,Structure!$A:$AJ,AE$1,0)*15,0),IFERROR(VLOOKUP($E:$E,Structure!$A:$AJ,AE$1,0)*15,0))</f>
        <v>0</v>
      </c>
      <c r="AF69" s="13">
        <f>SUM(IFERROR(VLOOKUP($C:$C,Structure!$A:$AJ,AF$1,0)*15,0),IFERROR(VLOOKUP($D:$D,Structure!$A:$AJ,AF$1,0)*15,0),IFERROR(VLOOKUP($E:$E,Structure!$A:$AJ,AF$1,0)*15,0))</f>
        <v>15</v>
      </c>
      <c r="AG69" s="13">
        <f>SUM(IFERROR(VLOOKUP($C:$C,Structure!$A:$AJ,AG$1,0)*15,0),IFERROR(VLOOKUP($D:$D,Structure!$A:$AJ,AG$1,0)*15,0),IFERROR(VLOOKUP($E:$E,Structure!$A:$AJ,AG$1,0)*15,0))</f>
        <v>0</v>
      </c>
      <c r="AH69" s="13">
        <f>SUM(IFERROR(VLOOKUP($C:$C,Structure!$A:$AJ,AH$1,0)*15,0),IFERROR(VLOOKUP($D:$D,Structure!$A:$AJ,AH$1,0)*15,0),IFERROR(VLOOKUP($E:$E,Structure!$A:$AJ,AH$1,0)*15,0))</f>
        <v>0</v>
      </c>
      <c r="AI69" s="13">
        <f>SUM(IFERROR(VLOOKUP($C:$C,Structure!$A:$AJ,AI$1,0)*15,0),IFERROR(VLOOKUP($D:$D,Structure!$A:$AJ,AI$1,0)*15,0),IFERROR(VLOOKUP($E:$E,Structure!$A:$AJ,AI$1,0)*15,0))</f>
        <v>0</v>
      </c>
      <c r="AJ69" s="13">
        <f>SUM(IFERROR(VLOOKUP($C:$C,Structure!$A:$AJ,AJ$1,0)*15,0),IFERROR(VLOOKUP($D:$D,Structure!$A:$AJ,AJ$1,0)*15,0),IFERROR(VLOOKUP($E:$E,Structure!$A:$AJ,AJ$1,0)*15,0))</f>
        <v>15</v>
      </c>
      <c r="AK69" s="13">
        <f>SUM(IFERROR(VLOOKUP($C:$C,Structure!$A:$AJ,AK$1,0)*15,0),IFERROR(VLOOKUP($D:$D,Structure!$A:$AJ,AK$1,0)*15,0),IFERROR(VLOOKUP($E:$E,Structure!$A:$AJ,AK$1,0)*15,0))</f>
        <v>0</v>
      </c>
      <c r="AL69" s="13">
        <f>SUM(IFERROR(VLOOKUP($C:$C,Structure!$A:$AJ,AL$1,0)*15,0),IFERROR(VLOOKUP($D:$D,Structure!$A:$AJ,AL$1,0)*15,0),IFERROR(VLOOKUP($E:$E,Structure!$A:$AJ,AL$1,0)*15,0))</f>
        <v>0</v>
      </c>
      <c r="AM69" s="13">
        <f>SUM(IFERROR(VLOOKUP($C:$C,Structure!$A:$AJ,AM$1,0)*15,0),IFERROR(VLOOKUP($D:$D,Structure!$A:$AJ,AM$1,0)*15,0),IFERROR(VLOOKUP($E:$E,Structure!$A:$AJ,AM$1,0)*15,0))</f>
        <v>15</v>
      </c>
      <c r="AN69" s="13">
        <f>SUM(IFERROR(VLOOKUP($C:$C,Structure!$A:$AJ,AN$1,0)*15,0),IFERROR(VLOOKUP($D:$D,Structure!$A:$AJ,AN$1,0)*15,0),IFERROR(VLOOKUP($E:$E,Structure!$A:$AJ,AN$1,0)*15,0))</f>
        <v>0</v>
      </c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3"/>
      <c r="BZ69" s="4">
        <f>BZ68+AQ69-F69</f>
        <v>0</v>
      </c>
      <c r="CA69" s="4">
        <f>CA68+AR69-G69</f>
        <v>0</v>
      </c>
      <c r="CB69" s="4">
        <f>CB68+AS69-H69</f>
        <v>0</v>
      </c>
      <c r="CC69" s="4">
        <f>CC68+AT69-I69</f>
        <v>0</v>
      </c>
      <c r="CD69" s="4">
        <f>CD68+AU69-J69</f>
        <v>0</v>
      </c>
      <c r="CE69" s="4">
        <f>CE68+AV69-K69</f>
        <v>0</v>
      </c>
      <c r="CF69" s="4">
        <f>CF68+AW69-L69</f>
        <v>0</v>
      </c>
      <c r="CG69" s="4">
        <f>CG68+AX69-M69</f>
        <v>0</v>
      </c>
      <c r="CH69" s="4">
        <f>CH68+AY69-N69</f>
        <v>0</v>
      </c>
      <c r="CI69" s="4">
        <f>CI68+AZ69-O69</f>
        <v>0</v>
      </c>
      <c r="CJ69" s="4">
        <f>CJ68+BA69-P69</f>
        <v>0</v>
      </c>
      <c r="CK69" s="4">
        <f>CK68+BB69-Q69</f>
        <v>0</v>
      </c>
      <c r="CL69" s="4">
        <f>CL68+BC69-R69</f>
        <v>0</v>
      </c>
      <c r="CM69" s="4">
        <f>CM68+BD69-S69</f>
        <v>0</v>
      </c>
      <c r="CN69" s="4">
        <f>CN68+BE69-T69</f>
        <v>0</v>
      </c>
      <c r="CO69" s="4">
        <f>CO68+BF69-U69</f>
        <v>0</v>
      </c>
      <c r="CP69" s="4">
        <f>CP68+BG69-V69</f>
        <v>0</v>
      </c>
      <c r="CQ69" s="4">
        <f>CQ68+BH69-W69</f>
        <v>0</v>
      </c>
      <c r="CR69" s="4">
        <f>CR68+BI69-X69</f>
        <v>0</v>
      </c>
      <c r="CS69" s="4">
        <f>CS68+BJ69-Y69</f>
        <v>0</v>
      </c>
      <c r="CT69" s="4">
        <f>CT68+BK69-Z69</f>
        <v>0</v>
      </c>
      <c r="CU69" s="4">
        <f>CU68+BL69-AA69</f>
        <v>-2570</v>
      </c>
      <c r="CV69" s="4">
        <f>CV68+BM69-AB69</f>
        <v>-180</v>
      </c>
      <c r="CW69" s="4">
        <f>CW68+BN69-AC69</f>
        <v>-165</v>
      </c>
      <c r="CX69" s="4">
        <f>CX68+BO69-AD69</f>
        <v>0</v>
      </c>
      <c r="CY69" s="4">
        <f>CY68+BP69-AE69</f>
        <v>0</v>
      </c>
      <c r="CZ69" s="4">
        <f>CZ68+BQ69-AF69</f>
        <v>-100</v>
      </c>
      <c r="DA69" s="4">
        <f>DA68+BR69-AG69</f>
        <v>0</v>
      </c>
      <c r="DB69" s="4">
        <f>DB68+BS69-AH69</f>
        <v>0</v>
      </c>
      <c r="DC69" s="4">
        <f>DC68+BT69-AI69</f>
        <v>0</v>
      </c>
      <c r="DD69" s="4">
        <f>DD68+BU69-AJ69</f>
        <v>-1855</v>
      </c>
      <c r="DE69" s="4">
        <f>DE68+BV69-AK69</f>
        <v>-735</v>
      </c>
      <c r="DF69" s="4">
        <f>DF68+BW69-AL69</f>
        <v>0</v>
      </c>
      <c r="DG69" s="4">
        <f>DG68+BX69-AM69</f>
        <v>-145</v>
      </c>
      <c r="DH69" s="4">
        <f>DH68+BY69-AN69</f>
        <v>0</v>
      </c>
    </row>
    <row r="70" spans="1:112" x14ac:dyDescent="0.25">
      <c r="A70" s="6">
        <v>46182</v>
      </c>
      <c r="B70" s="7">
        <v>0.12499999983992893</v>
      </c>
      <c r="C70" s="3" t="s">
        <v>2</v>
      </c>
      <c r="D70" s="3" t="s">
        <v>76</v>
      </c>
      <c r="E70" s="3" t="s">
        <v>86</v>
      </c>
      <c r="F70" s="13">
        <f>SUM(IFERROR(VLOOKUP($C:$C,Structure!$A:$AJ,F$1,0)*15,0),IFERROR(VLOOKUP($D:$D,Structure!$A:$AJ,F$1,0)*15,0),IFERROR(VLOOKUP($E:$E,Structure!$A:$AJ,F$1,0)*15,0))</f>
        <v>0</v>
      </c>
      <c r="G70" s="13">
        <f>SUM(IFERROR(VLOOKUP($C:$C,Structure!$A:$AJ,G$1,0)*15,0),IFERROR(VLOOKUP($D:$D,Structure!$A:$AJ,G$1,0)*15,0),IFERROR(VLOOKUP($E:$E,Structure!$A:$AJ,G$1,0)*15,0))</f>
        <v>0</v>
      </c>
      <c r="H70" s="13">
        <f>SUM(IFERROR(VLOOKUP($C:$C,Structure!$A:$AJ,H$1,0)*15,0),IFERROR(VLOOKUP($D:$D,Structure!$A:$AJ,H$1,0)*15,0),IFERROR(VLOOKUP($E:$E,Structure!$A:$AJ,H$1,0)*15,0))</f>
        <v>0</v>
      </c>
      <c r="I70" s="13">
        <f>SUM(IFERROR(VLOOKUP($C:$C,Structure!$A:$AJ,I$1,0)*15,0),IFERROR(VLOOKUP($D:$D,Structure!$A:$AJ,I$1,0)*15,0),IFERROR(VLOOKUP($E:$E,Structure!$A:$AJ,I$1,0)*15,0))</f>
        <v>0</v>
      </c>
      <c r="J70" s="13">
        <f>SUM(IFERROR(VLOOKUP($C:$C,Structure!$A:$AJ,J$1,0)*15,0),IFERROR(VLOOKUP($D:$D,Structure!$A:$AJ,J$1,0)*15,0),IFERROR(VLOOKUP($E:$E,Structure!$A:$AJ,J$1,0)*15,0))</f>
        <v>0</v>
      </c>
      <c r="K70" s="13">
        <f>SUM(IFERROR(VLOOKUP($C:$C,Structure!$A:$AJ,K$1,0)*15,0),IFERROR(VLOOKUP($D:$D,Structure!$A:$AJ,K$1,0)*15,0),IFERROR(VLOOKUP($E:$E,Structure!$A:$AJ,K$1,0)*15,0))</f>
        <v>0</v>
      </c>
      <c r="L70" s="13">
        <f>SUM(IFERROR(VLOOKUP($C:$C,Structure!$A:$AJ,L$1,0)*15,0),IFERROR(VLOOKUP($D:$D,Structure!$A:$AJ,L$1,0)*15,0),IFERROR(VLOOKUP($E:$E,Structure!$A:$AJ,L$1,0)*15,0))</f>
        <v>0</v>
      </c>
      <c r="M70" s="13">
        <f>SUM(IFERROR(VLOOKUP($C:$C,Structure!$A:$AJ,M$1,0)*15,0),IFERROR(VLOOKUP($D:$D,Structure!$A:$AJ,M$1,0)*15,0),IFERROR(VLOOKUP($E:$E,Structure!$A:$AJ,M$1,0)*15,0))</f>
        <v>0</v>
      </c>
      <c r="N70" s="13">
        <f>SUM(IFERROR(VLOOKUP($C:$C,Structure!$A:$AJ,N$1,0)*15,0),IFERROR(VLOOKUP($D:$D,Structure!$A:$AJ,N$1,0)*15,0),IFERROR(VLOOKUP($E:$E,Structure!$A:$AJ,N$1,0)*15,0))</f>
        <v>0</v>
      </c>
      <c r="O70" s="13">
        <f>SUM(IFERROR(VLOOKUP($C:$C,Structure!$A:$AJ,O$1,0)*15,0),IFERROR(VLOOKUP($D:$D,Structure!$A:$AJ,O$1,0)*15,0),IFERROR(VLOOKUP($E:$E,Structure!$A:$AJ,O$1,0)*15,0))</f>
        <v>0</v>
      </c>
      <c r="P70" s="13">
        <f>SUM(IFERROR(VLOOKUP($C:$C,Structure!$A:$AJ,P$1,0)*15,0),IFERROR(VLOOKUP($D:$D,Structure!$A:$AJ,P$1,0)*15,0),IFERROR(VLOOKUP($E:$E,Structure!$A:$AJ,P$1,0)*15,0))</f>
        <v>0</v>
      </c>
      <c r="Q70" s="13">
        <f>SUM(IFERROR(VLOOKUP($C:$C,Structure!$A:$AJ,Q$1,0)*15,0),IFERROR(VLOOKUP($D:$D,Structure!$A:$AJ,Q$1,0)*15,0),IFERROR(VLOOKUP($E:$E,Structure!$A:$AJ,Q$1,0)*15,0))</f>
        <v>0</v>
      </c>
      <c r="R70" s="13">
        <f>SUM(IFERROR(VLOOKUP($C:$C,Structure!$A:$AJ,R$1,0)*15,0),IFERROR(VLOOKUP($D:$D,Structure!$A:$AJ,R$1,0)*15,0),IFERROR(VLOOKUP($E:$E,Structure!$A:$AJ,R$1,0)*15,0))</f>
        <v>0</v>
      </c>
      <c r="S70" s="13">
        <f>SUM(IFERROR(VLOOKUP($C:$C,Structure!$A:$AJ,S$1,0)*15,0),IFERROR(VLOOKUP($D:$D,Structure!$A:$AJ,S$1,0)*15,0),IFERROR(VLOOKUP($E:$E,Structure!$A:$AJ,S$1,0)*15,0))</f>
        <v>0</v>
      </c>
      <c r="T70" s="13">
        <f>SUM(IFERROR(VLOOKUP($C:$C,Structure!$A:$AJ,T$1,0)*15,0),IFERROR(VLOOKUP($D:$D,Structure!$A:$AJ,T$1,0)*15,0),IFERROR(VLOOKUP($E:$E,Structure!$A:$AJ,T$1,0)*15,0))</f>
        <v>0</v>
      </c>
      <c r="U70" s="13">
        <f>SUM(IFERROR(VLOOKUP($C:$C,Structure!$A:$AJ,U$1,0)*15,0),IFERROR(VLOOKUP($D:$D,Structure!$A:$AJ,U$1,0)*15,0),IFERROR(VLOOKUP($E:$E,Structure!$A:$AJ,U$1,0)*15,0))</f>
        <v>0</v>
      </c>
      <c r="V70" s="13">
        <f>SUM(IFERROR(VLOOKUP($C:$C,Structure!$A:$AJ,V$1,0)*15,0),IFERROR(VLOOKUP($D:$D,Structure!$A:$AJ,V$1,0)*15,0),IFERROR(VLOOKUP($E:$E,Structure!$A:$AJ,V$1,0)*15,0))</f>
        <v>0</v>
      </c>
      <c r="W70" s="13">
        <f>SUM(IFERROR(VLOOKUP($C:$C,Structure!$A:$AJ,W$1,0)*15,0),IFERROR(VLOOKUP($D:$D,Structure!$A:$AJ,W$1,0)*15,0),IFERROR(VLOOKUP($E:$E,Structure!$A:$AJ,W$1,0)*15,0))</f>
        <v>0</v>
      </c>
      <c r="X70" s="13">
        <f>SUM(IFERROR(VLOOKUP($C:$C,Structure!$A:$AJ,X$1,0)*15,0),IFERROR(VLOOKUP($D:$D,Structure!$A:$AJ,X$1,0)*15,0),IFERROR(VLOOKUP($E:$E,Structure!$A:$AJ,X$1,0)*15,0))</f>
        <v>0</v>
      </c>
      <c r="Y70" s="13">
        <f>SUM(IFERROR(VLOOKUP($C:$C,Structure!$A:$AJ,Y$1,0)*15,0),IFERROR(VLOOKUP($D:$D,Structure!$A:$AJ,Y$1,0)*15,0),IFERROR(VLOOKUP($E:$E,Structure!$A:$AJ,Y$1,0)*15,0))</f>
        <v>0</v>
      </c>
      <c r="Z70" s="13">
        <f>SUM(IFERROR(VLOOKUP($C:$C,Structure!$A:$AJ,Z$1,0)*15,0),IFERROR(VLOOKUP($D:$D,Structure!$A:$AJ,Z$1,0)*15,0),IFERROR(VLOOKUP($E:$E,Structure!$A:$AJ,Z$1,0)*15,0))</f>
        <v>0</v>
      </c>
      <c r="AA70" s="13">
        <f>SUM(IFERROR(VLOOKUP($C:$C,Structure!$A:$AJ,AA$1,0)*15,0),IFERROR(VLOOKUP($D:$D,Structure!$A:$AJ,AA$1,0)*15,0),IFERROR(VLOOKUP($E:$E,Structure!$A:$AJ,AA$1,0)*15,0))</f>
        <v>30</v>
      </c>
      <c r="AB70" s="13">
        <f>SUM(IFERROR(VLOOKUP($C:$C,Structure!$A:$AJ,AB$1,0)*15,0),IFERROR(VLOOKUP($D:$D,Structure!$A:$AJ,AB$1,0)*15,0),IFERROR(VLOOKUP($E:$E,Structure!$A:$AJ,AB$1,0)*15,0))</f>
        <v>0</v>
      </c>
      <c r="AC70" s="13">
        <f>SUM(IFERROR(VLOOKUP($C:$C,Structure!$A:$AJ,AC$1,0)*15,0),IFERROR(VLOOKUP($D:$D,Structure!$A:$AJ,AC$1,0)*15,0),IFERROR(VLOOKUP($E:$E,Structure!$A:$AJ,AC$1,0)*15,0))</f>
        <v>15</v>
      </c>
      <c r="AD70" s="13">
        <f>SUM(IFERROR(VLOOKUP($C:$C,Structure!$A:$AJ,AD$1,0)*15,0),IFERROR(VLOOKUP($D:$D,Structure!$A:$AJ,AD$1,0)*15,0),IFERROR(VLOOKUP($E:$E,Structure!$A:$AJ,AD$1,0)*15,0))</f>
        <v>0</v>
      </c>
      <c r="AE70" s="13">
        <f>SUM(IFERROR(VLOOKUP($C:$C,Structure!$A:$AJ,AE$1,0)*15,0),IFERROR(VLOOKUP($D:$D,Structure!$A:$AJ,AE$1,0)*15,0),IFERROR(VLOOKUP($E:$E,Structure!$A:$AJ,AE$1,0)*15,0))</f>
        <v>0</v>
      </c>
      <c r="AF70" s="13">
        <f>SUM(IFERROR(VLOOKUP($C:$C,Structure!$A:$AJ,AF$1,0)*15,0),IFERROR(VLOOKUP($D:$D,Structure!$A:$AJ,AF$1,0)*15,0),IFERROR(VLOOKUP($E:$E,Structure!$A:$AJ,AF$1,0)*15,0))</f>
        <v>0</v>
      </c>
      <c r="AG70" s="13">
        <f>SUM(IFERROR(VLOOKUP($C:$C,Structure!$A:$AJ,AG$1,0)*15,0),IFERROR(VLOOKUP($D:$D,Structure!$A:$AJ,AG$1,0)*15,0),IFERROR(VLOOKUP($E:$E,Structure!$A:$AJ,AG$1,0)*15,0))</f>
        <v>0</v>
      </c>
      <c r="AH70" s="13">
        <f>SUM(IFERROR(VLOOKUP($C:$C,Structure!$A:$AJ,AH$1,0)*15,0),IFERROR(VLOOKUP($D:$D,Structure!$A:$AJ,AH$1,0)*15,0),IFERROR(VLOOKUP($E:$E,Structure!$A:$AJ,AH$1,0)*15,0))</f>
        <v>0</v>
      </c>
      <c r="AI70" s="13">
        <f>SUM(IFERROR(VLOOKUP($C:$C,Structure!$A:$AJ,AI$1,0)*15,0),IFERROR(VLOOKUP($D:$D,Structure!$A:$AJ,AI$1,0)*15,0),IFERROR(VLOOKUP($E:$E,Structure!$A:$AJ,AI$1,0)*15,0))</f>
        <v>0</v>
      </c>
      <c r="AJ70" s="13">
        <f>SUM(IFERROR(VLOOKUP($C:$C,Structure!$A:$AJ,AJ$1,0)*15,0),IFERROR(VLOOKUP($D:$D,Structure!$A:$AJ,AJ$1,0)*15,0),IFERROR(VLOOKUP($E:$E,Structure!$A:$AJ,AJ$1,0)*15,0))</f>
        <v>15</v>
      </c>
      <c r="AK70" s="13">
        <f>SUM(IFERROR(VLOOKUP($C:$C,Structure!$A:$AJ,AK$1,0)*15,0),IFERROR(VLOOKUP($D:$D,Structure!$A:$AJ,AK$1,0)*15,0),IFERROR(VLOOKUP($E:$E,Structure!$A:$AJ,AK$1,0)*15,0))</f>
        <v>15</v>
      </c>
      <c r="AL70" s="13">
        <f>SUM(IFERROR(VLOOKUP($C:$C,Structure!$A:$AJ,AL$1,0)*15,0),IFERROR(VLOOKUP($D:$D,Structure!$A:$AJ,AL$1,0)*15,0),IFERROR(VLOOKUP($E:$E,Structure!$A:$AJ,AL$1,0)*15,0))</f>
        <v>0</v>
      </c>
      <c r="AM70" s="13">
        <f>SUM(IFERROR(VLOOKUP($C:$C,Structure!$A:$AJ,AM$1,0)*15,0),IFERROR(VLOOKUP($D:$D,Structure!$A:$AJ,AM$1,0)*15,0),IFERROR(VLOOKUP($E:$E,Structure!$A:$AJ,AM$1,0)*15,0))</f>
        <v>15</v>
      </c>
      <c r="AN70" s="13">
        <f>SUM(IFERROR(VLOOKUP($C:$C,Structure!$A:$AJ,AN$1,0)*15,0),IFERROR(VLOOKUP($D:$D,Structure!$A:$AJ,AN$1,0)*15,0),IFERROR(VLOOKUP($E:$E,Structure!$A:$AJ,AN$1,0)*15,0))</f>
        <v>0</v>
      </c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3"/>
      <c r="BZ70" s="4">
        <f>BZ69+AQ70-F70</f>
        <v>0</v>
      </c>
      <c r="CA70" s="4">
        <f>CA69+AR70-G70</f>
        <v>0</v>
      </c>
      <c r="CB70" s="4">
        <f>CB69+AS70-H70</f>
        <v>0</v>
      </c>
      <c r="CC70" s="4">
        <f>CC69+AT70-I70</f>
        <v>0</v>
      </c>
      <c r="CD70" s="4">
        <f>CD69+AU70-J70</f>
        <v>0</v>
      </c>
      <c r="CE70" s="4">
        <f>CE69+AV70-K70</f>
        <v>0</v>
      </c>
      <c r="CF70" s="4">
        <f>CF69+AW70-L70</f>
        <v>0</v>
      </c>
      <c r="CG70" s="4">
        <f>CG69+AX70-M70</f>
        <v>0</v>
      </c>
      <c r="CH70" s="4">
        <f>CH69+AY70-N70</f>
        <v>0</v>
      </c>
      <c r="CI70" s="4">
        <f>CI69+AZ70-O70</f>
        <v>0</v>
      </c>
      <c r="CJ70" s="4">
        <f>CJ69+BA70-P70</f>
        <v>0</v>
      </c>
      <c r="CK70" s="4">
        <f>CK69+BB70-Q70</f>
        <v>0</v>
      </c>
      <c r="CL70" s="4">
        <f>CL69+BC70-R70</f>
        <v>0</v>
      </c>
      <c r="CM70" s="4">
        <f>CM69+BD70-S70</f>
        <v>0</v>
      </c>
      <c r="CN70" s="4">
        <f>CN69+BE70-T70</f>
        <v>0</v>
      </c>
      <c r="CO70" s="4">
        <f>CO69+BF70-U70</f>
        <v>0</v>
      </c>
      <c r="CP70" s="4">
        <f>CP69+BG70-V70</f>
        <v>0</v>
      </c>
      <c r="CQ70" s="4">
        <f>CQ69+BH70-W70</f>
        <v>0</v>
      </c>
      <c r="CR70" s="4">
        <f>CR69+BI70-X70</f>
        <v>0</v>
      </c>
      <c r="CS70" s="4">
        <f>CS69+BJ70-Y70</f>
        <v>0</v>
      </c>
      <c r="CT70" s="4">
        <f>CT69+BK70-Z70</f>
        <v>0</v>
      </c>
      <c r="CU70" s="4">
        <f>CU69+BL70-AA70</f>
        <v>-2600</v>
      </c>
      <c r="CV70" s="4">
        <f>CV69+BM70-AB70</f>
        <v>-180</v>
      </c>
      <c r="CW70" s="4">
        <f>CW69+BN70-AC70</f>
        <v>-180</v>
      </c>
      <c r="CX70" s="4">
        <f>CX69+BO70-AD70</f>
        <v>0</v>
      </c>
      <c r="CY70" s="4">
        <f>CY69+BP70-AE70</f>
        <v>0</v>
      </c>
      <c r="CZ70" s="4">
        <f>CZ69+BQ70-AF70</f>
        <v>-100</v>
      </c>
      <c r="DA70" s="4">
        <f>DA69+BR70-AG70</f>
        <v>0</v>
      </c>
      <c r="DB70" s="4">
        <f>DB69+BS70-AH70</f>
        <v>0</v>
      </c>
      <c r="DC70" s="4">
        <f>DC69+BT70-AI70</f>
        <v>0</v>
      </c>
      <c r="DD70" s="4">
        <f>DD69+BU70-AJ70</f>
        <v>-1870</v>
      </c>
      <c r="DE70" s="4">
        <f>DE69+BV70-AK70</f>
        <v>-750</v>
      </c>
      <c r="DF70" s="4">
        <f>DF69+BW70-AL70</f>
        <v>0</v>
      </c>
      <c r="DG70" s="4">
        <f>DG69+BX70-AM70</f>
        <v>-160</v>
      </c>
      <c r="DH70" s="4">
        <f>DH69+BY70-AN70</f>
        <v>0</v>
      </c>
    </row>
    <row r="71" spans="1:112" x14ac:dyDescent="0.25">
      <c r="A71" s="6">
        <v>46182</v>
      </c>
      <c r="B71" s="7">
        <v>0.16666666650417028</v>
      </c>
      <c r="C71" s="3" t="s">
        <v>2</v>
      </c>
      <c r="D71" s="3" t="s">
        <v>76</v>
      </c>
      <c r="E71" s="3" t="s">
        <v>86</v>
      </c>
      <c r="F71" s="13">
        <f>SUM(IFERROR(VLOOKUP($C:$C,Structure!$A:$AJ,F$1,0)*15,0),IFERROR(VLOOKUP($D:$D,Structure!$A:$AJ,F$1,0)*15,0),IFERROR(VLOOKUP($E:$E,Structure!$A:$AJ,F$1,0)*15,0))</f>
        <v>0</v>
      </c>
      <c r="G71" s="13">
        <f>SUM(IFERROR(VLOOKUP($C:$C,Structure!$A:$AJ,G$1,0)*15,0),IFERROR(VLOOKUP($D:$D,Structure!$A:$AJ,G$1,0)*15,0),IFERROR(VLOOKUP($E:$E,Structure!$A:$AJ,G$1,0)*15,0))</f>
        <v>0</v>
      </c>
      <c r="H71" s="13">
        <f>SUM(IFERROR(VLOOKUP($C:$C,Structure!$A:$AJ,H$1,0)*15,0),IFERROR(VLOOKUP($D:$D,Structure!$A:$AJ,H$1,0)*15,0),IFERROR(VLOOKUP($E:$E,Structure!$A:$AJ,H$1,0)*15,0))</f>
        <v>0</v>
      </c>
      <c r="I71" s="13">
        <f>SUM(IFERROR(VLOOKUP($C:$C,Structure!$A:$AJ,I$1,0)*15,0),IFERROR(VLOOKUP($D:$D,Structure!$A:$AJ,I$1,0)*15,0),IFERROR(VLOOKUP($E:$E,Structure!$A:$AJ,I$1,0)*15,0))</f>
        <v>0</v>
      </c>
      <c r="J71" s="13">
        <f>SUM(IFERROR(VLOOKUP($C:$C,Structure!$A:$AJ,J$1,0)*15,0),IFERROR(VLOOKUP($D:$D,Structure!$A:$AJ,J$1,0)*15,0),IFERROR(VLOOKUP($E:$E,Structure!$A:$AJ,J$1,0)*15,0))</f>
        <v>0</v>
      </c>
      <c r="K71" s="13">
        <f>SUM(IFERROR(VLOOKUP($C:$C,Structure!$A:$AJ,K$1,0)*15,0),IFERROR(VLOOKUP($D:$D,Structure!$A:$AJ,K$1,0)*15,0),IFERROR(VLOOKUP($E:$E,Structure!$A:$AJ,K$1,0)*15,0))</f>
        <v>0</v>
      </c>
      <c r="L71" s="13">
        <f>SUM(IFERROR(VLOOKUP($C:$C,Structure!$A:$AJ,L$1,0)*15,0),IFERROR(VLOOKUP($D:$D,Structure!$A:$AJ,L$1,0)*15,0),IFERROR(VLOOKUP($E:$E,Structure!$A:$AJ,L$1,0)*15,0))</f>
        <v>0</v>
      </c>
      <c r="M71" s="13">
        <f>SUM(IFERROR(VLOOKUP($C:$C,Structure!$A:$AJ,M$1,0)*15,0),IFERROR(VLOOKUP($D:$D,Structure!$A:$AJ,M$1,0)*15,0),IFERROR(VLOOKUP($E:$E,Structure!$A:$AJ,M$1,0)*15,0))</f>
        <v>0</v>
      </c>
      <c r="N71" s="13">
        <f>SUM(IFERROR(VLOOKUP($C:$C,Structure!$A:$AJ,N$1,0)*15,0),IFERROR(VLOOKUP($D:$D,Structure!$A:$AJ,N$1,0)*15,0),IFERROR(VLOOKUP($E:$E,Structure!$A:$AJ,N$1,0)*15,0))</f>
        <v>0</v>
      </c>
      <c r="O71" s="13">
        <f>SUM(IFERROR(VLOOKUP($C:$C,Structure!$A:$AJ,O$1,0)*15,0),IFERROR(VLOOKUP($D:$D,Structure!$A:$AJ,O$1,0)*15,0),IFERROR(VLOOKUP($E:$E,Structure!$A:$AJ,O$1,0)*15,0))</f>
        <v>0</v>
      </c>
      <c r="P71" s="13">
        <f>SUM(IFERROR(VLOOKUP($C:$C,Structure!$A:$AJ,P$1,0)*15,0),IFERROR(VLOOKUP($D:$D,Structure!$A:$AJ,P$1,0)*15,0),IFERROR(VLOOKUP($E:$E,Structure!$A:$AJ,P$1,0)*15,0))</f>
        <v>0</v>
      </c>
      <c r="Q71" s="13">
        <f>SUM(IFERROR(VLOOKUP($C:$C,Structure!$A:$AJ,Q$1,0)*15,0),IFERROR(VLOOKUP($D:$D,Structure!$A:$AJ,Q$1,0)*15,0),IFERROR(VLOOKUP($E:$E,Structure!$A:$AJ,Q$1,0)*15,0))</f>
        <v>0</v>
      </c>
      <c r="R71" s="13">
        <f>SUM(IFERROR(VLOOKUP($C:$C,Structure!$A:$AJ,R$1,0)*15,0),IFERROR(VLOOKUP($D:$D,Structure!$A:$AJ,R$1,0)*15,0),IFERROR(VLOOKUP($E:$E,Structure!$A:$AJ,R$1,0)*15,0))</f>
        <v>0</v>
      </c>
      <c r="S71" s="13">
        <f>SUM(IFERROR(VLOOKUP($C:$C,Structure!$A:$AJ,S$1,0)*15,0),IFERROR(VLOOKUP($D:$D,Structure!$A:$AJ,S$1,0)*15,0),IFERROR(VLOOKUP($E:$E,Structure!$A:$AJ,S$1,0)*15,0))</f>
        <v>0</v>
      </c>
      <c r="T71" s="13">
        <f>SUM(IFERROR(VLOOKUP($C:$C,Structure!$A:$AJ,T$1,0)*15,0),IFERROR(VLOOKUP($D:$D,Structure!$A:$AJ,T$1,0)*15,0),IFERROR(VLOOKUP($E:$E,Structure!$A:$AJ,T$1,0)*15,0))</f>
        <v>0</v>
      </c>
      <c r="U71" s="13">
        <f>SUM(IFERROR(VLOOKUP($C:$C,Structure!$A:$AJ,U$1,0)*15,0),IFERROR(VLOOKUP($D:$D,Structure!$A:$AJ,U$1,0)*15,0),IFERROR(VLOOKUP($E:$E,Structure!$A:$AJ,U$1,0)*15,0))</f>
        <v>0</v>
      </c>
      <c r="V71" s="13">
        <f>SUM(IFERROR(VLOOKUP($C:$C,Structure!$A:$AJ,V$1,0)*15,0),IFERROR(VLOOKUP($D:$D,Structure!$A:$AJ,V$1,0)*15,0),IFERROR(VLOOKUP($E:$E,Structure!$A:$AJ,V$1,0)*15,0))</f>
        <v>0</v>
      </c>
      <c r="W71" s="13">
        <f>SUM(IFERROR(VLOOKUP($C:$C,Structure!$A:$AJ,W$1,0)*15,0),IFERROR(VLOOKUP($D:$D,Structure!$A:$AJ,W$1,0)*15,0),IFERROR(VLOOKUP($E:$E,Structure!$A:$AJ,W$1,0)*15,0))</f>
        <v>0</v>
      </c>
      <c r="X71" s="13">
        <f>SUM(IFERROR(VLOOKUP($C:$C,Structure!$A:$AJ,X$1,0)*15,0),IFERROR(VLOOKUP($D:$D,Structure!$A:$AJ,X$1,0)*15,0),IFERROR(VLOOKUP($E:$E,Structure!$A:$AJ,X$1,0)*15,0))</f>
        <v>0</v>
      </c>
      <c r="Y71" s="13">
        <f>SUM(IFERROR(VLOOKUP($C:$C,Structure!$A:$AJ,Y$1,0)*15,0),IFERROR(VLOOKUP($D:$D,Structure!$A:$AJ,Y$1,0)*15,0),IFERROR(VLOOKUP($E:$E,Structure!$A:$AJ,Y$1,0)*15,0))</f>
        <v>0</v>
      </c>
      <c r="Z71" s="13">
        <f>SUM(IFERROR(VLOOKUP($C:$C,Structure!$A:$AJ,Z$1,0)*15,0),IFERROR(VLOOKUP($D:$D,Structure!$A:$AJ,Z$1,0)*15,0),IFERROR(VLOOKUP($E:$E,Structure!$A:$AJ,Z$1,0)*15,0))</f>
        <v>0</v>
      </c>
      <c r="AA71" s="13">
        <f>SUM(IFERROR(VLOOKUP($C:$C,Structure!$A:$AJ,AA$1,0)*15,0),IFERROR(VLOOKUP($D:$D,Structure!$A:$AJ,AA$1,0)*15,0),IFERROR(VLOOKUP($E:$E,Structure!$A:$AJ,AA$1,0)*15,0))</f>
        <v>30</v>
      </c>
      <c r="AB71" s="13">
        <f>SUM(IFERROR(VLOOKUP($C:$C,Structure!$A:$AJ,AB$1,0)*15,0),IFERROR(VLOOKUP($D:$D,Structure!$A:$AJ,AB$1,0)*15,0),IFERROR(VLOOKUP($E:$E,Structure!$A:$AJ,AB$1,0)*15,0))</f>
        <v>0</v>
      </c>
      <c r="AC71" s="13">
        <f>SUM(IFERROR(VLOOKUP($C:$C,Structure!$A:$AJ,AC$1,0)*15,0),IFERROR(VLOOKUP($D:$D,Structure!$A:$AJ,AC$1,0)*15,0),IFERROR(VLOOKUP($E:$E,Structure!$A:$AJ,AC$1,0)*15,0))</f>
        <v>15</v>
      </c>
      <c r="AD71" s="13">
        <f>SUM(IFERROR(VLOOKUP($C:$C,Structure!$A:$AJ,AD$1,0)*15,0),IFERROR(VLOOKUP($D:$D,Structure!$A:$AJ,AD$1,0)*15,0),IFERROR(VLOOKUP($E:$E,Structure!$A:$AJ,AD$1,0)*15,0))</f>
        <v>0</v>
      </c>
      <c r="AE71" s="13">
        <f>SUM(IFERROR(VLOOKUP($C:$C,Structure!$A:$AJ,AE$1,0)*15,0),IFERROR(VLOOKUP($D:$D,Structure!$A:$AJ,AE$1,0)*15,0),IFERROR(VLOOKUP($E:$E,Structure!$A:$AJ,AE$1,0)*15,0))</f>
        <v>0</v>
      </c>
      <c r="AF71" s="13">
        <f>SUM(IFERROR(VLOOKUP($C:$C,Structure!$A:$AJ,AF$1,0)*15,0),IFERROR(VLOOKUP($D:$D,Structure!$A:$AJ,AF$1,0)*15,0),IFERROR(VLOOKUP($E:$E,Structure!$A:$AJ,AF$1,0)*15,0))</f>
        <v>0</v>
      </c>
      <c r="AG71" s="13">
        <f>SUM(IFERROR(VLOOKUP($C:$C,Structure!$A:$AJ,AG$1,0)*15,0),IFERROR(VLOOKUP($D:$D,Structure!$A:$AJ,AG$1,0)*15,0),IFERROR(VLOOKUP($E:$E,Structure!$A:$AJ,AG$1,0)*15,0))</f>
        <v>0</v>
      </c>
      <c r="AH71" s="13">
        <f>SUM(IFERROR(VLOOKUP($C:$C,Structure!$A:$AJ,AH$1,0)*15,0),IFERROR(VLOOKUP($D:$D,Structure!$A:$AJ,AH$1,0)*15,0),IFERROR(VLOOKUP($E:$E,Structure!$A:$AJ,AH$1,0)*15,0))</f>
        <v>0</v>
      </c>
      <c r="AI71" s="13">
        <f>SUM(IFERROR(VLOOKUP($C:$C,Structure!$A:$AJ,AI$1,0)*15,0),IFERROR(VLOOKUP($D:$D,Structure!$A:$AJ,AI$1,0)*15,0),IFERROR(VLOOKUP($E:$E,Structure!$A:$AJ,AI$1,0)*15,0))</f>
        <v>0</v>
      </c>
      <c r="AJ71" s="13">
        <f>SUM(IFERROR(VLOOKUP($C:$C,Structure!$A:$AJ,AJ$1,0)*15,0),IFERROR(VLOOKUP($D:$D,Structure!$A:$AJ,AJ$1,0)*15,0),IFERROR(VLOOKUP($E:$E,Structure!$A:$AJ,AJ$1,0)*15,0))</f>
        <v>15</v>
      </c>
      <c r="AK71" s="13">
        <f>SUM(IFERROR(VLOOKUP($C:$C,Structure!$A:$AJ,AK$1,0)*15,0),IFERROR(VLOOKUP($D:$D,Structure!$A:$AJ,AK$1,0)*15,0),IFERROR(VLOOKUP($E:$E,Structure!$A:$AJ,AK$1,0)*15,0))</f>
        <v>15</v>
      </c>
      <c r="AL71" s="13">
        <f>SUM(IFERROR(VLOOKUP($C:$C,Structure!$A:$AJ,AL$1,0)*15,0),IFERROR(VLOOKUP($D:$D,Structure!$A:$AJ,AL$1,0)*15,0),IFERROR(VLOOKUP($E:$E,Structure!$A:$AJ,AL$1,0)*15,0))</f>
        <v>0</v>
      </c>
      <c r="AM71" s="13">
        <f>SUM(IFERROR(VLOOKUP($C:$C,Structure!$A:$AJ,AM$1,0)*15,0),IFERROR(VLOOKUP($D:$D,Structure!$A:$AJ,AM$1,0)*15,0),IFERROR(VLOOKUP($E:$E,Structure!$A:$AJ,AM$1,0)*15,0))</f>
        <v>15</v>
      </c>
      <c r="AN71" s="13">
        <f>SUM(IFERROR(VLOOKUP($C:$C,Structure!$A:$AJ,AN$1,0)*15,0),IFERROR(VLOOKUP($D:$D,Structure!$A:$AJ,AN$1,0)*15,0),IFERROR(VLOOKUP($E:$E,Structure!$A:$AJ,AN$1,0)*15,0))</f>
        <v>0</v>
      </c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3"/>
      <c r="BZ71" s="4">
        <f>BZ70+AQ71-F71</f>
        <v>0</v>
      </c>
      <c r="CA71" s="4">
        <f>CA70+AR71-G71</f>
        <v>0</v>
      </c>
      <c r="CB71" s="4">
        <f>CB70+AS71-H71</f>
        <v>0</v>
      </c>
      <c r="CC71" s="4">
        <f>CC70+AT71-I71</f>
        <v>0</v>
      </c>
      <c r="CD71" s="4">
        <f>CD70+AU71-J71</f>
        <v>0</v>
      </c>
      <c r="CE71" s="4">
        <f>CE70+AV71-K71</f>
        <v>0</v>
      </c>
      <c r="CF71" s="4">
        <f>CF70+AW71-L71</f>
        <v>0</v>
      </c>
      <c r="CG71" s="4">
        <f>CG70+AX71-M71</f>
        <v>0</v>
      </c>
      <c r="CH71" s="4">
        <f>CH70+AY71-N71</f>
        <v>0</v>
      </c>
      <c r="CI71" s="4">
        <f>CI70+AZ71-O71</f>
        <v>0</v>
      </c>
      <c r="CJ71" s="4">
        <f>CJ70+BA71-P71</f>
        <v>0</v>
      </c>
      <c r="CK71" s="4">
        <f>CK70+BB71-Q71</f>
        <v>0</v>
      </c>
      <c r="CL71" s="4">
        <f>CL70+BC71-R71</f>
        <v>0</v>
      </c>
      <c r="CM71" s="4">
        <f>CM70+BD71-S71</f>
        <v>0</v>
      </c>
      <c r="CN71" s="4">
        <f>CN70+BE71-T71</f>
        <v>0</v>
      </c>
      <c r="CO71" s="4">
        <f>CO70+BF71-U71</f>
        <v>0</v>
      </c>
      <c r="CP71" s="4">
        <f>CP70+BG71-V71</f>
        <v>0</v>
      </c>
      <c r="CQ71" s="4">
        <f>CQ70+BH71-W71</f>
        <v>0</v>
      </c>
      <c r="CR71" s="4">
        <f>CR70+BI71-X71</f>
        <v>0</v>
      </c>
      <c r="CS71" s="4">
        <f>CS70+BJ71-Y71</f>
        <v>0</v>
      </c>
      <c r="CT71" s="4">
        <f>CT70+BK71-Z71</f>
        <v>0</v>
      </c>
      <c r="CU71" s="4">
        <f>CU70+BL71-AA71</f>
        <v>-2630</v>
      </c>
      <c r="CV71" s="4">
        <f>CV70+BM71-AB71</f>
        <v>-180</v>
      </c>
      <c r="CW71" s="4">
        <f>CW70+BN71-AC71</f>
        <v>-195</v>
      </c>
      <c r="CX71" s="4">
        <f>CX70+BO71-AD71</f>
        <v>0</v>
      </c>
      <c r="CY71" s="4">
        <f>CY70+BP71-AE71</f>
        <v>0</v>
      </c>
      <c r="CZ71" s="4">
        <f>CZ70+BQ71-AF71</f>
        <v>-100</v>
      </c>
      <c r="DA71" s="4">
        <f>DA70+BR71-AG71</f>
        <v>0</v>
      </c>
      <c r="DB71" s="4">
        <f>DB70+BS71-AH71</f>
        <v>0</v>
      </c>
      <c r="DC71" s="4">
        <f>DC70+BT71-AI71</f>
        <v>0</v>
      </c>
      <c r="DD71" s="4">
        <f>DD70+BU71-AJ71</f>
        <v>-1885</v>
      </c>
      <c r="DE71" s="4">
        <f>DE70+BV71-AK71</f>
        <v>-765</v>
      </c>
      <c r="DF71" s="4">
        <f>DF70+BW71-AL71</f>
        <v>0</v>
      </c>
      <c r="DG71" s="4">
        <f>DG70+BX71-AM71</f>
        <v>-175</v>
      </c>
      <c r="DH71" s="4">
        <f>DH70+BY71-AN71</f>
        <v>0</v>
      </c>
    </row>
    <row r="72" spans="1:112" x14ac:dyDescent="0.25">
      <c r="A72" s="6">
        <v>46182</v>
      </c>
      <c r="B72" s="7">
        <v>0.20833333316841163</v>
      </c>
      <c r="C72" s="3" t="s">
        <v>2</v>
      </c>
      <c r="D72" s="3" t="s">
        <v>10</v>
      </c>
      <c r="E72" s="3" t="s">
        <v>2</v>
      </c>
      <c r="F72" s="13">
        <f>SUM(IFERROR(VLOOKUP($C:$C,Structure!$A:$AJ,F$1,0)*15,0),IFERROR(VLOOKUP($D:$D,Structure!$A:$AJ,F$1,0)*15,0),IFERROR(VLOOKUP($E:$E,Structure!$A:$AJ,F$1,0)*15,0))</f>
        <v>0</v>
      </c>
      <c r="G72" s="13">
        <f>SUM(IFERROR(VLOOKUP($C:$C,Structure!$A:$AJ,G$1,0)*15,0),IFERROR(VLOOKUP($D:$D,Structure!$A:$AJ,G$1,0)*15,0),IFERROR(VLOOKUP($E:$E,Structure!$A:$AJ,G$1,0)*15,0))</f>
        <v>0</v>
      </c>
      <c r="H72" s="13">
        <f>SUM(IFERROR(VLOOKUP($C:$C,Structure!$A:$AJ,H$1,0)*15,0),IFERROR(VLOOKUP($D:$D,Structure!$A:$AJ,H$1,0)*15,0),IFERROR(VLOOKUP($E:$E,Structure!$A:$AJ,H$1,0)*15,0))</f>
        <v>0</v>
      </c>
      <c r="I72" s="13">
        <f>SUM(IFERROR(VLOOKUP($C:$C,Structure!$A:$AJ,I$1,0)*15,0),IFERROR(VLOOKUP($D:$D,Structure!$A:$AJ,I$1,0)*15,0),IFERROR(VLOOKUP($E:$E,Structure!$A:$AJ,I$1,0)*15,0))</f>
        <v>0</v>
      </c>
      <c r="J72" s="13">
        <f>SUM(IFERROR(VLOOKUP($C:$C,Structure!$A:$AJ,J$1,0)*15,0),IFERROR(VLOOKUP($D:$D,Structure!$A:$AJ,J$1,0)*15,0),IFERROR(VLOOKUP($E:$E,Structure!$A:$AJ,J$1,0)*15,0))</f>
        <v>0</v>
      </c>
      <c r="K72" s="13">
        <f>SUM(IFERROR(VLOOKUP($C:$C,Structure!$A:$AJ,K$1,0)*15,0),IFERROR(VLOOKUP($D:$D,Structure!$A:$AJ,K$1,0)*15,0),IFERROR(VLOOKUP($E:$E,Structure!$A:$AJ,K$1,0)*15,0))</f>
        <v>0</v>
      </c>
      <c r="L72" s="13">
        <f>SUM(IFERROR(VLOOKUP($C:$C,Structure!$A:$AJ,L$1,0)*15,0),IFERROR(VLOOKUP($D:$D,Structure!$A:$AJ,L$1,0)*15,0),IFERROR(VLOOKUP($E:$E,Structure!$A:$AJ,L$1,0)*15,0))</f>
        <v>0</v>
      </c>
      <c r="M72" s="13">
        <f>SUM(IFERROR(VLOOKUP($C:$C,Structure!$A:$AJ,M$1,0)*15,0),IFERROR(VLOOKUP($D:$D,Structure!$A:$AJ,M$1,0)*15,0),IFERROR(VLOOKUP($E:$E,Structure!$A:$AJ,M$1,0)*15,0))</f>
        <v>0</v>
      </c>
      <c r="N72" s="13">
        <f>SUM(IFERROR(VLOOKUP($C:$C,Structure!$A:$AJ,N$1,0)*15,0),IFERROR(VLOOKUP($D:$D,Structure!$A:$AJ,N$1,0)*15,0),IFERROR(VLOOKUP($E:$E,Structure!$A:$AJ,N$1,0)*15,0))</f>
        <v>0</v>
      </c>
      <c r="O72" s="13">
        <f>SUM(IFERROR(VLOOKUP($C:$C,Structure!$A:$AJ,O$1,0)*15,0),IFERROR(VLOOKUP($D:$D,Structure!$A:$AJ,O$1,0)*15,0),IFERROR(VLOOKUP($E:$E,Structure!$A:$AJ,O$1,0)*15,0))</f>
        <v>0</v>
      </c>
      <c r="P72" s="13">
        <f>SUM(IFERROR(VLOOKUP($C:$C,Structure!$A:$AJ,P$1,0)*15,0),IFERROR(VLOOKUP($D:$D,Structure!$A:$AJ,P$1,0)*15,0),IFERROR(VLOOKUP($E:$E,Structure!$A:$AJ,P$1,0)*15,0))</f>
        <v>0</v>
      </c>
      <c r="Q72" s="13">
        <f>SUM(IFERROR(VLOOKUP($C:$C,Structure!$A:$AJ,Q$1,0)*15,0),IFERROR(VLOOKUP($D:$D,Structure!$A:$AJ,Q$1,0)*15,0),IFERROR(VLOOKUP($E:$E,Structure!$A:$AJ,Q$1,0)*15,0))</f>
        <v>0</v>
      </c>
      <c r="R72" s="13">
        <f>SUM(IFERROR(VLOOKUP($C:$C,Structure!$A:$AJ,R$1,0)*15,0),IFERROR(VLOOKUP($D:$D,Structure!$A:$AJ,R$1,0)*15,0),IFERROR(VLOOKUP($E:$E,Structure!$A:$AJ,R$1,0)*15,0))</f>
        <v>0</v>
      </c>
      <c r="S72" s="13">
        <f>SUM(IFERROR(VLOOKUP($C:$C,Structure!$A:$AJ,S$1,0)*15,0),IFERROR(VLOOKUP($D:$D,Structure!$A:$AJ,S$1,0)*15,0),IFERROR(VLOOKUP($E:$E,Structure!$A:$AJ,S$1,0)*15,0))</f>
        <v>0</v>
      </c>
      <c r="T72" s="13">
        <f>SUM(IFERROR(VLOOKUP($C:$C,Structure!$A:$AJ,T$1,0)*15,0),IFERROR(VLOOKUP($D:$D,Structure!$A:$AJ,T$1,0)*15,0),IFERROR(VLOOKUP($E:$E,Structure!$A:$AJ,T$1,0)*15,0))</f>
        <v>0</v>
      </c>
      <c r="U72" s="13">
        <f>SUM(IFERROR(VLOOKUP($C:$C,Structure!$A:$AJ,U$1,0)*15,0),IFERROR(VLOOKUP($D:$D,Structure!$A:$AJ,U$1,0)*15,0),IFERROR(VLOOKUP($E:$E,Structure!$A:$AJ,U$1,0)*15,0))</f>
        <v>0</v>
      </c>
      <c r="V72" s="13">
        <f>SUM(IFERROR(VLOOKUP($C:$C,Structure!$A:$AJ,V$1,0)*15,0),IFERROR(VLOOKUP($D:$D,Structure!$A:$AJ,V$1,0)*15,0),IFERROR(VLOOKUP($E:$E,Structure!$A:$AJ,V$1,0)*15,0))</f>
        <v>0</v>
      </c>
      <c r="W72" s="13">
        <f>SUM(IFERROR(VLOOKUP($C:$C,Structure!$A:$AJ,W$1,0)*15,0),IFERROR(VLOOKUP($D:$D,Structure!$A:$AJ,W$1,0)*15,0),IFERROR(VLOOKUP($E:$E,Structure!$A:$AJ,W$1,0)*15,0))</f>
        <v>0</v>
      </c>
      <c r="X72" s="13">
        <f>SUM(IFERROR(VLOOKUP($C:$C,Structure!$A:$AJ,X$1,0)*15,0),IFERROR(VLOOKUP($D:$D,Structure!$A:$AJ,X$1,0)*15,0),IFERROR(VLOOKUP($E:$E,Structure!$A:$AJ,X$1,0)*15,0))</f>
        <v>0</v>
      </c>
      <c r="Y72" s="13">
        <f>SUM(IFERROR(VLOOKUP($C:$C,Structure!$A:$AJ,Y$1,0)*15,0),IFERROR(VLOOKUP($D:$D,Structure!$A:$AJ,Y$1,0)*15,0),IFERROR(VLOOKUP($E:$E,Structure!$A:$AJ,Y$1,0)*15,0))</f>
        <v>0</v>
      </c>
      <c r="Z72" s="13">
        <f>SUM(IFERROR(VLOOKUP($C:$C,Structure!$A:$AJ,Z$1,0)*15,0),IFERROR(VLOOKUP($D:$D,Structure!$A:$AJ,Z$1,0)*15,0),IFERROR(VLOOKUP($E:$E,Structure!$A:$AJ,Z$1,0)*15,0))</f>
        <v>0</v>
      </c>
      <c r="AA72" s="13">
        <f>SUM(IFERROR(VLOOKUP($C:$C,Structure!$A:$AJ,AA$1,0)*15,0),IFERROR(VLOOKUP($D:$D,Structure!$A:$AJ,AA$1,0)*15,0),IFERROR(VLOOKUP($E:$E,Structure!$A:$AJ,AA$1,0)*15,0))</f>
        <v>30</v>
      </c>
      <c r="AB72" s="13">
        <f>SUM(IFERROR(VLOOKUP($C:$C,Structure!$A:$AJ,AB$1,0)*15,0),IFERROR(VLOOKUP($D:$D,Structure!$A:$AJ,AB$1,0)*15,0),IFERROR(VLOOKUP($E:$E,Structure!$A:$AJ,AB$1,0)*15,0))</f>
        <v>15</v>
      </c>
      <c r="AC72" s="13">
        <f>SUM(IFERROR(VLOOKUP($C:$C,Structure!$A:$AJ,AC$1,0)*15,0),IFERROR(VLOOKUP($D:$D,Structure!$A:$AJ,AC$1,0)*15,0),IFERROR(VLOOKUP($E:$E,Structure!$A:$AJ,AC$1,0)*15,0))</f>
        <v>0</v>
      </c>
      <c r="AD72" s="13">
        <f>SUM(IFERROR(VLOOKUP($C:$C,Structure!$A:$AJ,AD$1,0)*15,0),IFERROR(VLOOKUP($D:$D,Structure!$A:$AJ,AD$1,0)*15,0),IFERROR(VLOOKUP($E:$E,Structure!$A:$AJ,AD$1,0)*15,0))</f>
        <v>0</v>
      </c>
      <c r="AE72" s="13">
        <f>SUM(IFERROR(VLOOKUP($C:$C,Structure!$A:$AJ,AE$1,0)*15,0),IFERROR(VLOOKUP($D:$D,Structure!$A:$AJ,AE$1,0)*15,0),IFERROR(VLOOKUP($E:$E,Structure!$A:$AJ,AE$1,0)*15,0))</f>
        <v>0</v>
      </c>
      <c r="AF72" s="13">
        <f>SUM(IFERROR(VLOOKUP($C:$C,Structure!$A:$AJ,AF$1,0)*15,0),IFERROR(VLOOKUP($D:$D,Structure!$A:$AJ,AF$1,0)*15,0),IFERROR(VLOOKUP($E:$E,Structure!$A:$AJ,AF$1,0)*15,0))</f>
        <v>15</v>
      </c>
      <c r="AG72" s="13">
        <f>SUM(IFERROR(VLOOKUP($C:$C,Structure!$A:$AJ,AG$1,0)*15,0),IFERROR(VLOOKUP($D:$D,Structure!$A:$AJ,AG$1,0)*15,0),IFERROR(VLOOKUP($E:$E,Structure!$A:$AJ,AG$1,0)*15,0))</f>
        <v>0</v>
      </c>
      <c r="AH72" s="13">
        <f>SUM(IFERROR(VLOOKUP($C:$C,Structure!$A:$AJ,AH$1,0)*15,0),IFERROR(VLOOKUP($D:$D,Structure!$A:$AJ,AH$1,0)*15,0),IFERROR(VLOOKUP($E:$E,Structure!$A:$AJ,AH$1,0)*15,0))</f>
        <v>0</v>
      </c>
      <c r="AI72" s="13">
        <f>SUM(IFERROR(VLOOKUP($C:$C,Structure!$A:$AJ,AI$1,0)*15,0),IFERROR(VLOOKUP($D:$D,Structure!$A:$AJ,AI$1,0)*15,0),IFERROR(VLOOKUP($E:$E,Structure!$A:$AJ,AI$1,0)*15,0))</f>
        <v>0</v>
      </c>
      <c r="AJ72" s="13">
        <f>SUM(IFERROR(VLOOKUP($C:$C,Structure!$A:$AJ,AJ$1,0)*15,0),IFERROR(VLOOKUP($D:$D,Structure!$A:$AJ,AJ$1,0)*15,0),IFERROR(VLOOKUP($E:$E,Structure!$A:$AJ,AJ$1,0)*15,0))</f>
        <v>30</v>
      </c>
      <c r="AK72" s="13">
        <f>SUM(IFERROR(VLOOKUP($C:$C,Structure!$A:$AJ,AK$1,0)*15,0),IFERROR(VLOOKUP($D:$D,Structure!$A:$AJ,AK$1,0)*15,0),IFERROR(VLOOKUP($E:$E,Structure!$A:$AJ,AK$1,0)*15,0))</f>
        <v>0</v>
      </c>
      <c r="AL72" s="13">
        <f>SUM(IFERROR(VLOOKUP($C:$C,Structure!$A:$AJ,AL$1,0)*15,0),IFERROR(VLOOKUP($D:$D,Structure!$A:$AJ,AL$1,0)*15,0),IFERROR(VLOOKUP($E:$E,Structure!$A:$AJ,AL$1,0)*15,0))</f>
        <v>0</v>
      </c>
      <c r="AM72" s="13">
        <f>SUM(IFERROR(VLOOKUP($C:$C,Structure!$A:$AJ,AM$1,0)*15,0),IFERROR(VLOOKUP($D:$D,Structure!$A:$AJ,AM$1,0)*15,0),IFERROR(VLOOKUP($E:$E,Structure!$A:$AJ,AM$1,0)*15,0))</f>
        <v>0</v>
      </c>
      <c r="AN72" s="13">
        <f>SUM(IFERROR(VLOOKUP($C:$C,Structure!$A:$AJ,AN$1,0)*15,0),IFERROR(VLOOKUP($D:$D,Structure!$A:$AJ,AN$1,0)*15,0),IFERROR(VLOOKUP($E:$E,Structure!$A:$AJ,AN$1,0)*15,0))</f>
        <v>0</v>
      </c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3"/>
      <c r="BZ72" s="4">
        <f>BZ71+AQ72-F72</f>
        <v>0</v>
      </c>
      <c r="CA72" s="4">
        <f>CA71+AR72-G72</f>
        <v>0</v>
      </c>
      <c r="CB72" s="4">
        <f>CB71+AS72-H72</f>
        <v>0</v>
      </c>
      <c r="CC72" s="4">
        <f>CC71+AT72-I72</f>
        <v>0</v>
      </c>
      <c r="CD72" s="4">
        <f>CD71+AU72-J72</f>
        <v>0</v>
      </c>
      <c r="CE72" s="4">
        <f>CE71+AV72-K72</f>
        <v>0</v>
      </c>
      <c r="CF72" s="4">
        <f>CF71+AW72-L72</f>
        <v>0</v>
      </c>
      <c r="CG72" s="4">
        <f>CG71+AX72-M72</f>
        <v>0</v>
      </c>
      <c r="CH72" s="4">
        <f>CH71+AY72-N72</f>
        <v>0</v>
      </c>
      <c r="CI72" s="4">
        <f>CI71+AZ72-O72</f>
        <v>0</v>
      </c>
      <c r="CJ72" s="4">
        <f>CJ71+BA72-P72</f>
        <v>0</v>
      </c>
      <c r="CK72" s="4">
        <f>CK71+BB72-Q72</f>
        <v>0</v>
      </c>
      <c r="CL72" s="4">
        <f>CL71+BC72-R72</f>
        <v>0</v>
      </c>
      <c r="CM72" s="4">
        <f>CM71+BD72-S72</f>
        <v>0</v>
      </c>
      <c r="CN72" s="4">
        <f>CN71+BE72-T72</f>
        <v>0</v>
      </c>
      <c r="CO72" s="4">
        <f>CO71+BF72-U72</f>
        <v>0</v>
      </c>
      <c r="CP72" s="4">
        <f>CP71+BG72-V72</f>
        <v>0</v>
      </c>
      <c r="CQ72" s="4">
        <f>CQ71+BH72-W72</f>
        <v>0</v>
      </c>
      <c r="CR72" s="4">
        <f>CR71+BI72-X72</f>
        <v>0</v>
      </c>
      <c r="CS72" s="4">
        <f>CS71+BJ72-Y72</f>
        <v>0</v>
      </c>
      <c r="CT72" s="4">
        <f>CT71+BK72-Z72</f>
        <v>0</v>
      </c>
      <c r="CU72" s="4">
        <f>CU71+BL72-AA72</f>
        <v>-2660</v>
      </c>
      <c r="CV72" s="4">
        <f>CV71+BM72-AB72</f>
        <v>-195</v>
      </c>
      <c r="CW72" s="4">
        <f>CW71+BN72-AC72</f>
        <v>-195</v>
      </c>
      <c r="CX72" s="4">
        <f>CX71+BO72-AD72</f>
        <v>0</v>
      </c>
      <c r="CY72" s="4">
        <f>CY71+BP72-AE72</f>
        <v>0</v>
      </c>
      <c r="CZ72" s="4">
        <f>CZ71+BQ72-AF72</f>
        <v>-115</v>
      </c>
      <c r="DA72" s="4">
        <f>DA71+BR72-AG72</f>
        <v>0</v>
      </c>
      <c r="DB72" s="4">
        <f>DB71+BS72-AH72</f>
        <v>0</v>
      </c>
      <c r="DC72" s="4">
        <f>DC71+BT72-AI72</f>
        <v>0</v>
      </c>
      <c r="DD72" s="4">
        <f>DD71+BU72-AJ72</f>
        <v>-1915</v>
      </c>
      <c r="DE72" s="4">
        <f>DE71+BV72-AK72</f>
        <v>-765</v>
      </c>
      <c r="DF72" s="4">
        <f>DF71+BW72-AL72</f>
        <v>0</v>
      </c>
      <c r="DG72" s="4">
        <f>DG71+BX72-AM72</f>
        <v>-175</v>
      </c>
      <c r="DH72" s="4">
        <f>DH71+BY72-AN72</f>
        <v>0</v>
      </c>
    </row>
    <row r="73" spans="1:112" x14ac:dyDescent="0.25">
      <c r="A73" s="6">
        <v>46182</v>
      </c>
      <c r="B73" s="7">
        <v>0.24999999983265297</v>
      </c>
      <c r="C73" s="3" t="s">
        <v>3</v>
      </c>
      <c r="D73" s="3" t="s">
        <v>10</v>
      </c>
      <c r="E73" s="3" t="s">
        <v>2</v>
      </c>
      <c r="F73" s="13">
        <f>SUM(IFERROR(VLOOKUP($C:$C,Structure!$A:$AJ,F$1,0)*15,0),IFERROR(VLOOKUP($D:$D,Structure!$A:$AJ,F$1,0)*15,0),IFERROR(VLOOKUP($E:$E,Structure!$A:$AJ,F$1,0)*15,0))</f>
        <v>0</v>
      </c>
      <c r="G73" s="13">
        <f>SUM(IFERROR(VLOOKUP($C:$C,Structure!$A:$AJ,G$1,0)*15,0),IFERROR(VLOOKUP($D:$D,Structure!$A:$AJ,G$1,0)*15,0),IFERROR(VLOOKUP($E:$E,Structure!$A:$AJ,G$1,0)*15,0))</f>
        <v>0</v>
      </c>
      <c r="H73" s="13">
        <f>SUM(IFERROR(VLOOKUP($C:$C,Structure!$A:$AJ,H$1,0)*15,0),IFERROR(VLOOKUP($D:$D,Structure!$A:$AJ,H$1,0)*15,0),IFERROR(VLOOKUP($E:$E,Structure!$A:$AJ,H$1,0)*15,0))</f>
        <v>0</v>
      </c>
      <c r="I73" s="13">
        <f>SUM(IFERROR(VLOOKUP($C:$C,Structure!$A:$AJ,I$1,0)*15,0),IFERROR(VLOOKUP($D:$D,Structure!$A:$AJ,I$1,0)*15,0),IFERROR(VLOOKUP($E:$E,Structure!$A:$AJ,I$1,0)*15,0))</f>
        <v>0</v>
      </c>
      <c r="J73" s="13">
        <f>SUM(IFERROR(VLOOKUP($C:$C,Structure!$A:$AJ,J$1,0)*15,0),IFERROR(VLOOKUP($D:$D,Structure!$A:$AJ,J$1,0)*15,0),IFERROR(VLOOKUP($E:$E,Structure!$A:$AJ,J$1,0)*15,0))</f>
        <v>0</v>
      </c>
      <c r="K73" s="13">
        <f>SUM(IFERROR(VLOOKUP($C:$C,Structure!$A:$AJ,K$1,0)*15,0),IFERROR(VLOOKUP($D:$D,Structure!$A:$AJ,K$1,0)*15,0),IFERROR(VLOOKUP($E:$E,Structure!$A:$AJ,K$1,0)*15,0))</f>
        <v>0</v>
      </c>
      <c r="L73" s="13">
        <f>SUM(IFERROR(VLOOKUP($C:$C,Structure!$A:$AJ,L$1,0)*15,0),IFERROR(VLOOKUP($D:$D,Structure!$A:$AJ,L$1,0)*15,0),IFERROR(VLOOKUP($E:$E,Structure!$A:$AJ,L$1,0)*15,0))</f>
        <v>0</v>
      </c>
      <c r="M73" s="13">
        <f>SUM(IFERROR(VLOOKUP($C:$C,Structure!$A:$AJ,M$1,0)*15,0),IFERROR(VLOOKUP($D:$D,Structure!$A:$AJ,M$1,0)*15,0),IFERROR(VLOOKUP($E:$E,Structure!$A:$AJ,M$1,0)*15,0))</f>
        <v>0</v>
      </c>
      <c r="N73" s="13">
        <f>SUM(IFERROR(VLOOKUP($C:$C,Structure!$A:$AJ,N$1,0)*15,0),IFERROR(VLOOKUP($D:$D,Structure!$A:$AJ,N$1,0)*15,0),IFERROR(VLOOKUP($E:$E,Structure!$A:$AJ,N$1,0)*15,0))</f>
        <v>0</v>
      </c>
      <c r="O73" s="13">
        <f>SUM(IFERROR(VLOOKUP($C:$C,Structure!$A:$AJ,O$1,0)*15,0),IFERROR(VLOOKUP($D:$D,Structure!$A:$AJ,O$1,0)*15,0),IFERROR(VLOOKUP($E:$E,Structure!$A:$AJ,O$1,0)*15,0))</f>
        <v>0</v>
      </c>
      <c r="P73" s="13">
        <f>SUM(IFERROR(VLOOKUP($C:$C,Structure!$A:$AJ,P$1,0)*15,0),IFERROR(VLOOKUP($D:$D,Structure!$A:$AJ,P$1,0)*15,0),IFERROR(VLOOKUP($E:$E,Structure!$A:$AJ,P$1,0)*15,0))</f>
        <v>0</v>
      </c>
      <c r="Q73" s="13">
        <f>SUM(IFERROR(VLOOKUP($C:$C,Structure!$A:$AJ,Q$1,0)*15,0),IFERROR(VLOOKUP($D:$D,Structure!$A:$AJ,Q$1,0)*15,0),IFERROR(VLOOKUP($E:$E,Structure!$A:$AJ,Q$1,0)*15,0))</f>
        <v>0</v>
      </c>
      <c r="R73" s="13">
        <f>SUM(IFERROR(VLOOKUP($C:$C,Structure!$A:$AJ,R$1,0)*15,0),IFERROR(VLOOKUP($D:$D,Structure!$A:$AJ,R$1,0)*15,0),IFERROR(VLOOKUP($E:$E,Structure!$A:$AJ,R$1,0)*15,0))</f>
        <v>0</v>
      </c>
      <c r="S73" s="13">
        <f>SUM(IFERROR(VLOOKUP($C:$C,Structure!$A:$AJ,S$1,0)*15,0),IFERROR(VLOOKUP($D:$D,Structure!$A:$AJ,S$1,0)*15,0),IFERROR(VLOOKUP($E:$E,Structure!$A:$AJ,S$1,0)*15,0))</f>
        <v>0</v>
      </c>
      <c r="T73" s="13">
        <f>SUM(IFERROR(VLOOKUP($C:$C,Structure!$A:$AJ,T$1,0)*15,0),IFERROR(VLOOKUP($D:$D,Structure!$A:$AJ,T$1,0)*15,0),IFERROR(VLOOKUP($E:$E,Structure!$A:$AJ,T$1,0)*15,0))</f>
        <v>0</v>
      </c>
      <c r="U73" s="13">
        <f>SUM(IFERROR(VLOOKUP($C:$C,Structure!$A:$AJ,U$1,0)*15,0),IFERROR(VLOOKUP($D:$D,Structure!$A:$AJ,U$1,0)*15,0),IFERROR(VLOOKUP($E:$E,Structure!$A:$AJ,U$1,0)*15,0))</f>
        <v>0</v>
      </c>
      <c r="V73" s="13">
        <f>SUM(IFERROR(VLOOKUP($C:$C,Structure!$A:$AJ,V$1,0)*15,0),IFERROR(VLOOKUP($D:$D,Structure!$A:$AJ,V$1,0)*15,0),IFERROR(VLOOKUP($E:$E,Structure!$A:$AJ,V$1,0)*15,0))</f>
        <v>0</v>
      </c>
      <c r="W73" s="13">
        <f>SUM(IFERROR(VLOOKUP($C:$C,Structure!$A:$AJ,W$1,0)*15,0),IFERROR(VLOOKUP($D:$D,Structure!$A:$AJ,W$1,0)*15,0),IFERROR(VLOOKUP($E:$E,Structure!$A:$AJ,W$1,0)*15,0))</f>
        <v>0</v>
      </c>
      <c r="X73" s="13">
        <f>SUM(IFERROR(VLOOKUP($C:$C,Structure!$A:$AJ,X$1,0)*15,0),IFERROR(VLOOKUP($D:$D,Structure!$A:$AJ,X$1,0)*15,0),IFERROR(VLOOKUP($E:$E,Structure!$A:$AJ,X$1,0)*15,0))</f>
        <v>0</v>
      </c>
      <c r="Y73" s="13">
        <f>SUM(IFERROR(VLOOKUP($C:$C,Structure!$A:$AJ,Y$1,0)*15,0),IFERROR(VLOOKUP($D:$D,Structure!$A:$AJ,Y$1,0)*15,0),IFERROR(VLOOKUP($E:$E,Structure!$A:$AJ,Y$1,0)*15,0))</f>
        <v>0</v>
      </c>
      <c r="Z73" s="13">
        <f>SUM(IFERROR(VLOOKUP($C:$C,Structure!$A:$AJ,Z$1,0)*15,0),IFERROR(VLOOKUP($D:$D,Structure!$A:$AJ,Z$1,0)*15,0),IFERROR(VLOOKUP($E:$E,Structure!$A:$AJ,Z$1,0)*15,0))</f>
        <v>0</v>
      </c>
      <c r="AA73" s="13">
        <f>SUM(IFERROR(VLOOKUP($C:$C,Structure!$A:$AJ,AA$1,0)*15,0),IFERROR(VLOOKUP($D:$D,Structure!$A:$AJ,AA$1,0)*15,0),IFERROR(VLOOKUP($E:$E,Structure!$A:$AJ,AA$1,0)*15,0))</f>
        <v>30</v>
      </c>
      <c r="AB73" s="13">
        <f>SUM(IFERROR(VLOOKUP($C:$C,Structure!$A:$AJ,AB$1,0)*15,0),IFERROR(VLOOKUP($D:$D,Structure!$A:$AJ,AB$1,0)*15,0),IFERROR(VLOOKUP($E:$E,Structure!$A:$AJ,AB$1,0)*15,0))</f>
        <v>15</v>
      </c>
      <c r="AC73" s="13">
        <f>SUM(IFERROR(VLOOKUP($C:$C,Structure!$A:$AJ,AC$1,0)*15,0),IFERROR(VLOOKUP($D:$D,Structure!$A:$AJ,AC$1,0)*15,0),IFERROR(VLOOKUP($E:$E,Structure!$A:$AJ,AC$1,0)*15,0))</f>
        <v>0</v>
      </c>
      <c r="AD73" s="13">
        <f>SUM(IFERROR(VLOOKUP($C:$C,Structure!$A:$AJ,AD$1,0)*15,0),IFERROR(VLOOKUP($D:$D,Structure!$A:$AJ,AD$1,0)*15,0),IFERROR(VLOOKUP($E:$E,Structure!$A:$AJ,AD$1,0)*15,0))</f>
        <v>0</v>
      </c>
      <c r="AE73" s="13">
        <f>SUM(IFERROR(VLOOKUP($C:$C,Structure!$A:$AJ,AE$1,0)*15,0),IFERROR(VLOOKUP($D:$D,Structure!$A:$AJ,AE$1,0)*15,0),IFERROR(VLOOKUP($E:$E,Structure!$A:$AJ,AE$1,0)*15,0))</f>
        <v>0</v>
      </c>
      <c r="AF73" s="13">
        <f>SUM(IFERROR(VLOOKUP($C:$C,Structure!$A:$AJ,AF$1,0)*15,0),IFERROR(VLOOKUP($D:$D,Structure!$A:$AJ,AF$1,0)*15,0),IFERROR(VLOOKUP($E:$E,Structure!$A:$AJ,AF$1,0)*15,0))</f>
        <v>15</v>
      </c>
      <c r="AG73" s="13">
        <f>SUM(IFERROR(VLOOKUP($C:$C,Structure!$A:$AJ,AG$1,0)*15,0),IFERROR(VLOOKUP($D:$D,Structure!$A:$AJ,AG$1,0)*15,0),IFERROR(VLOOKUP($E:$E,Structure!$A:$AJ,AG$1,0)*15,0))</f>
        <v>0</v>
      </c>
      <c r="AH73" s="13">
        <f>SUM(IFERROR(VLOOKUP($C:$C,Structure!$A:$AJ,AH$1,0)*15,0),IFERROR(VLOOKUP($D:$D,Structure!$A:$AJ,AH$1,0)*15,0),IFERROR(VLOOKUP($E:$E,Structure!$A:$AJ,AH$1,0)*15,0))</f>
        <v>0</v>
      </c>
      <c r="AI73" s="13">
        <f>SUM(IFERROR(VLOOKUP($C:$C,Structure!$A:$AJ,AI$1,0)*15,0),IFERROR(VLOOKUP($D:$D,Structure!$A:$AJ,AI$1,0)*15,0),IFERROR(VLOOKUP($E:$E,Structure!$A:$AJ,AI$1,0)*15,0))</f>
        <v>0</v>
      </c>
      <c r="AJ73" s="13">
        <f>SUM(IFERROR(VLOOKUP($C:$C,Structure!$A:$AJ,AJ$1,0)*15,0),IFERROR(VLOOKUP($D:$D,Structure!$A:$AJ,AJ$1,0)*15,0),IFERROR(VLOOKUP($E:$E,Structure!$A:$AJ,AJ$1,0)*15,0))</f>
        <v>15</v>
      </c>
      <c r="AK73" s="13">
        <f>SUM(IFERROR(VLOOKUP($C:$C,Structure!$A:$AJ,AK$1,0)*15,0),IFERROR(VLOOKUP($D:$D,Structure!$A:$AJ,AK$1,0)*15,0),IFERROR(VLOOKUP($E:$E,Structure!$A:$AJ,AK$1,0)*15,0))</f>
        <v>15</v>
      </c>
      <c r="AL73" s="13">
        <f>SUM(IFERROR(VLOOKUP($C:$C,Structure!$A:$AJ,AL$1,0)*15,0),IFERROR(VLOOKUP($D:$D,Structure!$A:$AJ,AL$1,0)*15,0),IFERROR(VLOOKUP($E:$E,Structure!$A:$AJ,AL$1,0)*15,0))</f>
        <v>0</v>
      </c>
      <c r="AM73" s="13">
        <f>SUM(IFERROR(VLOOKUP($C:$C,Structure!$A:$AJ,AM$1,0)*15,0),IFERROR(VLOOKUP($D:$D,Structure!$A:$AJ,AM$1,0)*15,0),IFERROR(VLOOKUP($E:$E,Structure!$A:$AJ,AM$1,0)*15,0))</f>
        <v>0</v>
      </c>
      <c r="AN73" s="13">
        <f>SUM(IFERROR(VLOOKUP($C:$C,Structure!$A:$AJ,AN$1,0)*15,0),IFERROR(VLOOKUP($D:$D,Structure!$A:$AJ,AN$1,0)*15,0),IFERROR(VLOOKUP($E:$E,Structure!$A:$AJ,AN$1,0)*15,0))</f>
        <v>0</v>
      </c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3"/>
      <c r="BZ73" s="4">
        <f>BZ72+AQ73-F73</f>
        <v>0</v>
      </c>
      <c r="CA73" s="4">
        <f>CA72+AR73-G73</f>
        <v>0</v>
      </c>
      <c r="CB73" s="4">
        <f>CB72+AS73-H73</f>
        <v>0</v>
      </c>
      <c r="CC73" s="4">
        <f>CC72+AT73-I73</f>
        <v>0</v>
      </c>
      <c r="CD73" s="4">
        <f>CD72+AU73-J73</f>
        <v>0</v>
      </c>
      <c r="CE73" s="4">
        <f>CE72+AV73-K73</f>
        <v>0</v>
      </c>
      <c r="CF73" s="4">
        <f>CF72+AW73-L73</f>
        <v>0</v>
      </c>
      <c r="CG73" s="4">
        <f>CG72+AX73-M73</f>
        <v>0</v>
      </c>
      <c r="CH73" s="4">
        <f>CH72+AY73-N73</f>
        <v>0</v>
      </c>
      <c r="CI73" s="4">
        <f>CI72+AZ73-O73</f>
        <v>0</v>
      </c>
      <c r="CJ73" s="4">
        <f>CJ72+BA73-P73</f>
        <v>0</v>
      </c>
      <c r="CK73" s="4">
        <f>CK72+BB73-Q73</f>
        <v>0</v>
      </c>
      <c r="CL73" s="4">
        <f>CL72+BC73-R73</f>
        <v>0</v>
      </c>
      <c r="CM73" s="4">
        <f>CM72+BD73-S73</f>
        <v>0</v>
      </c>
      <c r="CN73" s="4">
        <f>CN72+BE73-T73</f>
        <v>0</v>
      </c>
      <c r="CO73" s="4">
        <f>CO72+BF73-U73</f>
        <v>0</v>
      </c>
      <c r="CP73" s="4">
        <f>CP72+BG73-V73</f>
        <v>0</v>
      </c>
      <c r="CQ73" s="4">
        <f>CQ72+BH73-W73</f>
        <v>0</v>
      </c>
      <c r="CR73" s="4">
        <f>CR72+BI73-X73</f>
        <v>0</v>
      </c>
      <c r="CS73" s="4">
        <f>CS72+BJ73-Y73</f>
        <v>0</v>
      </c>
      <c r="CT73" s="4">
        <f>CT72+BK73-Z73</f>
        <v>0</v>
      </c>
      <c r="CU73" s="4">
        <f>CU72+BL73-AA73</f>
        <v>-2690</v>
      </c>
      <c r="CV73" s="4">
        <f>CV72+BM73-AB73</f>
        <v>-210</v>
      </c>
      <c r="CW73" s="4">
        <f>CW72+BN73-AC73</f>
        <v>-195</v>
      </c>
      <c r="CX73" s="4">
        <f>CX72+BO73-AD73</f>
        <v>0</v>
      </c>
      <c r="CY73" s="4">
        <f>CY72+BP73-AE73</f>
        <v>0</v>
      </c>
      <c r="CZ73" s="4">
        <f>CZ72+BQ73-AF73</f>
        <v>-130</v>
      </c>
      <c r="DA73" s="4">
        <f>DA72+BR73-AG73</f>
        <v>0</v>
      </c>
      <c r="DB73" s="4">
        <f>DB72+BS73-AH73</f>
        <v>0</v>
      </c>
      <c r="DC73" s="4">
        <f>DC72+BT73-AI73</f>
        <v>0</v>
      </c>
      <c r="DD73" s="4">
        <f>DD72+BU73-AJ73</f>
        <v>-1930</v>
      </c>
      <c r="DE73" s="4">
        <f>DE72+BV73-AK73</f>
        <v>-780</v>
      </c>
      <c r="DF73" s="4">
        <f>DF72+BW73-AL73</f>
        <v>0</v>
      </c>
      <c r="DG73" s="4">
        <f>DG72+BX73-AM73</f>
        <v>-175</v>
      </c>
      <c r="DH73" s="4">
        <f>DH72+BY73-AN73</f>
        <v>0</v>
      </c>
    </row>
    <row r="74" spans="1:112" x14ac:dyDescent="0.25">
      <c r="A74" s="6">
        <v>46182</v>
      </c>
      <c r="B74" s="7">
        <v>0.29166666649689432</v>
      </c>
      <c r="C74" s="3" t="s">
        <v>3</v>
      </c>
      <c r="D74" s="3" t="s">
        <v>9</v>
      </c>
      <c r="E74" s="3" t="s">
        <v>2</v>
      </c>
      <c r="F74" s="13">
        <f>SUM(IFERROR(VLOOKUP($C:$C,Structure!$A:$AJ,F$1,0)*15,0),IFERROR(VLOOKUP($D:$D,Structure!$A:$AJ,F$1,0)*15,0),IFERROR(VLOOKUP($E:$E,Structure!$A:$AJ,F$1,0)*15,0))</f>
        <v>0</v>
      </c>
      <c r="G74" s="13">
        <f>SUM(IFERROR(VLOOKUP($C:$C,Structure!$A:$AJ,G$1,0)*15,0),IFERROR(VLOOKUP($D:$D,Structure!$A:$AJ,G$1,0)*15,0),IFERROR(VLOOKUP($E:$E,Structure!$A:$AJ,G$1,0)*15,0))</f>
        <v>0</v>
      </c>
      <c r="H74" s="13">
        <f>SUM(IFERROR(VLOOKUP($C:$C,Structure!$A:$AJ,H$1,0)*15,0),IFERROR(VLOOKUP($D:$D,Structure!$A:$AJ,H$1,0)*15,0),IFERROR(VLOOKUP($E:$E,Structure!$A:$AJ,H$1,0)*15,0))</f>
        <v>0</v>
      </c>
      <c r="I74" s="13">
        <f>SUM(IFERROR(VLOOKUP($C:$C,Structure!$A:$AJ,I$1,0)*15,0),IFERROR(VLOOKUP($D:$D,Structure!$A:$AJ,I$1,0)*15,0),IFERROR(VLOOKUP($E:$E,Structure!$A:$AJ,I$1,0)*15,0))</f>
        <v>0</v>
      </c>
      <c r="J74" s="13">
        <f>SUM(IFERROR(VLOOKUP($C:$C,Structure!$A:$AJ,J$1,0)*15,0),IFERROR(VLOOKUP($D:$D,Structure!$A:$AJ,J$1,0)*15,0),IFERROR(VLOOKUP($E:$E,Structure!$A:$AJ,J$1,0)*15,0))</f>
        <v>0</v>
      </c>
      <c r="K74" s="13">
        <f>SUM(IFERROR(VLOOKUP($C:$C,Structure!$A:$AJ,K$1,0)*15,0),IFERROR(VLOOKUP($D:$D,Structure!$A:$AJ,K$1,0)*15,0),IFERROR(VLOOKUP($E:$E,Structure!$A:$AJ,K$1,0)*15,0))</f>
        <v>0</v>
      </c>
      <c r="L74" s="13">
        <f>SUM(IFERROR(VLOOKUP($C:$C,Structure!$A:$AJ,L$1,0)*15,0),IFERROR(VLOOKUP($D:$D,Structure!$A:$AJ,L$1,0)*15,0),IFERROR(VLOOKUP($E:$E,Structure!$A:$AJ,L$1,0)*15,0))</f>
        <v>0</v>
      </c>
      <c r="M74" s="13">
        <f>SUM(IFERROR(VLOOKUP($C:$C,Structure!$A:$AJ,M$1,0)*15,0),IFERROR(VLOOKUP($D:$D,Structure!$A:$AJ,M$1,0)*15,0),IFERROR(VLOOKUP($E:$E,Structure!$A:$AJ,M$1,0)*15,0))</f>
        <v>0</v>
      </c>
      <c r="N74" s="13">
        <f>SUM(IFERROR(VLOOKUP($C:$C,Structure!$A:$AJ,N$1,0)*15,0),IFERROR(VLOOKUP($D:$D,Structure!$A:$AJ,N$1,0)*15,0),IFERROR(VLOOKUP($E:$E,Structure!$A:$AJ,N$1,0)*15,0))</f>
        <v>0</v>
      </c>
      <c r="O74" s="13">
        <f>SUM(IFERROR(VLOOKUP($C:$C,Structure!$A:$AJ,O$1,0)*15,0),IFERROR(VLOOKUP($D:$D,Structure!$A:$AJ,O$1,0)*15,0),IFERROR(VLOOKUP($E:$E,Structure!$A:$AJ,O$1,0)*15,0))</f>
        <v>0</v>
      </c>
      <c r="P74" s="13">
        <f>SUM(IFERROR(VLOOKUP($C:$C,Structure!$A:$AJ,P$1,0)*15,0),IFERROR(VLOOKUP($D:$D,Structure!$A:$AJ,P$1,0)*15,0),IFERROR(VLOOKUP($E:$E,Structure!$A:$AJ,P$1,0)*15,0))</f>
        <v>0</v>
      </c>
      <c r="Q74" s="13">
        <f>SUM(IFERROR(VLOOKUP($C:$C,Structure!$A:$AJ,Q$1,0)*15,0),IFERROR(VLOOKUP($D:$D,Structure!$A:$AJ,Q$1,0)*15,0),IFERROR(VLOOKUP($E:$E,Structure!$A:$AJ,Q$1,0)*15,0))</f>
        <v>0</v>
      </c>
      <c r="R74" s="13">
        <f>SUM(IFERROR(VLOOKUP($C:$C,Structure!$A:$AJ,R$1,0)*15,0),IFERROR(VLOOKUP($D:$D,Structure!$A:$AJ,R$1,0)*15,0),IFERROR(VLOOKUP($E:$E,Structure!$A:$AJ,R$1,0)*15,0))</f>
        <v>0</v>
      </c>
      <c r="S74" s="13">
        <f>SUM(IFERROR(VLOOKUP($C:$C,Structure!$A:$AJ,S$1,0)*15,0),IFERROR(VLOOKUP($D:$D,Structure!$A:$AJ,S$1,0)*15,0),IFERROR(VLOOKUP($E:$E,Structure!$A:$AJ,S$1,0)*15,0))</f>
        <v>0</v>
      </c>
      <c r="T74" s="13">
        <f>SUM(IFERROR(VLOOKUP($C:$C,Structure!$A:$AJ,T$1,0)*15,0),IFERROR(VLOOKUP($D:$D,Structure!$A:$AJ,T$1,0)*15,0),IFERROR(VLOOKUP($E:$E,Structure!$A:$AJ,T$1,0)*15,0))</f>
        <v>0</v>
      </c>
      <c r="U74" s="13">
        <f>SUM(IFERROR(VLOOKUP($C:$C,Structure!$A:$AJ,U$1,0)*15,0),IFERROR(VLOOKUP($D:$D,Structure!$A:$AJ,U$1,0)*15,0),IFERROR(VLOOKUP($E:$E,Structure!$A:$AJ,U$1,0)*15,0))</f>
        <v>0</v>
      </c>
      <c r="V74" s="13">
        <f>SUM(IFERROR(VLOOKUP($C:$C,Structure!$A:$AJ,V$1,0)*15,0),IFERROR(VLOOKUP($D:$D,Structure!$A:$AJ,V$1,0)*15,0),IFERROR(VLOOKUP($E:$E,Structure!$A:$AJ,V$1,0)*15,0))</f>
        <v>0</v>
      </c>
      <c r="W74" s="13">
        <f>SUM(IFERROR(VLOOKUP($C:$C,Structure!$A:$AJ,W$1,0)*15,0),IFERROR(VLOOKUP($D:$D,Structure!$A:$AJ,W$1,0)*15,0),IFERROR(VLOOKUP($E:$E,Structure!$A:$AJ,W$1,0)*15,0))</f>
        <v>0</v>
      </c>
      <c r="X74" s="13">
        <f>SUM(IFERROR(VLOOKUP($C:$C,Structure!$A:$AJ,X$1,0)*15,0),IFERROR(VLOOKUP($D:$D,Structure!$A:$AJ,X$1,0)*15,0),IFERROR(VLOOKUP($E:$E,Structure!$A:$AJ,X$1,0)*15,0))</f>
        <v>0</v>
      </c>
      <c r="Y74" s="13">
        <f>SUM(IFERROR(VLOOKUP($C:$C,Structure!$A:$AJ,Y$1,0)*15,0),IFERROR(VLOOKUP($D:$D,Structure!$A:$AJ,Y$1,0)*15,0),IFERROR(VLOOKUP($E:$E,Structure!$A:$AJ,Y$1,0)*15,0))</f>
        <v>0</v>
      </c>
      <c r="Z74" s="13">
        <f>SUM(IFERROR(VLOOKUP($C:$C,Structure!$A:$AJ,Z$1,0)*15,0),IFERROR(VLOOKUP($D:$D,Structure!$A:$AJ,Z$1,0)*15,0),IFERROR(VLOOKUP($E:$E,Structure!$A:$AJ,Z$1,0)*15,0))</f>
        <v>0</v>
      </c>
      <c r="AA74" s="13">
        <f>SUM(IFERROR(VLOOKUP($C:$C,Structure!$A:$AJ,AA$1,0)*15,0),IFERROR(VLOOKUP($D:$D,Structure!$A:$AJ,AA$1,0)*15,0),IFERROR(VLOOKUP($E:$E,Structure!$A:$AJ,AA$1,0)*15,0))</f>
        <v>30</v>
      </c>
      <c r="AB74" s="13">
        <f>SUM(IFERROR(VLOOKUP($C:$C,Structure!$A:$AJ,AB$1,0)*15,0),IFERROR(VLOOKUP($D:$D,Structure!$A:$AJ,AB$1,0)*15,0),IFERROR(VLOOKUP($E:$E,Structure!$A:$AJ,AB$1,0)*15,0))</f>
        <v>15</v>
      </c>
      <c r="AC74" s="13">
        <f>SUM(IFERROR(VLOOKUP($C:$C,Structure!$A:$AJ,AC$1,0)*15,0),IFERROR(VLOOKUP($D:$D,Structure!$A:$AJ,AC$1,0)*15,0),IFERROR(VLOOKUP($E:$E,Structure!$A:$AJ,AC$1,0)*15,0))</f>
        <v>0</v>
      </c>
      <c r="AD74" s="13">
        <f>SUM(IFERROR(VLOOKUP($C:$C,Structure!$A:$AJ,AD$1,0)*15,0),IFERROR(VLOOKUP($D:$D,Structure!$A:$AJ,AD$1,0)*15,0),IFERROR(VLOOKUP($E:$E,Structure!$A:$AJ,AD$1,0)*15,0))</f>
        <v>0</v>
      </c>
      <c r="AE74" s="13">
        <f>SUM(IFERROR(VLOOKUP($C:$C,Structure!$A:$AJ,AE$1,0)*15,0),IFERROR(VLOOKUP($D:$D,Structure!$A:$AJ,AE$1,0)*15,0),IFERROR(VLOOKUP($E:$E,Structure!$A:$AJ,AE$1,0)*15,0))</f>
        <v>0</v>
      </c>
      <c r="AF74" s="13">
        <f>SUM(IFERROR(VLOOKUP($C:$C,Structure!$A:$AJ,AF$1,0)*15,0),IFERROR(VLOOKUP($D:$D,Structure!$A:$AJ,AF$1,0)*15,0),IFERROR(VLOOKUP($E:$E,Structure!$A:$AJ,AF$1,0)*15,0))</f>
        <v>15</v>
      </c>
      <c r="AG74" s="13">
        <f>SUM(IFERROR(VLOOKUP($C:$C,Structure!$A:$AJ,AG$1,0)*15,0),IFERROR(VLOOKUP($D:$D,Structure!$A:$AJ,AG$1,0)*15,0),IFERROR(VLOOKUP($E:$E,Structure!$A:$AJ,AG$1,0)*15,0))</f>
        <v>0</v>
      </c>
      <c r="AH74" s="13">
        <f>SUM(IFERROR(VLOOKUP($C:$C,Structure!$A:$AJ,AH$1,0)*15,0),IFERROR(VLOOKUP($D:$D,Structure!$A:$AJ,AH$1,0)*15,0),IFERROR(VLOOKUP($E:$E,Structure!$A:$AJ,AH$1,0)*15,0))</f>
        <v>0</v>
      </c>
      <c r="AI74" s="13">
        <f>SUM(IFERROR(VLOOKUP($C:$C,Structure!$A:$AJ,AI$1,0)*15,0),IFERROR(VLOOKUP($D:$D,Structure!$A:$AJ,AI$1,0)*15,0),IFERROR(VLOOKUP($E:$E,Structure!$A:$AJ,AI$1,0)*15,0))</f>
        <v>0</v>
      </c>
      <c r="AJ74" s="13">
        <f>SUM(IFERROR(VLOOKUP($C:$C,Structure!$A:$AJ,AJ$1,0)*15,0),IFERROR(VLOOKUP($D:$D,Structure!$A:$AJ,AJ$1,0)*15,0),IFERROR(VLOOKUP($E:$E,Structure!$A:$AJ,AJ$1,0)*15,0))</f>
        <v>15</v>
      </c>
      <c r="AK74" s="13">
        <f>SUM(IFERROR(VLOOKUP($C:$C,Structure!$A:$AJ,AK$1,0)*15,0),IFERROR(VLOOKUP($D:$D,Structure!$A:$AJ,AK$1,0)*15,0),IFERROR(VLOOKUP($E:$E,Structure!$A:$AJ,AK$1,0)*15,0))</f>
        <v>15</v>
      </c>
      <c r="AL74" s="13">
        <f>SUM(IFERROR(VLOOKUP($C:$C,Structure!$A:$AJ,AL$1,0)*15,0),IFERROR(VLOOKUP($D:$D,Structure!$A:$AJ,AL$1,0)*15,0),IFERROR(VLOOKUP($E:$E,Structure!$A:$AJ,AL$1,0)*15,0))</f>
        <v>0</v>
      </c>
      <c r="AM74" s="13">
        <f>SUM(IFERROR(VLOOKUP($C:$C,Structure!$A:$AJ,AM$1,0)*15,0),IFERROR(VLOOKUP($D:$D,Structure!$A:$AJ,AM$1,0)*15,0),IFERROR(VLOOKUP($E:$E,Structure!$A:$AJ,AM$1,0)*15,0))</f>
        <v>0</v>
      </c>
      <c r="AN74" s="13">
        <f>SUM(IFERROR(VLOOKUP($C:$C,Structure!$A:$AJ,AN$1,0)*15,0),IFERROR(VLOOKUP($D:$D,Structure!$A:$AJ,AN$1,0)*15,0),IFERROR(VLOOKUP($E:$E,Structure!$A:$AJ,AN$1,0)*15,0))</f>
        <v>0</v>
      </c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3"/>
      <c r="BZ74" s="4">
        <f>BZ73+AQ74-F74</f>
        <v>0</v>
      </c>
      <c r="CA74" s="4">
        <f>CA73+AR74-G74</f>
        <v>0</v>
      </c>
      <c r="CB74" s="4">
        <f>CB73+AS74-H74</f>
        <v>0</v>
      </c>
      <c r="CC74" s="4">
        <f>CC73+AT74-I74</f>
        <v>0</v>
      </c>
      <c r="CD74" s="4">
        <f>CD73+AU74-J74</f>
        <v>0</v>
      </c>
      <c r="CE74" s="4">
        <f>CE73+AV74-K74</f>
        <v>0</v>
      </c>
      <c r="CF74" s="4">
        <f>CF73+AW74-L74</f>
        <v>0</v>
      </c>
      <c r="CG74" s="4">
        <f>CG73+AX74-M74</f>
        <v>0</v>
      </c>
      <c r="CH74" s="4">
        <f>CH73+AY74-N74</f>
        <v>0</v>
      </c>
      <c r="CI74" s="4">
        <f>CI73+AZ74-O74</f>
        <v>0</v>
      </c>
      <c r="CJ74" s="4">
        <f>CJ73+BA74-P74</f>
        <v>0</v>
      </c>
      <c r="CK74" s="4">
        <f>CK73+BB74-Q74</f>
        <v>0</v>
      </c>
      <c r="CL74" s="4">
        <f>CL73+BC74-R74</f>
        <v>0</v>
      </c>
      <c r="CM74" s="4">
        <f>CM73+BD74-S74</f>
        <v>0</v>
      </c>
      <c r="CN74" s="4">
        <f>CN73+BE74-T74</f>
        <v>0</v>
      </c>
      <c r="CO74" s="4">
        <f>CO73+BF74-U74</f>
        <v>0</v>
      </c>
      <c r="CP74" s="4">
        <f>CP73+BG74-V74</f>
        <v>0</v>
      </c>
      <c r="CQ74" s="4">
        <f>CQ73+BH74-W74</f>
        <v>0</v>
      </c>
      <c r="CR74" s="4">
        <f>CR73+BI74-X74</f>
        <v>0</v>
      </c>
      <c r="CS74" s="4">
        <f>CS73+BJ74-Y74</f>
        <v>0</v>
      </c>
      <c r="CT74" s="4">
        <f>CT73+BK74-Z74</f>
        <v>0</v>
      </c>
      <c r="CU74" s="4">
        <f>CU73+BL74-AA74</f>
        <v>-2720</v>
      </c>
      <c r="CV74" s="4">
        <f>CV73+BM74-AB74</f>
        <v>-225</v>
      </c>
      <c r="CW74" s="4">
        <f>CW73+BN74-AC74</f>
        <v>-195</v>
      </c>
      <c r="CX74" s="4">
        <f>CX73+BO74-AD74</f>
        <v>0</v>
      </c>
      <c r="CY74" s="4">
        <f>CY73+BP74-AE74</f>
        <v>0</v>
      </c>
      <c r="CZ74" s="4">
        <f>CZ73+BQ74-AF74</f>
        <v>-145</v>
      </c>
      <c r="DA74" s="4">
        <f>DA73+BR74-AG74</f>
        <v>0</v>
      </c>
      <c r="DB74" s="4">
        <f>DB73+BS74-AH74</f>
        <v>0</v>
      </c>
      <c r="DC74" s="4">
        <f>DC73+BT74-AI74</f>
        <v>0</v>
      </c>
      <c r="DD74" s="4">
        <f>DD73+BU74-AJ74</f>
        <v>-1945</v>
      </c>
      <c r="DE74" s="4">
        <f>DE73+BV74-AK74</f>
        <v>-795</v>
      </c>
      <c r="DF74" s="4">
        <f>DF73+BW74-AL74</f>
        <v>0</v>
      </c>
      <c r="DG74" s="4">
        <f>DG73+BX74-AM74</f>
        <v>-175</v>
      </c>
      <c r="DH74" s="4">
        <f>DH73+BY74-AN74</f>
        <v>0</v>
      </c>
    </row>
    <row r="75" spans="1:112" x14ac:dyDescent="0.25">
      <c r="A75" s="6">
        <v>46182</v>
      </c>
      <c r="B75" s="7">
        <v>0.33333333316113567</v>
      </c>
      <c r="C75" s="3" t="s">
        <v>3</v>
      </c>
      <c r="D75" s="3" t="s">
        <v>6</v>
      </c>
      <c r="E75" s="3" t="s">
        <v>2</v>
      </c>
      <c r="F75" s="13">
        <f>SUM(IFERROR(VLOOKUP($C:$C,Structure!$A:$AJ,F$1,0)*15,0),IFERROR(VLOOKUP($D:$D,Structure!$A:$AJ,F$1,0)*15,0),IFERROR(VLOOKUP($E:$E,Structure!$A:$AJ,F$1,0)*15,0))</f>
        <v>0</v>
      </c>
      <c r="G75" s="13">
        <f>SUM(IFERROR(VLOOKUP($C:$C,Structure!$A:$AJ,G$1,0)*15,0),IFERROR(VLOOKUP($D:$D,Structure!$A:$AJ,G$1,0)*15,0),IFERROR(VLOOKUP($E:$E,Structure!$A:$AJ,G$1,0)*15,0))</f>
        <v>0</v>
      </c>
      <c r="H75" s="13">
        <f>SUM(IFERROR(VLOOKUP($C:$C,Structure!$A:$AJ,H$1,0)*15,0),IFERROR(VLOOKUP($D:$D,Structure!$A:$AJ,H$1,0)*15,0),IFERROR(VLOOKUP($E:$E,Structure!$A:$AJ,H$1,0)*15,0))</f>
        <v>0</v>
      </c>
      <c r="I75" s="13">
        <f>SUM(IFERROR(VLOOKUP($C:$C,Structure!$A:$AJ,I$1,0)*15,0),IFERROR(VLOOKUP($D:$D,Structure!$A:$AJ,I$1,0)*15,0),IFERROR(VLOOKUP($E:$E,Structure!$A:$AJ,I$1,0)*15,0))</f>
        <v>0</v>
      </c>
      <c r="J75" s="13">
        <f>SUM(IFERROR(VLOOKUP($C:$C,Structure!$A:$AJ,J$1,0)*15,0),IFERROR(VLOOKUP($D:$D,Structure!$A:$AJ,J$1,0)*15,0),IFERROR(VLOOKUP($E:$E,Structure!$A:$AJ,J$1,0)*15,0))</f>
        <v>0</v>
      </c>
      <c r="K75" s="13">
        <f>SUM(IFERROR(VLOOKUP($C:$C,Structure!$A:$AJ,K$1,0)*15,0),IFERROR(VLOOKUP($D:$D,Structure!$A:$AJ,K$1,0)*15,0),IFERROR(VLOOKUP($E:$E,Structure!$A:$AJ,K$1,0)*15,0))</f>
        <v>0</v>
      </c>
      <c r="L75" s="13">
        <f>SUM(IFERROR(VLOOKUP($C:$C,Structure!$A:$AJ,L$1,0)*15,0),IFERROR(VLOOKUP($D:$D,Structure!$A:$AJ,L$1,0)*15,0),IFERROR(VLOOKUP($E:$E,Structure!$A:$AJ,L$1,0)*15,0))</f>
        <v>0</v>
      </c>
      <c r="M75" s="13">
        <f>SUM(IFERROR(VLOOKUP($C:$C,Structure!$A:$AJ,M$1,0)*15,0),IFERROR(VLOOKUP($D:$D,Structure!$A:$AJ,M$1,0)*15,0),IFERROR(VLOOKUP($E:$E,Structure!$A:$AJ,M$1,0)*15,0))</f>
        <v>0</v>
      </c>
      <c r="N75" s="13">
        <f>SUM(IFERROR(VLOOKUP($C:$C,Structure!$A:$AJ,N$1,0)*15,0),IFERROR(VLOOKUP($D:$D,Structure!$A:$AJ,N$1,0)*15,0),IFERROR(VLOOKUP($E:$E,Structure!$A:$AJ,N$1,0)*15,0))</f>
        <v>0</v>
      </c>
      <c r="O75" s="13">
        <f>SUM(IFERROR(VLOOKUP($C:$C,Structure!$A:$AJ,O$1,0)*15,0),IFERROR(VLOOKUP($D:$D,Structure!$A:$AJ,O$1,0)*15,0),IFERROR(VLOOKUP($E:$E,Structure!$A:$AJ,O$1,0)*15,0))</f>
        <v>0</v>
      </c>
      <c r="P75" s="13">
        <f>SUM(IFERROR(VLOOKUP($C:$C,Structure!$A:$AJ,P$1,0)*15,0),IFERROR(VLOOKUP($D:$D,Structure!$A:$AJ,P$1,0)*15,0),IFERROR(VLOOKUP($E:$E,Structure!$A:$AJ,P$1,0)*15,0))</f>
        <v>0</v>
      </c>
      <c r="Q75" s="13">
        <f>SUM(IFERROR(VLOOKUP($C:$C,Structure!$A:$AJ,Q$1,0)*15,0),IFERROR(VLOOKUP($D:$D,Structure!$A:$AJ,Q$1,0)*15,0),IFERROR(VLOOKUP($E:$E,Structure!$A:$AJ,Q$1,0)*15,0))</f>
        <v>0</v>
      </c>
      <c r="R75" s="13">
        <f>SUM(IFERROR(VLOOKUP($C:$C,Structure!$A:$AJ,R$1,0)*15,0),IFERROR(VLOOKUP($D:$D,Structure!$A:$AJ,R$1,0)*15,0),IFERROR(VLOOKUP($E:$E,Structure!$A:$AJ,R$1,0)*15,0))</f>
        <v>0</v>
      </c>
      <c r="S75" s="13">
        <f>SUM(IFERROR(VLOOKUP($C:$C,Structure!$A:$AJ,S$1,0)*15,0),IFERROR(VLOOKUP($D:$D,Structure!$A:$AJ,S$1,0)*15,0),IFERROR(VLOOKUP($E:$E,Structure!$A:$AJ,S$1,0)*15,0))</f>
        <v>0</v>
      </c>
      <c r="T75" s="13">
        <f>SUM(IFERROR(VLOOKUP($C:$C,Structure!$A:$AJ,T$1,0)*15,0),IFERROR(VLOOKUP($D:$D,Structure!$A:$AJ,T$1,0)*15,0),IFERROR(VLOOKUP($E:$E,Structure!$A:$AJ,T$1,0)*15,0))</f>
        <v>0</v>
      </c>
      <c r="U75" s="13">
        <f>SUM(IFERROR(VLOOKUP($C:$C,Structure!$A:$AJ,U$1,0)*15,0),IFERROR(VLOOKUP($D:$D,Structure!$A:$AJ,U$1,0)*15,0),IFERROR(VLOOKUP($E:$E,Structure!$A:$AJ,U$1,0)*15,0))</f>
        <v>0</v>
      </c>
      <c r="V75" s="13">
        <f>SUM(IFERROR(VLOOKUP($C:$C,Structure!$A:$AJ,V$1,0)*15,0),IFERROR(VLOOKUP($D:$D,Structure!$A:$AJ,V$1,0)*15,0),IFERROR(VLOOKUP($E:$E,Structure!$A:$AJ,V$1,0)*15,0))</f>
        <v>0</v>
      </c>
      <c r="W75" s="13">
        <f>SUM(IFERROR(VLOOKUP($C:$C,Structure!$A:$AJ,W$1,0)*15,0),IFERROR(VLOOKUP($D:$D,Structure!$A:$AJ,W$1,0)*15,0),IFERROR(VLOOKUP($E:$E,Structure!$A:$AJ,W$1,0)*15,0))</f>
        <v>0</v>
      </c>
      <c r="X75" s="13">
        <f>SUM(IFERROR(VLOOKUP($C:$C,Structure!$A:$AJ,X$1,0)*15,0),IFERROR(VLOOKUP($D:$D,Structure!$A:$AJ,X$1,0)*15,0),IFERROR(VLOOKUP($E:$E,Structure!$A:$AJ,X$1,0)*15,0))</f>
        <v>0</v>
      </c>
      <c r="Y75" s="13">
        <f>SUM(IFERROR(VLOOKUP($C:$C,Structure!$A:$AJ,Y$1,0)*15,0),IFERROR(VLOOKUP($D:$D,Structure!$A:$AJ,Y$1,0)*15,0),IFERROR(VLOOKUP($E:$E,Structure!$A:$AJ,Y$1,0)*15,0))</f>
        <v>0</v>
      </c>
      <c r="Z75" s="13">
        <f>SUM(IFERROR(VLOOKUP($C:$C,Structure!$A:$AJ,Z$1,0)*15,0),IFERROR(VLOOKUP($D:$D,Structure!$A:$AJ,Z$1,0)*15,0),IFERROR(VLOOKUP($E:$E,Structure!$A:$AJ,Z$1,0)*15,0))</f>
        <v>0</v>
      </c>
      <c r="AA75" s="13">
        <f>SUM(IFERROR(VLOOKUP($C:$C,Structure!$A:$AJ,AA$1,0)*15,0),IFERROR(VLOOKUP($D:$D,Structure!$A:$AJ,AA$1,0)*15,0),IFERROR(VLOOKUP($E:$E,Structure!$A:$AJ,AA$1,0)*15,0))</f>
        <v>45</v>
      </c>
      <c r="AB75" s="13">
        <f>SUM(IFERROR(VLOOKUP($C:$C,Structure!$A:$AJ,AB$1,0)*15,0),IFERROR(VLOOKUP($D:$D,Structure!$A:$AJ,AB$1,0)*15,0),IFERROR(VLOOKUP($E:$E,Structure!$A:$AJ,AB$1,0)*15,0))</f>
        <v>0</v>
      </c>
      <c r="AC75" s="13">
        <f>SUM(IFERROR(VLOOKUP($C:$C,Structure!$A:$AJ,AC$1,0)*15,0),IFERROR(VLOOKUP($D:$D,Structure!$A:$AJ,AC$1,0)*15,0),IFERROR(VLOOKUP($E:$E,Structure!$A:$AJ,AC$1,0)*15,0))</f>
        <v>0</v>
      </c>
      <c r="AD75" s="13">
        <f>SUM(IFERROR(VLOOKUP($C:$C,Structure!$A:$AJ,AD$1,0)*15,0),IFERROR(VLOOKUP($D:$D,Structure!$A:$AJ,AD$1,0)*15,0),IFERROR(VLOOKUP($E:$E,Structure!$A:$AJ,AD$1,0)*15,0))</f>
        <v>0</v>
      </c>
      <c r="AE75" s="13">
        <f>SUM(IFERROR(VLOOKUP($C:$C,Structure!$A:$AJ,AE$1,0)*15,0),IFERROR(VLOOKUP($D:$D,Structure!$A:$AJ,AE$1,0)*15,0),IFERROR(VLOOKUP($E:$E,Structure!$A:$AJ,AE$1,0)*15,0))</f>
        <v>0</v>
      </c>
      <c r="AF75" s="13">
        <f>SUM(IFERROR(VLOOKUP($C:$C,Structure!$A:$AJ,AF$1,0)*15,0),IFERROR(VLOOKUP($D:$D,Structure!$A:$AJ,AF$1,0)*15,0),IFERROR(VLOOKUP($E:$E,Structure!$A:$AJ,AF$1,0)*15,0))</f>
        <v>0</v>
      </c>
      <c r="AG75" s="13">
        <f>SUM(IFERROR(VLOOKUP($C:$C,Structure!$A:$AJ,AG$1,0)*15,0),IFERROR(VLOOKUP($D:$D,Structure!$A:$AJ,AG$1,0)*15,0),IFERROR(VLOOKUP($E:$E,Structure!$A:$AJ,AG$1,0)*15,0))</f>
        <v>0</v>
      </c>
      <c r="AH75" s="13">
        <f>SUM(IFERROR(VLOOKUP($C:$C,Structure!$A:$AJ,AH$1,0)*15,0),IFERROR(VLOOKUP($D:$D,Structure!$A:$AJ,AH$1,0)*15,0),IFERROR(VLOOKUP($E:$E,Structure!$A:$AJ,AH$1,0)*15,0))</f>
        <v>0</v>
      </c>
      <c r="AI75" s="13">
        <f>SUM(IFERROR(VLOOKUP($C:$C,Structure!$A:$AJ,AI$1,0)*15,0),IFERROR(VLOOKUP($D:$D,Structure!$A:$AJ,AI$1,0)*15,0),IFERROR(VLOOKUP($E:$E,Structure!$A:$AJ,AI$1,0)*15,0))</f>
        <v>0</v>
      </c>
      <c r="AJ75" s="13">
        <f>SUM(IFERROR(VLOOKUP($C:$C,Structure!$A:$AJ,AJ$1,0)*15,0),IFERROR(VLOOKUP($D:$D,Structure!$A:$AJ,AJ$1,0)*15,0),IFERROR(VLOOKUP($E:$E,Structure!$A:$AJ,AJ$1,0)*15,0))</f>
        <v>30</v>
      </c>
      <c r="AK75" s="13">
        <f>SUM(IFERROR(VLOOKUP($C:$C,Structure!$A:$AJ,AK$1,0)*15,0),IFERROR(VLOOKUP($D:$D,Structure!$A:$AJ,AK$1,0)*15,0),IFERROR(VLOOKUP($E:$E,Structure!$A:$AJ,AK$1,0)*15,0))</f>
        <v>15</v>
      </c>
      <c r="AL75" s="13">
        <f>SUM(IFERROR(VLOOKUP($C:$C,Structure!$A:$AJ,AL$1,0)*15,0),IFERROR(VLOOKUP($D:$D,Structure!$A:$AJ,AL$1,0)*15,0),IFERROR(VLOOKUP($E:$E,Structure!$A:$AJ,AL$1,0)*15,0))</f>
        <v>0</v>
      </c>
      <c r="AM75" s="13">
        <f>SUM(IFERROR(VLOOKUP($C:$C,Structure!$A:$AJ,AM$1,0)*15,0),IFERROR(VLOOKUP($D:$D,Structure!$A:$AJ,AM$1,0)*15,0),IFERROR(VLOOKUP($E:$E,Structure!$A:$AJ,AM$1,0)*15,0))</f>
        <v>0</v>
      </c>
      <c r="AN75" s="13">
        <f>SUM(IFERROR(VLOOKUP($C:$C,Structure!$A:$AJ,AN$1,0)*15,0),IFERROR(VLOOKUP($D:$D,Structure!$A:$AJ,AN$1,0)*15,0),IFERROR(VLOOKUP($E:$E,Structure!$A:$AJ,AN$1,0)*15,0))</f>
        <v>0</v>
      </c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3"/>
      <c r="BZ75" s="4">
        <f>BZ74+AQ75-F75</f>
        <v>0</v>
      </c>
      <c r="CA75" s="4">
        <f>CA74+AR75-G75</f>
        <v>0</v>
      </c>
      <c r="CB75" s="4">
        <f>CB74+AS75-H75</f>
        <v>0</v>
      </c>
      <c r="CC75" s="4">
        <f>CC74+AT75-I75</f>
        <v>0</v>
      </c>
      <c r="CD75" s="4">
        <f>CD74+AU75-J75</f>
        <v>0</v>
      </c>
      <c r="CE75" s="4">
        <f>CE74+AV75-K75</f>
        <v>0</v>
      </c>
      <c r="CF75" s="4">
        <f>CF74+AW75-L75</f>
        <v>0</v>
      </c>
      <c r="CG75" s="4">
        <f>CG74+AX75-M75</f>
        <v>0</v>
      </c>
      <c r="CH75" s="4">
        <f>CH74+AY75-N75</f>
        <v>0</v>
      </c>
      <c r="CI75" s="4">
        <f>CI74+AZ75-O75</f>
        <v>0</v>
      </c>
      <c r="CJ75" s="4">
        <f>CJ74+BA75-P75</f>
        <v>0</v>
      </c>
      <c r="CK75" s="4">
        <f>CK74+BB75-Q75</f>
        <v>0</v>
      </c>
      <c r="CL75" s="4">
        <f>CL74+BC75-R75</f>
        <v>0</v>
      </c>
      <c r="CM75" s="4">
        <f>CM74+BD75-S75</f>
        <v>0</v>
      </c>
      <c r="CN75" s="4">
        <f>CN74+BE75-T75</f>
        <v>0</v>
      </c>
      <c r="CO75" s="4">
        <f>CO74+BF75-U75</f>
        <v>0</v>
      </c>
      <c r="CP75" s="4">
        <f>CP74+BG75-V75</f>
        <v>0</v>
      </c>
      <c r="CQ75" s="4">
        <f>CQ74+BH75-W75</f>
        <v>0</v>
      </c>
      <c r="CR75" s="4">
        <f>CR74+BI75-X75</f>
        <v>0</v>
      </c>
      <c r="CS75" s="4">
        <f>CS74+BJ75-Y75</f>
        <v>0</v>
      </c>
      <c r="CT75" s="4">
        <f>CT74+BK75-Z75</f>
        <v>0</v>
      </c>
      <c r="CU75" s="4">
        <f>CU74+BL75-AA75</f>
        <v>-2765</v>
      </c>
      <c r="CV75" s="4">
        <f>CV74+BM75-AB75</f>
        <v>-225</v>
      </c>
      <c r="CW75" s="4">
        <f>CW74+BN75-AC75</f>
        <v>-195</v>
      </c>
      <c r="CX75" s="4">
        <f>CX74+BO75-AD75</f>
        <v>0</v>
      </c>
      <c r="CY75" s="4">
        <f>CY74+BP75-AE75</f>
        <v>0</v>
      </c>
      <c r="CZ75" s="4">
        <f>CZ74+BQ75-AF75</f>
        <v>-145</v>
      </c>
      <c r="DA75" s="4">
        <f>DA74+BR75-AG75</f>
        <v>0</v>
      </c>
      <c r="DB75" s="4">
        <f>DB74+BS75-AH75</f>
        <v>0</v>
      </c>
      <c r="DC75" s="4">
        <f>DC74+BT75-AI75</f>
        <v>0</v>
      </c>
      <c r="DD75" s="4">
        <f>DD74+BU75-AJ75</f>
        <v>-1975</v>
      </c>
      <c r="DE75" s="4">
        <f>DE74+BV75-AK75</f>
        <v>-810</v>
      </c>
      <c r="DF75" s="4">
        <f>DF74+BW75-AL75</f>
        <v>0</v>
      </c>
      <c r="DG75" s="4">
        <f>DG74+BX75-AM75</f>
        <v>-175</v>
      </c>
      <c r="DH75" s="4">
        <f>DH74+BY75-AN75</f>
        <v>0</v>
      </c>
    </row>
    <row r="76" spans="1:112" x14ac:dyDescent="0.25">
      <c r="A76" s="6">
        <v>46182</v>
      </c>
      <c r="B76" s="7">
        <v>0.37499999982537702</v>
      </c>
      <c r="C76" s="3" t="s">
        <v>3</v>
      </c>
      <c r="D76" s="3" t="s">
        <v>6</v>
      </c>
      <c r="E76" s="3" t="s">
        <v>2</v>
      </c>
      <c r="F76" s="13">
        <f>SUM(IFERROR(VLOOKUP($C:$C,Structure!$A:$AJ,F$1,0)*15,0),IFERROR(VLOOKUP($D:$D,Structure!$A:$AJ,F$1,0)*15,0),IFERROR(VLOOKUP($E:$E,Structure!$A:$AJ,F$1,0)*15,0))</f>
        <v>0</v>
      </c>
      <c r="G76" s="13">
        <f>SUM(IFERROR(VLOOKUP($C:$C,Structure!$A:$AJ,G$1,0)*15,0),IFERROR(VLOOKUP($D:$D,Structure!$A:$AJ,G$1,0)*15,0),IFERROR(VLOOKUP($E:$E,Structure!$A:$AJ,G$1,0)*15,0))</f>
        <v>0</v>
      </c>
      <c r="H76" s="13">
        <f>SUM(IFERROR(VLOOKUP($C:$C,Structure!$A:$AJ,H$1,0)*15,0),IFERROR(VLOOKUP($D:$D,Structure!$A:$AJ,H$1,0)*15,0),IFERROR(VLOOKUP($E:$E,Structure!$A:$AJ,H$1,0)*15,0))</f>
        <v>0</v>
      </c>
      <c r="I76" s="13">
        <f>SUM(IFERROR(VLOOKUP($C:$C,Structure!$A:$AJ,I$1,0)*15,0),IFERROR(VLOOKUP($D:$D,Structure!$A:$AJ,I$1,0)*15,0),IFERROR(VLOOKUP($E:$E,Structure!$A:$AJ,I$1,0)*15,0))</f>
        <v>0</v>
      </c>
      <c r="J76" s="13">
        <f>SUM(IFERROR(VLOOKUP($C:$C,Structure!$A:$AJ,J$1,0)*15,0),IFERROR(VLOOKUP($D:$D,Structure!$A:$AJ,J$1,0)*15,0),IFERROR(VLOOKUP($E:$E,Structure!$A:$AJ,J$1,0)*15,0))</f>
        <v>0</v>
      </c>
      <c r="K76" s="13">
        <f>SUM(IFERROR(VLOOKUP($C:$C,Structure!$A:$AJ,K$1,0)*15,0),IFERROR(VLOOKUP($D:$D,Structure!$A:$AJ,K$1,0)*15,0),IFERROR(VLOOKUP($E:$E,Structure!$A:$AJ,K$1,0)*15,0))</f>
        <v>0</v>
      </c>
      <c r="L76" s="13">
        <f>SUM(IFERROR(VLOOKUP($C:$C,Structure!$A:$AJ,L$1,0)*15,0),IFERROR(VLOOKUP($D:$D,Structure!$A:$AJ,L$1,0)*15,0),IFERROR(VLOOKUP($E:$E,Structure!$A:$AJ,L$1,0)*15,0))</f>
        <v>0</v>
      </c>
      <c r="M76" s="13">
        <f>SUM(IFERROR(VLOOKUP($C:$C,Structure!$A:$AJ,M$1,0)*15,0),IFERROR(VLOOKUP($D:$D,Structure!$A:$AJ,M$1,0)*15,0),IFERROR(VLOOKUP($E:$E,Structure!$A:$AJ,M$1,0)*15,0))</f>
        <v>0</v>
      </c>
      <c r="N76" s="13">
        <f>SUM(IFERROR(VLOOKUP($C:$C,Structure!$A:$AJ,N$1,0)*15,0),IFERROR(VLOOKUP($D:$D,Structure!$A:$AJ,N$1,0)*15,0),IFERROR(VLOOKUP($E:$E,Structure!$A:$AJ,N$1,0)*15,0))</f>
        <v>0</v>
      </c>
      <c r="O76" s="13">
        <f>SUM(IFERROR(VLOOKUP($C:$C,Structure!$A:$AJ,O$1,0)*15,0),IFERROR(VLOOKUP($D:$D,Structure!$A:$AJ,O$1,0)*15,0),IFERROR(VLOOKUP($E:$E,Structure!$A:$AJ,O$1,0)*15,0))</f>
        <v>0</v>
      </c>
      <c r="P76" s="13">
        <f>SUM(IFERROR(VLOOKUP($C:$C,Structure!$A:$AJ,P$1,0)*15,0),IFERROR(VLOOKUP($D:$D,Structure!$A:$AJ,P$1,0)*15,0),IFERROR(VLOOKUP($E:$E,Structure!$A:$AJ,P$1,0)*15,0))</f>
        <v>0</v>
      </c>
      <c r="Q76" s="13">
        <f>SUM(IFERROR(VLOOKUP($C:$C,Structure!$A:$AJ,Q$1,0)*15,0),IFERROR(VLOOKUP($D:$D,Structure!$A:$AJ,Q$1,0)*15,0),IFERROR(VLOOKUP($E:$E,Structure!$A:$AJ,Q$1,0)*15,0))</f>
        <v>0</v>
      </c>
      <c r="R76" s="13">
        <f>SUM(IFERROR(VLOOKUP($C:$C,Structure!$A:$AJ,R$1,0)*15,0),IFERROR(VLOOKUP($D:$D,Structure!$A:$AJ,R$1,0)*15,0),IFERROR(VLOOKUP($E:$E,Structure!$A:$AJ,R$1,0)*15,0))</f>
        <v>0</v>
      </c>
      <c r="S76" s="13">
        <f>SUM(IFERROR(VLOOKUP($C:$C,Structure!$A:$AJ,S$1,0)*15,0),IFERROR(VLOOKUP($D:$D,Structure!$A:$AJ,S$1,0)*15,0),IFERROR(VLOOKUP($E:$E,Structure!$A:$AJ,S$1,0)*15,0))</f>
        <v>0</v>
      </c>
      <c r="T76" s="13">
        <f>SUM(IFERROR(VLOOKUP($C:$C,Structure!$A:$AJ,T$1,0)*15,0),IFERROR(VLOOKUP($D:$D,Structure!$A:$AJ,T$1,0)*15,0),IFERROR(VLOOKUP($E:$E,Structure!$A:$AJ,T$1,0)*15,0))</f>
        <v>0</v>
      </c>
      <c r="U76" s="13">
        <f>SUM(IFERROR(VLOOKUP($C:$C,Structure!$A:$AJ,U$1,0)*15,0),IFERROR(VLOOKUP($D:$D,Structure!$A:$AJ,U$1,0)*15,0),IFERROR(VLOOKUP($E:$E,Structure!$A:$AJ,U$1,0)*15,0))</f>
        <v>0</v>
      </c>
      <c r="V76" s="13">
        <f>SUM(IFERROR(VLOOKUP($C:$C,Structure!$A:$AJ,V$1,0)*15,0),IFERROR(VLOOKUP($D:$D,Structure!$A:$AJ,V$1,0)*15,0),IFERROR(VLOOKUP($E:$E,Structure!$A:$AJ,V$1,0)*15,0))</f>
        <v>0</v>
      </c>
      <c r="W76" s="13">
        <f>SUM(IFERROR(VLOOKUP($C:$C,Structure!$A:$AJ,W$1,0)*15,0),IFERROR(VLOOKUP($D:$D,Structure!$A:$AJ,W$1,0)*15,0),IFERROR(VLOOKUP($E:$E,Structure!$A:$AJ,W$1,0)*15,0))</f>
        <v>0</v>
      </c>
      <c r="X76" s="13">
        <f>SUM(IFERROR(VLOOKUP($C:$C,Structure!$A:$AJ,X$1,0)*15,0),IFERROR(VLOOKUP($D:$D,Structure!$A:$AJ,X$1,0)*15,0),IFERROR(VLOOKUP($E:$E,Structure!$A:$AJ,X$1,0)*15,0))</f>
        <v>0</v>
      </c>
      <c r="Y76" s="13">
        <f>SUM(IFERROR(VLOOKUP($C:$C,Structure!$A:$AJ,Y$1,0)*15,0),IFERROR(VLOOKUP($D:$D,Structure!$A:$AJ,Y$1,0)*15,0),IFERROR(VLOOKUP($E:$E,Structure!$A:$AJ,Y$1,0)*15,0))</f>
        <v>0</v>
      </c>
      <c r="Z76" s="13">
        <f>SUM(IFERROR(VLOOKUP($C:$C,Structure!$A:$AJ,Z$1,0)*15,0),IFERROR(VLOOKUP($D:$D,Structure!$A:$AJ,Z$1,0)*15,0),IFERROR(VLOOKUP($E:$E,Structure!$A:$AJ,Z$1,0)*15,0))</f>
        <v>0</v>
      </c>
      <c r="AA76" s="13">
        <f>SUM(IFERROR(VLOOKUP($C:$C,Structure!$A:$AJ,AA$1,0)*15,0),IFERROR(VLOOKUP($D:$D,Structure!$A:$AJ,AA$1,0)*15,0),IFERROR(VLOOKUP($E:$E,Structure!$A:$AJ,AA$1,0)*15,0))</f>
        <v>45</v>
      </c>
      <c r="AB76" s="13">
        <f>SUM(IFERROR(VLOOKUP($C:$C,Structure!$A:$AJ,AB$1,0)*15,0),IFERROR(VLOOKUP($D:$D,Structure!$A:$AJ,AB$1,0)*15,0),IFERROR(VLOOKUP($E:$E,Structure!$A:$AJ,AB$1,0)*15,0))</f>
        <v>0</v>
      </c>
      <c r="AC76" s="13">
        <f>SUM(IFERROR(VLOOKUP($C:$C,Structure!$A:$AJ,AC$1,0)*15,0),IFERROR(VLOOKUP($D:$D,Structure!$A:$AJ,AC$1,0)*15,0),IFERROR(VLOOKUP($E:$E,Structure!$A:$AJ,AC$1,0)*15,0))</f>
        <v>0</v>
      </c>
      <c r="AD76" s="13">
        <f>SUM(IFERROR(VLOOKUP($C:$C,Structure!$A:$AJ,AD$1,0)*15,0),IFERROR(VLOOKUP($D:$D,Structure!$A:$AJ,AD$1,0)*15,0),IFERROR(VLOOKUP($E:$E,Structure!$A:$AJ,AD$1,0)*15,0))</f>
        <v>0</v>
      </c>
      <c r="AE76" s="13">
        <f>SUM(IFERROR(VLOOKUP($C:$C,Structure!$A:$AJ,AE$1,0)*15,0),IFERROR(VLOOKUP($D:$D,Structure!$A:$AJ,AE$1,0)*15,0),IFERROR(VLOOKUP($E:$E,Structure!$A:$AJ,AE$1,0)*15,0))</f>
        <v>0</v>
      </c>
      <c r="AF76" s="13">
        <f>SUM(IFERROR(VLOOKUP($C:$C,Structure!$A:$AJ,AF$1,0)*15,0),IFERROR(VLOOKUP($D:$D,Structure!$A:$AJ,AF$1,0)*15,0),IFERROR(VLOOKUP($E:$E,Structure!$A:$AJ,AF$1,0)*15,0))</f>
        <v>0</v>
      </c>
      <c r="AG76" s="13">
        <f>SUM(IFERROR(VLOOKUP($C:$C,Structure!$A:$AJ,AG$1,0)*15,0),IFERROR(VLOOKUP($D:$D,Structure!$A:$AJ,AG$1,0)*15,0),IFERROR(VLOOKUP($E:$E,Structure!$A:$AJ,AG$1,0)*15,0))</f>
        <v>0</v>
      </c>
      <c r="AH76" s="13">
        <f>SUM(IFERROR(VLOOKUP($C:$C,Structure!$A:$AJ,AH$1,0)*15,0),IFERROR(VLOOKUP($D:$D,Structure!$A:$AJ,AH$1,0)*15,0),IFERROR(VLOOKUP($E:$E,Structure!$A:$AJ,AH$1,0)*15,0))</f>
        <v>0</v>
      </c>
      <c r="AI76" s="13">
        <f>SUM(IFERROR(VLOOKUP($C:$C,Structure!$A:$AJ,AI$1,0)*15,0),IFERROR(VLOOKUP($D:$D,Structure!$A:$AJ,AI$1,0)*15,0),IFERROR(VLOOKUP($E:$E,Structure!$A:$AJ,AI$1,0)*15,0))</f>
        <v>0</v>
      </c>
      <c r="AJ76" s="13">
        <f>SUM(IFERROR(VLOOKUP($C:$C,Structure!$A:$AJ,AJ$1,0)*15,0),IFERROR(VLOOKUP($D:$D,Structure!$A:$AJ,AJ$1,0)*15,0),IFERROR(VLOOKUP($E:$E,Structure!$A:$AJ,AJ$1,0)*15,0))</f>
        <v>30</v>
      </c>
      <c r="AK76" s="13">
        <f>SUM(IFERROR(VLOOKUP($C:$C,Structure!$A:$AJ,AK$1,0)*15,0),IFERROR(VLOOKUP($D:$D,Structure!$A:$AJ,AK$1,0)*15,0),IFERROR(VLOOKUP($E:$E,Structure!$A:$AJ,AK$1,0)*15,0))</f>
        <v>15</v>
      </c>
      <c r="AL76" s="13">
        <f>SUM(IFERROR(VLOOKUP($C:$C,Structure!$A:$AJ,AL$1,0)*15,0),IFERROR(VLOOKUP($D:$D,Structure!$A:$AJ,AL$1,0)*15,0),IFERROR(VLOOKUP($E:$E,Structure!$A:$AJ,AL$1,0)*15,0))</f>
        <v>0</v>
      </c>
      <c r="AM76" s="13">
        <f>SUM(IFERROR(VLOOKUP($C:$C,Structure!$A:$AJ,AM$1,0)*15,0),IFERROR(VLOOKUP($D:$D,Structure!$A:$AJ,AM$1,0)*15,0),IFERROR(VLOOKUP($E:$E,Structure!$A:$AJ,AM$1,0)*15,0))</f>
        <v>0</v>
      </c>
      <c r="AN76" s="13">
        <f>SUM(IFERROR(VLOOKUP($C:$C,Structure!$A:$AJ,AN$1,0)*15,0),IFERROR(VLOOKUP($D:$D,Structure!$A:$AJ,AN$1,0)*15,0),IFERROR(VLOOKUP($E:$E,Structure!$A:$AJ,AN$1,0)*15,0))</f>
        <v>0</v>
      </c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3"/>
      <c r="BZ76" s="4">
        <f>BZ75+AQ76-F76</f>
        <v>0</v>
      </c>
      <c r="CA76" s="4">
        <f>CA75+AR76-G76</f>
        <v>0</v>
      </c>
      <c r="CB76" s="4">
        <f>CB75+AS76-H76</f>
        <v>0</v>
      </c>
      <c r="CC76" s="4">
        <f>CC75+AT76-I76</f>
        <v>0</v>
      </c>
      <c r="CD76" s="4">
        <f>CD75+AU76-J76</f>
        <v>0</v>
      </c>
      <c r="CE76" s="4">
        <f>CE75+AV76-K76</f>
        <v>0</v>
      </c>
      <c r="CF76" s="4">
        <f>CF75+AW76-L76</f>
        <v>0</v>
      </c>
      <c r="CG76" s="4">
        <f>CG75+AX76-M76</f>
        <v>0</v>
      </c>
      <c r="CH76" s="4">
        <f>CH75+AY76-N76</f>
        <v>0</v>
      </c>
      <c r="CI76" s="4">
        <f>CI75+AZ76-O76</f>
        <v>0</v>
      </c>
      <c r="CJ76" s="4">
        <f>CJ75+BA76-P76</f>
        <v>0</v>
      </c>
      <c r="CK76" s="4">
        <f>CK75+BB76-Q76</f>
        <v>0</v>
      </c>
      <c r="CL76" s="4">
        <f>CL75+BC76-R76</f>
        <v>0</v>
      </c>
      <c r="CM76" s="4">
        <f>CM75+BD76-S76</f>
        <v>0</v>
      </c>
      <c r="CN76" s="4">
        <f>CN75+BE76-T76</f>
        <v>0</v>
      </c>
      <c r="CO76" s="4">
        <f>CO75+BF76-U76</f>
        <v>0</v>
      </c>
      <c r="CP76" s="4">
        <f>CP75+BG76-V76</f>
        <v>0</v>
      </c>
      <c r="CQ76" s="4">
        <f>CQ75+BH76-W76</f>
        <v>0</v>
      </c>
      <c r="CR76" s="4">
        <f>CR75+BI76-X76</f>
        <v>0</v>
      </c>
      <c r="CS76" s="4">
        <f>CS75+BJ76-Y76</f>
        <v>0</v>
      </c>
      <c r="CT76" s="4">
        <f>CT75+BK76-Z76</f>
        <v>0</v>
      </c>
      <c r="CU76" s="4">
        <f>CU75+BL76-AA76</f>
        <v>-2810</v>
      </c>
      <c r="CV76" s="4">
        <f>CV75+BM76-AB76</f>
        <v>-225</v>
      </c>
      <c r="CW76" s="4">
        <f>CW75+BN76-AC76</f>
        <v>-195</v>
      </c>
      <c r="CX76" s="4">
        <f>CX75+BO76-AD76</f>
        <v>0</v>
      </c>
      <c r="CY76" s="4">
        <f>CY75+BP76-AE76</f>
        <v>0</v>
      </c>
      <c r="CZ76" s="4">
        <f>CZ75+BQ76-AF76</f>
        <v>-145</v>
      </c>
      <c r="DA76" s="4">
        <f>DA75+BR76-AG76</f>
        <v>0</v>
      </c>
      <c r="DB76" s="4">
        <f>DB75+BS76-AH76</f>
        <v>0</v>
      </c>
      <c r="DC76" s="4">
        <f>DC75+BT76-AI76</f>
        <v>0</v>
      </c>
      <c r="DD76" s="4">
        <f>DD75+BU76-AJ76</f>
        <v>-2005</v>
      </c>
      <c r="DE76" s="4">
        <f>DE75+BV76-AK76</f>
        <v>-825</v>
      </c>
      <c r="DF76" s="4">
        <f>DF75+BW76-AL76</f>
        <v>0</v>
      </c>
      <c r="DG76" s="4">
        <f>DG75+BX76-AM76</f>
        <v>-175</v>
      </c>
      <c r="DH76" s="4">
        <f>DH75+BY76-AN76</f>
        <v>0</v>
      </c>
    </row>
    <row r="77" spans="1:112" x14ac:dyDescent="0.25">
      <c r="A77" s="6">
        <v>46182</v>
      </c>
      <c r="B77" s="7">
        <v>0.41666666648961836</v>
      </c>
      <c r="C77" s="3" t="s">
        <v>3</v>
      </c>
      <c r="D77" s="3" t="s">
        <v>6</v>
      </c>
      <c r="E77" s="3" t="s">
        <v>2</v>
      </c>
      <c r="F77" s="13">
        <f>SUM(IFERROR(VLOOKUP($C:$C,Structure!$A:$AJ,F$1,0)*15,0),IFERROR(VLOOKUP($D:$D,Structure!$A:$AJ,F$1,0)*15,0),IFERROR(VLOOKUP($E:$E,Structure!$A:$AJ,F$1,0)*15,0))</f>
        <v>0</v>
      </c>
      <c r="G77" s="13">
        <f>SUM(IFERROR(VLOOKUP($C:$C,Structure!$A:$AJ,G$1,0)*15,0),IFERROR(VLOOKUP($D:$D,Structure!$A:$AJ,G$1,0)*15,0),IFERROR(VLOOKUP($E:$E,Structure!$A:$AJ,G$1,0)*15,0))</f>
        <v>0</v>
      </c>
      <c r="H77" s="13">
        <f>SUM(IFERROR(VLOOKUP($C:$C,Structure!$A:$AJ,H$1,0)*15,0),IFERROR(VLOOKUP($D:$D,Structure!$A:$AJ,H$1,0)*15,0),IFERROR(VLOOKUP($E:$E,Structure!$A:$AJ,H$1,0)*15,0))</f>
        <v>0</v>
      </c>
      <c r="I77" s="13">
        <f>SUM(IFERROR(VLOOKUP($C:$C,Structure!$A:$AJ,I$1,0)*15,0),IFERROR(VLOOKUP($D:$D,Structure!$A:$AJ,I$1,0)*15,0),IFERROR(VLOOKUP($E:$E,Structure!$A:$AJ,I$1,0)*15,0))</f>
        <v>0</v>
      </c>
      <c r="J77" s="13">
        <f>SUM(IFERROR(VLOOKUP($C:$C,Structure!$A:$AJ,J$1,0)*15,0),IFERROR(VLOOKUP($D:$D,Structure!$A:$AJ,J$1,0)*15,0),IFERROR(VLOOKUP($E:$E,Structure!$A:$AJ,J$1,0)*15,0))</f>
        <v>0</v>
      </c>
      <c r="K77" s="13">
        <f>SUM(IFERROR(VLOOKUP($C:$C,Structure!$A:$AJ,K$1,0)*15,0),IFERROR(VLOOKUP($D:$D,Structure!$A:$AJ,K$1,0)*15,0),IFERROR(VLOOKUP($E:$E,Structure!$A:$AJ,K$1,0)*15,0))</f>
        <v>0</v>
      </c>
      <c r="L77" s="13">
        <f>SUM(IFERROR(VLOOKUP($C:$C,Structure!$A:$AJ,L$1,0)*15,0),IFERROR(VLOOKUP($D:$D,Structure!$A:$AJ,L$1,0)*15,0),IFERROR(VLOOKUP($E:$E,Structure!$A:$AJ,L$1,0)*15,0))</f>
        <v>0</v>
      </c>
      <c r="M77" s="13">
        <f>SUM(IFERROR(VLOOKUP($C:$C,Structure!$A:$AJ,M$1,0)*15,0),IFERROR(VLOOKUP($D:$D,Structure!$A:$AJ,M$1,0)*15,0),IFERROR(VLOOKUP($E:$E,Structure!$A:$AJ,M$1,0)*15,0))</f>
        <v>0</v>
      </c>
      <c r="N77" s="13">
        <f>SUM(IFERROR(VLOOKUP($C:$C,Structure!$A:$AJ,N$1,0)*15,0),IFERROR(VLOOKUP($D:$D,Structure!$A:$AJ,N$1,0)*15,0),IFERROR(VLOOKUP($E:$E,Structure!$A:$AJ,N$1,0)*15,0))</f>
        <v>0</v>
      </c>
      <c r="O77" s="13">
        <f>SUM(IFERROR(VLOOKUP($C:$C,Structure!$A:$AJ,O$1,0)*15,0),IFERROR(VLOOKUP($D:$D,Structure!$A:$AJ,O$1,0)*15,0),IFERROR(VLOOKUP($E:$E,Structure!$A:$AJ,O$1,0)*15,0))</f>
        <v>0</v>
      </c>
      <c r="P77" s="13">
        <f>SUM(IFERROR(VLOOKUP($C:$C,Structure!$A:$AJ,P$1,0)*15,0),IFERROR(VLOOKUP($D:$D,Structure!$A:$AJ,P$1,0)*15,0),IFERROR(VLOOKUP($E:$E,Structure!$A:$AJ,P$1,0)*15,0))</f>
        <v>0</v>
      </c>
      <c r="Q77" s="13">
        <f>SUM(IFERROR(VLOOKUP($C:$C,Structure!$A:$AJ,Q$1,0)*15,0),IFERROR(VLOOKUP($D:$D,Structure!$A:$AJ,Q$1,0)*15,0),IFERROR(VLOOKUP($E:$E,Structure!$A:$AJ,Q$1,0)*15,0))</f>
        <v>0</v>
      </c>
      <c r="R77" s="13">
        <f>SUM(IFERROR(VLOOKUP($C:$C,Structure!$A:$AJ,R$1,0)*15,0),IFERROR(VLOOKUP($D:$D,Structure!$A:$AJ,R$1,0)*15,0),IFERROR(VLOOKUP($E:$E,Structure!$A:$AJ,R$1,0)*15,0))</f>
        <v>0</v>
      </c>
      <c r="S77" s="13">
        <f>SUM(IFERROR(VLOOKUP($C:$C,Structure!$A:$AJ,S$1,0)*15,0),IFERROR(VLOOKUP($D:$D,Structure!$A:$AJ,S$1,0)*15,0),IFERROR(VLOOKUP($E:$E,Structure!$A:$AJ,S$1,0)*15,0))</f>
        <v>0</v>
      </c>
      <c r="T77" s="13">
        <f>SUM(IFERROR(VLOOKUP($C:$C,Structure!$A:$AJ,T$1,0)*15,0),IFERROR(VLOOKUP($D:$D,Structure!$A:$AJ,T$1,0)*15,0),IFERROR(VLOOKUP($E:$E,Structure!$A:$AJ,T$1,0)*15,0))</f>
        <v>0</v>
      </c>
      <c r="U77" s="13">
        <f>SUM(IFERROR(VLOOKUP($C:$C,Structure!$A:$AJ,U$1,0)*15,0),IFERROR(VLOOKUP($D:$D,Structure!$A:$AJ,U$1,0)*15,0),IFERROR(VLOOKUP($E:$E,Structure!$A:$AJ,U$1,0)*15,0))</f>
        <v>0</v>
      </c>
      <c r="V77" s="13">
        <f>SUM(IFERROR(VLOOKUP($C:$C,Structure!$A:$AJ,V$1,0)*15,0),IFERROR(VLOOKUP($D:$D,Structure!$A:$AJ,V$1,0)*15,0),IFERROR(VLOOKUP($E:$E,Structure!$A:$AJ,V$1,0)*15,0))</f>
        <v>0</v>
      </c>
      <c r="W77" s="13">
        <f>SUM(IFERROR(VLOOKUP($C:$C,Structure!$A:$AJ,W$1,0)*15,0),IFERROR(VLOOKUP($D:$D,Structure!$A:$AJ,W$1,0)*15,0),IFERROR(VLOOKUP($E:$E,Structure!$A:$AJ,W$1,0)*15,0))</f>
        <v>0</v>
      </c>
      <c r="X77" s="13">
        <f>SUM(IFERROR(VLOOKUP($C:$C,Structure!$A:$AJ,X$1,0)*15,0),IFERROR(VLOOKUP($D:$D,Structure!$A:$AJ,X$1,0)*15,0),IFERROR(VLOOKUP($E:$E,Structure!$A:$AJ,X$1,0)*15,0))</f>
        <v>0</v>
      </c>
      <c r="Y77" s="13">
        <f>SUM(IFERROR(VLOOKUP($C:$C,Structure!$A:$AJ,Y$1,0)*15,0),IFERROR(VLOOKUP($D:$D,Structure!$A:$AJ,Y$1,0)*15,0),IFERROR(VLOOKUP($E:$E,Structure!$A:$AJ,Y$1,0)*15,0))</f>
        <v>0</v>
      </c>
      <c r="Z77" s="13">
        <f>SUM(IFERROR(VLOOKUP($C:$C,Structure!$A:$AJ,Z$1,0)*15,0),IFERROR(VLOOKUP($D:$D,Structure!$A:$AJ,Z$1,0)*15,0),IFERROR(VLOOKUP($E:$E,Structure!$A:$AJ,Z$1,0)*15,0))</f>
        <v>0</v>
      </c>
      <c r="AA77" s="13">
        <f>SUM(IFERROR(VLOOKUP($C:$C,Structure!$A:$AJ,AA$1,0)*15,0),IFERROR(VLOOKUP($D:$D,Structure!$A:$AJ,AA$1,0)*15,0),IFERROR(VLOOKUP($E:$E,Structure!$A:$AJ,AA$1,0)*15,0))</f>
        <v>45</v>
      </c>
      <c r="AB77" s="13">
        <f>SUM(IFERROR(VLOOKUP($C:$C,Structure!$A:$AJ,AB$1,0)*15,0),IFERROR(VLOOKUP($D:$D,Structure!$A:$AJ,AB$1,0)*15,0),IFERROR(VLOOKUP($E:$E,Structure!$A:$AJ,AB$1,0)*15,0))</f>
        <v>0</v>
      </c>
      <c r="AC77" s="13">
        <f>SUM(IFERROR(VLOOKUP($C:$C,Structure!$A:$AJ,AC$1,0)*15,0),IFERROR(VLOOKUP($D:$D,Structure!$A:$AJ,AC$1,0)*15,0),IFERROR(VLOOKUP($E:$E,Structure!$A:$AJ,AC$1,0)*15,0))</f>
        <v>0</v>
      </c>
      <c r="AD77" s="13">
        <f>SUM(IFERROR(VLOOKUP($C:$C,Structure!$A:$AJ,AD$1,0)*15,0),IFERROR(VLOOKUP($D:$D,Structure!$A:$AJ,AD$1,0)*15,0),IFERROR(VLOOKUP($E:$E,Structure!$A:$AJ,AD$1,0)*15,0))</f>
        <v>0</v>
      </c>
      <c r="AE77" s="13">
        <f>SUM(IFERROR(VLOOKUP($C:$C,Structure!$A:$AJ,AE$1,0)*15,0),IFERROR(VLOOKUP($D:$D,Structure!$A:$AJ,AE$1,0)*15,0),IFERROR(VLOOKUP($E:$E,Structure!$A:$AJ,AE$1,0)*15,0))</f>
        <v>0</v>
      </c>
      <c r="AF77" s="13">
        <f>SUM(IFERROR(VLOOKUP($C:$C,Structure!$A:$AJ,AF$1,0)*15,0),IFERROR(VLOOKUP($D:$D,Structure!$A:$AJ,AF$1,0)*15,0),IFERROR(VLOOKUP($E:$E,Structure!$A:$AJ,AF$1,0)*15,0))</f>
        <v>0</v>
      </c>
      <c r="AG77" s="13">
        <f>SUM(IFERROR(VLOOKUP($C:$C,Structure!$A:$AJ,AG$1,0)*15,0),IFERROR(VLOOKUP($D:$D,Structure!$A:$AJ,AG$1,0)*15,0),IFERROR(VLOOKUP($E:$E,Structure!$A:$AJ,AG$1,0)*15,0))</f>
        <v>0</v>
      </c>
      <c r="AH77" s="13">
        <f>SUM(IFERROR(VLOOKUP($C:$C,Structure!$A:$AJ,AH$1,0)*15,0),IFERROR(VLOOKUP($D:$D,Structure!$A:$AJ,AH$1,0)*15,0),IFERROR(VLOOKUP($E:$E,Structure!$A:$AJ,AH$1,0)*15,0))</f>
        <v>0</v>
      </c>
      <c r="AI77" s="13">
        <f>SUM(IFERROR(VLOOKUP($C:$C,Structure!$A:$AJ,AI$1,0)*15,0),IFERROR(VLOOKUP($D:$D,Structure!$A:$AJ,AI$1,0)*15,0),IFERROR(VLOOKUP($E:$E,Structure!$A:$AJ,AI$1,0)*15,0))</f>
        <v>0</v>
      </c>
      <c r="AJ77" s="13">
        <f>SUM(IFERROR(VLOOKUP($C:$C,Structure!$A:$AJ,AJ$1,0)*15,0),IFERROR(VLOOKUP($D:$D,Structure!$A:$AJ,AJ$1,0)*15,0),IFERROR(VLOOKUP($E:$E,Structure!$A:$AJ,AJ$1,0)*15,0))</f>
        <v>30</v>
      </c>
      <c r="AK77" s="13">
        <f>SUM(IFERROR(VLOOKUP($C:$C,Structure!$A:$AJ,AK$1,0)*15,0),IFERROR(VLOOKUP($D:$D,Structure!$A:$AJ,AK$1,0)*15,0),IFERROR(VLOOKUP($E:$E,Structure!$A:$AJ,AK$1,0)*15,0))</f>
        <v>15</v>
      </c>
      <c r="AL77" s="13">
        <f>SUM(IFERROR(VLOOKUP($C:$C,Structure!$A:$AJ,AL$1,0)*15,0),IFERROR(VLOOKUP($D:$D,Structure!$A:$AJ,AL$1,0)*15,0),IFERROR(VLOOKUP($E:$E,Structure!$A:$AJ,AL$1,0)*15,0))</f>
        <v>0</v>
      </c>
      <c r="AM77" s="13">
        <f>SUM(IFERROR(VLOOKUP($C:$C,Structure!$A:$AJ,AM$1,0)*15,0),IFERROR(VLOOKUP($D:$D,Structure!$A:$AJ,AM$1,0)*15,0),IFERROR(VLOOKUP($E:$E,Structure!$A:$AJ,AM$1,0)*15,0))</f>
        <v>0</v>
      </c>
      <c r="AN77" s="13">
        <f>SUM(IFERROR(VLOOKUP($C:$C,Structure!$A:$AJ,AN$1,0)*15,0),IFERROR(VLOOKUP($D:$D,Structure!$A:$AJ,AN$1,0)*15,0),IFERROR(VLOOKUP($E:$E,Structure!$A:$AJ,AN$1,0)*15,0))</f>
        <v>0</v>
      </c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3"/>
      <c r="BZ77" s="4">
        <f>BZ76+AQ77-F77</f>
        <v>0</v>
      </c>
      <c r="CA77" s="4">
        <f>CA76+AR77-G77</f>
        <v>0</v>
      </c>
      <c r="CB77" s="4">
        <f>CB76+AS77-H77</f>
        <v>0</v>
      </c>
      <c r="CC77" s="4">
        <f>CC76+AT77-I77</f>
        <v>0</v>
      </c>
      <c r="CD77" s="4">
        <f>CD76+AU77-J77</f>
        <v>0</v>
      </c>
      <c r="CE77" s="4">
        <f>CE76+AV77-K77</f>
        <v>0</v>
      </c>
      <c r="CF77" s="4">
        <f>CF76+AW77-L77</f>
        <v>0</v>
      </c>
      <c r="CG77" s="4">
        <f>CG76+AX77-M77</f>
        <v>0</v>
      </c>
      <c r="CH77" s="4">
        <f>CH76+AY77-N77</f>
        <v>0</v>
      </c>
      <c r="CI77" s="4">
        <f>CI76+AZ77-O77</f>
        <v>0</v>
      </c>
      <c r="CJ77" s="4">
        <f>CJ76+BA77-P77</f>
        <v>0</v>
      </c>
      <c r="CK77" s="4">
        <f>CK76+BB77-Q77</f>
        <v>0</v>
      </c>
      <c r="CL77" s="4">
        <f>CL76+BC77-R77</f>
        <v>0</v>
      </c>
      <c r="CM77" s="4">
        <f>CM76+BD77-S77</f>
        <v>0</v>
      </c>
      <c r="CN77" s="4">
        <f>CN76+BE77-T77</f>
        <v>0</v>
      </c>
      <c r="CO77" s="4">
        <f>CO76+BF77-U77</f>
        <v>0</v>
      </c>
      <c r="CP77" s="4">
        <f>CP76+BG77-V77</f>
        <v>0</v>
      </c>
      <c r="CQ77" s="4">
        <f>CQ76+BH77-W77</f>
        <v>0</v>
      </c>
      <c r="CR77" s="4">
        <f>CR76+BI77-X77</f>
        <v>0</v>
      </c>
      <c r="CS77" s="4">
        <f>CS76+BJ77-Y77</f>
        <v>0</v>
      </c>
      <c r="CT77" s="4">
        <f>CT76+BK77-Z77</f>
        <v>0</v>
      </c>
      <c r="CU77" s="4">
        <f>CU76+BL77-AA77</f>
        <v>-2855</v>
      </c>
      <c r="CV77" s="4">
        <f>CV76+BM77-AB77</f>
        <v>-225</v>
      </c>
      <c r="CW77" s="4">
        <f>CW76+BN77-AC77</f>
        <v>-195</v>
      </c>
      <c r="CX77" s="4">
        <f>CX76+BO77-AD77</f>
        <v>0</v>
      </c>
      <c r="CY77" s="4">
        <f>CY76+BP77-AE77</f>
        <v>0</v>
      </c>
      <c r="CZ77" s="4">
        <f>CZ76+BQ77-AF77</f>
        <v>-145</v>
      </c>
      <c r="DA77" s="4">
        <f>DA76+BR77-AG77</f>
        <v>0</v>
      </c>
      <c r="DB77" s="4">
        <f>DB76+BS77-AH77</f>
        <v>0</v>
      </c>
      <c r="DC77" s="4">
        <f>DC76+BT77-AI77</f>
        <v>0</v>
      </c>
      <c r="DD77" s="4">
        <f>DD76+BU77-AJ77</f>
        <v>-2035</v>
      </c>
      <c r="DE77" s="4">
        <f>DE76+BV77-AK77</f>
        <v>-840</v>
      </c>
      <c r="DF77" s="4">
        <f>DF76+BW77-AL77</f>
        <v>0</v>
      </c>
      <c r="DG77" s="4">
        <f>DG76+BX77-AM77</f>
        <v>-175</v>
      </c>
      <c r="DH77" s="4">
        <f>DH76+BY77-AN77</f>
        <v>0</v>
      </c>
    </row>
    <row r="78" spans="1:112" x14ac:dyDescent="0.25">
      <c r="A78" s="6">
        <v>46182</v>
      </c>
      <c r="B78" s="7">
        <v>0.45833333315385971</v>
      </c>
      <c r="C78" s="3" t="s">
        <v>3</v>
      </c>
      <c r="D78" s="3" t="s">
        <v>6</v>
      </c>
      <c r="E78" s="3" t="s">
        <v>2</v>
      </c>
      <c r="F78" s="13">
        <f>SUM(IFERROR(VLOOKUP($C:$C,Structure!$A:$AJ,F$1,0)*15,0),IFERROR(VLOOKUP($D:$D,Structure!$A:$AJ,F$1,0)*15,0),IFERROR(VLOOKUP($E:$E,Structure!$A:$AJ,F$1,0)*15,0))</f>
        <v>0</v>
      </c>
      <c r="G78" s="13">
        <f>SUM(IFERROR(VLOOKUP($C:$C,Structure!$A:$AJ,G$1,0)*15,0),IFERROR(VLOOKUP($D:$D,Structure!$A:$AJ,G$1,0)*15,0),IFERROR(VLOOKUP($E:$E,Structure!$A:$AJ,G$1,0)*15,0))</f>
        <v>0</v>
      </c>
      <c r="H78" s="13">
        <f>SUM(IFERROR(VLOOKUP($C:$C,Structure!$A:$AJ,H$1,0)*15,0),IFERROR(VLOOKUP($D:$D,Structure!$A:$AJ,H$1,0)*15,0),IFERROR(VLOOKUP($E:$E,Structure!$A:$AJ,H$1,0)*15,0))</f>
        <v>0</v>
      </c>
      <c r="I78" s="13">
        <f>SUM(IFERROR(VLOOKUP($C:$C,Structure!$A:$AJ,I$1,0)*15,0),IFERROR(VLOOKUP($D:$D,Structure!$A:$AJ,I$1,0)*15,0),IFERROR(VLOOKUP($E:$E,Structure!$A:$AJ,I$1,0)*15,0))</f>
        <v>0</v>
      </c>
      <c r="J78" s="13">
        <f>SUM(IFERROR(VLOOKUP($C:$C,Structure!$A:$AJ,J$1,0)*15,0),IFERROR(VLOOKUP($D:$D,Structure!$A:$AJ,J$1,0)*15,0),IFERROR(VLOOKUP($E:$E,Structure!$A:$AJ,J$1,0)*15,0))</f>
        <v>0</v>
      </c>
      <c r="K78" s="13">
        <f>SUM(IFERROR(VLOOKUP($C:$C,Structure!$A:$AJ,K$1,0)*15,0),IFERROR(VLOOKUP($D:$D,Structure!$A:$AJ,K$1,0)*15,0),IFERROR(VLOOKUP($E:$E,Structure!$A:$AJ,K$1,0)*15,0))</f>
        <v>0</v>
      </c>
      <c r="L78" s="13">
        <f>SUM(IFERROR(VLOOKUP($C:$C,Structure!$A:$AJ,L$1,0)*15,0),IFERROR(VLOOKUP($D:$D,Structure!$A:$AJ,L$1,0)*15,0),IFERROR(VLOOKUP($E:$E,Structure!$A:$AJ,L$1,0)*15,0))</f>
        <v>0</v>
      </c>
      <c r="M78" s="13">
        <f>SUM(IFERROR(VLOOKUP($C:$C,Structure!$A:$AJ,M$1,0)*15,0),IFERROR(VLOOKUP($D:$D,Structure!$A:$AJ,M$1,0)*15,0),IFERROR(VLOOKUP($E:$E,Structure!$A:$AJ,M$1,0)*15,0))</f>
        <v>0</v>
      </c>
      <c r="N78" s="13">
        <f>SUM(IFERROR(VLOOKUP($C:$C,Structure!$A:$AJ,N$1,0)*15,0),IFERROR(VLOOKUP($D:$D,Structure!$A:$AJ,N$1,0)*15,0),IFERROR(VLOOKUP($E:$E,Structure!$A:$AJ,N$1,0)*15,0))</f>
        <v>0</v>
      </c>
      <c r="O78" s="13">
        <f>SUM(IFERROR(VLOOKUP($C:$C,Structure!$A:$AJ,O$1,0)*15,0),IFERROR(VLOOKUP($D:$D,Structure!$A:$AJ,O$1,0)*15,0),IFERROR(VLOOKUP($E:$E,Structure!$A:$AJ,O$1,0)*15,0))</f>
        <v>0</v>
      </c>
      <c r="P78" s="13">
        <f>SUM(IFERROR(VLOOKUP($C:$C,Structure!$A:$AJ,P$1,0)*15,0),IFERROR(VLOOKUP($D:$D,Structure!$A:$AJ,P$1,0)*15,0),IFERROR(VLOOKUP($E:$E,Structure!$A:$AJ,P$1,0)*15,0))</f>
        <v>0</v>
      </c>
      <c r="Q78" s="13">
        <f>SUM(IFERROR(VLOOKUP($C:$C,Structure!$A:$AJ,Q$1,0)*15,0),IFERROR(VLOOKUP($D:$D,Structure!$A:$AJ,Q$1,0)*15,0),IFERROR(VLOOKUP($E:$E,Structure!$A:$AJ,Q$1,0)*15,0))</f>
        <v>0</v>
      </c>
      <c r="R78" s="13">
        <f>SUM(IFERROR(VLOOKUP($C:$C,Structure!$A:$AJ,R$1,0)*15,0),IFERROR(VLOOKUP($D:$D,Structure!$A:$AJ,R$1,0)*15,0),IFERROR(VLOOKUP($E:$E,Structure!$A:$AJ,R$1,0)*15,0))</f>
        <v>0</v>
      </c>
      <c r="S78" s="13">
        <f>SUM(IFERROR(VLOOKUP($C:$C,Structure!$A:$AJ,S$1,0)*15,0),IFERROR(VLOOKUP($D:$D,Structure!$A:$AJ,S$1,0)*15,0),IFERROR(VLOOKUP($E:$E,Structure!$A:$AJ,S$1,0)*15,0))</f>
        <v>0</v>
      </c>
      <c r="T78" s="13">
        <f>SUM(IFERROR(VLOOKUP($C:$C,Structure!$A:$AJ,T$1,0)*15,0),IFERROR(VLOOKUP($D:$D,Structure!$A:$AJ,T$1,0)*15,0),IFERROR(VLOOKUP($E:$E,Structure!$A:$AJ,T$1,0)*15,0))</f>
        <v>0</v>
      </c>
      <c r="U78" s="13">
        <f>SUM(IFERROR(VLOOKUP($C:$C,Structure!$A:$AJ,U$1,0)*15,0),IFERROR(VLOOKUP($D:$D,Structure!$A:$AJ,U$1,0)*15,0),IFERROR(VLOOKUP($E:$E,Structure!$A:$AJ,U$1,0)*15,0))</f>
        <v>0</v>
      </c>
      <c r="V78" s="13">
        <f>SUM(IFERROR(VLOOKUP($C:$C,Structure!$A:$AJ,V$1,0)*15,0),IFERROR(VLOOKUP($D:$D,Structure!$A:$AJ,V$1,0)*15,0),IFERROR(VLOOKUP($E:$E,Structure!$A:$AJ,V$1,0)*15,0))</f>
        <v>0</v>
      </c>
      <c r="W78" s="13">
        <f>SUM(IFERROR(VLOOKUP($C:$C,Structure!$A:$AJ,W$1,0)*15,0),IFERROR(VLOOKUP($D:$D,Structure!$A:$AJ,W$1,0)*15,0),IFERROR(VLOOKUP($E:$E,Structure!$A:$AJ,W$1,0)*15,0))</f>
        <v>0</v>
      </c>
      <c r="X78" s="13">
        <f>SUM(IFERROR(VLOOKUP($C:$C,Structure!$A:$AJ,X$1,0)*15,0),IFERROR(VLOOKUP($D:$D,Structure!$A:$AJ,X$1,0)*15,0),IFERROR(VLOOKUP($E:$E,Structure!$A:$AJ,X$1,0)*15,0))</f>
        <v>0</v>
      </c>
      <c r="Y78" s="13">
        <f>SUM(IFERROR(VLOOKUP($C:$C,Structure!$A:$AJ,Y$1,0)*15,0),IFERROR(VLOOKUP($D:$D,Structure!$A:$AJ,Y$1,0)*15,0),IFERROR(VLOOKUP($E:$E,Structure!$A:$AJ,Y$1,0)*15,0))</f>
        <v>0</v>
      </c>
      <c r="Z78" s="13">
        <f>SUM(IFERROR(VLOOKUP($C:$C,Structure!$A:$AJ,Z$1,0)*15,0),IFERROR(VLOOKUP($D:$D,Structure!$A:$AJ,Z$1,0)*15,0),IFERROR(VLOOKUP($E:$E,Structure!$A:$AJ,Z$1,0)*15,0))</f>
        <v>0</v>
      </c>
      <c r="AA78" s="13">
        <f>SUM(IFERROR(VLOOKUP($C:$C,Structure!$A:$AJ,AA$1,0)*15,0),IFERROR(VLOOKUP($D:$D,Structure!$A:$AJ,AA$1,0)*15,0),IFERROR(VLOOKUP($E:$E,Structure!$A:$AJ,AA$1,0)*15,0))</f>
        <v>45</v>
      </c>
      <c r="AB78" s="13">
        <f>SUM(IFERROR(VLOOKUP($C:$C,Structure!$A:$AJ,AB$1,0)*15,0),IFERROR(VLOOKUP($D:$D,Structure!$A:$AJ,AB$1,0)*15,0),IFERROR(VLOOKUP($E:$E,Structure!$A:$AJ,AB$1,0)*15,0))</f>
        <v>0</v>
      </c>
      <c r="AC78" s="13">
        <f>SUM(IFERROR(VLOOKUP($C:$C,Structure!$A:$AJ,AC$1,0)*15,0),IFERROR(VLOOKUP($D:$D,Structure!$A:$AJ,AC$1,0)*15,0),IFERROR(VLOOKUP($E:$E,Structure!$A:$AJ,AC$1,0)*15,0))</f>
        <v>0</v>
      </c>
      <c r="AD78" s="13">
        <f>SUM(IFERROR(VLOOKUP($C:$C,Structure!$A:$AJ,AD$1,0)*15,0),IFERROR(VLOOKUP($D:$D,Structure!$A:$AJ,AD$1,0)*15,0),IFERROR(VLOOKUP($E:$E,Structure!$A:$AJ,AD$1,0)*15,0))</f>
        <v>0</v>
      </c>
      <c r="AE78" s="13">
        <f>SUM(IFERROR(VLOOKUP($C:$C,Structure!$A:$AJ,AE$1,0)*15,0),IFERROR(VLOOKUP($D:$D,Structure!$A:$AJ,AE$1,0)*15,0),IFERROR(VLOOKUP($E:$E,Structure!$A:$AJ,AE$1,0)*15,0))</f>
        <v>0</v>
      </c>
      <c r="AF78" s="13">
        <f>SUM(IFERROR(VLOOKUP($C:$C,Structure!$A:$AJ,AF$1,0)*15,0),IFERROR(VLOOKUP($D:$D,Structure!$A:$AJ,AF$1,0)*15,0),IFERROR(VLOOKUP($E:$E,Structure!$A:$AJ,AF$1,0)*15,0))</f>
        <v>0</v>
      </c>
      <c r="AG78" s="13">
        <f>SUM(IFERROR(VLOOKUP($C:$C,Structure!$A:$AJ,AG$1,0)*15,0),IFERROR(VLOOKUP($D:$D,Structure!$A:$AJ,AG$1,0)*15,0),IFERROR(VLOOKUP($E:$E,Structure!$A:$AJ,AG$1,0)*15,0))</f>
        <v>0</v>
      </c>
      <c r="AH78" s="13">
        <f>SUM(IFERROR(VLOOKUP($C:$C,Structure!$A:$AJ,AH$1,0)*15,0),IFERROR(VLOOKUP($D:$D,Structure!$A:$AJ,AH$1,0)*15,0),IFERROR(VLOOKUP($E:$E,Structure!$A:$AJ,AH$1,0)*15,0))</f>
        <v>0</v>
      </c>
      <c r="AI78" s="13">
        <f>SUM(IFERROR(VLOOKUP($C:$C,Structure!$A:$AJ,AI$1,0)*15,0),IFERROR(VLOOKUP($D:$D,Structure!$A:$AJ,AI$1,0)*15,0),IFERROR(VLOOKUP($E:$E,Structure!$A:$AJ,AI$1,0)*15,0))</f>
        <v>0</v>
      </c>
      <c r="AJ78" s="13">
        <f>SUM(IFERROR(VLOOKUP($C:$C,Structure!$A:$AJ,AJ$1,0)*15,0),IFERROR(VLOOKUP($D:$D,Structure!$A:$AJ,AJ$1,0)*15,0),IFERROR(VLOOKUP($E:$E,Structure!$A:$AJ,AJ$1,0)*15,0))</f>
        <v>30</v>
      </c>
      <c r="AK78" s="13">
        <f>SUM(IFERROR(VLOOKUP($C:$C,Structure!$A:$AJ,AK$1,0)*15,0),IFERROR(VLOOKUP($D:$D,Structure!$A:$AJ,AK$1,0)*15,0),IFERROR(VLOOKUP($E:$E,Structure!$A:$AJ,AK$1,0)*15,0))</f>
        <v>15</v>
      </c>
      <c r="AL78" s="13">
        <f>SUM(IFERROR(VLOOKUP($C:$C,Structure!$A:$AJ,AL$1,0)*15,0),IFERROR(VLOOKUP($D:$D,Structure!$A:$AJ,AL$1,0)*15,0),IFERROR(VLOOKUP($E:$E,Structure!$A:$AJ,AL$1,0)*15,0))</f>
        <v>0</v>
      </c>
      <c r="AM78" s="13">
        <f>SUM(IFERROR(VLOOKUP($C:$C,Structure!$A:$AJ,AM$1,0)*15,0),IFERROR(VLOOKUP($D:$D,Structure!$A:$AJ,AM$1,0)*15,0),IFERROR(VLOOKUP($E:$E,Structure!$A:$AJ,AM$1,0)*15,0))</f>
        <v>0</v>
      </c>
      <c r="AN78" s="13">
        <f>SUM(IFERROR(VLOOKUP($C:$C,Structure!$A:$AJ,AN$1,0)*15,0),IFERROR(VLOOKUP($D:$D,Structure!$A:$AJ,AN$1,0)*15,0),IFERROR(VLOOKUP($E:$E,Structure!$A:$AJ,AN$1,0)*15,0))</f>
        <v>0</v>
      </c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3"/>
      <c r="BZ78" s="4">
        <f>BZ77+AQ78-F78</f>
        <v>0</v>
      </c>
      <c r="CA78" s="4">
        <f>CA77+AR78-G78</f>
        <v>0</v>
      </c>
      <c r="CB78" s="4">
        <f>CB77+AS78-H78</f>
        <v>0</v>
      </c>
      <c r="CC78" s="4">
        <f>CC77+AT78-I78</f>
        <v>0</v>
      </c>
      <c r="CD78" s="4">
        <f>CD77+AU78-J78</f>
        <v>0</v>
      </c>
      <c r="CE78" s="4">
        <f>CE77+AV78-K78</f>
        <v>0</v>
      </c>
      <c r="CF78" s="4">
        <f>CF77+AW78-L78</f>
        <v>0</v>
      </c>
      <c r="CG78" s="4">
        <f>CG77+AX78-M78</f>
        <v>0</v>
      </c>
      <c r="CH78" s="4">
        <f>CH77+AY78-N78</f>
        <v>0</v>
      </c>
      <c r="CI78" s="4">
        <f>CI77+AZ78-O78</f>
        <v>0</v>
      </c>
      <c r="CJ78" s="4">
        <f>CJ77+BA78-P78</f>
        <v>0</v>
      </c>
      <c r="CK78" s="4">
        <f>CK77+BB78-Q78</f>
        <v>0</v>
      </c>
      <c r="CL78" s="4">
        <f>CL77+BC78-R78</f>
        <v>0</v>
      </c>
      <c r="CM78" s="4">
        <f>CM77+BD78-S78</f>
        <v>0</v>
      </c>
      <c r="CN78" s="4">
        <f>CN77+BE78-T78</f>
        <v>0</v>
      </c>
      <c r="CO78" s="4">
        <f>CO77+BF78-U78</f>
        <v>0</v>
      </c>
      <c r="CP78" s="4">
        <f>CP77+BG78-V78</f>
        <v>0</v>
      </c>
      <c r="CQ78" s="4">
        <f>CQ77+BH78-W78</f>
        <v>0</v>
      </c>
      <c r="CR78" s="4">
        <f>CR77+BI78-X78</f>
        <v>0</v>
      </c>
      <c r="CS78" s="4">
        <f>CS77+BJ78-Y78</f>
        <v>0</v>
      </c>
      <c r="CT78" s="4">
        <f>CT77+BK78-Z78</f>
        <v>0</v>
      </c>
      <c r="CU78" s="4">
        <f>CU77+BL78-AA78</f>
        <v>-2900</v>
      </c>
      <c r="CV78" s="4">
        <f>CV77+BM78-AB78</f>
        <v>-225</v>
      </c>
      <c r="CW78" s="4">
        <f>CW77+BN78-AC78</f>
        <v>-195</v>
      </c>
      <c r="CX78" s="4">
        <f>CX77+BO78-AD78</f>
        <v>0</v>
      </c>
      <c r="CY78" s="4">
        <f>CY77+BP78-AE78</f>
        <v>0</v>
      </c>
      <c r="CZ78" s="4">
        <f>CZ77+BQ78-AF78</f>
        <v>-145</v>
      </c>
      <c r="DA78" s="4">
        <f>DA77+BR78-AG78</f>
        <v>0</v>
      </c>
      <c r="DB78" s="4">
        <f>DB77+BS78-AH78</f>
        <v>0</v>
      </c>
      <c r="DC78" s="4">
        <f>DC77+BT78-AI78</f>
        <v>0</v>
      </c>
      <c r="DD78" s="4">
        <f>DD77+BU78-AJ78</f>
        <v>-2065</v>
      </c>
      <c r="DE78" s="4">
        <f>DE77+BV78-AK78</f>
        <v>-855</v>
      </c>
      <c r="DF78" s="4">
        <f>DF77+BW78-AL78</f>
        <v>0</v>
      </c>
      <c r="DG78" s="4">
        <f>DG77+BX78-AM78</f>
        <v>-175</v>
      </c>
      <c r="DH78" s="4">
        <f>DH77+BY78-AN78</f>
        <v>0</v>
      </c>
    </row>
    <row r="79" spans="1:112" x14ac:dyDescent="0.25">
      <c r="A79" s="6">
        <v>46182</v>
      </c>
      <c r="B79" s="7">
        <v>0.49999999981810106</v>
      </c>
      <c r="C79" s="3" t="s">
        <v>3</v>
      </c>
      <c r="D79" s="3" t="s">
        <v>6</v>
      </c>
      <c r="E79" s="3" t="s">
        <v>2</v>
      </c>
      <c r="F79" s="13">
        <f>SUM(IFERROR(VLOOKUP($C:$C,Structure!$A:$AJ,F$1,0)*15,0),IFERROR(VLOOKUP($D:$D,Structure!$A:$AJ,F$1,0)*15,0),IFERROR(VLOOKUP($E:$E,Structure!$A:$AJ,F$1,0)*15,0))</f>
        <v>0</v>
      </c>
      <c r="G79" s="13">
        <f>SUM(IFERROR(VLOOKUP($C:$C,Structure!$A:$AJ,G$1,0)*15,0),IFERROR(VLOOKUP($D:$D,Structure!$A:$AJ,G$1,0)*15,0),IFERROR(VLOOKUP($E:$E,Structure!$A:$AJ,G$1,0)*15,0))</f>
        <v>0</v>
      </c>
      <c r="H79" s="13">
        <f>SUM(IFERROR(VLOOKUP($C:$C,Structure!$A:$AJ,H$1,0)*15,0),IFERROR(VLOOKUP($D:$D,Structure!$A:$AJ,H$1,0)*15,0),IFERROR(VLOOKUP($E:$E,Structure!$A:$AJ,H$1,0)*15,0))</f>
        <v>0</v>
      </c>
      <c r="I79" s="13">
        <f>SUM(IFERROR(VLOOKUP($C:$C,Structure!$A:$AJ,I$1,0)*15,0),IFERROR(VLOOKUP($D:$D,Structure!$A:$AJ,I$1,0)*15,0),IFERROR(VLOOKUP($E:$E,Structure!$A:$AJ,I$1,0)*15,0))</f>
        <v>0</v>
      </c>
      <c r="J79" s="13">
        <f>SUM(IFERROR(VLOOKUP($C:$C,Structure!$A:$AJ,J$1,0)*15,0),IFERROR(VLOOKUP($D:$D,Structure!$A:$AJ,J$1,0)*15,0),IFERROR(VLOOKUP($E:$E,Structure!$A:$AJ,J$1,0)*15,0))</f>
        <v>0</v>
      </c>
      <c r="K79" s="13">
        <f>SUM(IFERROR(VLOOKUP($C:$C,Structure!$A:$AJ,K$1,0)*15,0),IFERROR(VLOOKUP($D:$D,Structure!$A:$AJ,K$1,0)*15,0),IFERROR(VLOOKUP($E:$E,Structure!$A:$AJ,K$1,0)*15,0))</f>
        <v>0</v>
      </c>
      <c r="L79" s="13">
        <f>SUM(IFERROR(VLOOKUP($C:$C,Structure!$A:$AJ,L$1,0)*15,0),IFERROR(VLOOKUP($D:$D,Structure!$A:$AJ,L$1,0)*15,0),IFERROR(VLOOKUP($E:$E,Structure!$A:$AJ,L$1,0)*15,0))</f>
        <v>0</v>
      </c>
      <c r="M79" s="13">
        <f>SUM(IFERROR(VLOOKUP($C:$C,Structure!$A:$AJ,M$1,0)*15,0),IFERROR(VLOOKUP($D:$D,Structure!$A:$AJ,M$1,0)*15,0),IFERROR(VLOOKUP($E:$E,Structure!$A:$AJ,M$1,0)*15,0))</f>
        <v>0</v>
      </c>
      <c r="N79" s="13">
        <f>SUM(IFERROR(VLOOKUP($C:$C,Structure!$A:$AJ,N$1,0)*15,0),IFERROR(VLOOKUP($D:$D,Structure!$A:$AJ,N$1,0)*15,0),IFERROR(VLOOKUP($E:$E,Structure!$A:$AJ,N$1,0)*15,0))</f>
        <v>0</v>
      </c>
      <c r="O79" s="13">
        <f>SUM(IFERROR(VLOOKUP($C:$C,Structure!$A:$AJ,O$1,0)*15,0),IFERROR(VLOOKUP($D:$D,Structure!$A:$AJ,O$1,0)*15,0),IFERROR(VLOOKUP($E:$E,Structure!$A:$AJ,O$1,0)*15,0))</f>
        <v>0</v>
      </c>
      <c r="P79" s="13">
        <f>SUM(IFERROR(VLOOKUP($C:$C,Structure!$A:$AJ,P$1,0)*15,0),IFERROR(VLOOKUP($D:$D,Structure!$A:$AJ,P$1,0)*15,0),IFERROR(VLOOKUP($E:$E,Structure!$A:$AJ,P$1,0)*15,0))</f>
        <v>0</v>
      </c>
      <c r="Q79" s="13">
        <f>SUM(IFERROR(VLOOKUP($C:$C,Structure!$A:$AJ,Q$1,0)*15,0),IFERROR(VLOOKUP($D:$D,Structure!$A:$AJ,Q$1,0)*15,0),IFERROR(VLOOKUP($E:$E,Structure!$A:$AJ,Q$1,0)*15,0))</f>
        <v>0</v>
      </c>
      <c r="R79" s="13">
        <f>SUM(IFERROR(VLOOKUP($C:$C,Structure!$A:$AJ,R$1,0)*15,0),IFERROR(VLOOKUP($D:$D,Structure!$A:$AJ,R$1,0)*15,0),IFERROR(VLOOKUP($E:$E,Structure!$A:$AJ,R$1,0)*15,0))</f>
        <v>0</v>
      </c>
      <c r="S79" s="13">
        <f>SUM(IFERROR(VLOOKUP($C:$C,Structure!$A:$AJ,S$1,0)*15,0),IFERROR(VLOOKUP($D:$D,Structure!$A:$AJ,S$1,0)*15,0),IFERROR(VLOOKUP($E:$E,Structure!$A:$AJ,S$1,0)*15,0))</f>
        <v>0</v>
      </c>
      <c r="T79" s="13">
        <f>SUM(IFERROR(VLOOKUP($C:$C,Structure!$A:$AJ,T$1,0)*15,0),IFERROR(VLOOKUP($D:$D,Structure!$A:$AJ,T$1,0)*15,0),IFERROR(VLOOKUP($E:$E,Structure!$A:$AJ,T$1,0)*15,0))</f>
        <v>0</v>
      </c>
      <c r="U79" s="13">
        <f>SUM(IFERROR(VLOOKUP($C:$C,Structure!$A:$AJ,U$1,0)*15,0),IFERROR(VLOOKUP($D:$D,Structure!$A:$AJ,U$1,0)*15,0),IFERROR(VLOOKUP($E:$E,Structure!$A:$AJ,U$1,0)*15,0))</f>
        <v>0</v>
      </c>
      <c r="V79" s="13">
        <f>SUM(IFERROR(VLOOKUP($C:$C,Structure!$A:$AJ,V$1,0)*15,0),IFERROR(VLOOKUP($D:$D,Structure!$A:$AJ,V$1,0)*15,0),IFERROR(VLOOKUP($E:$E,Structure!$A:$AJ,V$1,0)*15,0))</f>
        <v>0</v>
      </c>
      <c r="W79" s="13">
        <f>SUM(IFERROR(VLOOKUP($C:$C,Structure!$A:$AJ,W$1,0)*15,0),IFERROR(VLOOKUP($D:$D,Structure!$A:$AJ,W$1,0)*15,0),IFERROR(VLOOKUP($E:$E,Structure!$A:$AJ,W$1,0)*15,0))</f>
        <v>0</v>
      </c>
      <c r="X79" s="13">
        <f>SUM(IFERROR(VLOOKUP($C:$C,Structure!$A:$AJ,X$1,0)*15,0),IFERROR(VLOOKUP($D:$D,Structure!$A:$AJ,X$1,0)*15,0),IFERROR(VLOOKUP($E:$E,Structure!$A:$AJ,X$1,0)*15,0))</f>
        <v>0</v>
      </c>
      <c r="Y79" s="13">
        <f>SUM(IFERROR(VLOOKUP($C:$C,Structure!$A:$AJ,Y$1,0)*15,0),IFERROR(VLOOKUP($D:$D,Structure!$A:$AJ,Y$1,0)*15,0),IFERROR(VLOOKUP($E:$E,Structure!$A:$AJ,Y$1,0)*15,0))</f>
        <v>0</v>
      </c>
      <c r="Z79" s="13">
        <f>SUM(IFERROR(VLOOKUP($C:$C,Structure!$A:$AJ,Z$1,0)*15,0),IFERROR(VLOOKUP($D:$D,Structure!$A:$AJ,Z$1,0)*15,0),IFERROR(VLOOKUP($E:$E,Structure!$A:$AJ,Z$1,0)*15,0))</f>
        <v>0</v>
      </c>
      <c r="AA79" s="13">
        <f>SUM(IFERROR(VLOOKUP($C:$C,Structure!$A:$AJ,AA$1,0)*15,0),IFERROR(VLOOKUP($D:$D,Structure!$A:$AJ,AA$1,0)*15,0),IFERROR(VLOOKUP($E:$E,Structure!$A:$AJ,AA$1,0)*15,0))</f>
        <v>45</v>
      </c>
      <c r="AB79" s="13">
        <f>SUM(IFERROR(VLOOKUP($C:$C,Structure!$A:$AJ,AB$1,0)*15,0),IFERROR(VLOOKUP($D:$D,Structure!$A:$AJ,AB$1,0)*15,0),IFERROR(VLOOKUP($E:$E,Structure!$A:$AJ,AB$1,0)*15,0))</f>
        <v>0</v>
      </c>
      <c r="AC79" s="13">
        <f>SUM(IFERROR(VLOOKUP($C:$C,Structure!$A:$AJ,AC$1,0)*15,0),IFERROR(VLOOKUP($D:$D,Structure!$A:$AJ,AC$1,0)*15,0),IFERROR(VLOOKUP($E:$E,Structure!$A:$AJ,AC$1,0)*15,0))</f>
        <v>0</v>
      </c>
      <c r="AD79" s="13">
        <f>SUM(IFERROR(VLOOKUP($C:$C,Structure!$A:$AJ,AD$1,0)*15,0),IFERROR(VLOOKUP($D:$D,Structure!$A:$AJ,AD$1,0)*15,0),IFERROR(VLOOKUP($E:$E,Structure!$A:$AJ,AD$1,0)*15,0))</f>
        <v>0</v>
      </c>
      <c r="AE79" s="13">
        <f>SUM(IFERROR(VLOOKUP($C:$C,Structure!$A:$AJ,AE$1,0)*15,0),IFERROR(VLOOKUP($D:$D,Structure!$A:$AJ,AE$1,0)*15,0),IFERROR(VLOOKUP($E:$E,Structure!$A:$AJ,AE$1,0)*15,0))</f>
        <v>0</v>
      </c>
      <c r="AF79" s="13">
        <f>SUM(IFERROR(VLOOKUP($C:$C,Structure!$A:$AJ,AF$1,0)*15,0),IFERROR(VLOOKUP($D:$D,Structure!$A:$AJ,AF$1,0)*15,0),IFERROR(VLOOKUP($E:$E,Structure!$A:$AJ,AF$1,0)*15,0))</f>
        <v>0</v>
      </c>
      <c r="AG79" s="13">
        <f>SUM(IFERROR(VLOOKUP($C:$C,Structure!$A:$AJ,AG$1,0)*15,0),IFERROR(VLOOKUP($D:$D,Structure!$A:$AJ,AG$1,0)*15,0),IFERROR(VLOOKUP($E:$E,Structure!$A:$AJ,AG$1,0)*15,0))</f>
        <v>0</v>
      </c>
      <c r="AH79" s="13">
        <f>SUM(IFERROR(VLOOKUP($C:$C,Structure!$A:$AJ,AH$1,0)*15,0),IFERROR(VLOOKUP($D:$D,Structure!$A:$AJ,AH$1,0)*15,0),IFERROR(VLOOKUP($E:$E,Structure!$A:$AJ,AH$1,0)*15,0))</f>
        <v>0</v>
      </c>
      <c r="AI79" s="13">
        <f>SUM(IFERROR(VLOOKUP($C:$C,Structure!$A:$AJ,AI$1,0)*15,0),IFERROR(VLOOKUP($D:$D,Structure!$A:$AJ,AI$1,0)*15,0),IFERROR(VLOOKUP($E:$E,Structure!$A:$AJ,AI$1,0)*15,0))</f>
        <v>0</v>
      </c>
      <c r="AJ79" s="13">
        <f>SUM(IFERROR(VLOOKUP($C:$C,Structure!$A:$AJ,AJ$1,0)*15,0),IFERROR(VLOOKUP($D:$D,Structure!$A:$AJ,AJ$1,0)*15,0),IFERROR(VLOOKUP($E:$E,Structure!$A:$AJ,AJ$1,0)*15,0))</f>
        <v>30</v>
      </c>
      <c r="AK79" s="13">
        <f>SUM(IFERROR(VLOOKUP($C:$C,Structure!$A:$AJ,AK$1,0)*15,0),IFERROR(VLOOKUP($D:$D,Structure!$A:$AJ,AK$1,0)*15,0),IFERROR(VLOOKUP($E:$E,Structure!$A:$AJ,AK$1,0)*15,0))</f>
        <v>15</v>
      </c>
      <c r="AL79" s="13">
        <f>SUM(IFERROR(VLOOKUP($C:$C,Structure!$A:$AJ,AL$1,0)*15,0),IFERROR(VLOOKUP($D:$D,Structure!$A:$AJ,AL$1,0)*15,0),IFERROR(VLOOKUP($E:$E,Structure!$A:$AJ,AL$1,0)*15,0))</f>
        <v>0</v>
      </c>
      <c r="AM79" s="13">
        <f>SUM(IFERROR(VLOOKUP($C:$C,Structure!$A:$AJ,AM$1,0)*15,0),IFERROR(VLOOKUP($D:$D,Structure!$A:$AJ,AM$1,0)*15,0),IFERROR(VLOOKUP($E:$E,Structure!$A:$AJ,AM$1,0)*15,0))</f>
        <v>0</v>
      </c>
      <c r="AN79" s="13">
        <f>SUM(IFERROR(VLOOKUP($C:$C,Structure!$A:$AJ,AN$1,0)*15,0),IFERROR(VLOOKUP($D:$D,Structure!$A:$AJ,AN$1,0)*15,0),IFERROR(VLOOKUP($E:$E,Structure!$A:$AJ,AN$1,0)*15,0))</f>
        <v>0</v>
      </c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3"/>
      <c r="BZ79" s="4">
        <f>BZ78+AQ79-F79</f>
        <v>0</v>
      </c>
      <c r="CA79" s="4">
        <f>CA78+AR79-G79</f>
        <v>0</v>
      </c>
      <c r="CB79" s="4">
        <f>CB78+AS79-H79</f>
        <v>0</v>
      </c>
      <c r="CC79" s="4">
        <f>CC78+AT79-I79</f>
        <v>0</v>
      </c>
      <c r="CD79" s="4">
        <f>CD78+AU79-J79</f>
        <v>0</v>
      </c>
      <c r="CE79" s="4">
        <f>CE78+AV79-K79</f>
        <v>0</v>
      </c>
      <c r="CF79" s="4">
        <f>CF78+AW79-L79</f>
        <v>0</v>
      </c>
      <c r="CG79" s="4">
        <f>CG78+AX79-M79</f>
        <v>0</v>
      </c>
      <c r="CH79" s="4">
        <f>CH78+AY79-N79</f>
        <v>0</v>
      </c>
      <c r="CI79" s="4">
        <f>CI78+AZ79-O79</f>
        <v>0</v>
      </c>
      <c r="CJ79" s="4">
        <f>CJ78+BA79-P79</f>
        <v>0</v>
      </c>
      <c r="CK79" s="4">
        <f>CK78+BB79-Q79</f>
        <v>0</v>
      </c>
      <c r="CL79" s="4">
        <f>CL78+BC79-R79</f>
        <v>0</v>
      </c>
      <c r="CM79" s="4">
        <f>CM78+BD79-S79</f>
        <v>0</v>
      </c>
      <c r="CN79" s="4">
        <f>CN78+BE79-T79</f>
        <v>0</v>
      </c>
      <c r="CO79" s="4">
        <f>CO78+BF79-U79</f>
        <v>0</v>
      </c>
      <c r="CP79" s="4">
        <f>CP78+BG79-V79</f>
        <v>0</v>
      </c>
      <c r="CQ79" s="4">
        <f>CQ78+BH79-W79</f>
        <v>0</v>
      </c>
      <c r="CR79" s="4">
        <f>CR78+BI79-X79</f>
        <v>0</v>
      </c>
      <c r="CS79" s="4">
        <f>CS78+BJ79-Y79</f>
        <v>0</v>
      </c>
      <c r="CT79" s="4">
        <f>CT78+BK79-Z79</f>
        <v>0</v>
      </c>
      <c r="CU79" s="4">
        <f>CU78+BL79-AA79</f>
        <v>-2945</v>
      </c>
      <c r="CV79" s="4">
        <f>CV78+BM79-AB79</f>
        <v>-225</v>
      </c>
      <c r="CW79" s="4">
        <f>CW78+BN79-AC79</f>
        <v>-195</v>
      </c>
      <c r="CX79" s="4">
        <f>CX78+BO79-AD79</f>
        <v>0</v>
      </c>
      <c r="CY79" s="4">
        <f>CY78+BP79-AE79</f>
        <v>0</v>
      </c>
      <c r="CZ79" s="4">
        <f>CZ78+BQ79-AF79</f>
        <v>-145</v>
      </c>
      <c r="DA79" s="4">
        <f>DA78+BR79-AG79</f>
        <v>0</v>
      </c>
      <c r="DB79" s="4">
        <f>DB78+BS79-AH79</f>
        <v>0</v>
      </c>
      <c r="DC79" s="4">
        <f>DC78+BT79-AI79</f>
        <v>0</v>
      </c>
      <c r="DD79" s="4">
        <f>DD78+BU79-AJ79</f>
        <v>-2095</v>
      </c>
      <c r="DE79" s="4">
        <f>DE78+BV79-AK79</f>
        <v>-870</v>
      </c>
      <c r="DF79" s="4">
        <f>DF78+BW79-AL79</f>
        <v>0</v>
      </c>
      <c r="DG79" s="4">
        <f>DG78+BX79-AM79</f>
        <v>-175</v>
      </c>
      <c r="DH79" s="4">
        <f>DH78+BY79-AN79</f>
        <v>0</v>
      </c>
    </row>
    <row r="80" spans="1:112" x14ac:dyDescent="0.25">
      <c r="A80" s="6">
        <v>46182</v>
      </c>
      <c r="B80" s="7">
        <v>0.54166666648234241</v>
      </c>
      <c r="C80" s="3" t="s">
        <v>3</v>
      </c>
      <c r="D80" s="3" t="s">
        <v>6</v>
      </c>
      <c r="E80" s="3" t="s">
        <v>2</v>
      </c>
      <c r="F80" s="13">
        <f>SUM(IFERROR(VLOOKUP($C:$C,Structure!$A:$AJ,F$1,0)*15,0),IFERROR(VLOOKUP($D:$D,Structure!$A:$AJ,F$1,0)*15,0),IFERROR(VLOOKUP($E:$E,Structure!$A:$AJ,F$1,0)*15,0))</f>
        <v>0</v>
      </c>
      <c r="G80" s="13">
        <f>SUM(IFERROR(VLOOKUP($C:$C,Structure!$A:$AJ,G$1,0)*15,0),IFERROR(VLOOKUP($D:$D,Structure!$A:$AJ,G$1,0)*15,0),IFERROR(VLOOKUP($E:$E,Structure!$A:$AJ,G$1,0)*15,0))</f>
        <v>0</v>
      </c>
      <c r="H80" s="13">
        <f>SUM(IFERROR(VLOOKUP($C:$C,Structure!$A:$AJ,H$1,0)*15,0),IFERROR(VLOOKUP($D:$D,Structure!$A:$AJ,H$1,0)*15,0),IFERROR(VLOOKUP($E:$E,Structure!$A:$AJ,H$1,0)*15,0))</f>
        <v>0</v>
      </c>
      <c r="I80" s="13">
        <f>SUM(IFERROR(VLOOKUP($C:$C,Structure!$A:$AJ,I$1,0)*15,0),IFERROR(VLOOKUP($D:$D,Structure!$A:$AJ,I$1,0)*15,0),IFERROR(VLOOKUP($E:$E,Structure!$A:$AJ,I$1,0)*15,0))</f>
        <v>0</v>
      </c>
      <c r="J80" s="13">
        <f>SUM(IFERROR(VLOOKUP($C:$C,Structure!$A:$AJ,J$1,0)*15,0),IFERROR(VLOOKUP($D:$D,Structure!$A:$AJ,J$1,0)*15,0),IFERROR(VLOOKUP($E:$E,Structure!$A:$AJ,J$1,0)*15,0))</f>
        <v>0</v>
      </c>
      <c r="K80" s="13">
        <f>SUM(IFERROR(VLOOKUP($C:$C,Structure!$A:$AJ,K$1,0)*15,0),IFERROR(VLOOKUP($D:$D,Structure!$A:$AJ,K$1,0)*15,0),IFERROR(VLOOKUP($E:$E,Structure!$A:$AJ,K$1,0)*15,0))</f>
        <v>0</v>
      </c>
      <c r="L80" s="13">
        <f>SUM(IFERROR(VLOOKUP($C:$C,Structure!$A:$AJ,L$1,0)*15,0),IFERROR(VLOOKUP($D:$D,Structure!$A:$AJ,L$1,0)*15,0),IFERROR(VLOOKUP($E:$E,Structure!$A:$AJ,L$1,0)*15,0))</f>
        <v>0</v>
      </c>
      <c r="M80" s="13">
        <f>SUM(IFERROR(VLOOKUP($C:$C,Structure!$A:$AJ,M$1,0)*15,0),IFERROR(VLOOKUP($D:$D,Structure!$A:$AJ,M$1,0)*15,0),IFERROR(VLOOKUP($E:$E,Structure!$A:$AJ,M$1,0)*15,0))</f>
        <v>0</v>
      </c>
      <c r="N80" s="13">
        <f>SUM(IFERROR(VLOOKUP($C:$C,Structure!$A:$AJ,N$1,0)*15,0),IFERROR(VLOOKUP($D:$D,Structure!$A:$AJ,N$1,0)*15,0),IFERROR(VLOOKUP($E:$E,Structure!$A:$AJ,N$1,0)*15,0))</f>
        <v>0</v>
      </c>
      <c r="O80" s="13">
        <f>SUM(IFERROR(VLOOKUP($C:$C,Structure!$A:$AJ,O$1,0)*15,0),IFERROR(VLOOKUP($D:$D,Structure!$A:$AJ,O$1,0)*15,0),IFERROR(VLOOKUP($E:$E,Structure!$A:$AJ,O$1,0)*15,0))</f>
        <v>0</v>
      </c>
      <c r="P80" s="13">
        <f>SUM(IFERROR(VLOOKUP($C:$C,Structure!$A:$AJ,P$1,0)*15,0),IFERROR(VLOOKUP($D:$D,Structure!$A:$AJ,P$1,0)*15,0),IFERROR(VLOOKUP($E:$E,Structure!$A:$AJ,P$1,0)*15,0))</f>
        <v>0</v>
      </c>
      <c r="Q80" s="13">
        <f>SUM(IFERROR(VLOOKUP($C:$C,Structure!$A:$AJ,Q$1,0)*15,0),IFERROR(VLOOKUP($D:$D,Structure!$A:$AJ,Q$1,0)*15,0),IFERROR(VLOOKUP($E:$E,Structure!$A:$AJ,Q$1,0)*15,0))</f>
        <v>0</v>
      </c>
      <c r="R80" s="13">
        <f>SUM(IFERROR(VLOOKUP($C:$C,Structure!$A:$AJ,R$1,0)*15,0),IFERROR(VLOOKUP($D:$D,Structure!$A:$AJ,R$1,0)*15,0),IFERROR(VLOOKUP($E:$E,Structure!$A:$AJ,R$1,0)*15,0))</f>
        <v>0</v>
      </c>
      <c r="S80" s="13">
        <f>SUM(IFERROR(VLOOKUP($C:$C,Structure!$A:$AJ,S$1,0)*15,0),IFERROR(VLOOKUP($D:$D,Structure!$A:$AJ,S$1,0)*15,0),IFERROR(VLOOKUP($E:$E,Structure!$A:$AJ,S$1,0)*15,0))</f>
        <v>0</v>
      </c>
      <c r="T80" s="13">
        <f>SUM(IFERROR(VLOOKUP($C:$C,Structure!$A:$AJ,T$1,0)*15,0),IFERROR(VLOOKUP($D:$D,Structure!$A:$AJ,T$1,0)*15,0),IFERROR(VLOOKUP($E:$E,Structure!$A:$AJ,T$1,0)*15,0))</f>
        <v>0</v>
      </c>
      <c r="U80" s="13">
        <f>SUM(IFERROR(VLOOKUP($C:$C,Structure!$A:$AJ,U$1,0)*15,0),IFERROR(VLOOKUP($D:$D,Structure!$A:$AJ,U$1,0)*15,0),IFERROR(VLOOKUP($E:$E,Structure!$A:$AJ,U$1,0)*15,0))</f>
        <v>0</v>
      </c>
      <c r="V80" s="13">
        <f>SUM(IFERROR(VLOOKUP($C:$C,Structure!$A:$AJ,V$1,0)*15,0),IFERROR(VLOOKUP($D:$D,Structure!$A:$AJ,V$1,0)*15,0),IFERROR(VLOOKUP($E:$E,Structure!$A:$AJ,V$1,0)*15,0))</f>
        <v>0</v>
      </c>
      <c r="W80" s="13">
        <f>SUM(IFERROR(VLOOKUP($C:$C,Structure!$A:$AJ,W$1,0)*15,0),IFERROR(VLOOKUP($D:$D,Structure!$A:$AJ,W$1,0)*15,0),IFERROR(VLOOKUP($E:$E,Structure!$A:$AJ,W$1,0)*15,0))</f>
        <v>0</v>
      </c>
      <c r="X80" s="13">
        <f>SUM(IFERROR(VLOOKUP($C:$C,Structure!$A:$AJ,X$1,0)*15,0),IFERROR(VLOOKUP($D:$D,Structure!$A:$AJ,X$1,0)*15,0),IFERROR(VLOOKUP($E:$E,Structure!$A:$AJ,X$1,0)*15,0))</f>
        <v>0</v>
      </c>
      <c r="Y80" s="13">
        <f>SUM(IFERROR(VLOOKUP($C:$C,Structure!$A:$AJ,Y$1,0)*15,0),IFERROR(VLOOKUP($D:$D,Structure!$A:$AJ,Y$1,0)*15,0),IFERROR(VLOOKUP($E:$E,Structure!$A:$AJ,Y$1,0)*15,0))</f>
        <v>0</v>
      </c>
      <c r="Z80" s="13">
        <f>SUM(IFERROR(VLOOKUP($C:$C,Structure!$A:$AJ,Z$1,0)*15,0),IFERROR(VLOOKUP($D:$D,Structure!$A:$AJ,Z$1,0)*15,0),IFERROR(VLOOKUP($E:$E,Structure!$A:$AJ,Z$1,0)*15,0))</f>
        <v>0</v>
      </c>
      <c r="AA80" s="13">
        <f>SUM(IFERROR(VLOOKUP($C:$C,Structure!$A:$AJ,AA$1,0)*15,0),IFERROR(VLOOKUP($D:$D,Structure!$A:$AJ,AA$1,0)*15,0),IFERROR(VLOOKUP($E:$E,Structure!$A:$AJ,AA$1,0)*15,0))</f>
        <v>45</v>
      </c>
      <c r="AB80" s="13">
        <f>SUM(IFERROR(VLOOKUP($C:$C,Structure!$A:$AJ,AB$1,0)*15,0),IFERROR(VLOOKUP($D:$D,Structure!$A:$AJ,AB$1,0)*15,0),IFERROR(VLOOKUP($E:$E,Structure!$A:$AJ,AB$1,0)*15,0))</f>
        <v>0</v>
      </c>
      <c r="AC80" s="13">
        <f>SUM(IFERROR(VLOOKUP($C:$C,Structure!$A:$AJ,AC$1,0)*15,0),IFERROR(VLOOKUP($D:$D,Structure!$A:$AJ,AC$1,0)*15,0),IFERROR(VLOOKUP($E:$E,Structure!$A:$AJ,AC$1,0)*15,0))</f>
        <v>0</v>
      </c>
      <c r="AD80" s="13">
        <f>SUM(IFERROR(VLOOKUP($C:$C,Structure!$A:$AJ,AD$1,0)*15,0),IFERROR(VLOOKUP($D:$D,Structure!$A:$AJ,AD$1,0)*15,0),IFERROR(VLOOKUP($E:$E,Structure!$A:$AJ,AD$1,0)*15,0))</f>
        <v>0</v>
      </c>
      <c r="AE80" s="13">
        <f>SUM(IFERROR(VLOOKUP($C:$C,Structure!$A:$AJ,AE$1,0)*15,0),IFERROR(VLOOKUP($D:$D,Structure!$A:$AJ,AE$1,0)*15,0),IFERROR(VLOOKUP($E:$E,Structure!$A:$AJ,AE$1,0)*15,0))</f>
        <v>0</v>
      </c>
      <c r="AF80" s="13">
        <f>SUM(IFERROR(VLOOKUP($C:$C,Structure!$A:$AJ,AF$1,0)*15,0),IFERROR(VLOOKUP($D:$D,Structure!$A:$AJ,AF$1,0)*15,0),IFERROR(VLOOKUP($E:$E,Structure!$A:$AJ,AF$1,0)*15,0))</f>
        <v>0</v>
      </c>
      <c r="AG80" s="13">
        <f>SUM(IFERROR(VLOOKUP($C:$C,Structure!$A:$AJ,AG$1,0)*15,0),IFERROR(VLOOKUP($D:$D,Structure!$A:$AJ,AG$1,0)*15,0),IFERROR(VLOOKUP($E:$E,Structure!$A:$AJ,AG$1,0)*15,0))</f>
        <v>0</v>
      </c>
      <c r="AH80" s="13">
        <f>SUM(IFERROR(VLOOKUP($C:$C,Structure!$A:$AJ,AH$1,0)*15,0),IFERROR(VLOOKUP($D:$D,Structure!$A:$AJ,AH$1,0)*15,0),IFERROR(VLOOKUP($E:$E,Structure!$A:$AJ,AH$1,0)*15,0))</f>
        <v>0</v>
      </c>
      <c r="AI80" s="13">
        <f>SUM(IFERROR(VLOOKUP($C:$C,Structure!$A:$AJ,AI$1,0)*15,0),IFERROR(VLOOKUP($D:$D,Structure!$A:$AJ,AI$1,0)*15,0),IFERROR(VLOOKUP($E:$E,Structure!$A:$AJ,AI$1,0)*15,0))</f>
        <v>0</v>
      </c>
      <c r="AJ80" s="13">
        <f>SUM(IFERROR(VLOOKUP($C:$C,Structure!$A:$AJ,AJ$1,0)*15,0),IFERROR(VLOOKUP($D:$D,Structure!$A:$AJ,AJ$1,0)*15,0),IFERROR(VLOOKUP($E:$E,Structure!$A:$AJ,AJ$1,0)*15,0))</f>
        <v>30</v>
      </c>
      <c r="AK80" s="13">
        <f>SUM(IFERROR(VLOOKUP($C:$C,Structure!$A:$AJ,AK$1,0)*15,0),IFERROR(VLOOKUP($D:$D,Structure!$A:$AJ,AK$1,0)*15,0),IFERROR(VLOOKUP($E:$E,Structure!$A:$AJ,AK$1,0)*15,0))</f>
        <v>15</v>
      </c>
      <c r="AL80" s="13">
        <f>SUM(IFERROR(VLOOKUP($C:$C,Structure!$A:$AJ,AL$1,0)*15,0),IFERROR(VLOOKUP($D:$D,Structure!$A:$AJ,AL$1,0)*15,0),IFERROR(VLOOKUP($E:$E,Structure!$A:$AJ,AL$1,0)*15,0))</f>
        <v>0</v>
      </c>
      <c r="AM80" s="13">
        <f>SUM(IFERROR(VLOOKUP($C:$C,Structure!$A:$AJ,AM$1,0)*15,0),IFERROR(VLOOKUP($D:$D,Structure!$A:$AJ,AM$1,0)*15,0),IFERROR(VLOOKUP($E:$E,Structure!$A:$AJ,AM$1,0)*15,0))</f>
        <v>0</v>
      </c>
      <c r="AN80" s="13">
        <f>SUM(IFERROR(VLOOKUP($C:$C,Structure!$A:$AJ,AN$1,0)*15,0),IFERROR(VLOOKUP($D:$D,Structure!$A:$AJ,AN$1,0)*15,0),IFERROR(VLOOKUP($E:$E,Structure!$A:$AJ,AN$1,0)*15,0))</f>
        <v>0</v>
      </c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3"/>
      <c r="BZ80" s="4">
        <f>BZ79+AQ80-F80</f>
        <v>0</v>
      </c>
      <c r="CA80" s="4">
        <f>CA79+AR80-G80</f>
        <v>0</v>
      </c>
      <c r="CB80" s="4">
        <f>CB79+AS80-H80</f>
        <v>0</v>
      </c>
      <c r="CC80" s="4">
        <f>CC79+AT80-I80</f>
        <v>0</v>
      </c>
      <c r="CD80" s="4">
        <f>CD79+AU80-J80</f>
        <v>0</v>
      </c>
      <c r="CE80" s="4">
        <f>CE79+AV80-K80</f>
        <v>0</v>
      </c>
      <c r="CF80" s="4">
        <f>CF79+AW80-L80</f>
        <v>0</v>
      </c>
      <c r="CG80" s="4">
        <f>CG79+AX80-M80</f>
        <v>0</v>
      </c>
      <c r="CH80" s="4">
        <f>CH79+AY80-N80</f>
        <v>0</v>
      </c>
      <c r="CI80" s="4">
        <f>CI79+AZ80-O80</f>
        <v>0</v>
      </c>
      <c r="CJ80" s="4">
        <f>CJ79+BA80-P80</f>
        <v>0</v>
      </c>
      <c r="CK80" s="4">
        <f>CK79+BB80-Q80</f>
        <v>0</v>
      </c>
      <c r="CL80" s="4">
        <f>CL79+BC80-R80</f>
        <v>0</v>
      </c>
      <c r="CM80" s="4">
        <f>CM79+BD80-S80</f>
        <v>0</v>
      </c>
      <c r="CN80" s="4">
        <f>CN79+BE80-T80</f>
        <v>0</v>
      </c>
      <c r="CO80" s="4">
        <f>CO79+BF80-U80</f>
        <v>0</v>
      </c>
      <c r="CP80" s="4">
        <f>CP79+BG80-V80</f>
        <v>0</v>
      </c>
      <c r="CQ80" s="4">
        <f>CQ79+BH80-W80</f>
        <v>0</v>
      </c>
      <c r="CR80" s="4">
        <f>CR79+BI80-X80</f>
        <v>0</v>
      </c>
      <c r="CS80" s="4">
        <f>CS79+BJ80-Y80</f>
        <v>0</v>
      </c>
      <c r="CT80" s="4">
        <f>CT79+BK80-Z80</f>
        <v>0</v>
      </c>
      <c r="CU80" s="4">
        <f>CU79+BL80-AA80</f>
        <v>-2990</v>
      </c>
      <c r="CV80" s="4">
        <f>CV79+BM80-AB80</f>
        <v>-225</v>
      </c>
      <c r="CW80" s="4">
        <f>CW79+BN80-AC80</f>
        <v>-195</v>
      </c>
      <c r="CX80" s="4">
        <f>CX79+BO80-AD80</f>
        <v>0</v>
      </c>
      <c r="CY80" s="4">
        <f>CY79+BP80-AE80</f>
        <v>0</v>
      </c>
      <c r="CZ80" s="4">
        <f>CZ79+BQ80-AF80</f>
        <v>-145</v>
      </c>
      <c r="DA80" s="4">
        <f>DA79+BR80-AG80</f>
        <v>0</v>
      </c>
      <c r="DB80" s="4">
        <f>DB79+BS80-AH80</f>
        <v>0</v>
      </c>
      <c r="DC80" s="4">
        <f>DC79+BT80-AI80</f>
        <v>0</v>
      </c>
      <c r="DD80" s="4">
        <f>DD79+BU80-AJ80</f>
        <v>-2125</v>
      </c>
      <c r="DE80" s="4">
        <f>DE79+BV80-AK80</f>
        <v>-885</v>
      </c>
      <c r="DF80" s="4">
        <f>DF79+BW80-AL80</f>
        <v>0</v>
      </c>
      <c r="DG80" s="4">
        <f>DG79+BX80-AM80</f>
        <v>-175</v>
      </c>
      <c r="DH80" s="4">
        <f>DH79+BY80-AN80</f>
        <v>0</v>
      </c>
    </row>
    <row r="81" spans="1:112" x14ac:dyDescent="0.25">
      <c r="A81" s="6">
        <v>46182</v>
      </c>
      <c r="B81" s="7">
        <v>0.58333333314658375</v>
      </c>
      <c r="C81" s="3" t="s">
        <v>3</v>
      </c>
      <c r="D81" s="3" t="s">
        <v>6</v>
      </c>
      <c r="E81" s="3" t="s">
        <v>2</v>
      </c>
      <c r="F81" s="13">
        <f>SUM(IFERROR(VLOOKUP($C:$C,Structure!$A:$AJ,F$1,0)*15,0),IFERROR(VLOOKUP($D:$D,Structure!$A:$AJ,F$1,0)*15,0),IFERROR(VLOOKUP($E:$E,Structure!$A:$AJ,F$1,0)*15,0))</f>
        <v>0</v>
      </c>
      <c r="G81" s="13">
        <f>SUM(IFERROR(VLOOKUP($C:$C,Structure!$A:$AJ,G$1,0)*15,0),IFERROR(VLOOKUP($D:$D,Structure!$A:$AJ,G$1,0)*15,0),IFERROR(VLOOKUP($E:$E,Structure!$A:$AJ,G$1,0)*15,0))</f>
        <v>0</v>
      </c>
      <c r="H81" s="13">
        <f>SUM(IFERROR(VLOOKUP($C:$C,Structure!$A:$AJ,H$1,0)*15,0),IFERROR(VLOOKUP($D:$D,Structure!$A:$AJ,H$1,0)*15,0),IFERROR(VLOOKUP($E:$E,Structure!$A:$AJ,H$1,0)*15,0))</f>
        <v>0</v>
      </c>
      <c r="I81" s="13">
        <f>SUM(IFERROR(VLOOKUP($C:$C,Structure!$A:$AJ,I$1,0)*15,0),IFERROR(VLOOKUP($D:$D,Structure!$A:$AJ,I$1,0)*15,0),IFERROR(VLOOKUP($E:$E,Structure!$A:$AJ,I$1,0)*15,0))</f>
        <v>0</v>
      </c>
      <c r="J81" s="13">
        <f>SUM(IFERROR(VLOOKUP($C:$C,Structure!$A:$AJ,J$1,0)*15,0),IFERROR(VLOOKUP($D:$D,Structure!$A:$AJ,J$1,0)*15,0),IFERROR(VLOOKUP($E:$E,Structure!$A:$AJ,J$1,0)*15,0))</f>
        <v>0</v>
      </c>
      <c r="K81" s="13">
        <f>SUM(IFERROR(VLOOKUP($C:$C,Structure!$A:$AJ,K$1,0)*15,0),IFERROR(VLOOKUP($D:$D,Structure!$A:$AJ,K$1,0)*15,0),IFERROR(VLOOKUP($E:$E,Structure!$A:$AJ,K$1,0)*15,0))</f>
        <v>0</v>
      </c>
      <c r="L81" s="13">
        <f>SUM(IFERROR(VLOOKUP($C:$C,Structure!$A:$AJ,L$1,0)*15,0),IFERROR(VLOOKUP($D:$D,Structure!$A:$AJ,L$1,0)*15,0),IFERROR(VLOOKUP($E:$E,Structure!$A:$AJ,L$1,0)*15,0))</f>
        <v>0</v>
      </c>
      <c r="M81" s="13">
        <f>SUM(IFERROR(VLOOKUP($C:$C,Structure!$A:$AJ,M$1,0)*15,0),IFERROR(VLOOKUP($D:$D,Structure!$A:$AJ,M$1,0)*15,0),IFERROR(VLOOKUP($E:$E,Structure!$A:$AJ,M$1,0)*15,0))</f>
        <v>0</v>
      </c>
      <c r="N81" s="13">
        <f>SUM(IFERROR(VLOOKUP($C:$C,Structure!$A:$AJ,N$1,0)*15,0),IFERROR(VLOOKUP($D:$D,Structure!$A:$AJ,N$1,0)*15,0),IFERROR(VLOOKUP($E:$E,Structure!$A:$AJ,N$1,0)*15,0))</f>
        <v>0</v>
      </c>
      <c r="O81" s="13">
        <f>SUM(IFERROR(VLOOKUP($C:$C,Structure!$A:$AJ,O$1,0)*15,0),IFERROR(VLOOKUP($D:$D,Structure!$A:$AJ,O$1,0)*15,0),IFERROR(VLOOKUP($E:$E,Structure!$A:$AJ,O$1,0)*15,0))</f>
        <v>0</v>
      </c>
      <c r="P81" s="13">
        <f>SUM(IFERROR(VLOOKUP($C:$C,Structure!$A:$AJ,P$1,0)*15,0),IFERROR(VLOOKUP($D:$D,Structure!$A:$AJ,P$1,0)*15,0),IFERROR(VLOOKUP($E:$E,Structure!$A:$AJ,P$1,0)*15,0))</f>
        <v>0</v>
      </c>
      <c r="Q81" s="13">
        <f>SUM(IFERROR(VLOOKUP($C:$C,Structure!$A:$AJ,Q$1,0)*15,0),IFERROR(VLOOKUP($D:$D,Structure!$A:$AJ,Q$1,0)*15,0),IFERROR(VLOOKUP($E:$E,Structure!$A:$AJ,Q$1,0)*15,0))</f>
        <v>0</v>
      </c>
      <c r="R81" s="13">
        <f>SUM(IFERROR(VLOOKUP($C:$C,Structure!$A:$AJ,R$1,0)*15,0),IFERROR(VLOOKUP($D:$D,Structure!$A:$AJ,R$1,0)*15,0),IFERROR(VLOOKUP($E:$E,Structure!$A:$AJ,R$1,0)*15,0))</f>
        <v>0</v>
      </c>
      <c r="S81" s="13">
        <f>SUM(IFERROR(VLOOKUP($C:$C,Structure!$A:$AJ,S$1,0)*15,0),IFERROR(VLOOKUP($D:$D,Structure!$A:$AJ,S$1,0)*15,0),IFERROR(VLOOKUP($E:$E,Structure!$A:$AJ,S$1,0)*15,0))</f>
        <v>0</v>
      </c>
      <c r="T81" s="13">
        <f>SUM(IFERROR(VLOOKUP($C:$C,Structure!$A:$AJ,T$1,0)*15,0),IFERROR(VLOOKUP($D:$D,Structure!$A:$AJ,T$1,0)*15,0),IFERROR(VLOOKUP($E:$E,Structure!$A:$AJ,T$1,0)*15,0))</f>
        <v>0</v>
      </c>
      <c r="U81" s="13">
        <f>SUM(IFERROR(VLOOKUP($C:$C,Structure!$A:$AJ,U$1,0)*15,0),IFERROR(VLOOKUP($D:$D,Structure!$A:$AJ,U$1,0)*15,0),IFERROR(VLOOKUP($E:$E,Structure!$A:$AJ,U$1,0)*15,0))</f>
        <v>0</v>
      </c>
      <c r="V81" s="13">
        <f>SUM(IFERROR(VLOOKUP($C:$C,Structure!$A:$AJ,V$1,0)*15,0),IFERROR(VLOOKUP($D:$D,Structure!$A:$AJ,V$1,0)*15,0),IFERROR(VLOOKUP($E:$E,Structure!$A:$AJ,V$1,0)*15,0))</f>
        <v>0</v>
      </c>
      <c r="W81" s="13">
        <f>SUM(IFERROR(VLOOKUP($C:$C,Structure!$A:$AJ,W$1,0)*15,0),IFERROR(VLOOKUP($D:$D,Structure!$A:$AJ,W$1,0)*15,0),IFERROR(VLOOKUP($E:$E,Structure!$A:$AJ,W$1,0)*15,0))</f>
        <v>0</v>
      </c>
      <c r="X81" s="13">
        <f>SUM(IFERROR(VLOOKUP($C:$C,Structure!$A:$AJ,X$1,0)*15,0),IFERROR(VLOOKUP($D:$D,Structure!$A:$AJ,X$1,0)*15,0),IFERROR(VLOOKUP($E:$E,Structure!$A:$AJ,X$1,0)*15,0))</f>
        <v>0</v>
      </c>
      <c r="Y81" s="13">
        <f>SUM(IFERROR(VLOOKUP($C:$C,Structure!$A:$AJ,Y$1,0)*15,0),IFERROR(VLOOKUP($D:$D,Structure!$A:$AJ,Y$1,0)*15,0),IFERROR(VLOOKUP($E:$E,Structure!$A:$AJ,Y$1,0)*15,0))</f>
        <v>0</v>
      </c>
      <c r="Z81" s="13">
        <f>SUM(IFERROR(VLOOKUP($C:$C,Structure!$A:$AJ,Z$1,0)*15,0),IFERROR(VLOOKUP($D:$D,Structure!$A:$AJ,Z$1,0)*15,0),IFERROR(VLOOKUP($E:$E,Structure!$A:$AJ,Z$1,0)*15,0))</f>
        <v>0</v>
      </c>
      <c r="AA81" s="13">
        <f>SUM(IFERROR(VLOOKUP($C:$C,Structure!$A:$AJ,AA$1,0)*15,0),IFERROR(VLOOKUP($D:$D,Structure!$A:$AJ,AA$1,0)*15,0),IFERROR(VLOOKUP($E:$E,Structure!$A:$AJ,AA$1,0)*15,0))</f>
        <v>45</v>
      </c>
      <c r="AB81" s="13">
        <f>SUM(IFERROR(VLOOKUP($C:$C,Structure!$A:$AJ,AB$1,0)*15,0),IFERROR(VLOOKUP($D:$D,Structure!$A:$AJ,AB$1,0)*15,0),IFERROR(VLOOKUP($E:$E,Structure!$A:$AJ,AB$1,0)*15,0))</f>
        <v>0</v>
      </c>
      <c r="AC81" s="13">
        <f>SUM(IFERROR(VLOOKUP($C:$C,Structure!$A:$AJ,AC$1,0)*15,0),IFERROR(VLOOKUP($D:$D,Structure!$A:$AJ,AC$1,0)*15,0),IFERROR(VLOOKUP($E:$E,Structure!$A:$AJ,AC$1,0)*15,0))</f>
        <v>0</v>
      </c>
      <c r="AD81" s="13">
        <f>SUM(IFERROR(VLOOKUP($C:$C,Structure!$A:$AJ,AD$1,0)*15,0),IFERROR(VLOOKUP($D:$D,Structure!$A:$AJ,AD$1,0)*15,0),IFERROR(VLOOKUP($E:$E,Structure!$A:$AJ,AD$1,0)*15,0))</f>
        <v>0</v>
      </c>
      <c r="AE81" s="13">
        <f>SUM(IFERROR(VLOOKUP($C:$C,Structure!$A:$AJ,AE$1,0)*15,0),IFERROR(VLOOKUP($D:$D,Structure!$A:$AJ,AE$1,0)*15,0),IFERROR(VLOOKUP($E:$E,Structure!$A:$AJ,AE$1,0)*15,0))</f>
        <v>0</v>
      </c>
      <c r="AF81" s="13">
        <f>SUM(IFERROR(VLOOKUP($C:$C,Structure!$A:$AJ,AF$1,0)*15,0),IFERROR(VLOOKUP($D:$D,Structure!$A:$AJ,AF$1,0)*15,0),IFERROR(VLOOKUP($E:$E,Structure!$A:$AJ,AF$1,0)*15,0))</f>
        <v>0</v>
      </c>
      <c r="AG81" s="13">
        <f>SUM(IFERROR(VLOOKUP($C:$C,Structure!$A:$AJ,AG$1,0)*15,0),IFERROR(VLOOKUP($D:$D,Structure!$A:$AJ,AG$1,0)*15,0),IFERROR(VLOOKUP($E:$E,Structure!$A:$AJ,AG$1,0)*15,0))</f>
        <v>0</v>
      </c>
      <c r="AH81" s="13">
        <f>SUM(IFERROR(VLOOKUP($C:$C,Structure!$A:$AJ,AH$1,0)*15,0),IFERROR(VLOOKUP($D:$D,Structure!$A:$AJ,AH$1,0)*15,0),IFERROR(VLOOKUP($E:$E,Structure!$A:$AJ,AH$1,0)*15,0))</f>
        <v>0</v>
      </c>
      <c r="AI81" s="13">
        <f>SUM(IFERROR(VLOOKUP($C:$C,Structure!$A:$AJ,AI$1,0)*15,0),IFERROR(VLOOKUP($D:$D,Structure!$A:$AJ,AI$1,0)*15,0),IFERROR(VLOOKUP($E:$E,Structure!$A:$AJ,AI$1,0)*15,0))</f>
        <v>0</v>
      </c>
      <c r="AJ81" s="13">
        <f>SUM(IFERROR(VLOOKUP($C:$C,Structure!$A:$AJ,AJ$1,0)*15,0),IFERROR(VLOOKUP($D:$D,Structure!$A:$AJ,AJ$1,0)*15,0),IFERROR(VLOOKUP($E:$E,Structure!$A:$AJ,AJ$1,0)*15,0))</f>
        <v>30</v>
      </c>
      <c r="AK81" s="13">
        <f>SUM(IFERROR(VLOOKUP($C:$C,Structure!$A:$AJ,AK$1,0)*15,0),IFERROR(VLOOKUP($D:$D,Structure!$A:$AJ,AK$1,0)*15,0),IFERROR(VLOOKUP($E:$E,Structure!$A:$AJ,AK$1,0)*15,0))</f>
        <v>15</v>
      </c>
      <c r="AL81" s="13">
        <f>SUM(IFERROR(VLOOKUP($C:$C,Structure!$A:$AJ,AL$1,0)*15,0),IFERROR(VLOOKUP($D:$D,Structure!$A:$AJ,AL$1,0)*15,0),IFERROR(VLOOKUP($E:$E,Structure!$A:$AJ,AL$1,0)*15,0))</f>
        <v>0</v>
      </c>
      <c r="AM81" s="13">
        <f>SUM(IFERROR(VLOOKUP($C:$C,Structure!$A:$AJ,AM$1,0)*15,0),IFERROR(VLOOKUP($D:$D,Structure!$A:$AJ,AM$1,0)*15,0),IFERROR(VLOOKUP($E:$E,Structure!$A:$AJ,AM$1,0)*15,0))</f>
        <v>0</v>
      </c>
      <c r="AN81" s="13">
        <f>SUM(IFERROR(VLOOKUP($C:$C,Structure!$A:$AJ,AN$1,0)*15,0),IFERROR(VLOOKUP($D:$D,Structure!$A:$AJ,AN$1,0)*15,0),IFERROR(VLOOKUP($E:$E,Structure!$A:$AJ,AN$1,0)*15,0))</f>
        <v>0</v>
      </c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3"/>
      <c r="BZ81" s="4">
        <f>BZ80+AQ81-F81</f>
        <v>0</v>
      </c>
      <c r="CA81" s="4">
        <f>CA80+AR81-G81</f>
        <v>0</v>
      </c>
      <c r="CB81" s="4">
        <f>CB80+AS81-H81</f>
        <v>0</v>
      </c>
      <c r="CC81" s="4">
        <f>CC80+AT81-I81</f>
        <v>0</v>
      </c>
      <c r="CD81" s="4">
        <f>CD80+AU81-J81</f>
        <v>0</v>
      </c>
      <c r="CE81" s="4">
        <f>CE80+AV81-K81</f>
        <v>0</v>
      </c>
      <c r="CF81" s="4">
        <f>CF80+AW81-L81</f>
        <v>0</v>
      </c>
      <c r="CG81" s="4">
        <f>CG80+AX81-M81</f>
        <v>0</v>
      </c>
      <c r="CH81" s="4">
        <f>CH80+AY81-N81</f>
        <v>0</v>
      </c>
      <c r="CI81" s="4">
        <f>CI80+AZ81-O81</f>
        <v>0</v>
      </c>
      <c r="CJ81" s="4">
        <f>CJ80+BA81-P81</f>
        <v>0</v>
      </c>
      <c r="CK81" s="4">
        <f>CK80+BB81-Q81</f>
        <v>0</v>
      </c>
      <c r="CL81" s="4">
        <f>CL80+BC81-R81</f>
        <v>0</v>
      </c>
      <c r="CM81" s="4">
        <f>CM80+BD81-S81</f>
        <v>0</v>
      </c>
      <c r="CN81" s="4">
        <f>CN80+BE81-T81</f>
        <v>0</v>
      </c>
      <c r="CO81" s="4">
        <f>CO80+BF81-U81</f>
        <v>0</v>
      </c>
      <c r="CP81" s="4">
        <f>CP80+BG81-V81</f>
        <v>0</v>
      </c>
      <c r="CQ81" s="4">
        <f>CQ80+BH81-W81</f>
        <v>0</v>
      </c>
      <c r="CR81" s="4">
        <f>CR80+BI81-X81</f>
        <v>0</v>
      </c>
      <c r="CS81" s="4">
        <f>CS80+BJ81-Y81</f>
        <v>0</v>
      </c>
      <c r="CT81" s="4">
        <f>CT80+BK81-Z81</f>
        <v>0</v>
      </c>
      <c r="CU81" s="4">
        <f>CU80+BL81-AA81</f>
        <v>-3035</v>
      </c>
      <c r="CV81" s="4">
        <f>CV80+BM81-AB81</f>
        <v>-225</v>
      </c>
      <c r="CW81" s="4">
        <f>CW80+BN81-AC81</f>
        <v>-195</v>
      </c>
      <c r="CX81" s="4">
        <f>CX80+BO81-AD81</f>
        <v>0</v>
      </c>
      <c r="CY81" s="4">
        <f>CY80+BP81-AE81</f>
        <v>0</v>
      </c>
      <c r="CZ81" s="4">
        <f>CZ80+BQ81-AF81</f>
        <v>-145</v>
      </c>
      <c r="DA81" s="4">
        <f>DA80+BR81-AG81</f>
        <v>0</v>
      </c>
      <c r="DB81" s="4">
        <f>DB80+BS81-AH81</f>
        <v>0</v>
      </c>
      <c r="DC81" s="4">
        <f>DC80+BT81-AI81</f>
        <v>0</v>
      </c>
      <c r="DD81" s="4">
        <f>DD80+BU81-AJ81</f>
        <v>-2155</v>
      </c>
      <c r="DE81" s="4">
        <f>DE80+BV81-AK81</f>
        <v>-900</v>
      </c>
      <c r="DF81" s="4">
        <f>DF80+BW81-AL81</f>
        <v>0</v>
      </c>
      <c r="DG81" s="4">
        <f>DG80+BX81-AM81</f>
        <v>-175</v>
      </c>
      <c r="DH81" s="4">
        <f>DH80+BY81-AN81</f>
        <v>0</v>
      </c>
    </row>
    <row r="82" spans="1:112" x14ac:dyDescent="0.25">
      <c r="A82" s="6">
        <v>46182</v>
      </c>
      <c r="B82" s="7">
        <v>0.6249999998108251</v>
      </c>
      <c r="C82" s="3" t="s">
        <v>3</v>
      </c>
      <c r="D82" s="3" t="s">
        <v>6</v>
      </c>
      <c r="E82" s="3" t="s">
        <v>2</v>
      </c>
      <c r="F82" s="13">
        <f>SUM(IFERROR(VLOOKUP($C:$C,Structure!$A:$AJ,F$1,0)*15,0),IFERROR(VLOOKUP($D:$D,Structure!$A:$AJ,F$1,0)*15,0),IFERROR(VLOOKUP($E:$E,Structure!$A:$AJ,F$1,0)*15,0))</f>
        <v>0</v>
      </c>
      <c r="G82" s="13">
        <f>SUM(IFERROR(VLOOKUP($C:$C,Structure!$A:$AJ,G$1,0)*15,0),IFERROR(VLOOKUP($D:$D,Structure!$A:$AJ,G$1,0)*15,0),IFERROR(VLOOKUP($E:$E,Structure!$A:$AJ,G$1,0)*15,0))</f>
        <v>0</v>
      </c>
      <c r="H82" s="13">
        <f>SUM(IFERROR(VLOOKUP($C:$C,Structure!$A:$AJ,H$1,0)*15,0),IFERROR(VLOOKUP($D:$D,Structure!$A:$AJ,H$1,0)*15,0),IFERROR(VLOOKUP($E:$E,Structure!$A:$AJ,H$1,0)*15,0))</f>
        <v>0</v>
      </c>
      <c r="I82" s="13">
        <f>SUM(IFERROR(VLOOKUP($C:$C,Structure!$A:$AJ,I$1,0)*15,0),IFERROR(VLOOKUP($D:$D,Structure!$A:$AJ,I$1,0)*15,0),IFERROR(VLOOKUP($E:$E,Structure!$A:$AJ,I$1,0)*15,0))</f>
        <v>0</v>
      </c>
      <c r="J82" s="13">
        <f>SUM(IFERROR(VLOOKUP($C:$C,Structure!$A:$AJ,J$1,0)*15,0),IFERROR(VLOOKUP($D:$D,Structure!$A:$AJ,J$1,0)*15,0),IFERROR(VLOOKUP($E:$E,Structure!$A:$AJ,J$1,0)*15,0))</f>
        <v>0</v>
      </c>
      <c r="K82" s="13">
        <f>SUM(IFERROR(VLOOKUP($C:$C,Structure!$A:$AJ,K$1,0)*15,0),IFERROR(VLOOKUP($D:$D,Structure!$A:$AJ,K$1,0)*15,0),IFERROR(VLOOKUP($E:$E,Structure!$A:$AJ,K$1,0)*15,0))</f>
        <v>0</v>
      </c>
      <c r="L82" s="13">
        <f>SUM(IFERROR(VLOOKUP($C:$C,Structure!$A:$AJ,L$1,0)*15,0),IFERROR(VLOOKUP($D:$D,Structure!$A:$AJ,L$1,0)*15,0),IFERROR(VLOOKUP($E:$E,Structure!$A:$AJ,L$1,0)*15,0))</f>
        <v>0</v>
      </c>
      <c r="M82" s="13">
        <f>SUM(IFERROR(VLOOKUP($C:$C,Structure!$A:$AJ,M$1,0)*15,0),IFERROR(VLOOKUP($D:$D,Structure!$A:$AJ,M$1,0)*15,0),IFERROR(VLOOKUP($E:$E,Structure!$A:$AJ,M$1,0)*15,0))</f>
        <v>0</v>
      </c>
      <c r="N82" s="13">
        <f>SUM(IFERROR(VLOOKUP($C:$C,Structure!$A:$AJ,N$1,0)*15,0),IFERROR(VLOOKUP($D:$D,Structure!$A:$AJ,N$1,0)*15,0),IFERROR(VLOOKUP($E:$E,Structure!$A:$AJ,N$1,0)*15,0))</f>
        <v>0</v>
      </c>
      <c r="O82" s="13">
        <f>SUM(IFERROR(VLOOKUP($C:$C,Structure!$A:$AJ,O$1,0)*15,0),IFERROR(VLOOKUP($D:$D,Structure!$A:$AJ,O$1,0)*15,0),IFERROR(VLOOKUP($E:$E,Structure!$A:$AJ,O$1,0)*15,0))</f>
        <v>0</v>
      </c>
      <c r="P82" s="13">
        <f>SUM(IFERROR(VLOOKUP($C:$C,Structure!$A:$AJ,P$1,0)*15,0),IFERROR(VLOOKUP($D:$D,Structure!$A:$AJ,P$1,0)*15,0),IFERROR(VLOOKUP($E:$E,Structure!$A:$AJ,P$1,0)*15,0))</f>
        <v>0</v>
      </c>
      <c r="Q82" s="13">
        <f>SUM(IFERROR(VLOOKUP($C:$C,Structure!$A:$AJ,Q$1,0)*15,0),IFERROR(VLOOKUP($D:$D,Structure!$A:$AJ,Q$1,0)*15,0),IFERROR(VLOOKUP($E:$E,Structure!$A:$AJ,Q$1,0)*15,0))</f>
        <v>0</v>
      </c>
      <c r="R82" s="13">
        <f>SUM(IFERROR(VLOOKUP($C:$C,Structure!$A:$AJ,R$1,0)*15,0),IFERROR(VLOOKUP($D:$D,Structure!$A:$AJ,R$1,0)*15,0),IFERROR(VLOOKUP($E:$E,Structure!$A:$AJ,R$1,0)*15,0))</f>
        <v>0</v>
      </c>
      <c r="S82" s="13">
        <f>SUM(IFERROR(VLOOKUP($C:$C,Structure!$A:$AJ,S$1,0)*15,0),IFERROR(VLOOKUP($D:$D,Structure!$A:$AJ,S$1,0)*15,0),IFERROR(VLOOKUP($E:$E,Structure!$A:$AJ,S$1,0)*15,0))</f>
        <v>0</v>
      </c>
      <c r="T82" s="13">
        <f>SUM(IFERROR(VLOOKUP($C:$C,Structure!$A:$AJ,T$1,0)*15,0),IFERROR(VLOOKUP($D:$D,Structure!$A:$AJ,T$1,0)*15,0),IFERROR(VLOOKUP($E:$E,Structure!$A:$AJ,T$1,0)*15,0))</f>
        <v>0</v>
      </c>
      <c r="U82" s="13">
        <f>SUM(IFERROR(VLOOKUP($C:$C,Structure!$A:$AJ,U$1,0)*15,0),IFERROR(VLOOKUP($D:$D,Structure!$A:$AJ,U$1,0)*15,0),IFERROR(VLOOKUP($E:$E,Structure!$A:$AJ,U$1,0)*15,0))</f>
        <v>0</v>
      </c>
      <c r="V82" s="13">
        <f>SUM(IFERROR(VLOOKUP($C:$C,Structure!$A:$AJ,V$1,0)*15,0),IFERROR(VLOOKUP($D:$D,Structure!$A:$AJ,V$1,0)*15,0),IFERROR(VLOOKUP($E:$E,Structure!$A:$AJ,V$1,0)*15,0))</f>
        <v>0</v>
      </c>
      <c r="W82" s="13">
        <f>SUM(IFERROR(VLOOKUP($C:$C,Structure!$A:$AJ,W$1,0)*15,0),IFERROR(VLOOKUP($D:$D,Structure!$A:$AJ,W$1,0)*15,0),IFERROR(VLOOKUP($E:$E,Structure!$A:$AJ,W$1,0)*15,0))</f>
        <v>0</v>
      </c>
      <c r="X82" s="13">
        <f>SUM(IFERROR(VLOOKUP($C:$C,Structure!$A:$AJ,X$1,0)*15,0),IFERROR(VLOOKUP($D:$D,Structure!$A:$AJ,X$1,0)*15,0),IFERROR(VLOOKUP($E:$E,Structure!$A:$AJ,X$1,0)*15,0))</f>
        <v>0</v>
      </c>
      <c r="Y82" s="13">
        <f>SUM(IFERROR(VLOOKUP($C:$C,Structure!$A:$AJ,Y$1,0)*15,0),IFERROR(VLOOKUP($D:$D,Structure!$A:$AJ,Y$1,0)*15,0),IFERROR(VLOOKUP($E:$E,Structure!$A:$AJ,Y$1,0)*15,0))</f>
        <v>0</v>
      </c>
      <c r="Z82" s="13">
        <f>SUM(IFERROR(VLOOKUP($C:$C,Structure!$A:$AJ,Z$1,0)*15,0),IFERROR(VLOOKUP($D:$D,Structure!$A:$AJ,Z$1,0)*15,0),IFERROR(VLOOKUP($E:$E,Structure!$A:$AJ,Z$1,0)*15,0))</f>
        <v>0</v>
      </c>
      <c r="AA82" s="13">
        <f>SUM(IFERROR(VLOOKUP($C:$C,Structure!$A:$AJ,AA$1,0)*15,0),IFERROR(VLOOKUP($D:$D,Structure!$A:$AJ,AA$1,0)*15,0),IFERROR(VLOOKUP($E:$E,Structure!$A:$AJ,AA$1,0)*15,0))</f>
        <v>45</v>
      </c>
      <c r="AB82" s="13">
        <f>SUM(IFERROR(VLOOKUP($C:$C,Structure!$A:$AJ,AB$1,0)*15,0),IFERROR(VLOOKUP($D:$D,Structure!$A:$AJ,AB$1,0)*15,0),IFERROR(VLOOKUP($E:$E,Structure!$A:$AJ,AB$1,0)*15,0))</f>
        <v>0</v>
      </c>
      <c r="AC82" s="13">
        <f>SUM(IFERROR(VLOOKUP($C:$C,Structure!$A:$AJ,AC$1,0)*15,0),IFERROR(VLOOKUP($D:$D,Structure!$A:$AJ,AC$1,0)*15,0),IFERROR(VLOOKUP($E:$E,Structure!$A:$AJ,AC$1,0)*15,0))</f>
        <v>0</v>
      </c>
      <c r="AD82" s="13">
        <f>SUM(IFERROR(VLOOKUP($C:$C,Structure!$A:$AJ,AD$1,0)*15,0),IFERROR(VLOOKUP($D:$D,Structure!$A:$AJ,AD$1,0)*15,0),IFERROR(VLOOKUP($E:$E,Structure!$A:$AJ,AD$1,0)*15,0))</f>
        <v>0</v>
      </c>
      <c r="AE82" s="13">
        <f>SUM(IFERROR(VLOOKUP($C:$C,Structure!$A:$AJ,AE$1,0)*15,0),IFERROR(VLOOKUP($D:$D,Structure!$A:$AJ,AE$1,0)*15,0),IFERROR(VLOOKUP($E:$E,Structure!$A:$AJ,AE$1,0)*15,0))</f>
        <v>0</v>
      </c>
      <c r="AF82" s="13">
        <f>SUM(IFERROR(VLOOKUP($C:$C,Structure!$A:$AJ,AF$1,0)*15,0),IFERROR(VLOOKUP($D:$D,Structure!$A:$AJ,AF$1,0)*15,0),IFERROR(VLOOKUP($E:$E,Structure!$A:$AJ,AF$1,0)*15,0))</f>
        <v>0</v>
      </c>
      <c r="AG82" s="13">
        <f>SUM(IFERROR(VLOOKUP($C:$C,Structure!$A:$AJ,AG$1,0)*15,0),IFERROR(VLOOKUP($D:$D,Structure!$A:$AJ,AG$1,0)*15,0),IFERROR(VLOOKUP($E:$E,Structure!$A:$AJ,AG$1,0)*15,0))</f>
        <v>0</v>
      </c>
      <c r="AH82" s="13">
        <f>SUM(IFERROR(VLOOKUP($C:$C,Structure!$A:$AJ,AH$1,0)*15,0),IFERROR(VLOOKUP($D:$D,Structure!$A:$AJ,AH$1,0)*15,0),IFERROR(VLOOKUP($E:$E,Structure!$A:$AJ,AH$1,0)*15,0))</f>
        <v>0</v>
      </c>
      <c r="AI82" s="13">
        <f>SUM(IFERROR(VLOOKUP($C:$C,Structure!$A:$AJ,AI$1,0)*15,0),IFERROR(VLOOKUP($D:$D,Structure!$A:$AJ,AI$1,0)*15,0),IFERROR(VLOOKUP($E:$E,Structure!$A:$AJ,AI$1,0)*15,0))</f>
        <v>0</v>
      </c>
      <c r="AJ82" s="13">
        <f>SUM(IFERROR(VLOOKUP($C:$C,Structure!$A:$AJ,AJ$1,0)*15,0),IFERROR(VLOOKUP($D:$D,Structure!$A:$AJ,AJ$1,0)*15,0),IFERROR(VLOOKUP($E:$E,Structure!$A:$AJ,AJ$1,0)*15,0))</f>
        <v>30</v>
      </c>
      <c r="AK82" s="13">
        <f>SUM(IFERROR(VLOOKUP($C:$C,Structure!$A:$AJ,AK$1,0)*15,0),IFERROR(VLOOKUP($D:$D,Structure!$A:$AJ,AK$1,0)*15,0),IFERROR(VLOOKUP($E:$E,Structure!$A:$AJ,AK$1,0)*15,0))</f>
        <v>15</v>
      </c>
      <c r="AL82" s="13">
        <f>SUM(IFERROR(VLOOKUP($C:$C,Structure!$A:$AJ,AL$1,0)*15,0),IFERROR(VLOOKUP($D:$D,Structure!$A:$AJ,AL$1,0)*15,0),IFERROR(VLOOKUP($E:$E,Structure!$A:$AJ,AL$1,0)*15,0))</f>
        <v>0</v>
      </c>
      <c r="AM82" s="13">
        <f>SUM(IFERROR(VLOOKUP($C:$C,Structure!$A:$AJ,AM$1,0)*15,0),IFERROR(VLOOKUP($D:$D,Structure!$A:$AJ,AM$1,0)*15,0),IFERROR(VLOOKUP($E:$E,Structure!$A:$AJ,AM$1,0)*15,0))</f>
        <v>0</v>
      </c>
      <c r="AN82" s="13">
        <f>SUM(IFERROR(VLOOKUP($C:$C,Structure!$A:$AJ,AN$1,0)*15,0),IFERROR(VLOOKUP($D:$D,Structure!$A:$AJ,AN$1,0)*15,0),IFERROR(VLOOKUP($E:$E,Structure!$A:$AJ,AN$1,0)*15,0))</f>
        <v>0</v>
      </c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3"/>
      <c r="BZ82" s="4">
        <f>BZ81+AQ82-F82</f>
        <v>0</v>
      </c>
      <c r="CA82" s="4">
        <f>CA81+AR82-G82</f>
        <v>0</v>
      </c>
      <c r="CB82" s="4">
        <f>CB81+AS82-H82</f>
        <v>0</v>
      </c>
      <c r="CC82" s="4">
        <f>CC81+AT82-I82</f>
        <v>0</v>
      </c>
      <c r="CD82" s="4">
        <f>CD81+AU82-J82</f>
        <v>0</v>
      </c>
      <c r="CE82" s="4">
        <f>CE81+AV82-K82</f>
        <v>0</v>
      </c>
      <c r="CF82" s="4">
        <f>CF81+AW82-L82</f>
        <v>0</v>
      </c>
      <c r="CG82" s="4">
        <f>CG81+AX82-M82</f>
        <v>0</v>
      </c>
      <c r="CH82" s="4">
        <f>CH81+AY82-N82</f>
        <v>0</v>
      </c>
      <c r="CI82" s="4">
        <f>CI81+AZ82-O82</f>
        <v>0</v>
      </c>
      <c r="CJ82" s="4">
        <f>CJ81+BA82-P82</f>
        <v>0</v>
      </c>
      <c r="CK82" s="4">
        <f>CK81+BB82-Q82</f>
        <v>0</v>
      </c>
      <c r="CL82" s="4">
        <f>CL81+BC82-R82</f>
        <v>0</v>
      </c>
      <c r="CM82" s="4">
        <f>CM81+BD82-S82</f>
        <v>0</v>
      </c>
      <c r="CN82" s="4">
        <f>CN81+BE82-T82</f>
        <v>0</v>
      </c>
      <c r="CO82" s="4">
        <f>CO81+BF82-U82</f>
        <v>0</v>
      </c>
      <c r="CP82" s="4">
        <f>CP81+BG82-V82</f>
        <v>0</v>
      </c>
      <c r="CQ82" s="4">
        <f>CQ81+BH82-W82</f>
        <v>0</v>
      </c>
      <c r="CR82" s="4">
        <f>CR81+BI82-X82</f>
        <v>0</v>
      </c>
      <c r="CS82" s="4">
        <f>CS81+BJ82-Y82</f>
        <v>0</v>
      </c>
      <c r="CT82" s="4">
        <f>CT81+BK82-Z82</f>
        <v>0</v>
      </c>
      <c r="CU82" s="4">
        <f>CU81+BL82-AA82</f>
        <v>-3080</v>
      </c>
      <c r="CV82" s="4">
        <f>CV81+BM82-AB82</f>
        <v>-225</v>
      </c>
      <c r="CW82" s="4">
        <f>CW81+BN82-AC82</f>
        <v>-195</v>
      </c>
      <c r="CX82" s="4">
        <f>CX81+BO82-AD82</f>
        <v>0</v>
      </c>
      <c r="CY82" s="4">
        <f>CY81+BP82-AE82</f>
        <v>0</v>
      </c>
      <c r="CZ82" s="4">
        <f>CZ81+BQ82-AF82</f>
        <v>-145</v>
      </c>
      <c r="DA82" s="4">
        <f>DA81+BR82-AG82</f>
        <v>0</v>
      </c>
      <c r="DB82" s="4">
        <f>DB81+BS82-AH82</f>
        <v>0</v>
      </c>
      <c r="DC82" s="4">
        <f>DC81+BT82-AI82</f>
        <v>0</v>
      </c>
      <c r="DD82" s="4">
        <f>DD81+BU82-AJ82</f>
        <v>-2185</v>
      </c>
      <c r="DE82" s="4">
        <f>DE81+BV82-AK82</f>
        <v>-915</v>
      </c>
      <c r="DF82" s="4">
        <f>DF81+BW82-AL82</f>
        <v>0</v>
      </c>
      <c r="DG82" s="4">
        <f>DG81+BX82-AM82</f>
        <v>-175</v>
      </c>
      <c r="DH82" s="4">
        <f>DH81+BY82-AN82</f>
        <v>0</v>
      </c>
    </row>
    <row r="83" spans="1:112" x14ac:dyDescent="0.25">
      <c r="A83" s="6">
        <v>46182</v>
      </c>
      <c r="B83" s="7">
        <v>0.66666666647506645</v>
      </c>
      <c r="C83" s="3" t="s">
        <v>3</v>
      </c>
      <c r="D83" s="3" t="s">
        <v>6</v>
      </c>
      <c r="E83" s="3" t="s">
        <v>2</v>
      </c>
      <c r="F83" s="13">
        <f>SUM(IFERROR(VLOOKUP($C:$C,Structure!$A:$AJ,F$1,0)*15,0),IFERROR(VLOOKUP($D:$D,Structure!$A:$AJ,F$1,0)*15,0),IFERROR(VLOOKUP($E:$E,Structure!$A:$AJ,F$1,0)*15,0))</f>
        <v>0</v>
      </c>
      <c r="G83" s="13">
        <f>SUM(IFERROR(VLOOKUP($C:$C,Structure!$A:$AJ,G$1,0)*15,0),IFERROR(VLOOKUP($D:$D,Structure!$A:$AJ,G$1,0)*15,0),IFERROR(VLOOKUP($E:$E,Structure!$A:$AJ,G$1,0)*15,0))</f>
        <v>0</v>
      </c>
      <c r="H83" s="13">
        <f>SUM(IFERROR(VLOOKUP($C:$C,Structure!$A:$AJ,H$1,0)*15,0),IFERROR(VLOOKUP($D:$D,Structure!$A:$AJ,H$1,0)*15,0),IFERROR(VLOOKUP($E:$E,Structure!$A:$AJ,H$1,0)*15,0))</f>
        <v>0</v>
      </c>
      <c r="I83" s="13">
        <f>SUM(IFERROR(VLOOKUP($C:$C,Structure!$A:$AJ,I$1,0)*15,0),IFERROR(VLOOKUP($D:$D,Structure!$A:$AJ,I$1,0)*15,0),IFERROR(VLOOKUP($E:$E,Structure!$A:$AJ,I$1,0)*15,0))</f>
        <v>0</v>
      </c>
      <c r="J83" s="13">
        <f>SUM(IFERROR(VLOOKUP($C:$C,Structure!$A:$AJ,J$1,0)*15,0),IFERROR(VLOOKUP($D:$D,Structure!$A:$AJ,J$1,0)*15,0),IFERROR(VLOOKUP($E:$E,Structure!$A:$AJ,J$1,0)*15,0))</f>
        <v>0</v>
      </c>
      <c r="K83" s="13">
        <f>SUM(IFERROR(VLOOKUP($C:$C,Structure!$A:$AJ,K$1,0)*15,0),IFERROR(VLOOKUP($D:$D,Structure!$A:$AJ,K$1,0)*15,0),IFERROR(VLOOKUP($E:$E,Structure!$A:$AJ,K$1,0)*15,0))</f>
        <v>0</v>
      </c>
      <c r="L83" s="13">
        <f>SUM(IFERROR(VLOOKUP($C:$C,Structure!$A:$AJ,L$1,0)*15,0),IFERROR(VLOOKUP($D:$D,Structure!$A:$AJ,L$1,0)*15,0),IFERROR(VLOOKUP($E:$E,Structure!$A:$AJ,L$1,0)*15,0))</f>
        <v>0</v>
      </c>
      <c r="M83" s="13">
        <f>SUM(IFERROR(VLOOKUP($C:$C,Structure!$A:$AJ,M$1,0)*15,0),IFERROR(VLOOKUP($D:$D,Structure!$A:$AJ,M$1,0)*15,0),IFERROR(VLOOKUP($E:$E,Structure!$A:$AJ,M$1,0)*15,0))</f>
        <v>0</v>
      </c>
      <c r="N83" s="13">
        <f>SUM(IFERROR(VLOOKUP($C:$C,Structure!$A:$AJ,N$1,0)*15,0),IFERROR(VLOOKUP($D:$D,Structure!$A:$AJ,N$1,0)*15,0),IFERROR(VLOOKUP($E:$E,Structure!$A:$AJ,N$1,0)*15,0))</f>
        <v>0</v>
      </c>
      <c r="O83" s="13">
        <f>SUM(IFERROR(VLOOKUP($C:$C,Structure!$A:$AJ,O$1,0)*15,0),IFERROR(VLOOKUP($D:$D,Structure!$A:$AJ,O$1,0)*15,0),IFERROR(VLOOKUP($E:$E,Structure!$A:$AJ,O$1,0)*15,0))</f>
        <v>0</v>
      </c>
      <c r="P83" s="13">
        <f>SUM(IFERROR(VLOOKUP($C:$C,Structure!$A:$AJ,P$1,0)*15,0),IFERROR(VLOOKUP($D:$D,Structure!$A:$AJ,P$1,0)*15,0),IFERROR(VLOOKUP($E:$E,Structure!$A:$AJ,P$1,0)*15,0))</f>
        <v>0</v>
      </c>
      <c r="Q83" s="13">
        <f>SUM(IFERROR(VLOOKUP($C:$C,Structure!$A:$AJ,Q$1,0)*15,0),IFERROR(VLOOKUP($D:$D,Structure!$A:$AJ,Q$1,0)*15,0),IFERROR(VLOOKUP($E:$E,Structure!$A:$AJ,Q$1,0)*15,0))</f>
        <v>0</v>
      </c>
      <c r="R83" s="13">
        <f>SUM(IFERROR(VLOOKUP($C:$C,Structure!$A:$AJ,R$1,0)*15,0),IFERROR(VLOOKUP($D:$D,Structure!$A:$AJ,R$1,0)*15,0),IFERROR(VLOOKUP($E:$E,Structure!$A:$AJ,R$1,0)*15,0))</f>
        <v>0</v>
      </c>
      <c r="S83" s="13">
        <f>SUM(IFERROR(VLOOKUP($C:$C,Structure!$A:$AJ,S$1,0)*15,0),IFERROR(VLOOKUP($D:$D,Structure!$A:$AJ,S$1,0)*15,0),IFERROR(VLOOKUP($E:$E,Structure!$A:$AJ,S$1,0)*15,0))</f>
        <v>0</v>
      </c>
      <c r="T83" s="13">
        <f>SUM(IFERROR(VLOOKUP($C:$C,Structure!$A:$AJ,T$1,0)*15,0),IFERROR(VLOOKUP($D:$D,Structure!$A:$AJ,T$1,0)*15,0),IFERROR(VLOOKUP($E:$E,Structure!$A:$AJ,T$1,0)*15,0))</f>
        <v>0</v>
      </c>
      <c r="U83" s="13">
        <f>SUM(IFERROR(VLOOKUP($C:$C,Structure!$A:$AJ,U$1,0)*15,0),IFERROR(VLOOKUP($D:$D,Structure!$A:$AJ,U$1,0)*15,0),IFERROR(VLOOKUP($E:$E,Structure!$A:$AJ,U$1,0)*15,0))</f>
        <v>0</v>
      </c>
      <c r="V83" s="13">
        <f>SUM(IFERROR(VLOOKUP($C:$C,Structure!$A:$AJ,V$1,0)*15,0),IFERROR(VLOOKUP($D:$D,Structure!$A:$AJ,V$1,0)*15,0),IFERROR(VLOOKUP($E:$E,Structure!$A:$AJ,V$1,0)*15,0))</f>
        <v>0</v>
      </c>
      <c r="W83" s="13">
        <f>SUM(IFERROR(VLOOKUP($C:$C,Structure!$A:$AJ,W$1,0)*15,0),IFERROR(VLOOKUP($D:$D,Structure!$A:$AJ,W$1,0)*15,0),IFERROR(VLOOKUP($E:$E,Structure!$A:$AJ,W$1,0)*15,0))</f>
        <v>0</v>
      </c>
      <c r="X83" s="13">
        <f>SUM(IFERROR(VLOOKUP($C:$C,Structure!$A:$AJ,X$1,0)*15,0),IFERROR(VLOOKUP($D:$D,Structure!$A:$AJ,X$1,0)*15,0),IFERROR(VLOOKUP($E:$E,Structure!$A:$AJ,X$1,0)*15,0))</f>
        <v>0</v>
      </c>
      <c r="Y83" s="13">
        <f>SUM(IFERROR(VLOOKUP($C:$C,Structure!$A:$AJ,Y$1,0)*15,0),IFERROR(VLOOKUP($D:$D,Structure!$A:$AJ,Y$1,0)*15,0),IFERROR(VLOOKUP($E:$E,Structure!$A:$AJ,Y$1,0)*15,0))</f>
        <v>0</v>
      </c>
      <c r="Z83" s="13">
        <f>SUM(IFERROR(VLOOKUP($C:$C,Structure!$A:$AJ,Z$1,0)*15,0),IFERROR(VLOOKUP($D:$D,Structure!$A:$AJ,Z$1,0)*15,0),IFERROR(VLOOKUP($E:$E,Structure!$A:$AJ,Z$1,0)*15,0))</f>
        <v>0</v>
      </c>
      <c r="AA83" s="13">
        <f>SUM(IFERROR(VLOOKUP($C:$C,Structure!$A:$AJ,AA$1,0)*15,0),IFERROR(VLOOKUP($D:$D,Structure!$A:$AJ,AA$1,0)*15,0),IFERROR(VLOOKUP($E:$E,Structure!$A:$AJ,AA$1,0)*15,0))</f>
        <v>45</v>
      </c>
      <c r="AB83" s="13">
        <f>SUM(IFERROR(VLOOKUP($C:$C,Structure!$A:$AJ,AB$1,0)*15,0),IFERROR(VLOOKUP($D:$D,Structure!$A:$AJ,AB$1,0)*15,0),IFERROR(VLOOKUP($E:$E,Structure!$A:$AJ,AB$1,0)*15,0))</f>
        <v>0</v>
      </c>
      <c r="AC83" s="13">
        <f>SUM(IFERROR(VLOOKUP($C:$C,Structure!$A:$AJ,AC$1,0)*15,0),IFERROR(VLOOKUP($D:$D,Structure!$A:$AJ,AC$1,0)*15,0),IFERROR(VLOOKUP($E:$E,Structure!$A:$AJ,AC$1,0)*15,0))</f>
        <v>0</v>
      </c>
      <c r="AD83" s="13">
        <f>SUM(IFERROR(VLOOKUP($C:$C,Structure!$A:$AJ,AD$1,0)*15,0),IFERROR(VLOOKUP($D:$D,Structure!$A:$AJ,AD$1,0)*15,0),IFERROR(VLOOKUP($E:$E,Structure!$A:$AJ,AD$1,0)*15,0))</f>
        <v>0</v>
      </c>
      <c r="AE83" s="13">
        <f>SUM(IFERROR(VLOOKUP($C:$C,Structure!$A:$AJ,AE$1,0)*15,0),IFERROR(VLOOKUP($D:$D,Structure!$A:$AJ,AE$1,0)*15,0),IFERROR(VLOOKUP($E:$E,Structure!$A:$AJ,AE$1,0)*15,0))</f>
        <v>0</v>
      </c>
      <c r="AF83" s="13">
        <f>SUM(IFERROR(VLOOKUP($C:$C,Structure!$A:$AJ,AF$1,0)*15,0),IFERROR(VLOOKUP($D:$D,Structure!$A:$AJ,AF$1,0)*15,0),IFERROR(VLOOKUP($E:$E,Structure!$A:$AJ,AF$1,0)*15,0))</f>
        <v>0</v>
      </c>
      <c r="AG83" s="13">
        <f>SUM(IFERROR(VLOOKUP($C:$C,Structure!$A:$AJ,AG$1,0)*15,0),IFERROR(VLOOKUP($D:$D,Structure!$A:$AJ,AG$1,0)*15,0),IFERROR(VLOOKUP($E:$E,Structure!$A:$AJ,AG$1,0)*15,0))</f>
        <v>0</v>
      </c>
      <c r="AH83" s="13">
        <f>SUM(IFERROR(VLOOKUP($C:$C,Structure!$A:$AJ,AH$1,0)*15,0),IFERROR(VLOOKUP($D:$D,Structure!$A:$AJ,AH$1,0)*15,0),IFERROR(VLOOKUP($E:$E,Structure!$A:$AJ,AH$1,0)*15,0))</f>
        <v>0</v>
      </c>
      <c r="AI83" s="13">
        <f>SUM(IFERROR(VLOOKUP($C:$C,Structure!$A:$AJ,AI$1,0)*15,0),IFERROR(VLOOKUP($D:$D,Structure!$A:$AJ,AI$1,0)*15,0),IFERROR(VLOOKUP($E:$E,Structure!$A:$AJ,AI$1,0)*15,0))</f>
        <v>0</v>
      </c>
      <c r="AJ83" s="13">
        <f>SUM(IFERROR(VLOOKUP($C:$C,Structure!$A:$AJ,AJ$1,0)*15,0),IFERROR(VLOOKUP($D:$D,Structure!$A:$AJ,AJ$1,0)*15,0),IFERROR(VLOOKUP($E:$E,Structure!$A:$AJ,AJ$1,0)*15,0))</f>
        <v>30</v>
      </c>
      <c r="AK83" s="13">
        <f>SUM(IFERROR(VLOOKUP($C:$C,Structure!$A:$AJ,AK$1,0)*15,0),IFERROR(VLOOKUP($D:$D,Structure!$A:$AJ,AK$1,0)*15,0),IFERROR(VLOOKUP($E:$E,Structure!$A:$AJ,AK$1,0)*15,0))</f>
        <v>15</v>
      </c>
      <c r="AL83" s="13">
        <f>SUM(IFERROR(VLOOKUP($C:$C,Structure!$A:$AJ,AL$1,0)*15,0),IFERROR(VLOOKUP($D:$D,Structure!$A:$AJ,AL$1,0)*15,0),IFERROR(VLOOKUP($E:$E,Structure!$A:$AJ,AL$1,0)*15,0))</f>
        <v>0</v>
      </c>
      <c r="AM83" s="13">
        <f>SUM(IFERROR(VLOOKUP($C:$C,Structure!$A:$AJ,AM$1,0)*15,0),IFERROR(VLOOKUP($D:$D,Structure!$A:$AJ,AM$1,0)*15,0),IFERROR(VLOOKUP($E:$E,Structure!$A:$AJ,AM$1,0)*15,0))</f>
        <v>0</v>
      </c>
      <c r="AN83" s="13">
        <f>SUM(IFERROR(VLOOKUP($C:$C,Structure!$A:$AJ,AN$1,0)*15,0),IFERROR(VLOOKUP($D:$D,Structure!$A:$AJ,AN$1,0)*15,0),IFERROR(VLOOKUP($E:$E,Structure!$A:$AJ,AN$1,0)*15,0))</f>
        <v>0</v>
      </c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3"/>
      <c r="BZ83" s="4">
        <f>BZ82+AQ83-F83</f>
        <v>0</v>
      </c>
      <c r="CA83" s="4">
        <f>CA82+AR83-G83</f>
        <v>0</v>
      </c>
      <c r="CB83" s="4">
        <f>CB82+AS83-H83</f>
        <v>0</v>
      </c>
      <c r="CC83" s="4">
        <f>CC82+AT83-I83</f>
        <v>0</v>
      </c>
      <c r="CD83" s="4">
        <f>CD82+AU83-J83</f>
        <v>0</v>
      </c>
      <c r="CE83" s="4">
        <f>CE82+AV83-K83</f>
        <v>0</v>
      </c>
      <c r="CF83" s="4">
        <f>CF82+AW83-L83</f>
        <v>0</v>
      </c>
      <c r="CG83" s="4">
        <f>CG82+AX83-M83</f>
        <v>0</v>
      </c>
      <c r="CH83" s="4">
        <f>CH82+AY83-N83</f>
        <v>0</v>
      </c>
      <c r="CI83" s="4">
        <f>CI82+AZ83-O83</f>
        <v>0</v>
      </c>
      <c r="CJ83" s="4">
        <f>CJ82+BA83-P83</f>
        <v>0</v>
      </c>
      <c r="CK83" s="4">
        <f>CK82+BB83-Q83</f>
        <v>0</v>
      </c>
      <c r="CL83" s="4">
        <f>CL82+BC83-R83</f>
        <v>0</v>
      </c>
      <c r="CM83" s="4">
        <f>CM82+BD83-S83</f>
        <v>0</v>
      </c>
      <c r="CN83" s="4">
        <f>CN82+BE83-T83</f>
        <v>0</v>
      </c>
      <c r="CO83" s="4">
        <f>CO82+BF83-U83</f>
        <v>0</v>
      </c>
      <c r="CP83" s="4">
        <f>CP82+BG83-V83</f>
        <v>0</v>
      </c>
      <c r="CQ83" s="4">
        <f>CQ82+BH83-W83</f>
        <v>0</v>
      </c>
      <c r="CR83" s="4">
        <f>CR82+BI83-X83</f>
        <v>0</v>
      </c>
      <c r="CS83" s="4">
        <f>CS82+BJ83-Y83</f>
        <v>0</v>
      </c>
      <c r="CT83" s="4">
        <f>CT82+BK83-Z83</f>
        <v>0</v>
      </c>
      <c r="CU83" s="4">
        <f>CU82+BL83-AA83</f>
        <v>-3125</v>
      </c>
      <c r="CV83" s="4">
        <f>CV82+BM83-AB83</f>
        <v>-225</v>
      </c>
      <c r="CW83" s="4">
        <f>CW82+BN83-AC83</f>
        <v>-195</v>
      </c>
      <c r="CX83" s="4">
        <f>CX82+BO83-AD83</f>
        <v>0</v>
      </c>
      <c r="CY83" s="4">
        <f>CY82+BP83-AE83</f>
        <v>0</v>
      </c>
      <c r="CZ83" s="4">
        <f>CZ82+BQ83-AF83</f>
        <v>-145</v>
      </c>
      <c r="DA83" s="4">
        <f>DA82+BR83-AG83</f>
        <v>0</v>
      </c>
      <c r="DB83" s="4">
        <f>DB82+BS83-AH83</f>
        <v>0</v>
      </c>
      <c r="DC83" s="4">
        <f>DC82+BT83-AI83</f>
        <v>0</v>
      </c>
      <c r="DD83" s="4">
        <f>DD82+BU83-AJ83</f>
        <v>-2215</v>
      </c>
      <c r="DE83" s="4">
        <f>DE82+BV83-AK83</f>
        <v>-930</v>
      </c>
      <c r="DF83" s="4">
        <f>DF82+BW83-AL83</f>
        <v>0</v>
      </c>
      <c r="DG83" s="4">
        <f>DG82+BX83-AM83</f>
        <v>-175</v>
      </c>
      <c r="DH83" s="4">
        <f>DH82+BY83-AN83</f>
        <v>0</v>
      </c>
    </row>
    <row r="84" spans="1:112" x14ac:dyDescent="0.25">
      <c r="A84" s="6">
        <v>46182</v>
      </c>
      <c r="B84" s="7">
        <v>0.7083333331393078</v>
      </c>
      <c r="C84" s="3" t="s">
        <v>3</v>
      </c>
      <c r="D84" s="3" t="s">
        <v>6</v>
      </c>
      <c r="E84" s="3" t="s">
        <v>88</v>
      </c>
      <c r="F84" s="13">
        <f>SUM(IFERROR(VLOOKUP($C:$C,Structure!$A:$AJ,F$1,0)*15,0),IFERROR(VLOOKUP($D:$D,Structure!$A:$AJ,F$1,0)*15,0),IFERROR(VLOOKUP($E:$E,Structure!$A:$AJ,F$1,0)*15,0))</f>
        <v>0</v>
      </c>
      <c r="G84" s="13">
        <f>SUM(IFERROR(VLOOKUP($C:$C,Structure!$A:$AJ,G$1,0)*15,0),IFERROR(VLOOKUP($D:$D,Structure!$A:$AJ,G$1,0)*15,0),IFERROR(VLOOKUP($E:$E,Structure!$A:$AJ,G$1,0)*15,0))</f>
        <v>0</v>
      </c>
      <c r="H84" s="13">
        <f>SUM(IFERROR(VLOOKUP($C:$C,Structure!$A:$AJ,H$1,0)*15,0),IFERROR(VLOOKUP($D:$D,Structure!$A:$AJ,H$1,0)*15,0),IFERROR(VLOOKUP($E:$E,Structure!$A:$AJ,H$1,0)*15,0))</f>
        <v>0</v>
      </c>
      <c r="I84" s="13">
        <f>SUM(IFERROR(VLOOKUP($C:$C,Structure!$A:$AJ,I$1,0)*15,0),IFERROR(VLOOKUP($D:$D,Structure!$A:$AJ,I$1,0)*15,0),IFERROR(VLOOKUP($E:$E,Structure!$A:$AJ,I$1,0)*15,0))</f>
        <v>0</v>
      </c>
      <c r="J84" s="13">
        <f>SUM(IFERROR(VLOOKUP($C:$C,Structure!$A:$AJ,J$1,0)*15,0),IFERROR(VLOOKUP($D:$D,Structure!$A:$AJ,J$1,0)*15,0),IFERROR(VLOOKUP($E:$E,Structure!$A:$AJ,J$1,0)*15,0))</f>
        <v>0</v>
      </c>
      <c r="K84" s="13">
        <f>SUM(IFERROR(VLOOKUP($C:$C,Structure!$A:$AJ,K$1,0)*15,0),IFERROR(VLOOKUP($D:$D,Structure!$A:$AJ,K$1,0)*15,0),IFERROR(VLOOKUP($E:$E,Structure!$A:$AJ,K$1,0)*15,0))</f>
        <v>0</v>
      </c>
      <c r="L84" s="13">
        <f>SUM(IFERROR(VLOOKUP($C:$C,Structure!$A:$AJ,L$1,0)*15,0),IFERROR(VLOOKUP($D:$D,Structure!$A:$AJ,L$1,0)*15,0),IFERROR(VLOOKUP($E:$E,Structure!$A:$AJ,L$1,0)*15,0))</f>
        <v>0</v>
      </c>
      <c r="M84" s="13">
        <f>SUM(IFERROR(VLOOKUP($C:$C,Structure!$A:$AJ,M$1,0)*15,0),IFERROR(VLOOKUP($D:$D,Structure!$A:$AJ,M$1,0)*15,0),IFERROR(VLOOKUP($E:$E,Structure!$A:$AJ,M$1,0)*15,0))</f>
        <v>0</v>
      </c>
      <c r="N84" s="13">
        <f>SUM(IFERROR(VLOOKUP($C:$C,Structure!$A:$AJ,N$1,0)*15,0),IFERROR(VLOOKUP($D:$D,Structure!$A:$AJ,N$1,0)*15,0),IFERROR(VLOOKUP($E:$E,Structure!$A:$AJ,N$1,0)*15,0))</f>
        <v>0</v>
      </c>
      <c r="O84" s="13">
        <f>SUM(IFERROR(VLOOKUP($C:$C,Structure!$A:$AJ,O$1,0)*15,0),IFERROR(VLOOKUP($D:$D,Structure!$A:$AJ,O$1,0)*15,0),IFERROR(VLOOKUP($E:$E,Structure!$A:$AJ,O$1,0)*15,0))</f>
        <v>0</v>
      </c>
      <c r="P84" s="13">
        <f>SUM(IFERROR(VLOOKUP($C:$C,Structure!$A:$AJ,P$1,0)*15,0),IFERROR(VLOOKUP($D:$D,Structure!$A:$AJ,P$1,0)*15,0),IFERROR(VLOOKUP($E:$E,Structure!$A:$AJ,P$1,0)*15,0))</f>
        <v>0</v>
      </c>
      <c r="Q84" s="13">
        <f>SUM(IFERROR(VLOOKUP($C:$C,Structure!$A:$AJ,Q$1,0)*15,0),IFERROR(VLOOKUP($D:$D,Structure!$A:$AJ,Q$1,0)*15,0),IFERROR(VLOOKUP($E:$E,Structure!$A:$AJ,Q$1,0)*15,0))</f>
        <v>0</v>
      </c>
      <c r="R84" s="13">
        <f>SUM(IFERROR(VLOOKUP($C:$C,Structure!$A:$AJ,R$1,0)*15,0),IFERROR(VLOOKUP($D:$D,Structure!$A:$AJ,R$1,0)*15,0),IFERROR(VLOOKUP($E:$E,Structure!$A:$AJ,R$1,0)*15,0))</f>
        <v>0</v>
      </c>
      <c r="S84" s="13">
        <f>SUM(IFERROR(VLOOKUP($C:$C,Structure!$A:$AJ,S$1,0)*15,0),IFERROR(VLOOKUP($D:$D,Structure!$A:$AJ,S$1,0)*15,0),IFERROR(VLOOKUP($E:$E,Structure!$A:$AJ,S$1,0)*15,0))</f>
        <v>0</v>
      </c>
      <c r="T84" s="13">
        <f>SUM(IFERROR(VLOOKUP($C:$C,Structure!$A:$AJ,T$1,0)*15,0),IFERROR(VLOOKUP($D:$D,Structure!$A:$AJ,T$1,0)*15,0),IFERROR(VLOOKUP($E:$E,Structure!$A:$AJ,T$1,0)*15,0))</f>
        <v>0</v>
      </c>
      <c r="U84" s="13">
        <f>SUM(IFERROR(VLOOKUP($C:$C,Structure!$A:$AJ,U$1,0)*15,0),IFERROR(VLOOKUP($D:$D,Structure!$A:$AJ,U$1,0)*15,0),IFERROR(VLOOKUP($E:$E,Structure!$A:$AJ,U$1,0)*15,0))</f>
        <v>0</v>
      </c>
      <c r="V84" s="13">
        <f>SUM(IFERROR(VLOOKUP($C:$C,Structure!$A:$AJ,V$1,0)*15,0),IFERROR(VLOOKUP($D:$D,Structure!$A:$AJ,V$1,0)*15,0),IFERROR(VLOOKUP($E:$E,Structure!$A:$AJ,V$1,0)*15,0))</f>
        <v>0</v>
      </c>
      <c r="W84" s="13">
        <f>SUM(IFERROR(VLOOKUP($C:$C,Structure!$A:$AJ,W$1,0)*15,0),IFERROR(VLOOKUP($D:$D,Structure!$A:$AJ,W$1,0)*15,0),IFERROR(VLOOKUP($E:$E,Structure!$A:$AJ,W$1,0)*15,0))</f>
        <v>0</v>
      </c>
      <c r="X84" s="13">
        <f>SUM(IFERROR(VLOOKUP($C:$C,Structure!$A:$AJ,X$1,0)*15,0),IFERROR(VLOOKUP($D:$D,Structure!$A:$AJ,X$1,0)*15,0),IFERROR(VLOOKUP($E:$E,Structure!$A:$AJ,X$1,0)*15,0))</f>
        <v>0</v>
      </c>
      <c r="Y84" s="13">
        <f>SUM(IFERROR(VLOOKUP($C:$C,Structure!$A:$AJ,Y$1,0)*15,0),IFERROR(VLOOKUP($D:$D,Structure!$A:$AJ,Y$1,0)*15,0),IFERROR(VLOOKUP($E:$E,Structure!$A:$AJ,Y$1,0)*15,0))</f>
        <v>0</v>
      </c>
      <c r="Z84" s="13">
        <f>SUM(IFERROR(VLOOKUP($C:$C,Structure!$A:$AJ,Z$1,0)*15,0),IFERROR(VLOOKUP($D:$D,Structure!$A:$AJ,Z$1,0)*15,0),IFERROR(VLOOKUP($E:$E,Structure!$A:$AJ,Z$1,0)*15,0))</f>
        <v>0</v>
      </c>
      <c r="AA84" s="13">
        <f>SUM(IFERROR(VLOOKUP($C:$C,Structure!$A:$AJ,AA$1,0)*15,0),IFERROR(VLOOKUP($D:$D,Structure!$A:$AJ,AA$1,0)*15,0),IFERROR(VLOOKUP($E:$E,Structure!$A:$AJ,AA$1,0)*15,0))</f>
        <v>30</v>
      </c>
      <c r="AB84" s="13">
        <f>SUM(IFERROR(VLOOKUP($C:$C,Structure!$A:$AJ,AB$1,0)*15,0),IFERROR(VLOOKUP($D:$D,Structure!$A:$AJ,AB$1,0)*15,0),IFERROR(VLOOKUP($E:$E,Structure!$A:$AJ,AB$1,0)*15,0))</f>
        <v>0</v>
      </c>
      <c r="AC84" s="13">
        <f>SUM(IFERROR(VLOOKUP($C:$C,Structure!$A:$AJ,AC$1,0)*15,0),IFERROR(VLOOKUP($D:$D,Structure!$A:$AJ,AC$1,0)*15,0),IFERROR(VLOOKUP($E:$E,Structure!$A:$AJ,AC$1,0)*15,0))</f>
        <v>15</v>
      </c>
      <c r="AD84" s="13">
        <f>SUM(IFERROR(VLOOKUP($C:$C,Structure!$A:$AJ,AD$1,0)*15,0),IFERROR(VLOOKUP($D:$D,Structure!$A:$AJ,AD$1,0)*15,0),IFERROR(VLOOKUP($E:$E,Structure!$A:$AJ,AD$1,0)*15,0))</f>
        <v>0</v>
      </c>
      <c r="AE84" s="13">
        <f>SUM(IFERROR(VLOOKUP($C:$C,Structure!$A:$AJ,AE$1,0)*15,0),IFERROR(VLOOKUP($D:$D,Structure!$A:$AJ,AE$1,0)*15,0),IFERROR(VLOOKUP($E:$E,Structure!$A:$AJ,AE$1,0)*15,0))</f>
        <v>0</v>
      </c>
      <c r="AF84" s="13">
        <f>SUM(IFERROR(VLOOKUP($C:$C,Structure!$A:$AJ,AF$1,0)*15,0),IFERROR(VLOOKUP($D:$D,Structure!$A:$AJ,AF$1,0)*15,0),IFERROR(VLOOKUP($E:$E,Structure!$A:$AJ,AF$1,0)*15,0))</f>
        <v>0</v>
      </c>
      <c r="AG84" s="13">
        <f>SUM(IFERROR(VLOOKUP($C:$C,Structure!$A:$AJ,AG$1,0)*15,0),IFERROR(VLOOKUP($D:$D,Structure!$A:$AJ,AG$1,0)*15,0),IFERROR(VLOOKUP($E:$E,Structure!$A:$AJ,AG$1,0)*15,0))</f>
        <v>0</v>
      </c>
      <c r="AH84" s="13">
        <f>SUM(IFERROR(VLOOKUP($C:$C,Structure!$A:$AJ,AH$1,0)*15,0),IFERROR(VLOOKUP($D:$D,Structure!$A:$AJ,AH$1,0)*15,0),IFERROR(VLOOKUP($E:$E,Structure!$A:$AJ,AH$1,0)*15,0))</f>
        <v>0</v>
      </c>
      <c r="AI84" s="13">
        <f>SUM(IFERROR(VLOOKUP($C:$C,Structure!$A:$AJ,AI$1,0)*15,0),IFERROR(VLOOKUP($D:$D,Structure!$A:$AJ,AI$1,0)*15,0),IFERROR(VLOOKUP($E:$E,Structure!$A:$AJ,AI$1,0)*15,0))</f>
        <v>0</v>
      </c>
      <c r="AJ84" s="13">
        <f>SUM(IFERROR(VLOOKUP($C:$C,Structure!$A:$AJ,AJ$1,0)*15,0),IFERROR(VLOOKUP($D:$D,Structure!$A:$AJ,AJ$1,0)*15,0),IFERROR(VLOOKUP($E:$E,Structure!$A:$AJ,AJ$1,0)*15,0))</f>
        <v>15</v>
      </c>
      <c r="AK84" s="13">
        <f>SUM(IFERROR(VLOOKUP($C:$C,Structure!$A:$AJ,AK$1,0)*15,0),IFERROR(VLOOKUP($D:$D,Structure!$A:$AJ,AK$1,0)*15,0),IFERROR(VLOOKUP($E:$E,Structure!$A:$AJ,AK$1,0)*15,0))</f>
        <v>15</v>
      </c>
      <c r="AL84" s="13">
        <f>SUM(IFERROR(VLOOKUP($C:$C,Structure!$A:$AJ,AL$1,0)*15,0),IFERROR(VLOOKUP($D:$D,Structure!$A:$AJ,AL$1,0)*15,0),IFERROR(VLOOKUP($E:$E,Structure!$A:$AJ,AL$1,0)*15,0))</f>
        <v>0</v>
      </c>
      <c r="AM84" s="13">
        <f>SUM(IFERROR(VLOOKUP($C:$C,Structure!$A:$AJ,AM$1,0)*15,0),IFERROR(VLOOKUP($D:$D,Structure!$A:$AJ,AM$1,0)*15,0),IFERROR(VLOOKUP($E:$E,Structure!$A:$AJ,AM$1,0)*15,0))</f>
        <v>15</v>
      </c>
      <c r="AN84" s="13">
        <f>SUM(IFERROR(VLOOKUP($C:$C,Structure!$A:$AJ,AN$1,0)*15,0),IFERROR(VLOOKUP($D:$D,Structure!$A:$AJ,AN$1,0)*15,0),IFERROR(VLOOKUP($E:$E,Structure!$A:$AJ,AN$1,0)*15,0))</f>
        <v>0</v>
      </c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3"/>
      <c r="BZ84" s="4">
        <f>BZ83+AQ84-F84</f>
        <v>0</v>
      </c>
      <c r="CA84" s="4">
        <f>CA83+AR84-G84</f>
        <v>0</v>
      </c>
      <c r="CB84" s="4">
        <f>CB83+AS84-H84</f>
        <v>0</v>
      </c>
      <c r="CC84" s="4">
        <f>CC83+AT84-I84</f>
        <v>0</v>
      </c>
      <c r="CD84" s="4">
        <f>CD83+AU84-J84</f>
        <v>0</v>
      </c>
      <c r="CE84" s="4">
        <f>CE83+AV84-K84</f>
        <v>0</v>
      </c>
      <c r="CF84" s="4">
        <f>CF83+AW84-L84</f>
        <v>0</v>
      </c>
      <c r="CG84" s="4">
        <f>CG83+AX84-M84</f>
        <v>0</v>
      </c>
      <c r="CH84" s="4">
        <f>CH83+AY84-N84</f>
        <v>0</v>
      </c>
      <c r="CI84" s="4">
        <f>CI83+AZ84-O84</f>
        <v>0</v>
      </c>
      <c r="CJ84" s="4">
        <f>CJ83+BA84-P84</f>
        <v>0</v>
      </c>
      <c r="CK84" s="4">
        <f>CK83+BB84-Q84</f>
        <v>0</v>
      </c>
      <c r="CL84" s="4">
        <f>CL83+BC84-R84</f>
        <v>0</v>
      </c>
      <c r="CM84" s="4">
        <f>CM83+BD84-S84</f>
        <v>0</v>
      </c>
      <c r="CN84" s="4">
        <f>CN83+BE84-T84</f>
        <v>0</v>
      </c>
      <c r="CO84" s="4">
        <f>CO83+BF84-U84</f>
        <v>0</v>
      </c>
      <c r="CP84" s="4">
        <f>CP83+BG84-V84</f>
        <v>0</v>
      </c>
      <c r="CQ84" s="4">
        <f>CQ83+BH84-W84</f>
        <v>0</v>
      </c>
      <c r="CR84" s="4">
        <f>CR83+BI84-X84</f>
        <v>0</v>
      </c>
      <c r="CS84" s="4">
        <f>CS83+BJ84-Y84</f>
        <v>0</v>
      </c>
      <c r="CT84" s="4">
        <f>CT83+BK84-Z84</f>
        <v>0</v>
      </c>
      <c r="CU84" s="4">
        <f>CU83+BL84-AA84</f>
        <v>-3155</v>
      </c>
      <c r="CV84" s="4">
        <f>CV83+BM84-AB84</f>
        <v>-225</v>
      </c>
      <c r="CW84" s="4">
        <f>CW83+BN84-AC84</f>
        <v>-210</v>
      </c>
      <c r="CX84" s="4">
        <f>CX83+BO84-AD84</f>
        <v>0</v>
      </c>
      <c r="CY84" s="4">
        <f>CY83+BP84-AE84</f>
        <v>0</v>
      </c>
      <c r="CZ84" s="4">
        <f>CZ83+BQ84-AF84</f>
        <v>-145</v>
      </c>
      <c r="DA84" s="4">
        <f>DA83+BR84-AG84</f>
        <v>0</v>
      </c>
      <c r="DB84" s="4">
        <f>DB83+BS84-AH84</f>
        <v>0</v>
      </c>
      <c r="DC84" s="4">
        <f>DC83+BT84-AI84</f>
        <v>0</v>
      </c>
      <c r="DD84" s="4">
        <f>DD83+BU84-AJ84</f>
        <v>-2230</v>
      </c>
      <c r="DE84" s="4">
        <f>DE83+BV84-AK84</f>
        <v>-945</v>
      </c>
      <c r="DF84" s="4">
        <f>DF83+BW84-AL84</f>
        <v>0</v>
      </c>
      <c r="DG84" s="4">
        <f>DG83+BX84-AM84</f>
        <v>-190</v>
      </c>
      <c r="DH84" s="4">
        <f>DH83+BY84-AN84</f>
        <v>0</v>
      </c>
    </row>
    <row r="85" spans="1:112" x14ac:dyDescent="0.25">
      <c r="A85" s="6">
        <v>46182</v>
      </c>
      <c r="B85" s="7">
        <v>0.74999999980354914</v>
      </c>
      <c r="C85" s="3" t="s">
        <v>3</v>
      </c>
      <c r="D85" s="3" t="s">
        <v>6</v>
      </c>
      <c r="E85" s="3" t="s">
        <v>88</v>
      </c>
      <c r="F85" s="13">
        <f>SUM(IFERROR(VLOOKUP($C:$C,Structure!$A:$AJ,F$1,0)*15,0),IFERROR(VLOOKUP($D:$D,Structure!$A:$AJ,F$1,0)*15,0),IFERROR(VLOOKUP($E:$E,Structure!$A:$AJ,F$1,0)*15,0))</f>
        <v>0</v>
      </c>
      <c r="G85" s="13">
        <f>SUM(IFERROR(VLOOKUP($C:$C,Structure!$A:$AJ,G$1,0)*15,0),IFERROR(VLOOKUP($D:$D,Structure!$A:$AJ,G$1,0)*15,0),IFERROR(VLOOKUP($E:$E,Structure!$A:$AJ,G$1,0)*15,0))</f>
        <v>0</v>
      </c>
      <c r="H85" s="13">
        <f>SUM(IFERROR(VLOOKUP($C:$C,Structure!$A:$AJ,H$1,0)*15,0),IFERROR(VLOOKUP($D:$D,Structure!$A:$AJ,H$1,0)*15,0),IFERROR(VLOOKUP($E:$E,Structure!$A:$AJ,H$1,0)*15,0))</f>
        <v>0</v>
      </c>
      <c r="I85" s="13">
        <f>SUM(IFERROR(VLOOKUP($C:$C,Structure!$A:$AJ,I$1,0)*15,0),IFERROR(VLOOKUP($D:$D,Structure!$A:$AJ,I$1,0)*15,0),IFERROR(VLOOKUP($E:$E,Structure!$A:$AJ,I$1,0)*15,0))</f>
        <v>0</v>
      </c>
      <c r="J85" s="13">
        <f>SUM(IFERROR(VLOOKUP($C:$C,Structure!$A:$AJ,J$1,0)*15,0),IFERROR(VLOOKUP($D:$D,Structure!$A:$AJ,J$1,0)*15,0),IFERROR(VLOOKUP($E:$E,Structure!$A:$AJ,J$1,0)*15,0))</f>
        <v>0</v>
      </c>
      <c r="K85" s="13">
        <f>SUM(IFERROR(VLOOKUP($C:$C,Structure!$A:$AJ,K$1,0)*15,0),IFERROR(VLOOKUP($D:$D,Structure!$A:$AJ,K$1,0)*15,0),IFERROR(VLOOKUP($E:$E,Structure!$A:$AJ,K$1,0)*15,0))</f>
        <v>0</v>
      </c>
      <c r="L85" s="13">
        <f>SUM(IFERROR(VLOOKUP($C:$C,Structure!$A:$AJ,L$1,0)*15,0),IFERROR(VLOOKUP($D:$D,Structure!$A:$AJ,L$1,0)*15,0),IFERROR(VLOOKUP($E:$E,Structure!$A:$AJ,L$1,0)*15,0))</f>
        <v>0</v>
      </c>
      <c r="M85" s="13">
        <f>SUM(IFERROR(VLOOKUP($C:$C,Structure!$A:$AJ,M$1,0)*15,0),IFERROR(VLOOKUP($D:$D,Structure!$A:$AJ,M$1,0)*15,0),IFERROR(VLOOKUP($E:$E,Structure!$A:$AJ,M$1,0)*15,0))</f>
        <v>0</v>
      </c>
      <c r="N85" s="13">
        <f>SUM(IFERROR(VLOOKUP($C:$C,Structure!$A:$AJ,N$1,0)*15,0),IFERROR(VLOOKUP($D:$D,Structure!$A:$AJ,N$1,0)*15,0),IFERROR(VLOOKUP($E:$E,Structure!$A:$AJ,N$1,0)*15,0))</f>
        <v>0</v>
      </c>
      <c r="O85" s="13">
        <f>SUM(IFERROR(VLOOKUP($C:$C,Structure!$A:$AJ,O$1,0)*15,0),IFERROR(VLOOKUP($D:$D,Structure!$A:$AJ,O$1,0)*15,0),IFERROR(VLOOKUP($E:$E,Structure!$A:$AJ,O$1,0)*15,0))</f>
        <v>0</v>
      </c>
      <c r="P85" s="13">
        <f>SUM(IFERROR(VLOOKUP($C:$C,Structure!$A:$AJ,P$1,0)*15,0),IFERROR(VLOOKUP($D:$D,Structure!$A:$AJ,P$1,0)*15,0),IFERROR(VLOOKUP($E:$E,Structure!$A:$AJ,P$1,0)*15,0))</f>
        <v>0</v>
      </c>
      <c r="Q85" s="13">
        <f>SUM(IFERROR(VLOOKUP($C:$C,Structure!$A:$AJ,Q$1,0)*15,0),IFERROR(VLOOKUP($D:$D,Structure!$A:$AJ,Q$1,0)*15,0),IFERROR(VLOOKUP($E:$E,Structure!$A:$AJ,Q$1,0)*15,0))</f>
        <v>0</v>
      </c>
      <c r="R85" s="13">
        <f>SUM(IFERROR(VLOOKUP($C:$C,Structure!$A:$AJ,R$1,0)*15,0),IFERROR(VLOOKUP($D:$D,Structure!$A:$AJ,R$1,0)*15,0),IFERROR(VLOOKUP($E:$E,Structure!$A:$AJ,R$1,0)*15,0))</f>
        <v>0</v>
      </c>
      <c r="S85" s="13">
        <f>SUM(IFERROR(VLOOKUP($C:$C,Structure!$A:$AJ,S$1,0)*15,0),IFERROR(VLOOKUP($D:$D,Structure!$A:$AJ,S$1,0)*15,0),IFERROR(VLOOKUP($E:$E,Structure!$A:$AJ,S$1,0)*15,0))</f>
        <v>0</v>
      </c>
      <c r="T85" s="13">
        <f>SUM(IFERROR(VLOOKUP($C:$C,Structure!$A:$AJ,T$1,0)*15,0),IFERROR(VLOOKUP($D:$D,Structure!$A:$AJ,T$1,0)*15,0),IFERROR(VLOOKUP($E:$E,Structure!$A:$AJ,T$1,0)*15,0))</f>
        <v>0</v>
      </c>
      <c r="U85" s="13">
        <f>SUM(IFERROR(VLOOKUP($C:$C,Structure!$A:$AJ,U$1,0)*15,0),IFERROR(VLOOKUP($D:$D,Structure!$A:$AJ,U$1,0)*15,0),IFERROR(VLOOKUP($E:$E,Structure!$A:$AJ,U$1,0)*15,0))</f>
        <v>0</v>
      </c>
      <c r="V85" s="13">
        <f>SUM(IFERROR(VLOOKUP($C:$C,Structure!$A:$AJ,V$1,0)*15,0),IFERROR(VLOOKUP($D:$D,Structure!$A:$AJ,V$1,0)*15,0),IFERROR(VLOOKUP($E:$E,Structure!$A:$AJ,V$1,0)*15,0))</f>
        <v>0</v>
      </c>
      <c r="W85" s="13">
        <f>SUM(IFERROR(VLOOKUP($C:$C,Structure!$A:$AJ,W$1,0)*15,0),IFERROR(VLOOKUP($D:$D,Structure!$A:$AJ,W$1,0)*15,0),IFERROR(VLOOKUP($E:$E,Structure!$A:$AJ,W$1,0)*15,0))</f>
        <v>0</v>
      </c>
      <c r="X85" s="13">
        <f>SUM(IFERROR(VLOOKUP($C:$C,Structure!$A:$AJ,X$1,0)*15,0),IFERROR(VLOOKUP($D:$D,Structure!$A:$AJ,X$1,0)*15,0),IFERROR(VLOOKUP($E:$E,Structure!$A:$AJ,X$1,0)*15,0))</f>
        <v>0</v>
      </c>
      <c r="Y85" s="13">
        <f>SUM(IFERROR(VLOOKUP($C:$C,Structure!$A:$AJ,Y$1,0)*15,0),IFERROR(VLOOKUP($D:$D,Structure!$A:$AJ,Y$1,0)*15,0),IFERROR(VLOOKUP($E:$E,Structure!$A:$AJ,Y$1,0)*15,0))</f>
        <v>0</v>
      </c>
      <c r="Z85" s="13">
        <f>SUM(IFERROR(VLOOKUP($C:$C,Structure!$A:$AJ,Z$1,0)*15,0),IFERROR(VLOOKUP($D:$D,Structure!$A:$AJ,Z$1,0)*15,0),IFERROR(VLOOKUP($E:$E,Structure!$A:$AJ,Z$1,0)*15,0))</f>
        <v>0</v>
      </c>
      <c r="AA85" s="13">
        <f>SUM(IFERROR(VLOOKUP($C:$C,Structure!$A:$AJ,AA$1,0)*15,0),IFERROR(VLOOKUP($D:$D,Structure!$A:$AJ,AA$1,0)*15,0),IFERROR(VLOOKUP($E:$E,Structure!$A:$AJ,AA$1,0)*15,0))</f>
        <v>30</v>
      </c>
      <c r="AB85" s="13">
        <f>SUM(IFERROR(VLOOKUP($C:$C,Structure!$A:$AJ,AB$1,0)*15,0),IFERROR(VLOOKUP($D:$D,Structure!$A:$AJ,AB$1,0)*15,0),IFERROR(VLOOKUP($E:$E,Structure!$A:$AJ,AB$1,0)*15,0))</f>
        <v>0</v>
      </c>
      <c r="AC85" s="13">
        <f>SUM(IFERROR(VLOOKUP($C:$C,Structure!$A:$AJ,AC$1,0)*15,0),IFERROR(VLOOKUP($D:$D,Structure!$A:$AJ,AC$1,0)*15,0),IFERROR(VLOOKUP($E:$E,Structure!$A:$AJ,AC$1,0)*15,0))</f>
        <v>15</v>
      </c>
      <c r="AD85" s="13">
        <f>SUM(IFERROR(VLOOKUP($C:$C,Structure!$A:$AJ,AD$1,0)*15,0),IFERROR(VLOOKUP($D:$D,Structure!$A:$AJ,AD$1,0)*15,0),IFERROR(VLOOKUP($E:$E,Structure!$A:$AJ,AD$1,0)*15,0))</f>
        <v>0</v>
      </c>
      <c r="AE85" s="13">
        <f>SUM(IFERROR(VLOOKUP($C:$C,Structure!$A:$AJ,AE$1,0)*15,0),IFERROR(VLOOKUP($D:$D,Structure!$A:$AJ,AE$1,0)*15,0),IFERROR(VLOOKUP($E:$E,Structure!$A:$AJ,AE$1,0)*15,0))</f>
        <v>0</v>
      </c>
      <c r="AF85" s="13">
        <f>SUM(IFERROR(VLOOKUP($C:$C,Structure!$A:$AJ,AF$1,0)*15,0),IFERROR(VLOOKUP($D:$D,Structure!$A:$AJ,AF$1,0)*15,0),IFERROR(VLOOKUP($E:$E,Structure!$A:$AJ,AF$1,0)*15,0))</f>
        <v>0</v>
      </c>
      <c r="AG85" s="13">
        <f>SUM(IFERROR(VLOOKUP($C:$C,Structure!$A:$AJ,AG$1,0)*15,0),IFERROR(VLOOKUP($D:$D,Structure!$A:$AJ,AG$1,0)*15,0),IFERROR(VLOOKUP($E:$E,Structure!$A:$AJ,AG$1,0)*15,0))</f>
        <v>0</v>
      </c>
      <c r="AH85" s="13">
        <f>SUM(IFERROR(VLOOKUP($C:$C,Structure!$A:$AJ,AH$1,0)*15,0),IFERROR(VLOOKUP($D:$D,Structure!$A:$AJ,AH$1,0)*15,0),IFERROR(VLOOKUP($E:$E,Structure!$A:$AJ,AH$1,0)*15,0))</f>
        <v>0</v>
      </c>
      <c r="AI85" s="13">
        <f>SUM(IFERROR(VLOOKUP($C:$C,Structure!$A:$AJ,AI$1,0)*15,0),IFERROR(VLOOKUP($D:$D,Structure!$A:$AJ,AI$1,0)*15,0),IFERROR(VLOOKUP($E:$E,Structure!$A:$AJ,AI$1,0)*15,0))</f>
        <v>0</v>
      </c>
      <c r="AJ85" s="13">
        <f>SUM(IFERROR(VLOOKUP($C:$C,Structure!$A:$AJ,AJ$1,0)*15,0),IFERROR(VLOOKUP($D:$D,Structure!$A:$AJ,AJ$1,0)*15,0),IFERROR(VLOOKUP($E:$E,Structure!$A:$AJ,AJ$1,0)*15,0))</f>
        <v>15</v>
      </c>
      <c r="AK85" s="13">
        <f>SUM(IFERROR(VLOOKUP($C:$C,Structure!$A:$AJ,AK$1,0)*15,0),IFERROR(VLOOKUP($D:$D,Structure!$A:$AJ,AK$1,0)*15,0),IFERROR(VLOOKUP($E:$E,Structure!$A:$AJ,AK$1,0)*15,0))</f>
        <v>15</v>
      </c>
      <c r="AL85" s="13">
        <f>SUM(IFERROR(VLOOKUP($C:$C,Structure!$A:$AJ,AL$1,0)*15,0),IFERROR(VLOOKUP($D:$D,Structure!$A:$AJ,AL$1,0)*15,0),IFERROR(VLOOKUP($E:$E,Structure!$A:$AJ,AL$1,0)*15,0))</f>
        <v>0</v>
      </c>
      <c r="AM85" s="13">
        <f>SUM(IFERROR(VLOOKUP($C:$C,Structure!$A:$AJ,AM$1,0)*15,0),IFERROR(VLOOKUP($D:$D,Structure!$A:$AJ,AM$1,0)*15,0),IFERROR(VLOOKUP($E:$E,Structure!$A:$AJ,AM$1,0)*15,0))</f>
        <v>15</v>
      </c>
      <c r="AN85" s="13">
        <f>SUM(IFERROR(VLOOKUP($C:$C,Structure!$A:$AJ,AN$1,0)*15,0),IFERROR(VLOOKUP($D:$D,Structure!$A:$AJ,AN$1,0)*15,0),IFERROR(VLOOKUP($E:$E,Structure!$A:$AJ,AN$1,0)*15,0))</f>
        <v>0</v>
      </c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3"/>
      <c r="BZ85" s="4">
        <f>BZ84+AQ85-F85</f>
        <v>0</v>
      </c>
      <c r="CA85" s="4">
        <f>CA84+AR85-G85</f>
        <v>0</v>
      </c>
      <c r="CB85" s="4">
        <f>CB84+AS85-H85</f>
        <v>0</v>
      </c>
      <c r="CC85" s="4">
        <f>CC84+AT85-I85</f>
        <v>0</v>
      </c>
      <c r="CD85" s="4">
        <f>CD84+AU85-J85</f>
        <v>0</v>
      </c>
      <c r="CE85" s="4">
        <f>CE84+AV85-K85</f>
        <v>0</v>
      </c>
      <c r="CF85" s="4">
        <f>CF84+AW85-L85</f>
        <v>0</v>
      </c>
      <c r="CG85" s="4">
        <f>CG84+AX85-M85</f>
        <v>0</v>
      </c>
      <c r="CH85" s="4">
        <f>CH84+AY85-N85</f>
        <v>0</v>
      </c>
      <c r="CI85" s="4">
        <f>CI84+AZ85-O85</f>
        <v>0</v>
      </c>
      <c r="CJ85" s="4">
        <f>CJ84+BA85-P85</f>
        <v>0</v>
      </c>
      <c r="CK85" s="4">
        <f>CK84+BB85-Q85</f>
        <v>0</v>
      </c>
      <c r="CL85" s="4">
        <f>CL84+BC85-R85</f>
        <v>0</v>
      </c>
      <c r="CM85" s="4">
        <f>CM84+BD85-S85</f>
        <v>0</v>
      </c>
      <c r="CN85" s="4">
        <f>CN84+BE85-T85</f>
        <v>0</v>
      </c>
      <c r="CO85" s="4">
        <f>CO84+BF85-U85</f>
        <v>0</v>
      </c>
      <c r="CP85" s="4">
        <f>CP84+BG85-V85</f>
        <v>0</v>
      </c>
      <c r="CQ85" s="4">
        <f>CQ84+BH85-W85</f>
        <v>0</v>
      </c>
      <c r="CR85" s="4">
        <f>CR84+BI85-X85</f>
        <v>0</v>
      </c>
      <c r="CS85" s="4">
        <f>CS84+BJ85-Y85</f>
        <v>0</v>
      </c>
      <c r="CT85" s="4">
        <f>CT84+BK85-Z85</f>
        <v>0</v>
      </c>
      <c r="CU85" s="4">
        <f>CU84+BL85-AA85</f>
        <v>-3185</v>
      </c>
      <c r="CV85" s="4">
        <f>CV84+BM85-AB85</f>
        <v>-225</v>
      </c>
      <c r="CW85" s="4">
        <f>CW84+BN85-AC85</f>
        <v>-225</v>
      </c>
      <c r="CX85" s="4">
        <f>CX84+BO85-AD85</f>
        <v>0</v>
      </c>
      <c r="CY85" s="4">
        <f>CY84+BP85-AE85</f>
        <v>0</v>
      </c>
      <c r="CZ85" s="4">
        <f>CZ84+BQ85-AF85</f>
        <v>-145</v>
      </c>
      <c r="DA85" s="4">
        <f>DA84+BR85-AG85</f>
        <v>0</v>
      </c>
      <c r="DB85" s="4">
        <f>DB84+BS85-AH85</f>
        <v>0</v>
      </c>
      <c r="DC85" s="4">
        <f>DC84+BT85-AI85</f>
        <v>0</v>
      </c>
      <c r="DD85" s="4">
        <f>DD84+BU85-AJ85</f>
        <v>-2245</v>
      </c>
      <c r="DE85" s="4">
        <f>DE84+BV85-AK85</f>
        <v>-960</v>
      </c>
      <c r="DF85" s="4">
        <f>DF84+BW85-AL85</f>
        <v>0</v>
      </c>
      <c r="DG85" s="4">
        <f>DG84+BX85-AM85</f>
        <v>-205</v>
      </c>
      <c r="DH85" s="4">
        <f>DH84+BY85-AN85</f>
        <v>0</v>
      </c>
    </row>
    <row r="86" spans="1:112" x14ac:dyDescent="0.25">
      <c r="A86" s="6">
        <v>46182</v>
      </c>
      <c r="B86" s="7">
        <v>0.79166666646779049</v>
      </c>
      <c r="C86" s="3" t="s">
        <v>3</v>
      </c>
      <c r="D86" s="3" t="s">
        <v>6</v>
      </c>
      <c r="E86" s="3" t="s">
        <v>88</v>
      </c>
      <c r="F86" s="13">
        <f>SUM(IFERROR(VLOOKUP($C:$C,Structure!$A:$AJ,F$1,0)*15,0),IFERROR(VLOOKUP($D:$D,Structure!$A:$AJ,F$1,0)*15,0),IFERROR(VLOOKUP($E:$E,Structure!$A:$AJ,F$1,0)*15,0))</f>
        <v>0</v>
      </c>
      <c r="G86" s="13">
        <f>SUM(IFERROR(VLOOKUP($C:$C,Structure!$A:$AJ,G$1,0)*15,0),IFERROR(VLOOKUP($D:$D,Structure!$A:$AJ,G$1,0)*15,0),IFERROR(VLOOKUP($E:$E,Structure!$A:$AJ,G$1,0)*15,0))</f>
        <v>0</v>
      </c>
      <c r="H86" s="13">
        <f>SUM(IFERROR(VLOOKUP($C:$C,Structure!$A:$AJ,H$1,0)*15,0),IFERROR(VLOOKUP($D:$D,Structure!$A:$AJ,H$1,0)*15,0),IFERROR(VLOOKUP($E:$E,Structure!$A:$AJ,H$1,0)*15,0))</f>
        <v>0</v>
      </c>
      <c r="I86" s="13">
        <f>SUM(IFERROR(VLOOKUP($C:$C,Structure!$A:$AJ,I$1,0)*15,0),IFERROR(VLOOKUP($D:$D,Structure!$A:$AJ,I$1,0)*15,0),IFERROR(VLOOKUP($E:$E,Structure!$A:$AJ,I$1,0)*15,0))</f>
        <v>0</v>
      </c>
      <c r="J86" s="13">
        <f>SUM(IFERROR(VLOOKUP($C:$C,Structure!$A:$AJ,J$1,0)*15,0),IFERROR(VLOOKUP($D:$D,Structure!$A:$AJ,J$1,0)*15,0),IFERROR(VLOOKUP($E:$E,Structure!$A:$AJ,J$1,0)*15,0))</f>
        <v>0</v>
      </c>
      <c r="K86" s="13">
        <f>SUM(IFERROR(VLOOKUP($C:$C,Structure!$A:$AJ,K$1,0)*15,0),IFERROR(VLOOKUP($D:$D,Structure!$A:$AJ,K$1,0)*15,0),IFERROR(VLOOKUP($E:$E,Structure!$A:$AJ,K$1,0)*15,0))</f>
        <v>0</v>
      </c>
      <c r="L86" s="13">
        <f>SUM(IFERROR(VLOOKUP($C:$C,Structure!$A:$AJ,L$1,0)*15,0),IFERROR(VLOOKUP($D:$D,Structure!$A:$AJ,L$1,0)*15,0),IFERROR(VLOOKUP($E:$E,Structure!$A:$AJ,L$1,0)*15,0))</f>
        <v>0</v>
      </c>
      <c r="M86" s="13">
        <f>SUM(IFERROR(VLOOKUP($C:$C,Structure!$A:$AJ,M$1,0)*15,0),IFERROR(VLOOKUP($D:$D,Structure!$A:$AJ,M$1,0)*15,0),IFERROR(VLOOKUP($E:$E,Structure!$A:$AJ,M$1,0)*15,0))</f>
        <v>0</v>
      </c>
      <c r="N86" s="13">
        <f>SUM(IFERROR(VLOOKUP($C:$C,Structure!$A:$AJ,N$1,0)*15,0),IFERROR(VLOOKUP($D:$D,Structure!$A:$AJ,N$1,0)*15,0),IFERROR(VLOOKUP($E:$E,Structure!$A:$AJ,N$1,0)*15,0))</f>
        <v>0</v>
      </c>
      <c r="O86" s="13">
        <f>SUM(IFERROR(VLOOKUP($C:$C,Structure!$A:$AJ,O$1,0)*15,0),IFERROR(VLOOKUP($D:$D,Structure!$A:$AJ,O$1,0)*15,0),IFERROR(VLOOKUP($E:$E,Structure!$A:$AJ,O$1,0)*15,0))</f>
        <v>0</v>
      </c>
      <c r="P86" s="13">
        <f>SUM(IFERROR(VLOOKUP($C:$C,Structure!$A:$AJ,P$1,0)*15,0),IFERROR(VLOOKUP($D:$D,Structure!$A:$AJ,P$1,0)*15,0),IFERROR(VLOOKUP($E:$E,Structure!$A:$AJ,P$1,0)*15,0))</f>
        <v>0</v>
      </c>
      <c r="Q86" s="13">
        <f>SUM(IFERROR(VLOOKUP($C:$C,Structure!$A:$AJ,Q$1,0)*15,0),IFERROR(VLOOKUP($D:$D,Structure!$A:$AJ,Q$1,0)*15,0),IFERROR(VLOOKUP($E:$E,Structure!$A:$AJ,Q$1,0)*15,0))</f>
        <v>0</v>
      </c>
      <c r="R86" s="13">
        <f>SUM(IFERROR(VLOOKUP($C:$C,Structure!$A:$AJ,R$1,0)*15,0),IFERROR(VLOOKUP($D:$D,Structure!$A:$AJ,R$1,0)*15,0),IFERROR(VLOOKUP($E:$E,Structure!$A:$AJ,R$1,0)*15,0))</f>
        <v>0</v>
      </c>
      <c r="S86" s="13">
        <f>SUM(IFERROR(VLOOKUP($C:$C,Structure!$A:$AJ,S$1,0)*15,0),IFERROR(VLOOKUP($D:$D,Structure!$A:$AJ,S$1,0)*15,0),IFERROR(VLOOKUP($E:$E,Structure!$A:$AJ,S$1,0)*15,0))</f>
        <v>0</v>
      </c>
      <c r="T86" s="13">
        <f>SUM(IFERROR(VLOOKUP($C:$C,Structure!$A:$AJ,T$1,0)*15,0),IFERROR(VLOOKUP($D:$D,Structure!$A:$AJ,T$1,0)*15,0),IFERROR(VLOOKUP($E:$E,Structure!$A:$AJ,T$1,0)*15,0))</f>
        <v>0</v>
      </c>
      <c r="U86" s="13">
        <f>SUM(IFERROR(VLOOKUP($C:$C,Structure!$A:$AJ,U$1,0)*15,0),IFERROR(VLOOKUP($D:$D,Structure!$A:$AJ,U$1,0)*15,0),IFERROR(VLOOKUP($E:$E,Structure!$A:$AJ,U$1,0)*15,0))</f>
        <v>0</v>
      </c>
      <c r="V86" s="13">
        <f>SUM(IFERROR(VLOOKUP($C:$C,Structure!$A:$AJ,V$1,0)*15,0),IFERROR(VLOOKUP($D:$D,Structure!$A:$AJ,V$1,0)*15,0),IFERROR(VLOOKUP($E:$E,Structure!$A:$AJ,V$1,0)*15,0))</f>
        <v>0</v>
      </c>
      <c r="W86" s="13">
        <f>SUM(IFERROR(VLOOKUP($C:$C,Structure!$A:$AJ,W$1,0)*15,0),IFERROR(VLOOKUP($D:$D,Structure!$A:$AJ,W$1,0)*15,0),IFERROR(VLOOKUP($E:$E,Structure!$A:$AJ,W$1,0)*15,0))</f>
        <v>0</v>
      </c>
      <c r="X86" s="13">
        <f>SUM(IFERROR(VLOOKUP($C:$C,Structure!$A:$AJ,X$1,0)*15,0),IFERROR(VLOOKUP($D:$D,Structure!$A:$AJ,X$1,0)*15,0),IFERROR(VLOOKUP($E:$E,Structure!$A:$AJ,X$1,0)*15,0))</f>
        <v>0</v>
      </c>
      <c r="Y86" s="13">
        <f>SUM(IFERROR(VLOOKUP($C:$C,Structure!$A:$AJ,Y$1,0)*15,0),IFERROR(VLOOKUP($D:$D,Structure!$A:$AJ,Y$1,0)*15,0),IFERROR(VLOOKUP($E:$E,Structure!$A:$AJ,Y$1,0)*15,0))</f>
        <v>0</v>
      </c>
      <c r="Z86" s="13">
        <f>SUM(IFERROR(VLOOKUP($C:$C,Structure!$A:$AJ,Z$1,0)*15,0),IFERROR(VLOOKUP($D:$D,Structure!$A:$AJ,Z$1,0)*15,0),IFERROR(VLOOKUP($E:$E,Structure!$A:$AJ,Z$1,0)*15,0))</f>
        <v>0</v>
      </c>
      <c r="AA86" s="13">
        <f>SUM(IFERROR(VLOOKUP($C:$C,Structure!$A:$AJ,AA$1,0)*15,0),IFERROR(VLOOKUP($D:$D,Structure!$A:$AJ,AA$1,0)*15,0),IFERROR(VLOOKUP($E:$E,Structure!$A:$AJ,AA$1,0)*15,0))</f>
        <v>30</v>
      </c>
      <c r="AB86" s="13">
        <f>SUM(IFERROR(VLOOKUP($C:$C,Structure!$A:$AJ,AB$1,0)*15,0),IFERROR(VLOOKUP($D:$D,Structure!$A:$AJ,AB$1,0)*15,0),IFERROR(VLOOKUP($E:$E,Structure!$A:$AJ,AB$1,0)*15,0))</f>
        <v>0</v>
      </c>
      <c r="AC86" s="13">
        <f>SUM(IFERROR(VLOOKUP($C:$C,Structure!$A:$AJ,AC$1,0)*15,0),IFERROR(VLOOKUP($D:$D,Structure!$A:$AJ,AC$1,0)*15,0),IFERROR(VLOOKUP($E:$E,Structure!$A:$AJ,AC$1,0)*15,0))</f>
        <v>15</v>
      </c>
      <c r="AD86" s="13">
        <f>SUM(IFERROR(VLOOKUP($C:$C,Structure!$A:$AJ,AD$1,0)*15,0),IFERROR(VLOOKUP($D:$D,Structure!$A:$AJ,AD$1,0)*15,0),IFERROR(VLOOKUP($E:$E,Structure!$A:$AJ,AD$1,0)*15,0))</f>
        <v>0</v>
      </c>
      <c r="AE86" s="13">
        <f>SUM(IFERROR(VLOOKUP($C:$C,Structure!$A:$AJ,AE$1,0)*15,0),IFERROR(VLOOKUP($D:$D,Structure!$A:$AJ,AE$1,0)*15,0),IFERROR(VLOOKUP($E:$E,Structure!$A:$AJ,AE$1,0)*15,0))</f>
        <v>0</v>
      </c>
      <c r="AF86" s="13">
        <f>SUM(IFERROR(VLOOKUP($C:$C,Structure!$A:$AJ,AF$1,0)*15,0),IFERROR(VLOOKUP($D:$D,Structure!$A:$AJ,AF$1,0)*15,0),IFERROR(VLOOKUP($E:$E,Structure!$A:$AJ,AF$1,0)*15,0))</f>
        <v>0</v>
      </c>
      <c r="AG86" s="13">
        <f>SUM(IFERROR(VLOOKUP($C:$C,Structure!$A:$AJ,AG$1,0)*15,0),IFERROR(VLOOKUP($D:$D,Structure!$A:$AJ,AG$1,0)*15,0),IFERROR(VLOOKUP($E:$E,Structure!$A:$AJ,AG$1,0)*15,0))</f>
        <v>0</v>
      </c>
      <c r="AH86" s="13">
        <f>SUM(IFERROR(VLOOKUP($C:$C,Structure!$A:$AJ,AH$1,0)*15,0),IFERROR(VLOOKUP($D:$D,Structure!$A:$AJ,AH$1,0)*15,0),IFERROR(VLOOKUP($E:$E,Structure!$A:$AJ,AH$1,0)*15,0))</f>
        <v>0</v>
      </c>
      <c r="AI86" s="13">
        <f>SUM(IFERROR(VLOOKUP($C:$C,Structure!$A:$AJ,AI$1,0)*15,0),IFERROR(VLOOKUP($D:$D,Structure!$A:$AJ,AI$1,0)*15,0),IFERROR(VLOOKUP($E:$E,Structure!$A:$AJ,AI$1,0)*15,0))</f>
        <v>0</v>
      </c>
      <c r="AJ86" s="13">
        <f>SUM(IFERROR(VLOOKUP($C:$C,Structure!$A:$AJ,AJ$1,0)*15,0),IFERROR(VLOOKUP($D:$D,Structure!$A:$AJ,AJ$1,0)*15,0),IFERROR(VLOOKUP($E:$E,Structure!$A:$AJ,AJ$1,0)*15,0))</f>
        <v>15</v>
      </c>
      <c r="AK86" s="13">
        <f>SUM(IFERROR(VLOOKUP($C:$C,Structure!$A:$AJ,AK$1,0)*15,0),IFERROR(VLOOKUP($D:$D,Structure!$A:$AJ,AK$1,0)*15,0),IFERROR(VLOOKUP($E:$E,Structure!$A:$AJ,AK$1,0)*15,0))</f>
        <v>15</v>
      </c>
      <c r="AL86" s="13">
        <f>SUM(IFERROR(VLOOKUP($C:$C,Structure!$A:$AJ,AL$1,0)*15,0),IFERROR(VLOOKUP($D:$D,Structure!$A:$AJ,AL$1,0)*15,0),IFERROR(VLOOKUP($E:$E,Structure!$A:$AJ,AL$1,0)*15,0))</f>
        <v>0</v>
      </c>
      <c r="AM86" s="13">
        <f>SUM(IFERROR(VLOOKUP($C:$C,Structure!$A:$AJ,AM$1,0)*15,0),IFERROR(VLOOKUP($D:$D,Structure!$A:$AJ,AM$1,0)*15,0),IFERROR(VLOOKUP($E:$E,Structure!$A:$AJ,AM$1,0)*15,0))</f>
        <v>15</v>
      </c>
      <c r="AN86" s="13">
        <f>SUM(IFERROR(VLOOKUP($C:$C,Structure!$A:$AJ,AN$1,0)*15,0),IFERROR(VLOOKUP($D:$D,Structure!$A:$AJ,AN$1,0)*15,0),IFERROR(VLOOKUP($E:$E,Structure!$A:$AJ,AN$1,0)*15,0))</f>
        <v>0</v>
      </c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3"/>
      <c r="BZ86" s="4">
        <f>BZ85+AQ86-F86</f>
        <v>0</v>
      </c>
      <c r="CA86" s="4">
        <f>CA85+AR86-G86</f>
        <v>0</v>
      </c>
      <c r="CB86" s="4">
        <f>CB85+AS86-H86</f>
        <v>0</v>
      </c>
      <c r="CC86" s="4">
        <f>CC85+AT86-I86</f>
        <v>0</v>
      </c>
      <c r="CD86" s="4">
        <f>CD85+AU86-J86</f>
        <v>0</v>
      </c>
      <c r="CE86" s="4">
        <f>CE85+AV86-K86</f>
        <v>0</v>
      </c>
      <c r="CF86" s="4">
        <f>CF85+AW86-L86</f>
        <v>0</v>
      </c>
      <c r="CG86" s="4">
        <f>CG85+AX86-M86</f>
        <v>0</v>
      </c>
      <c r="CH86" s="4">
        <f>CH85+AY86-N86</f>
        <v>0</v>
      </c>
      <c r="CI86" s="4">
        <f>CI85+AZ86-O86</f>
        <v>0</v>
      </c>
      <c r="CJ86" s="4">
        <f>CJ85+BA86-P86</f>
        <v>0</v>
      </c>
      <c r="CK86" s="4">
        <f>CK85+BB86-Q86</f>
        <v>0</v>
      </c>
      <c r="CL86" s="4">
        <f>CL85+BC86-R86</f>
        <v>0</v>
      </c>
      <c r="CM86" s="4">
        <f>CM85+BD86-S86</f>
        <v>0</v>
      </c>
      <c r="CN86" s="4">
        <f>CN85+BE86-T86</f>
        <v>0</v>
      </c>
      <c r="CO86" s="4">
        <f>CO85+BF86-U86</f>
        <v>0</v>
      </c>
      <c r="CP86" s="4">
        <f>CP85+BG86-V86</f>
        <v>0</v>
      </c>
      <c r="CQ86" s="4">
        <f>CQ85+BH86-W86</f>
        <v>0</v>
      </c>
      <c r="CR86" s="4">
        <f>CR85+BI86-X86</f>
        <v>0</v>
      </c>
      <c r="CS86" s="4">
        <f>CS85+BJ86-Y86</f>
        <v>0</v>
      </c>
      <c r="CT86" s="4">
        <f>CT85+BK86-Z86</f>
        <v>0</v>
      </c>
      <c r="CU86" s="4">
        <f>CU85+BL86-AA86</f>
        <v>-3215</v>
      </c>
      <c r="CV86" s="4">
        <f>CV85+BM86-AB86</f>
        <v>-225</v>
      </c>
      <c r="CW86" s="4">
        <f>CW85+BN86-AC86</f>
        <v>-240</v>
      </c>
      <c r="CX86" s="4">
        <f>CX85+BO86-AD86</f>
        <v>0</v>
      </c>
      <c r="CY86" s="4">
        <f>CY85+BP86-AE86</f>
        <v>0</v>
      </c>
      <c r="CZ86" s="4">
        <f>CZ85+BQ86-AF86</f>
        <v>-145</v>
      </c>
      <c r="DA86" s="4">
        <f>DA85+BR86-AG86</f>
        <v>0</v>
      </c>
      <c r="DB86" s="4">
        <f>DB85+BS86-AH86</f>
        <v>0</v>
      </c>
      <c r="DC86" s="4">
        <f>DC85+BT86-AI86</f>
        <v>0</v>
      </c>
      <c r="DD86" s="4">
        <f>DD85+BU86-AJ86</f>
        <v>-2260</v>
      </c>
      <c r="DE86" s="4">
        <f>DE85+BV86-AK86</f>
        <v>-975</v>
      </c>
      <c r="DF86" s="4">
        <f>DF85+BW86-AL86</f>
        <v>0</v>
      </c>
      <c r="DG86" s="4">
        <f>DG85+BX86-AM86</f>
        <v>-220</v>
      </c>
      <c r="DH86" s="4">
        <f>DH85+BY86-AN86</f>
        <v>0</v>
      </c>
    </row>
    <row r="87" spans="1:112" x14ac:dyDescent="0.25">
      <c r="A87" s="6">
        <v>46182</v>
      </c>
      <c r="B87" s="7">
        <v>0.83333333313203184</v>
      </c>
      <c r="C87" s="3" t="s">
        <v>3</v>
      </c>
      <c r="D87" s="3" t="s">
        <v>6</v>
      </c>
      <c r="E87" s="3" t="s">
        <v>88</v>
      </c>
      <c r="F87" s="13">
        <f>SUM(IFERROR(VLOOKUP($C:$C,Structure!$A:$AJ,F$1,0)*15,0),IFERROR(VLOOKUP($D:$D,Structure!$A:$AJ,F$1,0)*15,0),IFERROR(VLOOKUP($E:$E,Structure!$A:$AJ,F$1,0)*15,0))</f>
        <v>0</v>
      </c>
      <c r="G87" s="13">
        <f>SUM(IFERROR(VLOOKUP($C:$C,Structure!$A:$AJ,G$1,0)*15,0),IFERROR(VLOOKUP($D:$D,Structure!$A:$AJ,G$1,0)*15,0),IFERROR(VLOOKUP($E:$E,Structure!$A:$AJ,G$1,0)*15,0))</f>
        <v>0</v>
      </c>
      <c r="H87" s="13">
        <f>SUM(IFERROR(VLOOKUP($C:$C,Structure!$A:$AJ,H$1,0)*15,0),IFERROR(VLOOKUP($D:$D,Structure!$A:$AJ,H$1,0)*15,0),IFERROR(VLOOKUP($E:$E,Structure!$A:$AJ,H$1,0)*15,0))</f>
        <v>0</v>
      </c>
      <c r="I87" s="13">
        <f>SUM(IFERROR(VLOOKUP($C:$C,Structure!$A:$AJ,I$1,0)*15,0),IFERROR(VLOOKUP($D:$D,Structure!$A:$AJ,I$1,0)*15,0),IFERROR(VLOOKUP($E:$E,Structure!$A:$AJ,I$1,0)*15,0))</f>
        <v>0</v>
      </c>
      <c r="J87" s="13">
        <f>SUM(IFERROR(VLOOKUP($C:$C,Structure!$A:$AJ,J$1,0)*15,0),IFERROR(VLOOKUP($D:$D,Structure!$A:$AJ,J$1,0)*15,0),IFERROR(VLOOKUP($E:$E,Structure!$A:$AJ,J$1,0)*15,0))</f>
        <v>0</v>
      </c>
      <c r="K87" s="13">
        <f>SUM(IFERROR(VLOOKUP($C:$C,Structure!$A:$AJ,K$1,0)*15,0),IFERROR(VLOOKUP($D:$D,Structure!$A:$AJ,K$1,0)*15,0),IFERROR(VLOOKUP($E:$E,Structure!$A:$AJ,K$1,0)*15,0))</f>
        <v>0</v>
      </c>
      <c r="L87" s="13">
        <f>SUM(IFERROR(VLOOKUP($C:$C,Structure!$A:$AJ,L$1,0)*15,0),IFERROR(VLOOKUP($D:$D,Structure!$A:$AJ,L$1,0)*15,0),IFERROR(VLOOKUP($E:$E,Structure!$A:$AJ,L$1,0)*15,0))</f>
        <v>0</v>
      </c>
      <c r="M87" s="13">
        <f>SUM(IFERROR(VLOOKUP($C:$C,Structure!$A:$AJ,M$1,0)*15,0),IFERROR(VLOOKUP($D:$D,Structure!$A:$AJ,M$1,0)*15,0),IFERROR(VLOOKUP($E:$E,Structure!$A:$AJ,M$1,0)*15,0))</f>
        <v>0</v>
      </c>
      <c r="N87" s="13">
        <f>SUM(IFERROR(VLOOKUP($C:$C,Structure!$A:$AJ,N$1,0)*15,0),IFERROR(VLOOKUP($D:$D,Structure!$A:$AJ,N$1,0)*15,0),IFERROR(VLOOKUP($E:$E,Structure!$A:$AJ,N$1,0)*15,0))</f>
        <v>0</v>
      </c>
      <c r="O87" s="13">
        <f>SUM(IFERROR(VLOOKUP($C:$C,Structure!$A:$AJ,O$1,0)*15,0),IFERROR(VLOOKUP($D:$D,Structure!$A:$AJ,O$1,0)*15,0),IFERROR(VLOOKUP($E:$E,Structure!$A:$AJ,O$1,0)*15,0))</f>
        <v>0</v>
      </c>
      <c r="P87" s="13">
        <f>SUM(IFERROR(VLOOKUP($C:$C,Structure!$A:$AJ,P$1,0)*15,0),IFERROR(VLOOKUP($D:$D,Structure!$A:$AJ,P$1,0)*15,0),IFERROR(VLOOKUP($E:$E,Structure!$A:$AJ,P$1,0)*15,0))</f>
        <v>0</v>
      </c>
      <c r="Q87" s="13">
        <f>SUM(IFERROR(VLOOKUP($C:$C,Structure!$A:$AJ,Q$1,0)*15,0),IFERROR(VLOOKUP($D:$D,Structure!$A:$AJ,Q$1,0)*15,0),IFERROR(VLOOKUP($E:$E,Structure!$A:$AJ,Q$1,0)*15,0))</f>
        <v>0</v>
      </c>
      <c r="R87" s="13">
        <f>SUM(IFERROR(VLOOKUP($C:$C,Structure!$A:$AJ,R$1,0)*15,0),IFERROR(VLOOKUP($D:$D,Structure!$A:$AJ,R$1,0)*15,0),IFERROR(VLOOKUP($E:$E,Structure!$A:$AJ,R$1,0)*15,0))</f>
        <v>0</v>
      </c>
      <c r="S87" s="13">
        <f>SUM(IFERROR(VLOOKUP($C:$C,Structure!$A:$AJ,S$1,0)*15,0),IFERROR(VLOOKUP($D:$D,Structure!$A:$AJ,S$1,0)*15,0),IFERROR(VLOOKUP($E:$E,Structure!$A:$AJ,S$1,0)*15,0))</f>
        <v>0</v>
      </c>
      <c r="T87" s="13">
        <f>SUM(IFERROR(VLOOKUP($C:$C,Structure!$A:$AJ,T$1,0)*15,0),IFERROR(VLOOKUP($D:$D,Structure!$A:$AJ,T$1,0)*15,0),IFERROR(VLOOKUP($E:$E,Structure!$A:$AJ,T$1,0)*15,0))</f>
        <v>0</v>
      </c>
      <c r="U87" s="13">
        <f>SUM(IFERROR(VLOOKUP($C:$C,Structure!$A:$AJ,U$1,0)*15,0),IFERROR(VLOOKUP($D:$D,Structure!$A:$AJ,U$1,0)*15,0),IFERROR(VLOOKUP($E:$E,Structure!$A:$AJ,U$1,0)*15,0))</f>
        <v>0</v>
      </c>
      <c r="V87" s="13">
        <f>SUM(IFERROR(VLOOKUP($C:$C,Structure!$A:$AJ,V$1,0)*15,0),IFERROR(VLOOKUP($D:$D,Structure!$A:$AJ,V$1,0)*15,0),IFERROR(VLOOKUP($E:$E,Structure!$A:$AJ,V$1,0)*15,0))</f>
        <v>0</v>
      </c>
      <c r="W87" s="13">
        <f>SUM(IFERROR(VLOOKUP($C:$C,Structure!$A:$AJ,W$1,0)*15,0),IFERROR(VLOOKUP($D:$D,Structure!$A:$AJ,W$1,0)*15,0),IFERROR(VLOOKUP($E:$E,Structure!$A:$AJ,W$1,0)*15,0))</f>
        <v>0</v>
      </c>
      <c r="X87" s="13">
        <f>SUM(IFERROR(VLOOKUP($C:$C,Structure!$A:$AJ,X$1,0)*15,0),IFERROR(VLOOKUP($D:$D,Structure!$A:$AJ,X$1,0)*15,0),IFERROR(VLOOKUP($E:$E,Structure!$A:$AJ,X$1,0)*15,0))</f>
        <v>0</v>
      </c>
      <c r="Y87" s="13">
        <f>SUM(IFERROR(VLOOKUP($C:$C,Structure!$A:$AJ,Y$1,0)*15,0),IFERROR(VLOOKUP($D:$D,Structure!$A:$AJ,Y$1,0)*15,0),IFERROR(VLOOKUP($E:$E,Structure!$A:$AJ,Y$1,0)*15,0))</f>
        <v>0</v>
      </c>
      <c r="Z87" s="13">
        <f>SUM(IFERROR(VLOOKUP($C:$C,Structure!$A:$AJ,Z$1,0)*15,0),IFERROR(VLOOKUP($D:$D,Structure!$A:$AJ,Z$1,0)*15,0),IFERROR(VLOOKUP($E:$E,Structure!$A:$AJ,Z$1,0)*15,0))</f>
        <v>0</v>
      </c>
      <c r="AA87" s="13">
        <f>SUM(IFERROR(VLOOKUP($C:$C,Structure!$A:$AJ,AA$1,0)*15,0),IFERROR(VLOOKUP($D:$D,Structure!$A:$AJ,AA$1,0)*15,0),IFERROR(VLOOKUP($E:$E,Structure!$A:$AJ,AA$1,0)*15,0))</f>
        <v>30</v>
      </c>
      <c r="AB87" s="13">
        <f>SUM(IFERROR(VLOOKUP($C:$C,Structure!$A:$AJ,AB$1,0)*15,0),IFERROR(VLOOKUP($D:$D,Structure!$A:$AJ,AB$1,0)*15,0),IFERROR(VLOOKUP($E:$E,Structure!$A:$AJ,AB$1,0)*15,0))</f>
        <v>0</v>
      </c>
      <c r="AC87" s="13">
        <f>SUM(IFERROR(VLOOKUP($C:$C,Structure!$A:$AJ,AC$1,0)*15,0),IFERROR(VLOOKUP($D:$D,Structure!$A:$AJ,AC$1,0)*15,0),IFERROR(VLOOKUP($E:$E,Structure!$A:$AJ,AC$1,0)*15,0))</f>
        <v>15</v>
      </c>
      <c r="AD87" s="13">
        <f>SUM(IFERROR(VLOOKUP($C:$C,Structure!$A:$AJ,AD$1,0)*15,0),IFERROR(VLOOKUP($D:$D,Structure!$A:$AJ,AD$1,0)*15,0),IFERROR(VLOOKUP($E:$E,Structure!$A:$AJ,AD$1,0)*15,0))</f>
        <v>0</v>
      </c>
      <c r="AE87" s="13">
        <f>SUM(IFERROR(VLOOKUP($C:$C,Structure!$A:$AJ,AE$1,0)*15,0),IFERROR(VLOOKUP($D:$D,Structure!$A:$AJ,AE$1,0)*15,0),IFERROR(VLOOKUP($E:$E,Structure!$A:$AJ,AE$1,0)*15,0))</f>
        <v>0</v>
      </c>
      <c r="AF87" s="13">
        <f>SUM(IFERROR(VLOOKUP($C:$C,Structure!$A:$AJ,AF$1,0)*15,0),IFERROR(VLOOKUP($D:$D,Structure!$A:$AJ,AF$1,0)*15,0),IFERROR(VLOOKUP($E:$E,Structure!$A:$AJ,AF$1,0)*15,0))</f>
        <v>0</v>
      </c>
      <c r="AG87" s="13">
        <f>SUM(IFERROR(VLOOKUP($C:$C,Structure!$A:$AJ,AG$1,0)*15,0),IFERROR(VLOOKUP($D:$D,Structure!$A:$AJ,AG$1,0)*15,0),IFERROR(VLOOKUP($E:$E,Structure!$A:$AJ,AG$1,0)*15,0))</f>
        <v>0</v>
      </c>
      <c r="AH87" s="13">
        <f>SUM(IFERROR(VLOOKUP($C:$C,Structure!$A:$AJ,AH$1,0)*15,0),IFERROR(VLOOKUP($D:$D,Structure!$A:$AJ,AH$1,0)*15,0),IFERROR(VLOOKUP($E:$E,Structure!$A:$AJ,AH$1,0)*15,0))</f>
        <v>0</v>
      </c>
      <c r="AI87" s="13">
        <f>SUM(IFERROR(VLOOKUP($C:$C,Structure!$A:$AJ,AI$1,0)*15,0),IFERROR(VLOOKUP($D:$D,Structure!$A:$AJ,AI$1,0)*15,0),IFERROR(VLOOKUP($E:$E,Structure!$A:$AJ,AI$1,0)*15,0))</f>
        <v>0</v>
      </c>
      <c r="AJ87" s="13">
        <f>SUM(IFERROR(VLOOKUP($C:$C,Structure!$A:$AJ,AJ$1,0)*15,0),IFERROR(VLOOKUP($D:$D,Structure!$A:$AJ,AJ$1,0)*15,0),IFERROR(VLOOKUP($E:$E,Structure!$A:$AJ,AJ$1,0)*15,0))</f>
        <v>15</v>
      </c>
      <c r="AK87" s="13">
        <f>SUM(IFERROR(VLOOKUP($C:$C,Structure!$A:$AJ,AK$1,0)*15,0),IFERROR(VLOOKUP($D:$D,Structure!$A:$AJ,AK$1,0)*15,0),IFERROR(VLOOKUP($E:$E,Structure!$A:$AJ,AK$1,0)*15,0))</f>
        <v>15</v>
      </c>
      <c r="AL87" s="13">
        <f>SUM(IFERROR(VLOOKUP($C:$C,Structure!$A:$AJ,AL$1,0)*15,0),IFERROR(VLOOKUP($D:$D,Structure!$A:$AJ,AL$1,0)*15,0),IFERROR(VLOOKUP($E:$E,Structure!$A:$AJ,AL$1,0)*15,0))</f>
        <v>0</v>
      </c>
      <c r="AM87" s="13">
        <f>SUM(IFERROR(VLOOKUP($C:$C,Structure!$A:$AJ,AM$1,0)*15,0),IFERROR(VLOOKUP($D:$D,Structure!$A:$AJ,AM$1,0)*15,0),IFERROR(VLOOKUP($E:$E,Structure!$A:$AJ,AM$1,0)*15,0))</f>
        <v>15</v>
      </c>
      <c r="AN87" s="13">
        <f>SUM(IFERROR(VLOOKUP($C:$C,Structure!$A:$AJ,AN$1,0)*15,0),IFERROR(VLOOKUP($D:$D,Structure!$A:$AJ,AN$1,0)*15,0),IFERROR(VLOOKUP($E:$E,Structure!$A:$AJ,AN$1,0)*15,0))</f>
        <v>0</v>
      </c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3"/>
      <c r="BZ87" s="4">
        <f>BZ86+AQ87-F87</f>
        <v>0</v>
      </c>
      <c r="CA87" s="4">
        <f>CA86+AR87-G87</f>
        <v>0</v>
      </c>
      <c r="CB87" s="4">
        <f>CB86+AS87-H87</f>
        <v>0</v>
      </c>
      <c r="CC87" s="4">
        <f>CC86+AT87-I87</f>
        <v>0</v>
      </c>
      <c r="CD87" s="4">
        <f>CD86+AU87-J87</f>
        <v>0</v>
      </c>
      <c r="CE87" s="4">
        <f>CE86+AV87-K87</f>
        <v>0</v>
      </c>
      <c r="CF87" s="4">
        <f>CF86+AW87-L87</f>
        <v>0</v>
      </c>
      <c r="CG87" s="4">
        <f>CG86+AX87-M87</f>
        <v>0</v>
      </c>
      <c r="CH87" s="4">
        <f>CH86+AY87-N87</f>
        <v>0</v>
      </c>
      <c r="CI87" s="4">
        <f>CI86+AZ87-O87</f>
        <v>0</v>
      </c>
      <c r="CJ87" s="4">
        <f>CJ86+BA87-P87</f>
        <v>0</v>
      </c>
      <c r="CK87" s="4">
        <f>CK86+BB87-Q87</f>
        <v>0</v>
      </c>
      <c r="CL87" s="4">
        <f>CL86+BC87-R87</f>
        <v>0</v>
      </c>
      <c r="CM87" s="4">
        <f>CM86+BD87-S87</f>
        <v>0</v>
      </c>
      <c r="CN87" s="4">
        <f>CN86+BE87-T87</f>
        <v>0</v>
      </c>
      <c r="CO87" s="4">
        <f>CO86+BF87-U87</f>
        <v>0</v>
      </c>
      <c r="CP87" s="4">
        <f>CP86+BG87-V87</f>
        <v>0</v>
      </c>
      <c r="CQ87" s="4">
        <f>CQ86+BH87-W87</f>
        <v>0</v>
      </c>
      <c r="CR87" s="4">
        <f>CR86+BI87-X87</f>
        <v>0</v>
      </c>
      <c r="CS87" s="4">
        <f>CS86+BJ87-Y87</f>
        <v>0</v>
      </c>
      <c r="CT87" s="4">
        <f>CT86+BK87-Z87</f>
        <v>0</v>
      </c>
      <c r="CU87" s="4">
        <f>CU86+BL87-AA87</f>
        <v>-3245</v>
      </c>
      <c r="CV87" s="4">
        <f>CV86+BM87-AB87</f>
        <v>-225</v>
      </c>
      <c r="CW87" s="4">
        <f>CW86+BN87-AC87</f>
        <v>-255</v>
      </c>
      <c r="CX87" s="4">
        <f>CX86+BO87-AD87</f>
        <v>0</v>
      </c>
      <c r="CY87" s="4">
        <f>CY86+BP87-AE87</f>
        <v>0</v>
      </c>
      <c r="CZ87" s="4">
        <f>CZ86+BQ87-AF87</f>
        <v>-145</v>
      </c>
      <c r="DA87" s="4">
        <f>DA86+BR87-AG87</f>
        <v>0</v>
      </c>
      <c r="DB87" s="4">
        <f>DB86+BS87-AH87</f>
        <v>0</v>
      </c>
      <c r="DC87" s="4">
        <f>DC86+BT87-AI87</f>
        <v>0</v>
      </c>
      <c r="DD87" s="4">
        <f>DD86+BU87-AJ87</f>
        <v>-2275</v>
      </c>
      <c r="DE87" s="4">
        <f>DE86+BV87-AK87</f>
        <v>-990</v>
      </c>
      <c r="DF87" s="4">
        <f>DF86+BW87-AL87</f>
        <v>0</v>
      </c>
      <c r="DG87" s="4">
        <f>DG86+BX87-AM87</f>
        <v>-235</v>
      </c>
      <c r="DH87" s="4">
        <f>DH86+BY87-AN87</f>
        <v>0</v>
      </c>
    </row>
    <row r="88" spans="1:112" x14ac:dyDescent="0.25">
      <c r="A88" s="6">
        <v>46182</v>
      </c>
      <c r="B88" s="7">
        <v>0.87499999979627319</v>
      </c>
      <c r="C88" s="3" t="s">
        <v>3</v>
      </c>
      <c r="D88" s="3" t="s">
        <v>6</v>
      </c>
      <c r="E88" s="3" t="s">
        <v>2</v>
      </c>
      <c r="F88" s="13">
        <f>SUM(IFERROR(VLOOKUP($C:$C,Structure!$A:$AJ,F$1,0)*15,0),IFERROR(VLOOKUP($D:$D,Structure!$A:$AJ,F$1,0)*15,0),IFERROR(VLOOKUP($E:$E,Structure!$A:$AJ,F$1,0)*15,0))</f>
        <v>0</v>
      </c>
      <c r="G88" s="13">
        <f>SUM(IFERROR(VLOOKUP($C:$C,Structure!$A:$AJ,G$1,0)*15,0),IFERROR(VLOOKUP($D:$D,Structure!$A:$AJ,G$1,0)*15,0),IFERROR(VLOOKUP($E:$E,Structure!$A:$AJ,G$1,0)*15,0))</f>
        <v>0</v>
      </c>
      <c r="H88" s="13">
        <f>SUM(IFERROR(VLOOKUP($C:$C,Structure!$A:$AJ,H$1,0)*15,0),IFERROR(VLOOKUP($D:$D,Structure!$A:$AJ,H$1,0)*15,0),IFERROR(VLOOKUP($E:$E,Structure!$A:$AJ,H$1,0)*15,0))</f>
        <v>0</v>
      </c>
      <c r="I88" s="13">
        <f>SUM(IFERROR(VLOOKUP($C:$C,Structure!$A:$AJ,I$1,0)*15,0),IFERROR(VLOOKUP($D:$D,Structure!$A:$AJ,I$1,0)*15,0),IFERROR(VLOOKUP($E:$E,Structure!$A:$AJ,I$1,0)*15,0))</f>
        <v>0</v>
      </c>
      <c r="J88" s="13">
        <f>SUM(IFERROR(VLOOKUP($C:$C,Structure!$A:$AJ,J$1,0)*15,0),IFERROR(VLOOKUP($D:$D,Structure!$A:$AJ,J$1,0)*15,0),IFERROR(VLOOKUP($E:$E,Structure!$A:$AJ,J$1,0)*15,0))</f>
        <v>0</v>
      </c>
      <c r="K88" s="13">
        <f>SUM(IFERROR(VLOOKUP($C:$C,Structure!$A:$AJ,K$1,0)*15,0),IFERROR(VLOOKUP($D:$D,Structure!$A:$AJ,K$1,0)*15,0),IFERROR(VLOOKUP($E:$E,Structure!$A:$AJ,K$1,0)*15,0))</f>
        <v>0</v>
      </c>
      <c r="L88" s="13">
        <f>SUM(IFERROR(VLOOKUP($C:$C,Structure!$A:$AJ,L$1,0)*15,0),IFERROR(VLOOKUP($D:$D,Structure!$A:$AJ,L$1,0)*15,0),IFERROR(VLOOKUP($E:$E,Structure!$A:$AJ,L$1,0)*15,0))</f>
        <v>0</v>
      </c>
      <c r="M88" s="13">
        <f>SUM(IFERROR(VLOOKUP($C:$C,Structure!$A:$AJ,M$1,0)*15,0),IFERROR(VLOOKUP($D:$D,Structure!$A:$AJ,M$1,0)*15,0),IFERROR(VLOOKUP($E:$E,Structure!$A:$AJ,M$1,0)*15,0))</f>
        <v>0</v>
      </c>
      <c r="N88" s="13">
        <f>SUM(IFERROR(VLOOKUP($C:$C,Structure!$A:$AJ,N$1,0)*15,0),IFERROR(VLOOKUP($D:$D,Structure!$A:$AJ,N$1,0)*15,0),IFERROR(VLOOKUP($E:$E,Structure!$A:$AJ,N$1,0)*15,0))</f>
        <v>0</v>
      </c>
      <c r="O88" s="13">
        <f>SUM(IFERROR(VLOOKUP($C:$C,Structure!$A:$AJ,O$1,0)*15,0),IFERROR(VLOOKUP($D:$D,Structure!$A:$AJ,O$1,0)*15,0),IFERROR(VLOOKUP($E:$E,Structure!$A:$AJ,O$1,0)*15,0))</f>
        <v>0</v>
      </c>
      <c r="P88" s="13">
        <f>SUM(IFERROR(VLOOKUP($C:$C,Structure!$A:$AJ,P$1,0)*15,0),IFERROR(VLOOKUP($D:$D,Structure!$A:$AJ,P$1,0)*15,0),IFERROR(VLOOKUP($E:$E,Structure!$A:$AJ,P$1,0)*15,0))</f>
        <v>0</v>
      </c>
      <c r="Q88" s="13">
        <f>SUM(IFERROR(VLOOKUP($C:$C,Structure!$A:$AJ,Q$1,0)*15,0),IFERROR(VLOOKUP($D:$D,Structure!$A:$AJ,Q$1,0)*15,0),IFERROR(VLOOKUP($E:$E,Structure!$A:$AJ,Q$1,0)*15,0))</f>
        <v>0</v>
      </c>
      <c r="R88" s="13">
        <f>SUM(IFERROR(VLOOKUP($C:$C,Structure!$A:$AJ,R$1,0)*15,0),IFERROR(VLOOKUP($D:$D,Structure!$A:$AJ,R$1,0)*15,0),IFERROR(VLOOKUP($E:$E,Structure!$A:$AJ,R$1,0)*15,0))</f>
        <v>0</v>
      </c>
      <c r="S88" s="13">
        <f>SUM(IFERROR(VLOOKUP($C:$C,Structure!$A:$AJ,S$1,0)*15,0),IFERROR(VLOOKUP($D:$D,Structure!$A:$AJ,S$1,0)*15,0),IFERROR(VLOOKUP($E:$E,Structure!$A:$AJ,S$1,0)*15,0))</f>
        <v>0</v>
      </c>
      <c r="T88" s="13">
        <f>SUM(IFERROR(VLOOKUP($C:$C,Structure!$A:$AJ,T$1,0)*15,0),IFERROR(VLOOKUP($D:$D,Structure!$A:$AJ,T$1,0)*15,0),IFERROR(VLOOKUP($E:$E,Structure!$A:$AJ,T$1,0)*15,0))</f>
        <v>0</v>
      </c>
      <c r="U88" s="13">
        <f>SUM(IFERROR(VLOOKUP($C:$C,Structure!$A:$AJ,U$1,0)*15,0),IFERROR(VLOOKUP($D:$D,Structure!$A:$AJ,U$1,0)*15,0),IFERROR(VLOOKUP($E:$E,Structure!$A:$AJ,U$1,0)*15,0))</f>
        <v>0</v>
      </c>
      <c r="V88" s="13">
        <f>SUM(IFERROR(VLOOKUP($C:$C,Structure!$A:$AJ,V$1,0)*15,0),IFERROR(VLOOKUP($D:$D,Structure!$A:$AJ,V$1,0)*15,0),IFERROR(VLOOKUP($E:$E,Structure!$A:$AJ,V$1,0)*15,0))</f>
        <v>0</v>
      </c>
      <c r="W88" s="13">
        <f>SUM(IFERROR(VLOOKUP($C:$C,Structure!$A:$AJ,W$1,0)*15,0),IFERROR(VLOOKUP($D:$D,Structure!$A:$AJ,W$1,0)*15,0),IFERROR(VLOOKUP($E:$E,Structure!$A:$AJ,W$1,0)*15,0))</f>
        <v>0</v>
      </c>
      <c r="X88" s="13">
        <f>SUM(IFERROR(VLOOKUP($C:$C,Structure!$A:$AJ,X$1,0)*15,0),IFERROR(VLOOKUP($D:$D,Structure!$A:$AJ,X$1,0)*15,0),IFERROR(VLOOKUP($E:$E,Structure!$A:$AJ,X$1,0)*15,0))</f>
        <v>0</v>
      </c>
      <c r="Y88" s="13">
        <f>SUM(IFERROR(VLOOKUP($C:$C,Structure!$A:$AJ,Y$1,0)*15,0),IFERROR(VLOOKUP($D:$D,Structure!$A:$AJ,Y$1,0)*15,0),IFERROR(VLOOKUP($E:$E,Structure!$A:$AJ,Y$1,0)*15,0))</f>
        <v>0</v>
      </c>
      <c r="Z88" s="13">
        <f>SUM(IFERROR(VLOOKUP($C:$C,Structure!$A:$AJ,Z$1,0)*15,0),IFERROR(VLOOKUP($D:$D,Structure!$A:$AJ,Z$1,0)*15,0),IFERROR(VLOOKUP($E:$E,Structure!$A:$AJ,Z$1,0)*15,0))</f>
        <v>0</v>
      </c>
      <c r="AA88" s="13">
        <f>SUM(IFERROR(VLOOKUP($C:$C,Structure!$A:$AJ,AA$1,0)*15,0),IFERROR(VLOOKUP($D:$D,Structure!$A:$AJ,AA$1,0)*15,0),IFERROR(VLOOKUP($E:$E,Structure!$A:$AJ,AA$1,0)*15,0))</f>
        <v>45</v>
      </c>
      <c r="AB88" s="13">
        <f>SUM(IFERROR(VLOOKUP($C:$C,Structure!$A:$AJ,AB$1,0)*15,0),IFERROR(VLOOKUP($D:$D,Structure!$A:$AJ,AB$1,0)*15,0),IFERROR(VLOOKUP($E:$E,Structure!$A:$AJ,AB$1,0)*15,0))</f>
        <v>0</v>
      </c>
      <c r="AC88" s="13">
        <f>SUM(IFERROR(VLOOKUP($C:$C,Structure!$A:$AJ,AC$1,0)*15,0),IFERROR(VLOOKUP($D:$D,Structure!$A:$AJ,AC$1,0)*15,0),IFERROR(VLOOKUP($E:$E,Structure!$A:$AJ,AC$1,0)*15,0))</f>
        <v>0</v>
      </c>
      <c r="AD88" s="13">
        <f>SUM(IFERROR(VLOOKUP($C:$C,Structure!$A:$AJ,AD$1,0)*15,0),IFERROR(VLOOKUP($D:$D,Structure!$A:$AJ,AD$1,0)*15,0),IFERROR(VLOOKUP($E:$E,Structure!$A:$AJ,AD$1,0)*15,0))</f>
        <v>0</v>
      </c>
      <c r="AE88" s="13">
        <f>SUM(IFERROR(VLOOKUP($C:$C,Structure!$A:$AJ,AE$1,0)*15,0),IFERROR(VLOOKUP($D:$D,Structure!$A:$AJ,AE$1,0)*15,0),IFERROR(VLOOKUP($E:$E,Structure!$A:$AJ,AE$1,0)*15,0))</f>
        <v>0</v>
      </c>
      <c r="AF88" s="13">
        <f>SUM(IFERROR(VLOOKUP($C:$C,Structure!$A:$AJ,AF$1,0)*15,0),IFERROR(VLOOKUP($D:$D,Structure!$A:$AJ,AF$1,0)*15,0),IFERROR(VLOOKUP($E:$E,Structure!$A:$AJ,AF$1,0)*15,0))</f>
        <v>0</v>
      </c>
      <c r="AG88" s="13">
        <f>SUM(IFERROR(VLOOKUP($C:$C,Structure!$A:$AJ,AG$1,0)*15,0),IFERROR(VLOOKUP($D:$D,Structure!$A:$AJ,AG$1,0)*15,0),IFERROR(VLOOKUP($E:$E,Structure!$A:$AJ,AG$1,0)*15,0))</f>
        <v>0</v>
      </c>
      <c r="AH88" s="13">
        <f>SUM(IFERROR(VLOOKUP($C:$C,Structure!$A:$AJ,AH$1,0)*15,0),IFERROR(VLOOKUP($D:$D,Structure!$A:$AJ,AH$1,0)*15,0),IFERROR(VLOOKUP($E:$E,Structure!$A:$AJ,AH$1,0)*15,0))</f>
        <v>0</v>
      </c>
      <c r="AI88" s="13">
        <f>SUM(IFERROR(VLOOKUP($C:$C,Structure!$A:$AJ,AI$1,0)*15,0),IFERROR(VLOOKUP($D:$D,Structure!$A:$AJ,AI$1,0)*15,0),IFERROR(VLOOKUP($E:$E,Structure!$A:$AJ,AI$1,0)*15,0))</f>
        <v>0</v>
      </c>
      <c r="AJ88" s="13">
        <f>SUM(IFERROR(VLOOKUP($C:$C,Structure!$A:$AJ,AJ$1,0)*15,0),IFERROR(VLOOKUP($D:$D,Structure!$A:$AJ,AJ$1,0)*15,0),IFERROR(VLOOKUP($E:$E,Structure!$A:$AJ,AJ$1,0)*15,0))</f>
        <v>30</v>
      </c>
      <c r="AK88" s="13">
        <f>SUM(IFERROR(VLOOKUP($C:$C,Structure!$A:$AJ,AK$1,0)*15,0),IFERROR(VLOOKUP($D:$D,Structure!$A:$AJ,AK$1,0)*15,0),IFERROR(VLOOKUP($E:$E,Structure!$A:$AJ,AK$1,0)*15,0))</f>
        <v>15</v>
      </c>
      <c r="AL88" s="13">
        <f>SUM(IFERROR(VLOOKUP($C:$C,Structure!$A:$AJ,AL$1,0)*15,0),IFERROR(VLOOKUP($D:$D,Structure!$A:$AJ,AL$1,0)*15,0),IFERROR(VLOOKUP($E:$E,Structure!$A:$AJ,AL$1,0)*15,0))</f>
        <v>0</v>
      </c>
      <c r="AM88" s="13">
        <f>SUM(IFERROR(VLOOKUP($C:$C,Structure!$A:$AJ,AM$1,0)*15,0),IFERROR(VLOOKUP($D:$D,Structure!$A:$AJ,AM$1,0)*15,0),IFERROR(VLOOKUP($E:$E,Structure!$A:$AJ,AM$1,0)*15,0))</f>
        <v>0</v>
      </c>
      <c r="AN88" s="13">
        <f>SUM(IFERROR(VLOOKUP($C:$C,Structure!$A:$AJ,AN$1,0)*15,0),IFERROR(VLOOKUP($D:$D,Structure!$A:$AJ,AN$1,0)*15,0),IFERROR(VLOOKUP($E:$E,Structure!$A:$AJ,AN$1,0)*15,0))</f>
        <v>0</v>
      </c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3"/>
      <c r="BZ88" s="4">
        <f>BZ87+AQ88-F88</f>
        <v>0</v>
      </c>
      <c r="CA88" s="4">
        <f>CA87+AR88-G88</f>
        <v>0</v>
      </c>
      <c r="CB88" s="4">
        <f>CB87+AS88-H88</f>
        <v>0</v>
      </c>
      <c r="CC88" s="4">
        <f>CC87+AT88-I88</f>
        <v>0</v>
      </c>
      <c r="CD88" s="4">
        <f>CD87+AU88-J88</f>
        <v>0</v>
      </c>
      <c r="CE88" s="4">
        <f>CE87+AV88-K88</f>
        <v>0</v>
      </c>
      <c r="CF88" s="4">
        <f>CF87+AW88-L88</f>
        <v>0</v>
      </c>
      <c r="CG88" s="4">
        <f>CG87+AX88-M88</f>
        <v>0</v>
      </c>
      <c r="CH88" s="4">
        <f>CH87+AY88-N88</f>
        <v>0</v>
      </c>
      <c r="CI88" s="4">
        <f>CI87+AZ88-O88</f>
        <v>0</v>
      </c>
      <c r="CJ88" s="4">
        <f>CJ87+BA88-P88</f>
        <v>0</v>
      </c>
      <c r="CK88" s="4">
        <f>CK87+BB88-Q88</f>
        <v>0</v>
      </c>
      <c r="CL88" s="4">
        <f>CL87+BC88-R88</f>
        <v>0</v>
      </c>
      <c r="CM88" s="4">
        <f>CM87+BD88-S88</f>
        <v>0</v>
      </c>
      <c r="CN88" s="4">
        <f>CN87+BE88-T88</f>
        <v>0</v>
      </c>
      <c r="CO88" s="4">
        <f>CO87+BF88-U88</f>
        <v>0</v>
      </c>
      <c r="CP88" s="4">
        <f>CP87+BG88-V88</f>
        <v>0</v>
      </c>
      <c r="CQ88" s="4">
        <f>CQ87+BH88-W88</f>
        <v>0</v>
      </c>
      <c r="CR88" s="4">
        <f>CR87+BI88-X88</f>
        <v>0</v>
      </c>
      <c r="CS88" s="4">
        <f>CS87+BJ88-Y88</f>
        <v>0</v>
      </c>
      <c r="CT88" s="4">
        <f>CT87+BK88-Z88</f>
        <v>0</v>
      </c>
      <c r="CU88" s="4">
        <f>CU87+BL88-AA88</f>
        <v>-3290</v>
      </c>
      <c r="CV88" s="4">
        <f>CV87+BM88-AB88</f>
        <v>-225</v>
      </c>
      <c r="CW88" s="4">
        <f>CW87+BN88-AC88</f>
        <v>-255</v>
      </c>
      <c r="CX88" s="4">
        <f>CX87+BO88-AD88</f>
        <v>0</v>
      </c>
      <c r="CY88" s="4">
        <f>CY87+BP88-AE88</f>
        <v>0</v>
      </c>
      <c r="CZ88" s="4">
        <f>CZ87+BQ88-AF88</f>
        <v>-145</v>
      </c>
      <c r="DA88" s="4">
        <f>DA87+BR88-AG88</f>
        <v>0</v>
      </c>
      <c r="DB88" s="4">
        <f>DB87+BS88-AH88</f>
        <v>0</v>
      </c>
      <c r="DC88" s="4">
        <f>DC87+BT88-AI88</f>
        <v>0</v>
      </c>
      <c r="DD88" s="4">
        <f>DD87+BU88-AJ88</f>
        <v>-2305</v>
      </c>
      <c r="DE88" s="4">
        <f>DE87+BV88-AK88</f>
        <v>-1005</v>
      </c>
      <c r="DF88" s="4">
        <f>DF87+BW88-AL88</f>
        <v>0</v>
      </c>
      <c r="DG88" s="4">
        <f>DG87+BX88-AM88</f>
        <v>-235</v>
      </c>
      <c r="DH88" s="4">
        <f>DH87+BY88-AN88</f>
        <v>0</v>
      </c>
    </row>
    <row r="89" spans="1:112" x14ac:dyDescent="0.25">
      <c r="A89" s="6">
        <v>46182</v>
      </c>
      <c r="B89" s="7">
        <v>0.91666666646051453</v>
      </c>
      <c r="C89" s="3" t="s">
        <v>3</v>
      </c>
      <c r="D89" s="3" t="s">
        <v>6</v>
      </c>
      <c r="E89" s="3" t="s">
        <v>2</v>
      </c>
      <c r="F89" s="13">
        <f>SUM(IFERROR(VLOOKUP($C:$C,Structure!$A:$AJ,F$1,0)*15,0),IFERROR(VLOOKUP($D:$D,Structure!$A:$AJ,F$1,0)*15,0),IFERROR(VLOOKUP($E:$E,Structure!$A:$AJ,F$1,0)*15,0))</f>
        <v>0</v>
      </c>
      <c r="G89" s="13">
        <f>SUM(IFERROR(VLOOKUP($C:$C,Structure!$A:$AJ,G$1,0)*15,0),IFERROR(VLOOKUP($D:$D,Structure!$A:$AJ,G$1,0)*15,0),IFERROR(VLOOKUP($E:$E,Structure!$A:$AJ,G$1,0)*15,0))</f>
        <v>0</v>
      </c>
      <c r="H89" s="13">
        <f>SUM(IFERROR(VLOOKUP($C:$C,Structure!$A:$AJ,H$1,0)*15,0),IFERROR(VLOOKUP($D:$D,Structure!$A:$AJ,H$1,0)*15,0),IFERROR(VLOOKUP($E:$E,Structure!$A:$AJ,H$1,0)*15,0))</f>
        <v>0</v>
      </c>
      <c r="I89" s="13">
        <f>SUM(IFERROR(VLOOKUP($C:$C,Structure!$A:$AJ,I$1,0)*15,0),IFERROR(VLOOKUP($D:$D,Structure!$A:$AJ,I$1,0)*15,0),IFERROR(VLOOKUP($E:$E,Structure!$A:$AJ,I$1,0)*15,0))</f>
        <v>0</v>
      </c>
      <c r="J89" s="13">
        <f>SUM(IFERROR(VLOOKUP($C:$C,Structure!$A:$AJ,J$1,0)*15,0),IFERROR(VLOOKUP($D:$D,Structure!$A:$AJ,J$1,0)*15,0),IFERROR(VLOOKUP($E:$E,Structure!$A:$AJ,J$1,0)*15,0))</f>
        <v>0</v>
      </c>
      <c r="K89" s="13">
        <f>SUM(IFERROR(VLOOKUP($C:$C,Structure!$A:$AJ,K$1,0)*15,0),IFERROR(VLOOKUP($D:$D,Structure!$A:$AJ,K$1,0)*15,0),IFERROR(VLOOKUP($E:$E,Structure!$A:$AJ,K$1,0)*15,0))</f>
        <v>0</v>
      </c>
      <c r="L89" s="13">
        <f>SUM(IFERROR(VLOOKUP($C:$C,Structure!$A:$AJ,L$1,0)*15,0),IFERROR(VLOOKUP($D:$D,Structure!$A:$AJ,L$1,0)*15,0),IFERROR(VLOOKUP($E:$E,Structure!$A:$AJ,L$1,0)*15,0))</f>
        <v>0</v>
      </c>
      <c r="M89" s="13">
        <f>SUM(IFERROR(VLOOKUP($C:$C,Structure!$A:$AJ,M$1,0)*15,0),IFERROR(VLOOKUP($D:$D,Structure!$A:$AJ,M$1,0)*15,0),IFERROR(VLOOKUP($E:$E,Structure!$A:$AJ,M$1,0)*15,0))</f>
        <v>0</v>
      </c>
      <c r="N89" s="13">
        <f>SUM(IFERROR(VLOOKUP($C:$C,Structure!$A:$AJ,N$1,0)*15,0),IFERROR(VLOOKUP($D:$D,Structure!$A:$AJ,N$1,0)*15,0),IFERROR(VLOOKUP($E:$E,Structure!$A:$AJ,N$1,0)*15,0))</f>
        <v>0</v>
      </c>
      <c r="O89" s="13">
        <f>SUM(IFERROR(VLOOKUP($C:$C,Structure!$A:$AJ,O$1,0)*15,0),IFERROR(VLOOKUP($D:$D,Structure!$A:$AJ,O$1,0)*15,0),IFERROR(VLOOKUP($E:$E,Structure!$A:$AJ,O$1,0)*15,0))</f>
        <v>0</v>
      </c>
      <c r="P89" s="13">
        <f>SUM(IFERROR(VLOOKUP($C:$C,Structure!$A:$AJ,P$1,0)*15,0),IFERROR(VLOOKUP($D:$D,Structure!$A:$AJ,P$1,0)*15,0),IFERROR(VLOOKUP($E:$E,Structure!$A:$AJ,P$1,0)*15,0))</f>
        <v>0</v>
      </c>
      <c r="Q89" s="13">
        <f>SUM(IFERROR(VLOOKUP($C:$C,Structure!$A:$AJ,Q$1,0)*15,0),IFERROR(VLOOKUP($D:$D,Structure!$A:$AJ,Q$1,0)*15,0),IFERROR(VLOOKUP($E:$E,Structure!$A:$AJ,Q$1,0)*15,0))</f>
        <v>0</v>
      </c>
      <c r="R89" s="13">
        <f>SUM(IFERROR(VLOOKUP($C:$C,Structure!$A:$AJ,R$1,0)*15,0),IFERROR(VLOOKUP($D:$D,Structure!$A:$AJ,R$1,0)*15,0),IFERROR(VLOOKUP($E:$E,Structure!$A:$AJ,R$1,0)*15,0))</f>
        <v>0</v>
      </c>
      <c r="S89" s="13">
        <f>SUM(IFERROR(VLOOKUP($C:$C,Structure!$A:$AJ,S$1,0)*15,0),IFERROR(VLOOKUP($D:$D,Structure!$A:$AJ,S$1,0)*15,0),IFERROR(VLOOKUP($E:$E,Structure!$A:$AJ,S$1,0)*15,0))</f>
        <v>0</v>
      </c>
      <c r="T89" s="13">
        <f>SUM(IFERROR(VLOOKUP($C:$C,Structure!$A:$AJ,T$1,0)*15,0),IFERROR(VLOOKUP($D:$D,Structure!$A:$AJ,T$1,0)*15,0),IFERROR(VLOOKUP($E:$E,Structure!$A:$AJ,T$1,0)*15,0))</f>
        <v>0</v>
      </c>
      <c r="U89" s="13">
        <f>SUM(IFERROR(VLOOKUP($C:$C,Structure!$A:$AJ,U$1,0)*15,0),IFERROR(VLOOKUP($D:$D,Structure!$A:$AJ,U$1,0)*15,0),IFERROR(VLOOKUP($E:$E,Structure!$A:$AJ,U$1,0)*15,0))</f>
        <v>0</v>
      </c>
      <c r="V89" s="13">
        <f>SUM(IFERROR(VLOOKUP($C:$C,Structure!$A:$AJ,V$1,0)*15,0),IFERROR(VLOOKUP($D:$D,Structure!$A:$AJ,V$1,0)*15,0),IFERROR(VLOOKUP($E:$E,Structure!$A:$AJ,V$1,0)*15,0))</f>
        <v>0</v>
      </c>
      <c r="W89" s="13">
        <f>SUM(IFERROR(VLOOKUP($C:$C,Structure!$A:$AJ,W$1,0)*15,0),IFERROR(VLOOKUP($D:$D,Structure!$A:$AJ,W$1,0)*15,0),IFERROR(VLOOKUP($E:$E,Structure!$A:$AJ,W$1,0)*15,0))</f>
        <v>0</v>
      </c>
      <c r="X89" s="13">
        <f>SUM(IFERROR(VLOOKUP($C:$C,Structure!$A:$AJ,X$1,0)*15,0),IFERROR(VLOOKUP($D:$D,Structure!$A:$AJ,X$1,0)*15,0),IFERROR(VLOOKUP($E:$E,Structure!$A:$AJ,X$1,0)*15,0))</f>
        <v>0</v>
      </c>
      <c r="Y89" s="13">
        <f>SUM(IFERROR(VLOOKUP($C:$C,Structure!$A:$AJ,Y$1,0)*15,0),IFERROR(VLOOKUP($D:$D,Structure!$A:$AJ,Y$1,0)*15,0),IFERROR(VLOOKUP($E:$E,Structure!$A:$AJ,Y$1,0)*15,0))</f>
        <v>0</v>
      </c>
      <c r="Z89" s="13">
        <f>SUM(IFERROR(VLOOKUP($C:$C,Structure!$A:$AJ,Z$1,0)*15,0),IFERROR(VLOOKUP($D:$D,Structure!$A:$AJ,Z$1,0)*15,0),IFERROR(VLOOKUP($E:$E,Structure!$A:$AJ,Z$1,0)*15,0))</f>
        <v>0</v>
      </c>
      <c r="AA89" s="13">
        <f>SUM(IFERROR(VLOOKUP($C:$C,Structure!$A:$AJ,AA$1,0)*15,0),IFERROR(VLOOKUP($D:$D,Structure!$A:$AJ,AA$1,0)*15,0),IFERROR(VLOOKUP($E:$E,Structure!$A:$AJ,AA$1,0)*15,0))</f>
        <v>45</v>
      </c>
      <c r="AB89" s="13">
        <f>SUM(IFERROR(VLOOKUP($C:$C,Structure!$A:$AJ,AB$1,0)*15,0),IFERROR(VLOOKUP($D:$D,Structure!$A:$AJ,AB$1,0)*15,0),IFERROR(VLOOKUP($E:$E,Structure!$A:$AJ,AB$1,0)*15,0))</f>
        <v>0</v>
      </c>
      <c r="AC89" s="13">
        <f>SUM(IFERROR(VLOOKUP($C:$C,Structure!$A:$AJ,AC$1,0)*15,0),IFERROR(VLOOKUP($D:$D,Structure!$A:$AJ,AC$1,0)*15,0),IFERROR(VLOOKUP($E:$E,Structure!$A:$AJ,AC$1,0)*15,0))</f>
        <v>0</v>
      </c>
      <c r="AD89" s="13">
        <f>SUM(IFERROR(VLOOKUP($C:$C,Structure!$A:$AJ,AD$1,0)*15,0),IFERROR(VLOOKUP($D:$D,Structure!$A:$AJ,AD$1,0)*15,0),IFERROR(VLOOKUP($E:$E,Structure!$A:$AJ,AD$1,0)*15,0))</f>
        <v>0</v>
      </c>
      <c r="AE89" s="13">
        <f>SUM(IFERROR(VLOOKUP($C:$C,Structure!$A:$AJ,AE$1,0)*15,0),IFERROR(VLOOKUP($D:$D,Structure!$A:$AJ,AE$1,0)*15,0),IFERROR(VLOOKUP($E:$E,Structure!$A:$AJ,AE$1,0)*15,0))</f>
        <v>0</v>
      </c>
      <c r="AF89" s="13">
        <f>SUM(IFERROR(VLOOKUP($C:$C,Structure!$A:$AJ,AF$1,0)*15,0),IFERROR(VLOOKUP($D:$D,Structure!$A:$AJ,AF$1,0)*15,0),IFERROR(VLOOKUP($E:$E,Structure!$A:$AJ,AF$1,0)*15,0))</f>
        <v>0</v>
      </c>
      <c r="AG89" s="13">
        <f>SUM(IFERROR(VLOOKUP($C:$C,Structure!$A:$AJ,AG$1,0)*15,0),IFERROR(VLOOKUP($D:$D,Structure!$A:$AJ,AG$1,0)*15,0),IFERROR(VLOOKUP($E:$E,Structure!$A:$AJ,AG$1,0)*15,0))</f>
        <v>0</v>
      </c>
      <c r="AH89" s="13">
        <f>SUM(IFERROR(VLOOKUP($C:$C,Structure!$A:$AJ,AH$1,0)*15,0),IFERROR(VLOOKUP($D:$D,Structure!$A:$AJ,AH$1,0)*15,0),IFERROR(VLOOKUP($E:$E,Structure!$A:$AJ,AH$1,0)*15,0))</f>
        <v>0</v>
      </c>
      <c r="AI89" s="13">
        <f>SUM(IFERROR(VLOOKUP($C:$C,Structure!$A:$AJ,AI$1,0)*15,0),IFERROR(VLOOKUP($D:$D,Structure!$A:$AJ,AI$1,0)*15,0),IFERROR(VLOOKUP($E:$E,Structure!$A:$AJ,AI$1,0)*15,0))</f>
        <v>0</v>
      </c>
      <c r="AJ89" s="13">
        <f>SUM(IFERROR(VLOOKUP($C:$C,Structure!$A:$AJ,AJ$1,0)*15,0),IFERROR(VLOOKUP($D:$D,Structure!$A:$AJ,AJ$1,0)*15,0),IFERROR(VLOOKUP($E:$E,Structure!$A:$AJ,AJ$1,0)*15,0))</f>
        <v>30</v>
      </c>
      <c r="AK89" s="13">
        <f>SUM(IFERROR(VLOOKUP($C:$C,Structure!$A:$AJ,AK$1,0)*15,0),IFERROR(VLOOKUP($D:$D,Structure!$A:$AJ,AK$1,0)*15,0),IFERROR(VLOOKUP($E:$E,Structure!$A:$AJ,AK$1,0)*15,0))</f>
        <v>15</v>
      </c>
      <c r="AL89" s="13">
        <f>SUM(IFERROR(VLOOKUP($C:$C,Structure!$A:$AJ,AL$1,0)*15,0),IFERROR(VLOOKUP($D:$D,Structure!$A:$AJ,AL$1,0)*15,0),IFERROR(VLOOKUP($E:$E,Structure!$A:$AJ,AL$1,0)*15,0))</f>
        <v>0</v>
      </c>
      <c r="AM89" s="13">
        <f>SUM(IFERROR(VLOOKUP($C:$C,Structure!$A:$AJ,AM$1,0)*15,0),IFERROR(VLOOKUP($D:$D,Structure!$A:$AJ,AM$1,0)*15,0),IFERROR(VLOOKUP($E:$E,Structure!$A:$AJ,AM$1,0)*15,0))</f>
        <v>0</v>
      </c>
      <c r="AN89" s="13">
        <f>SUM(IFERROR(VLOOKUP($C:$C,Structure!$A:$AJ,AN$1,0)*15,0),IFERROR(VLOOKUP($D:$D,Structure!$A:$AJ,AN$1,0)*15,0),IFERROR(VLOOKUP($E:$E,Structure!$A:$AJ,AN$1,0)*15,0))</f>
        <v>0</v>
      </c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3"/>
      <c r="BZ89" s="4">
        <f>BZ88+AQ89-F89</f>
        <v>0</v>
      </c>
      <c r="CA89" s="4">
        <f>CA88+AR89-G89</f>
        <v>0</v>
      </c>
      <c r="CB89" s="4">
        <f>CB88+AS89-H89</f>
        <v>0</v>
      </c>
      <c r="CC89" s="4">
        <f>CC88+AT89-I89</f>
        <v>0</v>
      </c>
      <c r="CD89" s="4">
        <f>CD88+AU89-J89</f>
        <v>0</v>
      </c>
      <c r="CE89" s="4">
        <f>CE88+AV89-K89</f>
        <v>0</v>
      </c>
      <c r="CF89" s="4">
        <f>CF88+AW89-L89</f>
        <v>0</v>
      </c>
      <c r="CG89" s="4">
        <f>CG88+AX89-M89</f>
        <v>0</v>
      </c>
      <c r="CH89" s="4">
        <f>CH88+AY89-N89</f>
        <v>0</v>
      </c>
      <c r="CI89" s="4">
        <f>CI88+AZ89-O89</f>
        <v>0</v>
      </c>
      <c r="CJ89" s="4">
        <f>CJ88+BA89-P89</f>
        <v>0</v>
      </c>
      <c r="CK89" s="4">
        <f>CK88+BB89-Q89</f>
        <v>0</v>
      </c>
      <c r="CL89" s="4">
        <f>CL88+BC89-R89</f>
        <v>0</v>
      </c>
      <c r="CM89" s="4">
        <f>CM88+BD89-S89</f>
        <v>0</v>
      </c>
      <c r="CN89" s="4">
        <f>CN88+BE89-T89</f>
        <v>0</v>
      </c>
      <c r="CO89" s="4">
        <f>CO88+BF89-U89</f>
        <v>0</v>
      </c>
      <c r="CP89" s="4">
        <f>CP88+BG89-V89</f>
        <v>0</v>
      </c>
      <c r="CQ89" s="4">
        <f>CQ88+BH89-W89</f>
        <v>0</v>
      </c>
      <c r="CR89" s="4">
        <f>CR88+BI89-X89</f>
        <v>0</v>
      </c>
      <c r="CS89" s="4">
        <f>CS88+BJ89-Y89</f>
        <v>0</v>
      </c>
      <c r="CT89" s="4">
        <f>CT88+BK89-Z89</f>
        <v>0</v>
      </c>
      <c r="CU89" s="4">
        <f>CU88+BL89-AA89</f>
        <v>-3335</v>
      </c>
      <c r="CV89" s="4">
        <f>CV88+BM89-AB89</f>
        <v>-225</v>
      </c>
      <c r="CW89" s="4">
        <f>CW88+BN89-AC89</f>
        <v>-255</v>
      </c>
      <c r="CX89" s="4">
        <f>CX88+BO89-AD89</f>
        <v>0</v>
      </c>
      <c r="CY89" s="4">
        <f>CY88+BP89-AE89</f>
        <v>0</v>
      </c>
      <c r="CZ89" s="4">
        <f>CZ88+BQ89-AF89</f>
        <v>-145</v>
      </c>
      <c r="DA89" s="4">
        <f>DA88+BR89-AG89</f>
        <v>0</v>
      </c>
      <c r="DB89" s="4">
        <f>DB88+BS89-AH89</f>
        <v>0</v>
      </c>
      <c r="DC89" s="4">
        <f>DC88+BT89-AI89</f>
        <v>0</v>
      </c>
      <c r="DD89" s="4">
        <f>DD88+BU89-AJ89</f>
        <v>-2335</v>
      </c>
      <c r="DE89" s="4">
        <f>DE88+BV89-AK89</f>
        <v>-1020</v>
      </c>
      <c r="DF89" s="4">
        <f>DF88+BW89-AL89</f>
        <v>0</v>
      </c>
      <c r="DG89" s="4">
        <f>DG88+BX89-AM89</f>
        <v>-235</v>
      </c>
      <c r="DH89" s="4">
        <f>DH88+BY89-AN89</f>
        <v>0</v>
      </c>
    </row>
    <row r="90" spans="1:112" x14ac:dyDescent="0.25">
      <c r="A90" s="6">
        <v>46182</v>
      </c>
      <c r="B90" s="7">
        <v>0.95833333312475588</v>
      </c>
      <c r="C90" s="3" t="s">
        <v>3</v>
      </c>
      <c r="D90" s="3" t="s">
        <v>6</v>
      </c>
      <c r="E90" s="3" t="s">
        <v>2</v>
      </c>
      <c r="F90" s="13">
        <f>SUM(IFERROR(VLOOKUP($C:$C,Structure!$A:$AJ,F$1,0)*15,0),IFERROR(VLOOKUP($D:$D,Structure!$A:$AJ,F$1,0)*15,0),IFERROR(VLOOKUP($E:$E,Structure!$A:$AJ,F$1,0)*15,0))</f>
        <v>0</v>
      </c>
      <c r="G90" s="13">
        <f>SUM(IFERROR(VLOOKUP($C:$C,Structure!$A:$AJ,G$1,0)*15,0),IFERROR(VLOOKUP($D:$D,Structure!$A:$AJ,G$1,0)*15,0),IFERROR(VLOOKUP($E:$E,Structure!$A:$AJ,G$1,0)*15,0))</f>
        <v>0</v>
      </c>
      <c r="H90" s="13">
        <f>SUM(IFERROR(VLOOKUP($C:$C,Structure!$A:$AJ,H$1,0)*15,0),IFERROR(VLOOKUP($D:$D,Structure!$A:$AJ,H$1,0)*15,0),IFERROR(VLOOKUP($E:$E,Structure!$A:$AJ,H$1,0)*15,0))</f>
        <v>0</v>
      </c>
      <c r="I90" s="13">
        <f>SUM(IFERROR(VLOOKUP($C:$C,Structure!$A:$AJ,I$1,0)*15,0),IFERROR(VLOOKUP($D:$D,Structure!$A:$AJ,I$1,0)*15,0),IFERROR(VLOOKUP($E:$E,Structure!$A:$AJ,I$1,0)*15,0))</f>
        <v>0</v>
      </c>
      <c r="J90" s="13">
        <f>SUM(IFERROR(VLOOKUP($C:$C,Structure!$A:$AJ,J$1,0)*15,0),IFERROR(VLOOKUP($D:$D,Structure!$A:$AJ,J$1,0)*15,0),IFERROR(VLOOKUP($E:$E,Structure!$A:$AJ,J$1,0)*15,0))</f>
        <v>0</v>
      </c>
      <c r="K90" s="13">
        <f>SUM(IFERROR(VLOOKUP($C:$C,Structure!$A:$AJ,K$1,0)*15,0),IFERROR(VLOOKUP($D:$D,Structure!$A:$AJ,K$1,0)*15,0),IFERROR(VLOOKUP($E:$E,Structure!$A:$AJ,K$1,0)*15,0))</f>
        <v>0</v>
      </c>
      <c r="L90" s="13">
        <f>SUM(IFERROR(VLOOKUP($C:$C,Structure!$A:$AJ,L$1,0)*15,0),IFERROR(VLOOKUP($D:$D,Structure!$A:$AJ,L$1,0)*15,0),IFERROR(VLOOKUP($E:$E,Structure!$A:$AJ,L$1,0)*15,0))</f>
        <v>0</v>
      </c>
      <c r="M90" s="13">
        <f>SUM(IFERROR(VLOOKUP($C:$C,Structure!$A:$AJ,M$1,0)*15,0),IFERROR(VLOOKUP($D:$D,Structure!$A:$AJ,M$1,0)*15,0),IFERROR(VLOOKUP($E:$E,Structure!$A:$AJ,M$1,0)*15,0))</f>
        <v>0</v>
      </c>
      <c r="N90" s="13">
        <f>SUM(IFERROR(VLOOKUP($C:$C,Structure!$A:$AJ,N$1,0)*15,0),IFERROR(VLOOKUP($D:$D,Structure!$A:$AJ,N$1,0)*15,0),IFERROR(VLOOKUP($E:$E,Structure!$A:$AJ,N$1,0)*15,0))</f>
        <v>0</v>
      </c>
      <c r="O90" s="13">
        <f>SUM(IFERROR(VLOOKUP($C:$C,Structure!$A:$AJ,O$1,0)*15,0),IFERROR(VLOOKUP($D:$D,Structure!$A:$AJ,O$1,0)*15,0),IFERROR(VLOOKUP($E:$E,Structure!$A:$AJ,O$1,0)*15,0))</f>
        <v>0</v>
      </c>
      <c r="P90" s="13">
        <f>SUM(IFERROR(VLOOKUP($C:$C,Structure!$A:$AJ,P$1,0)*15,0),IFERROR(VLOOKUP($D:$D,Structure!$A:$AJ,P$1,0)*15,0),IFERROR(VLOOKUP($E:$E,Structure!$A:$AJ,P$1,0)*15,0))</f>
        <v>0</v>
      </c>
      <c r="Q90" s="13">
        <f>SUM(IFERROR(VLOOKUP($C:$C,Structure!$A:$AJ,Q$1,0)*15,0),IFERROR(VLOOKUP($D:$D,Structure!$A:$AJ,Q$1,0)*15,0),IFERROR(VLOOKUP($E:$E,Structure!$A:$AJ,Q$1,0)*15,0))</f>
        <v>0</v>
      </c>
      <c r="R90" s="13">
        <f>SUM(IFERROR(VLOOKUP($C:$C,Structure!$A:$AJ,R$1,0)*15,0),IFERROR(VLOOKUP($D:$D,Structure!$A:$AJ,R$1,0)*15,0),IFERROR(VLOOKUP($E:$E,Structure!$A:$AJ,R$1,0)*15,0))</f>
        <v>0</v>
      </c>
      <c r="S90" s="13">
        <f>SUM(IFERROR(VLOOKUP($C:$C,Structure!$A:$AJ,S$1,0)*15,0),IFERROR(VLOOKUP($D:$D,Structure!$A:$AJ,S$1,0)*15,0),IFERROR(VLOOKUP($E:$E,Structure!$A:$AJ,S$1,0)*15,0))</f>
        <v>0</v>
      </c>
      <c r="T90" s="13">
        <f>SUM(IFERROR(VLOOKUP($C:$C,Structure!$A:$AJ,T$1,0)*15,0),IFERROR(VLOOKUP($D:$D,Structure!$A:$AJ,T$1,0)*15,0),IFERROR(VLOOKUP($E:$E,Structure!$A:$AJ,T$1,0)*15,0))</f>
        <v>0</v>
      </c>
      <c r="U90" s="13">
        <f>SUM(IFERROR(VLOOKUP($C:$C,Structure!$A:$AJ,U$1,0)*15,0),IFERROR(VLOOKUP($D:$D,Structure!$A:$AJ,U$1,0)*15,0),IFERROR(VLOOKUP($E:$E,Structure!$A:$AJ,U$1,0)*15,0))</f>
        <v>0</v>
      </c>
      <c r="V90" s="13">
        <f>SUM(IFERROR(VLOOKUP($C:$C,Structure!$A:$AJ,V$1,0)*15,0),IFERROR(VLOOKUP($D:$D,Structure!$A:$AJ,V$1,0)*15,0),IFERROR(VLOOKUP($E:$E,Structure!$A:$AJ,V$1,0)*15,0))</f>
        <v>0</v>
      </c>
      <c r="W90" s="13">
        <f>SUM(IFERROR(VLOOKUP($C:$C,Structure!$A:$AJ,W$1,0)*15,0),IFERROR(VLOOKUP($D:$D,Structure!$A:$AJ,W$1,0)*15,0),IFERROR(VLOOKUP($E:$E,Structure!$A:$AJ,W$1,0)*15,0))</f>
        <v>0</v>
      </c>
      <c r="X90" s="13">
        <f>SUM(IFERROR(VLOOKUP($C:$C,Structure!$A:$AJ,X$1,0)*15,0),IFERROR(VLOOKUP($D:$D,Structure!$A:$AJ,X$1,0)*15,0),IFERROR(VLOOKUP($E:$E,Structure!$A:$AJ,X$1,0)*15,0))</f>
        <v>0</v>
      </c>
      <c r="Y90" s="13">
        <f>SUM(IFERROR(VLOOKUP($C:$C,Structure!$A:$AJ,Y$1,0)*15,0),IFERROR(VLOOKUP($D:$D,Structure!$A:$AJ,Y$1,0)*15,0),IFERROR(VLOOKUP($E:$E,Structure!$A:$AJ,Y$1,0)*15,0))</f>
        <v>0</v>
      </c>
      <c r="Z90" s="13">
        <f>SUM(IFERROR(VLOOKUP($C:$C,Structure!$A:$AJ,Z$1,0)*15,0),IFERROR(VLOOKUP($D:$D,Structure!$A:$AJ,Z$1,0)*15,0),IFERROR(VLOOKUP($E:$E,Structure!$A:$AJ,Z$1,0)*15,0))</f>
        <v>0</v>
      </c>
      <c r="AA90" s="13">
        <f>SUM(IFERROR(VLOOKUP($C:$C,Structure!$A:$AJ,AA$1,0)*15,0),IFERROR(VLOOKUP($D:$D,Structure!$A:$AJ,AA$1,0)*15,0),IFERROR(VLOOKUP($E:$E,Structure!$A:$AJ,AA$1,0)*15,0))</f>
        <v>45</v>
      </c>
      <c r="AB90" s="13">
        <f>SUM(IFERROR(VLOOKUP($C:$C,Structure!$A:$AJ,AB$1,0)*15,0),IFERROR(VLOOKUP($D:$D,Structure!$A:$AJ,AB$1,0)*15,0),IFERROR(VLOOKUP($E:$E,Structure!$A:$AJ,AB$1,0)*15,0))</f>
        <v>0</v>
      </c>
      <c r="AC90" s="13">
        <f>SUM(IFERROR(VLOOKUP($C:$C,Structure!$A:$AJ,AC$1,0)*15,0),IFERROR(VLOOKUP($D:$D,Structure!$A:$AJ,AC$1,0)*15,0),IFERROR(VLOOKUP($E:$E,Structure!$A:$AJ,AC$1,0)*15,0))</f>
        <v>0</v>
      </c>
      <c r="AD90" s="13">
        <f>SUM(IFERROR(VLOOKUP($C:$C,Structure!$A:$AJ,AD$1,0)*15,0),IFERROR(VLOOKUP($D:$D,Structure!$A:$AJ,AD$1,0)*15,0),IFERROR(VLOOKUP($E:$E,Structure!$A:$AJ,AD$1,0)*15,0))</f>
        <v>0</v>
      </c>
      <c r="AE90" s="13">
        <f>SUM(IFERROR(VLOOKUP($C:$C,Structure!$A:$AJ,AE$1,0)*15,0),IFERROR(VLOOKUP($D:$D,Structure!$A:$AJ,AE$1,0)*15,0),IFERROR(VLOOKUP($E:$E,Structure!$A:$AJ,AE$1,0)*15,0))</f>
        <v>0</v>
      </c>
      <c r="AF90" s="13">
        <f>SUM(IFERROR(VLOOKUP($C:$C,Structure!$A:$AJ,AF$1,0)*15,0),IFERROR(VLOOKUP($D:$D,Structure!$A:$AJ,AF$1,0)*15,0),IFERROR(VLOOKUP($E:$E,Structure!$A:$AJ,AF$1,0)*15,0))</f>
        <v>0</v>
      </c>
      <c r="AG90" s="13">
        <f>SUM(IFERROR(VLOOKUP($C:$C,Structure!$A:$AJ,AG$1,0)*15,0),IFERROR(VLOOKUP($D:$D,Structure!$A:$AJ,AG$1,0)*15,0),IFERROR(VLOOKUP($E:$E,Structure!$A:$AJ,AG$1,0)*15,0))</f>
        <v>0</v>
      </c>
      <c r="AH90" s="13">
        <f>SUM(IFERROR(VLOOKUP($C:$C,Structure!$A:$AJ,AH$1,0)*15,0),IFERROR(VLOOKUP($D:$D,Structure!$A:$AJ,AH$1,0)*15,0),IFERROR(VLOOKUP($E:$E,Structure!$A:$AJ,AH$1,0)*15,0))</f>
        <v>0</v>
      </c>
      <c r="AI90" s="13">
        <f>SUM(IFERROR(VLOOKUP($C:$C,Structure!$A:$AJ,AI$1,0)*15,0),IFERROR(VLOOKUP($D:$D,Structure!$A:$AJ,AI$1,0)*15,0),IFERROR(VLOOKUP($E:$E,Structure!$A:$AJ,AI$1,0)*15,0))</f>
        <v>0</v>
      </c>
      <c r="AJ90" s="13">
        <f>SUM(IFERROR(VLOOKUP($C:$C,Structure!$A:$AJ,AJ$1,0)*15,0),IFERROR(VLOOKUP($D:$D,Structure!$A:$AJ,AJ$1,0)*15,0),IFERROR(VLOOKUP($E:$E,Structure!$A:$AJ,AJ$1,0)*15,0))</f>
        <v>30</v>
      </c>
      <c r="AK90" s="13">
        <f>SUM(IFERROR(VLOOKUP($C:$C,Structure!$A:$AJ,AK$1,0)*15,0),IFERROR(VLOOKUP($D:$D,Structure!$A:$AJ,AK$1,0)*15,0),IFERROR(VLOOKUP($E:$E,Structure!$A:$AJ,AK$1,0)*15,0))</f>
        <v>15</v>
      </c>
      <c r="AL90" s="13">
        <f>SUM(IFERROR(VLOOKUP($C:$C,Structure!$A:$AJ,AL$1,0)*15,0),IFERROR(VLOOKUP($D:$D,Structure!$A:$AJ,AL$1,0)*15,0),IFERROR(VLOOKUP($E:$E,Structure!$A:$AJ,AL$1,0)*15,0))</f>
        <v>0</v>
      </c>
      <c r="AM90" s="13">
        <f>SUM(IFERROR(VLOOKUP($C:$C,Structure!$A:$AJ,AM$1,0)*15,0),IFERROR(VLOOKUP($D:$D,Structure!$A:$AJ,AM$1,0)*15,0),IFERROR(VLOOKUP($E:$E,Structure!$A:$AJ,AM$1,0)*15,0))</f>
        <v>0</v>
      </c>
      <c r="AN90" s="13">
        <f>SUM(IFERROR(VLOOKUP($C:$C,Structure!$A:$AJ,AN$1,0)*15,0),IFERROR(VLOOKUP($D:$D,Structure!$A:$AJ,AN$1,0)*15,0),IFERROR(VLOOKUP($E:$E,Structure!$A:$AJ,AN$1,0)*15,0))</f>
        <v>0</v>
      </c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3"/>
      <c r="BZ90" s="4">
        <f>BZ89+AQ90-F90</f>
        <v>0</v>
      </c>
      <c r="CA90" s="4">
        <f>CA89+AR90-G90</f>
        <v>0</v>
      </c>
      <c r="CB90" s="4">
        <f>CB89+AS90-H90</f>
        <v>0</v>
      </c>
      <c r="CC90" s="4">
        <f>CC89+AT90-I90</f>
        <v>0</v>
      </c>
      <c r="CD90" s="4">
        <f>CD89+AU90-J90</f>
        <v>0</v>
      </c>
      <c r="CE90" s="4">
        <f>CE89+AV90-K90</f>
        <v>0</v>
      </c>
      <c r="CF90" s="4">
        <f>CF89+AW90-L90</f>
        <v>0</v>
      </c>
      <c r="CG90" s="4">
        <f>CG89+AX90-M90</f>
        <v>0</v>
      </c>
      <c r="CH90" s="4">
        <f>CH89+AY90-N90</f>
        <v>0</v>
      </c>
      <c r="CI90" s="4">
        <f>CI89+AZ90-O90</f>
        <v>0</v>
      </c>
      <c r="CJ90" s="4">
        <f>CJ89+BA90-P90</f>
        <v>0</v>
      </c>
      <c r="CK90" s="4">
        <f>CK89+BB90-Q90</f>
        <v>0</v>
      </c>
      <c r="CL90" s="4">
        <f>CL89+BC90-R90</f>
        <v>0</v>
      </c>
      <c r="CM90" s="4">
        <f>CM89+BD90-S90</f>
        <v>0</v>
      </c>
      <c r="CN90" s="4">
        <f>CN89+BE90-T90</f>
        <v>0</v>
      </c>
      <c r="CO90" s="4">
        <f>CO89+BF90-U90</f>
        <v>0</v>
      </c>
      <c r="CP90" s="4">
        <f>CP89+BG90-V90</f>
        <v>0</v>
      </c>
      <c r="CQ90" s="4">
        <f>CQ89+BH90-W90</f>
        <v>0</v>
      </c>
      <c r="CR90" s="4">
        <f>CR89+BI90-X90</f>
        <v>0</v>
      </c>
      <c r="CS90" s="4">
        <f>CS89+BJ90-Y90</f>
        <v>0</v>
      </c>
      <c r="CT90" s="4">
        <f>CT89+BK90-Z90</f>
        <v>0</v>
      </c>
      <c r="CU90" s="4">
        <f>CU89+BL90-AA90</f>
        <v>-3380</v>
      </c>
      <c r="CV90" s="4">
        <f>CV89+BM90-AB90</f>
        <v>-225</v>
      </c>
      <c r="CW90" s="4">
        <f>CW89+BN90-AC90</f>
        <v>-255</v>
      </c>
      <c r="CX90" s="4">
        <f>CX89+BO90-AD90</f>
        <v>0</v>
      </c>
      <c r="CY90" s="4">
        <f>CY89+BP90-AE90</f>
        <v>0</v>
      </c>
      <c r="CZ90" s="4">
        <f>CZ89+BQ90-AF90</f>
        <v>-145</v>
      </c>
      <c r="DA90" s="4">
        <f>DA89+BR90-AG90</f>
        <v>0</v>
      </c>
      <c r="DB90" s="4">
        <f>DB89+BS90-AH90</f>
        <v>0</v>
      </c>
      <c r="DC90" s="4">
        <f>DC89+BT90-AI90</f>
        <v>0</v>
      </c>
      <c r="DD90" s="4">
        <f>DD89+BU90-AJ90</f>
        <v>-2365</v>
      </c>
      <c r="DE90" s="4">
        <f>DE89+BV90-AK90</f>
        <v>-1035</v>
      </c>
      <c r="DF90" s="4">
        <f>DF89+BW90-AL90</f>
        <v>0</v>
      </c>
      <c r="DG90" s="4">
        <f>DG89+BX90-AM90</f>
        <v>-235</v>
      </c>
      <c r="DH90" s="4">
        <f>DH89+BY90-AN90</f>
        <v>0</v>
      </c>
    </row>
    <row r="91" spans="1:112" x14ac:dyDescent="0.25">
      <c r="A91" s="6">
        <v>46182</v>
      </c>
      <c r="B91" s="7">
        <v>0.99999999978899723</v>
      </c>
      <c r="C91" s="3" t="s">
        <v>3</v>
      </c>
      <c r="D91" s="3" t="s">
        <v>6</v>
      </c>
      <c r="E91" s="3" t="s">
        <v>2</v>
      </c>
      <c r="F91" s="13">
        <f>SUM(IFERROR(VLOOKUP($C:$C,Structure!$A:$AJ,F$1,0)*15,0),IFERROR(VLOOKUP($D:$D,Structure!$A:$AJ,F$1,0)*15,0),IFERROR(VLOOKUP($E:$E,Structure!$A:$AJ,F$1,0)*15,0))</f>
        <v>0</v>
      </c>
      <c r="G91" s="13">
        <f>SUM(IFERROR(VLOOKUP($C:$C,Structure!$A:$AJ,G$1,0)*15,0),IFERROR(VLOOKUP($D:$D,Structure!$A:$AJ,G$1,0)*15,0),IFERROR(VLOOKUP($E:$E,Structure!$A:$AJ,G$1,0)*15,0))</f>
        <v>0</v>
      </c>
      <c r="H91" s="13">
        <f>SUM(IFERROR(VLOOKUP($C:$C,Structure!$A:$AJ,H$1,0)*15,0),IFERROR(VLOOKUP($D:$D,Structure!$A:$AJ,H$1,0)*15,0),IFERROR(VLOOKUP($E:$E,Structure!$A:$AJ,H$1,0)*15,0))</f>
        <v>0</v>
      </c>
      <c r="I91" s="13">
        <f>SUM(IFERROR(VLOOKUP($C:$C,Structure!$A:$AJ,I$1,0)*15,0),IFERROR(VLOOKUP($D:$D,Structure!$A:$AJ,I$1,0)*15,0),IFERROR(VLOOKUP($E:$E,Structure!$A:$AJ,I$1,0)*15,0))</f>
        <v>0</v>
      </c>
      <c r="J91" s="13">
        <f>SUM(IFERROR(VLOOKUP($C:$C,Structure!$A:$AJ,J$1,0)*15,0),IFERROR(VLOOKUP($D:$D,Structure!$A:$AJ,J$1,0)*15,0),IFERROR(VLOOKUP($E:$E,Structure!$A:$AJ,J$1,0)*15,0))</f>
        <v>0</v>
      </c>
      <c r="K91" s="13">
        <f>SUM(IFERROR(VLOOKUP($C:$C,Structure!$A:$AJ,K$1,0)*15,0),IFERROR(VLOOKUP($D:$D,Structure!$A:$AJ,K$1,0)*15,0),IFERROR(VLOOKUP($E:$E,Structure!$A:$AJ,K$1,0)*15,0))</f>
        <v>0</v>
      </c>
      <c r="L91" s="13">
        <f>SUM(IFERROR(VLOOKUP($C:$C,Structure!$A:$AJ,L$1,0)*15,0),IFERROR(VLOOKUP($D:$D,Structure!$A:$AJ,L$1,0)*15,0),IFERROR(VLOOKUP($E:$E,Structure!$A:$AJ,L$1,0)*15,0))</f>
        <v>0</v>
      </c>
      <c r="M91" s="13">
        <f>SUM(IFERROR(VLOOKUP($C:$C,Structure!$A:$AJ,M$1,0)*15,0),IFERROR(VLOOKUP($D:$D,Structure!$A:$AJ,M$1,0)*15,0),IFERROR(VLOOKUP($E:$E,Structure!$A:$AJ,M$1,0)*15,0))</f>
        <v>0</v>
      </c>
      <c r="N91" s="13">
        <f>SUM(IFERROR(VLOOKUP($C:$C,Structure!$A:$AJ,N$1,0)*15,0),IFERROR(VLOOKUP($D:$D,Structure!$A:$AJ,N$1,0)*15,0),IFERROR(VLOOKUP($E:$E,Structure!$A:$AJ,N$1,0)*15,0))</f>
        <v>0</v>
      </c>
      <c r="O91" s="13">
        <f>SUM(IFERROR(VLOOKUP($C:$C,Structure!$A:$AJ,O$1,0)*15,0),IFERROR(VLOOKUP($D:$D,Structure!$A:$AJ,O$1,0)*15,0),IFERROR(VLOOKUP($E:$E,Structure!$A:$AJ,O$1,0)*15,0))</f>
        <v>0</v>
      </c>
      <c r="P91" s="13">
        <f>SUM(IFERROR(VLOOKUP($C:$C,Structure!$A:$AJ,P$1,0)*15,0),IFERROR(VLOOKUP($D:$D,Structure!$A:$AJ,P$1,0)*15,0),IFERROR(VLOOKUP($E:$E,Structure!$A:$AJ,P$1,0)*15,0))</f>
        <v>0</v>
      </c>
      <c r="Q91" s="13">
        <f>SUM(IFERROR(VLOOKUP($C:$C,Structure!$A:$AJ,Q$1,0)*15,0),IFERROR(VLOOKUP($D:$D,Structure!$A:$AJ,Q$1,0)*15,0),IFERROR(VLOOKUP($E:$E,Structure!$A:$AJ,Q$1,0)*15,0))</f>
        <v>0</v>
      </c>
      <c r="R91" s="13">
        <f>SUM(IFERROR(VLOOKUP($C:$C,Structure!$A:$AJ,R$1,0)*15,0),IFERROR(VLOOKUP($D:$D,Structure!$A:$AJ,R$1,0)*15,0),IFERROR(VLOOKUP($E:$E,Structure!$A:$AJ,R$1,0)*15,0))</f>
        <v>0</v>
      </c>
      <c r="S91" s="13">
        <f>SUM(IFERROR(VLOOKUP($C:$C,Structure!$A:$AJ,S$1,0)*15,0),IFERROR(VLOOKUP($D:$D,Structure!$A:$AJ,S$1,0)*15,0),IFERROR(VLOOKUP($E:$E,Structure!$A:$AJ,S$1,0)*15,0))</f>
        <v>0</v>
      </c>
      <c r="T91" s="13">
        <f>SUM(IFERROR(VLOOKUP($C:$C,Structure!$A:$AJ,T$1,0)*15,0),IFERROR(VLOOKUP($D:$D,Structure!$A:$AJ,T$1,0)*15,0),IFERROR(VLOOKUP($E:$E,Structure!$A:$AJ,T$1,0)*15,0))</f>
        <v>0</v>
      </c>
      <c r="U91" s="13">
        <f>SUM(IFERROR(VLOOKUP($C:$C,Structure!$A:$AJ,U$1,0)*15,0),IFERROR(VLOOKUP($D:$D,Structure!$A:$AJ,U$1,0)*15,0),IFERROR(VLOOKUP($E:$E,Structure!$A:$AJ,U$1,0)*15,0))</f>
        <v>0</v>
      </c>
      <c r="V91" s="13">
        <f>SUM(IFERROR(VLOOKUP($C:$C,Structure!$A:$AJ,V$1,0)*15,0),IFERROR(VLOOKUP($D:$D,Structure!$A:$AJ,V$1,0)*15,0),IFERROR(VLOOKUP($E:$E,Structure!$A:$AJ,V$1,0)*15,0))</f>
        <v>0</v>
      </c>
      <c r="W91" s="13">
        <f>SUM(IFERROR(VLOOKUP($C:$C,Structure!$A:$AJ,W$1,0)*15,0),IFERROR(VLOOKUP($D:$D,Structure!$A:$AJ,W$1,0)*15,0),IFERROR(VLOOKUP($E:$E,Structure!$A:$AJ,W$1,0)*15,0))</f>
        <v>0</v>
      </c>
      <c r="X91" s="13">
        <f>SUM(IFERROR(VLOOKUP($C:$C,Structure!$A:$AJ,X$1,0)*15,0),IFERROR(VLOOKUP($D:$D,Structure!$A:$AJ,X$1,0)*15,0),IFERROR(VLOOKUP($E:$E,Structure!$A:$AJ,X$1,0)*15,0))</f>
        <v>0</v>
      </c>
      <c r="Y91" s="13">
        <f>SUM(IFERROR(VLOOKUP($C:$C,Structure!$A:$AJ,Y$1,0)*15,0),IFERROR(VLOOKUP($D:$D,Structure!$A:$AJ,Y$1,0)*15,0),IFERROR(VLOOKUP($E:$E,Structure!$A:$AJ,Y$1,0)*15,0))</f>
        <v>0</v>
      </c>
      <c r="Z91" s="13">
        <f>SUM(IFERROR(VLOOKUP($C:$C,Structure!$A:$AJ,Z$1,0)*15,0),IFERROR(VLOOKUP($D:$D,Structure!$A:$AJ,Z$1,0)*15,0),IFERROR(VLOOKUP($E:$E,Structure!$A:$AJ,Z$1,0)*15,0))</f>
        <v>0</v>
      </c>
      <c r="AA91" s="13">
        <f>SUM(IFERROR(VLOOKUP($C:$C,Structure!$A:$AJ,AA$1,0)*15,0),IFERROR(VLOOKUP($D:$D,Structure!$A:$AJ,AA$1,0)*15,0),IFERROR(VLOOKUP($E:$E,Structure!$A:$AJ,AA$1,0)*15,0))</f>
        <v>45</v>
      </c>
      <c r="AB91" s="13">
        <f>SUM(IFERROR(VLOOKUP($C:$C,Structure!$A:$AJ,AB$1,0)*15,0),IFERROR(VLOOKUP($D:$D,Structure!$A:$AJ,AB$1,0)*15,0),IFERROR(VLOOKUP($E:$E,Structure!$A:$AJ,AB$1,0)*15,0))</f>
        <v>0</v>
      </c>
      <c r="AC91" s="13">
        <f>SUM(IFERROR(VLOOKUP($C:$C,Structure!$A:$AJ,AC$1,0)*15,0),IFERROR(VLOOKUP($D:$D,Structure!$A:$AJ,AC$1,0)*15,0),IFERROR(VLOOKUP($E:$E,Structure!$A:$AJ,AC$1,0)*15,0))</f>
        <v>0</v>
      </c>
      <c r="AD91" s="13">
        <f>SUM(IFERROR(VLOOKUP($C:$C,Structure!$A:$AJ,AD$1,0)*15,0),IFERROR(VLOOKUP($D:$D,Structure!$A:$AJ,AD$1,0)*15,0),IFERROR(VLOOKUP($E:$E,Structure!$A:$AJ,AD$1,0)*15,0))</f>
        <v>0</v>
      </c>
      <c r="AE91" s="13">
        <f>SUM(IFERROR(VLOOKUP($C:$C,Structure!$A:$AJ,AE$1,0)*15,0),IFERROR(VLOOKUP($D:$D,Structure!$A:$AJ,AE$1,0)*15,0),IFERROR(VLOOKUP($E:$E,Structure!$A:$AJ,AE$1,0)*15,0))</f>
        <v>0</v>
      </c>
      <c r="AF91" s="13">
        <f>SUM(IFERROR(VLOOKUP($C:$C,Structure!$A:$AJ,AF$1,0)*15,0),IFERROR(VLOOKUP($D:$D,Structure!$A:$AJ,AF$1,0)*15,0),IFERROR(VLOOKUP($E:$E,Structure!$A:$AJ,AF$1,0)*15,0))</f>
        <v>0</v>
      </c>
      <c r="AG91" s="13">
        <f>SUM(IFERROR(VLOOKUP($C:$C,Structure!$A:$AJ,AG$1,0)*15,0),IFERROR(VLOOKUP($D:$D,Structure!$A:$AJ,AG$1,0)*15,0),IFERROR(VLOOKUP($E:$E,Structure!$A:$AJ,AG$1,0)*15,0))</f>
        <v>0</v>
      </c>
      <c r="AH91" s="13">
        <f>SUM(IFERROR(VLOOKUP($C:$C,Structure!$A:$AJ,AH$1,0)*15,0),IFERROR(VLOOKUP($D:$D,Structure!$A:$AJ,AH$1,0)*15,0),IFERROR(VLOOKUP($E:$E,Structure!$A:$AJ,AH$1,0)*15,0))</f>
        <v>0</v>
      </c>
      <c r="AI91" s="13">
        <f>SUM(IFERROR(VLOOKUP($C:$C,Structure!$A:$AJ,AI$1,0)*15,0),IFERROR(VLOOKUP($D:$D,Structure!$A:$AJ,AI$1,0)*15,0),IFERROR(VLOOKUP($E:$E,Structure!$A:$AJ,AI$1,0)*15,0))</f>
        <v>0</v>
      </c>
      <c r="AJ91" s="13">
        <f>SUM(IFERROR(VLOOKUP($C:$C,Structure!$A:$AJ,AJ$1,0)*15,0),IFERROR(VLOOKUP($D:$D,Structure!$A:$AJ,AJ$1,0)*15,0),IFERROR(VLOOKUP($E:$E,Structure!$A:$AJ,AJ$1,0)*15,0))</f>
        <v>30</v>
      </c>
      <c r="AK91" s="13">
        <f>SUM(IFERROR(VLOOKUP($C:$C,Structure!$A:$AJ,AK$1,0)*15,0),IFERROR(VLOOKUP($D:$D,Structure!$A:$AJ,AK$1,0)*15,0),IFERROR(VLOOKUP($E:$E,Structure!$A:$AJ,AK$1,0)*15,0))</f>
        <v>15</v>
      </c>
      <c r="AL91" s="13">
        <f>SUM(IFERROR(VLOOKUP($C:$C,Structure!$A:$AJ,AL$1,0)*15,0),IFERROR(VLOOKUP($D:$D,Structure!$A:$AJ,AL$1,0)*15,0),IFERROR(VLOOKUP($E:$E,Structure!$A:$AJ,AL$1,0)*15,0))</f>
        <v>0</v>
      </c>
      <c r="AM91" s="13">
        <f>SUM(IFERROR(VLOOKUP($C:$C,Structure!$A:$AJ,AM$1,0)*15,0),IFERROR(VLOOKUP($D:$D,Structure!$A:$AJ,AM$1,0)*15,0),IFERROR(VLOOKUP($E:$E,Structure!$A:$AJ,AM$1,0)*15,0))</f>
        <v>0</v>
      </c>
      <c r="AN91" s="13">
        <f>SUM(IFERROR(VLOOKUP($C:$C,Structure!$A:$AJ,AN$1,0)*15,0),IFERROR(VLOOKUP($D:$D,Structure!$A:$AJ,AN$1,0)*15,0),IFERROR(VLOOKUP($E:$E,Structure!$A:$AJ,AN$1,0)*15,0))</f>
        <v>0</v>
      </c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3"/>
      <c r="BZ91" s="4">
        <f>BZ90+AQ91-F91</f>
        <v>0</v>
      </c>
      <c r="CA91" s="4">
        <f>CA90+AR91-G91</f>
        <v>0</v>
      </c>
      <c r="CB91" s="4">
        <f>CB90+AS91-H91</f>
        <v>0</v>
      </c>
      <c r="CC91" s="4">
        <f>CC90+AT91-I91</f>
        <v>0</v>
      </c>
      <c r="CD91" s="4">
        <f>CD90+AU91-J91</f>
        <v>0</v>
      </c>
      <c r="CE91" s="4">
        <f>CE90+AV91-K91</f>
        <v>0</v>
      </c>
      <c r="CF91" s="4">
        <f>CF90+AW91-L91</f>
        <v>0</v>
      </c>
      <c r="CG91" s="4">
        <f>CG90+AX91-M91</f>
        <v>0</v>
      </c>
      <c r="CH91" s="4">
        <f>CH90+AY91-N91</f>
        <v>0</v>
      </c>
      <c r="CI91" s="4">
        <f>CI90+AZ91-O91</f>
        <v>0</v>
      </c>
      <c r="CJ91" s="4">
        <f>CJ90+BA91-P91</f>
        <v>0</v>
      </c>
      <c r="CK91" s="4">
        <f>CK90+BB91-Q91</f>
        <v>0</v>
      </c>
      <c r="CL91" s="4">
        <f>CL90+BC91-R91</f>
        <v>0</v>
      </c>
      <c r="CM91" s="4">
        <f>CM90+BD91-S91</f>
        <v>0</v>
      </c>
      <c r="CN91" s="4">
        <f>CN90+BE91-T91</f>
        <v>0</v>
      </c>
      <c r="CO91" s="4">
        <f>CO90+BF91-U91</f>
        <v>0</v>
      </c>
      <c r="CP91" s="4">
        <f>CP90+BG91-V91</f>
        <v>0</v>
      </c>
      <c r="CQ91" s="4">
        <f>CQ90+BH91-W91</f>
        <v>0</v>
      </c>
      <c r="CR91" s="4">
        <f>CR90+BI91-X91</f>
        <v>0</v>
      </c>
      <c r="CS91" s="4">
        <f>CS90+BJ91-Y91</f>
        <v>0</v>
      </c>
      <c r="CT91" s="4">
        <f>CT90+BK91-Z91</f>
        <v>0</v>
      </c>
      <c r="CU91" s="4">
        <f>CU90+BL91-AA91</f>
        <v>-3425</v>
      </c>
      <c r="CV91" s="4">
        <f>CV90+BM91-AB91</f>
        <v>-225</v>
      </c>
      <c r="CW91" s="4">
        <f>CW90+BN91-AC91</f>
        <v>-255</v>
      </c>
      <c r="CX91" s="4">
        <f>CX90+BO91-AD91</f>
        <v>0</v>
      </c>
      <c r="CY91" s="4">
        <f>CY90+BP91-AE91</f>
        <v>0</v>
      </c>
      <c r="CZ91" s="4">
        <f>CZ90+BQ91-AF91</f>
        <v>-145</v>
      </c>
      <c r="DA91" s="4">
        <f>DA90+BR91-AG91</f>
        <v>0</v>
      </c>
      <c r="DB91" s="4">
        <f>DB90+BS91-AH91</f>
        <v>0</v>
      </c>
      <c r="DC91" s="4">
        <f>DC90+BT91-AI91</f>
        <v>0</v>
      </c>
      <c r="DD91" s="4">
        <f>DD90+BU91-AJ91</f>
        <v>-2395</v>
      </c>
      <c r="DE91" s="4">
        <f>DE90+BV91-AK91</f>
        <v>-1050</v>
      </c>
      <c r="DF91" s="4">
        <f>DF90+BW91-AL91</f>
        <v>0</v>
      </c>
      <c r="DG91" s="4">
        <f>DG90+BX91-AM91</f>
        <v>-235</v>
      </c>
      <c r="DH91" s="4">
        <f>DH90+BY91-AN91</f>
        <v>0</v>
      </c>
    </row>
    <row r="92" spans="1:112" x14ac:dyDescent="0.25">
      <c r="A92" s="6">
        <v>46183</v>
      </c>
      <c r="B92" s="7">
        <v>4.1666666453238577E-2</v>
      </c>
      <c r="C92" s="3" t="s">
        <v>3</v>
      </c>
      <c r="D92" s="3" t="s">
        <v>6</v>
      </c>
      <c r="E92" s="3" t="s">
        <v>2</v>
      </c>
      <c r="F92" s="13">
        <f>SUM(IFERROR(VLOOKUP($C:$C,Structure!$A:$AJ,F$1,0)*15,0),IFERROR(VLOOKUP($D:$D,Structure!$A:$AJ,F$1,0)*15,0),IFERROR(VLOOKUP($E:$E,Structure!$A:$AJ,F$1,0)*15,0))</f>
        <v>0</v>
      </c>
      <c r="G92" s="13">
        <f>SUM(IFERROR(VLOOKUP($C:$C,Structure!$A:$AJ,G$1,0)*15,0),IFERROR(VLOOKUP($D:$D,Structure!$A:$AJ,G$1,0)*15,0),IFERROR(VLOOKUP($E:$E,Structure!$A:$AJ,G$1,0)*15,0))</f>
        <v>0</v>
      </c>
      <c r="H92" s="13">
        <f>SUM(IFERROR(VLOOKUP($C:$C,Structure!$A:$AJ,H$1,0)*15,0),IFERROR(VLOOKUP($D:$D,Structure!$A:$AJ,H$1,0)*15,0),IFERROR(VLOOKUP($E:$E,Structure!$A:$AJ,H$1,0)*15,0))</f>
        <v>0</v>
      </c>
      <c r="I92" s="13">
        <f>SUM(IFERROR(VLOOKUP($C:$C,Structure!$A:$AJ,I$1,0)*15,0),IFERROR(VLOOKUP($D:$D,Structure!$A:$AJ,I$1,0)*15,0),IFERROR(VLOOKUP($E:$E,Structure!$A:$AJ,I$1,0)*15,0))</f>
        <v>0</v>
      </c>
      <c r="J92" s="13">
        <f>SUM(IFERROR(VLOOKUP($C:$C,Structure!$A:$AJ,J$1,0)*15,0),IFERROR(VLOOKUP($D:$D,Structure!$A:$AJ,J$1,0)*15,0),IFERROR(VLOOKUP($E:$E,Structure!$A:$AJ,J$1,0)*15,0))</f>
        <v>0</v>
      </c>
      <c r="K92" s="13">
        <f>SUM(IFERROR(VLOOKUP($C:$C,Structure!$A:$AJ,K$1,0)*15,0),IFERROR(VLOOKUP($D:$D,Structure!$A:$AJ,K$1,0)*15,0),IFERROR(VLOOKUP($E:$E,Structure!$A:$AJ,K$1,0)*15,0))</f>
        <v>0</v>
      </c>
      <c r="L92" s="13">
        <f>SUM(IFERROR(VLOOKUP($C:$C,Structure!$A:$AJ,L$1,0)*15,0),IFERROR(VLOOKUP($D:$D,Structure!$A:$AJ,L$1,0)*15,0),IFERROR(VLOOKUP($E:$E,Structure!$A:$AJ,L$1,0)*15,0))</f>
        <v>0</v>
      </c>
      <c r="M92" s="13">
        <f>SUM(IFERROR(VLOOKUP($C:$C,Structure!$A:$AJ,M$1,0)*15,0),IFERROR(VLOOKUP($D:$D,Structure!$A:$AJ,M$1,0)*15,0),IFERROR(VLOOKUP($E:$E,Structure!$A:$AJ,M$1,0)*15,0))</f>
        <v>0</v>
      </c>
      <c r="N92" s="13">
        <f>SUM(IFERROR(VLOOKUP($C:$C,Structure!$A:$AJ,N$1,0)*15,0),IFERROR(VLOOKUP($D:$D,Structure!$A:$AJ,N$1,0)*15,0),IFERROR(VLOOKUP($E:$E,Structure!$A:$AJ,N$1,0)*15,0))</f>
        <v>0</v>
      </c>
      <c r="O92" s="13">
        <f>SUM(IFERROR(VLOOKUP($C:$C,Structure!$A:$AJ,O$1,0)*15,0),IFERROR(VLOOKUP($D:$D,Structure!$A:$AJ,O$1,0)*15,0),IFERROR(VLOOKUP($E:$E,Structure!$A:$AJ,O$1,0)*15,0))</f>
        <v>0</v>
      </c>
      <c r="P92" s="13">
        <f>SUM(IFERROR(VLOOKUP($C:$C,Structure!$A:$AJ,P$1,0)*15,0),IFERROR(VLOOKUP($D:$D,Structure!$A:$AJ,P$1,0)*15,0),IFERROR(VLOOKUP($E:$E,Structure!$A:$AJ,P$1,0)*15,0))</f>
        <v>0</v>
      </c>
      <c r="Q92" s="13">
        <f>SUM(IFERROR(VLOOKUP($C:$C,Structure!$A:$AJ,Q$1,0)*15,0),IFERROR(VLOOKUP($D:$D,Structure!$A:$AJ,Q$1,0)*15,0),IFERROR(VLOOKUP($E:$E,Structure!$A:$AJ,Q$1,0)*15,0))</f>
        <v>0</v>
      </c>
      <c r="R92" s="13">
        <f>SUM(IFERROR(VLOOKUP($C:$C,Structure!$A:$AJ,R$1,0)*15,0),IFERROR(VLOOKUP($D:$D,Structure!$A:$AJ,R$1,0)*15,0),IFERROR(VLOOKUP($E:$E,Structure!$A:$AJ,R$1,0)*15,0))</f>
        <v>0</v>
      </c>
      <c r="S92" s="13">
        <f>SUM(IFERROR(VLOOKUP($C:$C,Structure!$A:$AJ,S$1,0)*15,0),IFERROR(VLOOKUP($D:$D,Structure!$A:$AJ,S$1,0)*15,0),IFERROR(VLOOKUP($E:$E,Structure!$A:$AJ,S$1,0)*15,0))</f>
        <v>0</v>
      </c>
      <c r="T92" s="13">
        <f>SUM(IFERROR(VLOOKUP($C:$C,Structure!$A:$AJ,T$1,0)*15,0),IFERROR(VLOOKUP($D:$D,Structure!$A:$AJ,T$1,0)*15,0),IFERROR(VLOOKUP($E:$E,Structure!$A:$AJ,T$1,0)*15,0))</f>
        <v>0</v>
      </c>
      <c r="U92" s="13">
        <f>SUM(IFERROR(VLOOKUP($C:$C,Structure!$A:$AJ,U$1,0)*15,0),IFERROR(VLOOKUP($D:$D,Structure!$A:$AJ,U$1,0)*15,0),IFERROR(VLOOKUP($E:$E,Structure!$A:$AJ,U$1,0)*15,0))</f>
        <v>0</v>
      </c>
      <c r="V92" s="13">
        <f>SUM(IFERROR(VLOOKUP($C:$C,Structure!$A:$AJ,V$1,0)*15,0),IFERROR(VLOOKUP($D:$D,Structure!$A:$AJ,V$1,0)*15,0),IFERROR(VLOOKUP($E:$E,Structure!$A:$AJ,V$1,0)*15,0))</f>
        <v>0</v>
      </c>
      <c r="W92" s="13">
        <f>SUM(IFERROR(VLOOKUP($C:$C,Structure!$A:$AJ,W$1,0)*15,0),IFERROR(VLOOKUP($D:$D,Structure!$A:$AJ,W$1,0)*15,0),IFERROR(VLOOKUP($E:$E,Structure!$A:$AJ,W$1,0)*15,0))</f>
        <v>0</v>
      </c>
      <c r="X92" s="13">
        <f>SUM(IFERROR(VLOOKUP($C:$C,Structure!$A:$AJ,X$1,0)*15,0),IFERROR(VLOOKUP($D:$D,Structure!$A:$AJ,X$1,0)*15,0),IFERROR(VLOOKUP($E:$E,Structure!$A:$AJ,X$1,0)*15,0))</f>
        <v>0</v>
      </c>
      <c r="Y92" s="13">
        <f>SUM(IFERROR(VLOOKUP($C:$C,Structure!$A:$AJ,Y$1,0)*15,0),IFERROR(VLOOKUP($D:$D,Structure!$A:$AJ,Y$1,0)*15,0),IFERROR(VLOOKUP($E:$E,Structure!$A:$AJ,Y$1,0)*15,0))</f>
        <v>0</v>
      </c>
      <c r="Z92" s="13">
        <f>SUM(IFERROR(VLOOKUP($C:$C,Structure!$A:$AJ,Z$1,0)*15,0),IFERROR(VLOOKUP($D:$D,Structure!$A:$AJ,Z$1,0)*15,0),IFERROR(VLOOKUP($E:$E,Structure!$A:$AJ,Z$1,0)*15,0))</f>
        <v>0</v>
      </c>
      <c r="AA92" s="13">
        <f>SUM(IFERROR(VLOOKUP($C:$C,Structure!$A:$AJ,AA$1,0)*15,0),IFERROR(VLOOKUP($D:$D,Structure!$A:$AJ,AA$1,0)*15,0),IFERROR(VLOOKUP($E:$E,Structure!$A:$AJ,AA$1,0)*15,0))</f>
        <v>45</v>
      </c>
      <c r="AB92" s="13">
        <f>SUM(IFERROR(VLOOKUP($C:$C,Structure!$A:$AJ,AB$1,0)*15,0),IFERROR(VLOOKUP($D:$D,Structure!$A:$AJ,AB$1,0)*15,0),IFERROR(VLOOKUP($E:$E,Structure!$A:$AJ,AB$1,0)*15,0))</f>
        <v>0</v>
      </c>
      <c r="AC92" s="13">
        <f>SUM(IFERROR(VLOOKUP($C:$C,Structure!$A:$AJ,AC$1,0)*15,0),IFERROR(VLOOKUP($D:$D,Structure!$A:$AJ,AC$1,0)*15,0),IFERROR(VLOOKUP($E:$E,Structure!$A:$AJ,AC$1,0)*15,0))</f>
        <v>0</v>
      </c>
      <c r="AD92" s="13">
        <f>SUM(IFERROR(VLOOKUP($C:$C,Structure!$A:$AJ,AD$1,0)*15,0),IFERROR(VLOOKUP($D:$D,Structure!$A:$AJ,AD$1,0)*15,0),IFERROR(VLOOKUP($E:$E,Structure!$A:$AJ,AD$1,0)*15,0))</f>
        <v>0</v>
      </c>
      <c r="AE92" s="13">
        <f>SUM(IFERROR(VLOOKUP($C:$C,Structure!$A:$AJ,AE$1,0)*15,0),IFERROR(VLOOKUP($D:$D,Structure!$A:$AJ,AE$1,0)*15,0),IFERROR(VLOOKUP($E:$E,Structure!$A:$AJ,AE$1,0)*15,0))</f>
        <v>0</v>
      </c>
      <c r="AF92" s="13">
        <f>SUM(IFERROR(VLOOKUP($C:$C,Structure!$A:$AJ,AF$1,0)*15,0),IFERROR(VLOOKUP($D:$D,Structure!$A:$AJ,AF$1,0)*15,0),IFERROR(VLOOKUP($E:$E,Structure!$A:$AJ,AF$1,0)*15,0))</f>
        <v>0</v>
      </c>
      <c r="AG92" s="13">
        <f>SUM(IFERROR(VLOOKUP($C:$C,Structure!$A:$AJ,AG$1,0)*15,0),IFERROR(VLOOKUP($D:$D,Structure!$A:$AJ,AG$1,0)*15,0),IFERROR(VLOOKUP($E:$E,Structure!$A:$AJ,AG$1,0)*15,0))</f>
        <v>0</v>
      </c>
      <c r="AH92" s="13">
        <f>SUM(IFERROR(VLOOKUP($C:$C,Structure!$A:$AJ,AH$1,0)*15,0),IFERROR(VLOOKUP($D:$D,Structure!$A:$AJ,AH$1,0)*15,0),IFERROR(VLOOKUP($E:$E,Structure!$A:$AJ,AH$1,0)*15,0))</f>
        <v>0</v>
      </c>
      <c r="AI92" s="13">
        <f>SUM(IFERROR(VLOOKUP($C:$C,Structure!$A:$AJ,AI$1,0)*15,0),IFERROR(VLOOKUP($D:$D,Structure!$A:$AJ,AI$1,0)*15,0),IFERROR(VLOOKUP($E:$E,Structure!$A:$AJ,AI$1,0)*15,0))</f>
        <v>0</v>
      </c>
      <c r="AJ92" s="13">
        <f>SUM(IFERROR(VLOOKUP($C:$C,Structure!$A:$AJ,AJ$1,0)*15,0),IFERROR(VLOOKUP($D:$D,Structure!$A:$AJ,AJ$1,0)*15,0),IFERROR(VLOOKUP($E:$E,Structure!$A:$AJ,AJ$1,0)*15,0))</f>
        <v>30</v>
      </c>
      <c r="AK92" s="13">
        <f>SUM(IFERROR(VLOOKUP($C:$C,Structure!$A:$AJ,AK$1,0)*15,0),IFERROR(VLOOKUP($D:$D,Structure!$A:$AJ,AK$1,0)*15,0),IFERROR(VLOOKUP($E:$E,Structure!$A:$AJ,AK$1,0)*15,0))</f>
        <v>15</v>
      </c>
      <c r="AL92" s="13">
        <f>SUM(IFERROR(VLOOKUP($C:$C,Structure!$A:$AJ,AL$1,0)*15,0),IFERROR(VLOOKUP($D:$D,Structure!$A:$AJ,AL$1,0)*15,0),IFERROR(VLOOKUP($E:$E,Structure!$A:$AJ,AL$1,0)*15,0))</f>
        <v>0</v>
      </c>
      <c r="AM92" s="13">
        <f>SUM(IFERROR(VLOOKUP($C:$C,Structure!$A:$AJ,AM$1,0)*15,0),IFERROR(VLOOKUP($D:$D,Structure!$A:$AJ,AM$1,0)*15,0),IFERROR(VLOOKUP($E:$E,Structure!$A:$AJ,AM$1,0)*15,0))</f>
        <v>0</v>
      </c>
      <c r="AN92" s="13">
        <f>SUM(IFERROR(VLOOKUP($C:$C,Structure!$A:$AJ,AN$1,0)*15,0),IFERROR(VLOOKUP($D:$D,Structure!$A:$AJ,AN$1,0)*15,0),IFERROR(VLOOKUP($E:$E,Structure!$A:$AJ,AN$1,0)*15,0))</f>
        <v>0</v>
      </c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3"/>
      <c r="BZ92" s="4">
        <f>BZ91+AQ92-F92</f>
        <v>0</v>
      </c>
      <c r="CA92" s="4">
        <f>CA91+AR92-G92</f>
        <v>0</v>
      </c>
      <c r="CB92" s="4">
        <f>CB91+AS92-H92</f>
        <v>0</v>
      </c>
      <c r="CC92" s="4">
        <f>CC91+AT92-I92</f>
        <v>0</v>
      </c>
      <c r="CD92" s="4">
        <f>CD91+AU92-J92</f>
        <v>0</v>
      </c>
      <c r="CE92" s="4">
        <f>CE91+AV92-K92</f>
        <v>0</v>
      </c>
      <c r="CF92" s="4">
        <f>CF91+AW92-L92</f>
        <v>0</v>
      </c>
      <c r="CG92" s="4">
        <f>CG91+AX92-M92</f>
        <v>0</v>
      </c>
      <c r="CH92" s="4">
        <f>CH91+AY92-N92</f>
        <v>0</v>
      </c>
      <c r="CI92" s="4">
        <f>CI91+AZ92-O92</f>
        <v>0</v>
      </c>
      <c r="CJ92" s="4">
        <f>CJ91+BA92-P92</f>
        <v>0</v>
      </c>
      <c r="CK92" s="4">
        <f>CK91+BB92-Q92</f>
        <v>0</v>
      </c>
      <c r="CL92" s="4">
        <f>CL91+BC92-R92</f>
        <v>0</v>
      </c>
      <c r="CM92" s="4">
        <f>CM91+BD92-S92</f>
        <v>0</v>
      </c>
      <c r="CN92" s="4">
        <f>CN91+BE92-T92</f>
        <v>0</v>
      </c>
      <c r="CO92" s="4">
        <f>CO91+BF92-U92</f>
        <v>0</v>
      </c>
      <c r="CP92" s="4">
        <f>CP91+BG92-V92</f>
        <v>0</v>
      </c>
      <c r="CQ92" s="4">
        <f>CQ91+BH92-W92</f>
        <v>0</v>
      </c>
      <c r="CR92" s="4">
        <f>CR91+BI92-X92</f>
        <v>0</v>
      </c>
      <c r="CS92" s="4">
        <f>CS91+BJ92-Y92</f>
        <v>0</v>
      </c>
      <c r="CT92" s="4">
        <f>CT91+BK92-Z92</f>
        <v>0</v>
      </c>
      <c r="CU92" s="4">
        <f>CU91+BL92-AA92</f>
        <v>-3470</v>
      </c>
      <c r="CV92" s="4">
        <f>CV91+BM92-AB92</f>
        <v>-225</v>
      </c>
      <c r="CW92" s="4">
        <f>CW91+BN92-AC92</f>
        <v>-255</v>
      </c>
      <c r="CX92" s="4">
        <f>CX91+BO92-AD92</f>
        <v>0</v>
      </c>
      <c r="CY92" s="4">
        <f>CY91+BP92-AE92</f>
        <v>0</v>
      </c>
      <c r="CZ92" s="4">
        <f>CZ91+BQ92-AF92</f>
        <v>-145</v>
      </c>
      <c r="DA92" s="4">
        <f>DA91+BR92-AG92</f>
        <v>0</v>
      </c>
      <c r="DB92" s="4">
        <f>DB91+BS92-AH92</f>
        <v>0</v>
      </c>
      <c r="DC92" s="4">
        <f>DC91+BT92-AI92</f>
        <v>0</v>
      </c>
      <c r="DD92" s="4">
        <f>DD91+BU92-AJ92</f>
        <v>-2425</v>
      </c>
      <c r="DE92" s="4">
        <f>DE91+BV92-AK92</f>
        <v>-1065</v>
      </c>
      <c r="DF92" s="4">
        <f>DF91+BW92-AL92</f>
        <v>0</v>
      </c>
      <c r="DG92" s="4">
        <f>DG91+BX92-AM92</f>
        <v>-235</v>
      </c>
      <c r="DH92" s="4">
        <f>DH91+BY92-AN92</f>
        <v>0</v>
      </c>
    </row>
    <row r="93" spans="1:112" x14ac:dyDescent="0.25">
      <c r="A93" s="6">
        <v>46183</v>
      </c>
      <c r="B93" s="7">
        <v>8.3333333117479924E-2</v>
      </c>
      <c r="C93" s="3" t="s">
        <v>3</v>
      </c>
      <c r="D93" s="3" t="s">
        <v>9</v>
      </c>
      <c r="E93" s="3" t="s">
        <v>2</v>
      </c>
      <c r="F93" s="13">
        <f>SUM(IFERROR(VLOOKUP($C:$C,Structure!$A:$AJ,F$1,0)*15,0),IFERROR(VLOOKUP($D:$D,Structure!$A:$AJ,F$1,0)*15,0),IFERROR(VLOOKUP($E:$E,Structure!$A:$AJ,F$1,0)*15,0))</f>
        <v>0</v>
      </c>
      <c r="G93" s="13">
        <f>SUM(IFERROR(VLOOKUP($C:$C,Structure!$A:$AJ,G$1,0)*15,0),IFERROR(VLOOKUP($D:$D,Structure!$A:$AJ,G$1,0)*15,0),IFERROR(VLOOKUP($E:$E,Structure!$A:$AJ,G$1,0)*15,0))</f>
        <v>0</v>
      </c>
      <c r="H93" s="13">
        <f>SUM(IFERROR(VLOOKUP($C:$C,Structure!$A:$AJ,H$1,0)*15,0),IFERROR(VLOOKUP($D:$D,Structure!$A:$AJ,H$1,0)*15,0),IFERROR(VLOOKUP($E:$E,Structure!$A:$AJ,H$1,0)*15,0))</f>
        <v>0</v>
      </c>
      <c r="I93" s="13">
        <f>SUM(IFERROR(VLOOKUP($C:$C,Structure!$A:$AJ,I$1,0)*15,0),IFERROR(VLOOKUP($D:$D,Structure!$A:$AJ,I$1,0)*15,0),IFERROR(VLOOKUP($E:$E,Structure!$A:$AJ,I$1,0)*15,0))</f>
        <v>0</v>
      </c>
      <c r="J93" s="13">
        <f>SUM(IFERROR(VLOOKUP($C:$C,Structure!$A:$AJ,J$1,0)*15,0),IFERROR(VLOOKUP($D:$D,Structure!$A:$AJ,J$1,0)*15,0),IFERROR(VLOOKUP($E:$E,Structure!$A:$AJ,J$1,0)*15,0))</f>
        <v>0</v>
      </c>
      <c r="K93" s="13">
        <f>SUM(IFERROR(VLOOKUP($C:$C,Structure!$A:$AJ,K$1,0)*15,0),IFERROR(VLOOKUP($D:$D,Structure!$A:$AJ,K$1,0)*15,0),IFERROR(VLOOKUP($E:$E,Structure!$A:$AJ,K$1,0)*15,0))</f>
        <v>0</v>
      </c>
      <c r="L93" s="13">
        <f>SUM(IFERROR(VLOOKUP($C:$C,Structure!$A:$AJ,L$1,0)*15,0),IFERROR(VLOOKUP($D:$D,Structure!$A:$AJ,L$1,0)*15,0),IFERROR(VLOOKUP($E:$E,Structure!$A:$AJ,L$1,0)*15,0))</f>
        <v>0</v>
      </c>
      <c r="M93" s="13">
        <f>SUM(IFERROR(VLOOKUP($C:$C,Structure!$A:$AJ,M$1,0)*15,0),IFERROR(VLOOKUP($D:$D,Structure!$A:$AJ,M$1,0)*15,0),IFERROR(VLOOKUP($E:$E,Structure!$A:$AJ,M$1,0)*15,0))</f>
        <v>0</v>
      </c>
      <c r="N93" s="13">
        <f>SUM(IFERROR(VLOOKUP($C:$C,Structure!$A:$AJ,N$1,0)*15,0),IFERROR(VLOOKUP($D:$D,Structure!$A:$AJ,N$1,0)*15,0),IFERROR(VLOOKUP($E:$E,Structure!$A:$AJ,N$1,0)*15,0))</f>
        <v>0</v>
      </c>
      <c r="O93" s="13">
        <f>SUM(IFERROR(VLOOKUP($C:$C,Structure!$A:$AJ,O$1,0)*15,0),IFERROR(VLOOKUP($D:$D,Structure!$A:$AJ,O$1,0)*15,0),IFERROR(VLOOKUP($E:$E,Structure!$A:$AJ,O$1,0)*15,0))</f>
        <v>0</v>
      </c>
      <c r="P93" s="13">
        <f>SUM(IFERROR(VLOOKUP($C:$C,Structure!$A:$AJ,P$1,0)*15,0),IFERROR(VLOOKUP($D:$D,Structure!$A:$AJ,P$1,0)*15,0),IFERROR(VLOOKUP($E:$E,Structure!$A:$AJ,P$1,0)*15,0))</f>
        <v>0</v>
      </c>
      <c r="Q93" s="13">
        <f>SUM(IFERROR(VLOOKUP($C:$C,Structure!$A:$AJ,Q$1,0)*15,0),IFERROR(VLOOKUP($D:$D,Structure!$A:$AJ,Q$1,0)*15,0),IFERROR(VLOOKUP($E:$E,Structure!$A:$AJ,Q$1,0)*15,0))</f>
        <v>0</v>
      </c>
      <c r="R93" s="13">
        <f>SUM(IFERROR(VLOOKUP($C:$C,Structure!$A:$AJ,R$1,0)*15,0),IFERROR(VLOOKUP($D:$D,Structure!$A:$AJ,R$1,0)*15,0),IFERROR(VLOOKUP($E:$E,Structure!$A:$AJ,R$1,0)*15,0))</f>
        <v>0</v>
      </c>
      <c r="S93" s="13">
        <f>SUM(IFERROR(VLOOKUP($C:$C,Structure!$A:$AJ,S$1,0)*15,0),IFERROR(VLOOKUP($D:$D,Structure!$A:$AJ,S$1,0)*15,0),IFERROR(VLOOKUP($E:$E,Structure!$A:$AJ,S$1,0)*15,0))</f>
        <v>0</v>
      </c>
      <c r="T93" s="13">
        <f>SUM(IFERROR(VLOOKUP($C:$C,Structure!$A:$AJ,T$1,0)*15,0),IFERROR(VLOOKUP($D:$D,Structure!$A:$AJ,T$1,0)*15,0),IFERROR(VLOOKUP($E:$E,Structure!$A:$AJ,T$1,0)*15,0))</f>
        <v>0</v>
      </c>
      <c r="U93" s="13">
        <f>SUM(IFERROR(VLOOKUP($C:$C,Structure!$A:$AJ,U$1,0)*15,0),IFERROR(VLOOKUP($D:$D,Structure!$A:$AJ,U$1,0)*15,0),IFERROR(VLOOKUP($E:$E,Structure!$A:$AJ,U$1,0)*15,0))</f>
        <v>0</v>
      </c>
      <c r="V93" s="13">
        <f>SUM(IFERROR(VLOOKUP($C:$C,Structure!$A:$AJ,V$1,0)*15,0),IFERROR(VLOOKUP($D:$D,Structure!$A:$AJ,V$1,0)*15,0),IFERROR(VLOOKUP($E:$E,Structure!$A:$AJ,V$1,0)*15,0))</f>
        <v>0</v>
      </c>
      <c r="W93" s="13">
        <f>SUM(IFERROR(VLOOKUP($C:$C,Structure!$A:$AJ,W$1,0)*15,0),IFERROR(VLOOKUP($D:$D,Structure!$A:$AJ,W$1,0)*15,0),IFERROR(VLOOKUP($E:$E,Structure!$A:$AJ,W$1,0)*15,0))</f>
        <v>0</v>
      </c>
      <c r="X93" s="13">
        <f>SUM(IFERROR(VLOOKUP($C:$C,Structure!$A:$AJ,X$1,0)*15,0),IFERROR(VLOOKUP($D:$D,Structure!$A:$AJ,X$1,0)*15,0),IFERROR(VLOOKUP($E:$E,Structure!$A:$AJ,X$1,0)*15,0))</f>
        <v>0</v>
      </c>
      <c r="Y93" s="13">
        <f>SUM(IFERROR(VLOOKUP($C:$C,Structure!$A:$AJ,Y$1,0)*15,0),IFERROR(VLOOKUP($D:$D,Structure!$A:$AJ,Y$1,0)*15,0),IFERROR(VLOOKUP($E:$E,Structure!$A:$AJ,Y$1,0)*15,0))</f>
        <v>0</v>
      </c>
      <c r="Z93" s="13">
        <f>SUM(IFERROR(VLOOKUP($C:$C,Structure!$A:$AJ,Z$1,0)*15,0),IFERROR(VLOOKUP($D:$D,Structure!$A:$AJ,Z$1,0)*15,0),IFERROR(VLOOKUP($E:$E,Structure!$A:$AJ,Z$1,0)*15,0))</f>
        <v>0</v>
      </c>
      <c r="AA93" s="13">
        <f>SUM(IFERROR(VLOOKUP($C:$C,Structure!$A:$AJ,AA$1,0)*15,0),IFERROR(VLOOKUP($D:$D,Structure!$A:$AJ,AA$1,0)*15,0),IFERROR(VLOOKUP($E:$E,Structure!$A:$AJ,AA$1,0)*15,0))</f>
        <v>30</v>
      </c>
      <c r="AB93" s="13">
        <f>SUM(IFERROR(VLOOKUP($C:$C,Structure!$A:$AJ,AB$1,0)*15,0),IFERROR(VLOOKUP($D:$D,Structure!$A:$AJ,AB$1,0)*15,0),IFERROR(VLOOKUP($E:$E,Structure!$A:$AJ,AB$1,0)*15,0))</f>
        <v>15</v>
      </c>
      <c r="AC93" s="13">
        <f>SUM(IFERROR(VLOOKUP($C:$C,Structure!$A:$AJ,AC$1,0)*15,0),IFERROR(VLOOKUP($D:$D,Structure!$A:$AJ,AC$1,0)*15,0),IFERROR(VLOOKUP($E:$E,Structure!$A:$AJ,AC$1,0)*15,0))</f>
        <v>0</v>
      </c>
      <c r="AD93" s="13">
        <f>SUM(IFERROR(VLOOKUP($C:$C,Structure!$A:$AJ,AD$1,0)*15,0),IFERROR(VLOOKUP($D:$D,Structure!$A:$AJ,AD$1,0)*15,0),IFERROR(VLOOKUP($E:$E,Structure!$A:$AJ,AD$1,0)*15,0))</f>
        <v>0</v>
      </c>
      <c r="AE93" s="13">
        <f>SUM(IFERROR(VLOOKUP($C:$C,Structure!$A:$AJ,AE$1,0)*15,0),IFERROR(VLOOKUP($D:$D,Structure!$A:$AJ,AE$1,0)*15,0),IFERROR(VLOOKUP($E:$E,Structure!$A:$AJ,AE$1,0)*15,0))</f>
        <v>0</v>
      </c>
      <c r="AF93" s="13">
        <f>SUM(IFERROR(VLOOKUP($C:$C,Structure!$A:$AJ,AF$1,0)*15,0),IFERROR(VLOOKUP($D:$D,Structure!$A:$AJ,AF$1,0)*15,0),IFERROR(VLOOKUP($E:$E,Structure!$A:$AJ,AF$1,0)*15,0))</f>
        <v>15</v>
      </c>
      <c r="AG93" s="13">
        <f>SUM(IFERROR(VLOOKUP($C:$C,Structure!$A:$AJ,AG$1,0)*15,0),IFERROR(VLOOKUP($D:$D,Structure!$A:$AJ,AG$1,0)*15,0),IFERROR(VLOOKUP($E:$E,Structure!$A:$AJ,AG$1,0)*15,0))</f>
        <v>0</v>
      </c>
      <c r="AH93" s="13">
        <f>SUM(IFERROR(VLOOKUP($C:$C,Structure!$A:$AJ,AH$1,0)*15,0),IFERROR(VLOOKUP($D:$D,Structure!$A:$AJ,AH$1,0)*15,0),IFERROR(VLOOKUP($E:$E,Structure!$A:$AJ,AH$1,0)*15,0))</f>
        <v>0</v>
      </c>
      <c r="AI93" s="13">
        <f>SUM(IFERROR(VLOOKUP($C:$C,Structure!$A:$AJ,AI$1,0)*15,0),IFERROR(VLOOKUP($D:$D,Structure!$A:$AJ,AI$1,0)*15,0),IFERROR(VLOOKUP($E:$E,Structure!$A:$AJ,AI$1,0)*15,0))</f>
        <v>0</v>
      </c>
      <c r="AJ93" s="13">
        <f>SUM(IFERROR(VLOOKUP($C:$C,Structure!$A:$AJ,AJ$1,0)*15,0),IFERROR(VLOOKUP($D:$D,Structure!$A:$AJ,AJ$1,0)*15,0),IFERROR(VLOOKUP($E:$E,Structure!$A:$AJ,AJ$1,0)*15,0))</f>
        <v>15</v>
      </c>
      <c r="AK93" s="13">
        <f>SUM(IFERROR(VLOOKUP($C:$C,Structure!$A:$AJ,AK$1,0)*15,0),IFERROR(VLOOKUP($D:$D,Structure!$A:$AJ,AK$1,0)*15,0),IFERROR(VLOOKUP($E:$E,Structure!$A:$AJ,AK$1,0)*15,0))</f>
        <v>15</v>
      </c>
      <c r="AL93" s="13">
        <f>SUM(IFERROR(VLOOKUP($C:$C,Structure!$A:$AJ,AL$1,0)*15,0),IFERROR(VLOOKUP($D:$D,Structure!$A:$AJ,AL$1,0)*15,0),IFERROR(VLOOKUP($E:$E,Structure!$A:$AJ,AL$1,0)*15,0))</f>
        <v>0</v>
      </c>
      <c r="AM93" s="13">
        <f>SUM(IFERROR(VLOOKUP($C:$C,Structure!$A:$AJ,AM$1,0)*15,0),IFERROR(VLOOKUP($D:$D,Structure!$A:$AJ,AM$1,0)*15,0),IFERROR(VLOOKUP($E:$E,Structure!$A:$AJ,AM$1,0)*15,0))</f>
        <v>0</v>
      </c>
      <c r="AN93" s="13">
        <f>SUM(IFERROR(VLOOKUP($C:$C,Structure!$A:$AJ,AN$1,0)*15,0),IFERROR(VLOOKUP($D:$D,Structure!$A:$AJ,AN$1,0)*15,0),IFERROR(VLOOKUP($E:$E,Structure!$A:$AJ,AN$1,0)*15,0))</f>
        <v>0</v>
      </c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3"/>
      <c r="BZ93" s="4">
        <f>BZ92+AQ93-F93</f>
        <v>0</v>
      </c>
      <c r="CA93" s="4">
        <f>CA92+AR93-G93</f>
        <v>0</v>
      </c>
      <c r="CB93" s="4">
        <f>CB92+AS93-H93</f>
        <v>0</v>
      </c>
      <c r="CC93" s="4">
        <f>CC92+AT93-I93</f>
        <v>0</v>
      </c>
      <c r="CD93" s="4">
        <f>CD92+AU93-J93</f>
        <v>0</v>
      </c>
      <c r="CE93" s="4">
        <f>CE92+AV93-K93</f>
        <v>0</v>
      </c>
      <c r="CF93" s="4">
        <f>CF92+AW93-L93</f>
        <v>0</v>
      </c>
      <c r="CG93" s="4">
        <f>CG92+AX93-M93</f>
        <v>0</v>
      </c>
      <c r="CH93" s="4">
        <f>CH92+AY93-N93</f>
        <v>0</v>
      </c>
      <c r="CI93" s="4">
        <f>CI92+AZ93-O93</f>
        <v>0</v>
      </c>
      <c r="CJ93" s="4">
        <f>CJ92+BA93-P93</f>
        <v>0</v>
      </c>
      <c r="CK93" s="4">
        <f>CK92+BB93-Q93</f>
        <v>0</v>
      </c>
      <c r="CL93" s="4">
        <f>CL92+BC93-R93</f>
        <v>0</v>
      </c>
      <c r="CM93" s="4">
        <f>CM92+BD93-S93</f>
        <v>0</v>
      </c>
      <c r="CN93" s="4">
        <f>CN92+BE93-T93</f>
        <v>0</v>
      </c>
      <c r="CO93" s="4">
        <f>CO92+BF93-U93</f>
        <v>0</v>
      </c>
      <c r="CP93" s="4">
        <f>CP92+BG93-V93</f>
        <v>0</v>
      </c>
      <c r="CQ93" s="4">
        <f>CQ92+BH93-W93</f>
        <v>0</v>
      </c>
      <c r="CR93" s="4">
        <f>CR92+BI93-X93</f>
        <v>0</v>
      </c>
      <c r="CS93" s="4">
        <f>CS92+BJ93-Y93</f>
        <v>0</v>
      </c>
      <c r="CT93" s="4">
        <f>CT92+BK93-Z93</f>
        <v>0</v>
      </c>
      <c r="CU93" s="4">
        <f>CU92+BL93-AA93</f>
        <v>-3500</v>
      </c>
      <c r="CV93" s="4">
        <f>CV92+BM93-AB93</f>
        <v>-240</v>
      </c>
      <c r="CW93" s="4">
        <f>CW92+BN93-AC93</f>
        <v>-255</v>
      </c>
      <c r="CX93" s="4">
        <f>CX92+BO93-AD93</f>
        <v>0</v>
      </c>
      <c r="CY93" s="4">
        <f>CY92+BP93-AE93</f>
        <v>0</v>
      </c>
      <c r="CZ93" s="4">
        <f>CZ92+BQ93-AF93</f>
        <v>-160</v>
      </c>
      <c r="DA93" s="4">
        <f>DA92+BR93-AG93</f>
        <v>0</v>
      </c>
      <c r="DB93" s="4">
        <f>DB92+BS93-AH93</f>
        <v>0</v>
      </c>
      <c r="DC93" s="4">
        <f>DC92+BT93-AI93</f>
        <v>0</v>
      </c>
      <c r="DD93" s="4">
        <f>DD92+BU93-AJ93</f>
        <v>-2440</v>
      </c>
      <c r="DE93" s="4">
        <f>DE92+BV93-AK93</f>
        <v>-1080</v>
      </c>
      <c r="DF93" s="4">
        <f>DF92+BW93-AL93</f>
        <v>0</v>
      </c>
      <c r="DG93" s="4">
        <f>DG92+BX93-AM93</f>
        <v>-235</v>
      </c>
      <c r="DH93" s="4">
        <f>DH92+BY93-AN93</f>
        <v>0</v>
      </c>
    </row>
    <row r="94" spans="1:112" x14ac:dyDescent="0.25">
      <c r="A94" s="6">
        <v>46183</v>
      </c>
      <c r="B94" s="7">
        <v>0.12499999978172127</v>
      </c>
      <c r="C94" s="3" t="s">
        <v>3</v>
      </c>
      <c r="D94" s="3" t="s">
        <v>94</v>
      </c>
      <c r="E94" s="3" t="s">
        <v>2</v>
      </c>
      <c r="F94" s="13">
        <f>SUM(IFERROR(VLOOKUP($C:$C,Structure!$A:$AJ,F$1,0)*15,0),IFERROR(VLOOKUP($D:$D,Structure!$A:$AJ,F$1,0)*15,0),IFERROR(VLOOKUP($E:$E,Structure!$A:$AJ,F$1,0)*15,0))</f>
        <v>0</v>
      </c>
      <c r="G94" s="13">
        <f>SUM(IFERROR(VLOOKUP($C:$C,Structure!$A:$AJ,G$1,0)*15,0),IFERROR(VLOOKUP($D:$D,Structure!$A:$AJ,G$1,0)*15,0),IFERROR(VLOOKUP($E:$E,Structure!$A:$AJ,G$1,0)*15,0))</f>
        <v>0</v>
      </c>
      <c r="H94" s="13">
        <f>SUM(IFERROR(VLOOKUP($C:$C,Structure!$A:$AJ,H$1,0)*15,0),IFERROR(VLOOKUP($D:$D,Structure!$A:$AJ,H$1,0)*15,0),IFERROR(VLOOKUP($E:$E,Structure!$A:$AJ,H$1,0)*15,0))</f>
        <v>0</v>
      </c>
      <c r="I94" s="13">
        <f>SUM(IFERROR(VLOOKUP($C:$C,Structure!$A:$AJ,I$1,0)*15,0),IFERROR(VLOOKUP($D:$D,Structure!$A:$AJ,I$1,0)*15,0),IFERROR(VLOOKUP($E:$E,Structure!$A:$AJ,I$1,0)*15,0))</f>
        <v>0</v>
      </c>
      <c r="J94" s="13">
        <f>SUM(IFERROR(VLOOKUP($C:$C,Structure!$A:$AJ,J$1,0)*15,0),IFERROR(VLOOKUP($D:$D,Structure!$A:$AJ,J$1,0)*15,0),IFERROR(VLOOKUP($E:$E,Structure!$A:$AJ,J$1,0)*15,0))</f>
        <v>0</v>
      </c>
      <c r="K94" s="13">
        <f>SUM(IFERROR(VLOOKUP($C:$C,Structure!$A:$AJ,K$1,0)*15,0),IFERROR(VLOOKUP($D:$D,Structure!$A:$AJ,K$1,0)*15,0),IFERROR(VLOOKUP($E:$E,Structure!$A:$AJ,K$1,0)*15,0))</f>
        <v>0</v>
      </c>
      <c r="L94" s="13">
        <f>SUM(IFERROR(VLOOKUP($C:$C,Structure!$A:$AJ,L$1,0)*15,0),IFERROR(VLOOKUP($D:$D,Structure!$A:$AJ,L$1,0)*15,0),IFERROR(VLOOKUP($E:$E,Structure!$A:$AJ,L$1,0)*15,0))</f>
        <v>0</v>
      </c>
      <c r="M94" s="13">
        <f>SUM(IFERROR(VLOOKUP($C:$C,Structure!$A:$AJ,M$1,0)*15,0),IFERROR(VLOOKUP($D:$D,Structure!$A:$AJ,M$1,0)*15,0),IFERROR(VLOOKUP($E:$E,Structure!$A:$AJ,M$1,0)*15,0))</f>
        <v>0</v>
      </c>
      <c r="N94" s="13">
        <f>SUM(IFERROR(VLOOKUP($C:$C,Structure!$A:$AJ,N$1,0)*15,0),IFERROR(VLOOKUP($D:$D,Structure!$A:$AJ,N$1,0)*15,0),IFERROR(VLOOKUP($E:$E,Structure!$A:$AJ,N$1,0)*15,0))</f>
        <v>0</v>
      </c>
      <c r="O94" s="13">
        <f>SUM(IFERROR(VLOOKUP($C:$C,Structure!$A:$AJ,O$1,0)*15,0),IFERROR(VLOOKUP($D:$D,Structure!$A:$AJ,O$1,0)*15,0),IFERROR(VLOOKUP($E:$E,Structure!$A:$AJ,O$1,0)*15,0))</f>
        <v>0</v>
      </c>
      <c r="P94" s="13">
        <f>SUM(IFERROR(VLOOKUP($C:$C,Structure!$A:$AJ,P$1,0)*15,0),IFERROR(VLOOKUP($D:$D,Structure!$A:$AJ,P$1,0)*15,0),IFERROR(VLOOKUP($E:$E,Structure!$A:$AJ,P$1,0)*15,0))</f>
        <v>0</v>
      </c>
      <c r="Q94" s="13">
        <f>SUM(IFERROR(VLOOKUP($C:$C,Structure!$A:$AJ,Q$1,0)*15,0),IFERROR(VLOOKUP($D:$D,Structure!$A:$AJ,Q$1,0)*15,0),IFERROR(VLOOKUP($E:$E,Structure!$A:$AJ,Q$1,0)*15,0))</f>
        <v>0</v>
      </c>
      <c r="R94" s="13">
        <f>SUM(IFERROR(VLOOKUP($C:$C,Structure!$A:$AJ,R$1,0)*15,0),IFERROR(VLOOKUP($D:$D,Structure!$A:$AJ,R$1,0)*15,0),IFERROR(VLOOKUP($E:$E,Structure!$A:$AJ,R$1,0)*15,0))</f>
        <v>0</v>
      </c>
      <c r="S94" s="13">
        <f>SUM(IFERROR(VLOOKUP($C:$C,Structure!$A:$AJ,S$1,0)*15,0),IFERROR(VLOOKUP($D:$D,Structure!$A:$AJ,S$1,0)*15,0),IFERROR(VLOOKUP($E:$E,Structure!$A:$AJ,S$1,0)*15,0))</f>
        <v>0</v>
      </c>
      <c r="T94" s="13">
        <f>SUM(IFERROR(VLOOKUP($C:$C,Structure!$A:$AJ,T$1,0)*15,0),IFERROR(VLOOKUP($D:$D,Structure!$A:$AJ,T$1,0)*15,0),IFERROR(VLOOKUP($E:$E,Structure!$A:$AJ,T$1,0)*15,0))</f>
        <v>0</v>
      </c>
      <c r="U94" s="13">
        <f>SUM(IFERROR(VLOOKUP($C:$C,Structure!$A:$AJ,U$1,0)*15,0),IFERROR(VLOOKUP($D:$D,Structure!$A:$AJ,U$1,0)*15,0),IFERROR(VLOOKUP($E:$E,Structure!$A:$AJ,U$1,0)*15,0))</f>
        <v>0</v>
      </c>
      <c r="V94" s="13">
        <f>SUM(IFERROR(VLOOKUP($C:$C,Structure!$A:$AJ,V$1,0)*15,0),IFERROR(VLOOKUP($D:$D,Structure!$A:$AJ,V$1,0)*15,0),IFERROR(VLOOKUP($E:$E,Structure!$A:$AJ,V$1,0)*15,0))</f>
        <v>0</v>
      </c>
      <c r="W94" s="13">
        <f>SUM(IFERROR(VLOOKUP($C:$C,Structure!$A:$AJ,W$1,0)*15,0),IFERROR(VLOOKUP($D:$D,Structure!$A:$AJ,W$1,0)*15,0),IFERROR(VLOOKUP($E:$E,Structure!$A:$AJ,W$1,0)*15,0))</f>
        <v>0</v>
      </c>
      <c r="X94" s="13">
        <f>SUM(IFERROR(VLOOKUP($C:$C,Structure!$A:$AJ,X$1,0)*15,0),IFERROR(VLOOKUP($D:$D,Structure!$A:$AJ,X$1,0)*15,0),IFERROR(VLOOKUP($E:$E,Structure!$A:$AJ,X$1,0)*15,0))</f>
        <v>0</v>
      </c>
      <c r="Y94" s="13">
        <f>SUM(IFERROR(VLOOKUP($C:$C,Structure!$A:$AJ,Y$1,0)*15,0),IFERROR(VLOOKUP($D:$D,Structure!$A:$AJ,Y$1,0)*15,0),IFERROR(VLOOKUP($E:$E,Structure!$A:$AJ,Y$1,0)*15,0))</f>
        <v>0</v>
      </c>
      <c r="Z94" s="13">
        <f>SUM(IFERROR(VLOOKUP($C:$C,Structure!$A:$AJ,Z$1,0)*15,0),IFERROR(VLOOKUP($D:$D,Structure!$A:$AJ,Z$1,0)*15,0),IFERROR(VLOOKUP($E:$E,Structure!$A:$AJ,Z$1,0)*15,0))</f>
        <v>0</v>
      </c>
      <c r="AA94" s="13">
        <f>SUM(IFERROR(VLOOKUP($C:$C,Structure!$A:$AJ,AA$1,0)*15,0),IFERROR(VLOOKUP($D:$D,Structure!$A:$AJ,AA$1,0)*15,0),IFERROR(VLOOKUP($E:$E,Structure!$A:$AJ,AA$1,0)*15,0))</f>
        <v>30</v>
      </c>
      <c r="AB94" s="13">
        <f>SUM(IFERROR(VLOOKUP($C:$C,Structure!$A:$AJ,AB$1,0)*15,0),IFERROR(VLOOKUP($D:$D,Structure!$A:$AJ,AB$1,0)*15,0),IFERROR(VLOOKUP($E:$E,Structure!$A:$AJ,AB$1,0)*15,0))</f>
        <v>0</v>
      </c>
      <c r="AC94" s="13">
        <f>SUM(IFERROR(VLOOKUP($C:$C,Structure!$A:$AJ,AC$1,0)*15,0),IFERROR(VLOOKUP($D:$D,Structure!$A:$AJ,AC$1,0)*15,0),IFERROR(VLOOKUP($E:$E,Structure!$A:$AJ,AC$1,0)*15,0))</f>
        <v>0</v>
      </c>
      <c r="AD94" s="13">
        <f>SUM(IFERROR(VLOOKUP($C:$C,Structure!$A:$AJ,AD$1,0)*15,0),IFERROR(VLOOKUP($D:$D,Structure!$A:$AJ,AD$1,0)*15,0),IFERROR(VLOOKUP($E:$E,Structure!$A:$AJ,AD$1,0)*15,0))</f>
        <v>0</v>
      </c>
      <c r="AE94" s="13">
        <f>SUM(IFERROR(VLOOKUP($C:$C,Structure!$A:$AJ,AE$1,0)*15,0),IFERROR(VLOOKUP($D:$D,Structure!$A:$AJ,AE$1,0)*15,0),IFERROR(VLOOKUP($E:$E,Structure!$A:$AJ,AE$1,0)*15,0))</f>
        <v>15</v>
      </c>
      <c r="AF94" s="13">
        <f>SUM(IFERROR(VLOOKUP($C:$C,Structure!$A:$AJ,AF$1,0)*15,0),IFERROR(VLOOKUP($D:$D,Structure!$A:$AJ,AF$1,0)*15,0),IFERROR(VLOOKUP($E:$E,Structure!$A:$AJ,AF$1,0)*15,0))</f>
        <v>0</v>
      </c>
      <c r="AG94" s="13">
        <f>SUM(IFERROR(VLOOKUP($C:$C,Structure!$A:$AJ,AG$1,0)*15,0),IFERROR(VLOOKUP($D:$D,Structure!$A:$AJ,AG$1,0)*15,0),IFERROR(VLOOKUP($E:$E,Structure!$A:$AJ,AG$1,0)*15,0))</f>
        <v>0</v>
      </c>
      <c r="AH94" s="13">
        <f>SUM(IFERROR(VLOOKUP($C:$C,Structure!$A:$AJ,AH$1,0)*15,0),IFERROR(VLOOKUP($D:$D,Structure!$A:$AJ,AH$1,0)*15,0),IFERROR(VLOOKUP($E:$E,Structure!$A:$AJ,AH$1,0)*15,0))</f>
        <v>15</v>
      </c>
      <c r="AI94" s="13">
        <f>SUM(IFERROR(VLOOKUP($C:$C,Structure!$A:$AJ,AI$1,0)*15,0),IFERROR(VLOOKUP($D:$D,Structure!$A:$AJ,AI$1,0)*15,0),IFERROR(VLOOKUP($E:$E,Structure!$A:$AJ,AI$1,0)*15,0))</f>
        <v>0</v>
      </c>
      <c r="AJ94" s="13">
        <f>SUM(IFERROR(VLOOKUP($C:$C,Structure!$A:$AJ,AJ$1,0)*15,0),IFERROR(VLOOKUP($D:$D,Structure!$A:$AJ,AJ$1,0)*15,0),IFERROR(VLOOKUP($E:$E,Structure!$A:$AJ,AJ$1,0)*15,0))</f>
        <v>15</v>
      </c>
      <c r="AK94" s="13">
        <f>SUM(IFERROR(VLOOKUP($C:$C,Structure!$A:$AJ,AK$1,0)*15,0),IFERROR(VLOOKUP($D:$D,Structure!$A:$AJ,AK$1,0)*15,0),IFERROR(VLOOKUP($E:$E,Structure!$A:$AJ,AK$1,0)*15,0))</f>
        <v>15</v>
      </c>
      <c r="AL94" s="13">
        <f>SUM(IFERROR(VLOOKUP($C:$C,Structure!$A:$AJ,AL$1,0)*15,0),IFERROR(VLOOKUP($D:$D,Structure!$A:$AJ,AL$1,0)*15,0),IFERROR(VLOOKUP($E:$E,Structure!$A:$AJ,AL$1,0)*15,0))</f>
        <v>0</v>
      </c>
      <c r="AM94" s="13">
        <f>SUM(IFERROR(VLOOKUP($C:$C,Structure!$A:$AJ,AM$1,0)*15,0),IFERROR(VLOOKUP($D:$D,Structure!$A:$AJ,AM$1,0)*15,0),IFERROR(VLOOKUP($E:$E,Structure!$A:$AJ,AM$1,0)*15,0))</f>
        <v>0</v>
      </c>
      <c r="AN94" s="13">
        <f>SUM(IFERROR(VLOOKUP($C:$C,Structure!$A:$AJ,AN$1,0)*15,0),IFERROR(VLOOKUP($D:$D,Structure!$A:$AJ,AN$1,0)*15,0),IFERROR(VLOOKUP($E:$E,Structure!$A:$AJ,AN$1,0)*15,0))</f>
        <v>0</v>
      </c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3"/>
      <c r="BZ94" s="4">
        <f>BZ93+AQ94-F94</f>
        <v>0</v>
      </c>
      <c r="CA94" s="4">
        <f>CA93+AR94-G94</f>
        <v>0</v>
      </c>
      <c r="CB94" s="4">
        <f>CB93+AS94-H94</f>
        <v>0</v>
      </c>
      <c r="CC94" s="4">
        <f>CC93+AT94-I94</f>
        <v>0</v>
      </c>
      <c r="CD94" s="4">
        <f>CD93+AU94-J94</f>
        <v>0</v>
      </c>
      <c r="CE94" s="4">
        <f>CE93+AV94-K94</f>
        <v>0</v>
      </c>
      <c r="CF94" s="4">
        <f>CF93+AW94-L94</f>
        <v>0</v>
      </c>
      <c r="CG94" s="4">
        <f>CG93+AX94-M94</f>
        <v>0</v>
      </c>
      <c r="CH94" s="4">
        <f>CH93+AY94-N94</f>
        <v>0</v>
      </c>
      <c r="CI94" s="4">
        <f>CI93+AZ94-O94</f>
        <v>0</v>
      </c>
      <c r="CJ94" s="4">
        <f>CJ93+BA94-P94</f>
        <v>0</v>
      </c>
      <c r="CK94" s="4">
        <f>CK93+BB94-Q94</f>
        <v>0</v>
      </c>
      <c r="CL94" s="4">
        <f>CL93+BC94-R94</f>
        <v>0</v>
      </c>
      <c r="CM94" s="4">
        <f>CM93+BD94-S94</f>
        <v>0</v>
      </c>
      <c r="CN94" s="4">
        <f>CN93+BE94-T94</f>
        <v>0</v>
      </c>
      <c r="CO94" s="4">
        <f>CO93+BF94-U94</f>
        <v>0</v>
      </c>
      <c r="CP94" s="4">
        <f>CP93+BG94-V94</f>
        <v>0</v>
      </c>
      <c r="CQ94" s="4">
        <f>CQ93+BH94-W94</f>
        <v>0</v>
      </c>
      <c r="CR94" s="4">
        <f>CR93+BI94-X94</f>
        <v>0</v>
      </c>
      <c r="CS94" s="4">
        <f>CS93+BJ94-Y94</f>
        <v>0</v>
      </c>
      <c r="CT94" s="4">
        <f>CT93+BK94-Z94</f>
        <v>0</v>
      </c>
      <c r="CU94" s="4">
        <f>CU93+BL94-AA94</f>
        <v>-3530</v>
      </c>
      <c r="CV94" s="4">
        <f>CV93+BM94-AB94</f>
        <v>-240</v>
      </c>
      <c r="CW94" s="4">
        <f>CW93+BN94-AC94</f>
        <v>-255</v>
      </c>
      <c r="CX94" s="4">
        <f>CX93+BO94-AD94</f>
        <v>0</v>
      </c>
      <c r="CY94" s="4">
        <f>CY93+BP94-AE94</f>
        <v>-15</v>
      </c>
      <c r="CZ94" s="4">
        <f>CZ93+BQ94-AF94</f>
        <v>-160</v>
      </c>
      <c r="DA94" s="4">
        <f>DA93+BR94-AG94</f>
        <v>0</v>
      </c>
      <c r="DB94" s="4">
        <f>DB93+BS94-AH94</f>
        <v>-15</v>
      </c>
      <c r="DC94" s="4">
        <f>DC93+BT94-AI94</f>
        <v>0</v>
      </c>
      <c r="DD94" s="4">
        <f>DD93+BU94-AJ94</f>
        <v>-2455</v>
      </c>
      <c r="DE94" s="4">
        <f>DE93+BV94-AK94</f>
        <v>-1095</v>
      </c>
      <c r="DF94" s="4">
        <f>DF93+BW94-AL94</f>
        <v>0</v>
      </c>
      <c r="DG94" s="4">
        <f>DG93+BX94-AM94</f>
        <v>-235</v>
      </c>
      <c r="DH94" s="4">
        <f>DH93+BY94-AN94</f>
        <v>0</v>
      </c>
    </row>
    <row r="95" spans="1:112" x14ac:dyDescent="0.25">
      <c r="A95" s="6">
        <v>46183</v>
      </c>
      <c r="B95" s="7">
        <v>0.16666666644596262</v>
      </c>
      <c r="C95" s="3" t="s">
        <v>3</v>
      </c>
      <c r="D95" s="3" t="s">
        <v>94</v>
      </c>
      <c r="E95" s="3" t="s">
        <v>2</v>
      </c>
      <c r="F95" s="13">
        <f>SUM(IFERROR(VLOOKUP($C:$C,Structure!$A:$AJ,F$1,0)*15,0),IFERROR(VLOOKUP($D:$D,Structure!$A:$AJ,F$1,0)*15,0),IFERROR(VLOOKUP($E:$E,Structure!$A:$AJ,F$1,0)*15,0))</f>
        <v>0</v>
      </c>
      <c r="G95" s="13">
        <f>SUM(IFERROR(VLOOKUP($C:$C,Structure!$A:$AJ,G$1,0)*15,0),IFERROR(VLOOKUP($D:$D,Structure!$A:$AJ,G$1,0)*15,0),IFERROR(VLOOKUP($E:$E,Structure!$A:$AJ,G$1,0)*15,0))</f>
        <v>0</v>
      </c>
      <c r="H95" s="13">
        <f>SUM(IFERROR(VLOOKUP($C:$C,Structure!$A:$AJ,H$1,0)*15,0),IFERROR(VLOOKUP($D:$D,Structure!$A:$AJ,H$1,0)*15,0),IFERROR(VLOOKUP($E:$E,Structure!$A:$AJ,H$1,0)*15,0))</f>
        <v>0</v>
      </c>
      <c r="I95" s="13">
        <f>SUM(IFERROR(VLOOKUP($C:$C,Structure!$A:$AJ,I$1,0)*15,0),IFERROR(VLOOKUP($D:$D,Structure!$A:$AJ,I$1,0)*15,0),IFERROR(VLOOKUP($E:$E,Structure!$A:$AJ,I$1,0)*15,0))</f>
        <v>0</v>
      </c>
      <c r="J95" s="13">
        <f>SUM(IFERROR(VLOOKUP($C:$C,Structure!$A:$AJ,J$1,0)*15,0),IFERROR(VLOOKUP($D:$D,Structure!$A:$AJ,J$1,0)*15,0),IFERROR(VLOOKUP($E:$E,Structure!$A:$AJ,J$1,0)*15,0))</f>
        <v>0</v>
      </c>
      <c r="K95" s="13">
        <f>SUM(IFERROR(VLOOKUP($C:$C,Structure!$A:$AJ,K$1,0)*15,0),IFERROR(VLOOKUP($D:$D,Structure!$A:$AJ,K$1,0)*15,0),IFERROR(VLOOKUP($E:$E,Structure!$A:$AJ,K$1,0)*15,0))</f>
        <v>0</v>
      </c>
      <c r="L95" s="13">
        <f>SUM(IFERROR(VLOOKUP($C:$C,Structure!$A:$AJ,L$1,0)*15,0),IFERROR(VLOOKUP($D:$D,Structure!$A:$AJ,L$1,0)*15,0),IFERROR(VLOOKUP($E:$E,Structure!$A:$AJ,L$1,0)*15,0))</f>
        <v>0</v>
      </c>
      <c r="M95" s="13">
        <f>SUM(IFERROR(VLOOKUP($C:$C,Structure!$A:$AJ,M$1,0)*15,0),IFERROR(VLOOKUP($D:$D,Structure!$A:$AJ,M$1,0)*15,0),IFERROR(VLOOKUP($E:$E,Structure!$A:$AJ,M$1,0)*15,0))</f>
        <v>0</v>
      </c>
      <c r="N95" s="13">
        <f>SUM(IFERROR(VLOOKUP($C:$C,Structure!$A:$AJ,N$1,0)*15,0),IFERROR(VLOOKUP($D:$D,Structure!$A:$AJ,N$1,0)*15,0),IFERROR(VLOOKUP($E:$E,Structure!$A:$AJ,N$1,0)*15,0))</f>
        <v>0</v>
      </c>
      <c r="O95" s="13">
        <f>SUM(IFERROR(VLOOKUP($C:$C,Structure!$A:$AJ,O$1,0)*15,0),IFERROR(VLOOKUP($D:$D,Structure!$A:$AJ,O$1,0)*15,0),IFERROR(VLOOKUP($E:$E,Structure!$A:$AJ,O$1,0)*15,0))</f>
        <v>0</v>
      </c>
      <c r="P95" s="13">
        <f>SUM(IFERROR(VLOOKUP($C:$C,Structure!$A:$AJ,P$1,0)*15,0),IFERROR(VLOOKUP($D:$D,Structure!$A:$AJ,P$1,0)*15,0),IFERROR(VLOOKUP($E:$E,Structure!$A:$AJ,P$1,0)*15,0))</f>
        <v>0</v>
      </c>
      <c r="Q95" s="13">
        <f>SUM(IFERROR(VLOOKUP($C:$C,Structure!$A:$AJ,Q$1,0)*15,0),IFERROR(VLOOKUP($D:$D,Structure!$A:$AJ,Q$1,0)*15,0),IFERROR(VLOOKUP($E:$E,Structure!$A:$AJ,Q$1,0)*15,0))</f>
        <v>0</v>
      </c>
      <c r="R95" s="13">
        <f>SUM(IFERROR(VLOOKUP($C:$C,Structure!$A:$AJ,R$1,0)*15,0),IFERROR(VLOOKUP($D:$D,Structure!$A:$AJ,R$1,0)*15,0),IFERROR(VLOOKUP($E:$E,Structure!$A:$AJ,R$1,0)*15,0))</f>
        <v>0</v>
      </c>
      <c r="S95" s="13">
        <f>SUM(IFERROR(VLOOKUP($C:$C,Structure!$A:$AJ,S$1,0)*15,0),IFERROR(VLOOKUP($D:$D,Structure!$A:$AJ,S$1,0)*15,0),IFERROR(VLOOKUP($E:$E,Structure!$A:$AJ,S$1,0)*15,0))</f>
        <v>0</v>
      </c>
      <c r="T95" s="13">
        <f>SUM(IFERROR(VLOOKUP($C:$C,Structure!$A:$AJ,T$1,0)*15,0),IFERROR(VLOOKUP($D:$D,Structure!$A:$AJ,T$1,0)*15,0),IFERROR(VLOOKUP($E:$E,Structure!$A:$AJ,T$1,0)*15,0))</f>
        <v>0</v>
      </c>
      <c r="U95" s="13">
        <f>SUM(IFERROR(VLOOKUP($C:$C,Structure!$A:$AJ,U$1,0)*15,0),IFERROR(VLOOKUP($D:$D,Structure!$A:$AJ,U$1,0)*15,0),IFERROR(VLOOKUP($E:$E,Structure!$A:$AJ,U$1,0)*15,0))</f>
        <v>0</v>
      </c>
      <c r="V95" s="13">
        <f>SUM(IFERROR(VLOOKUP($C:$C,Structure!$A:$AJ,V$1,0)*15,0),IFERROR(VLOOKUP($D:$D,Structure!$A:$AJ,V$1,0)*15,0),IFERROR(VLOOKUP($E:$E,Structure!$A:$AJ,V$1,0)*15,0))</f>
        <v>0</v>
      </c>
      <c r="W95" s="13">
        <f>SUM(IFERROR(VLOOKUP($C:$C,Structure!$A:$AJ,W$1,0)*15,0),IFERROR(VLOOKUP($D:$D,Structure!$A:$AJ,W$1,0)*15,0),IFERROR(VLOOKUP($E:$E,Structure!$A:$AJ,W$1,0)*15,0))</f>
        <v>0</v>
      </c>
      <c r="X95" s="13">
        <f>SUM(IFERROR(VLOOKUP($C:$C,Structure!$A:$AJ,X$1,0)*15,0),IFERROR(VLOOKUP($D:$D,Structure!$A:$AJ,X$1,0)*15,0),IFERROR(VLOOKUP($E:$E,Structure!$A:$AJ,X$1,0)*15,0))</f>
        <v>0</v>
      </c>
      <c r="Y95" s="13">
        <f>SUM(IFERROR(VLOOKUP($C:$C,Structure!$A:$AJ,Y$1,0)*15,0),IFERROR(VLOOKUP($D:$D,Structure!$A:$AJ,Y$1,0)*15,0),IFERROR(VLOOKUP($E:$E,Structure!$A:$AJ,Y$1,0)*15,0))</f>
        <v>0</v>
      </c>
      <c r="Z95" s="13">
        <f>SUM(IFERROR(VLOOKUP($C:$C,Structure!$A:$AJ,Z$1,0)*15,0),IFERROR(VLOOKUP($D:$D,Structure!$A:$AJ,Z$1,0)*15,0),IFERROR(VLOOKUP($E:$E,Structure!$A:$AJ,Z$1,0)*15,0))</f>
        <v>0</v>
      </c>
      <c r="AA95" s="13">
        <f>SUM(IFERROR(VLOOKUP($C:$C,Structure!$A:$AJ,AA$1,0)*15,0),IFERROR(VLOOKUP($D:$D,Structure!$A:$AJ,AA$1,0)*15,0),IFERROR(VLOOKUP($E:$E,Structure!$A:$AJ,AA$1,0)*15,0))</f>
        <v>30</v>
      </c>
      <c r="AB95" s="13">
        <f>SUM(IFERROR(VLOOKUP($C:$C,Structure!$A:$AJ,AB$1,0)*15,0),IFERROR(VLOOKUP($D:$D,Structure!$A:$AJ,AB$1,0)*15,0),IFERROR(VLOOKUP($E:$E,Structure!$A:$AJ,AB$1,0)*15,0))</f>
        <v>0</v>
      </c>
      <c r="AC95" s="13">
        <f>SUM(IFERROR(VLOOKUP($C:$C,Structure!$A:$AJ,AC$1,0)*15,0),IFERROR(VLOOKUP($D:$D,Structure!$A:$AJ,AC$1,0)*15,0),IFERROR(VLOOKUP($E:$E,Structure!$A:$AJ,AC$1,0)*15,0))</f>
        <v>0</v>
      </c>
      <c r="AD95" s="13">
        <f>SUM(IFERROR(VLOOKUP($C:$C,Structure!$A:$AJ,AD$1,0)*15,0),IFERROR(VLOOKUP($D:$D,Structure!$A:$AJ,AD$1,0)*15,0),IFERROR(VLOOKUP($E:$E,Structure!$A:$AJ,AD$1,0)*15,0))</f>
        <v>0</v>
      </c>
      <c r="AE95" s="13">
        <f>SUM(IFERROR(VLOOKUP($C:$C,Structure!$A:$AJ,AE$1,0)*15,0),IFERROR(VLOOKUP($D:$D,Structure!$A:$AJ,AE$1,0)*15,0),IFERROR(VLOOKUP($E:$E,Structure!$A:$AJ,AE$1,0)*15,0))</f>
        <v>15</v>
      </c>
      <c r="AF95" s="13">
        <f>SUM(IFERROR(VLOOKUP($C:$C,Structure!$A:$AJ,AF$1,0)*15,0),IFERROR(VLOOKUP($D:$D,Structure!$A:$AJ,AF$1,0)*15,0),IFERROR(VLOOKUP($E:$E,Structure!$A:$AJ,AF$1,0)*15,0))</f>
        <v>0</v>
      </c>
      <c r="AG95" s="13">
        <f>SUM(IFERROR(VLOOKUP($C:$C,Structure!$A:$AJ,AG$1,0)*15,0),IFERROR(VLOOKUP($D:$D,Structure!$A:$AJ,AG$1,0)*15,0),IFERROR(VLOOKUP($E:$E,Structure!$A:$AJ,AG$1,0)*15,0))</f>
        <v>0</v>
      </c>
      <c r="AH95" s="13">
        <f>SUM(IFERROR(VLOOKUP($C:$C,Structure!$A:$AJ,AH$1,0)*15,0),IFERROR(VLOOKUP($D:$D,Structure!$A:$AJ,AH$1,0)*15,0),IFERROR(VLOOKUP($E:$E,Structure!$A:$AJ,AH$1,0)*15,0))</f>
        <v>15</v>
      </c>
      <c r="AI95" s="13">
        <f>SUM(IFERROR(VLOOKUP($C:$C,Structure!$A:$AJ,AI$1,0)*15,0),IFERROR(VLOOKUP($D:$D,Structure!$A:$AJ,AI$1,0)*15,0),IFERROR(VLOOKUP($E:$E,Structure!$A:$AJ,AI$1,0)*15,0))</f>
        <v>0</v>
      </c>
      <c r="AJ95" s="13">
        <f>SUM(IFERROR(VLOOKUP($C:$C,Structure!$A:$AJ,AJ$1,0)*15,0),IFERROR(VLOOKUP($D:$D,Structure!$A:$AJ,AJ$1,0)*15,0),IFERROR(VLOOKUP($E:$E,Structure!$A:$AJ,AJ$1,0)*15,0))</f>
        <v>15</v>
      </c>
      <c r="AK95" s="13">
        <f>SUM(IFERROR(VLOOKUP($C:$C,Structure!$A:$AJ,AK$1,0)*15,0),IFERROR(VLOOKUP($D:$D,Structure!$A:$AJ,AK$1,0)*15,0),IFERROR(VLOOKUP($E:$E,Structure!$A:$AJ,AK$1,0)*15,0))</f>
        <v>15</v>
      </c>
      <c r="AL95" s="13">
        <f>SUM(IFERROR(VLOOKUP($C:$C,Structure!$A:$AJ,AL$1,0)*15,0),IFERROR(VLOOKUP($D:$D,Structure!$A:$AJ,AL$1,0)*15,0),IFERROR(VLOOKUP($E:$E,Structure!$A:$AJ,AL$1,0)*15,0))</f>
        <v>0</v>
      </c>
      <c r="AM95" s="13">
        <f>SUM(IFERROR(VLOOKUP($C:$C,Structure!$A:$AJ,AM$1,0)*15,0),IFERROR(VLOOKUP($D:$D,Structure!$A:$AJ,AM$1,0)*15,0),IFERROR(VLOOKUP($E:$E,Structure!$A:$AJ,AM$1,0)*15,0))</f>
        <v>0</v>
      </c>
      <c r="AN95" s="13">
        <f>SUM(IFERROR(VLOOKUP($C:$C,Structure!$A:$AJ,AN$1,0)*15,0),IFERROR(VLOOKUP($D:$D,Structure!$A:$AJ,AN$1,0)*15,0),IFERROR(VLOOKUP($E:$E,Structure!$A:$AJ,AN$1,0)*15,0))</f>
        <v>0</v>
      </c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3"/>
      <c r="BZ95" s="4">
        <f>BZ94+AQ95-F95</f>
        <v>0</v>
      </c>
      <c r="CA95" s="4">
        <f>CA94+AR95-G95</f>
        <v>0</v>
      </c>
      <c r="CB95" s="4">
        <f>CB94+AS95-H95</f>
        <v>0</v>
      </c>
      <c r="CC95" s="4">
        <f>CC94+AT95-I95</f>
        <v>0</v>
      </c>
      <c r="CD95" s="4">
        <f>CD94+AU95-J95</f>
        <v>0</v>
      </c>
      <c r="CE95" s="4">
        <f>CE94+AV95-K95</f>
        <v>0</v>
      </c>
      <c r="CF95" s="4">
        <f>CF94+AW95-L95</f>
        <v>0</v>
      </c>
      <c r="CG95" s="4">
        <f>CG94+AX95-M95</f>
        <v>0</v>
      </c>
      <c r="CH95" s="4">
        <f>CH94+AY95-N95</f>
        <v>0</v>
      </c>
      <c r="CI95" s="4">
        <f>CI94+AZ95-O95</f>
        <v>0</v>
      </c>
      <c r="CJ95" s="4">
        <f>CJ94+BA95-P95</f>
        <v>0</v>
      </c>
      <c r="CK95" s="4">
        <f>CK94+BB95-Q95</f>
        <v>0</v>
      </c>
      <c r="CL95" s="4">
        <f>CL94+BC95-R95</f>
        <v>0</v>
      </c>
      <c r="CM95" s="4">
        <f>CM94+BD95-S95</f>
        <v>0</v>
      </c>
      <c r="CN95" s="4">
        <f>CN94+BE95-T95</f>
        <v>0</v>
      </c>
      <c r="CO95" s="4">
        <f>CO94+BF95-U95</f>
        <v>0</v>
      </c>
      <c r="CP95" s="4">
        <f>CP94+BG95-V95</f>
        <v>0</v>
      </c>
      <c r="CQ95" s="4">
        <f>CQ94+BH95-W95</f>
        <v>0</v>
      </c>
      <c r="CR95" s="4">
        <f>CR94+BI95-X95</f>
        <v>0</v>
      </c>
      <c r="CS95" s="4">
        <f>CS94+BJ95-Y95</f>
        <v>0</v>
      </c>
      <c r="CT95" s="4">
        <f>CT94+BK95-Z95</f>
        <v>0</v>
      </c>
      <c r="CU95" s="4">
        <f>CU94+BL95-AA95</f>
        <v>-3560</v>
      </c>
      <c r="CV95" s="4">
        <f>CV94+BM95-AB95</f>
        <v>-240</v>
      </c>
      <c r="CW95" s="4">
        <f>CW94+BN95-AC95</f>
        <v>-255</v>
      </c>
      <c r="CX95" s="4">
        <f>CX94+BO95-AD95</f>
        <v>0</v>
      </c>
      <c r="CY95" s="4">
        <f>CY94+BP95-AE95</f>
        <v>-30</v>
      </c>
      <c r="CZ95" s="4">
        <f>CZ94+BQ95-AF95</f>
        <v>-160</v>
      </c>
      <c r="DA95" s="4">
        <f>DA94+BR95-AG95</f>
        <v>0</v>
      </c>
      <c r="DB95" s="4">
        <f>DB94+BS95-AH95</f>
        <v>-30</v>
      </c>
      <c r="DC95" s="4">
        <f>DC94+BT95-AI95</f>
        <v>0</v>
      </c>
      <c r="DD95" s="4">
        <f>DD94+BU95-AJ95</f>
        <v>-2470</v>
      </c>
      <c r="DE95" s="4">
        <f>DE94+BV95-AK95</f>
        <v>-1110</v>
      </c>
      <c r="DF95" s="4">
        <f>DF94+BW95-AL95</f>
        <v>0</v>
      </c>
      <c r="DG95" s="4">
        <f>DG94+BX95-AM95</f>
        <v>-235</v>
      </c>
      <c r="DH95" s="4">
        <f>DH94+BY95-AN95</f>
        <v>0</v>
      </c>
    </row>
    <row r="96" spans="1:112" x14ac:dyDescent="0.25">
      <c r="A96" s="6">
        <v>46183</v>
      </c>
      <c r="B96" s="7">
        <v>0.20833333311020397</v>
      </c>
      <c r="C96" s="3" t="s">
        <v>3</v>
      </c>
      <c r="D96" s="3" t="s">
        <v>94</v>
      </c>
      <c r="E96" s="3" t="s">
        <v>2</v>
      </c>
      <c r="F96" s="13">
        <f>SUM(IFERROR(VLOOKUP($C:$C,Structure!$A:$AJ,F$1,0)*15,0),IFERROR(VLOOKUP($D:$D,Structure!$A:$AJ,F$1,0)*15,0),IFERROR(VLOOKUP($E:$E,Structure!$A:$AJ,F$1,0)*15,0))</f>
        <v>0</v>
      </c>
      <c r="G96" s="13">
        <f>SUM(IFERROR(VLOOKUP($C:$C,Structure!$A:$AJ,G$1,0)*15,0),IFERROR(VLOOKUP($D:$D,Structure!$A:$AJ,G$1,0)*15,0),IFERROR(VLOOKUP($E:$E,Structure!$A:$AJ,G$1,0)*15,0))</f>
        <v>0</v>
      </c>
      <c r="H96" s="13">
        <f>SUM(IFERROR(VLOOKUP($C:$C,Structure!$A:$AJ,H$1,0)*15,0),IFERROR(VLOOKUP($D:$D,Structure!$A:$AJ,H$1,0)*15,0),IFERROR(VLOOKUP($E:$E,Structure!$A:$AJ,H$1,0)*15,0))</f>
        <v>0</v>
      </c>
      <c r="I96" s="13">
        <f>SUM(IFERROR(VLOOKUP($C:$C,Structure!$A:$AJ,I$1,0)*15,0),IFERROR(VLOOKUP($D:$D,Structure!$A:$AJ,I$1,0)*15,0),IFERROR(VLOOKUP($E:$E,Structure!$A:$AJ,I$1,0)*15,0))</f>
        <v>0</v>
      </c>
      <c r="J96" s="13">
        <f>SUM(IFERROR(VLOOKUP($C:$C,Structure!$A:$AJ,J$1,0)*15,0),IFERROR(VLOOKUP($D:$D,Structure!$A:$AJ,J$1,0)*15,0),IFERROR(VLOOKUP($E:$E,Structure!$A:$AJ,J$1,0)*15,0))</f>
        <v>0</v>
      </c>
      <c r="K96" s="13">
        <f>SUM(IFERROR(VLOOKUP($C:$C,Structure!$A:$AJ,K$1,0)*15,0),IFERROR(VLOOKUP($D:$D,Structure!$A:$AJ,K$1,0)*15,0),IFERROR(VLOOKUP($E:$E,Structure!$A:$AJ,K$1,0)*15,0))</f>
        <v>0</v>
      </c>
      <c r="L96" s="13">
        <f>SUM(IFERROR(VLOOKUP($C:$C,Structure!$A:$AJ,L$1,0)*15,0),IFERROR(VLOOKUP($D:$D,Structure!$A:$AJ,L$1,0)*15,0),IFERROR(VLOOKUP($E:$E,Structure!$A:$AJ,L$1,0)*15,0))</f>
        <v>0</v>
      </c>
      <c r="M96" s="13">
        <f>SUM(IFERROR(VLOOKUP($C:$C,Structure!$A:$AJ,M$1,0)*15,0),IFERROR(VLOOKUP($D:$D,Structure!$A:$AJ,M$1,0)*15,0),IFERROR(VLOOKUP($E:$E,Structure!$A:$AJ,M$1,0)*15,0))</f>
        <v>0</v>
      </c>
      <c r="N96" s="13">
        <f>SUM(IFERROR(VLOOKUP($C:$C,Structure!$A:$AJ,N$1,0)*15,0),IFERROR(VLOOKUP($D:$D,Structure!$A:$AJ,N$1,0)*15,0),IFERROR(VLOOKUP($E:$E,Structure!$A:$AJ,N$1,0)*15,0))</f>
        <v>0</v>
      </c>
      <c r="O96" s="13">
        <f>SUM(IFERROR(VLOOKUP($C:$C,Structure!$A:$AJ,O$1,0)*15,0),IFERROR(VLOOKUP($D:$D,Structure!$A:$AJ,O$1,0)*15,0),IFERROR(VLOOKUP($E:$E,Structure!$A:$AJ,O$1,0)*15,0))</f>
        <v>0</v>
      </c>
      <c r="P96" s="13">
        <f>SUM(IFERROR(VLOOKUP($C:$C,Structure!$A:$AJ,P$1,0)*15,0),IFERROR(VLOOKUP($D:$D,Structure!$A:$AJ,P$1,0)*15,0),IFERROR(VLOOKUP($E:$E,Structure!$A:$AJ,P$1,0)*15,0))</f>
        <v>0</v>
      </c>
      <c r="Q96" s="13">
        <f>SUM(IFERROR(VLOOKUP($C:$C,Structure!$A:$AJ,Q$1,0)*15,0),IFERROR(VLOOKUP($D:$D,Structure!$A:$AJ,Q$1,0)*15,0),IFERROR(VLOOKUP($E:$E,Structure!$A:$AJ,Q$1,0)*15,0))</f>
        <v>0</v>
      </c>
      <c r="R96" s="13">
        <f>SUM(IFERROR(VLOOKUP($C:$C,Structure!$A:$AJ,R$1,0)*15,0),IFERROR(VLOOKUP($D:$D,Structure!$A:$AJ,R$1,0)*15,0),IFERROR(VLOOKUP($E:$E,Structure!$A:$AJ,R$1,0)*15,0))</f>
        <v>0</v>
      </c>
      <c r="S96" s="13">
        <f>SUM(IFERROR(VLOOKUP($C:$C,Structure!$A:$AJ,S$1,0)*15,0),IFERROR(VLOOKUP($D:$D,Structure!$A:$AJ,S$1,0)*15,0),IFERROR(VLOOKUP($E:$E,Structure!$A:$AJ,S$1,0)*15,0))</f>
        <v>0</v>
      </c>
      <c r="T96" s="13">
        <f>SUM(IFERROR(VLOOKUP($C:$C,Structure!$A:$AJ,T$1,0)*15,0),IFERROR(VLOOKUP($D:$D,Structure!$A:$AJ,T$1,0)*15,0),IFERROR(VLOOKUP($E:$E,Structure!$A:$AJ,T$1,0)*15,0))</f>
        <v>0</v>
      </c>
      <c r="U96" s="13">
        <f>SUM(IFERROR(VLOOKUP($C:$C,Structure!$A:$AJ,U$1,0)*15,0),IFERROR(VLOOKUP($D:$D,Structure!$A:$AJ,U$1,0)*15,0),IFERROR(VLOOKUP($E:$E,Structure!$A:$AJ,U$1,0)*15,0))</f>
        <v>0</v>
      </c>
      <c r="V96" s="13">
        <f>SUM(IFERROR(VLOOKUP($C:$C,Structure!$A:$AJ,V$1,0)*15,0),IFERROR(VLOOKUP($D:$D,Structure!$A:$AJ,V$1,0)*15,0),IFERROR(VLOOKUP($E:$E,Structure!$A:$AJ,V$1,0)*15,0))</f>
        <v>0</v>
      </c>
      <c r="W96" s="13">
        <f>SUM(IFERROR(VLOOKUP($C:$C,Structure!$A:$AJ,W$1,0)*15,0),IFERROR(VLOOKUP($D:$D,Structure!$A:$AJ,W$1,0)*15,0),IFERROR(VLOOKUP($E:$E,Structure!$A:$AJ,W$1,0)*15,0))</f>
        <v>0</v>
      </c>
      <c r="X96" s="13">
        <f>SUM(IFERROR(VLOOKUP($C:$C,Structure!$A:$AJ,X$1,0)*15,0),IFERROR(VLOOKUP($D:$D,Structure!$A:$AJ,X$1,0)*15,0),IFERROR(VLOOKUP($E:$E,Structure!$A:$AJ,X$1,0)*15,0))</f>
        <v>0</v>
      </c>
      <c r="Y96" s="13">
        <f>SUM(IFERROR(VLOOKUP($C:$C,Structure!$A:$AJ,Y$1,0)*15,0),IFERROR(VLOOKUP($D:$D,Structure!$A:$AJ,Y$1,0)*15,0),IFERROR(VLOOKUP($E:$E,Structure!$A:$AJ,Y$1,0)*15,0))</f>
        <v>0</v>
      </c>
      <c r="Z96" s="13">
        <f>SUM(IFERROR(VLOOKUP($C:$C,Structure!$A:$AJ,Z$1,0)*15,0),IFERROR(VLOOKUP($D:$D,Structure!$A:$AJ,Z$1,0)*15,0),IFERROR(VLOOKUP($E:$E,Structure!$A:$AJ,Z$1,0)*15,0))</f>
        <v>0</v>
      </c>
      <c r="AA96" s="13">
        <f>SUM(IFERROR(VLOOKUP($C:$C,Structure!$A:$AJ,AA$1,0)*15,0),IFERROR(VLOOKUP($D:$D,Structure!$A:$AJ,AA$1,0)*15,0),IFERROR(VLOOKUP($E:$E,Structure!$A:$AJ,AA$1,0)*15,0))</f>
        <v>30</v>
      </c>
      <c r="AB96" s="13">
        <f>SUM(IFERROR(VLOOKUP($C:$C,Structure!$A:$AJ,AB$1,0)*15,0),IFERROR(VLOOKUP($D:$D,Structure!$A:$AJ,AB$1,0)*15,0),IFERROR(VLOOKUP($E:$E,Structure!$A:$AJ,AB$1,0)*15,0))</f>
        <v>0</v>
      </c>
      <c r="AC96" s="13">
        <f>SUM(IFERROR(VLOOKUP($C:$C,Structure!$A:$AJ,AC$1,0)*15,0),IFERROR(VLOOKUP($D:$D,Structure!$A:$AJ,AC$1,0)*15,0),IFERROR(VLOOKUP($E:$E,Structure!$A:$AJ,AC$1,0)*15,0))</f>
        <v>0</v>
      </c>
      <c r="AD96" s="13">
        <f>SUM(IFERROR(VLOOKUP($C:$C,Structure!$A:$AJ,AD$1,0)*15,0),IFERROR(VLOOKUP($D:$D,Structure!$A:$AJ,AD$1,0)*15,0),IFERROR(VLOOKUP($E:$E,Structure!$A:$AJ,AD$1,0)*15,0))</f>
        <v>0</v>
      </c>
      <c r="AE96" s="13">
        <f>SUM(IFERROR(VLOOKUP($C:$C,Structure!$A:$AJ,AE$1,0)*15,0),IFERROR(VLOOKUP($D:$D,Structure!$A:$AJ,AE$1,0)*15,0),IFERROR(VLOOKUP($E:$E,Structure!$A:$AJ,AE$1,0)*15,0))</f>
        <v>15</v>
      </c>
      <c r="AF96" s="13">
        <f>SUM(IFERROR(VLOOKUP($C:$C,Structure!$A:$AJ,AF$1,0)*15,0),IFERROR(VLOOKUP($D:$D,Structure!$A:$AJ,AF$1,0)*15,0),IFERROR(VLOOKUP($E:$E,Structure!$A:$AJ,AF$1,0)*15,0))</f>
        <v>0</v>
      </c>
      <c r="AG96" s="13">
        <f>SUM(IFERROR(VLOOKUP($C:$C,Structure!$A:$AJ,AG$1,0)*15,0),IFERROR(VLOOKUP($D:$D,Structure!$A:$AJ,AG$1,0)*15,0),IFERROR(VLOOKUP($E:$E,Structure!$A:$AJ,AG$1,0)*15,0))</f>
        <v>0</v>
      </c>
      <c r="AH96" s="13">
        <f>SUM(IFERROR(VLOOKUP($C:$C,Structure!$A:$AJ,AH$1,0)*15,0),IFERROR(VLOOKUP($D:$D,Structure!$A:$AJ,AH$1,0)*15,0),IFERROR(VLOOKUP($E:$E,Structure!$A:$AJ,AH$1,0)*15,0))</f>
        <v>15</v>
      </c>
      <c r="AI96" s="13">
        <f>SUM(IFERROR(VLOOKUP($C:$C,Structure!$A:$AJ,AI$1,0)*15,0),IFERROR(VLOOKUP($D:$D,Structure!$A:$AJ,AI$1,0)*15,0),IFERROR(VLOOKUP($E:$E,Structure!$A:$AJ,AI$1,0)*15,0))</f>
        <v>0</v>
      </c>
      <c r="AJ96" s="13">
        <f>SUM(IFERROR(VLOOKUP($C:$C,Structure!$A:$AJ,AJ$1,0)*15,0),IFERROR(VLOOKUP($D:$D,Structure!$A:$AJ,AJ$1,0)*15,0),IFERROR(VLOOKUP($E:$E,Structure!$A:$AJ,AJ$1,0)*15,0))</f>
        <v>15</v>
      </c>
      <c r="AK96" s="13">
        <f>SUM(IFERROR(VLOOKUP($C:$C,Structure!$A:$AJ,AK$1,0)*15,0),IFERROR(VLOOKUP($D:$D,Structure!$A:$AJ,AK$1,0)*15,0),IFERROR(VLOOKUP($E:$E,Structure!$A:$AJ,AK$1,0)*15,0))</f>
        <v>15</v>
      </c>
      <c r="AL96" s="13">
        <f>SUM(IFERROR(VLOOKUP($C:$C,Structure!$A:$AJ,AL$1,0)*15,0),IFERROR(VLOOKUP($D:$D,Structure!$A:$AJ,AL$1,0)*15,0),IFERROR(VLOOKUP($E:$E,Structure!$A:$AJ,AL$1,0)*15,0))</f>
        <v>0</v>
      </c>
      <c r="AM96" s="13">
        <f>SUM(IFERROR(VLOOKUP($C:$C,Structure!$A:$AJ,AM$1,0)*15,0),IFERROR(VLOOKUP($D:$D,Structure!$A:$AJ,AM$1,0)*15,0),IFERROR(VLOOKUP($E:$E,Structure!$A:$AJ,AM$1,0)*15,0))</f>
        <v>0</v>
      </c>
      <c r="AN96" s="13">
        <f>SUM(IFERROR(VLOOKUP($C:$C,Structure!$A:$AJ,AN$1,0)*15,0),IFERROR(VLOOKUP($D:$D,Structure!$A:$AJ,AN$1,0)*15,0),IFERROR(VLOOKUP($E:$E,Structure!$A:$AJ,AN$1,0)*15,0))</f>
        <v>0</v>
      </c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3"/>
      <c r="BZ96" s="4">
        <f>BZ95+AQ96-F96</f>
        <v>0</v>
      </c>
      <c r="CA96" s="4">
        <f>CA95+AR96-G96</f>
        <v>0</v>
      </c>
      <c r="CB96" s="4">
        <f>CB95+AS96-H96</f>
        <v>0</v>
      </c>
      <c r="CC96" s="4">
        <f>CC95+AT96-I96</f>
        <v>0</v>
      </c>
      <c r="CD96" s="4">
        <f>CD95+AU96-J96</f>
        <v>0</v>
      </c>
      <c r="CE96" s="4">
        <f>CE95+AV96-K96</f>
        <v>0</v>
      </c>
      <c r="CF96" s="4">
        <f>CF95+AW96-L96</f>
        <v>0</v>
      </c>
      <c r="CG96" s="4">
        <f>CG95+AX96-M96</f>
        <v>0</v>
      </c>
      <c r="CH96" s="4">
        <f>CH95+AY96-N96</f>
        <v>0</v>
      </c>
      <c r="CI96" s="4">
        <f>CI95+AZ96-O96</f>
        <v>0</v>
      </c>
      <c r="CJ96" s="4">
        <f>CJ95+BA96-P96</f>
        <v>0</v>
      </c>
      <c r="CK96" s="4">
        <f>CK95+BB96-Q96</f>
        <v>0</v>
      </c>
      <c r="CL96" s="4">
        <f>CL95+BC96-R96</f>
        <v>0</v>
      </c>
      <c r="CM96" s="4">
        <f>CM95+BD96-S96</f>
        <v>0</v>
      </c>
      <c r="CN96" s="4">
        <f>CN95+BE96-T96</f>
        <v>0</v>
      </c>
      <c r="CO96" s="4">
        <f>CO95+BF96-U96</f>
        <v>0</v>
      </c>
      <c r="CP96" s="4">
        <f>CP95+BG96-V96</f>
        <v>0</v>
      </c>
      <c r="CQ96" s="4">
        <f>CQ95+BH96-W96</f>
        <v>0</v>
      </c>
      <c r="CR96" s="4">
        <f>CR95+BI96-X96</f>
        <v>0</v>
      </c>
      <c r="CS96" s="4">
        <f>CS95+BJ96-Y96</f>
        <v>0</v>
      </c>
      <c r="CT96" s="4">
        <f>CT95+BK96-Z96</f>
        <v>0</v>
      </c>
      <c r="CU96" s="4">
        <f>CU95+BL96-AA96</f>
        <v>-3590</v>
      </c>
      <c r="CV96" s="4">
        <f>CV95+BM96-AB96</f>
        <v>-240</v>
      </c>
      <c r="CW96" s="4">
        <f>CW95+BN96-AC96</f>
        <v>-255</v>
      </c>
      <c r="CX96" s="4">
        <f>CX95+BO96-AD96</f>
        <v>0</v>
      </c>
      <c r="CY96" s="4">
        <f>CY95+BP96-AE96</f>
        <v>-45</v>
      </c>
      <c r="CZ96" s="4">
        <f>CZ95+BQ96-AF96</f>
        <v>-160</v>
      </c>
      <c r="DA96" s="4">
        <f>DA95+BR96-AG96</f>
        <v>0</v>
      </c>
      <c r="DB96" s="4">
        <f>DB95+BS96-AH96</f>
        <v>-45</v>
      </c>
      <c r="DC96" s="4">
        <f>DC95+BT96-AI96</f>
        <v>0</v>
      </c>
      <c r="DD96" s="4">
        <f>DD95+BU96-AJ96</f>
        <v>-2485</v>
      </c>
      <c r="DE96" s="4">
        <f>DE95+BV96-AK96</f>
        <v>-1125</v>
      </c>
      <c r="DF96" s="4">
        <f>DF95+BW96-AL96</f>
        <v>0</v>
      </c>
      <c r="DG96" s="4">
        <f>DG95+BX96-AM96</f>
        <v>-235</v>
      </c>
      <c r="DH96" s="4">
        <f>DH95+BY96-AN96</f>
        <v>0</v>
      </c>
    </row>
    <row r="97" spans="1:112" x14ac:dyDescent="0.25">
      <c r="A97" s="6">
        <v>46183</v>
      </c>
      <c r="B97" s="7">
        <v>0.24999999977444531</v>
      </c>
      <c r="C97" s="3" t="s">
        <v>2</v>
      </c>
      <c r="D97" s="3" t="s">
        <v>94</v>
      </c>
      <c r="E97" s="3" t="s">
        <v>2</v>
      </c>
      <c r="F97" s="13">
        <f>SUM(IFERROR(VLOOKUP($C:$C,Structure!$A:$AJ,F$1,0)*15,0),IFERROR(VLOOKUP($D:$D,Structure!$A:$AJ,F$1,0)*15,0),IFERROR(VLOOKUP($E:$E,Structure!$A:$AJ,F$1,0)*15,0))</f>
        <v>0</v>
      </c>
      <c r="G97" s="13">
        <f>SUM(IFERROR(VLOOKUP($C:$C,Structure!$A:$AJ,G$1,0)*15,0),IFERROR(VLOOKUP($D:$D,Structure!$A:$AJ,G$1,0)*15,0),IFERROR(VLOOKUP($E:$E,Structure!$A:$AJ,G$1,0)*15,0))</f>
        <v>0</v>
      </c>
      <c r="H97" s="13">
        <f>SUM(IFERROR(VLOOKUP($C:$C,Structure!$A:$AJ,H$1,0)*15,0),IFERROR(VLOOKUP($D:$D,Structure!$A:$AJ,H$1,0)*15,0),IFERROR(VLOOKUP($E:$E,Structure!$A:$AJ,H$1,0)*15,0))</f>
        <v>0</v>
      </c>
      <c r="I97" s="13">
        <f>SUM(IFERROR(VLOOKUP($C:$C,Structure!$A:$AJ,I$1,0)*15,0),IFERROR(VLOOKUP($D:$D,Structure!$A:$AJ,I$1,0)*15,0),IFERROR(VLOOKUP($E:$E,Structure!$A:$AJ,I$1,0)*15,0))</f>
        <v>0</v>
      </c>
      <c r="J97" s="13">
        <f>SUM(IFERROR(VLOOKUP($C:$C,Structure!$A:$AJ,J$1,0)*15,0),IFERROR(VLOOKUP($D:$D,Structure!$A:$AJ,J$1,0)*15,0),IFERROR(VLOOKUP($E:$E,Structure!$A:$AJ,J$1,0)*15,0))</f>
        <v>0</v>
      </c>
      <c r="K97" s="13">
        <f>SUM(IFERROR(VLOOKUP($C:$C,Structure!$A:$AJ,K$1,0)*15,0),IFERROR(VLOOKUP($D:$D,Structure!$A:$AJ,K$1,0)*15,0),IFERROR(VLOOKUP($E:$E,Structure!$A:$AJ,K$1,0)*15,0))</f>
        <v>0</v>
      </c>
      <c r="L97" s="13">
        <f>SUM(IFERROR(VLOOKUP($C:$C,Structure!$A:$AJ,L$1,0)*15,0),IFERROR(VLOOKUP($D:$D,Structure!$A:$AJ,L$1,0)*15,0),IFERROR(VLOOKUP($E:$E,Structure!$A:$AJ,L$1,0)*15,0))</f>
        <v>0</v>
      </c>
      <c r="M97" s="13">
        <f>SUM(IFERROR(VLOOKUP($C:$C,Structure!$A:$AJ,M$1,0)*15,0),IFERROR(VLOOKUP($D:$D,Structure!$A:$AJ,M$1,0)*15,0),IFERROR(VLOOKUP($E:$E,Structure!$A:$AJ,M$1,0)*15,0))</f>
        <v>0</v>
      </c>
      <c r="N97" s="13">
        <f>SUM(IFERROR(VLOOKUP($C:$C,Structure!$A:$AJ,N$1,0)*15,0),IFERROR(VLOOKUP($D:$D,Structure!$A:$AJ,N$1,0)*15,0),IFERROR(VLOOKUP($E:$E,Structure!$A:$AJ,N$1,0)*15,0))</f>
        <v>0</v>
      </c>
      <c r="O97" s="13">
        <f>SUM(IFERROR(VLOOKUP($C:$C,Structure!$A:$AJ,O$1,0)*15,0),IFERROR(VLOOKUP($D:$D,Structure!$A:$AJ,O$1,0)*15,0),IFERROR(VLOOKUP($E:$E,Structure!$A:$AJ,O$1,0)*15,0))</f>
        <v>0</v>
      </c>
      <c r="P97" s="13">
        <f>SUM(IFERROR(VLOOKUP($C:$C,Structure!$A:$AJ,P$1,0)*15,0),IFERROR(VLOOKUP($D:$D,Structure!$A:$AJ,P$1,0)*15,0),IFERROR(VLOOKUP($E:$E,Structure!$A:$AJ,P$1,0)*15,0))</f>
        <v>0</v>
      </c>
      <c r="Q97" s="13">
        <f>SUM(IFERROR(VLOOKUP($C:$C,Structure!$A:$AJ,Q$1,0)*15,0),IFERROR(VLOOKUP($D:$D,Structure!$A:$AJ,Q$1,0)*15,0),IFERROR(VLOOKUP($E:$E,Structure!$A:$AJ,Q$1,0)*15,0))</f>
        <v>0</v>
      </c>
      <c r="R97" s="13">
        <f>SUM(IFERROR(VLOOKUP($C:$C,Structure!$A:$AJ,R$1,0)*15,0),IFERROR(VLOOKUP($D:$D,Structure!$A:$AJ,R$1,0)*15,0),IFERROR(VLOOKUP($E:$E,Structure!$A:$AJ,R$1,0)*15,0))</f>
        <v>0</v>
      </c>
      <c r="S97" s="13">
        <f>SUM(IFERROR(VLOOKUP($C:$C,Structure!$A:$AJ,S$1,0)*15,0),IFERROR(VLOOKUP($D:$D,Structure!$A:$AJ,S$1,0)*15,0),IFERROR(VLOOKUP($E:$E,Structure!$A:$AJ,S$1,0)*15,0))</f>
        <v>0</v>
      </c>
      <c r="T97" s="13">
        <f>SUM(IFERROR(VLOOKUP($C:$C,Structure!$A:$AJ,T$1,0)*15,0),IFERROR(VLOOKUP($D:$D,Structure!$A:$AJ,T$1,0)*15,0),IFERROR(VLOOKUP($E:$E,Structure!$A:$AJ,T$1,0)*15,0))</f>
        <v>0</v>
      </c>
      <c r="U97" s="13">
        <f>SUM(IFERROR(VLOOKUP($C:$C,Structure!$A:$AJ,U$1,0)*15,0),IFERROR(VLOOKUP($D:$D,Structure!$A:$AJ,U$1,0)*15,0),IFERROR(VLOOKUP($E:$E,Structure!$A:$AJ,U$1,0)*15,0))</f>
        <v>0</v>
      </c>
      <c r="V97" s="13">
        <f>SUM(IFERROR(VLOOKUP($C:$C,Structure!$A:$AJ,V$1,0)*15,0),IFERROR(VLOOKUP($D:$D,Structure!$A:$AJ,V$1,0)*15,0),IFERROR(VLOOKUP($E:$E,Structure!$A:$AJ,V$1,0)*15,0))</f>
        <v>0</v>
      </c>
      <c r="W97" s="13">
        <f>SUM(IFERROR(VLOOKUP($C:$C,Structure!$A:$AJ,W$1,0)*15,0),IFERROR(VLOOKUP($D:$D,Structure!$A:$AJ,W$1,0)*15,0),IFERROR(VLOOKUP($E:$E,Structure!$A:$AJ,W$1,0)*15,0))</f>
        <v>0</v>
      </c>
      <c r="X97" s="13">
        <f>SUM(IFERROR(VLOOKUP($C:$C,Structure!$A:$AJ,X$1,0)*15,0),IFERROR(VLOOKUP($D:$D,Structure!$A:$AJ,X$1,0)*15,0),IFERROR(VLOOKUP($E:$E,Structure!$A:$AJ,X$1,0)*15,0))</f>
        <v>0</v>
      </c>
      <c r="Y97" s="13">
        <f>SUM(IFERROR(VLOOKUP($C:$C,Structure!$A:$AJ,Y$1,0)*15,0),IFERROR(VLOOKUP($D:$D,Structure!$A:$AJ,Y$1,0)*15,0),IFERROR(VLOOKUP($E:$E,Structure!$A:$AJ,Y$1,0)*15,0))</f>
        <v>0</v>
      </c>
      <c r="Z97" s="13">
        <f>SUM(IFERROR(VLOOKUP($C:$C,Structure!$A:$AJ,Z$1,0)*15,0),IFERROR(VLOOKUP($D:$D,Structure!$A:$AJ,Z$1,0)*15,0),IFERROR(VLOOKUP($E:$E,Structure!$A:$AJ,Z$1,0)*15,0))</f>
        <v>0</v>
      </c>
      <c r="AA97" s="13">
        <f>SUM(IFERROR(VLOOKUP($C:$C,Structure!$A:$AJ,AA$1,0)*15,0),IFERROR(VLOOKUP($D:$D,Structure!$A:$AJ,AA$1,0)*15,0),IFERROR(VLOOKUP($E:$E,Structure!$A:$AJ,AA$1,0)*15,0))</f>
        <v>30</v>
      </c>
      <c r="AB97" s="13">
        <f>SUM(IFERROR(VLOOKUP($C:$C,Structure!$A:$AJ,AB$1,0)*15,0),IFERROR(VLOOKUP($D:$D,Structure!$A:$AJ,AB$1,0)*15,0),IFERROR(VLOOKUP($E:$E,Structure!$A:$AJ,AB$1,0)*15,0))</f>
        <v>0</v>
      </c>
      <c r="AC97" s="13">
        <f>SUM(IFERROR(VLOOKUP($C:$C,Structure!$A:$AJ,AC$1,0)*15,0),IFERROR(VLOOKUP($D:$D,Structure!$A:$AJ,AC$1,0)*15,0),IFERROR(VLOOKUP($E:$E,Structure!$A:$AJ,AC$1,0)*15,0))</f>
        <v>0</v>
      </c>
      <c r="AD97" s="13">
        <f>SUM(IFERROR(VLOOKUP($C:$C,Structure!$A:$AJ,AD$1,0)*15,0),IFERROR(VLOOKUP($D:$D,Structure!$A:$AJ,AD$1,0)*15,0),IFERROR(VLOOKUP($E:$E,Structure!$A:$AJ,AD$1,0)*15,0))</f>
        <v>0</v>
      </c>
      <c r="AE97" s="13">
        <f>SUM(IFERROR(VLOOKUP($C:$C,Structure!$A:$AJ,AE$1,0)*15,0),IFERROR(VLOOKUP($D:$D,Structure!$A:$AJ,AE$1,0)*15,0),IFERROR(VLOOKUP($E:$E,Structure!$A:$AJ,AE$1,0)*15,0))</f>
        <v>15</v>
      </c>
      <c r="AF97" s="13">
        <f>SUM(IFERROR(VLOOKUP($C:$C,Structure!$A:$AJ,AF$1,0)*15,0),IFERROR(VLOOKUP($D:$D,Structure!$A:$AJ,AF$1,0)*15,0),IFERROR(VLOOKUP($E:$E,Structure!$A:$AJ,AF$1,0)*15,0))</f>
        <v>0</v>
      </c>
      <c r="AG97" s="13">
        <f>SUM(IFERROR(VLOOKUP($C:$C,Structure!$A:$AJ,AG$1,0)*15,0),IFERROR(VLOOKUP($D:$D,Structure!$A:$AJ,AG$1,0)*15,0),IFERROR(VLOOKUP($E:$E,Structure!$A:$AJ,AG$1,0)*15,0))</f>
        <v>0</v>
      </c>
      <c r="AH97" s="13">
        <f>SUM(IFERROR(VLOOKUP($C:$C,Structure!$A:$AJ,AH$1,0)*15,0),IFERROR(VLOOKUP($D:$D,Structure!$A:$AJ,AH$1,0)*15,0),IFERROR(VLOOKUP($E:$E,Structure!$A:$AJ,AH$1,0)*15,0))</f>
        <v>15</v>
      </c>
      <c r="AI97" s="13">
        <f>SUM(IFERROR(VLOOKUP($C:$C,Structure!$A:$AJ,AI$1,0)*15,0),IFERROR(VLOOKUP($D:$D,Structure!$A:$AJ,AI$1,0)*15,0),IFERROR(VLOOKUP($E:$E,Structure!$A:$AJ,AI$1,0)*15,0))</f>
        <v>0</v>
      </c>
      <c r="AJ97" s="13">
        <f>SUM(IFERROR(VLOOKUP($C:$C,Structure!$A:$AJ,AJ$1,0)*15,0),IFERROR(VLOOKUP($D:$D,Structure!$A:$AJ,AJ$1,0)*15,0),IFERROR(VLOOKUP($E:$E,Structure!$A:$AJ,AJ$1,0)*15,0))</f>
        <v>30</v>
      </c>
      <c r="AK97" s="13">
        <f>SUM(IFERROR(VLOOKUP($C:$C,Structure!$A:$AJ,AK$1,0)*15,0),IFERROR(VLOOKUP($D:$D,Structure!$A:$AJ,AK$1,0)*15,0),IFERROR(VLOOKUP($E:$E,Structure!$A:$AJ,AK$1,0)*15,0))</f>
        <v>0</v>
      </c>
      <c r="AL97" s="13">
        <f>SUM(IFERROR(VLOOKUP($C:$C,Structure!$A:$AJ,AL$1,0)*15,0),IFERROR(VLOOKUP($D:$D,Structure!$A:$AJ,AL$1,0)*15,0),IFERROR(VLOOKUP($E:$E,Structure!$A:$AJ,AL$1,0)*15,0))</f>
        <v>0</v>
      </c>
      <c r="AM97" s="13">
        <f>SUM(IFERROR(VLOOKUP($C:$C,Structure!$A:$AJ,AM$1,0)*15,0),IFERROR(VLOOKUP($D:$D,Structure!$A:$AJ,AM$1,0)*15,0),IFERROR(VLOOKUP($E:$E,Structure!$A:$AJ,AM$1,0)*15,0))</f>
        <v>0</v>
      </c>
      <c r="AN97" s="13">
        <f>SUM(IFERROR(VLOOKUP($C:$C,Structure!$A:$AJ,AN$1,0)*15,0),IFERROR(VLOOKUP($D:$D,Structure!$A:$AJ,AN$1,0)*15,0),IFERROR(VLOOKUP($E:$E,Structure!$A:$AJ,AN$1,0)*15,0))</f>
        <v>0</v>
      </c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3"/>
      <c r="BZ97" s="4">
        <f>BZ96+AQ97-F97</f>
        <v>0</v>
      </c>
      <c r="CA97" s="4">
        <f>CA96+AR97-G97</f>
        <v>0</v>
      </c>
      <c r="CB97" s="4">
        <f>CB96+AS97-H97</f>
        <v>0</v>
      </c>
      <c r="CC97" s="4">
        <f>CC96+AT97-I97</f>
        <v>0</v>
      </c>
      <c r="CD97" s="4">
        <f>CD96+AU97-J97</f>
        <v>0</v>
      </c>
      <c r="CE97" s="4">
        <f>CE96+AV97-K97</f>
        <v>0</v>
      </c>
      <c r="CF97" s="4">
        <f>CF96+AW97-L97</f>
        <v>0</v>
      </c>
      <c r="CG97" s="4">
        <f>CG96+AX97-M97</f>
        <v>0</v>
      </c>
      <c r="CH97" s="4">
        <f>CH96+AY97-N97</f>
        <v>0</v>
      </c>
      <c r="CI97" s="4">
        <f>CI96+AZ97-O97</f>
        <v>0</v>
      </c>
      <c r="CJ97" s="4">
        <f>CJ96+BA97-P97</f>
        <v>0</v>
      </c>
      <c r="CK97" s="4">
        <f>CK96+BB97-Q97</f>
        <v>0</v>
      </c>
      <c r="CL97" s="4">
        <f>CL96+BC97-R97</f>
        <v>0</v>
      </c>
      <c r="CM97" s="4">
        <f>CM96+BD97-S97</f>
        <v>0</v>
      </c>
      <c r="CN97" s="4">
        <f>CN96+BE97-T97</f>
        <v>0</v>
      </c>
      <c r="CO97" s="4">
        <f>CO96+BF97-U97</f>
        <v>0</v>
      </c>
      <c r="CP97" s="4">
        <f>CP96+BG97-V97</f>
        <v>0</v>
      </c>
      <c r="CQ97" s="4">
        <f>CQ96+BH97-W97</f>
        <v>0</v>
      </c>
      <c r="CR97" s="4">
        <f>CR96+BI97-X97</f>
        <v>0</v>
      </c>
      <c r="CS97" s="4">
        <f>CS96+BJ97-Y97</f>
        <v>0</v>
      </c>
      <c r="CT97" s="4">
        <f>CT96+BK97-Z97</f>
        <v>0</v>
      </c>
      <c r="CU97" s="4">
        <f>CU96+BL97-AA97</f>
        <v>-3620</v>
      </c>
      <c r="CV97" s="4">
        <f>CV96+BM97-AB97</f>
        <v>-240</v>
      </c>
      <c r="CW97" s="4">
        <f>CW96+BN97-AC97</f>
        <v>-255</v>
      </c>
      <c r="CX97" s="4">
        <f>CX96+BO97-AD97</f>
        <v>0</v>
      </c>
      <c r="CY97" s="4">
        <f>CY96+BP97-AE97</f>
        <v>-60</v>
      </c>
      <c r="CZ97" s="4">
        <f>CZ96+BQ97-AF97</f>
        <v>-160</v>
      </c>
      <c r="DA97" s="4">
        <f>DA96+BR97-AG97</f>
        <v>0</v>
      </c>
      <c r="DB97" s="4">
        <f>DB96+BS97-AH97</f>
        <v>-60</v>
      </c>
      <c r="DC97" s="4">
        <f>DC96+BT97-AI97</f>
        <v>0</v>
      </c>
      <c r="DD97" s="4">
        <f>DD96+BU97-AJ97</f>
        <v>-2515</v>
      </c>
      <c r="DE97" s="4">
        <f>DE96+BV97-AK97</f>
        <v>-1125</v>
      </c>
      <c r="DF97" s="4">
        <f>DF96+BW97-AL97</f>
        <v>0</v>
      </c>
      <c r="DG97" s="4">
        <f>DG96+BX97-AM97</f>
        <v>-235</v>
      </c>
      <c r="DH97" s="4">
        <f>DH96+BY97-AN97</f>
        <v>0</v>
      </c>
    </row>
    <row r="98" spans="1:112" x14ac:dyDescent="0.25">
      <c r="A98" s="6">
        <v>46183</v>
      </c>
      <c r="B98" s="7">
        <v>0.29166666643868666</v>
      </c>
      <c r="C98" s="3" t="s">
        <v>2</v>
      </c>
      <c r="D98" s="3" t="s">
        <v>76</v>
      </c>
      <c r="E98" s="3" t="s">
        <v>2</v>
      </c>
      <c r="F98" s="13">
        <f>SUM(IFERROR(VLOOKUP($C:$C,Structure!$A:$AJ,F$1,0)*15,0),IFERROR(VLOOKUP($D:$D,Structure!$A:$AJ,F$1,0)*15,0),IFERROR(VLOOKUP($E:$E,Structure!$A:$AJ,F$1,0)*15,0))</f>
        <v>0</v>
      </c>
      <c r="G98" s="13">
        <f>SUM(IFERROR(VLOOKUP($C:$C,Structure!$A:$AJ,G$1,0)*15,0),IFERROR(VLOOKUP($D:$D,Structure!$A:$AJ,G$1,0)*15,0),IFERROR(VLOOKUP($E:$E,Structure!$A:$AJ,G$1,0)*15,0))</f>
        <v>0</v>
      </c>
      <c r="H98" s="13">
        <f>SUM(IFERROR(VLOOKUP($C:$C,Structure!$A:$AJ,H$1,0)*15,0),IFERROR(VLOOKUP($D:$D,Structure!$A:$AJ,H$1,0)*15,0),IFERROR(VLOOKUP($E:$E,Structure!$A:$AJ,H$1,0)*15,0))</f>
        <v>0</v>
      </c>
      <c r="I98" s="13">
        <f>SUM(IFERROR(VLOOKUP($C:$C,Structure!$A:$AJ,I$1,0)*15,0),IFERROR(VLOOKUP($D:$D,Structure!$A:$AJ,I$1,0)*15,0),IFERROR(VLOOKUP($E:$E,Structure!$A:$AJ,I$1,0)*15,0))</f>
        <v>0</v>
      </c>
      <c r="J98" s="13">
        <f>SUM(IFERROR(VLOOKUP($C:$C,Structure!$A:$AJ,J$1,0)*15,0),IFERROR(VLOOKUP($D:$D,Structure!$A:$AJ,J$1,0)*15,0),IFERROR(VLOOKUP($E:$E,Structure!$A:$AJ,J$1,0)*15,0))</f>
        <v>0</v>
      </c>
      <c r="K98" s="13">
        <f>SUM(IFERROR(VLOOKUP($C:$C,Structure!$A:$AJ,K$1,0)*15,0),IFERROR(VLOOKUP($D:$D,Structure!$A:$AJ,K$1,0)*15,0),IFERROR(VLOOKUP($E:$E,Structure!$A:$AJ,K$1,0)*15,0))</f>
        <v>0</v>
      </c>
      <c r="L98" s="13">
        <f>SUM(IFERROR(VLOOKUP($C:$C,Structure!$A:$AJ,L$1,0)*15,0),IFERROR(VLOOKUP($D:$D,Structure!$A:$AJ,L$1,0)*15,0),IFERROR(VLOOKUP($E:$E,Structure!$A:$AJ,L$1,0)*15,0))</f>
        <v>0</v>
      </c>
      <c r="M98" s="13">
        <f>SUM(IFERROR(VLOOKUP($C:$C,Structure!$A:$AJ,M$1,0)*15,0),IFERROR(VLOOKUP($D:$D,Structure!$A:$AJ,M$1,0)*15,0),IFERROR(VLOOKUP($E:$E,Structure!$A:$AJ,M$1,0)*15,0))</f>
        <v>0</v>
      </c>
      <c r="N98" s="13">
        <f>SUM(IFERROR(VLOOKUP($C:$C,Structure!$A:$AJ,N$1,0)*15,0),IFERROR(VLOOKUP($D:$D,Structure!$A:$AJ,N$1,0)*15,0),IFERROR(VLOOKUP($E:$E,Structure!$A:$AJ,N$1,0)*15,0))</f>
        <v>0</v>
      </c>
      <c r="O98" s="13">
        <f>SUM(IFERROR(VLOOKUP($C:$C,Structure!$A:$AJ,O$1,0)*15,0),IFERROR(VLOOKUP($D:$D,Structure!$A:$AJ,O$1,0)*15,0),IFERROR(VLOOKUP($E:$E,Structure!$A:$AJ,O$1,0)*15,0))</f>
        <v>0</v>
      </c>
      <c r="P98" s="13">
        <f>SUM(IFERROR(VLOOKUP($C:$C,Structure!$A:$AJ,P$1,0)*15,0),IFERROR(VLOOKUP($D:$D,Structure!$A:$AJ,P$1,0)*15,0),IFERROR(VLOOKUP($E:$E,Structure!$A:$AJ,P$1,0)*15,0))</f>
        <v>0</v>
      </c>
      <c r="Q98" s="13">
        <f>SUM(IFERROR(VLOOKUP($C:$C,Structure!$A:$AJ,Q$1,0)*15,0),IFERROR(VLOOKUP($D:$D,Structure!$A:$AJ,Q$1,0)*15,0),IFERROR(VLOOKUP($E:$E,Structure!$A:$AJ,Q$1,0)*15,0))</f>
        <v>0</v>
      </c>
      <c r="R98" s="13">
        <f>SUM(IFERROR(VLOOKUP($C:$C,Structure!$A:$AJ,R$1,0)*15,0),IFERROR(VLOOKUP($D:$D,Structure!$A:$AJ,R$1,0)*15,0),IFERROR(VLOOKUP($E:$E,Structure!$A:$AJ,R$1,0)*15,0))</f>
        <v>0</v>
      </c>
      <c r="S98" s="13">
        <f>SUM(IFERROR(VLOOKUP($C:$C,Structure!$A:$AJ,S$1,0)*15,0),IFERROR(VLOOKUP($D:$D,Structure!$A:$AJ,S$1,0)*15,0),IFERROR(VLOOKUP($E:$E,Structure!$A:$AJ,S$1,0)*15,0))</f>
        <v>0</v>
      </c>
      <c r="T98" s="13">
        <f>SUM(IFERROR(VLOOKUP($C:$C,Structure!$A:$AJ,T$1,0)*15,0),IFERROR(VLOOKUP($D:$D,Structure!$A:$AJ,T$1,0)*15,0),IFERROR(VLOOKUP($E:$E,Structure!$A:$AJ,T$1,0)*15,0))</f>
        <v>0</v>
      </c>
      <c r="U98" s="13">
        <f>SUM(IFERROR(VLOOKUP($C:$C,Structure!$A:$AJ,U$1,0)*15,0),IFERROR(VLOOKUP($D:$D,Structure!$A:$AJ,U$1,0)*15,0),IFERROR(VLOOKUP($E:$E,Structure!$A:$AJ,U$1,0)*15,0))</f>
        <v>0</v>
      </c>
      <c r="V98" s="13">
        <f>SUM(IFERROR(VLOOKUP($C:$C,Structure!$A:$AJ,V$1,0)*15,0),IFERROR(VLOOKUP($D:$D,Structure!$A:$AJ,V$1,0)*15,0),IFERROR(VLOOKUP($E:$E,Structure!$A:$AJ,V$1,0)*15,0))</f>
        <v>0</v>
      </c>
      <c r="W98" s="13">
        <f>SUM(IFERROR(VLOOKUP($C:$C,Structure!$A:$AJ,W$1,0)*15,0),IFERROR(VLOOKUP($D:$D,Structure!$A:$AJ,W$1,0)*15,0),IFERROR(VLOOKUP($E:$E,Structure!$A:$AJ,W$1,0)*15,0))</f>
        <v>0</v>
      </c>
      <c r="X98" s="13">
        <f>SUM(IFERROR(VLOOKUP($C:$C,Structure!$A:$AJ,X$1,0)*15,0),IFERROR(VLOOKUP($D:$D,Structure!$A:$AJ,X$1,0)*15,0),IFERROR(VLOOKUP($E:$E,Structure!$A:$AJ,X$1,0)*15,0))</f>
        <v>0</v>
      </c>
      <c r="Y98" s="13">
        <f>SUM(IFERROR(VLOOKUP($C:$C,Structure!$A:$AJ,Y$1,0)*15,0),IFERROR(VLOOKUP($D:$D,Structure!$A:$AJ,Y$1,0)*15,0),IFERROR(VLOOKUP($E:$E,Structure!$A:$AJ,Y$1,0)*15,0))</f>
        <v>0</v>
      </c>
      <c r="Z98" s="13">
        <f>SUM(IFERROR(VLOOKUP($C:$C,Structure!$A:$AJ,Z$1,0)*15,0),IFERROR(VLOOKUP($D:$D,Structure!$A:$AJ,Z$1,0)*15,0),IFERROR(VLOOKUP($E:$E,Structure!$A:$AJ,Z$1,0)*15,0))</f>
        <v>0</v>
      </c>
      <c r="AA98" s="13">
        <f>SUM(IFERROR(VLOOKUP($C:$C,Structure!$A:$AJ,AA$1,0)*15,0),IFERROR(VLOOKUP($D:$D,Structure!$A:$AJ,AA$1,0)*15,0),IFERROR(VLOOKUP($E:$E,Structure!$A:$AJ,AA$1,0)*15,0))</f>
        <v>45</v>
      </c>
      <c r="AB98" s="13">
        <f>SUM(IFERROR(VLOOKUP($C:$C,Structure!$A:$AJ,AB$1,0)*15,0),IFERROR(VLOOKUP($D:$D,Structure!$A:$AJ,AB$1,0)*15,0),IFERROR(VLOOKUP($E:$E,Structure!$A:$AJ,AB$1,0)*15,0))</f>
        <v>0</v>
      </c>
      <c r="AC98" s="13">
        <f>SUM(IFERROR(VLOOKUP($C:$C,Structure!$A:$AJ,AC$1,0)*15,0),IFERROR(VLOOKUP($D:$D,Structure!$A:$AJ,AC$1,0)*15,0),IFERROR(VLOOKUP($E:$E,Structure!$A:$AJ,AC$1,0)*15,0))</f>
        <v>0</v>
      </c>
      <c r="AD98" s="13">
        <f>SUM(IFERROR(VLOOKUP($C:$C,Structure!$A:$AJ,AD$1,0)*15,0),IFERROR(VLOOKUP($D:$D,Structure!$A:$AJ,AD$1,0)*15,0),IFERROR(VLOOKUP($E:$E,Structure!$A:$AJ,AD$1,0)*15,0))</f>
        <v>0</v>
      </c>
      <c r="AE98" s="13">
        <f>SUM(IFERROR(VLOOKUP($C:$C,Structure!$A:$AJ,AE$1,0)*15,0),IFERROR(VLOOKUP($D:$D,Structure!$A:$AJ,AE$1,0)*15,0),IFERROR(VLOOKUP($E:$E,Structure!$A:$AJ,AE$1,0)*15,0))</f>
        <v>0</v>
      </c>
      <c r="AF98" s="13">
        <f>SUM(IFERROR(VLOOKUP($C:$C,Structure!$A:$AJ,AF$1,0)*15,0),IFERROR(VLOOKUP($D:$D,Structure!$A:$AJ,AF$1,0)*15,0),IFERROR(VLOOKUP($E:$E,Structure!$A:$AJ,AF$1,0)*15,0))</f>
        <v>0</v>
      </c>
      <c r="AG98" s="13">
        <f>SUM(IFERROR(VLOOKUP($C:$C,Structure!$A:$AJ,AG$1,0)*15,0),IFERROR(VLOOKUP($D:$D,Structure!$A:$AJ,AG$1,0)*15,0),IFERROR(VLOOKUP($E:$E,Structure!$A:$AJ,AG$1,0)*15,0))</f>
        <v>0</v>
      </c>
      <c r="AH98" s="13">
        <f>SUM(IFERROR(VLOOKUP($C:$C,Structure!$A:$AJ,AH$1,0)*15,0),IFERROR(VLOOKUP($D:$D,Structure!$A:$AJ,AH$1,0)*15,0),IFERROR(VLOOKUP($E:$E,Structure!$A:$AJ,AH$1,0)*15,0))</f>
        <v>0</v>
      </c>
      <c r="AI98" s="13">
        <f>SUM(IFERROR(VLOOKUP($C:$C,Structure!$A:$AJ,AI$1,0)*15,0),IFERROR(VLOOKUP($D:$D,Structure!$A:$AJ,AI$1,0)*15,0),IFERROR(VLOOKUP($E:$E,Structure!$A:$AJ,AI$1,0)*15,0))</f>
        <v>0</v>
      </c>
      <c r="AJ98" s="13">
        <f>SUM(IFERROR(VLOOKUP($C:$C,Structure!$A:$AJ,AJ$1,0)*15,0),IFERROR(VLOOKUP($D:$D,Structure!$A:$AJ,AJ$1,0)*15,0),IFERROR(VLOOKUP($E:$E,Structure!$A:$AJ,AJ$1,0)*15,0))</f>
        <v>30</v>
      </c>
      <c r="AK98" s="13">
        <f>SUM(IFERROR(VLOOKUP($C:$C,Structure!$A:$AJ,AK$1,0)*15,0),IFERROR(VLOOKUP($D:$D,Structure!$A:$AJ,AK$1,0)*15,0),IFERROR(VLOOKUP($E:$E,Structure!$A:$AJ,AK$1,0)*15,0))</f>
        <v>15</v>
      </c>
      <c r="AL98" s="13">
        <f>SUM(IFERROR(VLOOKUP($C:$C,Structure!$A:$AJ,AL$1,0)*15,0),IFERROR(VLOOKUP($D:$D,Structure!$A:$AJ,AL$1,0)*15,0),IFERROR(VLOOKUP($E:$E,Structure!$A:$AJ,AL$1,0)*15,0))</f>
        <v>0</v>
      </c>
      <c r="AM98" s="13">
        <f>SUM(IFERROR(VLOOKUP($C:$C,Structure!$A:$AJ,AM$1,0)*15,0),IFERROR(VLOOKUP($D:$D,Structure!$A:$AJ,AM$1,0)*15,0),IFERROR(VLOOKUP($E:$E,Structure!$A:$AJ,AM$1,0)*15,0))</f>
        <v>0</v>
      </c>
      <c r="AN98" s="13">
        <f>SUM(IFERROR(VLOOKUP($C:$C,Structure!$A:$AJ,AN$1,0)*15,0),IFERROR(VLOOKUP($D:$D,Structure!$A:$AJ,AN$1,0)*15,0),IFERROR(VLOOKUP($E:$E,Structure!$A:$AJ,AN$1,0)*15,0))</f>
        <v>0</v>
      </c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3"/>
      <c r="BZ98" s="4">
        <f>BZ97+AQ98-F98</f>
        <v>0</v>
      </c>
      <c r="CA98" s="4">
        <f>CA97+AR98-G98</f>
        <v>0</v>
      </c>
      <c r="CB98" s="4">
        <f>CB97+AS98-H98</f>
        <v>0</v>
      </c>
      <c r="CC98" s="4">
        <f>CC97+AT98-I98</f>
        <v>0</v>
      </c>
      <c r="CD98" s="4">
        <f>CD97+AU98-J98</f>
        <v>0</v>
      </c>
      <c r="CE98" s="4">
        <f>CE97+AV98-K98</f>
        <v>0</v>
      </c>
      <c r="CF98" s="4">
        <f>CF97+AW98-L98</f>
        <v>0</v>
      </c>
      <c r="CG98" s="4">
        <f>CG97+AX98-M98</f>
        <v>0</v>
      </c>
      <c r="CH98" s="4">
        <f>CH97+AY98-N98</f>
        <v>0</v>
      </c>
      <c r="CI98" s="4">
        <f>CI97+AZ98-O98</f>
        <v>0</v>
      </c>
      <c r="CJ98" s="4">
        <f>CJ97+BA98-P98</f>
        <v>0</v>
      </c>
      <c r="CK98" s="4">
        <f>CK97+BB98-Q98</f>
        <v>0</v>
      </c>
      <c r="CL98" s="4">
        <f>CL97+BC98-R98</f>
        <v>0</v>
      </c>
      <c r="CM98" s="4">
        <f>CM97+BD98-S98</f>
        <v>0</v>
      </c>
      <c r="CN98" s="4">
        <f>CN97+BE98-T98</f>
        <v>0</v>
      </c>
      <c r="CO98" s="4">
        <f>CO97+BF98-U98</f>
        <v>0</v>
      </c>
      <c r="CP98" s="4">
        <f>CP97+BG98-V98</f>
        <v>0</v>
      </c>
      <c r="CQ98" s="4">
        <f>CQ97+BH98-W98</f>
        <v>0</v>
      </c>
      <c r="CR98" s="4">
        <f>CR97+BI98-X98</f>
        <v>0</v>
      </c>
      <c r="CS98" s="4">
        <f>CS97+BJ98-Y98</f>
        <v>0</v>
      </c>
      <c r="CT98" s="4">
        <f>CT97+BK98-Z98</f>
        <v>0</v>
      </c>
      <c r="CU98" s="4">
        <f>CU97+BL98-AA98</f>
        <v>-3665</v>
      </c>
      <c r="CV98" s="4">
        <f>CV97+BM98-AB98</f>
        <v>-240</v>
      </c>
      <c r="CW98" s="4">
        <f>CW97+BN98-AC98</f>
        <v>-255</v>
      </c>
      <c r="CX98" s="4">
        <f>CX97+BO98-AD98</f>
        <v>0</v>
      </c>
      <c r="CY98" s="4">
        <f>CY97+BP98-AE98</f>
        <v>-60</v>
      </c>
      <c r="CZ98" s="4">
        <f>CZ97+BQ98-AF98</f>
        <v>-160</v>
      </c>
      <c r="DA98" s="4">
        <f>DA97+BR98-AG98</f>
        <v>0</v>
      </c>
      <c r="DB98" s="4">
        <f>DB97+BS98-AH98</f>
        <v>-60</v>
      </c>
      <c r="DC98" s="4">
        <f>DC97+BT98-AI98</f>
        <v>0</v>
      </c>
      <c r="DD98" s="4">
        <f>DD97+BU98-AJ98</f>
        <v>-2545</v>
      </c>
      <c r="DE98" s="4">
        <f>DE97+BV98-AK98</f>
        <v>-1140</v>
      </c>
      <c r="DF98" s="4">
        <f>DF97+BW98-AL98</f>
        <v>0</v>
      </c>
      <c r="DG98" s="4">
        <f>DG97+BX98-AM98</f>
        <v>-235</v>
      </c>
      <c r="DH98" s="4">
        <f>DH97+BY98-AN98</f>
        <v>0</v>
      </c>
    </row>
    <row r="99" spans="1:112" x14ac:dyDescent="0.25">
      <c r="A99" s="6">
        <v>46183</v>
      </c>
      <c r="B99" s="7">
        <v>0.33333333310292801</v>
      </c>
      <c r="C99" s="3" t="s">
        <v>2</v>
      </c>
      <c r="D99" s="3" t="s">
        <v>76</v>
      </c>
      <c r="E99" s="3" t="s">
        <v>2</v>
      </c>
      <c r="F99" s="13">
        <f>SUM(IFERROR(VLOOKUP($C:$C,Structure!$A:$AJ,F$1,0)*15,0),IFERROR(VLOOKUP($D:$D,Structure!$A:$AJ,F$1,0)*15,0),IFERROR(VLOOKUP($E:$E,Structure!$A:$AJ,F$1,0)*15,0))</f>
        <v>0</v>
      </c>
      <c r="G99" s="13">
        <f>SUM(IFERROR(VLOOKUP($C:$C,Structure!$A:$AJ,G$1,0)*15,0),IFERROR(VLOOKUP($D:$D,Structure!$A:$AJ,G$1,0)*15,0),IFERROR(VLOOKUP($E:$E,Structure!$A:$AJ,G$1,0)*15,0))</f>
        <v>0</v>
      </c>
      <c r="H99" s="13">
        <f>SUM(IFERROR(VLOOKUP($C:$C,Structure!$A:$AJ,H$1,0)*15,0),IFERROR(VLOOKUP($D:$D,Structure!$A:$AJ,H$1,0)*15,0),IFERROR(VLOOKUP($E:$E,Structure!$A:$AJ,H$1,0)*15,0))</f>
        <v>0</v>
      </c>
      <c r="I99" s="13">
        <f>SUM(IFERROR(VLOOKUP($C:$C,Structure!$A:$AJ,I$1,0)*15,0),IFERROR(VLOOKUP($D:$D,Structure!$A:$AJ,I$1,0)*15,0),IFERROR(VLOOKUP($E:$E,Structure!$A:$AJ,I$1,0)*15,0))</f>
        <v>0</v>
      </c>
      <c r="J99" s="13">
        <f>SUM(IFERROR(VLOOKUP($C:$C,Structure!$A:$AJ,J$1,0)*15,0),IFERROR(VLOOKUP($D:$D,Structure!$A:$AJ,J$1,0)*15,0),IFERROR(VLOOKUP($E:$E,Structure!$A:$AJ,J$1,0)*15,0))</f>
        <v>0</v>
      </c>
      <c r="K99" s="13">
        <f>SUM(IFERROR(VLOOKUP($C:$C,Structure!$A:$AJ,K$1,0)*15,0),IFERROR(VLOOKUP($D:$D,Structure!$A:$AJ,K$1,0)*15,0),IFERROR(VLOOKUP($E:$E,Structure!$A:$AJ,K$1,0)*15,0))</f>
        <v>0</v>
      </c>
      <c r="L99" s="13">
        <f>SUM(IFERROR(VLOOKUP($C:$C,Structure!$A:$AJ,L$1,0)*15,0),IFERROR(VLOOKUP($D:$D,Structure!$A:$AJ,L$1,0)*15,0),IFERROR(VLOOKUP($E:$E,Structure!$A:$AJ,L$1,0)*15,0))</f>
        <v>0</v>
      </c>
      <c r="M99" s="13">
        <f>SUM(IFERROR(VLOOKUP($C:$C,Structure!$A:$AJ,M$1,0)*15,0),IFERROR(VLOOKUP($D:$D,Structure!$A:$AJ,M$1,0)*15,0),IFERROR(VLOOKUP($E:$E,Structure!$A:$AJ,M$1,0)*15,0))</f>
        <v>0</v>
      </c>
      <c r="N99" s="13">
        <f>SUM(IFERROR(VLOOKUP($C:$C,Structure!$A:$AJ,N$1,0)*15,0),IFERROR(VLOOKUP($D:$D,Structure!$A:$AJ,N$1,0)*15,0),IFERROR(VLOOKUP($E:$E,Structure!$A:$AJ,N$1,0)*15,0))</f>
        <v>0</v>
      </c>
      <c r="O99" s="13">
        <f>SUM(IFERROR(VLOOKUP($C:$C,Structure!$A:$AJ,O$1,0)*15,0),IFERROR(VLOOKUP($D:$D,Structure!$A:$AJ,O$1,0)*15,0),IFERROR(VLOOKUP($E:$E,Structure!$A:$AJ,O$1,0)*15,0))</f>
        <v>0</v>
      </c>
      <c r="P99" s="13">
        <f>SUM(IFERROR(VLOOKUP($C:$C,Structure!$A:$AJ,P$1,0)*15,0),IFERROR(VLOOKUP($D:$D,Structure!$A:$AJ,P$1,0)*15,0),IFERROR(VLOOKUP($E:$E,Structure!$A:$AJ,P$1,0)*15,0))</f>
        <v>0</v>
      </c>
      <c r="Q99" s="13">
        <f>SUM(IFERROR(VLOOKUP($C:$C,Structure!$A:$AJ,Q$1,0)*15,0),IFERROR(VLOOKUP($D:$D,Structure!$A:$AJ,Q$1,0)*15,0),IFERROR(VLOOKUP($E:$E,Structure!$A:$AJ,Q$1,0)*15,0))</f>
        <v>0</v>
      </c>
      <c r="R99" s="13">
        <f>SUM(IFERROR(VLOOKUP($C:$C,Structure!$A:$AJ,R$1,0)*15,0),IFERROR(VLOOKUP($D:$D,Structure!$A:$AJ,R$1,0)*15,0),IFERROR(VLOOKUP($E:$E,Structure!$A:$AJ,R$1,0)*15,0))</f>
        <v>0</v>
      </c>
      <c r="S99" s="13">
        <f>SUM(IFERROR(VLOOKUP($C:$C,Structure!$A:$AJ,S$1,0)*15,0),IFERROR(VLOOKUP($D:$D,Structure!$A:$AJ,S$1,0)*15,0),IFERROR(VLOOKUP($E:$E,Structure!$A:$AJ,S$1,0)*15,0))</f>
        <v>0</v>
      </c>
      <c r="T99" s="13">
        <f>SUM(IFERROR(VLOOKUP($C:$C,Structure!$A:$AJ,T$1,0)*15,0),IFERROR(VLOOKUP($D:$D,Structure!$A:$AJ,T$1,0)*15,0),IFERROR(VLOOKUP($E:$E,Structure!$A:$AJ,T$1,0)*15,0))</f>
        <v>0</v>
      </c>
      <c r="U99" s="13">
        <f>SUM(IFERROR(VLOOKUP($C:$C,Structure!$A:$AJ,U$1,0)*15,0),IFERROR(VLOOKUP($D:$D,Structure!$A:$AJ,U$1,0)*15,0),IFERROR(VLOOKUP($E:$E,Structure!$A:$AJ,U$1,0)*15,0))</f>
        <v>0</v>
      </c>
      <c r="V99" s="13">
        <f>SUM(IFERROR(VLOOKUP($C:$C,Structure!$A:$AJ,V$1,0)*15,0),IFERROR(VLOOKUP($D:$D,Structure!$A:$AJ,V$1,0)*15,0),IFERROR(VLOOKUP($E:$E,Structure!$A:$AJ,V$1,0)*15,0))</f>
        <v>0</v>
      </c>
      <c r="W99" s="13">
        <f>SUM(IFERROR(VLOOKUP($C:$C,Structure!$A:$AJ,W$1,0)*15,0),IFERROR(VLOOKUP($D:$D,Structure!$A:$AJ,W$1,0)*15,0),IFERROR(VLOOKUP($E:$E,Structure!$A:$AJ,W$1,0)*15,0))</f>
        <v>0</v>
      </c>
      <c r="X99" s="13">
        <f>SUM(IFERROR(VLOOKUP($C:$C,Structure!$A:$AJ,X$1,0)*15,0),IFERROR(VLOOKUP($D:$D,Structure!$A:$AJ,X$1,0)*15,0),IFERROR(VLOOKUP($E:$E,Structure!$A:$AJ,X$1,0)*15,0))</f>
        <v>0</v>
      </c>
      <c r="Y99" s="13">
        <f>SUM(IFERROR(VLOOKUP($C:$C,Structure!$A:$AJ,Y$1,0)*15,0),IFERROR(VLOOKUP($D:$D,Structure!$A:$AJ,Y$1,0)*15,0),IFERROR(VLOOKUP($E:$E,Structure!$A:$AJ,Y$1,0)*15,0))</f>
        <v>0</v>
      </c>
      <c r="Z99" s="13">
        <f>SUM(IFERROR(VLOOKUP($C:$C,Structure!$A:$AJ,Z$1,0)*15,0),IFERROR(VLOOKUP($D:$D,Structure!$A:$AJ,Z$1,0)*15,0),IFERROR(VLOOKUP($E:$E,Structure!$A:$AJ,Z$1,0)*15,0))</f>
        <v>0</v>
      </c>
      <c r="AA99" s="13">
        <f>SUM(IFERROR(VLOOKUP($C:$C,Structure!$A:$AJ,AA$1,0)*15,0),IFERROR(VLOOKUP($D:$D,Structure!$A:$AJ,AA$1,0)*15,0),IFERROR(VLOOKUP($E:$E,Structure!$A:$AJ,AA$1,0)*15,0))</f>
        <v>45</v>
      </c>
      <c r="AB99" s="13">
        <f>SUM(IFERROR(VLOOKUP($C:$C,Structure!$A:$AJ,AB$1,0)*15,0),IFERROR(VLOOKUP($D:$D,Structure!$A:$AJ,AB$1,0)*15,0),IFERROR(VLOOKUP($E:$E,Structure!$A:$AJ,AB$1,0)*15,0))</f>
        <v>0</v>
      </c>
      <c r="AC99" s="13">
        <f>SUM(IFERROR(VLOOKUP($C:$C,Structure!$A:$AJ,AC$1,0)*15,0),IFERROR(VLOOKUP($D:$D,Structure!$A:$AJ,AC$1,0)*15,0),IFERROR(VLOOKUP($E:$E,Structure!$A:$AJ,AC$1,0)*15,0))</f>
        <v>0</v>
      </c>
      <c r="AD99" s="13">
        <f>SUM(IFERROR(VLOOKUP($C:$C,Structure!$A:$AJ,AD$1,0)*15,0),IFERROR(VLOOKUP($D:$D,Structure!$A:$AJ,AD$1,0)*15,0),IFERROR(VLOOKUP($E:$E,Structure!$A:$AJ,AD$1,0)*15,0))</f>
        <v>0</v>
      </c>
      <c r="AE99" s="13">
        <f>SUM(IFERROR(VLOOKUP($C:$C,Structure!$A:$AJ,AE$1,0)*15,0),IFERROR(VLOOKUP($D:$D,Structure!$A:$AJ,AE$1,0)*15,0),IFERROR(VLOOKUP($E:$E,Structure!$A:$AJ,AE$1,0)*15,0))</f>
        <v>0</v>
      </c>
      <c r="AF99" s="13">
        <f>SUM(IFERROR(VLOOKUP($C:$C,Structure!$A:$AJ,AF$1,0)*15,0),IFERROR(VLOOKUP($D:$D,Structure!$A:$AJ,AF$1,0)*15,0),IFERROR(VLOOKUP($E:$E,Structure!$A:$AJ,AF$1,0)*15,0))</f>
        <v>0</v>
      </c>
      <c r="AG99" s="13">
        <f>SUM(IFERROR(VLOOKUP($C:$C,Structure!$A:$AJ,AG$1,0)*15,0),IFERROR(VLOOKUP($D:$D,Structure!$A:$AJ,AG$1,0)*15,0),IFERROR(VLOOKUP($E:$E,Structure!$A:$AJ,AG$1,0)*15,0))</f>
        <v>0</v>
      </c>
      <c r="AH99" s="13">
        <f>SUM(IFERROR(VLOOKUP($C:$C,Structure!$A:$AJ,AH$1,0)*15,0),IFERROR(VLOOKUP($D:$D,Structure!$A:$AJ,AH$1,0)*15,0),IFERROR(VLOOKUP($E:$E,Structure!$A:$AJ,AH$1,0)*15,0))</f>
        <v>0</v>
      </c>
      <c r="AI99" s="13">
        <f>SUM(IFERROR(VLOOKUP($C:$C,Structure!$A:$AJ,AI$1,0)*15,0),IFERROR(VLOOKUP($D:$D,Structure!$A:$AJ,AI$1,0)*15,0),IFERROR(VLOOKUP($E:$E,Structure!$A:$AJ,AI$1,0)*15,0))</f>
        <v>0</v>
      </c>
      <c r="AJ99" s="13">
        <f>SUM(IFERROR(VLOOKUP($C:$C,Structure!$A:$AJ,AJ$1,0)*15,0),IFERROR(VLOOKUP($D:$D,Structure!$A:$AJ,AJ$1,0)*15,0),IFERROR(VLOOKUP($E:$E,Structure!$A:$AJ,AJ$1,0)*15,0))</f>
        <v>30</v>
      </c>
      <c r="AK99" s="13">
        <f>SUM(IFERROR(VLOOKUP($C:$C,Structure!$A:$AJ,AK$1,0)*15,0),IFERROR(VLOOKUP($D:$D,Structure!$A:$AJ,AK$1,0)*15,0),IFERROR(VLOOKUP($E:$E,Structure!$A:$AJ,AK$1,0)*15,0))</f>
        <v>15</v>
      </c>
      <c r="AL99" s="13">
        <f>SUM(IFERROR(VLOOKUP($C:$C,Structure!$A:$AJ,AL$1,0)*15,0),IFERROR(VLOOKUP($D:$D,Structure!$A:$AJ,AL$1,0)*15,0),IFERROR(VLOOKUP($E:$E,Structure!$A:$AJ,AL$1,0)*15,0))</f>
        <v>0</v>
      </c>
      <c r="AM99" s="13">
        <f>SUM(IFERROR(VLOOKUP($C:$C,Structure!$A:$AJ,AM$1,0)*15,0),IFERROR(VLOOKUP($D:$D,Structure!$A:$AJ,AM$1,0)*15,0),IFERROR(VLOOKUP($E:$E,Structure!$A:$AJ,AM$1,0)*15,0))</f>
        <v>0</v>
      </c>
      <c r="AN99" s="13">
        <f>SUM(IFERROR(VLOOKUP($C:$C,Structure!$A:$AJ,AN$1,0)*15,0),IFERROR(VLOOKUP($D:$D,Structure!$A:$AJ,AN$1,0)*15,0),IFERROR(VLOOKUP($E:$E,Structure!$A:$AJ,AN$1,0)*15,0))</f>
        <v>0</v>
      </c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3"/>
      <c r="BZ99" s="4">
        <f>BZ98+AQ99-F99</f>
        <v>0</v>
      </c>
      <c r="CA99" s="4">
        <f>CA98+AR99-G99</f>
        <v>0</v>
      </c>
      <c r="CB99" s="4">
        <f>CB98+AS99-H99</f>
        <v>0</v>
      </c>
      <c r="CC99" s="4">
        <f>CC98+AT99-I99</f>
        <v>0</v>
      </c>
      <c r="CD99" s="4">
        <f>CD98+AU99-J99</f>
        <v>0</v>
      </c>
      <c r="CE99" s="4">
        <f>CE98+AV99-K99</f>
        <v>0</v>
      </c>
      <c r="CF99" s="4">
        <f>CF98+AW99-L99</f>
        <v>0</v>
      </c>
      <c r="CG99" s="4">
        <f>CG98+AX99-M99</f>
        <v>0</v>
      </c>
      <c r="CH99" s="4">
        <f>CH98+AY99-N99</f>
        <v>0</v>
      </c>
      <c r="CI99" s="4">
        <f>CI98+AZ99-O99</f>
        <v>0</v>
      </c>
      <c r="CJ99" s="4">
        <f>CJ98+BA99-P99</f>
        <v>0</v>
      </c>
      <c r="CK99" s="4">
        <f>CK98+BB99-Q99</f>
        <v>0</v>
      </c>
      <c r="CL99" s="4">
        <f>CL98+BC99-R99</f>
        <v>0</v>
      </c>
      <c r="CM99" s="4">
        <f>CM98+BD99-S99</f>
        <v>0</v>
      </c>
      <c r="CN99" s="4">
        <f>CN98+BE99-T99</f>
        <v>0</v>
      </c>
      <c r="CO99" s="4">
        <f>CO98+BF99-U99</f>
        <v>0</v>
      </c>
      <c r="CP99" s="4">
        <f>CP98+BG99-V99</f>
        <v>0</v>
      </c>
      <c r="CQ99" s="4">
        <f>CQ98+BH99-W99</f>
        <v>0</v>
      </c>
      <c r="CR99" s="4">
        <f>CR98+BI99-X99</f>
        <v>0</v>
      </c>
      <c r="CS99" s="4">
        <f>CS98+BJ99-Y99</f>
        <v>0</v>
      </c>
      <c r="CT99" s="4">
        <f>CT98+BK99-Z99</f>
        <v>0</v>
      </c>
      <c r="CU99" s="4">
        <f>CU98+BL99-AA99</f>
        <v>-3710</v>
      </c>
      <c r="CV99" s="4">
        <f>CV98+BM99-AB99</f>
        <v>-240</v>
      </c>
      <c r="CW99" s="4">
        <f>CW98+BN99-AC99</f>
        <v>-255</v>
      </c>
      <c r="CX99" s="4">
        <f>CX98+BO99-AD99</f>
        <v>0</v>
      </c>
      <c r="CY99" s="4">
        <f>CY98+BP99-AE99</f>
        <v>-60</v>
      </c>
      <c r="CZ99" s="4">
        <f>CZ98+BQ99-AF99</f>
        <v>-160</v>
      </c>
      <c r="DA99" s="4">
        <f>DA98+BR99-AG99</f>
        <v>0</v>
      </c>
      <c r="DB99" s="4">
        <f>DB98+BS99-AH99</f>
        <v>-60</v>
      </c>
      <c r="DC99" s="4">
        <f>DC98+BT99-AI99</f>
        <v>0</v>
      </c>
      <c r="DD99" s="4">
        <f>DD98+BU99-AJ99</f>
        <v>-2575</v>
      </c>
      <c r="DE99" s="4">
        <f>DE98+BV99-AK99</f>
        <v>-1155</v>
      </c>
      <c r="DF99" s="4">
        <f>DF98+BW99-AL99</f>
        <v>0</v>
      </c>
      <c r="DG99" s="4">
        <f>DG98+BX99-AM99</f>
        <v>-235</v>
      </c>
      <c r="DH99" s="4">
        <f>DH98+BY99-AN99</f>
        <v>0</v>
      </c>
    </row>
    <row r="100" spans="1:112" x14ac:dyDescent="0.25">
      <c r="A100" s="6">
        <v>46183</v>
      </c>
      <c r="B100" s="7">
        <v>0.37499999976716936</v>
      </c>
      <c r="C100" s="3" t="s">
        <v>2</v>
      </c>
      <c r="D100" s="3" t="s">
        <v>6</v>
      </c>
      <c r="E100" s="3" t="s">
        <v>2</v>
      </c>
      <c r="F100" s="13">
        <f>SUM(IFERROR(VLOOKUP($C:$C,Structure!$A:$AJ,F$1,0)*15,0),IFERROR(VLOOKUP($D:$D,Structure!$A:$AJ,F$1,0)*15,0),IFERROR(VLOOKUP($E:$E,Structure!$A:$AJ,F$1,0)*15,0))</f>
        <v>0</v>
      </c>
      <c r="G100" s="13">
        <f>SUM(IFERROR(VLOOKUP($C:$C,Structure!$A:$AJ,G$1,0)*15,0),IFERROR(VLOOKUP($D:$D,Structure!$A:$AJ,G$1,0)*15,0),IFERROR(VLOOKUP($E:$E,Structure!$A:$AJ,G$1,0)*15,0))</f>
        <v>0</v>
      </c>
      <c r="H100" s="13">
        <f>SUM(IFERROR(VLOOKUP($C:$C,Structure!$A:$AJ,H$1,0)*15,0),IFERROR(VLOOKUP($D:$D,Structure!$A:$AJ,H$1,0)*15,0),IFERROR(VLOOKUP($E:$E,Structure!$A:$AJ,H$1,0)*15,0))</f>
        <v>0</v>
      </c>
      <c r="I100" s="13">
        <f>SUM(IFERROR(VLOOKUP($C:$C,Structure!$A:$AJ,I$1,0)*15,0),IFERROR(VLOOKUP($D:$D,Structure!$A:$AJ,I$1,0)*15,0),IFERROR(VLOOKUP($E:$E,Structure!$A:$AJ,I$1,0)*15,0))</f>
        <v>0</v>
      </c>
      <c r="J100" s="13">
        <f>SUM(IFERROR(VLOOKUP($C:$C,Structure!$A:$AJ,J$1,0)*15,0),IFERROR(VLOOKUP($D:$D,Structure!$A:$AJ,J$1,0)*15,0),IFERROR(VLOOKUP($E:$E,Structure!$A:$AJ,J$1,0)*15,0))</f>
        <v>0</v>
      </c>
      <c r="K100" s="13">
        <f>SUM(IFERROR(VLOOKUP($C:$C,Structure!$A:$AJ,K$1,0)*15,0),IFERROR(VLOOKUP($D:$D,Structure!$A:$AJ,K$1,0)*15,0),IFERROR(VLOOKUP($E:$E,Structure!$A:$AJ,K$1,0)*15,0))</f>
        <v>0</v>
      </c>
      <c r="L100" s="13">
        <f>SUM(IFERROR(VLOOKUP($C:$C,Structure!$A:$AJ,L$1,0)*15,0),IFERROR(VLOOKUP($D:$D,Structure!$A:$AJ,L$1,0)*15,0),IFERROR(VLOOKUP($E:$E,Structure!$A:$AJ,L$1,0)*15,0))</f>
        <v>0</v>
      </c>
      <c r="M100" s="13">
        <f>SUM(IFERROR(VLOOKUP($C:$C,Structure!$A:$AJ,M$1,0)*15,0),IFERROR(VLOOKUP($D:$D,Structure!$A:$AJ,M$1,0)*15,0),IFERROR(VLOOKUP($E:$E,Structure!$A:$AJ,M$1,0)*15,0))</f>
        <v>0</v>
      </c>
      <c r="N100" s="13">
        <f>SUM(IFERROR(VLOOKUP($C:$C,Structure!$A:$AJ,N$1,0)*15,0),IFERROR(VLOOKUP($D:$D,Structure!$A:$AJ,N$1,0)*15,0),IFERROR(VLOOKUP($E:$E,Structure!$A:$AJ,N$1,0)*15,0))</f>
        <v>0</v>
      </c>
      <c r="O100" s="13">
        <f>SUM(IFERROR(VLOOKUP($C:$C,Structure!$A:$AJ,O$1,0)*15,0),IFERROR(VLOOKUP($D:$D,Structure!$A:$AJ,O$1,0)*15,0),IFERROR(VLOOKUP($E:$E,Structure!$A:$AJ,O$1,0)*15,0))</f>
        <v>0</v>
      </c>
      <c r="P100" s="13">
        <f>SUM(IFERROR(VLOOKUP($C:$C,Structure!$A:$AJ,P$1,0)*15,0),IFERROR(VLOOKUP($D:$D,Structure!$A:$AJ,P$1,0)*15,0),IFERROR(VLOOKUP($E:$E,Structure!$A:$AJ,P$1,0)*15,0))</f>
        <v>0</v>
      </c>
      <c r="Q100" s="13">
        <f>SUM(IFERROR(VLOOKUP($C:$C,Structure!$A:$AJ,Q$1,0)*15,0),IFERROR(VLOOKUP($D:$D,Structure!$A:$AJ,Q$1,0)*15,0),IFERROR(VLOOKUP($E:$E,Structure!$A:$AJ,Q$1,0)*15,0))</f>
        <v>0</v>
      </c>
      <c r="R100" s="13">
        <f>SUM(IFERROR(VLOOKUP($C:$C,Structure!$A:$AJ,R$1,0)*15,0),IFERROR(VLOOKUP($D:$D,Structure!$A:$AJ,R$1,0)*15,0),IFERROR(VLOOKUP($E:$E,Structure!$A:$AJ,R$1,0)*15,0))</f>
        <v>0</v>
      </c>
      <c r="S100" s="13">
        <f>SUM(IFERROR(VLOOKUP($C:$C,Structure!$A:$AJ,S$1,0)*15,0),IFERROR(VLOOKUP($D:$D,Structure!$A:$AJ,S$1,0)*15,0),IFERROR(VLOOKUP($E:$E,Structure!$A:$AJ,S$1,0)*15,0))</f>
        <v>0</v>
      </c>
      <c r="T100" s="13">
        <f>SUM(IFERROR(VLOOKUP($C:$C,Structure!$A:$AJ,T$1,0)*15,0),IFERROR(VLOOKUP($D:$D,Structure!$A:$AJ,T$1,0)*15,0),IFERROR(VLOOKUP($E:$E,Structure!$A:$AJ,T$1,0)*15,0))</f>
        <v>0</v>
      </c>
      <c r="U100" s="13">
        <f>SUM(IFERROR(VLOOKUP($C:$C,Structure!$A:$AJ,U$1,0)*15,0),IFERROR(VLOOKUP($D:$D,Structure!$A:$AJ,U$1,0)*15,0),IFERROR(VLOOKUP($E:$E,Structure!$A:$AJ,U$1,0)*15,0))</f>
        <v>0</v>
      </c>
      <c r="V100" s="13">
        <f>SUM(IFERROR(VLOOKUP($C:$C,Structure!$A:$AJ,V$1,0)*15,0),IFERROR(VLOOKUP($D:$D,Structure!$A:$AJ,V$1,0)*15,0),IFERROR(VLOOKUP($E:$E,Structure!$A:$AJ,V$1,0)*15,0))</f>
        <v>0</v>
      </c>
      <c r="W100" s="13">
        <f>SUM(IFERROR(VLOOKUP($C:$C,Structure!$A:$AJ,W$1,0)*15,0),IFERROR(VLOOKUP($D:$D,Structure!$A:$AJ,W$1,0)*15,0),IFERROR(VLOOKUP($E:$E,Structure!$A:$AJ,W$1,0)*15,0))</f>
        <v>0</v>
      </c>
      <c r="X100" s="13">
        <f>SUM(IFERROR(VLOOKUP($C:$C,Structure!$A:$AJ,X$1,0)*15,0),IFERROR(VLOOKUP($D:$D,Structure!$A:$AJ,X$1,0)*15,0),IFERROR(VLOOKUP($E:$E,Structure!$A:$AJ,X$1,0)*15,0))</f>
        <v>0</v>
      </c>
      <c r="Y100" s="13">
        <f>SUM(IFERROR(VLOOKUP($C:$C,Structure!$A:$AJ,Y$1,0)*15,0),IFERROR(VLOOKUP($D:$D,Structure!$A:$AJ,Y$1,0)*15,0),IFERROR(VLOOKUP($E:$E,Structure!$A:$AJ,Y$1,0)*15,0))</f>
        <v>0</v>
      </c>
      <c r="Z100" s="13">
        <f>SUM(IFERROR(VLOOKUP($C:$C,Structure!$A:$AJ,Z$1,0)*15,0),IFERROR(VLOOKUP($D:$D,Structure!$A:$AJ,Z$1,0)*15,0),IFERROR(VLOOKUP($E:$E,Structure!$A:$AJ,Z$1,0)*15,0))</f>
        <v>0</v>
      </c>
      <c r="AA100" s="13">
        <f>SUM(IFERROR(VLOOKUP($C:$C,Structure!$A:$AJ,AA$1,0)*15,0),IFERROR(VLOOKUP($D:$D,Structure!$A:$AJ,AA$1,0)*15,0),IFERROR(VLOOKUP($E:$E,Structure!$A:$AJ,AA$1,0)*15,0))</f>
        <v>45</v>
      </c>
      <c r="AB100" s="13">
        <f>SUM(IFERROR(VLOOKUP($C:$C,Structure!$A:$AJ,AB$1,0)*15,0),IFERROR(VLOOKUP($D:$D,Structure!$A:$AJ,AB$1,0)*15,0),IFERROR(VLOOKUP($E:$E,Structure!$A:$AJ,AB$1,0)*15,0))</f>
        <v>0</v>
      </c>
      <c r="AC100" s="13">
        <f>SUM(IFERROR(VLOOKUP($C:$C,Structure!$A:$AJ,AC$1,0)*15,0),IFERROR(VLOOKUP($D:$D,Structure!$A:$AJ,AC$1,0)*15,0),IFERROR(VLOOKUP($E:$E,Structure!$A:$AJ,AC$1,0)*15,0))</f>
        <v>0</v>
      </c>
      <c r="AD100" s="13">
        <f>SUM(IFERROR(VLOOKUP($C:$C,Structure!$A:$AJ,AD$1,0)*15,0),IFERROR(VLOOKUP($D:$D,Structure!$A:$AJ,AD$1,0)*15,0),IFERROR(VLOOKUP($E:$E,Structure!$A:$AJ,AD$1,0)*15,0))</f>
        <v>0</v>
      </c>
      <c r="AE100" s="13">
        <f>SUM(IFERROR(VLOOKUP($C:$C,Structure!$A:$AJ,AE$1,0)*15,0),IFERROR(VLOOKUP($D:$D,Structure!$A:$AJ,AE$1,0)*15,0),IFERROR(VLOOKUP($E:$E,Structure!$A:$AJ,AE$1,0)*15,0))</f>
        <v>0</v>
      </c>
      <c r="AF100" s="13">
        <f>SUM(IFERROR(VLOOKUP($C:$C,Structure!$A:$AJ,AF$1,0)*15,0),IFERROR(VLOOKUP($D:$D,Structure!$A:$AJ,AF$1,0)*15,0),IFERROR(VLOOKUP($E:$E,Structure!$A:$AJ,AF$1,0)*15,0))</f>
        <v>0</v>
      </c>
      <c r="AG100" s="13">
        <f>SUM(IFERROR(VLOOKUP($C:$C,Structure!$A:$AJ,AG$1,0)*15,0),IFERROR(VLOOKUP($D:$D,Structure!$A:$AJ,AG$1,0)*15,0),IFERROR(VLOOKUP($E:$E,Structure!$A:$AJ,AG$1,0)*15,0))</f>
        <v>0</v>
      </c>
      <c r="AH100" s="13">
        <f>SUM(IFERROR(VLOOKUP($C:$C,Structure!$A:$AJ,AH$1,0)*15,0),IFERROR(VLOOKUP($D:$D,Structure!$A:$AJ,AH$1,0)*15,0),IFERROR(VLOOKUP($E:$E,Structure!$A:$AJ,AH$1,0)*15,0))</f>
        <v>0</v>
      </c>
      <c r="AI100" s="13">
        <f>SUM(IFERROR(VLOOKUP($C:$C,Structure!$A:$AJ,AI$1,0)*15,0),IFERROR(VLOOKUP($D:$D,Structure!$A:$AJ,AI$1,0)*15,0),IFERROR(VLOOKUP($E:$E,Structure!$A:$AJ,AI$1,0)*15,0))</f>
        <v>0</v>
      </c>
      <c r="AJ100" s="13">
        <f>SUM(IFERROR(VLOOKUP($C:$C,Structure!$A:$AJ,AJ$1,0)*15,0),IFERROR(VLOOKUP($D:$D,Structure!$A:$AJ,AJ$1,0)*15,0),IFERROR(VLOOKUP($E:$E,Structure!$A:$AJ,AJ$1,0)*15,0))</f>
        <v>45</v>
      </c>
      <c r="AK100" s="13">
        <f>SUM(IFERROR(VLOOKUP($C:$C,Structure!$A:$AJ,AK$1,0)*15,0),IFERROR(VLOOKUP($D:$D,Structure!$A:$AJ,AK$1,0)*15,0),IFERROR(VLOOKUP($E:$E,Structure!$A:$AJ,AK$1,0)*15,0))</f>
        <v>0</v>
      </c>
      <c r="AL100" s="13">
        <f>SUM(IFERROR(VLOOKUP($C:$C,Structure!$A:$AJ,AL$1,0)*15,0),IFERROR(VLOOKUP($D:$D,Structure!$A:$AJ,AL$1,0)*15,0),IFERROR(VLOOKUP($E:$E,Structure!$A:$AJ,AL$1,0)*15,0))</f>
        <v>0</v>
      </c>
      <c r="AM100" s="13">
        <f>SUM(IFERROR(VLOOKUP($C:$C,Structure!$A:$AJ,AM$1,0)*15,0),IFERROR(VLOOKUP($D:$D,Structure!$A:$AJ,AM$1,0)*15,0),IFERROR(VLOOKUP($E:$E,Structure!$A:$AJ,AM$1,0)*15,0))</f>
        <v>0</v>
      </c>
      <c r="AN100" s="13">
        <f>SUM(IFERROR(VLOOKUP($C:$C,Structure!$A:$AJ,AN$1,0)*15,0),IFERROR(VLOOKUP($D:$D,Structure!$A:$AJ,AN$1,0)*15,0),IFERROR(VLOOKUP($E:$E,Structure!$A:$AJ,AN$1,0)*15,0))</f>
        <v>0</v>
      </c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3"/>
      <c r="BZ100" s="4">
        <f>BZ99+AQ100-F100</f>
        <v>0</v>
      </c>
      <c r="CA100" s="4">
        <f>CA99+AR100-G100</f>
        <v>0</v>
      </c>
      <c r="CB100" s="4">
        <f>CB99+AS100-H100</f>
        <v>0</v>
      </c>
      <c r="CC100" s="4">
        <f>CC99+AT100-I100</f>
        <v>0</v>
      </c>
      <c r="CD100" s="4">
        <f>CD99+AU100-J100</f>
        <v>0</v>
      </c>
      <c r="CE100" s="4">
        <f>CE99+AV100-K100</f>
        <v>0</v>
      </c>
      <c r="CF100" s="4">
        <f>CF99+AW100-L100</f>
        <v>0</v>
      </c>
      <c r="CG100" s="4">
        <f>CG99+AX100-M100</f>
        <v>0</v>
      </c>
      <c r="CH100" s="4">
        <f>CH99+AY100-N100</f>
        <v>0</v>
      </c>
      <c r="CI100" s="4">
        <f>CI99+AZ100-O100</f>
        <v>0</v>
      </c>
      <c r="CJ100" s="4">
        <f>CJ99+BA100-P100</f>
        <v>0</v>
      </c>
      <c r="CK100" s="4">
        <f>CK99+BB100-Q100</f>
        <v>0</v>
      </c>
      <c r="CL100" s="4">
        <f>CL99+BC100-R100</f>
        <v>0</v>
      </c>
      <c r="CM100" s="4">
        <f>CM99+BD100-S100</f>
        <v>0</v>
      </c>
      <c r="CN100" s="4">
        <f>CN99+BE100-T100</f>
        <v>0</v>
      </c>
      <c r="CO100" s="4">
        <f>CO99+BF100-U100</f>
        <v>0</v>
      </c>
      <c r="CP100" s="4">
        <f>CP99+BG100-V100</f>
        <v>0</v>
      </c>
      <c r="CQ100" s="4">
        <f>CQ99+BH100-W100</f>
        <v>0</v>
      </c>
      <c r="CR100" s="4">
        <f>CR99+BI100-X100</f>
        <v>0</v>
      </c>
      <c r="CS100" s="4">
        <f>CS99+BJ100-Y100</f>
        <v>0</v>
      </c>
      <c r="CT100" s="4">
        <f>CT99+BK100-Z100</f>
        <v>0</v>
      </c>
      <c r="CU100" s="4">
        <f>CU99+BL100-AA100</f>
        <v>-3755</v>
      </c>
      <c r="CV100" s="4">
        <f>CV99+BM100-AB100</f>
        <v>-240</v>
      </c>
      <c r="CW100" s="4">
        <f>CW99+BN100-AC100</f>
        <v>-255</v>
      </c>
      <c r="CX100" s="4">
        <f>CX99+BO100-AD100</f>
        <v>0</v>
      </c>
      <c r="CY100" s="4">
        <f>CY99+BP100-AE100</f>
        <v>-60</v>
      </c>
      <c r="CZ100" s="4">
        <f>CZ99+BQ100-AF100</f>
        <v>-160</v>
      </c>
      <c r="DA100" s="4">
        <f>DA99+BR100-AG100</f>
        <v>0</v>
      </c>
      <c r="DB100" s="4">
        <f>DB99+BS100-AH100</f>
        <v>-60</v>
      </c>
      <c r="DC100" s="4">
        <f>DC99+BT100-AI100</f>
        <v>0</v>
      </c>
      <c r="DD100" s="4">
        <f>DD99+BU100-AJ100</f>
        <v>-2620</v>
      </c>
      <c r="DE100" s="4">
        <f>DE99+BV100-AK100</f>
        <v>-1155</v>
      </c>
      <c r="DF100" s="4">
        <f>DF99+BW100-AL100</f>
        <v>0</v>
      </c>
      <c r="DG100" s="4">
        <f>DG99+BX100-AM100</f>
        <v>-235</v>
      </c>
      <c r="DH100" s="4">
        <f>DH99+BY100-AN100</f>
        <v>0</v>
      </c>
    </row>
    <row r="101" spans="1:112" x14ac:dyDescent="0.25">
      <c r="A101" s="6">
        <v>46183</v>
      </c>
      <c r="B101" s="7">
        <v>0.4166666664314107</v>
      </c>
      <c r="C101" s="3" t="s">
        <v>2</v>
      </c>
      <c r="D101" s="3" t="s">
        <v>6</v>
      </c>
      <c r="E101" s="3" t="s">
        <v>2</v>
      </c>
      <c r="F101" s="13">
        <f>SUM(IFERROR(VLOOKUP($C:$C,Structure!$A:$AJ,F$1,0)*15,0),IFERROR(VLOOKUP($D:$D,Structure!$A:$AJ,F$1,0)*15,0),IFERROR(VLOOKUP($E:$E,Structure!$A:$AJ,F$1,0)*15,0))</f>
        <v>0</v>
      </c>
      <c r="G101" s="13">
        <f>SUM(IFERROR(VLOOKUP($C:$C,Structure!$A:$AJ,G$1,0)*15,0),IFERROR(VLOOKUP($D:$D,Structure!$A:$AJ,G$1,0)*15,0),IFERROR(VLOOKUP($E:$E,Structure!$A:$AJ,G$1,0)*15,0))</f>
        <v>0</v>
      </c>
      <c r="H101" s="13">
        <f>SUM(IFERROR(VLOOKUP($C:$C,Structure!$A:$AJ,H$1,0)*15,0),IFERROR(VLOOKUP($D:$D,Structure!$A:$AJ,H$1,0)*15,0),IFERROR(VLOOKUP($E:$E,Structure!$A:$AJ,H$1,0)*15,0))</f>
        <v>0</v>
      </c>
      <c r="I101" s="13">
        <f>SUM(IFERROR(VLOOKUP($C:$C,Structure!$A:$AJ,I$1,0)*15,0),IFERROR(VLOOKUP($D:$D,Structure!$A:$AJ,I$1,0)*15,0),IFERROR(VLOOKUP($E:$E,Structure!$A:$AJ,I$1,0)*15,0))</f>
        <v>0</v>
      </c>
      <c r="J101" s="13">
        <f>SUM(IFERROR(VLOOKUP($C:$C,Structure!$A:$AJ,J$1,0)*15,0),IFERROR(VLOOKUP($D:$D,Structure!$A:$AJ,J$1,0)*15,0),IFERROR(VLOOKUP($E:$E,Structure!$A:$AJ,J$1,0)*15,0))</f>
        <v>0</v>
      </c>
      <c r="K101" s="13">
        <f>SUM(IFERROR(VLOOKUP($C:$C,Structure!$A:$AJ,K$1,0)*15,0),IFERROR(VLOOKUP($D:$D,Structure!$A:$AJ,K$1,0)*15,0),IFERROR(VLOOKUP($E:$E,Structure!$A:$AJ,K$1,0)*15,0))</f>
        <v>0</v>
      </c>
      <c r="L101" s="13">
        <f>SUM(IFERROR(VLOOKUP($C:$C,Structure!$A:$AJ,L$1,0)*15,0),IFERROR(VLOOKUP($D:$D,Structure!$A:$AJ,L$1,0)*15,0),IFERROR(VLOOKUP($E:$E,Structure!$A:$AJ,L$1,0)*15,0))</f>
        <v>0</v>
      </c>
      <c r="M101" s="13">
        <f>SUM(IFERROR(VLOOKUP($C:$C,Structure!$A:$AJ,M$1,0)*15,0),IFERROR(VLOOKUP($D:$D,Structure!$A:$AJ,M$1,0)*15,0),IFERROR(VLOOKUP($E:$E,Structure!$A:$AJ,M$1,0)*15,0))</f>
        <v>0</v>
      </c>
      <c r="N101" s="13">
        <f>SUM(IFERROR(VLOOKUP($C:$C,Structure!$A:$AJ,N$1,0)*15,0),IFERROR(VLOOKUP($D:$D,Structure!$A:$AJ,N$1,0)*15,0),IFERROR(VLOOKUP($E:$E,Structure!$A:$AJ,N$1,0)*15,0))</f>
        <v>0</v>
      </c>
      <c r="O101" s="13">
        <f>SUM(IFERROR(VLOOKUP($C:$C,Structure!$A:$AJ,O$1,0)*15,0),IFERROR(VLOOKUP($D:$D,Structure!$A:$AJ,O$1,0)*15,0),IFERROR(VLOOKUP($E:$E,Structure!$A:$AJ,O$1,0)*15,0))</f>
        <v>0</v>
      </c>
      <c r="P101" s="13">
        <f>SUM(IFERROR(VLOOKUP($C:$C,Structure!$A:$AJ,P$1,0)*15,0),IFERROR(VLOOKUP($D:$D,Structure!$A:$AJ,P$1,0)*15,0),IFERROR(VLOOKUP($E:$E,Structure!$A:$AJ,P$1,0)*15,0))</f>
        <v>0</v>
      </c>
      <c r="Q101" s="13">
        <f>SUM(IFERROR(VLOOKUP($C:$C,Structure!$A:$AJ,Q$1,0)*15,0),IFERROR(VLOOKUP($D:$D,Structure!$A:$AJ,Q$1,0)*15,0),IFERROR(VLOOKUP($E:$E,Structure!$A:$AJ,Q$1,0)*15,0))</f>
        <v>0</v>
      </c>
      <c r="R101" s="13">
        <f>SUM(IFERROR(VLOOKUP($C:$C,Structure!$A:$AJ,R$1,0)*15,0),IFERROR(VLOOKUP($D:$D,Structure!$A:$AJ,R$1,0)*15,0),IFERROR(VLOOKUP($E:$E,Structure!$A:$AJ,R$1,0)*15,0))</f>
        <v>0</v>
      </c>
      <c r="S101" s="13">
        <f>SUM(IFERROR(VLOOKUP($C:$C,Structure!$A:$AJ,S$1,0)*15,0),IFERROR(VLOOKUP($D:$D,Structure!$A:$AJ,S$1,0)*15,0),IFERROR(VLOOKUP($E:$E,Structure!$A:$AJ,S$1,0)*15,0))</f>
        <v>0</v>
      </c>
      <c r="T101" s="13">
        <f>SUM(IFERROR(VLOOKUP($C:$C,Structure!$A:$AJ,T$1,0)*15,0),IFERROR(VLOOKUP($D:$D,Structure!$A:$AJ,T$1,0)*15,0),IFERROR(VLOOKUP($E:$E,Structure!$A:$AJ,T$1,0)*15,0))</f>
        <v>0</v>
      </c>
      <c r="U101" s="13">
        <f>SUM(IFERROR(VLOOKUP($C:$C,Structure!$A:$AJ,U$1,0)*15,0),IFERROR(VLOOKUP($D:$D,Structure!$A:$AJ,U$1,0)*15,0),IFERROR(VLOOKUP($E:$E,Structure!$A:$AJ,U$1,0)*15,0))</f>
        <v>0</v>
      </c>
      <c r="V101" s="13">
        <f>SUM(IFERROR(VLOOKUP($C:$C,Structure!$A:$AJ,V$1,0)*15,0),IFERROR(VLOOKUP($D:$D,Structure!$A:$AJ,V$1,0)*15,0),IFERROR(VLOOKUP($E:$E,Structure!$A:$AJ,V$1,0)*15,0))</f>
        <v>0</v>
      </c>
      <c r="W101" s="13">
        <f>SUM(IFERROR(VLOOKUP($C:$C,Structure!$A:$AJ,W$1,0)*15,0),IFERROR(VLOOKUP($D:$D,Structure!$A:$AJ,W$1,0)*15,0),IFERROR(VLOOKUP($E:$E,Structure!$A:$AJ,W$1,0)*15,0))</f>
        <v>0</v>
      </c>
      <c r="X101" s="13">
        <f>SUM(IFERROR(VLOOKUP($C:$C,Structure!$A:$AJ,X$1,0)*15,0),IFERROR(VLOOKUP($D:$D,Structure!$A:$AJ,X$1,0)*15,0),IFERROR(VLOOKUP($E:$E,Structure!$A:$AJ,X$1,0)*15,0))</f>
        <v>0</v>
      </c>
      <c r="Y101" s="13">
        <f>SUM(IFERROR(VLOOKUP($C:$C,Structure!$A:$AJ,Y$1,0)*15,0),IFERROR(VLOOKUP($D:$D,Structure!$A:$AJ,Y$1,0)*15,0),IFERROR(VLOOKUP($E:$E,Structure!$A:$AJ,Y$1,0)*15,0))</f>
        <v>0</v>
      </c>
      <c r="Z101" s="13">
        <f>SUM(IFERROR(VLOOKUP($C:$C,Structure!$A:$AJ,Z$1,0)*15,0),IFERROR(VLOOKUP($D:$D,Structure!$A:$AJ,Z$1,0)*15,0),IFERROR(VLOOKUP($E:$E,Structure!$A:$AJ,Z$1,0)*15,0))</f>
        <v>0</v>
      </c>
      <c r="AA101" s="13">
        <f>SUM(IFERROR(VLOOKUP($C:$C,Structure!$A:$AJ,AA$1,0)*15,0),IFERROR(VLOOKUP($D:$D,Structure!$A:$AJ,AA$1,0)*15,0),IFERROR(VLOOKUP($E:$E,Structure!$A:$AJ,AA$1,0)*15,0))</f>
        <v>45</v>
      </c>
      <c r="AB101" s="13">
        <f>SUM(IFERROR(VLOOKUP($C:$C,Structure!$A:$AJ,AB$1,0)*15,0),IFERROR(VLOOKUP($D:$D,Structure!$A:$AJ,AB$1,0)*15,0),IFERROR(VLOOKUP($E:$E,Structure!$A:$AJ,AB$1,0)*15,0))</f>
        <v>0</v>
      </c>
      <c r="AC101" s="13">
        <f>SUM(IFERROR(VLOOKUP($C:$C,Structure!$A:$AJ,AC$1,0)*15,0),IFERROR(VLOOKUP($D:$D,Structure!$A:$AJ,AC$1,0)*15,0),IFERROR(VLOOKUP($E:$E,Structure!$A:$AJ,AC$1,0)*15,0))</f>
        <v>0</v>
      </c>
      <c r="AD101" s="13">
        <f>SUM(IFERROR(VLOOKUP($C:$C,Structure!$A:$AJ,AD$1,0)*15,0),IFERROR(VLOOKUP($D:$D,Structure!$A:$AJ,AD$1,0)*15,0),IFERROR(VLOOKUP($E:$E,Structure!$A:$AJ,AD$1,0)*15,0))</f>
        <v>0</v>
      </c>
      <c r="AE101" s="13">
        <f>SUM(IFERROR(VLOOKUP($C:$C,Structure!$A:$AJ,AE$1,0)*15,0),IFERROR(VLOOKUP($D:$D,Structure!$A:$AJ,AE$1,0)*15,0),IFERROR(VLOOKUP($E:$E,Structure!$A:$AJ,AE$1,0)*15,0))</f>
        <v>0</v>
      </c>
      <c r="AF101" s="13">
        <f>SUM(IFERROR(VLOOKUP($C:$C,Structure!$A:$AJ,AF$1,0)*15,0),IFERROR(VLOOKUP($D:$D,Structure!$A:$AJ,AF$1,0)*15,0),IFERROR(VLOOKUP($E:$E,Structure!$A:$AJ,AF$1,0)*15,0))</f>
        <v>0</v>
      </c>
      <c r="AG101" s="13">
        <f>SUM(IFERROR(VLOOKUP($C:$C,Structure!$A:$AJ,AG$1,0)*15,0),IFERROR(VLOOKUP($D:$D,Structure!$A:$AJ,AG$1,0)*15,0),IFERROR(VLOOKUP($E:$E,Structure!$A:$AJ,AG$1,0)*15,0))</f>
        <v>0</v>
      </c>
      <c r="AH101" s="13">
        <f>SUM(IFERROR(VLOOKUP($C:$C,Structure!$A:$AJ,AH$1,0)*15,0),IFERROR(VLOOKUP($D:$D,Structure!$A:$AJ,AH$1,0)*15,0),IFERROR(VLOOKUP($E:$E,Structure!$A:$AJ,AH$1,0)*15,0))</f>
        <v>0</v>
      </c>
      <c r="AI101" s="13">
        <f>SUM(IFERROR(VLOOKUP($C:$C,Structure!$A:$AJ,AI$1,0)*15,0),IFERROR(VLOOKUP($D:$D,Structure!$A:$AJ,AI$1,0)*15,0),IFERROR(VLOOKUP($E:$E,Structure!$A:$AJ,AI$1,0)*15,0))</f>
        <v>0</v>
      </c>
      <c r="AJ101" s="13">
        <f>SUM(IFERROR(VLOOKUP($C:$C,Structure!$A:$AJ,AJ$1,0)*15,0),IFERROR(VLOOKUP($D:$D,Structure!$A:$AJ,AJ$1,0)*15,0),IFERROR(VLOOKUP($E:$E,Structure!$A:$AJ,AJ$1,0)*15,0))</f>
        <v>45</v>
      </c>
      <c r="AK101" s="13">
        <f>SUM(IFERROR(VLOOKUP($C:$C,Structure!$A:$AJ,AK$1,0)*15,0),IFERROR(VLOOKUP($D:$D,Structure!$A:$AJ,AK$1,0)*15,0),IFERROR(VLOOKUP($E:$E,Structure!$A:$AJ,AK$1,0)*15,0))</f>
        <v>0</v>
      </c>
      <c r="AL101" s="13">
        <f>SUM(IFERROR(VLOOKUP($C:$C,Structure!$A:$AJ,AL$1,0)*15,0),IFERROR(VLOOKUP($D:$D,Structure!$A:$AJ,AL$1,0)*15,0),IFERROR(VLOOKUP($E:$E,Structure!$A:$AJ,AL$1,0)*15,0))</f>
        <v>0</v>
      </c>
      <c r="AM101" s="13">
        <f>SUM(IFERROR(VLOOKUP($C:$C,Structure!$A:$AJ,AM$1,0)*15,0),IFERROR(VLOOKUP($D:$D,Structure!$A:$AJ,AM$1,0)*15,0),IFERROR(VLOOKUP($E:$E,Structure!$A:$AJ,AM$1,0)*15,0))</f>
        <v>0</v>
      </c>
      <c r="AN101" s="13">
        <f>SUM(IFERROR(VLOOKUP($C:$C,Structure!$A:$AJ,AN$1,0)*15,0),IFERROR(VLOOKUP($D:$D,Structure!$A:$AJ,AN$1,0)*15,0),IFERROR(VLOOKUP($E:$E,Structure!$A:$AJ,AN$1,0)*15,0))</f>
        <v>0</v>
      </c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3"/>
      <c r="BZ101" s="4">
        <f>BZ100+AQ101-F101</f>
        <v>0</v>
      </c>
      <c r="CA101" s="4">
        <f>CA100+AR101-G101</f>
        <v>0</v>
      </c>
      <c r="CB101" s="4">
        <f>CB100+AS101-H101</f>
        <v>0</v>
      </c>
      <c r="CC101" s="4">
        <f>CC100+AT101-I101</f>
        <v>0</v>
      </c>
      <c r="CD101" s="4">
        <f>CD100+AU101-J101</f>
        <v>0</v>
      </c>
      <c r="CE101" s="4">
        <f>CE100+AV101-K101</f>
        <v>0</v>
      </c>
      <c r="CF101" s="4">
        <f>CF100+AW101-L101</f>
        <v>0</v>
      </c>
      <c r="CG101" s="4">
        <f>CG100+AX101-M101</f>
        <v>0</v>
      </c>
      <c r="CH101" s="4">
        <f>CH100+AY101-N101</f>
        <v>0</v>
      </c>
      <c r="CI101" s="4">
        <f>CI100+AZ101-O101</f>
        <v>0</v>
      </c>
      <c r="CJ101" s="4">
        <f>CJ100+BA101-P101</f>
        <v>0</v>
      </c>
      <c r="CK101" s="4">
        <f>CK100+BB101-Q101</f>
        <v>0</v>
      </c>
      <c r="CL101" s="4">
        <f>CL100+BC101-R101</f>
        <v>0</v>
      </c>
      <c r="CM101" s="4">
        <f>CM100+BD101-S101</f>
        <v>0</v>
      </c>
      <c r="CN101" s="4">
        <f>CN100+BE101-T101</f>
        <v>0</v>
      </c>
      <c r="CO101" s="4">
        <f>CO100+BF101-U101</f>
        <v>0</v>
      </c>
      <c r="CP101" s="4">
        <f>CP100+BG101-V101</f>
        <v>0</v>
      </c>
      <c r="CQ101" s="4">
        <f>CQ100+BH101-W101</f>
        <v>0</v>
      </c>
      <c r="CR101" s="4">
        <f>CR100+BI101-X101</f>
        <v>0</v>
      </c>
      <c r="CS101" s="4">
        <f>CS100+BJ101-Y101</f>
        <v>0</v>
      </c>
      <c r="CT101" s="4">
        <f>CT100+BK101-Z101</f>
        <v>0</v>
      </c>
      <c r="CU101" s="4">
        <f>CU100+BL101-AA101</f>
        <v>-3800</v>
      </c>
      <c r="CV101" s="4">
        <f>CV100+BM101-AB101</f>
        <v>-240</v>
      </c>
      <c r="CW101" s="4">
        <f>CW100+BN101-AC101</f>
        <v>-255</v>
      </c>
      <c r="CX101" s="4">
        <f>CX100+BO101-AD101</f>
        <v>0</v>
      </c>
      <c r="CY101" s="4">
        <f>CY100+BP101-AE101</f>
        <v>-60</v>
      </c>
      <c r="CZ101" s="4">
        <f>CZ100+BQ101-AF101</f>
        <v>-160</v>
      </c>
      <c r="DA101" s="4">
        <f>DA100+BR101-AG101</f>
        <v>0</v>
      </c>
      <c r="DB101" s="4">
        <f>DB100+BS101-AH101</f>
        <v>-60</v>
      </c>
      <c r="DC101" s="4">
        <f>DC100+BT101-AI101</f>
        <v>0</v>
      </c>
      <c r="DD101" s="4">
        <f>DD100+BU101-AJ101</f>
        <v>-2665</v>
      </c>
      <c r="DE101" s="4">
        <f>DE100+BV101-AK101</f>
        <v>-1155</v>
      </c>
      <c r="DF101" s="4">
        <f>DF100+BW101-AL101</f>
        <v>0</v>
      </c>
      <c r="DG101" s="4">
        <f>DG100+BX101-AM101</f>
        <v>-235</v>
      </c>
      <c r="DH101" s="4">
        <f>DH100+BY101-AN101</f>
        <v>0</v>
      </c>
    </row>
    <row r="102" spans="1:112" x14ac:dyDescent="0.25">
      <c r="A102" s="6">
        <v>46183</v>
      </c>
      <c r="B102" s="7">
        <v>0.45833333309565205</v>
      </c>
      <c r="C102" s="3" t="s">
        <v>2</v>
      </c>
      <c r="D102" s="3" t="s">
        <v>6</v>
      </c>
      <c r="E102" s="3" t="s">
        <v>2</v>
      </c>
      <c r="F102" s="13">
        <f>SUM(IFERROR(VLOOKUP($C:$C,Structure!$A:$AJ,F$1,0)*15,0),IFERROR(VLOOKUP($D:$D,Structure!$A:$AJ,F$1,0)*15,0),IFERROR(VLOOKUP($E:$E,Structure!$A:$AJ,F$1,0)*15,0))</f>
        <v>0</v>
      </c>
      <c r="G102" s="13">
        <f>SUM(IFERROR(VLOOKUP($C:$C,Structure!$A:$AJ,G$1,0)*15,0),IFERROR(VLOOKUP($D:$D,Structure!$A:$AJ,G$1,0)*15,0),IFERROR(VLOOKUP($E:$E,Structure!$A:$AJ,G$1,0)*15,0))</f>
        <v>0</v>
      </c>
      <c r="H102" s="13">
        <f>SUM(IFERROR(VLOOKUP($C:$C,Structure!$A:$AJ,H$1,0)*15,0),IFERROR(VLOOKUP($D:$D,Structure!$A:$AJ,H$1,0)*15,0),IFERROR(VLOOKUP($E:$E,Structure!$A:$AJ,H$1,0)*15,0))</f>
        <v>0</v>
      </c>
      <c r="I102" s="13">
        <f>SUM(IFERROR(VLOOKUP($C:$C,Structure!$A:$AJ,I$1,0)*15,0),IFERROR(VLOOKUP($D:$D,Structure!$A:$AJ,I$1,0)*15,0),IFERROR(VLOOKUP($E:$E,Structure!$A:$AJ,I$1,0)*15,0))</f>
        <v>0</v>
      </c>
      <c r="J102" s="13">
        <f>SUM(IFERROR(VLOOKUP($C:$C,Structure!$A:$AJ,J$1,0)*15,0),IFERROR(VLOOKUP($D:$D,Structure!$A:$AJ,J$1,0)*15,0),IFERROR(VLOOKUP($E:$E,Structure!$A:$AJ,J$1,0)*15,0))</f>
        <v>0</v>
      </c>
      <c r="K102" s="13">
        <f>SUM(IFERROR(VLOOKUP($C:$C,Structure!$A:$AJ,K$1,0)*15,0),IFERROR(VLOOKUP($D:$D,Structure!$A:$AJ,K$1,0)*15,0),IFERROR(VLOOKUP($E:$E,Structure!$A:$AJ,K$1,0)*15,0))</f>
        <v>0</v>
      </c>
      <c r="L102" s="13">
        <f>SUM(IFERROR(VLOOKUP($C:$C,Structure!$A:$AJ,L$1,0)*15,0),IFERROR(VLOOKUP($D:$D,Structure!$A:$AJ,L$1,0)*15,0),IFERROR(VLOOKUP($E:$E,Structure!$A:$AJ,L$1,0)*15,0))</f>
        <v>0</v>
      </c>
      <c r="M102" s="13">
        <f>SUM(IFERROR(VLOOKUP($C:$C,Structure!$A:$AJ,M$1,0)*15,0),IFERROR(VLOOKUP($D:$D,Structure!$A:$AJ,M$1,0)*15,0),IFERROR(VLOOKUP($E:$E,Structure!$A:$AJ,M$1,0)*15,0))</f>
        <v>0</v>
      </c>
      <c r="N102" s="13">
        <f>SUM(IFERROR(VLOOKUP($C:$C,Structure!$A:$AJ,N$1,0)*15,0),IFERROR(VLOOKUP($D:$D,Structure!$A:$AJ,N$1,0)*15,0),IFERROR(VLOOKUP($E:$E,Structure!$A:$AJ,N$1,0)*15,0))</f>
        <v>0</v>
      </c>
      <c r="O102" s="13">
        <f>SUM(IFERROR(VLOOKUP($C:$C,Structure!$A:$AJ,O$1,0)*15,0),IFERROR(VLOOKUP($D:$D,Structure!$A:$AJ,O$1,0)*15,0),IFERROR(VLOOKUP($E:$E,Structure!$A:$AJ,O$1,0)*15,0))</f>
        <v>0</v>
      </c>
      <c r="P102" s="13">
        <f>SUM(IFERROR(VLOOKUP($C:$C,Structure!$A:$AJ,P$1,0)*15,0),IFERROR(VLOOKUP($D:$D,Structure!$A:$AJ,P$1,0)*15,0),IFERROR(VLOOKUP($E:$E,Structure!$A:$AJ,P$1,0)*15,0))</f>
        <v>0</v>
      </c>
      <c r="Q102" s="13">
        <f>SUM(IFERROR(VLOOKUP($C:$C,Structure!$A:$AJ,Q$1,0)*15,0),IFERROR(VLOOKUP($D:$D,Structure!$A:$AJ,Q$1,0)*15,0),IFERROR(VLOOKUP($E:$E,Structure!$A:$AJ,Q$1,0)*15,0))</f>
        <v>0</v>
      </c>
      <c r="R102" s="13">
        <f>SUM(IFERROR(VLOOKUP($C:$C,Structure!$A:$AJ,R$1,0)*15,0),IFERROR(VLOOKUP($D:$D,Structure!$A:$AJ,R$1,0)*15,0),IFERROR(VLOOKUP($E:$E,Structure!$A:$AJ,R$1,0)*15,0))</f>
        <v>0</v>
      </c>
      <c r="S102" s="13">
        <f>SUM(IFERROR(VLOOKUP($C:$C,Structure!$A:$AJ,S$1,0)*15,0),IFERROR(VLOOKUP($D:$D,Structure!$A:$AJ,S$1,0)*15,0),IFERROR(VLOOKUP($E:$E,Structure!$A:$AJ,S$1,0)*15,0))</f>
        <v>0</v>
      </c>
      <c r="T102" s="13">
        <f>SUM(IFERROR(VLOOKUP($C:$C,Structure!$A:$AJ,T$1,0)*15,0),IFERROR(VLOOKUP($D:$D,Structure!$A:$AJ,T$1,0)*15,0),IFERROR(VLOOKUP($E:$E,Structure!$A:$AJ,T$1,0)*15,0))</f>
        <v>0</v>
      </c>
      <c r="U102" s="13">
        <f>SUM(IFERROR(VLOOKUP($C:$C,Structure!$A:$AJ,U$1,0)*15,0),IFERROR(VLOOKUP($D:$D,Structure!$A:$AJ,U$1,0)*15,0),IFERROR(VLOOKUP($E:$E,Structure!$A:$AJ,U$1,0)*15,0))</f>
        <v>0</v>
      </c>
      <c r="V102" s="13">
        <f>SUM(IFERROR(VLOOKUP($C:$C,Structure!$A:$AJ,V$1,0)*15,0),IFERROR(VLOOKUP($D:$D,Structure!$A:$AJ,V$1,0)*15,0),IFERROR(VLOOKUP($E:$E,Structure!$A:$AJ,V$1,0)*15,0))</f>
        <v>0</v>
      </c>
      <c r="W102" s="13">
        <f>SUM(IFERROR(VLOOKUP($C:$C,Structure!$A:$AJ,W$1,0)*15,0),IFERROR(VLOOKUP($D:$D,Structure!$A:$AJ,W$1,0)*15,0),IFERROR(VLOOKUP($E:$E,Structure!$A:$AJ,W$1,0)*15,0))</f>
        <v>0</v>
      </c>
      <c r="X102" s="13">
        <f>SUM(IFERROR(VLOOKUP($C:$C,Structure!$A:$AJ,X$1,0)*15,0),IFERROR(VLOOKUP($D:$D,Structure!$A:$AJ,X$1,0)*15,0),IFERROR(VLOOKUP($E:$E,Structure!$A:$AJ,X$1,0)*15,0))</f>
        <v>0</v>
      </c>
      <c r="Y102" s="13">
        <f>SUM(IFERROR(VLOOKUP($C:$C,Structure!$A:$AJ,Y$1,0)*15,0),IFERROR(VLOOKUP($D:$D,Structure!$A:$AJ,Y$1,0)*15,0),IFERROR(VLOOKUP($E:$E,Structure!$A:$AJ,Y$1,0)*15,0))</f>
        <v>0</v>
      </c>
      <c r="Z102" s="13">
        <f>SUM(IFERROR(VLOOKUP($C:$C,Structure!$A:$AJ,Z$1,0)*15,0),IFERROR(VLOOKUP($D:$D,Structure!$A:$AJ,Z$1,0)*15,0),IFERROR(VLOOKUP($E:$E,Structure!$A:$AJ,Z$1,0)*15,0))</f>
        <v>0</v>
      </c>
      <c r="AA102" s="13">
        <f>SUM(IFERROR(VLOOKUP($C:$C,Structure!$A:$AJ,AA$1,0)*15,0),IFERROR(VLOOKUP($D:$D,Structure!$A:$AJ,AA$1,0)*15,0),IFERROR(VLOOKUP($E:$E,Structure!$A:$AJ,AA$1,0)*15,0))</f>
        <v>45</v>
      </c>
      <c r="AB102" s="13">
        <f>SUM(IFERROR(VLOOKUP($C:$C,Structure!$A:$AJ,AB$1,0)*15,0),IFERROR(VLOOKUP($D:$D,Structure!$A:$AJ,AB$1,0)*15,0),IFERROR(VLOOKUP($E:$E,Structure!$A:$AJ,AB$1,0)*15,0))</f>
        <v>0</v>
      </c>
      <c r="AC102" s="13">
        <f>SUM(IFERROR(VLOOKUP($C:$C,Structure!$A:$AJ,AC$1,0)*15,0),IFERROR(VLOOKUP($D:$D,Structure!$A:$AJ,AC$1,0)*15,0),IFERROR(VLOOKUP($E:$E,Structure!$A:$AJ,AC$1,0)*15,0))</f>
        <v>0</v>
      </c>
      <c r="AD102" s="13">
        <f>SUM(IFERROR(VLOOKUP($C:$C,Structure!$A:$AJ,AD$1,0)*15,0),IFERROR(VLOOKUP($D:$D,Structure!$A:$AJ,AD$1,0)*15,0),IFERROR(VLOOKUP($E:$E,Structure!$A:$AJ,AD$1,0)*15,0))</f>
        <v>0</v>
      </c>
      <c r="AE102" s="13">
        <f>SUM(IFERROR(VLOOKUP($C:$C,Structure!$A:$AJ,AE$1,0)*15,0),IFERROR(VLOOKUP($D:$D,Structure!$A:$AJ,AE$1,0)*15,0),IFERROR(VLOOKUP($E:$E,Structure!$A:$AJ,AE$1,0)*15,0))</f>
        <v>0</v>
      </c>
      <c r="AF102" s="13">
        <f>SUM(IFERROR(VLOOKUP($C:$C,Structure!$A:$AJ,AF$1,0)*15,0),IFERROR(VLOOKUP($D:$D,Structure!$A:$AJ,AF$1,0)*15,0),IFERROR(VLOOKUP($E:$E,Structure!$A:$AJ,AF$1,0)*15,0))</f>
        <v>0</v>
      </c>
      <c r="AG102" s="13">
        <f>SUM(IFERROR(VLOOKUP($C:$C,Structure!$A:$AJ,AG$1,0)*15,0),IFERROR(VLOOKUP($D:$D,Structure!$A:$AJ,AG$1,0)*15,0),IFERROR(VLOOKUP($E:$E,Structure!$A:$AJ,AG$1,0)*15,0))</f>
        <v>0</v>
      </c>
      <c r="AH102" s="13">
        <f>SUM(IFERROR(VLOOKUP($C:$C,Structure!$A:$AJ,AH$1,0)*15,0),IFERROR(VLOOKUP($D:$D,Structure!$A:$AJ,AH$1,0)*15,0),IFERROR(VLOOKUP($E:$E,Structure!$A:$AJ,AH$1,0)*15,0))</f>
        <v>0</v>
      </c>
      <c r="AI102" s="13">
        <f>SUM(IFERROR(VLOOKUP($C:$C,Structure!$A:$AJ,AI$1,0)*15,0),IFERROR(VLOOKUP($D:$D,Structure!$A:$AJ,AI$1,0)*15,0),IFERROR(VLOOKUP($E:$E,Structure!$A:$AJ,AI$1,0)*15,0))</f>
        <v>0</v>
      </c>
      <c r="AJ102" s="13">
        <f>SUM(IFERROR(VLOOKUP($C:$C,Structure!$A:$AJ,AJ$1,0)*15,0),IFERROR(VLOOKUP($D:$D,Structure!$A:$AJ,AJ$1,0)*15,0),IFERROR(VLOOKUP($E:$E,Structure!$A:$AJ,AJ$1,0)*15,0))</f>
        <v>45</v>
      </c>
      <c r="AK102" s="13">
        <f>SUM(IFERROR(VLOOKUP($C:$C,Structure!$A:$AJ,AK$1,0)*15,0),IFERROR(VLOOKUP($D:$D,Structure!$A:$AJ,AK$1,0)*15,0),IFERROR(VLOOKUP($E:$E,Structure!$A:$AJ,AK$1,0)*15,0))</f>
        <v>0</v>
      </c>
      <c r="AL102" s="13">
        <f>SUM(IFERROR(VLOOKUP($C:$C,Structure!$A:$AJ,AL$1,0)*15,0),IFERROR(VLOOKUP($D:$D,Structure!$A:$AJ,AL$1,0)*15,0),IFERROR(VLOOKUP($E:$E,Structure!$A:$AJ,AL$1,0)*15,0))</f>
        <v>0</v>
      </c>
      <c r="AM102" s="13">
        <f>SUM(IFERROR(VLOOKUP($C:$C,Structure!$A:$AJ,AM$1,0)*15,0),IFERROR(VLOOKUP($D:$D,Structure!$A:$AJ,AM$1,0)*15,0),IFERROR(VLOOKUP($E:$E,Structure!$A:$AJ,AM$1,0)*15,0))</f>
        <v>0</v>
      </c>
      <c r="AN102" s="13">
        <f>SUM(IFERROR(VLOOKUP($C:$C,Structure!$A:$AJ,AN$1,0)*15,0),IFERROR(VLOOKUP($D:$D,Structure!$A:$AJ,AN$1,0)*15,0),IFERROR(VLOOKUP($E:$E,Structure!$A:$AJ,AN$1,0)*15,0))</f>
        <v>0</v>
      </c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3"/>
      <c r="BZ102" s="4">
        <f>BZ101+AQ102-F102</f>
        <v>0</v>
      </c>
      <c r="CA102" s="4">
        <f>CA101+AR102-G102</f>
        <v>0</v>
      </c>
      <c r="CB102" s="4">
        <f>CB101+AS102-H102</f>
        <v>0</v>
      </c>
      <c r="CC102" s="4">
        <f>CC101+AT102-I102</f>
        <v>0</v>
      </c>
      <c r="CD102" s="4">
        <f>CD101+AU102-J102</f>
        <v>0</v>
      </c>
      <c r="CE102" s="4">
        <f>CE101+AV102-K102</f>
        <v>0</v>
      </c>
      <c r="CF102" s="4">
        <f>CF101+AW102-L102</f>
        <v>0</v>
      </c>
      <c r="CG102" s="4">
        <f>CG101+AX102-M102</f>
        <v>0</v>
      </c>
      <c r="CH102" s="4">
        <f>CH101+AY102-N102</f>
        <v>0</v>
      </c>
      <c r="CI102" s="4">
        <f>CI101+AZ102-O102</f>
        <v>0</v>
      </c>
      <c r="CJ102" s="4">
        <f>CJ101+BA102-P102</f>
        <v>0</v>
      </c>
      <c r="CK102" s="4">
        <f>CK101+BB102-Q102</f>
        <v>0</v>
      </c>
      <c r="CL102" s="4">
        <f>CL101+BC102-R102</f>
        <v>0</v>
      </c>
      <c r="CM102" s="4">
        <f>CM101+BD102-S102</f>
        <v>0</v>
      </c>
      <c r="CN102" s="4">
        <f>CN101+BE102-T102</f>
        <v>0</v>
      </c>
      <c r="CO102" s="4">
        <f>CO101+BF102-U102</f>
        <v>0</v>
      </c>
      <c r="CP102" s="4">
        <f>CP101+BG102-V102</f>
        <v>0</v>
      </c>
      <c r="CQ102" s="4">
        <f>CQ101+BH102-W102</f>
        <v>0</v>
      </c>
      <c r="CR102" s="4">
        <f>CR101+BI102-X102</f>
        <v>0</v>
      </c>
      <c r="CS102" s="4">
        <f>CS101+BJ102-Y102</f>
        <v>0</v>
      </c>
      <c r="CT102" s="4">
        <f>CT101+BK102-Z102</f>
        <v>0</v>
      </c>
      <c r="CU102" s="4">
        <f>CU101+BL102-AA102</f>
        <v>-3845</v>
      </c>
      <c r="CV102" s="4">
        <f>CV101+BM102-AB102</f>
        <v>-240</v>
      </c>
      <c r="CW102" s="4">
        <f>CW101+BN102-AC102</f>
        <v>-255</v>
      </c>
      <c r="CX102" s="4">
        <f>CX101+BO102-AD102</f>
        <v>0</v>
      </c>
      <c r="CY102" s="4">
        <f>CY101+BP102-AE102</f>
        <v>-60</v>
      </c>
      <c r="CZ102" s="4">
        <f>CZ101+BQ102-AF102</f>
        <v>-160</v>
      </c>
      <c r="DA102" s="4">
        <f>DA101+BR102-AG102</f>
        <v>0</v>
      </c>
      <c r="DB102" s="4">
        <f>DB101+BS102-AH102</f>
        <v>-60</v>
      </c>
      <c r="DC102" s="4">
        <f>DC101+BT102-AI102</f>
        <v>0</v>
      </c>
      <c r="DD102" s="4">
        <f>DD101+BU102-AJ102</f>
        <v>-2710</v>
      </c>
      <c r="DE102" s="4">
        <f>DE101+BV102-AK102</f>
        <v>-1155</v>
      </c>
      <c r="DF102" s="4">
        <f>DF101+BW102-AL102</f>
        <v>0</v>
      </c>
      <c r="DG102" s="4">
        <f>DG101+BX102-AM102</f>
        <v>-235</v>
      </c>
      <c r="DH102" s="4">
        <f>DH101+BY102-AN102</f>
        <v>0</v>
      </c>
    </row>
    <row r="103" spans="1:112" x14ac:dyDescent="0.25">
      <c r="A103" s="6">
        <v>46183</v>
      </c>
      <c r="B103" s="7">
        <v>0.4999999997598934</v>
      </c>
      <c r="C103" s="3" t="s">
        <v>2</v>
      </c>
      <c r="D103" s="3" t="s">
        <v>6</v>
      </c>
      <c r="E103" s="3" t="s">
        <v>2</v>
      </c>
      <c r="F103" s="13">
        <f>SUM(IFERROR(VLOOKUP($C:$C,Structure!$A:$AJ,F$1,0)*15,0),IFERROR(VLOOKUP($D:$D,Structure!$A:$AJ,F$1,0)*15,0),IFERROR(VLOOKUP($E:$E,Structure!$A:$AJ,F$1,0)*15,0))</f>
        <v>0</v>
      </c>
      <c r="G103" s="13">
        <f>SUM(IFERROR(VLOOKUP($C:$C,Structure!$A:$AJ,G$1,0)*15,0),IFERROR(VLOOKUP($D:$D,Structure!$A:$AJ,G$1,0)*15,0),IFERROR(VLOOKUP($E:$E,Structure!$A:$AJ,G$1,0)*15,0))</f>
        <v>0</v>
      </c>
      <c r="H103" s="13">
        <f>SUM(IFERROR(VLOOKUP($C:$C,Structure!$A:$AJ,H$1,0)*15,0),IFERROR(VLOOKUP($D:$D,Structure!$A:$AJ,H$1,0)*15,0),IFERROR(VLOOKUP($E:$E,Structure!$A:$AJ,H$1,0)*15,0))</f>
        <v>0</v>
      </c>
      <c r="I103" s="13">
        <f>SUM(IFERROR(VLOOKUP($C:$C,Structure!$A:$AJ,I$1,0)*15,0),IFERROR(VLOOKUP($D:$D,Structure!$A:$AJ,I$1,0)*15,0),IFERROR(VLOOKUP($E:$E,Structure!$A:$AJ,I$1,0)*15,0))</f>
        <v>0</v>
      </c>
      <c r="J103" s="13">
        <f>SUM(IFERROR(VLOOKUP($C:$C,Structure!$A:$AJ,J$1,0)*15,0),IFERROR(VLOOKUP($D:$D,Structure!$A:$AJ,J$1,0)*15,0),IFERROR(VLOOKUP($E:$E,Structure!$A:$AJ,J$1,0)*15,0))</f>
        <v>0</v>
      </c>
      <c r="K103" s="13">
        <f>SUM(IFERROR(VLOOKUP($C:$C,Structure!$A:$AJ,K$1,0)*15,0),IFERROR(VLOOKUP($D:$D,Structure!$A:$AJ,K$1,0)*15,0),IFERROR(VLOOKUP($E:$E,Structure!$A:$AJ,K$1,0)*15,0))</f>
        <v>0</v>
      </c>
      <c r="L103" s="13">
        <f>SUM(IFERROR(VLOOKUP($C:$C,Structure!$A:$AJ,L$1,0)*15,0),IFERROR(VLOOKUP($D:$D,Structure!$A:$AJ,L$1,0)*15,0),IFERROR(VLOOKUP($E:$E,Structure!$A:$AJ,L$1,0)*15,0))</f>
        <v>0</v>
      </c>
      <c r="M103" s="13">
        <f>SUM(IFERROR(VLOOKUP($C:$C,Structure!$A:$AJ,M$1,0)*15,0),IFERROR(VLOOKUP($D:$D,Structure!$A:$AJ,M$1,0)*15,0),IFERROR(VLOOKUP($E:$E,Structure!$A:$AJ,M$1,0)*15,0))</f>
        <v>0</v>
      </c>
      <c r="N103" s="13">
        <f>SUM(IFERROR(VLOOKUP($C:$C,Structure!$A:$AJ,N$1,0)*15,0),IFERROR(VLOOKUP($D:$D,Structure!$A:$AJ,N$1,0)*15,0),IFERROR(VLOOKUP($E:$E,Structure!$A:$AJ,N$1,0)*15,0))</f>
        <v>0</v>
      </c>
      <c r="O103" s="13">
        <f>SUM(IFERROR(VLOOKUP($C:$C,Structure!$A:$AJ,O$1,0)*15,0),IFERROR(VLOOKUP($D:$D,Structure!$A:$AJ,O$1,0)*15,0),IFERROR(VLOOKUP($E:$E,Structure!$A:$AJ,O$1,0)*15,0))</f>
        <v>0</v>
      </c>
      <c r="P103" s="13">
        <f>SUM(IFERROR(VLOOKUP($C:$C,Structure!$A:$AJ,P$1,0)*15,0),IFERROR(VLOOKUP($D:$D,Structure!$A:$AJ,P$1,0)*15,0),IFERROR(VLOOKUP($E:$E,Structure!$A:$AJ,P$1,0)*15,0))</f>
        <v>0</v>
      </c>
      <c r="Q103" s="13">
        <f>SUM(IFERROR(VLOOKUP($C:$C,Structure!$A:$AJ,Q$1,0)*15,0),IFERROR(VLOOKUP($D:$D,Structure!$A:$AJ,Q$1,0)*15,0),IFERROR(VLOOKUP($E:$E,Structure!$A:$AJ,Q$1,0)*15,0))</f>
        <v>0</v>
      </c>
      <c r="R103" s="13">
        <f>SUM(IFERROR(VLOOKUP($C:$C,Structure!$A:$AJ,R$1,0)*15,0),IFERROR(VLOOKUP($D:$D,Structure!$A:$AJ,R$1,0)*15,0),IFERROR(VLOOKUP($E:$E,Structure!$A:$AJ,R$1,0)*15,0))</f>
        <v>0</v>
      </c>
      <c r="S103" s="13">
        <f>SUM(IFERROR(VLOOKUP($C:$C,Structure!$A:$AJ,S$1,0)*15,0),IFERROR(VLOOKUP($D:$D,Structure!$A:$AJ,S$1,0)*15,0),IFERROR(VLOOKUP($E:$E,Structure!$A:$AJ,S$1,0)*15,0))</f>
        <v>0</v>
      </c>
      <c r="T103" s="13">
        <f>SUM(IFERROR(VLOOKUP($C:$C,Structure!$A:$AJ,T$1,0)*15,0),IFERROR(VLOOKUP($D:$D,Structure!$A:$AJ,T$1,0)*15,0),IFERROR(VLOOKUP($E:$E,Structure!$A:$AJ,T$1,0)*15,0))</f>
        <v>0</v>
      </c>
      <c r="U103" s="13">
        <f>SUM(IFERROR(VLOOKUP($C:$C,Structure!$A:$AJ,U$1,0)*15,0),IFERROR(VLOOKUP($D:$D,Structure!$A:$AJ,U$1,0)*15,0),IFERROR(VLOOKUP($E:$E,Structure!$A:$AJ,U$1,0)*15,0))</f>
        <v>0</v>
      </c>
      <c r="V103" s="13">
        <f>SUM(IFERROR(VLOOKUP($C:$C,Structure!$A:$AJ,V$1,0)*15,0),IFERROR(VLOOKUP($D:$D,Structure!$A:$AJ,V$1,0)*15,0),IFERROR(VLOOKUP($E:$E,Structure!$A:$AJ,V$1,0)*15,0))</f>
        <v>0</v>
      </c>
      <c r="W103" s="13">
        <f>SUM(IFERROR(VLOOKUP($C:$C,Structure!$A:$AJ,W$1,0)*15,0),IFERROR(VLOOKUP($D:$D,Structure!$A:$AJ,W$1,0)*15,0),IFERROR(VLOOKUP($E:$E,Structure!$A:$AJ,W$1,0)*15,0))</f>
        <v>0</v>
      </c>
      <c r="X103" s="13">
        <f>SUM(IFERROR(VLOOKUP($C:$C,Structure!$A:$AJ,X$1,0)*15,0),IFERROR(VLOOKUP($D:$D,Structure!$A:$AJ,X$1,0)*15,0),IFERROR(VLOOKUP($E:$E,Structure!$A:$AJ,X$1,0)*15,0))</f>
        <v>0</v>
      </c>
      <c r="Y103" s="13">
        <f>SUM(IFERROR(VLOOKUP($C:$C,Structure!$A:$AJ,Y$1,0)*15,0),IFERROR(VLOOKUP($D:$D,Structure!$A:$AJ,Y$1,0)*15,0),IFERROR(VLOOKUP($E:$E,Structure!$A:$AJ,Y$1,0)*15,0))</f>
        <v>0</v>
      </c>
      <c r="Z103" s="13">
        <f>SUM(IFERROR(VLOOKUP($C:$C,Structure!$A:$AJ,Z$1,0)*15,0),IFERROR(VLOOKUP($D:$D,Structure!$A:$AJ,Z$1,0)*15,0),IFERROR(VLOOKUP($E:$E,Structure!$A:$AJ,Z$1,0)*15,0))</f>
        <v>0</v>
      </c>
      <c r="AA103" s="13">
        <f>SUM(IFERROR(VLOOKUP($C:$C,Structure!$A:$AJ,AA$1,0)*15,0),IFERROR(VLOOKUP($D:$D,Structure!$A:$AJ,AA$1,0)*15,0),IFERROR(VLOOKUP($E:$E,Structure!$A:$AJ,AA$1,0)*15,0))</f>
        <v>45</v>
      </c>
      <c r="AB103" s="13">
        <f>SUM(IFERROR(VLOOKUP($C:$C,Structure!$A:$AJ,AB$1,0)*15,0),IFERROR(VLOOKUP($D:$D,Structure!$A:$AJ,AB$1,0)*15,0),IFERROR(VLOOKUP($E:$E,Structure!$A:$AJ,AB$1,0)*15,0))</f>
        <v>0</v>
      </c>
      <c r="AC103" s="13">
        <f>SUM(IFERROR(VLOOKUP($C:$C,Structure!$A:$AJ,AC$1,0)*15,0),IFERROR(VLOOKUP($D:$D,Structure!$A:$AJ,AC$1,0)*15,0),IFERROR(VLOOKUP($E:$E,Structure!$A:$AJ,AC$1,0)*15,0))</f>
        <v>0</v>
      </c>
      <c r="AD103" s="13">
        <f>SUM(IFERROR(VLOOKUP($C:$C,Structure!$A:$AJ,AD$1,0)*15,0),IFERROR(VLOOKUP($D:$D,Structure!$A:$AJ,AD$1,0)*15,0),IFERROR(VLOOKUP($E:$E,Structure!$A:$AJ,AD$1,0)*15,0))</f>
        <v>0</v>
      </c>
      <c r="AE103" s="13">
        <f>SUM(IFERROR(VLOOKUP($C:$C,Structure!$A:$AJ,AE$1,0)*15,0),IFERROR(VLOOKUP($D:$D,Structure!$A:$AJ,AE$1,0)*15,0),IFERROR(VLOOKUP($E:$E,Structure!$A:$AJ,AE$1,0)*15,0))</f>
        <v>0</v>
      </c>
      <c r="AF103" s="13">
        <f>SUM(IFERROR(VLOOKUP($C:$C,Structure!$A:$AJ,AF$1,0)*15,0),IFERROR(VLOOKUP($D:$D,Structure!$A:$AJ,AF$1,0)*15,0),IFERROR(VLOOKUP($E:$E,Structure!$A:$AJ,AF$1,0)*15,0))</f>
        <v>0</v>
      </c>
      <c r="AG103" s="13">
        <f>SUM(IFERROR(VLOOKUP($C:$C,Structure!$A:$AJ,AG$1,0)*15,0),IFERROR(VLOOKUP($D:$D,Structure!$A:$AJ,AG$1,0)*15,0),IFERROR(VLOOKUP($E:$E,Structure!$A:$AJ,AG$1,0)*15,0))</f>
        <v>0</v>
      </c>
      <c r="AH103" s="13">
        <f>SUM(IFERROR(VLOOKUP($C:$C,Structure!$A:$AJ,AH$1,0)*15,0),IFERROR(VLOOKUP($D:$D,Structure!$A:$AJ,AH$1,0)*15,0),IFERROR(VLOOKUP($E:$E,Structure!$A:$AJ,AH$1,0)*15,0))</f>
        <v>0</v>
      </c>
      <c r="AI103" s="13">
        <f>SUM(IFERROR(VLOOKUP($C:$C,Structure!$A:$AJ,AI$1,0)*15,0),IFERROR(VLOOKUP($D:$D,Structure!$A:$AJ,AI$1,0)*15,0),IFERROR(VLOOKUP($E:$E,Structure!$A:$AJ,AI$1,0)*15,0))</f>
        <v>0</v>
      </c>
      <c r="AJ103" s="13">
        <f>SUM(IFERROR(VLOOKUP($C:$C,Structure!$A:$AJ,AJ$1,0)*15,0),IFERROR(VLOOKUP($D:$D,Structure!$A:$AJ,AJ$1,0)*15,0),IFERROR(VLOOKUP($E:$E,Structure!$A:$AJ,AJ$1,0)*15,0))</f>
        <v>45</v>
      </c>
      <c r="AK103" s="13">
        <f>SUM(IFERROR(VLOOKUP($C:$C,Structure!$A:$AJ,AK$1,0)*15,0),IFERROR(VLOOKUP($D:$D,Structure!$A:$AJ,AK$1,0)*15,0),IFERROR(VLOOKUP($E:$E,Structure!$A:$AJ,AK$1,0)*15,0))</f>
        <v>0</v>
      </c>
      <c r="AL103" s="13">
        <f>SUM(IFERROR(VLOOKUP($C:$C,Structure!$A:$AJ,AL$1,0)*15,0),IFERROR(VLOOKUP($D:$D,Structure!$A:$AJ,AL$1,0)*15,0),IFERROR(VLOOKUP($E:$E,Structure!$A:$AJ,AL$1,0)*15,0))</f>
        <v>0</v>
      </c>
      <c r="AM103" s="13">
        <f>SUM(IFERROR(VLOOKUP($C:$C,Structure!$A:$AJ,AM$1,0)*15,0),IFERROR(VLOOKUP($D:$D,Structure!$A:$AJ,AM$1,0)*15,0),IFERROR(VLOOKUP($E:$E,Structure!$A:$AJ,AM$1,0)*15,0))</f>
        <v>0</v>
      </c>
      <c r="AN103" s="13">
        <f>SUM(IFERROR(VLOOKUP($C:$C,Structure!$A:$AJ,AN$1,0)*15,0),IFERROR(VLOOKUP($D:$D,Structure!$A:$AJ,AN$1,0)*15,0),IFERROR(VLOOKUP($E:$E,Structure!$A:$AJ,AN$1,0)*15,0))</f>
        <v>0</v>
      </c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3"/>
      <c r="BZ103" s="4">
        <f>BZ102+AQ103-F103</f>
        <v>0</v>
      </c>
      <c r="CA103" s="4">
        <f>CA102+AR103-G103</f>
        <v>0</v>
      </c>
      <c r="CB103" s="4">
        <f>CB102+AS103-H103</f>
        <v>0</v>
      </c>
      <c r="CC103" s="4">
        <f>CC102+AT103-I103</f>
        <v>0</v>
      </c>
      <c r="CD103" s="4">
        <f>CD102+AU103-J103</f>
        <v>0</v>
      </c>
      <c r="CE103" s="4">
        <f>CE102+AV103-K103</f>
        <v>0</v>
      </c>
      <c r="CF103" s="4">
        <f>CF102+AW103-L103</f>
        <v>0</v>
      </c>
      <c r="CG103" s="4">
        <f>CG102+AX103-M103</f>
        <v>0</v>
      </c>
      <c r="CH103" s="4">
        <f>CH102+AY103-N103</f>
        <v>0</v>
      </c>
      <c r="CI103" s="4">
        <f>CI102+AZ103-O103</f>
        <v>0</v>
      </c>
      <c r="CJ103" s="4">
        <f>CJ102+BA103-P103</f>
        <v>0</v>
      </c>
      <c r="CK103" s="4">
        <f>CK102+BB103-Q103</f>
        <v>0</v>
      </c>
      <c r="CL103" s="4">
        <f>CL102+BC103-R103</f>
        <v>0</v>
      </c>
      <c r="CM103" s="4">
        <f>CM102+BD103-S103</f>
        <v>0</v>
      </c>
      <c r="CN103" s="4">
        <f>CN102+BE103-T103</f>
        <v>0</v>
      </c>
      <c r="CO103" s="4">
        <f>CO102+BF103-U103</f>
        <v>0</v>
      </c>
      <c r="CP103" s="4">
        <f>CP102+BG103-V103</f>
        <v>0</v>
      </c>
      <c r="CQ103" s="4">
        <f>CQ102+BH103-W103</f>
        <v>0</v>
      </c>
      <c r="CR103" s="4">
        <f>CR102+BI103-X103</f>
        <v>0</v>
      </c>
      <c r="CS103" s="4">
        <f>CS102+BJ103-Y103</f>
        <v>0</v>
      </c>
      <c r="CT103" s="4">
        <f>CT102+BK103-Z103</f>
        <v>0</v>
      </c>
      <c r="CU103" s="4">
        <f>CU102+BL103-AA103</f>
        <v>-3890</v>
      </c>
      <c r="CV103" s="4">
        <f>CV102+BM103-AB103</f>
        <v>-240</v>
      </c>
      <c r="CW103" s="4">
        <f>CW102+BN103-AC103</f>
        <v>-255</v>
      </c>
      <c r="CX103" s="4">
        <f>CX102+BO103-AD103</f>
        <v>0</v>
      </c>
      <c r="CY103" s="4">
        <f>CY102+BP103-AE103</f>
        <v>-60</v>
      </c>
      <c r="CZ103" s="4">
        <f>CZ102+BQ103-AF103</f>
        <v>-160</v>
      </c>
      <c r="DA103" s="4">
        <f>DA102+BR103-AG103</f>
        <v>0</v>
      </c>
      <c r="DB103" s="4">
        <f>DB102+BS103-AH103</f>
        <v>-60</v>
      </c>
      <c r="DC103" s="4">
        <f>DC102+BT103-AI103</f>
        <v>0</v>
      </c>
      <c r="DD103" s="4">
        <f>DD102+BU103-AJ103</f>
        <v>-2755</v>
      </c>
      <c r="DE103" s="4">
        <f>DE102+BV103-AK103</f>
        <v>-1155</v>
      </c>
      <c r="DF103" s="4">
        <f>DF102+BW103-AL103</f>
        <v>0</v>
      </c>
      <c r="DG103" s="4">
        <f>DG102+BX103-AM103</f>
        <v>-235</v>
      </c>
      <c r="DH103" s="4">
        <f>DH102+BY103-AN103</f>
        <v>0</v>
      </c>
    </row>
    <row r="104" spans="1:112" x14ac:dyDescent="0.25">
      <c r="A104" s="6">
        <v>46183</v>
      </c>
      <c r="B104" s="7">
        <v>0.54166666642413475</v>
      </c>
      <c r="C104" s="3" t="s">
        <v>2</v>
      </c>
      <c r="D104" s="3" t="s">
        <v>6</v>
      </c>
      <c r="E104" s="3" t="s">
        <v>2</v>
      </c>
      <c r="F104" s="13">
        <f>SUM(IFERROR(VLOOKUP($C:$C,Structure!$A:$AJ,F$1,0)*15,0),IFERROR(VLOOKUP($D:$D,Structure!$A:$AJ,F$1,0)*15,0),IFERROR(VLOOKUP($E:$E,Structure!$A:$AJ,F$1,0)*15,0))</f>
        <v>0</v>
      </c>
      <c r="G104" s="13">
        <f>SUM(IFERROR(VLOOKUP($C:$C,Structure!$A:$AJ,G$1,0)*15,0),IFERROR(VLOOKUP($D:$D,Structure!$A:$AJ,G$1,0)*15,0),IFERROR(VLOOKUP($E:$E,Structure!$A:$AJ,G$1,0)*15,0))</f>
        <v>0</v>
      </c>
      <c r="H104" s="13">
        <f>SUM(IFERROR(VLOOKUP($C:$C,Structure!$A:$AJ,H$1,0)*15,0),IFERROR(VLOOKUP($D:$D,Structure!$A:$AJ,H$1,0)*15,0),IFERROR(VLOOKUP($E:$E,Structure!$A:$AJ,H$1,0)*15,0))</f>
        <v>0</v>
      </c>
      <c r="I104" s="13">
        <f>SUM(IFERROR(VLOOKUP($C:$C,Structure!$A:$AJ,I$1,0)*15,0),IFERROR(VLOOKUP($D:$D,Structure!$A:$AJ,I$1,0)*15,0),IFERROR(VLOOKUP($E:$E,Structure!$A:$AJ,I$1,0)*15,0))</f>
        <v>0</v>
      </c>
      <c r="J104" s="13">
        <f>SUM(IFERROR(VLOOKUP($C:$C,Structure!$A:$AJ,J$1,0)*15,0),IFERROR(VLOOKUP($D:$D,Structure!$A:$AJ,J$1,0)*15,0),IFERROR(VLOOKUP($E:$E,Structure!$A:$AJ,J$1,0)*15,0))</f>
        <v>0</v>
      </c>
      <c r="K104" s="13">
        <f>SUM(IFERROR(VLOOKUP($C:$C,Structure!$A:$AJ,K$1,0)*15,0),IFERROR(VLOOKUP($D:$D,Structure!$A:$AJ,K$1,0)*15,0),IFERROR(VLOOKUP($E:$E,Structure!$A:$AJ,K$1,0)*15,0))</f>
        <v>0</v>
      </c>
      <c r="L104" s="13">
        <f>SUM(IFERROR(VLOOKUP($C:$C,Structure!$A:$AJ,L$1,0)*15,0),IFERROR(VLOOKUP($D:$D,Structure!$A:$AJ,L$1,0)*15,0),IFERROR(VLOOKUP($E:$E,Structure!$A:$AJ,L$1,0)*15,0))</f>
        <v>0</v>
      </c>
      <c r="M104" s="13">
        <f>SUM(IFERROR(VLOOKUP($C:$C,Structure!$A:$AJ,M$1,0)*15,0),IFERROR(VLOOKUP($D:$D,Structure!$A:$AJ,M$1,0)*15,0),IFERROR(VLOOKUP($E:$E,Structure!$A:$AJ,M$1,0)*15,0))</f>
        <v>0</v>
      </c>
      <c r="N104" s="13">
        <f>SUM(IFERROR(VLOOKUP($C:$C,Structure!$A:$AJ,N$1,0)*15,0),IFERROR(VLOOKUP($D:$D,Structure!$A:$AJ,N$1,0)*15,0),IFERROR(VLOOKUP($E:$E,Structure!$A:$AJ,N$1,0)*15,0))</f>
        <v>0</v>
      </c>
      <c r="O104" s="13">
        <f>SUM(IFERROR(VLOOKUP($C:$C,Structure!$A:$AJ,O$1,0)*15,0),IFERROR(VLOOKUP($D:$D,Structure!$A:$AJ,O$1,0)*15,0),IFERROR(VLOOKUP($E:$E,Structure!$A:$AJ,O$1,0)*15,0))</f>
        <v>0</v>
      </c>
      <c r="P104" s="13">
        <f>SUM(IFERROR(VLOOKUP($C:$C,Structure!$A:$AJ,P$1,0)*15,0),IFERROR(VLOOKUP($D:$D,Structure!$A:$AJ,P$1,0)*15,0),IFERROR(VLOOKUP($E:$E,Structure!$A:$AJ,P$1,0)*15,0))</f>
        <v>0</v>
      </c>
      <c r="Q104" s="13">
        <f>SUM(IFERROR(VLOOKUP($C:$C,Structure!$A:$AJ,Q$1,0)*15,0),IFERROR(VLOOKUP($D:$D,Structure!$A:$AJ,Q$1,0)*15,0),IFERROR(VLOOKUP($E:$E,Structure!$A:$AJ,Q$1,0)*15,0))</f>
        <v>0</v>
      </c>
      <c r="R104" s="13">
        <f>SUM(IFERROR(VLOOKUP($C:$C,Structure!$A:$AJ,R$1,0)*15,0),IFERROR(VLOOKUP($D:$D,Structure!$A:$AJ,R$1,0)*15,0),IFERROR(VLOOKUP($E:$E,Structure!$A:$AJ,R$1,0)*15,0))</f>
        <v>0</v>
      </c>
      <c r="S104" s="13">
        <f>SUM(IFERROR(VLOOKUP($C:$C,Structure!$A:$AJ,S$1,0)*15,0),IFERROR(VLOOKUP($D:$D,Structure!$A:$AJ,S$1,0)*15,0),IFERROR(VLOOKUP($E:$E,Structure!$A:$AJ,S$1,0)*15,0))</f>
        <v>0</v>
      </c>
      <c r="T104" s="13">
        <f>SUM(IFERROR(VLOOKUP($C:$C,Structure!$A:$AJ,T$1,0)*15,0),IFERROR(VLOOKUP($D:$D,Structure!$A:$AJ,T$1,0)*15,0),IFERROR(VLOOKUP($E:$E,Structure!$A:$AJ,T$1,0)*15,0))</f>
        <v>0</v>
      </c>
      <c r="U104" s="13">
        <f>SUM(IFERROR(VLOOKUP($C:$C,Structure!$A:$AJ,U$1,0)*15,0),IFERROR(VLOOKUP($D:$D,Structure!$A:$AJ,U$1,0)*15,0),IFERROR(VLOOKUP($E:$E,Structure!$A:$AJ,U$1,0)*15,0))</f>
        <v>0</v>
      </c>
      <c r="V104" s="13">
        <f>SUM(IFERROR(VLOOKUP($C:$C,Structure!$A:$AJ,V$1,0)*15,0),IFERROR(VLOOKUP($D:$D,Structure!$A:$AJ,V$1,0)*15,0),IFERROR(VLOOKUP($E:$E,Structure!$A:$AJ,V$1,0)*15,0))</f>
        <v>0</v>
      </c>
      <c r="W104" s="13">
        <f>SUM(IFERROR(VLOOKUP($C:$C,Structure!$A:$AJ,W$1,0)*15,0),IFERROR(VLOOKUP($D:$D,Structure!$A:$AJ,W$1,0)*15,0),IFERROR(VLOOKUP($E:$E,Structure!$A:$AJ,W$1,0)*15,0))</f>
        <v>0</v>
      </c>
      <c r="X104" s="13">
        <f>SUM(IFERROR(VLOOKUP($C:$C,Structure!$A:$AJ,X$1,0)*15,0),IFERROR(VLOOKUP($D:$D,Structure!$A:$AJ,X$1,0)*15,0),IFERROR(VLOOKUP($E:$E,Structure!$A:$AJ,X$1,0)*15,0))</f>
        <v>0</v>
      </c>
      <c r="Y104" s="13">
        <f>SUM(IFERROR(VLOOKUP($C:$C,Structure!$A:$AJ,Y$1,0)*15,0),IFERROR(VLOOKUP($D:$D,Structure!$A:$AJ,Y$1,0)*15,0),IFERROR(VLOOKUP($E:$E,Structure!$A:$AJ,Y$1,0)*15,0))</f>
        <v>0</v>
      </c>
      <c r="Z104" s="13">
        <f>SUM(IFERROR(VLOOKUP($C:$C,Structure!$A:$AJ,Z$1,0)*15,0),IFERROR(VLOOKUP($D:$D,Structure!$A:$AJ,Z$1,0)*15,0),IFERROR(VLOOKUP($E:$E,Structure!$A:$AJ,Z$1,0)*15,0))</f>
        <v>0</v>
      </c>
      <c r="AA104" s="13">
        <f>SUM(IFERROR(VLOOKUP($C:$C,Structure!$A:$AJ,AA$1,0)*15,0),IFERROR(VLOOKUP($D:$D,Structure!$A:$AJ,AA$1,0)*15,0),IFERROR(VLOOKUP($E:$E,Structure!$A:$AJ,AA$1,0)*15,0))</f>
        <v>45</v>
      </c>
      <c r="AB104" s="13">
        <f>SUM(IFERROR(VLOOKUP($C:$C,Structure!$A:$AJ,AB$1,0)*15,0),IFERROR(VLOOKUP($D:$D,Structure!$A:$AJ,AB$1,0)*15,0),IFERROR(VLOOKUP($E:$E,Structure!$A:$AJ,AB$1,0)*15,0))</f>
        <v>0</v>
      </c>
      <c r="AC104" s="13">
        <f>SUM(IFERROR(VLOOKUP($C:$C,Structure!$A:$AJ,AC$1,0)*15,0),IFERROR(VLOOKUP($D:$D,Structure!$A:$AJ,AC$1,0)*15,0),IFERROR(VLOOKUP($E:$E,Structure!$A:$AJ,AC$1,0)*15,0))</f>
        <v>0</v>
      </c>
      <c r="AD104" s="13">
        <f>SUM(IFERROR(VLOOKUP($C:$C,Structure!$A:$AJ,AD$1,0)*15,0),IFERROR(VLOOKUP($D:$D,Structure!$A:$AJ,AD$1,0)*15,0),IFERROR(VLOOKUP($E:$E,Structure!$A:$AJ,AD$1,0)*15,0))</f>
        <v>0</v>
      </c>
      <c r="AE104" s="13">
        <f>SUM(IFERROR(VLOOKUP($C:$C,Structure!$A:$AJ,AE$1,0)*15,0),IFERROR(VLOOKUP($D:$D,Structure!$A:$AJ,AE$1,0)*15,0),IFERROR(VLOOKUP($E:$E,Structure!$A:$AJ,AE$1,0)*15,0))</f>
        <v>0</v>
      </c>
      <c r="AF104" s="13">
        <f>SUM(IFERROR(VLOOKUP($C:$C,Structure!$A:$AJ,AF$1,0)*15,0),IFERROR(VLOOKUP($D:$D,Structure!$A:$AJ,AF$1,0)*15,0),IFERROR(VLOOKUP($E:$E,Structure!$A:$AJ,AF$1,0)*15,0))</f>
        <v>0</v>
      </c>
      <c r="AG104" s="13">
        <f>SUM(IFERROR(VLOOKUP($C:$C,Structure!$A:$AJ,AG$1,0)*15,0),IFERROR(VLOOKUP($D:$D,Structure!$A:$AJ,AG$1,0)*15,0),IFERROR(VLOOKUP($E:$E,Structure!$A:$AJ,AG$1,0)*15,0))</f>
        <v>0</v>
      </c>
      <c r="AH104" s="13">
        <f>SUM(IFERROR(VLOOKUP($C:$C,Structure!$A:$AJ,AH$1,0)*15,0),IFERROR(VLOOKUP($D:$D,Structure!$A:$AJ,AH$1,0)*15,0),IFERROR(VLOOKUP($E:$E,Structure!$A:$AJ,AH$1,0)*15,0))</f>
        <v>0</v>
      </c>
      <c r="AI104" s="13">
        <f>SUM(IFERROR(VLOOKUP($C:$C,Structure!$A:$AJ,AI$1,0)*15,0),IFERROR(VLOOKUP($D:$D,Structure!$A:$AJ,AI$1,0)*15,0),IFERROR(VLOOKUP($E:$E,Structure!$A:$AJ,AI$1,0)*15,0))</f>
        <v>0</v>
      </c>
      <c r="AJ104" s="13">
        <f>SUM(IFERROR(VLOOKUP($C:$C,Structure!$A:$AJ,AJ$1,0)*15,0),IFERROR(VLOOKUP($D:$D,Structure!$A:$AJ,AJ$1,0)*15,0),IFERROR(VLOOKUP($E:$E,Structure!$A:$AJ,AJ$1,0)*15,0))</f>
        <v>45</v>
      </c>
      <c r="AK104" s="13">
        <f>SUM(IFERROR(VLOOKUP($C:$C,Structure!$A:$AJ,AK$1,0)*15,0),IFERROR(VLOOKUP($D:$D,Structure!$A:$AJ,AK$1,0)*15,0),IFERROR(VLOOKUP($E:$E,Structure!$A:$AJ,AK$1,0)*15,0))</f>
        <v>0</v>
      </c>
      <c r="AL104" s="13">
        <f>SUM(IFERROR(VLOOKUP($C:$C,Structure!$A:$AJ,AL$1,0)*15,0),IFERROR(VLOOKUP($D:$D,Structure!$A:$AJ,AL$1,0)*15,0),IFERROR(VLOOKUP($E:$E,Structure!$A:$AJ,AL$1,0)*15,0))</f>
        <v>0</v>
      </c>
      <c r="AM104" s="13">
        <f>SUM(IFERROR(VLOOKUP($C:$C,Structure!$A:$AJ,AM$1,0)*15,0),IFERROR(VLOOKUP($D:$D,Structure!$A:$AJ,AM$1,0)*15,0),IFERROR(VLOOKUP($E:$E,Structure!$A:$AJ,AM$1,0)*15,0))</f>
        <v>0</v>
      </c>
      <c r="AN104" s="13">
        <f>SUM(IFERROR(VLOOKUP($C:$C,Structure!$A:$AJ,AN$1,0)*15,0),IFERROR(VLOOKUP($D:$D,Structure!$A:$AJ,AN$1,0)*15,0),IFERROR(VLOOKUP($E:$E,Structure!$A:$AJ,AN$1,0)*15,0))</f>
        <v>0</v>
      </c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3"/>
      <c r="BZ104" s="4">
        <f>BZ103+AQ104-F104</f>
        <v>0</v>
      </c>
      <c r="CA104" s="4">
        <f>CA103+AR104-G104</f>
        <v>0</v>
      </c>
      <c r="CB104" s="4">
        <f>CB103+AS104-H104</f>
        <v>0</v>
      </c>
      <c r="CC104" s="4">
        <f>CC103+AT104-I104</f>
        <v>0</v>
      </c>
      <c r="CD104" s="4">
        <f>CD103+AU104-J104</f>
        <v>0</v>
      </c>
      <c r="CE104" s="4">
        <f>CE103+AV104-K104</f>
        <v>0</v>
      </c>
      <c r="CF104" s="4">
        <f>CF103+AW104-L104</f>
        <v>0</v>
      </c>
      <c r="CG104" s="4">
        <f>CG103+AX104-M104</f>
        <v>0</v>
      </c>
      <c r="CH104" s="4">
        <f>CH103+AY104-N104</f>
        <v>0</v>
      </c>
      <c r="CI104" s="4">
        <f>CI103+AZ104-O104</f>
        <v>0</v>
      </c>
      <c r="CJ104" s="4">
        <f>CJ103+BA104-P104</f>
        <v>0</v>
      </c>
      <c r="CK104" s="4">
        <f>CK103+BB104-Q104</f>
        <v>0</v>
      </c>
      <c r="CL104" s="4">
        <f>CL103+BC104-R104</f>
        <v>0</v>
      </c>
      <c r="CM104" s="4">
        <f>CM103+BD104-S104</f>
        <v>0</v>
      </c>
      <c r="CN104" s="4">
        <f>CN103+BE104-T104</f>
        <v>0</v>
      </c>
      <c r="CO104" s="4">
        <f>CO103+BF104-U104</f>
        <v>0</v>
      </c>
      <c r="CP104" s="4">
        <f>CP103+BG104-V104</f>
        <v>0</v>
      </c>
      <c r="CQ104" s="4">
        <f>CQ103+BH104-W104</f>
        <v>0</v>
      </c>
      <c r="CR104" s="4">
        <f>CR103+BI104-X104</f>
        <v>0</v>
      </c>
      <c r="CS104" s="4">
        <f>CS103+BJ104-Y104</f>
        <v>0</v>
      </c>
      <c r="CT104" s="4">
        <f>CT103+BK104-Z104</f>
        <v>0</v>
      </c>
      <c r="CU104" s="4">
        <f>CU103+BL104-AA104</f>
        <v>-3935</v>
      </c>
      <c r="CV104" s="4">
        <f>CV103+BM104-AB104</f>
        <v>-240</v>
      </c>
      <c r="CW104" s="4">
        <f>CW103+BN104-AC104</f>
        <v>-255</v>
      </c>
      <c r="CX104" s="4">
        <f>CX103+BO104-AD104</f>
        <v>0</v>
      </c>
      <c r="CY104" s="4">
        <f>CY103+BP104-AE104</f>
        <v>-60</v>
      </c>
      <c r="CZ104" s="4">
        <f>CZ103+BQ104-AF104</f>
        <v>-160</v>
      </c>
      <c r="DA104" s="4">
        <f>DA103+BR104-AG104</f>
        <v>0</v>
      </c>
      <c r="DB104" s="4">
        <f>DB103+BS104-AH104</f>
        <v>-60</v>
      </c>
      <c r="DC104" s="4">
        <f>DC103+BT104-AI104</f>
        <v>0</v>
      </c>
      <c r="DD104" s="4">
        <f>DD103+BU104-AJ104</f>
        <v>-2800</v>
      </c>
      <c r="DE104" s="4">
        <f>DE103+BV104-AK104</f>
        <v>-1155</v>
      </c>
      <c r="DF104" s="4">
        <f>DF103+BW104-AL104</f>
        <v>0</v>
      </c>
      <c r="DG104" s="4">
        <f>DG103+BX104-AM104</f>
        <v>-235</v>
      </c>
      <c r="DH104" s="4">
        <f>DH103+BY104-AN104</f>
        <v>0</v>
      </c>
    </row>
    <row r="105" spans="1:112" x14ac:dyDescent="0.25">
      <c r="A105" s="6">
        <v>46183</v>
      </c>
      <c r="B105" s="7">
        <v>0.58333333308837609</v>
      </c>
      <c r="C105" s="3" t="s">
        <v>74</v>
      </c>
      <c r="D105" s="3" t="s">
        <v>6</v>
      </c>
      <c r="E105" s="3" t="s">
        <v>2</v>
      </c>
      <c r="F105" s="13">
        <f>SUM(IFERROR(VLOOKUP($C:$C,Structure!$A:$AJ,F$1,0)*15,0),IFERROR(VLOOKUP($D:$D,Structure!$A:$AJ,F$1,0)*15,0),IFERROR(VLOOKUP($E:$E,Structure!$A:$AJ,F$1,0)*15,0))</f>
        <v>0</v>
      </c>
      <c r="G105" s="13">
        <f>SUM(IFERROR(VLOOKUP($C:$C,Structure!$A:$AJ,G$1,0)*15,0),IFERROR(VLOOKUP($D:$D,Structure!$A:$AJ,G$1,0)*15,0),IFERROR(VLOOKUP($E:$E,Structure!$A:$AJ,G$1,0)*15,0))</f>
        <v>0</v>
      </c>
      <c r="H105" s="13">
        <f>SUM(IFERROR(VLOOKUP($C:$C,Structure!$A:$AJ,H$1,0)*15,0),IFERROR(VLOOKUP($D:$D,Structure!$A:$AJ,H$1,0)*15,0),IFERROR(VLOOKUP($E:$E,Structure!$A:$AJ,H$1,0)*15,0))</f>
        <v>0</v>
      </c>
      <c r="I105" s="13">
        <f>SUM(IFERROR(VLOOKUP($C:$C,Structure!$A:$AJ,I$1,0)*15,0),IFERROR(VLOOKUP($D:$D,Structure!$A:$AJ,I$1,0)*15,0),IFERROR(VLOOKUP($E:$E,Structure!$A:$AJ,I$1,0)*15,0))</f>
        <v>0</v>
      </c>
      <c r="J105" s="13">
        <f>SUM(IFERROR(VLOOKUP($C:$C,Structure!$A:$AJ,J$1,0)*15,0),IFERROR(VLOOKUP($D:$D,Structure!$A:$AJ,J$1,0)*15,0),IFERROR(VLOOKUP($E:$E,Structure!$A:$AJ,J$1,0)*15,0))</f>
        <v>0</v>
      </c>
      <c r="K105" s="13">
        <f>SUM(IFERROR(VLOOKUP($C:$C,Structure!$A:$AJ,K$1,0)*15,0),IFERROR(VLOOKUP($D:$D,Structure!$A:$AJ,K$1,0)*15,0),IFERROR(VLOOKUP($E:$E,Structure!$A:$AJ,K$1,0)*15,0))</f>
        <v>0</v>
      </c>
      <c r="L105" s="13">
        <f>SUM(IFERROR(VLOOKUP($C:$C,Structure!$A:$AJ,L$1,0)*15,0),IFERROR(VLOOKUP($D:$D,Structure!$A:$AJ,L$1,0)*15,0),IFERROR(VLOOKUP($E:$E,Structure!$A:$AJ,L$1,0)*15,0))</f>
        <v>0</v>
      </c>
      <c r="M105" s="13">
        <f>SUM(IFERROR(VLOOKUP($C:$C,Structure!$A:$AJ,M$1,0)*15,0),IFERROR(VLOOKUP($D:$D,Structure!$A:$AJ,M$1,0)*15,0),IFERROR(VLOOKUP($E:$E,Structure!$A:$AJ,M$1,0)*15,0))</f>
        <v>0</v>
      </c>
      <c r="N105" s="13">
        <f>SUM(IFERROR(VLOOKUP($C:$C,Structure!$A:$AJ,N$1,0)*15,0),IFERROR(VLOOKUP($D:$D,Structure!$A:$AJ,N$1,0)*15,0),IFERROR(VLOOKUP($E:$E,Structure!$A:$AJ,N$1,0)*15,0))</f>
        <v>0</v>
      </c>
      <c r="O105" s="13">
        <f>SUM(IFERROR(VLOOKUP($C:$C,Structure!$A:$AJ,O$1,0)*15,0),IFERROR(VLOOKUP($D:$D,Structure!$A:$AJ,O$1,0)*15,0),IFERROR(VLOOKUP($E:$E,Structure!$A:$AJ,O$1,0)*15,0))</f>
        <v>0</v>
      </c>
      <c r="P105" s="13">
        <f>SUM(IFERROR(VLOOKUP($C:$C,Structure!$A:$AJ,P$1,0)*15,0),IFERROR(VLOOKUP($D:$D,Structure!$A:$AJ,P$1,0)*15,0),IFERROR(VLOOKUP($E:$E,Structure!$A:$AJ,P$1,0)*15,0))</f>
        <v>0</v>
      </c>
      <c r="Q105" s="13">
        <f>SUM(IFERROR(VLOOKUP($C:$C,Structure!$A:$AJ,Q$1,0)*15,0),IFERROR(VLOOKUP($D:$D,Structure!$A:$AJ,Q$1,0)*15,0),IFERROR(VLOOKUP($E:$E,Structure!$A:$AJ,Q$1,0)*15,0))</f>
        <v>0</v>
      </c>
      <c r="R105" s="13">
        <f>SUM(IFERROR(VLOOKUP($C:$C,Structure!$A:$AJ,R$1,0)*15,0),IFERROR(VLOOKUP($D:$D,Structure!$A:$AJ,R$1,0)*15,0),IFERROR(VLOOKUP($E:$E,Structure!$A:$AJ,R$1,0)*15,0))</f>
        <v>0</v>
      </c>
      <c r="S105" s="13">
        <f>SUM(IFERROR(VLOOKUP($C:$C,Structure!$A:$AJ,S$1,0)*15,0),IFERROR(VLOOKUP($D:$D,Structure!$A:$AJ,S$1,0)*15,0),IFERROR(VLOOKUP($E:$E,Structure!$A:$AJ,S$1,0)*15,0))</f>
        <v>0</v>
      </c>
      <c r="T105" s="13">
        <f>SUM(IFERROR(VLOOKUP($C:$C,Structure!$A:$AJ,T$1,0)*15,0),IFERROR(VLOOKUP($D:$D,Structure!$A:$AJ,T$1,0)*15,0),IFERROR(VLOOKUP($E:$E,Structure!$A:$AJ,T$1,0)*15,0))</f>
        <v>0</v>
      </c>
      <c r="U105" s="13">
        <f>SUM(IFERROR(VLOOKUP($C:$C,Structure!$A:$AJ,U$1,0)*15,0),IFERROR(VLOOKUP($D:$D,Structure!$A:$AJ,U$1,0)*15,0),IFERROR(VLOOKUP($E:$E,Structure!$A:$AJ,U$1,0)*15,0))</f>
        <v>0</v>
      </c>
      <c r="V105" s="13">
        <f>SUM(IFERROR(VLOOKUP($C:$C,Structure!$A:$AJ,V$1,0)*15,0),IFERROR(VLOOKUP($D:$D,Structure!$A:$AJ,V$1,0)*15,0),IFERROR(VLOOKUP($E:$E,Structure!$A:$AJ,V$1,0)*15,0))</f>
        <v>15</v>
      </c>
      <c r="W105" s="13">
        <f>SUM(IFERROR(VLOOKUP($C:$C,Structure!$A:$AJ,W$1,0)*15,0),IFERROR(VLOOKUP($D:$D,Structure!$A:$AJ,W$1,0)*15,0),IFERROR(VLOOKUP($E:$E,Structure!$A:$AJ,W$1,0)*15,0))</f>
        <v>0</v>
      </c>
      <c r="X105" s="13">
        <f>SUM(IFERROR(VLOOKUP($C:$C,Structure!$A:$AJ,X$1,0)*15,0),IFERROR(VLOOKUP($D:$D,Structure!$A:$AJ,X$1,0)*15,0),IFERROR(VLOOKUP($E:$E,Structure!$A:$AJ,X$1,0)*15,0))</f>
        <v>15</v>
      </c>
      <c r="Y105" s="13">
        <f>SUM(IFERROR(VLOOKUP($C:$C,Structure!$A:$AJ,Y$1,0)*15,0),IFERROR(VLOOKUP($D:$D,Structure!$A:$AJ,Y$1,0)*15,0),IFERROR(VLOOKUP($E:$E,Structure!$A:$AJ,Y$1,0)*15,0))</f>
        <v>0</v>
      </c>
      <c r="Z105" s="13">
        <f>SUM(IFERROR(VLOOKUP($C:$C,Structure!$A:$AJ,Z$1,0)*15,0),IFERROR(VLOOKUP($D:$D,Structure!$A:$AJ,Z$1,0)*15,0),IFERROR(VLOOKUP($E:$E,Structure!$A:$AJ,Z$1,0)*15,0))</f>
        <v>0</v>
      </c>
      <c r="AA105" s="13">
        <f>SUM(IFERROR(VLOOKUP($C:$C,Structure!$A:$AJ,AA$1,0)*15,0),IFERROR(VLOOKUP($D:$D,Structure!$A:$AJ,AA$1,0)*15,0),IFERROR(VLOOKUP($E:$E,Structure!$A:$AJ,AA$1,0)*15,0))</f>
        <v>30</v>
      </c>
      <c r="AB105" s="13">
        <f>SUM(IFERROR(VLOOKUP($C:$C,Structure!$A:$AJ,AB$1,0)*15,0),IFERROR(VLOOKUP($D:$D,Structure!$A:$AJ,AB$1,0)*15,0),IFERROR(VLOOKUP($E:$E,Structure!$A:$AJ,AB$1,0)*15,0))</f>
        <v>0</v>
      </c>
      <c r="AC105" s="13">
        <f>SUM(IFERROR(VLOOKUP($C:$C,Structure!$A:$AJ,AC$1,0)*15,0),IFERROR(VLOOKUP($D:$D,Structure!$A:$AJ,AC$1,0)*15,0),IFERROR(VLOOKUP($E:$E,Structure!$A:$AJ,AC$1,0)*15,0))</f>
        <v>0</v>
      </c>
      <c r="AD105" s="13">
        <f>SUM(IFERROR(VLOOKUP($C:$C,Structure!$A:$AJ,AD$1,0)*15,0),IFERROR(VLOOKUP($D:$D,Structure!$A:$AJ,AD$1,0)*15,0),IFERROR(VLOOKUP($E:$E,Structure!$A:$AJ,AD$1,0)*15,0))</f>
        <v>0</v>
      </c>
      <c r="AE105" s="13">
        <f>SUM(IFERROR(VLOOKUP($C:$C,Structure!$A:$AJ,AE$1,0)*15,0),IFERROR(VLOOKUP($D:$D,Structure!$A:$AJ,AE$1,0)*15,0),IFERROR(VLOOKUP($E:$E,Structure!$A:$AJ,AE$1,0)*15,0))</f>
        <v>0</v>
      </c>
      <c r="AF105" s="13">
        <f>SUM(IFERROR(VLOOKUP($C:$C,Structure!$A:$AJ,AF$1,0)*15,0),IFERROR(VLOOKUP($D:$D,Structure!$A:$AJ,AF$1,0)*15,0),IFERROR(VLOOKUP($E:$E,Structure!$A:$AJ,AF$1,0)*15,0))</f>
        <v>0</v>
      </c>
      <c r="AG105" s="13">
        <f>SUM(IFERROR(VLOOKUP($C:$C,Structure!$A:$AJ,AG$1,0)*15,0),IFERROR(VLOOKUP($D:$D,Structure!$A:$AJ,AG$1,0)*15,0),IFERROR(VLOOKUP($E:$E,Structure!$A:$AJ,AG$1,0)*15,0))</f>
        <v>0</v>
      </c>
      <c r="AH105" s="13">
        <f>SUM(IFERROR(VLOOKUP($C:$C,Structure!$A:$AJ,AH$1,0)*15,0),IFERROR(VLOOKUP($D:$D,Structure!$A:$AJ,AH$1,0)*15,0),IFERROR(VLOOKUP($E:$E,Structure!$A:$AJ,AH$1,0)*15,0))</f>
        <v>0</v>
      </c>
      <c r="AI105" s="13">
        <f>SUM(IFERROR(VLOOKUP($C:$C,Structure!$A:$AJ,AI$1,0)*15,0),IFERROR(VLOOKUP($D:$D,Structure!$A:$AJ,AI$1,0)*15,0),IFERROR(VLOOKUP($E:$E,Structure!$A:$AJ,AI$1,0)*15,0))</f>
        <v>0</v>
      </c>
      <c r="AJ105" s="13">
        <f>SUM(IFERROR(VLOOKUP($C:$C,Structure!$A:$AJ,AJ$1,0)*15,0),IFERROR(VLOOKUP($D:$D,Structure!$A:$AJ,AJ$1,0)*15,0),IFERROR(VLOOKUP($E:$E,Structure!$A:$AJ,AJ$1,0)*15,0))</f>
        <v>30</v>
      </c>
      <c r="AK105" s="13">
        <f>SUM(IFERROR(VLOOKUP($C:$C,Structure!$A:$AJ,AK$1,0)*15,0),IFERROR(VLOOKUP($D:$D,Structure!$A:$AJ,AK$1,0)*15,0),IFERROR(VLOOKUP($E:$E,Structure!$A:$AJ,AK$1,0)*15,0))</f>
        <v>0</v>
      </c>
      <c r="AL105" s="13">
        <f>SUM(IFERROR(VLOOKUP($C:$C,Structure!$A:$AJ,AL$1,0)*15,0),IFERROR(VLOOKUP($D:$D,Structure!$A:$AJ,AL$1,0)*15,0),IFERROR(VLOOKUP($E:$E,Structure!$A:$AJ,AL$1,0)*15,0))</f>
        <v>0</v>
      </c>
      <c r="AM105" s="13">
        <f>SUM(IFERROR(VLOOKUP($C:$C,Structure!$A:$AJ,AM$1,0)*15,0),IFERROR(VLOOKUP($D:$D,Structure!$A:$AJ,AM$1,0)*15,0),IFERROR(VLOOKUP($E:$E,Structure!$A:$AJ,AM$1,0)*15,0))</f>
        <v>0</v>
      </c>
      <c r="AN105" s="13">
        <f>SUM(IFERROR(VLOOKUP($C:$C,Structure!$A:$AJ,AN$1,0)*15,0),IFERROR(VLOOKUP($D:$D,Structure!$A:$AJ,AN$1,0)*15,0),IFERROR(VLOOKUP($E:$E,Structure!$A:$AJ,AN$1,0)*15,0))</f>
        <v>0</v>
      </c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3"/>
      <c r="BZ105" s="4">
        <f>BZ104+AQ105-F105</f>
        <v>0</v>
      </c>
      <c r="CA105" s="4">
        <f>CA104+AR105-G105</f>
        <v>0</v>
      </c>
      <c r="CB105" s="4">
        <f>CB104+AS105-H105</f>
        <v>0</v>
      </c>
      <c r="CC105" s="4">
        <f>CC104+AT105-I105</f>
        <v>0</v>
      </c>
      <c r="CD105" s="4">
        <f>CD104+AU105-J105</f>
        <v>0</v>
      </c>
      <c r="CE105" s="4">
        <f>CE104+AV105-K105</f>
        <v>0</v>
      </c>
      <c r="CF105" s="4">
        <f>CF104+AW105-L105</f>
        <v>0</v>
      </c>
      <c r="CG105" s="4">
        <f>CG104+AX105-M105</f>
        <v>0</v>
      </c>
      <c r="CH105" s="4">
        <f>CH104+AY105-N105</f>
        <v>0</v>
      </c>
      <c r="CI105" s="4">
        <f>CI104+AZ105-O105</f>
        <v>0</v>
      </c>
      <c r="CJ105" s="4">
        <f>CJ104+BA105-P105</f>
        <v>0</v>
      </c>
      <c r="CK105" s="4">
        <f>CK104+BB105-Q105</f>
        <v>0</v>
      </c>
      <c r="CL105" s="4">
        <f>CL104+BC105-R105</f>
        <v>0</v>
      </c>
      <c r="CM105" s="4">
        <f>CM104+BD105-S105</f>
        <v>0</v>
      </c>
      <c r="CN105" s="4">
        <f>CN104+BE105-T105</f>
        <v>0</v>
      </c>
      <c r="CO105" s="4">
        <f>CO104+BF105-U105</f>
        <v>0</v>
      </c>
      <c r="CP105" s="4">
        <f>CP104+BG105-V105</f>
        <v>-15</v>
      </c>
      <c r="CQ105" s="4">
        <f>CQ104+BH105-W105</f>
        <v>0</v>
      </c>
      <c r="CR105" s="4">
        <f>CR104+BI105-X105</f>
        <v>-15</v>
      </c>
      <c r="CS105" s="4">
        <f>CS104+BJ105-Y105</f>
        <v>0</v>
      </c>
      <c r="CT105" s="4">
        <f>CT104+BK105-Z105</f>
        <v>0</v>
      </c>
      <c r="CU105" s="4">
        <f>CU104+BL105-AA105</f>
        <v>-3965</v>
      </c>
      <c r="CV105" s="4">
        <f>CV104+BM105-AB105</f>
        <v>-240</v>
      </c>
      <c r="CW105" s="4">
        <f>CW104+BN105-AC105</f>
        <v>-255</v>
      </c>
      <c r="CX105" s="4">
        <f>CX104+BO105-AD105</f>
        <v>0</v>
      </c>
      <c r="CY105" s="4">
        <f>CY104+BP105-AE105</f>
        <v>-60</v>
      </c>
      <c r="CZ105" s="4">
        <f>CZ104+BQ105-AF105</f>
        <v>-160</v>
      </c>
      <c r="DA105" s="4">
        <f>DA104+BR105-AG105</f>
        <v>0</v>
      </c>
      <c r="DB105" s="4">
        <f>DB104+BS105-AH105</f>
        <v>-60</v>
      </c>
      <c r="DC105" s="4">
        <f>DC104+BT105-AI105</f>
        <v>0</v>
      </c>
      <c r="DD105" s="4">
        <f>DD104+BU105-AJ105</f>
        <v>-2830</v>
      </c>
      <c r="DE105" s="4">
        <f>DE104+BV105-AK105</f>
        <v>-1155</v>
      </c>
      <c r="DF105" s="4">
        <f>DF104+BW105-AL105</f>
        <v>0</v>
      </c>
      <c r="DG105" s="4">
        <f>DG104+BX105-AM105</f>
        <v>-235</v>
      </c>
      <c r="DH105" s="4">
        <f>DH104+BY105-AN105</f>
        <v>0</v>
      </c>
    </row>
    <row r="106" spans="1:112" x14ac:dyDescent="0.25">
      <c r="A106" s="6">
        <v>46183</v>
      </c>
      <c r="B106" s="7">
        <v>0.62499999975261744</v>
      </c>
      <c r="C106" s="3" t="s">
        <v>74</v>
      </c>
      <c r="D106" s="3" t="s">
        <v>6</v>
      </c>
      <c r="E106" s="3" t="s">
        <v>2</v>
      </c>
      <c r="F106" s="13">
        <f>SUM(IFERROR(VLOOKUP($C:$C,Structure!$A:$AJ,F$1,0)*15,0),IFERROR(VLOOKUP($D:$D,Structure!$A:$AJ,F$1,0)*15,0),IFERROR(VLOOKUP($E:$E,Structure!$A:$AJ,F$1,0)*15,0))</f>
        <v>0</v>
      </c>
      <c r="G106" s="13">
        <f>SUM(IFERROR(VLOOKUP($C:$C,Structure!$A:$AJ,G$1,0)*15,0),IFERROR(VLOOKUP($D:$D,Structure!$A:$AJ,G$1,0)*15,0),IFERROR(VLOOKUP($E:$E,Structure!$A:$AJ,G$1,0)*15,0))</f>
        <v>0</v>
      </c>
      <c r="H106" s="13">
        <f>SUM(IFERROR(VLOOKUP($C:$C,Structure!$A:$AJ,H$1,0)*15,0),IFERROR(VLOOKUP($D:$D,Structure!$A:$AJ,H$1,0)*15,0),IFERROR(VLOOKUP($E:$E,Structure!$A:$AJ,H$1,0)*15,0))</f>
        <v>0</v>
      </c>
      <c r="I106" s="13">
        <f>SUM(IFERROR(VLOOKUP($C:$C,Structure!$A:$AJ,I$1,0)*15,0),IFERROR(VLOOKUP($D:$D,Structure!$A:$AJ,I$1,0)*15,0),IFERROR(VLOOKUP($E:$E,Structure!$A:$AJ,I$1,0)*15,0))</f>
        <v>0</v>
      </c>
      <c r="J106" s="13">
        <f>SUM(IFERROR(VLOOKUP($C:$C,Structure!$A:$AJ,J$1,0)*15,0),IFERROR(VLOOKUP($D:$D,Structure!$A:$AJ,J$1,0)*15,0),IFERROR(VLOOKUP($E:$E,Structure!$A:$AJ,J$1,0)*15,0))</f>
        <v>0</v>
      </c>
      <c r="K106" s="13">
        <f>SUM(IFERROR(VLOOKUP($C:$C,Structure!$A:$AJ,K$1,0)*15,0),IFERROR(VLOOKUP($D:$D,Structure!$A:$AJ,K$1,0)*15,0),IFERROR(VLOOKUP($E:$E,Structure!$A:$AJ,K$1,0)*15,0))</f>
        <v>0</v>
      </c>
      <c r="L106" s="13">
        <f>SUM(IFERROR(VLOOKUP($C:$C,Structure!$A:$AJ,L$1,0)*15,0),IFERROR(VLOOKUP($D:$D,Structure!$A:$AJ,L$1,0)*15,0),IFERROR(VLOOKUP($E:$E,Structure!$A:$AJ,L$1,0)*15,0))</f>
        <v>0</v>
      </c>
      <c r="M106" s="13">
        <f>SUM(IFERROR(VLOOKUP($C:$C,Structure!$A:$AJ,M$1,0)*15,0),IFERROR(VLOOKUP($D:$D,Structure!$A:$AJ,M$1,0)*15,0),IFERROR(VLOOKUP($E:$E,Structure!$A:$AJ,M$1,0)*15,0))</f>
        <v>0</v>
      </c>
      <c r="N106" s="13">
        <f>SUM(IFERROR(VLOOKUP($C:$C,Structure!$A:$AJ,N$1,0)*15,0),IFERROR(VLOOKUP($D:$D,Structure!$A:$AJ,N$1,0)*15,0),IFERROR(VLOOKUP($E:$E,Structure!$A:$AJ,N$1,0)*15,0))</f>
        <v>0</v>
      </c>
      <c r="O106" s="13">
        <f>SUM(IFERROR(VLOOKUP($C:$C,Structure!$A:$AJ,O$1,0)*15,0),IFERROR(VLOOKUP($D:$D,Structure!$A:$AJ,O$1,0)*15,0),IFERROR(VLOOKUP($E:$E,Structure!$A:$AJ,O$1,0)*15,0))</f>
        <v>0</v>
      </c>
      <c r="P106" s="13">
        <f>SUM(IFERROR(VLOOKUP($C:$C,Structure!$A:$AJ,P$1,0)*15,0),IFERROR(VLOOKUP($D:$D,Structure!$A:$AJ,P$1,0)*15,0),IFERROR(VLOOKUP($E:$E,Structure!$A:$AJ,P$1,0)*15,0))</f>
        <v>0</v>
      </c>
      <c r="Q106" s="13">
        <f>SUM(IFERROR(VLOOKUP($C:$C,Structure!$A:$AJ,Q$1,0)*15,0),IFERROR(VLOOKUP($D:$D,Structure!$A:$AJ,Q$1,0)*15,0),IFERROR(VLOOKUP($E:$E,Structure!$A:$AJ,Q$1,0)*15,0))</f>
        <v>0</v>
      </c>
      <c r="R106" s="13">
        <f>SUM(IFERROR(VLOOKUP($C:$C,Structure!$A:$AJ,R$1,0)*15,0),IFERROR(VLOOKUP($D:$D,Structure!$A:$AJ,R$1,0)*15,0),IFERROR(VLOOKUP($E:$E,Structure!$A:$AJ,R$1,0)*15,0))</f>
        <v>0</v>
      </c>
      <c r="S106" s="13">
        <f>SUM(IFERROR(VLOOKUP($C:$C,Structure!$A:$AJ,S$1,0)*15,0),IFERROR(VLOOKUP($D:$D,Structure!$A:$AJ,S$1,0)*15,0),IFERROR(VLOOKUP($E:$E,Structure!$A:$AJ,S$1,0)*15,0))</f>
        <v>0</v>
      </c>
      <c r="T106" s="13">
        <f>SUM(IFERROR(VLOOKUP($C:$C,Structure!$A:$AJ,T$1,0)*15,0),IFERROR(VLOOKUP($D:$D,Structure!$A:$AJ,T$1,0)*15,0),IFERROR(VLOOKUP($E:$E,Structure!$A:$AJ,T$1,0)*15,0))</f>
        <v>0</v>
      </c>
      <c r="U106" s="13">
        <f>SUM(IFERROR(VLOOKUP($C:$C,Structure!$A:$AJ,U$1,0)*15,0),IFERROR(VLOOKUP($D:$D,Structure!$A:$AJ,U$1,0)*15,0),IFERROR(VLOOKUP($E:$E,Structure!$A:$AJ,U$1,0)*15,0))</f>
        <v>0</v>
      </c>
      <c r="V106" s="13">
        <f>SUM(IFERROR(VLOOKUP($C:$C,Structure!$A:$AJ,V$1,0)*15,0),IFERROR(VLOOKUP($D:$D,Structure!$A:$AJ,V$1,0)*15,0),IFERROR(VLOOKUP($E:$E,Structure!$A:$AJ,V$1,0)*15,0))</f>
        <v>15</v>
      </c>
      <c r="W106" s="13">
        <f>SUM(IFERROR(VLOOKUP($C:$C,Structure!$A:$AJ,W$1,0)*15,0),IFERROR(VLOOKUP($D:$D,Structure!$A:$AJ,W$1,0)*15,0),IFERROR(VLOOKUP($E:$E,Structure!$A:$AJ,W$1,0)*15,0))</f>
        <v>0</v>
      </c>
      <c r="X106" s="13">
        <f>SUM(IFERROR(VLOOKUP($C:$C,Structure!$A:$AJ,X$1,0)*15,0),IFERROR(VLOOKUP($D:$D,Structure!$A:$AJ,X$1,0)*15,0),IFERROR(VLOOKUP($E:$E,Structure!$A:$AJ,X$1,0)*15,0))</f>
        <v>15</v>
      </c>
      <c r="Y106" s="13">
        <f>SUM(IFERROR(VLOOKUP($C:$C,Structure!$A:$AJ,Y$1,0)*15,0),IFERROR(VLOOKUP($D:$D,Structure!$A:$AJ,Y$1,0)*15,0),IFERROR(VLOOKUP($E:$E,Structure!$A:$AJ,Y$1,0)*15,0))</f>
        <v>0</v>
      </c>
      <c r="Z106" s="13">
        <f>SUM(IFERROR(VLOOKUP($C:$C,Structure!$A:$AJ,Z$1,0)*15,0),IFERROR(VLOOKUP($D:$D,Structure!$A:$AJ,Z$1,0)*15,0),IFERROR(VLOOKUP($E:$E,Structure!$A:$AJ,Z$1,0)*15,0))</f>
        <v>0</v>
      </c>
      <c r="AA106" s="13">
        <f>SUM(IFERROR(VLOOKUP($C:$C,Structure!$A:$AJ,AA$1,0)*15,0),IFERROR(VLOOKUP($D:$D,Structure!$A:$AJ,AA$1,0)*15,0),IFERROR(VLOOKUP($E:$E,Structure!$A:$AJ,AA$1,0)*15,0))</f>
        <v>30</v>
      </c>
      <c r="AB106" s="13">
        <f>SUM(IFERROR(VLOOKUP($C:$C,Structure!$A:$AJ,AB$1,0)*15,0),IFERROR(VLOOKUP($D:$D,Structure!$A:$AJ,AB$1,0)*15,0),IFERROR(VLOOKUP($E:$E,Structure!$A:$AJ,AB$1,0)*15,0))</f>
        <v>0</v>
      </c>
      <c r="AC106" s="13">
        <f>SUM(IFERROR(VLOOKUP($C:$C,Structure!$A:$AJ,AC$1,0)*15,0),IFERROR(VLOOKUP($D:$D,Structure!$A:$AJ,AC$1,0)*15,0),IFERROR(VLOOKUP($E:$E,Structure!$A:$AJ,AC$1,0)*15,0))</f>
        <v>0</v>
      </c>
      <c r="AD106" s="13">
        <f>SUM(IFERROR(VLOOKUP($C:$C,Structure!$A:$AJ,AD$1,0)*15,0),IFERROR(VLOOKUP($D:$D,Structure!$A:$AJ,AD$1,0)*15,0),IFERROR(VLOOKUP($E:$E,Structure!$A:$AJ,AD$1,0)*15,0))</f>
        <v>0</v>
      </c>
      <c r="AE106" s="13">
        <f>SUM(IFERROR(VLOOKUP($C:$C,Structure!$A:$AJ,AE$1,0)*15,0),IFERROR(VLOOKUP($D:$D,Structure!$A:$AJ,AE$1,0)*15,0),IFERROR(VLOOKUP($E:$E,Structure!$A:$AJ,AE$1,0)*15,0))</f>
        <v>0</v>
      </c>
      <c r="AF106" s="13">
        <f>SUM(IFERROR(VLOOKUP($C:$C,Structure!$A:$AJ,AF$1,0)*15,0),IFERROR(VLOOKUP($D:$D,Structure!$A:$AJ,AF$1,0)*15,0),IFERROR(VLOOKUP($E:$E,Structure!$A:$AJ,AF$1,0)*15,0))</f>
        <v>0</v>
      </c>
      <c r="AG106" s="13">
        <f>SUM(IFERROR(VLOOKUP($C:$C,Structure!$A:$AJ,AG$1,0)*15,0),IFERROR(VLOOKUP($D:$D,Structure!$A:$AJ,AG$1,0)*15,0),IFERROR(VLOOKUP($E:$E,Structure!$A:$AJ,AG$1,0)*15,0))</f>
        <v>0</v>
      </c>
      <c r="AH106" s="13">
        <f>SUM(IFERROR(VLOOKUP($C:$C,Structure!$A:$AJ,AH$1,0)*15,0),IFERROR(VLOOKUP($D:$D,Structure!$A:$AJ,AH$1,0)*15,0),IFERROR(VLOOKUP($E:$E,Structure!$A:$AJ,AH$1,0)*15,0))</f>
        <v>0</v>
      </c>
      <c r="AI106" s="13">
        <f>SUM(IFERROR(VLOOKUP($C:$C,Structure!$A:$AJ,AI$1,0)*15,0),IFERROR(VLOOKUP($D:$D,Structure!$A:$AJ,AI$1,0)*15,0),IFERROR(VLOOKUP($E:$E,Structure!$A:$AJ,AI$1,0)*15,0))</f>
        <v>0</v>
      </c>
      <c r="AJ106" s="13">
        <f>SUM(IFERROR(VLOOKUP($C:$C,Structure!$A:$AJ,AJ$1,0)*15,0),IFERROR(VLOOKUP($D:$D,Structure!$A:$AJ,AJ$1,0)*15,0),IFERROR(VLOOKUP($E:$E,Structure!$A:$AJ,AJ$1,0)*15,0))</f>
        <v>30</v>
      </c>
      <c r="AK106" s="13">
        <f>SUM(IFERROR(VLOOKUP($C:$C,Structure!$A:$AJ,AK$1,0)*15,0),IFERROR(VLOOKUP($D:$D,Structure!$A:$AJ,AK$1,0)*15,0),IFERROR(VLOOKUP($E:$E,Structure!$A:$AJ,AK$1,0)*15,0))</f>
        <v>0</v>
      </c>
      <c r="AL106" s="13">
        <f>SUM(IFERROR(VLOOKUP($C:$C,Structure!$A:$AJ,AL$1,0)*15,0),IFERROR(VLOOKUP($D:$D,Structure!$A:$AJ,AL$1,0)*15,0),IFERROR(VLOOKUP($E:$E,Structure!$A:$AJ,AL$1,0)*15,0))</f>
        <v>0</v>
      </c>
      <c r="AM106" s="13">
        <f>SUM(IFERROR(VLOOKUP($C:$C,Structure!$A:$AJ,AM$1,0)*15,0),IFERROR(VLOOKUP($D:$D,Structure!$A:$AJ,AM$1,0)*15,0),IFERROR(VLOOKUP($E:$E,Structure!$A:$AJ,AM$1,0)*15,0))</f>
        <v>0</v>
      </c>
      <c r="AN106" s="13">
        <f>SUM(IFERROR(VLOOKUP($C:$C,Structure!$A:$AJ,AN$1,0)*15,0),IFERROR(VLOOKUP($D:$D,Structure!$A:$AJ,AN$1,0)*15,0),IFERROR(VLOOKUP($E:$E,Structure!$A:$AJ,AN$1,0)*15,0))</f>
        <v>0</v>
      </c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3"/>
      <c r="BZ106" s="4">
        <f>BZ105+AQ106-F106</f>
        <v>0</v>
      </c>
      <c r="CA106" s="4">
        <f>CA105+AR106-G106</f>
        <v>0</v>
      </c>
      <c r="CB106" s="4">
        <f>CB105+AS106-H106</f>
        <v>0</v>
      </c>
      <c r="CC106" s="4">
        <f>CC105+AT106-I106</f>
        <v>0</v>
      </c>
      <c r="CD106" s="4">
        <f>CD105+AU106-J106</f>
        <v>0</v>
      </c>
      <c r="CE106" s="4">
        <f>CE105+AV106-K106</f>
        <v>0</v>
      </c>
      <c r="CF106" s="4">
        <f>CF105+AW106-L106</f>
        <v>0</v>
      </c>
      <c r="CG106" s="4">
        <f>CG105+AX106-M106</f>
        <v>0</v>
      </c>
      <c r="CH106" s="4">
        <f>CH105+AY106-N106</f>
        <v>0</v>
      </c>
      <c r="CI106" s="4">
        <f>CI105+AZ106-O106</f>
        <v>0</v>
      </c>
      <c r="CJ106" s="4">
        <f>CJ105+BA106-P106</f>
        <v>0</v>
      </c>
      <c r="CK106" s="4">
        <f>CK105+BB106-Q106</f>
        <v>0</v>
      </c>
      <c r="CL106" s="4">
        <f>CL105+BC106-R106</f>
        <v>0</v>
      </c>
      <c r="CM106" s="4">
        <f>CM105+BD106-S106</f>
        <v>0</v>
      </c>
      <c r="CN106" s="4">
        <f>CN105+BE106-T106</f>
        <v>0</v>
      </c>
      <c r="CO106" s="4">
        <f>CO105+BF106-U106</f>
        <v>0</v>
      </c>
      <c r="CP106" s="4">
        <f>CP105+BG106-V106</f>
        <v>-30</v>
      </c>
      <c r="CQ106" s="4">
        <f>CQ105+BH106-W106</f>
        <v>0</v>
      </c>
      <c r="CR106" s="4">
        <f>CR105+BI106-X106</f>
        <v>-30</v>
      </c>
      <c r="CS106" s="4">
        <f>CS105+BJ106-Y106</f>
        <v>0</v>
      </c>
      <c r="CT106" s="4">
        <f>CT105+BK106-Z106</f>
        <v>0</v>
      </c>
      <c r="CU106" s="4">
        <f>CU105+BL106-AA106</f>
        <v>-3995</v>
      </c>
      <c r="CV106" s="4">
        <f>CV105+BM106-AB106</f>
        <v>-240</v>
      </c>
      <c r="CW106" s="4">
        <f>CW105+BN106-AC106</f>
        <v>-255</v>
      </c>
      <c r="CX106" s="4">
        <f>CX105+BO106-AD106</f>
        <v>0</v>
      </c>
      <c r="CY106" s="4">
        <f>CY105+BP106-AE106</f>
        <v>-60</v>
      </c>
      <c r="CZ106" s="4">
        <f>CZ105+BQ106-AF106</f>
        <v>-160</v>
      </c>
      <c r="DA106" s="4">
        <f>DA105+BR106-AG106</f>
        <v>0</v>
      </c>
      <c r="DB106" s="4">
        <f>DB105+BS106-AH106</f>
        <v>-60</v>
      </c>
      <c r="DC106" s="4">
        <f>DC105+BT106-AI106</f>
        <v>0</v>
      </c>
      <c r="DD106" s="4">
        <f>DD105+BU106-AJ106</f>
        <v>-2860</v>
      </c>
      <c r="DE106" s="4">
        <f>DE105+BV106-AK106</f>
        <v>-1155</v>
      </c>
      <c r="DF106" s="4">
        <f>DF105+BW106-AL106</f>
        <v>0</v>
      </c>
      <c r="DG106" s="4">
        <f>DG105+BX106-AM106</f>
        <v>-235</v>
      </c>
      <c r="DH106" s="4">
        <f>DH105+BY106-AN106</f>
        <v>0</v>
      </c>
    </row>
    <row r="107" spans="1:112" x14ac:dyDescent="0.25">
      <c r="A107" s="6">
        <v>46183</v>
      </c>
      <c r="B107" s="7">
        <v>0.66666666641685879</v>
      </c>
      <c r="C107" s="3" t="s">
        <v>74</v>
      </c>
      <c r="D107" s="3" t="s">
        <v>6</v>
      </c>
      <c r="E107" s="3" t="s">
        <v>2</v>
      </c>
      <c r="F107" s="13">
        <f>SUM(IFERROR(VLOOKUP($C:$C,Structure!$A:$AJ,F$1,0)*15,0),IFERROR(VLOOKUP($D:$D,Structure!$A:$AJ,F$1,0)*15,0),IFERROR(VLOOKUP($E:$E,Structure!$A:$AJ,F$1,0)*15,0))</f>
        <v>0</v>
      </c>
      <c r="G107" s="13">
        <f>SUM(IFERROR(VLOOKUP($C:$C,Structure!$A:$AJ,G$1,0)*15,0),IFERROR(VLOOKUP($D:$D,Structure!$A:$AJ,G$1,0)*15,0),IFERROR(VLOOKUP($E:$E,Structure!$A:$AJ,G$1,0)*15,0))</f>
        <v>0</v>
      </c>
      <c r="H107" s="13">
        <f>SUM(IFERROR(VLOOKUP($C:$C,Structure!$A:$AJ,H$1,0)*15,0),IFERROR(VLOOKUP($D:$D,Structure!$A:$AJ,H$1,0)*15,0),IFERROR(VLOOKUP($E:$E,Structure!$A:$AJ,H$1,0)*15,0))</f>
        <v>0</v>
      </c>
      <c r="I107" s="13">
        <f>SUM(IFERROR(VLOOKUP($C:$C,Structure!$A:$AJ,I$1,0)*15,0),IFERROR(VLOOKUP($D:$D,Structure!$A:$AJ,I$1,0)*15,0),IFERROR(VLOOKUP($E:$E,Structure!$A:$AJ,I$1,0)*15,0))</f>
        <v>0</v>
      </c>
      <c r="J107" s="13">
        <f>SUM(IFERROR(VLOOKUP($C:$C,Structure!$A:$AJ,J$1,0)*15,0),IFERROR(VLOOKUP($D:$D,Structure!$A:$AJ,J$1,0)*15,0),IFERROR(VLOOKUP($E:$E,Structure!$A:$AJ,J$1,0)*15,0))</f>
        <v>0</v>
      </c>
      <c r="K107" s="13">
        <f>SUM(IFERROR(VLOOKUP($C:$C,Structure!$A:$AJ,K$1,0)*15,0),IFERROR(VLOOKUP($D:$D,Structure!$A:$AJ,K$1,0)*15,0),IFERROR(VLOOKUP($E:$E,Structure!$A:$AJ,K$1,0)*15,0))</f>
        <v>0</v>
      </c>
      <c r="L107" s="13">
        <f>SUM(IFERROR(VLOOKUP($C:$C,Structure!$A:$AJ,L$1,0)*15,0),IFERROR(VLOOKUP($D:$D,Structure!$A:$AJ,L$1,0)*15,0),IFERROR(VLOOKUP($E:$E,Structure!$A:$AJ,L$1,0)*15,0))</f>
        <v>0</v>
      </c>
      <c r="M107" s="13">
        <f>SUM(IFERROR(VLOOKUP($C:$C,Structure!$A:$AJ,M$1,0)*15,0),IFERROR(VLOOKUP($D:$D,Structure!$A:$AJ,M$1,0)*15,0),IFERROR(VLOOKUP($E:$E,Structure!$A:$AJ,M$1,0)*15,0))</f>
        <v>0</v>
      </c>
      <c r="N107" s="13">
        <f>SUM(IFERROR(VLOOKUP($C:$C,Structure!$A:$AJ,N$1,0)*15,0),IFERROR(VLOOKUP($D:$D,Structure!$A:$AJ,N$1,0)*15,0),IFERROR(VLOOKUP($E:$E,Structure!$A:$AJ,N$1,0)*15,0))</f>
        <v>0</v>
      </c>
      <c r="O107" s="13">
        <f>SUM(IFERROR(VLOOKUP($C:$C,Structure!$A:$AJ,O$1,0)*15,0),IFERROR(VLOOKUP($D:$D,Structure!$A:$AJ,O$1,0)*15,0),IFERROR(VLOOKUP($E:$E,Structure!$A:$AJ,O$1,0)*15,0))</f>
        <v>0</v>
      </c>
      <c r="P107" s="13">
        <f>SUM(IFERROR(VLOOKUP($C:$C,Structure!$A:$AJ,P$1,0)*15,0),IFERROR(VLOOKUP($D:$D,Structure!$A:$AJ,P$1,0)*15,0),IFERROR(VLOOKUP($E:$E,Structure!$A:$AJ,P$1,0)*15,0))</f>
        <v>0</v>
      </c>
      <c r="Q107" s="13">
        <f>SUM(IFERROR(VLOOKUP($C:$C,Structure!$A:$AJ,Q$1,0)*15,0),IFERROR(VLOOKUP($D:$D,Structure!$A:$AJ,Q$1,0)*15,0),IFERROR(VLOOKUP($E:$E,Structure!$A:$AJ,Q$1,0)*15,0))</f>
        <v>0</v>
      </c>
      <c r="R107" s="13">
        <f>SUM(IFERROR(VLOOKUP($C:$C,Structure!$A:$AJ,R$1,0)*15,0),IFERROR(VLOOKUP($D:$D,Structure!$A:$AJ,R$1,0)*15,0),IFERROR(VLOOKUP($E:$E,Structure!$A:$AJ,R$1,0)*15,0))</f>
        <v>0</v>
      </c>
      <c r="S107" s="13">
        <f>SUM(IFERROR(VLOOKUP($C:$C,Structure!$A:$AJ,S$1,0)*15,0),IFERROR(VLOOKUP($D:$D,Structure!$A:$AJ,S$1,0)*15,0),IFERROR(VLOOKUP($E:$E,Structure!$A:$AJ,S$1,0)*15,0))</f>
        <v>0</v>
      </c>
      <c r="T107" s="13">
        <f>SUM(IFERROR(VLOOKUP($C:$C,Structure!$A:$AJ,T$1,0)*15,0),IFERROR(VLOOKUP($D:$D,Structure!$A:$AJ,T$1,0)*15,0),IFERROR(VLOOKUP($E:$E,Structure!$A:$AJ,T$1,0)*15,0))</f>
        <v>0</v>
      </c>
      <c r="U107" s="13">
        <f>SUM(IFERROR(VLOOKUP($C:$C,Structure!$A:$AJ,U$1,0)*15,0),IFERROR(VLOOKUP($D:$D,Structure!$A:$AJ,U$1,0)*15,0),IFERROR(VLOOKUP($E:$E,Structure!$A:$AJ,U$1,0)*15,0))</f>
        <v>0</v>
      </c>
      <c r="V107" s="13">
        <f>SUM(IFERROR(VLOOKUP($C:$C,Structure!$A:$AJ,V$1,0)*15,0),IFERROR(VLOOKUP($D:$D,Structure!$A:$AJ,V$1,0)*15,0),IFERROR(VLOOKUP($E:$E,Structure!$A:$AJ,V$1,0)*15,0))</f>
        <v>15</v>
      </c>
      <c r="W107" s="13">
        <f>SUM(IFERROR(VLOOKUP($C:$C,Structure!$A:$AJ,W$1,0)*15,0),IFERROR(VLOOKUP($D:$D,Structure!$A:$AJ,W$1,0)*15,0),IFERROR(VLOOKUP($E:$E,Structure!$A:$AJ,W$1,0)*15,0))</f>
        <v>0</v>
      </c>
      <c r="X107" s="13">
        <f>SUM(IFERROR(VLOOKUP($C:$C,Structure!$A:$AJ,X$1,0)*15,0),IFERROR(VLOOKUP($D:$D,Structure!$A:$AJ,X$1,0)*15,0),IFERROR(VLOOKUP($E:$E,Structure!$A:$AJ,X$1,0)*15,0))</f>
        <v>15</v>
      </c>
      <c r="Y107" s="13">
        <f>SUM(IFERROR(VLOOKUP($C:$C,Structure!$A:$AJ,Y$1,0)*15,0),IFERROR(VLOOKUP($D:$D,Structure!$A:$AJ,Y$1,0)*15,0),IFERROR(VLOOKUP($E:$E,Structure!$A:$AJ,Y$1,0)*15,0))</f>
        <v>0</v>
      </c>
      <c r="Z107" s="13">
        <f>SUM(IFERROR(VLOOKUP($C:$C,Structure!$A:$AJ,Z$1,0)*15,0),IFERROR(VLOOKUP($D:$D,Structure!$A:$AJ,Z$1,0)*15,0),IFERROR(VLOOKUP($E:$E,Structure!$A:$AJ,Z$1,0)*15,0))</f>
        <v>0</v>
      </c>
      <c r="AA107" s="13">
        <f>SUM(IFERROR(VLOOKUP($C:$C,Structure!$A:$AJ,AA$1,0)*15,0),IFERROR(VLOOKUP($D:$D,Structure!$A:$AJ,AA$1,0)*15,0),IFERROR(VLOOKUP($E:$E,Structure!$A:$AJ,AA$1,0)*15,0))</f>
        <v>30</v>
      </c>
      <c r="AB107" s="13">
        <f>SUM(IFERROR(VLOOKUP($C:$C,Structure!$A:$AJ,AB$1,0)*15,0),IFERROR(VLOOKUP($D:$D,Structure!$A:$AJ,AB$1,0)*15,0),IFERROR(VLOOKUP($E:$E,Structure!$A:$AJ,AB$1,0)*15,0))</f>
        <v>0</v>
      </c>
      <c r="AC107" s="13">
        <f>SUM(IFERROR(VLOOKUP($C:$C,Structure!$A:$AJ,AC$1,0)*15,0),IFERROR(VLOOKUP($D:$D,Structure!$A:$AJ,AC$1,0)*15,0),IFERROR(VLOOKUP($E:$E,Structure!$A:$AJ,AC$1,0)*15,0))</f>
        <v>0</v>
      </c>
      <c r="AD107" s="13">
        <f>SUM(IFERROR(VLOOKUP($C:$C,Structure!$A:$AJ,AD$1,0)*15,0),IFERROR(VLOOKUP($D:$D,Structure!$A:$AJ,AD$1,0)*15,0),IFERROR(VLOOKUP($E:$E,Structure!$A:$AJ,AD$1,0)*15,0))</f>
        <v>0</v>
      </c>
      <c r="AE107" s="13">
        <f>SUM(IFERROR(VLOOKUP($C:$C,Structure!$A:$AJ,AE$1,0)*15,0),IFERROR(VLOOKUP($D:$D,Structure!$A:$AJ,AE$1,0)*15,0),IFERROR(VLOOKUP($E:$E,Structure!$A:$AJ,AE$1,0)*15,0))</f>
        <v>0</v>
      </c>
      <c r="AF107" s="13">
        <f>SUM(IFERROR(VLOOKUP($C:$C,Structure!$A:$AJ,AF$1,0)*15,0),IFERROR(VLOOKUP($D:$D,Structure!$A:$AJ,AF$1,0)*15,0),IFERROR(VLOOKUP($E:$E,Structure!$A:$AJ,AF$1,0)*15,0))</f>
        <v>0</v>
      </c>
      <c r="AG107" s="13">
        <f>SUM(IFERROR(VLOOKUP($C:$C,Structure!$A:$AJ,AG$1,0)*15,0),IFERROR(VLOOKUP($D:$D,Structure!$A:$AJ,AG$1,0)*15,0),IFERROR(VLOOKUP($E:$E,Structure!$A:$AJ,AG$1,0)*15,0))</f>
        <v>0</v>
      </c>
      <c r="AH107" s="13">
        <f>SUM(IFERROR(VLOOKUP($C:$C,Structure!$A:$AJ,AH$1,0)*15,0),IFERROR(VLOOKUP($D:$D,Structure!$A:$AJ,AH$1,0)*15,0),IFERROR(VLOOKUP($E:$E,Structure!$A:$AJ,AH$1,0)*15,0))</f>
        <v>0</v>
      </c>
      <c r="AI107" s="13">
        <f>SUM(IFERROR(VLOOKUP($C:$C,Structure!$A:$AJ,AI$1,0)*15,0),IFERROR(VLOOKUP($D:$D,Structure!$A:$AJ,AI$1,0)*15,0),IFERROR(VLOOKUP($E:$E,Structure!$A:$AJ,AI$1,0)*15,0))</f>
        <v>0</v>
      </c>
      <c r="AJ107" s="13">
        <f>SUM(IFERROR(VLOOKUP($C:$C,Structure!$A:$AJ,AJ$1,0)*15,0),IFERROR(VLOOKUP($D:$D,Structure!$A:$AJ,AJ$1,0)*15,0),IFERROR(VLOOKUP($E:$E,Structure!$A:$AJ,AJ$1,0)*15,0))</f>
        <v>30</v>
      </c>
      <c r="AK107" s="13">
        <f>SUM(IFERROR(VLOOKUP($C:$C,Structure!$A:$AJ,AK$1,0)*15,0),IFERROR(VLOOKUP($D:$D,Structure!$A:$AJ,AK$1,0)*15,0),IFERROR(VLOOKUP($E:$E,Structure!$A:$AJ,AK$1,0)*15,0))</f>
        <v>0</v>
      </c>
      <c r="AL107" s="13">
        <f>SUM(IFERROR(VLOOKUP($C:$C,Structure!$A:$AJ,AL$1,0)*15,0),IFERROR(VLOOKUP($D:$D,Structure!$A:$AJ,AL$1,0)*15,0),IFERROR(VLOOKUP($E:$E,Structure!$A:$AJ,AL$1,0)*15,0))</f>
        <v>0</v>
      </c>
      <c r="AM107" s="13">
        <f>SUM(IFERROR(VLOOKUP($C:$C,Structure!$A:$AJ,AM$1,0)*15,0),IFERROR(VLOOKUP($D:$D,Structure!$A:$AJ,AM$1,0)*15,0),IFERROR(VLOOKUP($E:$E,Structure!$A:$AJ,AM$1,0)*15,0))</f>
        <v>0</v>
      </c>
      <c r="AN107" s="13">
        <f>SUM(IFERROR(VLOOKUP($C:$C,Structure!$A:$AJ,AN$1,0)*15,0),IFERROR(VLOOKUP($D:$D,Structure!$A:$AJ,AN$1,0)*15,0),IFERROR(VLOOKUP($E:$E,Structure!$A:$AJ,AN$1,0)*15,0))</f>
        <v>0</v>
      </c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3"/>
      <c r="BZ107" s="4">
        <f>BZ106+AQ107-F107</f>
        <v>0</v>
      </c>
      <c r="CA107" s="4">
        <f>CA106+AR107-G107</f>
        <v>0</v>
      </c>
      <c r="CB107" s="4">
        <f>CB106+AS107-H107</f>
        <v>0</v>
      </c>
      <c r="CC107" s="4">
        <f>CC106+AT107-I107</f>
        <v>0</v>
      </c>
      <c r="CD107" s="4">
        <f>CD106+AU107-J107</f>
        <v>0</v>
      </c>
      <c r="CE107" s="4">
        <f>CE106+AV107-K107</f>
        <v>0</v>
      </c>
      <c r="CF107" s="4">
        <f>CF106+AW107-L107</f>
        <v>0</v>
      </c>
      <c r="CG107" s="4">
        <f>CG106+AX107-M107</f>
        <v>0</v>
      </c>
      <c r="CH107" s="4">
        <f>CH106+AY107-N107</f>
        <v>0</v>
      </c>
      <c r="CI107" s="4">
        <f>CI106+AZ107-O107</f>
        <v>0</v>
      </c>
      <c r="CJ107" s="4">
        <f>CJ106+BA107-P107</f>
        <v>0</v>
      </c>
      <c r="CK107" s="4">
        <f>CK106+BB107-Q107</f>
        <v>0</v>
      </c>
      <c r="CL107" s="4">
        <f>CL106+BC107-R107</f>
        <v>0</v>
      </c>
      <c r="CM107" s="4">
        <f>CM106+BD107-S107</f>
        <v>0</v>
      </c>
      <c r="CN107" s="4">
        <f>CN106+BE107-T107</f>
        <v>0</v>
      </c>
      <c r="CO107" s="4">
        <f>CO106+BF107-U107</f>
        <v>0</v>
      </c>
      <c r="CP107" s="4">
        <f>CP106+BG107-V107</f>
        <v>-45</v>
      </c>
      <c r="CQ107" s="4">
        <f>CQ106+BH107-W107</f>
        <v>0</v>
      </c>
      <c r="CR107" s="4">
        <f>CR106+BI107-X107</f>
        <v>-45</v>
      </c>
      <c r="CS107" s="4">
        <f>CS106+BJ107-Y107</f>
        <v>0</v>
      </c>
      <c r="CT107" s="4">
        <f>CT106+BK107-Z107</f>
        <v>0</v>
      </c>
      <c r="CU107" s="4">
        <f>CU106+BL107-AA107</f>
        <v>-4025</v>
      </c>
      <c r="CV107" s="4">
        <f>CV106+BM107-AB107</f>
        <v>-240</v>
      </c>
      <c r="CW107" s="4">
        <f>CW106+BN107-AC107</f>
        <v>-255</v>
      </c>
      <c r="CX107" s="4">
        <f>CX106+BO107-AD107</f>
        <v>0</v>
      </c>
      <c r="CY107" s="4">
        <f>CY106+BP107-AE107</f>
        <v>-60</v>
      </c>
      <c r="CZ107" s="4">
        <f>CZ106+BQ107-AF107</f>
        <v>-160</v>
      </c>
      <c r="DA107" s="4">
        <f>DA106+BR107-AG107</f>
        <v>0</v>
      </c>
      <c r="DB107" s="4">
        <f>DB106+BS107-AH107</f>
        <v>-60</v>
      </c>
      <c r="DC107" s="4">
        <f>DC106+BT107-AI107</f>
        <v>0</v>
      </c>
      <c r="DD107" s="4">
        <f>DD106+BU107-AJ107</f>
        <v>-2890</v>
      </c>
      <c r="DE107" s="4">
        <f>DE106+BV107-AK107</f>
        <v>-1155</v>
      </c>
      <c r="DF107" s="4">
        <f>DF106+BW107-AL107</f>
        <v>0</v>
      </c>
      <c r="DG107" s="4">
        <f>DG106+BX107-AM107</f>
        <v>-235</v>
      </c>
      <c r="DH107" s="4">
        <f>DH106+BY107-AN107</f>
        <v>0</v>
      </c>
    </row>
    <row r="108" spans="1:112" x14ac:dyDescent="0.25">
      <c r="A108" s="6">
        <v>46183</v>
      </c>
      <c r="B108" s="7">
        <v>0.70833333308110014</v>
      </c>
      <c r="C108" s="3" t="s">
        <v>74</v>
      </c>
      <c r="D108" s="3" t="s">
        <v>6</v>
      </c>
      <c r="E108" s="3" t="s">
        <v>2</v>
      </c>
      <c r="F108" s="13">
        <f>SUM(IFERROR(VLOOKUP($C:$C,Structure!$A:$AJ,F$1,0)*15,0),IFERROR(VLOOKUP($D:$D,Structure!$A:$AJ,F$1,0)*15,0),IFERROR(VLOOKUP($E:$E,Structure!$A:$AJ,F$1,0)*15,0))</f>
        <v>0</v>
      </c>
      <c r="G108" s="13">
        <f>SUM(IFERROR(VLOOKUP($C:$C,Structure!$A:$AJ,G$1,0)*15,0),IFERROR(VLOOKUP($D:$D,Structure!$A:$AJ,G$1,0)*15,0),IFERROR(VLOOKUP($E:$E,Structure!$A:$AJ,G$1,0)*15,0))</f>
        <v>0</v>
      </c>
      <c r="H108" s="13">
        <f>SUM(IFERROR(VLOOKUP($C:$C,Structure!$A:$AJ,H$1,0)*15,0),IFERROR(VLOOKUP($D:$D,Structure!$A:$AJ,H$1,0)*15,0),IFERROR(VLOOKUP($E:$E,Structure!$A:$AJ,H$1,0)*15,0))</f>
        <v>0</v>
      </c>
      <c r="I108" s="13">
        <f>SUM(IFERROR(VLOOKUP($C:$C,Structure!$A:$AJ,I$1,0)*15,0),IFERROR(VLOOKUP($D:$D,Structure!$A:$AJ,I$1,0)*15,0),IFERROR(VLOOKUP($E:$E,Structure!$A:$AJ,I$1,0)*15,0))</f>
        <v>0</v>
      </c>
      <c r="J108" s="13">
        <f>SUM(IFERROR(VLOOKUP($C:$C,Structure!$A:$AJ,J$1,0)*15,0),IFERROR(VLOOKUP($D:$D,Structure!$A:$AJ,J$1,0)*15,0),IFERROR(VLOOKUP($E:$E,Structure!$A:$AJ,J$1,0)*15,0))</f>
        <v>0</v>
      </c>
      <c r="K108" s="13">
        <f>SUM(IFERROR(VLOOKUP($C:$C,Structure!$A:$AJ,K$1,0)*15,0),IFERROR(VLOOKUP($D:$D,Structure!$A:$AJ,K$1,0)*15,0),IFERROR(VLOOKUP($E:$E,Structure!$A:$AJ,K$1,0)*15,0))</f>
        <v>0</v>
      </c>
      <c r="L108" s="13">
        <f>SUM(IFERROR(VLOOKUP($C:$C,Structure!$A:$AJ,L$1,0)*15,0),IFERROR(VLOOKUP($D:$D,Structure!$A:$AJ,L$1,0)*15,0),IFERROR(VLOOKUP($E:$E,Structure!$A:$AJ,L$1,0)*15,0))</f>
        <v>0</v>
      </c>
      <c r="M108" s="13">
        <f>SUM(IFERROR(VLOOKUP($C:$C,Structure!$A:$AJ,M$1,0)*15,0),IFERROR(VLOOKUP($D:$D,Structure!$A:$AJ,M$1,0)*15,0),IFERROR(VLOOKUP($E:$E,Structure!$A:$AJ,M$1,0)*15,0))</f>
        <v>0</v>
      </c>
      <c r="N108" s="13">
        <f>SUM(IFERROR(VLOOKUP($C:$C,Structure!$A:$AJ,N$1,0)*15,0),IFERROR(VLOOKUP($D:$D,Structure!$A:$AJ,N$1,0)*15,0),IFERROR(VLOOKUP($E:$E,Structure!$A:$AJ,N$1,0)*15,0))</f>
        <v>0</v>
      </c>
      <c r="O108" s="13">
        <f>SUM(IFERROR(VLOOKUP($C:$C,Structure!$A:$AJ,O$1,0)*15,0),IFERROR(VLOOKUP($D:$D,Structure!$A:$AJ,O$1,0)*15,0),IFERROR(VLOOKUP($E:$E,Structure!$A:$AJ,O$1,0)*15,0))</f>
        <v>0</v>
      </c>
      <c r="P108" s="13">
        <f>SUM(IFERROR(VLOOKUP($C:$C,Structure!$A:$AJ,P$1,0)*15,0),IFERROR(VLOOKUP($D:$D,Structure!$A:$AJ,P$1,0)*15,0),IFERROR(VLOOKUP($E:$E,Structure!$A:$AJ,P$1,0)*15,0))</f>
        <v>0</v>
      </c>
      <c r="Q108" s="13">
        <f>SUM(IFERROR(VLOOKUP($C:$C,Structure!$A:$AJ,Q$1,0)*15,0),IFERROR(VLOOKUP($D:$D,Structure!$A:$AJ,Q$1,0)*15,0),IFERROR(VLOOKUP($E:$E,Structure!$A:$AJ,Q$1,0)*15,0))</f>
        <v>0</v>
      </c>
      <c r="R108" s="13">
        <f>SUM(IFERROR(VLOOKUP($C:$C,Structure!$A:$AJ,R$1,0)*15,0),IFERROR(VLOOKUP($D:$D,Structure!$A:$AJ,R$1,0)*15,0),IFERROR(VLOOKUP($E:$E,Structure!$A:$AJ,R$1,0)*15,0))</f>
        <v>0</v>
      </c>
      <c r="S108" s="13">
        <f>SUM(IFERROR(VLOOKUP($C:$C,Structure!$A:$AJ,S$1,0)*15,0),IFERROR(VLOOKUP($D:$D,Structure!$A:$AJ,S$1,0)*15,0),IFERROR(VLOOKUP($E:$E,Structure!$A:$AJ,S$1,0)*15,0))</f>
        <v>0</v>
      </c>
      <c r="T108" s="13">
        <f>SUM(IFERROR(VLOOKUP($C:$C,Structure!$A:$AJ,T$1,0)*15,0),IFERROR(VLOOKUP($D:$D,Structure!$A:$AJ,T$1,0)*15,0),IFERROR(VLOOKUP($E:$E,Structure!$A:$AJ,T$1,0)*15,0))</f>
        <v>0</v>
      </c>
      <c r="U108" s="13">
        <f>SUM(IFERROR(VLOOKUP($C:$C,Structure!$A:$AJ,U$1,0)*15,0),IFERROR(VLOOKUP($D:$D,Structure!$A:$AJ,U$1,0)*15,0),IFERROR(VLOOKUP($E:$E,Structure!$A:$AJ,U$1,0)*15,0))</f>
        <v>0</v>
      </c>
      <c r="V108" s="13">
        <f>SUM(IFERROR(VLOOKUP($C:$C,Structure!$A:$AJ,V$1,0)*15,0),IFERROR(VLOOKUP($D:$D,Structure!$A:$AJ,V$1,0)*15,0),IFERROR(VLOOKUP($E:$E,Structure!$A:$AJ,V$1,0)*15,0))</f>
        <v>15</v>
      </c>
      <c r="W108" s="13">
        <f>SUM(IFERROR(VLOOKUP($C:$C,Structure!$A:$AJ,W$1,0)*15,0),IFERROR(VLOOKUP($D:$D,Structure!$A:$AJ,W$1,0)*15,0),IFERROR(VLOOKUP($E:$E,Structure!$A:$AJ,W$1,0)*15,0))</f>
        <v>0</v>
      </c>
      <c r="X108" s="13">
        <f>SUM(IFERROR(VLOOKUP($C:$C,Structure!$A:$AJ,X$1,0)*15,0),IFERROR(VLOOKUP($D:$D,Structure!$A:$AJ,X$1,0)*15,0),IFERROR(VLOOKUP($E:$E,Structure!$A:$AJ,X$1,0)*15,0))</f>
        <v>15</v>
      </c>
      <c r="Y108" s="13">
        <f>SUM(IFERROR(VLOOKUP($C:$C,Structure!$A:$AJ,Y$1,0)*15,0),IFERROR(VLOOKUP($D:$D,Structure!$A:$AJ,Y$1,0)*15,0),IFERROR(VLOOKUP($E:$E,Structure!$A:$AJ,Y$1,0)*15,0))</f>
        <v>0</v>
      </c>
      <c r="Z108" s="13">
        <f>SUM(IFERROR(VLOOKUP($C:$C,Structure!$A:$AJ,Z$1,0)*15,0),IFERROR(VLOOKUP($D:$D,Structure!$A:$AJ,Z$1,0)*15,0),IFERROR(VLOOKUP($E:$E,Structure!$A:$AJ,Z$1,0)*15,0))</f>
        <v>0</v>
      </c>
      <c r="AA108" s="13">
        <f>SUM(IFERROR(VLOOKUP($C:$C,Structure!$A:$AJ,AA$1,0)*15,0),IFERROR(VLOOKUP($D:$D,Structure!$A:$AJ,AA$1,0)*15,0),IFERROR(VLOOKUP($E:$E,Structure!$A:$AJ,AA$1,0)*15,0))</f>
        <v>30</v>
      </c>
      <c r="AB108" s="13">
        <f>SUM(IFERROR(VLOOKUP($C:$C,Structure!$A:$AJ,AB$1,0)*15,0),IFERROR(VLOOKUP($D:$D,Structure!$A:$AJ,AB$1,0)*15,0),IFERROR(VLOOKUP($E:$E,Structure!$A:$AJ,AB$1,0)*15,0))</f>
        <v>0</v>
      </c>
      <c r="AC108" s="13">
        <f>SUM(IFERROR(VLOOKUP($C:$C,Structure!$A:$AJ,AC$1,0)*15,0),IFERROR(VLOOKUP($D:$D,Structure!$A:$AJ,AC$1,0)*15,0),IFERROR(VLOOKUP($E:$E,Structure!$A:$AJ,AC$1,0)*15,0))</f>
        <v>0</v>
      </c>
      <c r="AD108" s="13">
        <f>SUM(IFERROR(VLOOKUP($C:$C,Structure!$A:$AJ,AD$1,0)*15,0),IFERROR(VLOOKUP($D:$D,Structure!$A:$AJ,AD$1,0)*15,0),IFERROR(VLOOKUP($E:$E,Structure!$A:$AJ,AD$1,0)*15,0))</f>
        <v>0</v>
      </c>
      <c r="AE108" s="13">
        <f>SUM(IFERROR(VLOOKUP($C:$C,Structure!$A:$AJ,AE$1,0)*15,0),IFERROR(VLOOKUP($D:$D,Structure!$A:$AJ,AE$1,0)*15,0),IFERROR(VLOOKUP($E:$E,Structure!$A:$AJ,AE$1,0)*15,0))</f>
        <v>0</v>
      </c>
      <c r="AF108" s="13">
        <f>SUM(IFERROR(VLOOKUP($C:$C,Structure!$A:$AJ,AF$1,0)*15,0),IFERROR(VLOOKUP($D:$D,Structure!$A:$AJ,AF$1,0)*15,0),IFERROR(VLOOKUP($E:$E,Structure!$A:$AJ,AF$1,0)*15,0))</f>
        <v>0</v>
      </c>
      <c r="AG108" s="13">
        <f>SUM(IFERROR(VLOOKUP($C:$C,Structure!$A:$AJ,AG$1,0)*15,0),IFERROR(VLOOKUP($D:$D,Structure!$A:$AJ,AG$1,0)*15,0),IFERROR(VLOOKUP($E:$E,Structure!$A:$AJ,AG$1,0)*15,0))</f>
        <v>0</v>
      </c>
      <c r="AH108" s="13">
        <f>SUM(IFERROR(VLOOKUP($C:$C,Structure!$A:$AJ,AH$1,0)*15,0),IFERROR(VLOOKUP($D:$D,Structure!$A:$AJ,AH$1,0)*15,0),IFERROR(VLOOKUP($E:$E,Structure!$A:$AJ,AH$1,0)*15,0))</f>
        <v>0</v>
      </c>
      <c r="AI108" s="13">
        <f>SUM(IFERROR(VLOOKUP($C:$C,Structure!$A:$AJ,AI$1,0)*15,0),IFERROR(VLOOKUP($D:$D,Structure!$A:$AJ,AI$1,0)*15,0),IFERROR(VLOOKUP($E:$E,Structure!$A:$AJ,AI$1,0)*15,0))</f>
        <v>0</v>
      </c>
      <c r="AJ108" s="13">
        <f>SUM(IFERROR(VLOOKUP($C:$C,Structure!$A:$AJ,AJ$1,0)*15,0),IFERROR(VLOOKUP($D:$D,Structure!$A:$AJ,AJ$1,0)*15,0),IFERROR(VLOOKUP($E:$E,Structure!$A:$AJ,AJ$1,0)*15,0))</f>
        <v>30</v>
      </c>
      <c r="AK108" s="13">
        <f>SUM(IFERROR(VLOOKUP($C:$C,Structure!$A:$AJ,AK$1,0)*15,0),IFERROR(VLOOKUP($D:$D,Structure!$A:$AJ,AK$1,0)*15,0),IFERROR(VLOOKUP($E:$E,Structure!$A:$AJ,AK$1,0)*15,0))</f>
        <v>0</v>
      </c>
      <c r="AL108" s="13">
        <f>SUM(IFERROR(VLOOKUP($C:$C,Structure!$A:$AJ,AL$1,0)*15,0),IFERROR(VLOOKUP($D:$D,Structure!$A:$AJ,AL$1,0)*15,0),IFERROR(VLOOKUP($E:$E,Structure!$A:$AJ,AL$1,0)*15,0))</f>
        <v>0</v>
      </c>
      <c r="AM108" s="13">
        <f>SUM(IFERROR(VLOOKUP($C:$C,Structure!$A:$AJ,AM$1,0)*15,0),IFERROR(VLOOKUP($D:$D,Structure!$A:$AJ,AM$1,0)*15,0),IFERROR(VLOOKUP($E:$E,Structure!$A:$AJ,AM$1,0)*15,0))</f>
        <v>0</v>
      </c>
      <c r="AN108" s="13">
        <f>SUM(IFERROR(VLOOKUP($C:$C,Structure!$A:$AJ,AN$1,0)*15,0),IFERROR(VLOOKUP($D:$D,Structure!$A:$AJ,AN$1,0)*15,0),IFERROR(VLOOKUP($E:$E,Structure!$A:$AJ,AN$1,0)*15,0))</f>
        <v>0</v>
      </c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3"/>
      <c r="BZ108" s="4">
        <f>BZ107+AQ108-F108</f>
        <v>0</v>
      </c>
      <c r="CA108" s="4">
        <f>CA107+AR108-G108</f>
        <v>0</v>
      </c>
      <c r="CB108" s="4">
        <f>CB107+AS108-H108</f>
        <v>0</v>
      </c>
      <c r="CC108" s="4">
        <f>CC107+AT108-I108</f>
        <v>0</v>
      </c>
      <c r="CD108" s="4">
        <f>CD107+AU108-J108</f>
        <v>0</v>
      </c>
      <c r="CE108" s="4">
        <f>CE107+AV108-K108</f>
        <v>0</v>
      </c>
      <c r="CF108" s="4">
        <f>CF107+AW108-L108</f>
        <v>0</v>
      </c>
      <c r="CG108" s="4">
        <f>CG107+AX108-M108</f>
        <v>0</v>
      </c>
      <c r="CH108" s="4">
        <f>CH107+AY108-N108</f>
        <v>0</v>
      </c>
      <c r="CI108" s="4">
        <f>CI107+AZ108-O108</f>
        <v>0</v>
      </c>
      <c r="CJ108" s="4">
        <f>CJ107+BA108-P108</f>
        <v>0</v>
      </c>
      <c r="CK108" s="4">
        <f>CK107+BB108-Q108</f>
        <v>0</v>
      </c>
      <c r="CL108" s="4">
        <f>CL107+BC108-R108</f>
        <v>0</v>
      </c>
      <c r="CM108" s="4">
        <f>CM107+BD108-S108</f>
        <v>0</v>
      </c>
      <c r="CN108" s="4">
        <f>CN107+BE108-T108</f>
        <v>0</v>
      </c>
      <c r="CO108" s="4">
        <f>CO107+BF108-U108</f>
        <v>0</v>
      </c>
      <c r="CP108" s="4">
        <f>CP107+BG108-V108</f>
        <v>-60</v>
      </c>
      <c r="CQ108" s="4">
        <f>CQ107+BH108-W108</f>
        <v>0</v>
      </c>
      <c r="CR108" s="4">
        <f>CR107+BI108-X108</f>
        <v>-60</v>
      </c>
      <c r="CS108" s="4">
        <f>CS107+BJ108-Y108</f>
        <v>0</v>
      </c>
      <c r="CT108" s="4">
        <f>CT107+BK108-Z108</f>
        <v>0</v>
      </c>
      <c r="CU108" s="4">
        <f>CU107+BL108-AA108</f>
        <v>-4055</v>
      </c>
      <c r="CV108" s="4">
        <f>CV107+BM108-AB108</f>
        <v>-240</v>
      </c>
      <c r="CW108" s="4">
        <f>CW107+BN108-AC108</f>
        <v>-255</v>
      </c>
      <c r="CX108" s="4">
        <f>CX107+BO108-AD108</f>
        <v>0</v>
      </c>
      <c r="CY108" s="4">
        <f>CY107+BP108-AE108</f>
        <v>-60</v>
      </c>
      <c r="CZ108" s="4">
        <f>CZ107+BQ108-AF108</f>
        <v>-160</v>
      </c>
      <c r="DA108" s="4">
        <f>DA107+BR108-AG108</f>
        <v>0</v>
      </c>
      <c r="DB108" s="4">
        <f>DB107+BS108-AH108</f>
        <v>-60</v>
      </c>
      <c r="DC108" s="4">
        <f>DC107+BT108-AI108</f>
        <v>0</v>
      </c>
      <c r="DD108" s="4">
        <f>DD107+BU108-AJ108</f>
        <v>-2920</v>
      </c>
      <c r="DE108" s="4">
        <f>DE107+BV108-AK108</f>
        <v>-1155</v>
      </c>
      <c r="DF108" s="4">
        <f>DF107+BW108-AL108</f>
        <v>0</v>
      </c>
      <c r="DG108" s="4">
        <f>DG107+BX108-AM108</f>
        <v>-235</v>
      </c>
      <c r="DH108" s="4">
        <f>DH107+BY108-AN108</f>
        <v>0</v>
      </c>
    </row>
    <row r="109" spans="1:112" x14ac:dyDescent="0.25">
      <c r="A109" s="6">
        <v>46183</v>
      </c>
      <c r="B109" s="7">
        <v>0.74999999974534148</v>
      </c>
      <c r="C109" s="3" t="s">
        <v>3</v>
      </c>
      <c r="D109" s="3" t="s">
        <v>6</v>
      </c>
      <c r="E109" s="3" t="s">
        <v>2</v>
      </c>
      <c r="F109" s="13">
        <f>SUM(IFERROR(VLOOKUP($C:$C,Structure!$A:$AJ,F$1,0)*15,0),IFERROR(VLOOKUP($D:$D,Structure!$A:$AJ,F$1,0)*15,0),IFERROR(VLOOKUP($E:$E,Structure!$A:$AJ,F$1,0)*15,0))</f>
        <v>0</v>
      </c>
      <c r="G109" s="13">
        <f>SUM(IFERROR(VLOOKUP($C:$C,Structure!$A:$AJ,G$1,0)*15,0),IFERROR(VLOOKUP($D:$D,Structure!$A:$AJ,G$1,0)*15,0),IFERROR(VLOOKUP($E:$E,Structure!$A:$AJ,G$1,0)*15,0))</f>
        <v>0</v>
      </c>
      <c r="H109" s="13">
        <f>SUM(IFERROR(VLOOKUP($C:$C,Structure!$A:$AJ,H$1,0)*15,0),IFERROR(VLOOKUP($D:$D,Structure!$A:$AJ,H$1,0)*15,0),IFERROR(VLOOKUP($E:$E,Structure!$A:$AJ,H$1,0)*15,0))</f>
        <v>0</v>
      </c>
      <c r="I109" s="13">
        <f>SUM(IFERROR(VLOOKUP($C:$C,Structure!$A:$AJ,I$1,0)*15,0),IFERROR(VLOOKUP($D:$D,Structure!$A:$AJ,I$1,0)*15,0),IFERROR(VLOOKUP($E:$E,Structure!$A:$AJ,I$1,0)*15,0))</f>
        <v>0</v>
      </c>
      <c r="J109" s="13">
        <f>SUM(IFERROR(VLOOKUP($C:$C,Structure!$A:$AJ,J$1,0)*15,0),IFERROR(VLOOKUP($D:$D,Structure!$A:$AJ,J$1,0)*15,0),IFERROR(VLOOKUP($E:$E,Structure!$A:$AJ,J$1,0)*15,0))</f>
        <v>0</v>
      </c>
      <c r="K109" s="13">
        <f>SUM(IFERROR(VLOOKUP($C:$C,Structure!$A:$AJ,K$1,0)*15,0),IFERROR(VLOOKUP($D:$D,Structure!$A:$AJ,K$1,0)*15,0),IFERROR(VLOOKUP($E:$E,Structure!$A:$AJ,K$1,0)*15,0))</f>
        <v>0</v>
      </c>
      <c r="L109" s="13">
        <f>SUM(IFERROR(VLOOKUP($C:$C,Structure!$A:$AJ,L$1,0)*15,0),IFERROR(VLOOKUP($D:$D,Structure!$A:$AJ,L$1,0)*15,0),IFERROR(VLOOKUP($E:$E,Structure!$A:$AJ,L$1,0)*15,0))</f>
        <v>0</v>
      </c>
      <c r="M109" s="13">
        <f>SUM(IFERROR(VLOOKUP($C:$C,Structure!$A:$AJ,M$1,0)*15,0),IFERROR(VLOOKUP($D:$D,Structure!$A:$AJ,M$1,0)*15,0),IFERROR(VLOOKUP($E:$E,Structure!$A:$AJ,M$1,0)*15,0))</f>
        <v>0</v>
      </c>
      <c r="N109" s="13">
        <f>SUM(IFERROR(VLOOKUP($C:$C,Structure!$A:$AJ,N$1,0)*15,0),IFERROR(VLOOKUP($D:$D,Structure!$A:$AJ,N$1,0)*15,0),IFERROR(VLOOKUP($E:$E,Structure!$A:$AJ,N$1,0)*15,0))</f>
        <v>0</v>
      </c>
      <c r="O109" s="13">
        <f>SUM(IFERROR(VLOOKUP($C:$C,Structure!$A:$AJ,O$1,0)*15,0),IFERROR(VLOOKUP($D:$D,Structure!$A:$AJ,O$1,0)*15,0),IFERROR(VLOOKUP($E:$E,Structure!$A:$AJ,O$1,0)*15,0))</f>
        <v>0</v>
      </c>
      <c r="P109" s="13">
        <f>SUM(IFERROR(VLOOKUP($C:$C,Structure!$A:$AJ,P$1,0)*15,0),IFERROR(VLOOKUP($D:$D,Structure!$A:$AJ,P$1,0)*15,0),IFERROR(VLOOKUP($E:$E,Structure!$A:$AJ,P$1,0)*15,0))</f>
        <v>0</v>
      </c>
      <c r="Q109" s="13">
        <f>SUM(IFERROR(VLOOKUP($C:$C,Structure!$A:$AJ,Q$1,0)*15,0),IFERROR(VLOOKUP($D:$D,Structure!$A:$AJ,Q$1,0)*15,0),IFERROR(VLOOKUP($E:$E,Structure!$A:$AJ,Q$1,0)*15,0))</f>
        <v>0</v>
      </c>
      <c r="R109" s="13">
        <f>SUM(IFERROR(VLOOKUP($C:$C,Structure!$A:$AJ,R$1,0)*15,0),IFERROR(VLOOKUP($D:$D,Structure!$A:$AJ,R$1,0)*15,0),IFERROR(VLOOKUP($E:$E,Structure!$A:$AJ,R$1,0)*15,0))</f>
        <v>0</v>
      </c>
      <c r="S109" s="13">
        <f>SUM(IFERROR(VLOOKUP($C:$C,Structure!$A:$AJ,S$1,0)*15,0),IFERROR(VLOOKUP($D:$D,Structure!$A:$AJ,S$1,0)*15,0),IFERROR(VLOOKUP($E:$E,Structure!$A:$AJ,S$1,0)*15,0))</f>
        <v>0</v>
      </c>
      <c r="T109" s="13">
        <f>SUM(IFERROR(VLOOKUP($C:$C,Structure!$A:$AJ,T$1,0)*15,0),IFERROR(VLOOKUP($D:$D,Structure!$A:$AJ,T$1,0)*15,0),IFERROR(VLOOKUP($E:$E,Structure!$A:$AJ,T$1,0)*15,0))</f>
        <v>0</v>
      </c>
      <c r="U109" s="13">
        <f>SUM(IFERROR(VLOOKUP($C:$C,Structure!$A:$AJ,U$1,0)*15,0),IFERROR(VLOOKUP($D:$D,Structure!$A:$AJ,U$1,0)*15,0),IFERROR(VLOOKUP($E:$E,Structure!$A:$AJ,U$1,0)*15,0))</f>
        <v>0</v>
      </c>
      <c r="V109" s="13">
        <f>SUM(IFERROR(VLOOKUP($C:$C,Structure!$A:$AJ,V$1,0)*15,0),IFERROR(VLOOKUP($D:$D,Structure!$A:$AJ,V$1,0)*15,0),IFERROR(VLOOKUP($E:$E,Structure!$A:$AJ,V$1,0)*15,0))</f>
        <v>0</v>
      </c>
      <c r="W109" s="13">
        <f>SUM(IFERROR(VLOOKUP($C:$C,Structure!$A:$AJ,W$1,0)*15,0),IFERROR(VLOOKUP($D:$D,Structure!$A:$AJ,W$1,0)*15,0),IFERROR(VLOOKUP($E:$E,Structure!$A:$AJ,W$1,0)*15,0))</f>
        <v>0</v>
      </c>
      <c r="X109" s="13">
        <f>SUM(IFERROR(VLOOKUP($C:$C,Structure!$A:$AJ,X$1,0)*15,0),IFERROR(VLOOKUP($D:$D,Structure!$A:$AJ,X$1,0)*15,0),IFERROR(VLOOKUP($E:$E,Structure!$A:$AJ,X$1,0)*15,0))</f>
        <v>0</v>
      </c>
      <c r="Y109" s="13">
        <f>SUM(IFERROR(VLOOKUP($C:$C,Structure!$A:$AJ,Y$1,0)*15,0),IFERROR(VLOOKUP($D:$D,Structure!$A:$AJ,Y$1,0)*15,0),IFERROR(VLOOKUP($E:$E,Structure!$A:$AJ,Y$1,0)*15,0))</f>
        <v>0</v>
      </c>
      <c r="Z109" s="13">
        <f>SUM(IFERROR(VLOOKUP($C:$C,Structure!$A:$AJ,Z$1,0)*15,0),IFERROR(VLOOKUP($D:$D,Structure!$A:$AJ,Z$1,0)*15,0),IFERROR(VLOOKUP($E:$E,Structure!$A:$AJ,Z$1,0)*15,0))</f>
        <v>0</v>
      </c>
      <c r="AA109" s="13">
        <f>SUM(IFERROR(VLOOKUP($C:$C,Structure!$A:$AJ,AA$1,0)*15,0),IFERROR(VLOOKUP($D:$D,Structure!$A:$AJ,AA$1,0)*15,0),IFERROR(VLOOKUP($E:$E,Structure!$A:$AJ,AA$1,0)*15,0))</f>
        <v>45</v>
      </c>
      <c r="AB109" s="13">
        <f>SUM(IFERROR(VLOOKUP($C:$C,Structure!$A:$AJ,AB$1,0)*15,0),IFERROR(VLOOKUP($D:$D,Structure!$A:$AJ,AB$1,0)*15,0),IFERROR(VLOOKUP($E:$E,Structure!$A:$AJ,AB$1,0)*15,0))</f>
        <v>0</v>
      </c>
      <c r="AC109" s="13">
        <f>SUM(IFERROR(VLOOKUP($C:$C,Structure!$A:$AJ,AC$1,0)*15,0),IFERROR(VLOOKUP($D:$D,Structure!$A:$AJ,AC$1,0)*15,0),IFERROR(VLOOKUP($E:$E,Structure!$A:$AJ,AC$1,0)*15,0))</f>
        <v>0</v>
      </c>
      <c r="AD109" s="13">
        <f>SUM(IFERROR(VLOOKUP($C:$C,Structure!$A:$AJ,AD$1,0)*15,0),IFERROR(VLOOKUP($D:$D,Structure!$A:$AJ,AD$1,0)*15,0),IFERROR(VLOOKUP($E:$E,Structure!$A:$AJ,AD$1,0)*15,0))</f>
        <v>0</v>
      </c>
      <c r="AE109" s="13">
        <f>SUM(IFERROR(VLOOKUP($C:$C,Structure!$A:$AJ,AE$1,0)*15,0),IFERROR(VLOOKUP($D:$D,Structure!$A:$AJ,AE$1,0)*15,0),IFERROR(VLOOKUP($E:$E,Structure!$A:$AJ,AE$1,0)*15,0))</f>
        <v>0</v>
      </c>
      <c r="AF109" s="13">
        <f>SUM(IFERROR(VLOOKUP($C:$C,Structure!$A:$AJ,AF$1,0)*15,0),IFERROR(VLOOKUP($D:$D,Structure!$A:$AJ,AF$1,0)*15,0),IFERROR(VLOOKUP($E:$E,Structure!$A:$AJ,AF$1,0)*15,0))</f>
        <v>0</v>
      </c>
      <c r="AG109" s="13">
        <f>SUM(IFERROR(VLOOKUP($C:$C,Structure!$A:$AJ,AG$1,0)*15,0),IFERROR(VLOOKUP($D:$D,Structure!$A:$AJ,AG$1,0)*15,0),IFERROR(VLOOKUP($E:$E,Structure!$A:$AJ,AG$1,0)*15,0))</f>
        <v>0</v>
      </c>
      <c r="AH109" s="13">
        <f>SUM(IFERROR(VLOOKUP($C:$C,Structure!$A:$AJ,AH$1,0)*15,0),IFERROR(VLOOKUP($D:$D,Structure!$A:$AJ,AH$1,0)*15,0),IFERROR(VLOOKUP($E:$E,Structure!$A:$AJ,AH$1,0)*15,0))</f>
        <v>0</v>
      </c>
      <c r="AI109" s="13">
        <f>SUM(IFERROR(VLOOKUP($C:$C,Structure!$A:$AJ,AI$1,0)*15,0),IFERROR(VLOOKUP($D:$D,Structure!$A:$AJ,AI$1,0)*15,0),IFERROR(VLOOKUP($E:$E,Structure!$A:$AJ,AI$1,0)*15,0))</f>
        <v>0</v>
      </c>
      <c r="AJ109" s="13">
        <f>SUM(IFERROR(VLOOKUP($C:$C,Structure!$A:$AJ,AJ$1,0)*15,0),IFERROR(VLOOKUP($D:$D,Structure!$A:$AJ,AJ$1,0)*15,0),IFERROR(VLOOKUP($E:$E,Structure!$A:$AJ,AJ$1,0)*15,0))</f>
        <v>30</v>
      </c>
      <c r="AK109" s="13">
        <f>SUM(IFERROR(VLOOKUP($C:$C,Structure!$A:$AJ,AK$1,0)*15,0),IFERROR(VLOOKUP($D:$D,Structure!$A:$AJ,AK$1,0)*15,0),IFERROR(VLOOKUP($E:$E,Structure!$A:$AJ,AK$1,0)*15,0))</f>
        <v>15</v>
      </c>
      <c r="AL109" s="13">
        <f>SUM(IFERROR(VLOOKUP($C:$C,Structure!$A:$AJ,AL$1,0)*15,0),IFERROR(VLOOKUP($D:$D,Structure!$A:$AJ,AL$1,0)*15,0),IFERROR(VLOOKUP($E:$E,Structure!$A:$AJ,AL$1,0)*15,0))</f>
        <v>0</v>
      </c>
      <c r="AM109" s="13">
        <f>SUM(IFERROR(VLOOKUP($C:$C,Structure!$A:$AJ,AM$1,0)*15,0),IFERROR(VLOOKUP($D:$D,Structure!$A:$AJ,AM$1,0)*15,0),IFERROR(VLOOKUP($E:$E,Structure!$A:$AJ,AM$1,0)*15,0))</f>
        <v>0</v>
      </c>
      <c r="AN109" s="13">
        <f>SUM(IFERROR(VLOOKUP($C:$C,Structure!$A:$AJ,AN$1,0)*15,0),IFERROR(VLOOKUP($D:$D,Structure!$A:$AJ,AN$1,0)*15,0),IFERROR(VLOOKUP($E:$E,Structure!$A:$AJ,AN$1,0)*15,0))</f>
        <v>0</v>
      </c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3"/>
      <c r="BZ109" s="4">
        <f>BZ108+AQ109-F109</f>
        <v>0</v>
      </c>
      <c r="CA109" s="4">
        <f>CA108+AR109-G109</f>
        <v>0</v>
      </c>
      <c r="CB109" s="4">
        <f>CB108+AS109-H109</f>
        <v>0</v>
      </c>
      <c r="CC109" s="4">
        <f>CC108+AT109-I109</f>
        <v>0</v>
      </c>
      <c r="CD109" s="4">
        <f>CD108+AU109-J109</f>
        <v>0</v>
      </c>
      <c r="CE109" s="4">
        <f>CE108+AV109-K109</f>
        <v>0</v>
      </c>
      <c r="CF109" s="4">
        <f>CF108+AW109-L109</f>
        <v>0</v>
      </c>
      <c r="CG109" s="4">
        <f>CG108+AX109-M109</f>
        <v>0</v>
      </c>
      <c r="CH109" s="4">
        <f>CH108+AY109-N109</f>
        <v>0</v>
      </c>
      <c r="CI109" s="4">
        <f>CI108+AZ109-O109</f>
        <v>0</v>
      </c>
      <c r="CJ109" s="4">
        <f>CJ108+BA109-P109</f>
        <v>0</v>
      </c>
      <c r="CK109" s="4">
        <f>CK108+BB109-Q109</f>
        <v>0</v>
      </c>
      <c r="CL109" s="4">
        <f>CL108+BC109-R109</f>
        <v>0</v>
      </c>
      <c r="CM109" s="4">
        <f>CM108+BD109-S109</f>
        <v>0</v>
      </c>
      <c r="CN109" s="4">
        <f>CN108+BE109-T109</f>
        <v>0</v>
      </c>
      <c r="CO109" s="4">
        <f>CO108+BF109-U109</f>
        <v>0</v>
      </c>
      <c r="CP109" s="4">
        <f>CP108+BG109-V109</f>
        <v>-60</v>
      </c>
      <c r="CQ109" s="4">
        <f>CQ108+BH109-W109</f>
        <v>0</v>
      </c>
      <c r="CR109" s="4">
        <f>CR108+BI109-X109</f>
        <v>-60</v>
      </c>
      <c r="CS109" s="4">
        <f>CS108+BJ109-Y109</f>
        <v>0</v>
      </c>
      <c r="CT109" s="4">
        <f>CT108+BK109-Z109</f>
        <v>0</v>
      </c>
      <c r="CU109" s="4">
        <f>CU108+BL109-AA109</f>
        <v>-4100</v>
      </c>
      <c r="CV109" s="4">
        <f>CV108+BM109-AB109</f>
        <v>-240</v>
      </c>
      <c r="CW109" s="4">
        <f>CW108+BN109-AC109</f>
        <v>-255</v>
      </c>
      <c r="CX109" s="4">
        <f>CX108+BO109-AD109</f>
        <v>0</v>
      </c>
      <c r="CY109" s="4">
        <f>CY108+BP109-AE109</f>
        <v>-60</v>
      </c>
      <c r="CZ109" s="4">
        <f>CZ108+BQ109-AF109</f>
        <v>-160</v>
      </c>
      <c r="DA109" s="4">
        <f>DA108+BR109-AG109</f>
        <v>0</v>
      </c>
      <c r="DB109" s="4">
        <f>DB108+BS109-AH109</f>
        <v>-60</v>
      </c>
      <c r="DC109" s="4">
        <f>DC108+BT109-AI109</f>
        <v>0</v>
      </c>
      <c r="DD109" s="4">
        <f>DD108+BU109-AJ109</f>
        <v>-2950</v>
      </c>
      <c r="DE109" s="4">
        <f>DE108+BV109-AK109</f>
        <v>-1170</v>
      </c>
      <c r="DF109" s="4">
        <f>DF108+BW109-AL109</f>
        <v>0</v>
      </c>
      <c r="DG109" s="4">
        <f>DG108+BX109-AM109</f>
        <v>-235</v>
      </c>
      <c r="DH109" s="4">
        <f>DH108+BY109-AN109</f>
        <v>0</v>
      </c>
    </row>
    <row r="110" spans="1:112" x14ac:dyDescent="0.25">
      <c r="A110" s="6">
        <v>46183</v>
      </c>
      <c r="B110" s="7">
        <v>0.79166666640958283</v>
      </c>
      <c r="C110" s="3" t="s">
        <v>3</v>
      </c>
      <c r="D110" s="3" t="s">
        <v>6</v>
      </c>
      <c r="E110" s="3" t="s">
        <v>2</v>
      </c>
      <c r="F110" s="13">
        <f>SUM(IFERROR(VLOOKUP($C:$C,Structure!$A:$AJ,F$1,0)*15,0),IFERROR(VLOOKUP($D:$D,Structure!$A:$AJ,F$1,0)*15,0),IFERROR(VLOOKUP($E:$E,Structure!$A:$AJ,F$1,0)*15,0))</f>
        <v>0</v>
      </c>
      <c r="G110" s="13">
        <f>SUM(IFERROR(VLOOKUP($C:$C,Structure!$A:$AJ,G$1,0)*15,0),IFERROR(VLOOKUP($D:$D,Structure!$A:$AJ,G$1,0)*15,0),IFERROR(VLOOKUP($E:$E,Structure!$A:$AJ,G$1,0)*15,0))</f>
        <v>0</v>
      </c>
      <c r="H110" s="13">
        <f>SUM(IFERROR(VLOOKUP($C:$C,Structure!$A:$AJ,H$1,0)*15,0),IFERROR(VLOOKUP($D:$D,Structure!$A:$AJ,H$1,0)*15,0),IFERROR(VLOOKUP($E:$E,Structure!$A:$AJ,H$1,0)*15,0))</f>
        <v>0</v>
      </c>
      <c r="I110" s="13">
        <f>SUM(IFERROR(VLOOKUP($C:$C,Structure!$A:$AJ,I$1,0)*15,0),IFERROR(VLOOKUP($D:$D,Structure!$A:$AJ,I$1,0)*15,0),IFERROR(VLOOKUP($E:$E,Structure!$A:$AJ,I$1,0)*15,0))</f>
        <v>0</v>
      </c>
      <c r="J110" s="13">
        <f>SUM(IFERROR(VLOOKUP($C:$C,Structure!$A:$AJ,J$1,0)*15,0),IFERROR(VLOOKUP($D:$D,Structure!$A:$AJ,J$1,0)*15,0),IFERROR(VLOOKUP($E:$E,Structure!$A:$AJ,J$1,0)*15,0))</f>
        <v>0</v>
      </c>
      <c r="K110" s="13">
        <f>SUM(IFERROR(VLOOKUP($C:$C,Structure!$A:$AJ,K$1,0)*15,0),IFERROR(VLOOKUP($D:$D,Structure!$A:$AJ,K$1,0)*15,0),IFERROR(VLOOKUP($E:$E,Structure!$A:$AJ,K$1,0)*15,0))</f>
        <v>0</v>
      </c>
      <c r="L110" s="13">
        <f>SUM(IFERROR(VLOOKUP($C:$C,Structure!$A:$AJ,L$1,0)*15,0),IFERROR(VLOOKUP($D:$D,Structure!$A:$AJ,L$1,0)*15,0),IFERROR(VLOOKUP($E:$E,Structure!$A:$AJ,L$1,0)*15,0))</f>
        <v>0</v>
      </c>
      <c r="M110" s="13">
        <f>SUM(IFERROR(VLOOKUP($C:$C,Structure!$A:$AJ,M$1,0)*15,0),IFERROR(VLOOKUP($D:$D,Structure!$A:$AJ,M$1,0)*15,0),IFERROR(VLOOKUP($E:$E,Structure!$A:$AJ,M$1,0)*15,0))</f>
        <v>0</v>
      </c>
      <c r="N110" s="13">
        <f>SUM(IFERROR(VLOOKUP($C:$C,Structure!$A:$AJ,N$1,0)*15,0),IFERROR(VLOOKUP($D:$D,Structure!$A:$AJ,N$1,0)*15,0),IFERROR(VLOOKUP($E:$E,Structure!$A:$AJ,N$1,0)*15,0))</f>
        <v>0</v>
      </c>
      <c r="O110" s="13">
        <f>SUM(IFERROR(VLOOKUP($C:$C,Structure!$A:$AJ,O$1,0)*15,0),IFERROR(VLOOKUP($D:$D,Structure!$A:$AJ,O$1,0)*15,0),IFERROR(VLOOKUP($E:$E,Structure!$A:$AJ,O$1,0)*15,0))</f>
        <v>0</v>
      </c>
      <c r="P110" s="13">
        <f>SUM(IFERROR(VLOOKUP($C:$C,Structure!$A:$AJ,P$1,0)*15,0),IFERROR(VLOOKUP($D:$D,Structure!$A:$AJ,P$1,0)*15,0),IFERROR(VLOOKUP($E:$E,Structure!$A:$AJ,P$1,0)*15,0))</f>
        <v>0</v>
      </c>
      <c r="Q110" s="13">
        <f>SUM(IFERROR(VLOOKUP($C:$C,Structure!$A:$AJ,Q$1,0)*15,0),IFERROR(VLOOKUP($D:$D,Structure!$A:$AJ,Q$1,0)*15,0),IFERROR(VLOOKUP($E:$E,Structure!$A:$AJ,Q$1,0)*15,0))</f>
        <v>0</v>
      </c>
      <c r="R110" s="13">
        <f>SUM(IFERROR(VLOOKUP($C:$C,Structure!$A:$AJ,R$1,0)*15,0),IFERROR(VLOOKUP($D:$D,Structure!$A:$AJ,R$1,0)*15,0),IFERROR(VLOOKUP($E:$E,Structure!$A:$AJ,R$1,0)*15,0))</f>
        <v>0</v>
      </c>
      <c r="S110" s="13">
        <f>SUM(IFERROR(VLOOKUP($C:$C,Structure!$A:$AJ,S$1,0)*15,0),IFERROR(VLOOKUP($D:$D,Structure!$A:$AJ,S$1,0)*15,0),IFERROR(VLOOKUP($E:$E,Structure!$A:$AJ,S$1,0)*15,0))</f>
        <v>0</v>
      </c>
      <c r="T110" s="13">
        <f>SUM(IFERROR(VLOOKUP($C:$C,Structure!$A:$AJ,T$1,0)*15,0),IFERROR(VLOOKUP($D:$D,Structure!$A:$AJ,T$1,0)*15,0),IFERROR(VLOOKUP($E:$E,Structure!$A:$AJ,T$1,0)*15,0))</f>
        <v>0</v>
      </c>
      <c r="U110" s="13">
        <f>SUM(IFERROR(VLOOKUP($C:$C,Structure!$A:$AJ,U$1,0)*15,0),IFERROR(VLOOKUP($D:$D,Structure!$A:$AJ,U$1,0)*15,0),IFERROR(VLOOKUP($E:$E,Structure!$A:$AJ,U$1,0)*15,0))</f>
        <v>0</v>
      </c>
      <c r="V110" s="13">
        <f>SUM(IFERROR(VLOOKUP($C:$C,Structure!$A:$AJ,V$1,0)*15,0),IFERROR(VLOOKUP($D:$D,Structure!$A:$AJ,V$1,0)*15,0),IFERROR(VLOOKUP($E:$E,Structure!$A:$AJ,V$1,0)*15,0))</f>
        <v>0</v>
      </c>
      <c r="W110" s="13">
        <f>SUM(IFERROR(VLOOKUP($C:$C,Structure!$A:$AJ,W$1,0)*15,0),IFERROR(VLOOKUP($D:$D,Structure!$A:$AJ,W$1,0)*15,0),IFERROR(VLOOKUP($E:$E,Structure!$A:$AJ,W$1,0)*15,0))</f>
        <v>0</v>
      </c>
      <c r="X110" s="13">
        <f>SUM(IFERROR(VLOOKUP($C:$C,Structure!$A:$AJ,X$1,0)*15,0),IFERROR(VLOOKUP($D:$D,Structure!$A:$AJ,X$1,0)*15,0),IFERROR(VLOOKUP($E:$E,Structure!$A:$AJ,X$1,0)*15,0))</f>
        <v>0</v>
      </c>
      <c r="Y110" s="13">
        <f>SUM(IFERROR(VLOOKUP($C:$C,Structure!$A:$AJ,Y$1,0)*15,0),IFERROR(VLOOKUP($D:$D,Structure!$A:$AJ,Y$1,0)*15,0),IFERROR(VLOOKUP($E:$E,Structure!$A:$AJ,Y$1,0)*15,0))</f>
        <v>0</v>
      </c>
      <c r="Z110" s="13">
        <f>SUM(IFERROR(VLOOKUP($C:$C,Structure!$A:$AJ,Z$1,0)*15,0),IFERROR(VLOOKUP($D:$D,Structure!$A:$AJ,Z$1,0)*15,0),IFERROR(VLOOKUP($E:$E,Structure!$A:$AJ,Z$1,0)*15,0))</f>
        <v>0</v>
      </c>
      <c r="AA110" s="13">
        <f>SUM(IFERROR(VLOOKUP($C:$C,Structure!$A:$AJ,AA$1,0)*15,0),IFERROR(VLOOKUP($D:$D,Structure!$A:$AJ,AA$1,0)*15,0),IFERROR(VLOOKUP($E:$E,Structure!$A:$AJ,AA$1,0)*15,0))</f>
        <v>45</v>
      </c>
      <c r="AB110" s="13">
        <f>SUM(IFERROR(VLOOKUP($C:$C,Structure!$A:$AJ,AB$1,0)*15,0),IFERROR(VLOOKUP($D:$D,Structure!$A:$AJ,AB$1,0)*15,0),IFERROR(VLOOKUP($E:$E,Structure!$A:$AJ,AB$1,0)*15,0))</f>
        <v>0</v>
      </c>
      <c r="AC110" s="13">
        <f>SUM(IFERROR(VLOOKUP($C:$C,Structure!$A:$AJ,AC$1,0)*15,0),IFERROR(VLOOKUP($D:$D,Structure!$A:$AJ,AC$1,0)*15,0),IFERROR(VLOOKUP($E:$E,Structure!$A:$AJ,AC$1,0)*15,0))</f>
        <v>0</v>
      </c>
      <c r="AD110" s="13">
        <f>SUM(IFERROR(VLOOKUP($C:$C,Structure!$A:$AJ,AD$1,0)*15,0),IFERROR(VLOOKUP($D:$D,Structure!$A:$AJ,AD$1,0)*15,0),IFERROR(VLOOKUP($E:$E,Structure!$A:$AJ,AD$1,0)*15,0))</f>
        <v>0</v>
      </c>
      <c r="AE110" s="13">
        <f>SUM(IFERROR(VLOOKUP($C:$C,Structure!$A:$AJ,AE$1,0)*15,0),IFERROR(VLOOKUP($D:$D,Structure!$A:$AJ,AE$1,0)*15,0),IFERROR(VLOOKUP($E:$E,Structure!$A:$AJ,AE$1,0)*15,0))</f>
        <v>0</v>
      </c>
      <c r="AF110" s="13">
        <f>SUM(IFERROR(VLOOKUP($C:$C,Structure!$A:$AJ,AF$1,0)*15,0),IFERROR(VLOOKUP($D:$D,Structure!$A:$AJ,AF$1,0)*15,0),IFERROR(VLOOKUP($E:$E,Structure!$A:$AJ,AF$1,0)*15,0))</f>
        <v>0</v>
      </c>
      <c r="AG110" s="13">
        <f>SUM(IFERROR(VLOOKUP($C:$C,Structure!$A:$AJ,AG$1,0)*15,0),IFERROR(VLOOKUP($D:$D,Structure!$A:$AJ,AG$1,0)*15,0),IFERROR(VLOOKUP($E:$E,Structure!$A:$AJ,AG$1,0)*15,0))</f>
        <v>0</v>
      </c>
      <c r="AH110" s="13">
        <f>SUM(IFERROR(VLOOKUP($C:$C,Structure!$A:$AJ,AH$1,0)*15,0),IFERROR(VLOOKUP($D:$D,Structure!$A:$AJ,AH$1,0)*15,0),IFERROR(VLOOKUP($E:$E,Structure!$A:$AJ,AH$1,0)*15,0))</f>
        <v>0</v>
      </c>
      <c r="AI110" s="13">
        <f>SUM(IFERROR(VLOOKUP($C:$C,Structure!$A:$AJ,AI$1,0)*15,0),IFERROR(VLOOKUP($D:$D,Structure!$A:$AJ,AI$1,0)*15,0),IFERROR(VLOOKUP($E:$E,Structure!$A:$AJ,AI$1,0)*15,0))</f>
        <v>0</v>
      </c>
      <c r="AJ110" s="13">
        <f>SUM(IFERROR(VLOOKUP($C:$C,Structure!$A:$AJ,AJ$1,0)*15,0),IFERROR(VLOOKUP($D:$D,Structure!$A:$AJ,AJ$1,0)*15,0),IFERROR(VLOOKUP($E:$E,Structure!$A:$AJ,AJ$1,0)*15,0))</f>
        <v>30</v>
      </c>
      <c r="AK110" s="13">
        <f>SUM(IFERROR(VLOOKUP($C:$C,Structure!$A:$AJ,AK$1,0)*15,0),IFERROR(VLOOKUP($D:$D,Structure!$A:$AJ,AK$1,0)*15,0),IFERROR(VLOOKUP($E:$E,Structure!$A:$AJ,AK$1,0)*15,0))</f>
        <v>15</v>
      </c>
      <c r="AL110" s="13">
        <f>SUM(IFERROR(VLOOKUP($C:$C,Structure!$A:$AJ,AL$1,0)*15,0),IFERROR(VLOOKUP($D:$D,Structure!$A:$AJ,AL$1,0)*15,0),IFERROR(VLOOKUP($E:$E,Structure!$A:$AJ,AL$1,0)*15,0))</f>
        <v>0</v>
      </c>
      <c r="AM110" s="13">
        <f>SUM(IFERROR(VLOOKUP($C:$C,Structure!$A:$AJ,AM$1,0)*15,0),IFERROR(VLOOKUP($D:$D,Structure!$A:$AJ,AM$1,0)*15,0),IFERROR(VLOOKUP($E:$E,Structure!$A:$AJ,AM$1,0)*15,0))</f>
        <v>0</v>
      </c>
      <c r="AN110" s="13">
        <f>SUM(IFERROR(VLOOKUP($C:$C,Structure!$A:$AJ,AN$1,0)*15,0),IFERROR(VLOOKUP($D:$D,Structure!$A:$AJ,AN$1,0)*15,0),IFERROR(VLOOKUP($E:$E,Structure!$A:$AJ,AN$1,0)*15,0))</f>
        <v>0</v>
      </c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3"/>
      <c r="BZ110" s="4">
        <f>BZ109+AQ110-F110</f>
        <v>0</v>
      </c>
      <c r="CA110" s="4">
        <f>CA109+AR110-G110</f>
        <v>0</v>
      </c>
      <c r="CB110" s="4">
        <f>CB109+AS110-H110</f>
        <v>0</v>
      </c>
      <c r="CC110" s="4">
        <f>CC109+AT110-I110</f>
        <v>0</v>
      </c>
      <c r="CD110" s="4">
        <f>CD109+AU110-J110</f>
        <v>0</v>
      </c>
      <c r="CE110" s="4">
        <f>CE109+AV110-K110</f>
        <v>0</v>
      </c>
      <c r="CF110" s="4">
        <f>CF109+AW110-L110</f>
        <v>0</v>
      </c>
      <c r="CG110" s="4">
        <f>CG109+AX110-M110</f>
        <v>0</v>
      </c>
      <c r="CH110" s="4">
        <f>CH109+AY110-N110</f>
        <v>0</v>
      </c>
      <c r="CI110" s="4">
        <f>CI109+AZ110-O110</f>
        <v>0</v>
      </c>
      <c r="CJ110" s="4">
        <f>CJ109+BA110-P110</f>
        <v>0</v>
      </c>
      <c r="CK110" s="4">
        <f>CK109+BB110-Q110</f>
        <v>0</v>
      </c>
      <c r="CL110" s="4">
        <f>CL109+BC110-R110</f>
        <v>0</v>
      </c>
      <c r="CM110" s="4">
        <f>CM109+BD110-S110</f>
        <v>0</v>
      </c>
      <c r="CN110" s="4">
        <f>CN109+BE110-T110</f>
        <v>0</v>
      </c>
      <c r="CO110" s="4">
        <f>CO109+BF110-U110</f>
        <v>0</v>
      </c>
      <c r="CP110" s="4">
        <f>CP109+BG110-V110</f>
        <v>-60</v>
      </c>
      <c r="CQ110" s="4">
        <f>CQ109+BH110-W110</f>
        <v>0</v>
      </c>
      <c r="CR110" s="4">
        <f>CR109+BI110-X110</f>
        <v>-60</v>
      </c>
      <c r="CS110" s="4">
        <f>CS109+BJ110-Y110</f>
        <v>0</v>
      </c>
      <c r="CT110" s="4">
        <f>CT109+BK110-Z110</f>
        <v>0</v>
      </c>
      <c r="CU110" s="4">
        <f>CU109+BL110-AA110</f>
        <v>-4145</v>
      </c>
      <c r="CV110" s="4">
        <f>CV109+BM110-AB110</f>
        <v>-240</v>
      </c>
      <c r="CW110" s="4">
        <f>CW109+BN110-AC110</f>
        <v>-255</v>
      </c>
      <c r="CX110" s="4">
        <f>CX109+BO110-AD110</f>
        <v>0</v>
      </c>
      <c r="CY110" s="4">
        <f>CY109+BP110-AE110</f>
        <v>-60</v>
      </c>
      <c r="CZ110" s="4">
        <f>CZ109+BQ110-AF110</f>
        <v>-160</v>
      </c>
      <c r="DA110" s="4">
        <f>DA109+BR110-AG110</f>
        <v>0</v>
      </c>
      <c r="DB110" s="4">
        <f>DB109+BS110-AH110</f>
        <v>-60</v>
      </c>
      <c r="DC110" s="4">
        <f>DC109+BT110-AI110</f>
        <v>0</v>
      </c>
      <c r="DD110" s="4">
        <f>DD109+BU110-AJ110</f>
        <v>-2980</v>
      </c>
      <c r="DE110" s="4">
        <f>DE109+BV110-AK110</f>
        <v>-1185</v>
      </c>
      <c r="DF110" s="4">
        <f>DF109+BW110-AL110</f>
        <v>0</v>
      </c>
      <c r="DG110" s="4">
        <f>DG109+BX110-AM110</f>
        <v>-235</v>
      </c>
      <c r="DH110" s="4">
        <f>DH109+BY110-AN110</f>
        <v>0</v>
      </c>
    </row>
    <row r="111" spans="1:112" x14ac:dyDescent="0.25">
      <c r="A111" s="6">
        <v>46183</v>
      </c>
      <c r="B111" s="7">
        <v>0.83333333307382418</v>
      </c>
      <c r="C111" s="3" t="s">
        <v>3</v>
      </c>
      <c r="D111" s="3" t="s">
        <v>6</v>
      </c>
      <c r="E111" s="3" t="s">
        <v>2</v>
      </c>
      <c r="F111" s="13">
        <f>SUM(IFERROR(VLOOKUP($C:$C,Structure!$A:$AJ,F$1,0)*15,0),IFERROR(VLOOKUP($D:$D,Structure!$A:$AJ,F$1,0)*15,0),IFERROR(VLOOKUP($E:$E,Structure!$A:$AJ,F$1,0)*15,0))</f>
        <v>0</v>
      </c>
      <c r="G111" s="13">
        <f>SUM(IFERROR(VLOOKUP($C:$C,Structure!$A:$AJ,G$1,0)*15,0),IFERROR(VLOOKUP($D:$D,Structure!$A:$AJ,G$1,0)*15,0),IFERROR(VLOOKUP($E:$E,Structure!$A:$AJ,G$1,0)*15,0))</f>
        <v>0</v>
      </c>
      <c r="H111" s="13">
        <f>SUM(IFERROR(VLOOKUP($C:$C,Structure!$A:$AJ,H$1,0)*15,0),IFERROR(VLOOKUP($D:$D,Structure!$A:$AJ,H$1,0)*15,0),IFERROR(VLOOKUP($E:$E,Structure!$A:$AJ,H$1,0)*15,0))</f>
        <v>0</v>
      </c>
      <c r="I111" s="13">
        <f>SUM(IFERROR(VLOOKUP($C:$C,Structure!$A:$AJ,I$1,0)*15,0),IFERROR(VLOOKUP($D:$D,Structure!$A:$AJ,I$1,0)*15,0),IFERROR(VLOOKUP($E:$E,Structure!$A:$AJ,I$1,0)*15,0))</f>
        <v>0</v>
      </c>
      <c r="J111" s="13">
        <f>SUM(IFERROR(VLOOKUP($C:$C,Structure!$A:$AJ,J$1,0)*15,0),IFERROR(VLOOKUP($D:$D,Structure!$A:$AJ,J$1,0)*15,0),IFERROR(VLOOKUP($E:$E,Structure!$A:$AJ,J$1,0)*15,0))</f>
        <v>0</v>
      </c>
      <c r="K111" s="13">
        <f>SUM(IFERROR(VLOOKUP($C:$C,Structure!$A:$AJ,K$1,0)*15,0),IFERROR(VLOOKUP($D:$D,Structure!$A:$AJ,K$1,0)*15,0),IFERROR(VLOOKUP($E:$E,Structure!$A:$AJ,K$1,0)*15,0))</f>
        <v>0</v>
      </c>
      <c r="L111" s="13">
        <f>SUM(IFERROR(VLOOKUP($C:$C,Structure!$A:$AJ,L$1,0)*15,0),IFERROR(VLOOKUP($D:$D,Structure!$A:$AJ,L$1,0)*15,0),IFERROR(VLOOKUP($E:$E,Structure!$A:$AJ,L$1,0)*15,0))</f>
        <v>0</v>
      </c>
      <c r="M111" s="13">
        <f>SUM(IFERROR(VLOOKUP($C:$C,Structure!$A:$AJ,M$1,0)*15,0),IFERROR(VLOOKUP($D:$D,Structure!$A:$AJ,M$1,0)*15,0),IFERROR(VLOOKUP($E:$E,Structure!$A:$AJ,M$1,0)*15,0))</f>
        <v>0</v>
      </c>
      <c r="N111" s="13">
        <f>SUM(IFERROR(VLOOKUP($C:$C,Structure!$A:$AJ,N$1,0)*15,0),IFERROR(VLOOKUP($D:$D,Structure!$A:$AJ,N$1,0)*15,0),IFERROR(VLOOKUP($E:$E,Structure!$A:$AJ,N$1,0)*15,0))</f>
        <v>0</v>
      </c>
      <c r="O111" s="13">
        <f>SUM(IFERROR(VLOOKUP($C:$C,Structure!$A:$AJ,O$1,0)*15,0),IFERROR(VLOOKUP($D:$D,Structure!$A:$AJ,O$1,0)*15,0),IFERROR(VLOOKUP($E:$E,Structure!$A:$AJ,O$1,0)*15,0))</f>
        <v>0</v>
      </c>
      <c r="P111" s="13">
        <f>SUM(IFERROR(VLOOKUP($C:$C,Structure!$A:$AJ,P$1,0)*15,0),IFERROR(VLOOKUP($D:$D,Structure!$A:$AJ,P$1,0)*15,0),IFERROR(VLOOKUP($E:$E,Structure!$A:$AJ,P$1,0)*15,0))</f>
        <v>0</v>
      </c>
      <c r="Q111" s="13">
        <f>SUM(IFERROR(VLOOKUP($C:$C,Structure!$A:$AJ,Q$1,0)*15,0),IFERROR(VLOOKUP($D:$D,Structure!$A:$AJ,Q$1,0)*15,0),IFERROR(VLOOKUP($E:$E,Structure!$A:$AJ,Q$1,0)*15,0))</f>
        <v>0</v>
      </c>
      <c r="R111" s="13">
        <f>SUM(IFERROR(VLOOKUP($C:$C,Structure!$A:$AJ,R$1,0)*15,0),IFERROR(VLOOKUP($D:$D,Structure!$A:$AJ,R$1,0)*15,0),IFERROR(VLOOKUP($E:$E,Structure!$A:$AJ,R$1,0)*15,0))</f>
        <v>0</v>
      </c>
      <c r="S111" s="13">
        <f>SUM(IFERROR(VLOOKUP($C:$C,Structure!$A:$AJ,S$1,0)*15,0),IFERROR(VLOOKUP($D:$D,Structure!$A:$AJ,S$1,0)*15,0),IFERROR(VLOOKUP($E:$E,Structure!$A:$AJ,S$1,0)*15,0))</f>
        <v>0</v>
      </c>
      <c r="T111" s="13">
        <f>SUM(IFERROR(VLOOKUP($C:$C,Structure!$A:$AJ,T$1,0)*15,0),IFERROR(VLOOKUP($D:$D,Structure!$A:$AJ,T$1,0)*15,0),IFERROR(VLOOKUP($E:$E,Structure!$A:$AJ,T$1,0)*15,0))</f>
        <v>0</v>
      </c>
      <c r="U111" s="13">
        <f>SUM(IFERROR(VLOOKUP($C:$C,Structure!$A:$AJ,U$1,0)*15,0),IFERROR(VLOOKUP($D:$D,Structure!$A:$AJ,U$1,0)*15,0),IFERROR(VLOOKUP($E:$E,Structure!$A:$AJ,U$1,0)*15,0))</f>
        <v>0</v>
      </c>
      <c r="V111" s="13">
        <f>SUM(IFERROR(VLOOKUP($C:$C,Structure!$A:$AJ,V$1,0)*15,0),IFERROR(VLOOKUP($D:$D,Structure!$A:$AJ,V$1,0)*15,0),IFERROR(VLOOKUP($E:$E,Structure!$A:$AJ,V$1,0)*15,0))</f>
        <v>0</v>
      </c>
      <c r="W111" s="13">
        <f>SUM(IFERROR(VLOOKUP($C:$C,Structure!$A:$AJ,W$1,0)*15,0),IFERROR(VLOOKUP($D:$D,Structure!$A:$AJ,W$1,0)*15,0),IFERROR(VLOOKUP($E:$E,Structure!$A:$AJ,W$1,0)*15,0))</f>
        <v>0</v>
      </c>
      <c r="X111" s="13">
        <f>SUM(IFERROR(VLOOKUP($C:$C,Structure!$A:$AJ,X$1,0)*15,0),IFERROR(VLOOKUP($D:$D,Structure!$A:$AJ,X$1,0)*15,0),IFERROR(VLOOKUP($E:$E,Structure!$A:$AJ,X$1,0)*15,0))</f>
        <v>0</v>
      </c>
      <c r="Y111" s="13">
        <f>SUM(IFERROR(VLOOKUP($C:$C,Structure!$A:$AJ,Y$1,0)*15,0),IFERROR(VLOOKUP($D:$D,Structure!$A:$AJ,Y$1,0)*15,0),IFERROR(VLOOKUP($E:$E,Structure!$A:$AJ,Y$1,0)*15,0))</f>
        <v>0</v>
      </c>
      <c r="Z111" s="13">
        <f>SUM(IFERROR(VLOOKUP($C:$C,Structure!$A:$AJ,Z$1,0)*15,0),IFERROR(VLOOKUP($D:$D,Structure!$A:$AJ,Z$1,0)*15,0),IFERROR(VLOOKUP($E:$E,Structure!$A:$AJ,Z$1,0)*15,0))</f>
        <v>0</v>
      </c>
      <c r="AA111" s="13">
        <f>SUM(IFERROR(VLOOKUP($C:$C,Structure!$A:$AJ,AA$1,0)*15,0),IFERROR(VLOOKUP($D:$D,Structure!$A:$AJ,AA$1,0)*15,0),IFERROR(VLOOKUP($E:$E,Structure!$A:$AJ,AA$1,0)*15,0))</f>
        <v>45</v>
      </c>
      <c r="AB111" s="13">
        <f>SUM(IFERROR(VLOOKUP($C:$C,Structure!$A:$AJ,AB$1,0)*15,0),IFERROR(VLOOKUP($D:$D,Structure!$A:$AJ,AB$1,0)*15,0),IFERROR(VLOOKUP($E:$E,Structure!$A:$AJ,AB$1,0)*15,0))</f>
        <v>0</v>
      </c>
      <c r="AC111" s="13">
        <f>SUM(IFERROR(VLOOKUP($C:$C,Structure!$A:$AJ,AC$1,0)*15,0),IFERROR(VLOOKUP($D:$D,Structure!$A:$AJ,AC$1,0)*15,0),IFERROR(VLOOKUP($E:$E,Structure!$A:$AJ,AC$1,0)*15,0))</f>
        <v>0</v>
      </c>
      <c r="AD111" s="13">
        <f>SUM(IFERROR(VLOOKUP($C:$C,Structure!$A:$AJ,AD$1,0)*15,0),IFERROR(VLOOKUP($D:$D,Structure!$A:$AJ,AD$1,0)*15,0),IFERROR(VLOOKUP($E:$E,Structure!$A:$AJ,AD$1,0)*15,0))</f>
        <v>0</v>
      </c>
      <c r="AE111" s="13">
        <f>SUM(IFERROR(VLOOKUP($C:$C,Structure!$A:$AJ,AE$1,0)*15,0),IFERROR(VLOOKUP($D:$D,Structure!$A:$AJ,AE$1,0)*15,0),IFERROR(VLOOKUP($E:$E,Structure!$A:$AJ,AE$1,0)*15,0))</f>
        <v>0</v>
      </c>
      <c r="AF111" s="13">
        <f>SUM(IFERROR(VLOOKUP($C:$C,Structure!$A:$AJ,AF$1,0)*15,0),IFERROR(VLOOKUP($D:$D,Structure!$A:$AJ,AF$1,0)*15,0),IFERROR(VLOOKUP($E:$E,Structure!$A:$AJ,AF$1,0)*15,0))</f>
        <v>0</v>
      </c>
      <c r="AG111" s="13">
        <f>SUM(IFERROR(VLOOKUP($C:$C,Structure!$A:$AJ,AG$1,0)*15,0),IFERROR(VLOOKUP($D:$D,Structure!$A:$AJ,AG$1,0)*15,0),IFERROR(VLOOKUP($E:$E,Structure!$A:$AJ,AG$1,0)*15,0))</f>
        <v>0</v>
      </c>
      <c r="AH111" s="13">
        <f>SUM(IFERROR(VLOOKUP($C:$C,Structure!$A:$AJ,AH$1,0)*15,0),IFERROR(VLOOKUP($D:$D,Structure!$A:$AJ,AH$1,0)*15,0),IFERROR(VLOOKUP($E:$E,Structure!$A:$AJ,AH$1,0)*15,0))</f>
        <v>0</v>
      </c>
      <c r="AI111" s="13">
        <f>SUM(IFERROR(VLOOKUP($C:$C,Structure!$A:$AJ,AI$1,0)*15,0),IFERROR(VLOOKUP($D:$D,Structure!$A:$AJ,AI$1,0)*15,0),IFERROR(VLOOKUP($E:$E,Structure!$A:$AJ,AI$1,0)*15,0))</f>
        <v>0</v>
      </c>
      <c r="AJ111" s="13">
        <f>SUM(IFERROR(VLOOKUP($C:$C,Structure!$A:$AJ,AJ$1,0)*15,0),IFERROR(VLOOKUP($D:$D,Structure!$A:$AJ,AJ$1,0)*15,0),IFERROR(VLOOKUP($E:$E,Structure!$A:$AJ,AJ$1,0)*15,0))</f>
        <v>30</v>
      </c>
      <c r="AK111" s="13">
        <f>SUM(IFERROR(VLOOKUP($C:$C,Structure!$A:$AJ,AK$1,0)*15,0),IFERROR(VLOOKUP($D:$D,Structure!$A:$AJ,AK$1,0)*15,0),IFERROR(VLOOKUP($E:$E,Structure!$A:$AJ,AK$1,0)*15,0))</f>
        <v>15</v>
      </c>
      <c r="AL111" s="13">
        <f>SUM(IFERROR(VLOOKUP($C:$C,Structure!$A:$AJ,AL$1,0)*15,0),IFERROR(VLOOKUP($D:$D,Structure!$A:$AJ,AL$1,0)*15,0),IFERROR(VLOOKUP($E:$E,Structure!$A:$AJ,AL$1,0)*15,0))</f>
        <v>0</v>
      </c>
      <c r="AM111" s="13">
        <f>SUM(IFERROR(VLOOKUP($C:$C,Structure!$A:$AJ,AM$1,0)*15,0),IFERROR(VLOOKUP($D:$D,Structure!$A:$AJ,AM$1,0)*15,0),IFERROR(VLOOKUP($E:$E,Structure!$A:$AJ,AM$1,0)*15,0))</f>
        <v>0</v>
      </c>
      <c r="AN111" s="13">
        <f>SUM(IFERROR(VLOOKUP($C:$C,Structure!$A:$AJ,AN$1,0)*15,0),IFERROR(VLOOKUP($D:$D,Structure!$A:$AJ,AN$1,0)*15,0),IFERROR(VLOOKUP($E:$E,Structure!$A:$AJ,AN$1,0)*15,0))</f>
        <v>0</v>
      </c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3"/>
      <c r="BZ111" s="4">
        <f>BZ110+AQ111-F111</f>
        <v>0</v>
      </c>
      <c r="CA111" s="4">
        <f>CA110+AR111-G111</f>
        <v>0</v>
      </c>
      <c r="CB111" s="4">
        <f>CB110+AS111-H111</f>
        <v>0</v>
      </c>
      <c r="CC111" s="4">
        <f>CC110+AT111-I111</f>
        <v>0</v>
      </c>
      <c r="CD111" s="4">
        <f>CD110+AU111-J111</f>
        <v>0</v>
      </c>
      <c r="CE111" s="4">
        <f>CE110+AV111-K111</f>
        <v>0</v>
      </c>
      <c r="CF111" s="4">
        <f>CF110+AW111-L111</f>
        <v>0</v>
      </c>
      <c r="CG111" s="4">
        <f>CG110+AX111-M111</f>
        <v>0</v>
      </c>
      <c r="CH111" s="4">
        <f>CH110+AY111-N111</f>
        <v>0</v>
      </c>
      <c r="CI111" s="4">
        <f>CI110+AZ111-O111</f>
        <v>0</v>
      </c>
      <c r="CJ111" s="4">
        <f>CJ110+BA111-P111</f>
        <v>0</v>
      </c>
      <c r="CK111" s="4">
        <f>CK110+BB111-Q111</f>
        <v>0</v>
      </c>
      <c r="CL111" s="4">
        <f>CL110+BC111-R111</f>
        <v>0</v>
      </c>
      <c r="CM111" s="4">
        <f>CM110+BD111-S111</f>
        <v>0</v>
      </c>
      <c r="CN111" s="4">
        <f>CN110+BE111-T111</f>
        <v>0</v>
      </c>
      <c r="CO111" s="4">
        <f>CO110+BF111-U111</f>
        <v>0</v>
      </c>
      <c r="CP111" s="4">
        <f>CP110+BG111-V111</f>
        <v>-60</v>
      </c>
      <c r="CQ111" s="4">
        <f>CQ110+BH111-W111</f>
        <v>0</v>
      </c>
      <c r="CR111" s="4">
        <f>CR110+BI111-X111</f>
        <v>-60</v>
      </c>
      <c r="CS111" s="4">
        <f>CS110+BJ111-Y111</f>
        <v>0</v>
      </c>
      <c r="CT111" s="4">
        <f>CT110+BK111-Z111</f>
        <v>0</v>
      </c>
      <c r="CU111" s="4">
        <f>CU110+BL111-AA111</f>
        <v>-4190</v>
      </c>
      <c r="CV111" s="4">
        <f>CV110+BM111-AB111</f>
        <v>-240</v>
      </c>
      <c r="CW111" s="4">
        <f>CW110+BN111-AC111</f>
        <v>-255</v>
      </c>
      <c r="CX111" s="4">
        <f>CX110+BO111-AD111</f>
        <v>0</v>
      </c>
      <c r="CY111" s="4">
        <f>CY110+BP111-AE111</f>
        <v>-60</v>
      </c>
      <c r="CZ111" s="4">
        <f>CZ110+BQ111-AF111</f>
        <v>-160</v>
      </c>
      <c r="DA111" s="4">
        <f>DA110+BR111-AG111</f>
        <v>0</v>
      </c>
      <c r="DB111" s="4">
        <f>DB110+BS111-AH111</f>
        <v>-60</v>
      </c>
      <c r="DC111" s="4">
        <f>DC110+BT111-AI111</f>
        <v>0</v>
      </c>
      <c r="DD111" s="4">
        <f>DD110+BU111-AJ111</f>
        <v>-3010</v>
      </c>
      <c r="DE111" s="4">
        <f>DE110+BV111-AK111</f>
        <v>-1200</v>
      </c>
      <c r="DF111" s="4">
        <f>DF110+BW111-AL111</f>
        <v>0</v>
      </c>
      <c r="DG111" s="4">
        <f>DG110+BX111-AM111</f>
        <v>-235</v>
      </c>
      <c r="DH111" s="4">
        <f>DH110+BY111-AN111</f>
        <v>0</v>
      </c>
    </row>
    <row r="112" spans="1:112" x14ac:dyDescent="0.25">
      <c r="A112" s="6">
        <v>46183</v>
      </c>
      <c r="B112" s="7">
        <v>0.87499999973806553</v>
      </c>
      <c r="C112" s="3" t="s">
        <v>3</v>
      </c>
      <c r="D112" s="3" t="s">
        <v>6</v>
      </c>
      <c r="E112" s="3" t="s">
        <v>2</v>
      </c>
      <c r="F112" s="13">
        <f>SUM(IFERROR(VLOOKUP($C:$C,Structure!$A:$AJ,F$1,0)*15,0),IFERROR(VLOOKUP($D:$D,Structure!$A:$AJ,F$1,0)*15,0),IFERROR(VLOOKUP($E:$E,Structure!$A:$AJ,F$1,0)*15,0))</f>
        <v>0</v>
      </c>
      <c r="G112" s="13">
        <f>SUM(IFERROR(VLOOKUP($C:$C,Structure!$A:$AJ,G$1,0)*15,0),IFERROR(VLOOKUP($D:$D,Structure!$A:$AJ,G$1,0)*15,0),IFERROR(VLOOKUP($E:$E,Structure!$A:$AJ,G$1,0)*15,0))</f>
        <v>0</v>
      </c>
      <c r="H112" s="13">
        <f>SUM(IFERROR(VLOOKUP($C:$C,Structure!$A:$AJ,H$1,0)*15,0),IFERROR(VLOOKUP($D:$D,Structure!$A:$AJ,H$1,0)*15,0),IFERROR(VLOOKUP($E:$E,Structure!$A:$AJ,H$1,0)*15,0))</f>
        <v>0</v>
      </c>
      <c r="I112" s="13">
        <f>SUM(IFERROR(VLOOKUP($C:$C,Structure!$A:$AJ,I$1,0)*15,0),IFERROR(VLOOKUP($D:$D,Structure!$A:$AJ,I$1,0)*15,0),IFERROR(VLOOKUP($E:$E,Structure!$A:$AJ,I$1,0)*15,0))</f>
        <v>0</v>
      </c>
      <c r="J112" s="13">
        <f>SUM(IFERROR(VLOOKUP($C:$C,Structure!$A:$AJ,J$1,0)*15,0),IFERROR(VLOOKUP($D:$D,Structure!$A:$AJ,J$1,0)*15,0),IFERROR(VLOOKUP($E:$E,Structure!$A:$AJ,J$1,0)*15,0))</f>
        <v>0</v>
      </c>
      <c r="K112" s="13">
        <f>SUM(IFERROR(VLOOKUP($C:$C,Structure!$A:$AJ,K$1,0)*15,0),IFERROR(VLOOKUP($D:$D,Structure!$A:$AJ,K$1,0)*15,0),IFERROR(VLOOKUP($E:$E,Structure!$A:$AJ,K$1,0)*15,0))</f>
        <v>0</v>
      </c>
      <c r="L112" s="13">
        <f>SUM(IFERROR(VLOOKUP($C:$C,Structure!$A:$AJ,L$1,0)*15,0),IFERROR(VLOOKUP($D:$D,Structure!$A:$AJ,L$1,0)*15,0),IFERROR(VLOOKUP($E:$E,Structure!$A:$AJ,L$1,0)*15,0))</f>
        <v>0</v>
      </c>
      <c r="M112" s="13">
        <f>SUM(IFERROR(VLOOKUP($C:$C,Structure!$A:$AJ,M$1,0)*15,0),IFERROR(VLOOKUP($D:$D,Structure!$A:$AJ,M$1,0)*15,0),IFERROR(VLOOKUP($E:$E,Structure!$A:$AJ,M$1,0)*15,0))</f>
        <v>0</v>
      </c>
      <c r="N112" s="13">
        <f>SUM(IFERROR(VLOOKUP($C:$C,Structure!$A:$AJ,N$1,0)*15,0),IFERROR(VLOOKUP($D:$D,Structure!$A:$AJ,N$1,0)*15,0),IFERROR(VLOOKUP($E:$E,Structure!$A:$AJ,N$1,0)*15,0))</f>
        <v>0</v>
      </c>
      <c r="O112" s="13">
        <f>SUM(IFERROR(VLOOKUP($C:$C,Structure!$A:$AJ,O$1,0)*15,0),IFERROR(VLOOKUP($D:$D,Structure!$A:$AJ,O$1,0)*15,0),IFERROR(VLOOKUP($E:$E,Structure!$A:$AJ,O$1,0)*15,0))</f>
        <v>0</v>
      </c>
      <c r="P112" s="13">
        <f>SUM(IFERROR(VLOOKUP($C:$C,Structure!$A:$AJ,P$1,0)*15,0),IFERROR(VLOOKUP($D:$D,Structure!$A:$AJ,P$1,0)*15,0),IFERROR(VLOOKUP($E:$E,Structure!$A:$AJ,P$1,0)*15,0))</f>
        <v>0</v>
      </c>
      <c r="Q112" s="13">
        <f>SUM(IFERROR(VLOOKUP($C:$C,Structure!$A:$AJ,Q$1,0)*15,0),IFERROR(VLOOKUP($D:$D,Structure!$A:$AJ,Q$1,0)*15,0),IFERROR(VLOOKUP($E:$E,Structure!$A:$AJ,Q$1,0)*15,0))</f>
        <v>0</v>
      </c>
      <c r="R112" s="13">
        <f>SUM(IFERROR(VLOOKUP($C:$C,Structure!$A:$AJ,R$1,0)*15,0),IFERROR(VLOOKUP($D:$D,Structure!$A:$AJ,R$1,0)*15,0),IFERROR(VLOOKUP($E:$E,Structure!$A:$AJ,R$1,0)*15,0))</f>
        <v>0</v>
      </c>
      <c r="S112" s="13">
        <f>SUM(IFERROR(VLOOKUP($C:$C,Structure!$A:$AJ,S$1,0)*15,0),IFERROR(VLOOKUP($D:$D,Structure!$A:$AJ,S$1,0)*15,0),IFERROR(VLOOKUP($E:$E,Structure!$A:$AJ,S$1,0)*15,0))</f>
        <v>0</v>
      </c>
      <c r="T112" s="13">
        <f>SUM(IFERROR(VLOOKUP($C:$C,Structure!$A:$AJ,T$1,0)*15,0),IFERROR(VLOOKUP($D:$D,Structure!$A:$AJ,T$1,0)*15,0),IFERROR(VLOOKUP($E:$E,Structure!$A:$AJ,T$1,0)*15,0))</f>
        <v>0</v>
      </c>
      <c r="U112" s="13">
        <f>SUM(IFERROR(VLOOKUP($C:$C,Structure!$A:$AJ,U$1,0)*15,0),IFERROR(VLOOKUP($D:$D,Structure!$A:$AJ,U$1,0)*15,0),IFERROR(VLOOKUP($E:$E,Structure!$A:$AJ,U$1,0)*15,0))</f>
        <v>0</v>
      </c>
      <c r="V112" s="13">
        <f>SUM(IFERROR(VLOOKUP($C:$C,Structure!$A:$AJ,V$1,0)*15,0),IFERROR(VLOOKUP($D:$D,Structure!$A:$AJ,V$1,0)*15,0),IFERROR(VLOOKUP($E:$E,Structure!$A:$AJ,V$1,0)*15,0))</f>
        <v>0</v>
      </c>
      <c r="W112" s="13">
        <f>SUM(IFERROR(VLOOKUP($C:$C,Structure!$A:$AJ,W$1,0)*15,0),IFERROR(VLOOKUP($D:$D,Structure!$A:$AJ,W$1,0)*15,0),IFERROR(VLOOKUP($E:$E,Structure!$A:$AJ,W$1,0)*15,0))</f>
        <v>0</v>
      </c>
      <c r="X112" s="13">
        <f>SUM(IFERROR(VLOOKUP($C:$C,Structure!$A:$AJ,X$1,0)*15,0),IFERROR(VLOOKUP($D:$D,Structure!$A:$AJ,X$1,0)*15,0),IFERROR(VLOOKUP($E:$E,Structure!$A:$AJ,X$1,0)*15,0))</f>
        <v>0</v>
      </c>
      <c r="Y112" s="13">
        <f>SUM(IFERROR(VLOOKUP($C:$C,Structure!$A:$AJ,Y$1,0)*15,0),IFERROR(VLOOKUP($D:$D,Structure!$A:$AJ,Y$1,0)*15,0),IFERROR(VLOOKUP($E:$E,Structure!$A:$AJ,Y$1,0)*15,0))</f>
        <v>0</v>
      </c>
      <c r="Z112" s="13">
        <f>SUM(IFERROR(VLOOKUP($C:$C,Structure!$A:$AJ,Z$1,0)*15,0),IFERROR(VLOOKUP($D:$D,Structure!$A:$AJ,Z$1,0)*15,0),IFERROR(VLOOKUP($E:$E,Structure!$A:$AJ,Z$1,0)*15,0))</f>
        <v>0</v>
      </c>
      <c r="AA112" s="13">
        <f>SUM(IFERROR(VLOOKUP($C:$C,Structure!$A:$AJ,AA$1,0)*15,0),IFERROR(VLOOKUP($D:$D,Structure!$A:$AJ,AA$1,0)*15,0),IFERROR(VLOOKUP($E:$E,Structure!$A:$AJ,AA$1,0)*15,0))</f>
        <v>45</v>
      </c>
      <c r="AB112" s="13">
        <f>SUM(IFERROR(VLOOKUP($C:$C,Structure!$A:$AJ,AB$1,0)*15,0),IFERROR(VLOOKUP($D:$D,Structure!$A:$AJ,AB$1,0)*15,0),IFERROR(VLOOKUP($E:$E,Structure!$A:$AJ,AB$1,0)*15,0))</f>
        <v>0</v>
      </c>
      <c r="AC112" s="13">
        <f>SUM(IFERROR(VLOOKUP($C:$C,Structure!$A:$AJ,AC$1,0)*15,0),IFERROR(VLOOKUP($D:$D,Structure!$A:$AJ,AC$1,0)*15,0),IFERROR(VLOOKUP($E:$E,Structure!$A:$AJ,AC$1,0)*15,0))</f>
        <v>0</v>
      </c>
      <c r="AD112" s="13">
        <f>SUM(IFERROR(VLOOKUP($C:$C,Structure!$A:$AJ,AD$1,0)*15,0),IFERROR(VLOOKUP($D:$D,Structure!$A:$AJ,AD$1,0)*15,0),IFERROR(VLOOKUP($E:$E,Structure!$A:$AJ,AD$1,0)*15,0))</f>
        <v>0</v>
      </c>
      <c r="AE112" s="13">
        <f>SUM(IFERROR(VLOOKUP($C:$C,Structure!$A:$AJ,AE$1,0)*15,0),IFERROR(VLOOKUP($D:$D,Structure!$A:$AJ,AE$1,0)*15,0),IFERROR(VLOOKUP($E:$E,Structure!$A:$AJ,AE$1,0)*15,0))</f>
        <v>0</v>
      </c>
      <c r="AF112" s="13">
        <f>SUM(IFERROR(VLOOKUP($C:$C,Structure!$A:$AJ,AF$1,0)*15,0),IFERROR(VLOOKUP($D:$D,Structure!$A:$AJ,AF$1,0)*15,0),IFERROR(VLOOKUP($E:$E,Structure!$A:$AJ,AF$1,0)*15,0))</f>
        <v>0</v>
      </c>
      <c r="AG112" s="13">
        <f>SUM(IFERROR(VLOOKUP($C:$C,Structure!$A:$AJ,AG$1,0)*15,0),IFERROR(VLOOKUP($D:$D,Structure!$A:$AJ,AG$1,0)*15,0),IFERROR(VLOOKUP($E:$E,Structure!$A:$AJ,AG$1,0)*15,0))</f>
        <v>0</v>
      </c>
      <c r="AH112" s="13">
        <f>SUM(IFERROR(VLOOKUP($C:$C,Structure!$A:$AJ,AH$1,0)*15,0),IFERROR(VLOOKUP($D:$D,Structure!$A:$AJ,AH$1,0)*15,0),IFERROR(VLOOKUP($E:$E,Structure!$A:$AJ,AH$1,0)*15,0))</f>
        <v>0</v>
      </c>
      <c r="AI112" s="13">
        <f>SUM(IFERROR(VLOOKUP($C:$C,Structure!$A:$AJ,AI$1,0)*15,0),IFERROR(VLOOKUP($D:$D,Structure!$A:$AJ,AI$1,0)*15,0),IFERROR(VLOOKUP($E:$E,Structure!$A:$AJ,AI$1,0)*15,0))</f>
        <v>0</v>
      </c>
      <c r="AJ112" s="13">
        <f>SUM(IFERROR(VLOOKUP($C:$C,Structure!$A:$AJ,AJ$1,0)*15,0),IFERROR(VLOOKUP($D:$D,Structure!$A:$AJ,AJ$1,0)*15,0),IFERROR(VLOOKUP($E:$E,Structure!$A:$AJ,AJ$1,0)*15,0))</f>
        <v>30</v>
      </c>
      <c r="AK112" s="13">
        <f>SUM(IFERROR(VLOOKUP($C:$C,Structure!$A:$AJ,AK$1,0)*15,0),IFERROR(VLOOKUP($D:$D,Structure!$A:$AJ,AK$1,0)*15,0),IFERROR(VLOOKUP($E:$E,Structure!$A:$AJ,AK$1,0)*15,0))</f>
        <v>15</v>
      </c>
      <c r="AL112" s="13">
        <f>SUM(IFERROR(VLOOKUP($C:$C,Structure!$A:$AJ,AL$1,0)*15,0),IFERROR(VLOOKUP($D:$D,Structure!$A:$AJ,AL$1,0)*15,0),IFERROR(VLOOKUP($E:$E,Structure!$A:$AJ,AL$1,0)*15,0))</f>
        <v>0</v>
      </c>
      <c r="AM112" s="13">
        <f>SUM(IFERROR(VLOOKUP($C:$C,Structure!$A:$AJ,AM$1,0)*15,0),IFERROR(VLOOKUP($D:$D,Structure!$A:$AJ,AM$1,0)*15,0),IFERROR(VLOOKUP($E:$E,Structure!$A:$AJ,AM$1,0)*15,0))</f>
        <v>0</v>
      </c>
      <c r="AN112" s="13">
        <f>SUM(IFERROR(VLOOKUP($C:$C,Structure!$A:$AJ,AN$1,0)*15,0),IFERROR(VLOOKUP($D:$D,Structure!$A:$AJ,AN$1,0)*15,0),IFERROR(VLOOKUP($E:$E,Structure!$A:$AJ,AN$1,0)*15,0))</f>
        <v>0</v>
      </c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3"/>
      <c r="BZ112" s="4">
        <f>BZ111+AQ112-F112</f>
        <v>0</v>
      </c>
      <c r="CA112" s="4">
        <f>CA111+AR112-G112</f>
        <v>0</v>
      </c>
      <c r="CB112" s="4">
        <f>CB111+AS112-H112</f>
        <v>0</v>
      </c>
      <c r="CC112" s="4">
        <f>CC111+AT112-I112</f>
        <v>0</v>
      </c>
      <c r="CD112" s="4">
        <f>CD111+AU112-J112</f>
        <v>0</v>
      </c>
      <c r="CE112" s="4">
        <f>CE111+AV112-K112</f>
        <v>0</v>
      </c>
      <c r="CF112" s="4">
        <f>CF111+AW112-L112</f>
        <v>0</v>
      </c>
      <c r="CG112" s="4">
        <f>CG111+AX112-M112</f>
        <v>0</v>
      </c>
      <c r="CH112" s="4">
        <f>CH111+AY112-N112</f>
        <v>0</v>
      </c>
      <c r="CI112" s="4">
        <f>CI111+AZ112-O112</f>
        <v>0</v>
      </c>
      <c r="CJ112" s="4">
        <f>CJ111+BA112-P112</f>
        <v>0</v>
      </c>
      <c r="CK112" s="4">
        <f>CK111+BB112-Q112</f>
        <v>0</v>
      </c>
      <c r="CL112" s="4">
        <f>CL111+BC112-R112</f>
        <v>0</v>
      </c>
      <c r="CM112" s="4">
        <f>CM111+BD112-S112</f>
        <v>0</v>
      </c>
      <c r="CN112" s="4">
        <f>CN111+BE112-T112</f>
        <v>0</v>
      </c>
      <c r="CO112" s="4">
        <f>CO111+BF112-U112</f>
        <v>0</v>
      </c>
      <c r="CP112" s="4">
        <f>CP111+BG112-V112</f>
        <v>-60</v>
      </c>
      <c r="CQ112" s="4">
        <f>CQ111+BH112-W112</f>
        <v>0</v>
      </c>
      <c r="CR112" s="4">
        <f>CR111+BI112-X112</f>
        <v>-60</v>
      </c>
      <c r="CS112" s="4">
        <f>CS111+BJ112-Y112</f>
        <v>0</v>
      </c>
      <c r="CT112" s="4">
        <f>CT111+BK112-Z112</f>
        <v>0</v>
      </c>
      <c r="CU112" s="4">
        <f>CU111+BL112-AA112</f>
        <v>-4235</v>
      </c>
      <c r="CV112" s="4">
        <f>CV111+BM112-AB112</f>
        <v>-240</v>
      </c>
      <c r="CW112" s="4">
        <f>CW111+BN112-AC112</f>
        <v>-255</v>
      </c>
      <c r="CX112" s="4">
        <f>CX111+BO112-AD112</f>
        <v>0</v>
      </c>
      <c r="CY112" s="4">
        <f>CY111+BP112-AE112</f>
        <v>-60</v>
      </c>
      <c r="CZ112" s="4">
        <f>CZ111+BQ112-AF112</f>
        <v>-160</v>
      </c>
      <c r="DA112" s="4">
        <f>DA111+BR112-AG112</f>
        <v>0</v>
      </c>
      <c r="DB112" s="4">
        <f>DB111+BS112-AH112</f>
        <v>-60</v>
      </c>
      <c r="DC112" s="4">
        <f>DC111+BT112-AI112</f>
        <v>0</v>
      </c>
      <c r="DD112" s="4">
        <f>DD111+BU112-AJ112</f>
        <v>-3040</v>
      </c>
      <c r="DE112" s="4">
        <f>DE111+BV112-AK112</f>
        <v>-1215</v>
      </c>
      <c r="DF112" s="4">
        <f>DF111+BW112-AL112</f>
        <v>0</v>
      </c>
      <c r="DG112" s="4">
        <f>DG111+BX112-AM112</f>
        <v>-235</v>
      </c>
      <c r="DH112" s="4">
        <f>DH111+BY112-AN112</f>
        <v>0</v>
      </c>
    </row>
    <row r="113" spans="1:112" x14ac:dyDescent="0.25">
      <c r="A113" s="6">
        <v>46183</v>
      </c>
      <c r="B113" s="7">
        <v>0.91666666640230687</v>
      </c>
      <c r="C113" s="3" t="s">
        <v>3</v>
      </c>
      <c r="D113" s="3" t="s">
        <v>6</v>
      </c>
      <c r="E113" s="3" t="s">
        <v>2</v>
      </c>
      <c r="F113" s="13">
        <f>SUM(IFERROR(VLOOKUP($C:$C,Structure!$A:$AJ,F$1,0)*15,0),IFERROR(VLOOKUP($D:$D,Structure!$A:$AJ,F$1,0)*15,0),IFERROR(VLOOKUP($E:$E,Structure!$A:$AJ,F$1,0)*15,0))</f>
        <v>0</v>
      </c>
      <c r="G113" s="13">
        <f>SUM(IFERROR(VLOOKUP($C:$C,Structure!$A:$AJ,G$1,0)*15,0),IFERROR(VLOOKUP($D:$D,Structure!$A:$AJ,G$1,0)*15,0),IFERROR(VLOOKUP($E:$E,Structure!$A:$AJ,G$1,0)*15,0))</f>
        <v>0</v>
      </c>
      <c r="H113" s="13">
        <f>SUM(IFERROR(VLOOKUP($C:$C,Structure!$A:$AJ,H$1,0)*15,0),IFERROR(VLOOKUP($D:$D,Structure!$A:$AJ,H$1,0)*15,0),IFERROR(VLOOKUP($E:$E,Structure!$A:$AJ,H$1,0)*15,0))</f>
        <v>0</v>
      </c>
      <c r="I113" s="13">
        <f>SUM(IFERROR(VLOOKUP($C:$C,Structure!$A:$AJ,I$1,0)*15,0),IFERROR(VLOOKUP($D:$D,Structure!$A:$AJ,I$1,0)*15,0),IFERROR(VLOOKUP($E:$E,Structure!$A:$AJ,I$1,0)*15,0))</f>
        <v>0</v>
      </c>
      <c r="J113" s="13">
        <f>SUM(IFERROR(VLOOKUP($C:$C,Structure!$A:$AJ,J$1,0)*15,0),IFERROR(VLOOKUP($D:$D,Structure!$A:$AJ,J$1,0)*15,0),IFERROR(VLOOKUP($E:$E,Structure!$A:$AJ,J$1,0)*15,0))</f>
        <v>0</v>
      </c>
      <c r="K113" s="13">
        <f>SUM(IFERROR(VLOOKUP($C:$C,Structure!$A:$AJ,K$1,0)*15,0),IFERROR(VLOOKUP($D:$D,Structure!$A:$AJ,K$1,0)*15,0),IFERROR(VLOOKUP($E:$E,Structure!$A:$AJ,K$1,0)*15,0))</f>
        <v>0</v>
      </c>
      <c r="L113" s="13">
        <f>SUM(IFERROR(VLOOKUP($C:$C,Structure!$A:$AJ,L$1,0)*15,0),IFERROR(VLOOKUP($D:$D,Structure!$A:$AJ,L$1,0)*15,0),IFERROR(VLOOKUP($E:$E,Structure!$A:$AJ,L$1,0)*15,0))</f>
        <v>0</v>
      </c>
      <c r="M113" s="13">
        <f>SUM(IFERROR(VLOOKUP($C:$C,Structure!$A:$AJ,M$1,0)*15,0),IFERROR(VLOOKUP($D:$D,Structure!$A:$AJ,M$1,0)*15,0),IFERROR(VLOOKUP($E:$E,Structure!$A:$AJ,M$1,0)*15,0))</f>
        <v>0</v>
      </c>
      <c r="N113" s="13">
        <f>SUM(IFERROR(VLOOKUP($C:$C,Structure!$A:$AJ,N$1,0)*15,0),IFERROR(VLOOKUP($D:$D,Structure!$A:$AJ,N$1,0)*15,0),IFERROR(VLOOKUP($E:$E,Structure!$A:$AJ,N$1,0)*15,0))</f>
        <v>0</v>
      </c>
      <c r="O113" s="13">
        <f>SUM(IFERROR(VLOOKUP($C:$C,Structure!$A:$AJ,O$1,0)*15,0),IFERROR(VLOOKUP($D:$D,Structure!$A:$AJ,O$1,0)*15,0),IFERROR(VLOOKUP($E:$E,Structure!$A:$AJ,O$1,0)*15,0))</f>
        <v>0</v>
      </c>
      <c r="P113" s="13">
        <f>SUM(IFERROR(VLOOKUP($C:$C,Structure!$A:$AJ,P$1,0)*15,0),IFERROR(VLOOKUP($D:$D,Structure!$A:$AJ,P$1,0)*15,0),IFERROR(VLOOKUP($E:$E,Structure!$A:$AJ,P$1,0)*15,0))</f>
        <v>0</v>
      </c>
      <c r="Q113" s="13">
        <f>SUM(IFERROR(VLOOKUP($C:$C,Structure!$A:$AJ,Q$1,0)*15,0),IFERROR(VLOOKUP($D:$D,Structure!$A:$AJ,Q$1,0)*15,0),IFERROR(VLOOKUP($E:$E,Structure!$A:$AJ,Q$1,0)*15,0))</f>
        <v>0</v>
      </c>
      <c r="R113" s="13">
        <f>SUM(IFERROR(VLOOKUP($C:$C,Structure!$A:$AJ,R$1,0)*15,0),IFERROR(VLOOKUP($D:$D,Structure!$A:$AJ,R$1,0)*15,0),IFERROR(VLOOKUP($E:$E,Structure!$A:$AJ,R$1,0)*15,0))</f>
        <v>0</v>
      </c>
      <c r="S113" s="13">
        <f>SUM(IFERROR(VLOOKUP($C:$C,Structure!$A:$AJ,S$1,0)*15,0),IFERROR(VLOOKUP($D:$D,Structure!$A:$AJ,S$1,0)*15,0),IFERROR(VLOOKUP($E:$E,Structure!$A:$AJ,S$1,0)*15,0))</f>
        <v>0</v>
      </c>
      <c r="T113" s="13">
        <f>SUM(IFERROR(VLOOKUP($C:$C,Structure!$A:$AJ,T$1,0)*15,0),IFERROR(VLOOKUP($D:$D,Structure!$A:$AJ,T$1,0)*15,0),IFERROR(VLOOKUP($E:$E,Structure!$A:$AJ,T$1,0)*15,0))</f>
        <v>0</v>
      </c>
      <c r="U113" s="13">
        <f>SUM(IFERROR(VLOOKUP($C:$C,Structure!$A:$AJ,U$1,0)*15,0),IFERROR(VLOOKUP($D:$D,Structure!$A:$AJ,U$1,0)*15,0),IFERROR(VLOOKUP($E:$E,Structure!$A:$AJ,U$1,0)*15,0))</f>
        <v>0</v>
      </c>
      <c r="V113" s="13">
        <f>SUM(IFERROR(VLOOKUP($C:$C,Structure!$A:$AJ,V$1,0)*15,0),IFERROR(VLOOKUP($D:$D,Structure!$A:$AJ,V$1,0)*15,0),IFERROR(VLOOKUP($E:$E,Structure!$A:$AJ,V$1,0)*15,0))</f>
        <v>0</v>
      </c>
      <c r="W113" s="13">
        <f>SUM(IFERROR(VLOOKUP($C:$C,Structure!$A:$AJ,W$1,0)*15,0),IFERROR(VLOOKUP($D:$D,Structure!$A:$AJ,W$1,0)*15,0),IFERROR(VLOOKUP($E:$E,Structure!$A:$AJ,W$1,0)*15,0))</f>
        <v>0</v>
      </c>
      <c r="X113" s="13">
        <f>SUM(IFERROR(VLOOKUP($C:$C,Structure!$A:$AJ,X$1,0)*15,0),IFERROR(VLOOKUP($D:$D,Structure!$A:$AJ,X$1,0)*15,0),IFERROR(VLOOKUP($E:$E,Structure!$A:$AJ,X$1,0)*15,0))</f>
        <v>0</v>
      </c>
      <c r="Y113" s="13">
        <f>SUM(IFERROR(VLOOKUP($C:$C,Structure!$A:$AJ,Y$1,0)*15,0),IFERROR(VLOOKUP($D:$D,Structure!$A:$AJ,Y$1,0)*15,0),IFERROR(VLOOKUP($E:$E,Structure!$A:$AJ,Y$1,0)*15,0))</f>
        <v>0</v>
      </c>
      <c r="Z113" s="13">
        <f>SUM(IFERROR(VLOOKUP($C:$C,Structure!$A:$AJ,Z$1,0)*15,0),IFERROR(VLOOKUP($D:$D,Structure!$A:$AJ,Z$1,0)*15,0),IFERROR(VLOOKUP($E:$E,Structure!$A:$AJ,Z$1,0)*15,0))</f>
        <v>0</v>
      </c>
      <c r="AA113" s="13">
        <f>SUM(IFERROR(VLOOKUP($C:$C,Structure!$A:$AJ,AA$1,0)*15,0),IFERROR(VLOOKUP($D:$D,Structure!$A:$AJ,AA$1,0)*15,0),IFERROR(VLOOKUP($E:$E,Structure!$A:$AJ,AA$1,0)*15,0))</f>
        <v>45</v>
      </c>
      <c r="AB113" s="13">
        <f>SUM(IFERROR(VLOOKUP($C:$C,Structure!$A:$AJ,AB$1,0)*15,0),IFERROR(VLOOKUP($D:$D,Structure!$A:$AJ,AB$1,0)*15,0),IFERROR(VLOOKUP($E:$E,Structure!$A:$AJ,AB$1,0)*15,0))</f>
        <v>0</v>
      </c>
      <c r="AC113" s="13">
        <f>SUM(IFERROR(VLOOKUP($C:$C,Structure!$A:$AJ,AC$1,0)*15,0),IFERROR(VLOOKUP($D:$D,Structure!$A:$AJ,AC$1,0)*15,0),IFERROR(VLOOKUP($E:$E,Structure!$A:$AJ,AC$1,0)*15,0))</f>
        <v>0</v>
      </c>
      <c r="AD113" s="13">
        <f>SUM(IFERROR(VLOOKUP($C:$C,Structure!$A:$AJ,AD$1,0)*15,0),IFERROR(VLOOKUP($D:$D,Structure!$A:$AJ,AD$1,0)*15,0),IFERROR(VLOOKUP($E:$E,Structure!$A:$AJ,AD$1,0)*15,0))</f>
        <v>0</v>
      </c>
      <c r="AE113" s="13">
        <f>SUM(IFERROR(VLOOKUP($C:$C,Structure!$A:$AJ,AE$1,0)*15,0),IFERROR(VLOOKUP($D:$D,Structure!$A:$AJ,AE$1,0)*15,0),IFERROR(VLOOKUP($E:$E,Structure!$A:$AJ,AE$1,0)*15,0))</f>
        <v>0</v>
      </c>
      <c r="AF113" s="13">
        <f>SUM(IFERROR(VLOOKUP($C:$C,Structure!$A:$AJ,AF$1,0)*15,0),IFERROR(VLOOKUP($D:$D,Structure!$A:$AJ,AF$1,0)*15,0),IFERROR(VLOOKUP($E:$E,Structure!$A:$AJ,AF$1,0)*15,0))</f>
        <v>0</v>
      </c>
      <c r="AG113" s="13">
        <f>SUM(IFERROR(VLOOKUP($C:$C,Structure!$A:$AJ,AG$1,0)*15,0),IFERROR(VLOOKUP($D:$D,Structure!$A:$AJ,AG$1,0)*15,0),IFERROR(VLOOKUP($E:$E,Structure!$A:$AJ,AG$1,0)*15,0))</f>
        <v>0</v>
      </c>
      <c r="AH113" s="13">
        <f>SUM(IFERROR(VLOOKUP($C:$C,Structure!$A:$AJ,AH$1,0)*15,0),IFERROR(VLOOKUP($D:$D,Structure!$A:$AJ,AH$1,0)*15,0),IFERROR(VLOOKUP($E:$E,Structure!$A:$AJ,AH$1,0)*15,0))</f>
        <v>0</v>
      </c>
      <c r="AI113" s="13">
        <f>SUM(IFERROR(VLOOKUP($C:$C,Structure!$A:$AJ,AI$1,0)*15,0),IFERROR(VLOOKUP($D:$D,Structure!$A:$AJ,AI$1,0)*15,0),IFERROR(VLOOKUP($E:$E,Structure!$A:$AJ,AI$1,0)*15,0))</f>
        <v>0</v>
      </c>
      <c r="AJ113" s="13">
        <f>SUM(IFERROR(VLOOKUP($C:$C,Structure!$A:$AJ,AJ$1,0)*15,0),IFERROR(VLOOKUP($D:$D,Structure!$A:$AJ,AJ$1,0)*15,0),IFERROR(VLOOKUP($E:$E,Structure!$A:$AJ,AJ$1,0)*15,0))</f>
        <v>30</v>
      </c>
      <c r="AK113" s="13">
        <f>SUM(IFERROR(VLOOKUP($C:$C,Structure!$A:$AJ,AK$1,0)*15,0),IFERROR(VLOOKUP($D:$D,Structure!$A:$AJ,AK$1,0)*15,0),IFERROR(VLOOKUP($E:$E,Structure!$A:$AJ,AK$1,0)*15,0))</f>
        <v>15</v>
      </c>
      <c r="AL113" s="13">
        <f>SUM(IFERROR(VLOOKUP($C:$C,Structure!$A:$AJ,AL$1,0)*15,0),IFERROR(VLOOKUP($D:$D,Structure!$A:$AJ,AL$1,0)*15,0),IFERROR(VLOOKUP($E:$E,Structure!$A:$AJ,AL$1,0)*15,0))</f>
        <v>0</v>
      </c>
      <c r="AM113" s="13">
        <f>SUM(IFERROR(VLOOKUP($C:$C,Structure!$A:$AJ,AM$1,0)*15,0),IFERROR(VLOOKUP($D:$D,Structure!$A:$AJ,AM$1,0)*15,0),IFERROR(VLOOKUP($E:$E,Structure!$A:$AJ,AM$1,0)*15,0))</f>
        <v>0</v>
      </c>
      <c r="AN113" s="13">
        <f>SUM(IFERROR(VLOOKUP($C:$C,Structure!$A:$AJ,AN$1,0)*15,0),IFERROR(VLOOKUP($D:$D,Structure!$A:$AJ,AN$1,0)*15,0),IFERROR(VLOOKUP($E:$E,Structure!$A:$AJ,AN$1,0)*15,0))</f>
        <v>0</v>
      </c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3"/>
      <c r="BZ113" s="4">
        <f>BZ112+AQ113-F113</f>
        <v>0</v>
      </c>
      <c r="CA113" s="4">
        <f>CA112+AR113-G113</f>
        <v>0</v>
      </c>
      <c r="CB113" s="4">
        <f>CB112+AS113-H113</f>
        <v>0</v>
      </c>
      <c r="CC113" s="4">
        <f>CC112+AT113-I113</f>
        <v>0</v>
      </c>
      <c r="CD113" s="4">
        <f>CD112+AU113-J113</f>
        <v>0</v>
      </c>
      <c r="CE113" s="4">
        <f>CE112+AV113-K113</f>
        <v>0</v>
      </c>
      <c r="CF113" s="4">
        <f>CF112+AW113-L113</f>
        <v>0</v>
      </c>
      <c r="CG113" s="4">
        <f>CG112+AX113-M113</f>
        <v>0</v>
      </c>
      <c r="CH113" s="4">
        <f>CH112+AY113-N113</f>
        <v>0</v>
      </c>
      <c r="CI113" s="4">
        <f>CI112+AZ113-O113</f>
        <v>0</v>
      </c>
      <c r="CJ113" s="4">
        <f>CJ112+BA113-P113</f>
        <v>0</v>
      </c>
      <c r="CK113" s="4">
        <f>CK112+BB113-Q113</f>
        <v>0</v>
      </c>
      <c r="CL113" s="4">
        <f>CL112+BC113-R113</f>
        <v>0</v>
      </c>
      <c r="CM113" s="4">
        <f>CM112+BD113-S113</f>
        <v>0</v>
      </c>
      <c r="CN113" s="4">
        <f>CN112+BE113-T113</f>
        <v>0</v>
      </c>
      <c r="CO113" s="4">
        <f>CO112+BF113-U113</f>
        <v>0</v>
      </c>
      <c r="CP113" s="4">
        <f>CP112+BG113-V113</f>
        <v>-60</v>
      </c>
      <c r="CQ113" s="4">
        <f>CQ112+BH113-W113</f>
        <v>0</v>
      </c>
      <c r="CR113" s="4">
        <f>CR112+BI113-X113</f>
        <v>-60</v>
      </c>
      <c r="CS113" s="4">
        <f>CS112+BJ113-Y113</f>
        <v>0</v>
      </c>
      <c r="CT113" s="4">
        <f>CT112+BK113-Z113</f>
        <v>0</v>
      </c>
      <c r="CU113" s="4">
        <f>CU112+BL113-AA113</f>
        <v>-4280</v>
      </c>
      <c r="CV113" s="4">
        <f>CV112+BM113-AB113</f>
        <v>-240</v>
      </c>
      <c r="CW113" s="4">
        <f>CW112+BN113-AC113</f>
        <v>-255</v>
      </c>
      <c r="CX113" s="4">
        <f>CX112+BO113-AD113</f>
        <v>0</v>
      </c>
      <c r="CY113" s="4">
        <f>CY112+BP113-AE113</f>
        <v>-60</v>
      </c>
      <c r="CZ113" s="4">
        <f>CZ112+BQ113-AF113</f>
        <v>-160</v>
      </c>
      <c r="DA113" s="4">
        <f>DA112+BR113-AG113</f>
        <v>0</v>
      </c>
      <c r="DB113" s="4">
        <f>DB112+BS113-AH113</f>
        <v>-60</v>
      </c>
      <c r="DC113" s="4">
        <f>DC112+BT113-AI113</f>
        <v>0</v>
      </c>
      <c r="DD113" s="4">
        <f>DD112+BU113-AJ113</f>
        <v>-3070</v>
      </c>
      <c r="DE113" s="4">
        <f>DE112+BV113-AK113</f>
        <v>-1230</v>
      </c>
      <c r="DF113" s="4">
        <f>DF112+BW113-AL113</f>
        <v>0</v>
      </c>
      <c r="DG113" s="4">
        <f>DG112+BX113-AM113</f>
        <v>-235</v>
      </c>
      <c r="DH113" s="4">
        <f>DH112+BY113-AN113</f>
        <v>0</v>
      </c>
    </row>
    <row r="114" spans="1:112" x14ac:dyDescent="0.25">
      <c r="A114" s="6">
        <v>46183</v>
      </c>
      <c r="B114" s="7">
        <v>0.95833333306654822</v>
      </c>
      <c r="C114" s="3" t="s">
        <v>3</v>
      </c>
      <c r="D114" s="3" t="s">
        <v>6</v>
      </c>
      <c r="E114" s="3" t="s">
        <v>2</v>
      </c>
      <c r="F114" s="13">
        <f>SUM(IFERROR(VLOOKUP($C:$C,Structure!$A:$AJ,F$1,0)*15,0),IFERROR(VLOOKUP($D:$D,Structure!$A:$AJ,F$1,0)*15,0),IFERROR(VLOOKUP($E:$E,Structure!$A:$AJ,F$1,0)*15,0))</f>
        <v>0</v>
      </c>
      <c r="G114" s="13">
        <f>SUM(IFERROR(VLOOKUP($C:$C,Structure!$A:$AJ,G$1,0)*15,0),IFERROR(VLOOKUP($D:$D,Structure!$A:$AJ,G$1,0)*15,0),IFERROR(VLOOKUP($E:$E,Structure!$A:$AJ,G$1,0)*15,0))</f>
        <v>0</v>
      </c>
      <c r="H114" s="13">
        <f>SUM(IFERROR(VLOOKUP($C:$C,Structure!$A:$AJ,H$1,0)*15,0),IFERROR(VLOOKUP($D:$D,Structure!$A:$AJ,H$1,0)*15,0),IFERROR(VLOOKUP($E:$E,Structure!$A:$AJ,H$1,0)*15,0))</f>
        <v>0</v>
      </c>
      <c r="I114" s="13">
        <f>SUM(IFERROR(VLOOKUP($C:$C,Structure!$A:$AJ,I$1,0)*15,0),IFERROR(VLOOKUP($D:$D,Structure!$A:$AJ,I$1,0)*15,0),IFERROR(VLOOKUP($E:$E,Structure!$A:$AJ,I$1,0)*15,0))</f>
        <v>0</v>
      </c>
      <c r="J114" s="13">
        <f>SUM(IFERROR(VLOOKUP($C:$C,Structure!$A:$AJ,J$1,0)*15,0),IFERROR(VLOOKUP($D:$D,Structure!$A:$AJ,J$1,0)*15,0),IFERROR(VLOOKUP($E:$E,Structure!$A:$AJ,J$1,0)*15,0))</f>
        <v>0</v>
      </c>
      <c r="K114" s="13">
        <f>SUM(IFERROR(VLOOKUP($C:$C,Structure!$A:$AJ,K$1,0)*15,0),IFERROR(VLOOKUP($D:$D,Structure!$A:$AJ,K$1,0)*15,0),IFERROR(VLOOKUP($E:$E,Structure!$A:$AJ,K$1,0)*15,0))</f>
        <v>0</v>
      </c>
      <c r="L114" s="13">
        <f>SUM(IFERROR(VLOOKUP($C:$C,Structure!$A:$AJ,L$1,0)*15,0),IFERROR(VLOOKUP($D:$D,Structure!$A:$AJ,L$1,0)*15,0),IFERROR(VLOOKUP($E:$E,Structure!$A:$AJ,L$1,0)*15,0))</f>
        <v>0</v>
      </c>
      <c r="M114" s="13">
        <f>SUM(IFERROR(VLOOKUP($C:$C,Structure!$A:$AJ,M$1,0)*15,0),IFERROR(VLOOKUP($D:$D,Structure!$A:$AJ,M$1,0)*15,0),IFERROR(VLOOKUP($E:$E,Structure!$A:$AJ,M$1,0)*15,0))</f>
        <v>0</v>
      </c>
      <c r="N114" s="13">
        <f>SUM(IFERROR(VLOOKUP($C:$C,Structure!$A:$AJ,N$1,0)*15,0),IFERROR(VLOOKUP($D:$D,Structure!$A:$AJ,N$1,0)*15,0),IFERROR(VLOOKUP($E:$E,Structure!$A:$AJ,N$1,0)*15,0))</f>
        <v>0</v>
      </c>
      <c r="O114" s="13">
        <f>SUM(IFERROR(VLOOKUP($C:$C,Structure!$A:$AJ,O$1,0)*15,0),IFERROR(VLOOKUP($D:$D,Structure!$A:$AJ,O$1,0)*15,0),IFERROR(VLOOKUP($E:$E,Structure!$A:$AJ,O$1,0)*15,0))</f>
        <v>0</v>
      </c>
      <c r="P114" s="13">
        <f>SUM(IFERROR(VLOOKUP($C:$C,Structure!$A:$AJ,P$1,0)*15,0),IFERROR(VLOOKUP($D:$D,Structure!$A:$AJ,P$1,0)*15,0),IFERROR(VLOOKUP($E:$E,Structure!$A:$AJ,P$1,0)*15,0))</f>
        <v>0</v>
      </c>
      <c r="Q114" s="13">
        <f>SUM(IFERROR(VLOOKUP($C:$C,Structure!$A:$AJ,Q$1,0)*15,0),IFERROR(VLOOKUP($D:$D,Structure!$A:$AJ,Q$1,0)*15,0),IFERROR(VLOOKUP($E:$E,Structure!$A:$AJ,Q$1,0)*15,0))</f>
        <v>0</v>
      </c>
      <c r="R114" s="13">
        <f>SUM(IFERROR(VLOOKUP($C:$C,Structure!$A:$AJ,R$1,0)*15,0),IFERROR(VLOOKUP($D:$D,Structure!$A:$AJ,R$1,0)*15,0),IFERROR(VLOOKUP($E:$E,Structure!$A:$AJ,R$1,0)*15,0))</f>
        <v>0</v>
      </c>
      <c r="S114" s="13">
        <f>SUM(IFERROR(VLOOKUP($C:$C,Structure!$A:$AJ,S$1,0)*15,0),IFERROR(VLOOKUP($D:$D,Structure!$A:$AJ,S$1,0)*15,0),IFERROR(VLOOKUP($E:$E,Structure!$A:$AJ,S$1,0)*15,0))</f>
        <v>0</v>
      </c>
      <c r="T114" s="13">
        <f>SUM(IFERROR(VLOOKUP($C:$C,Structure!$A:$AJ,T$1,0)*15,0),IFERROR(VLOOKUP($D:$D,Structure!$A:$AJ,T$1,0)*15,0),IFERROR(VLOOKUP($E:$E,Structure!$A:$AJ,T$1,0)*15,0))</f>
        <v>0</v>
      </c>
      <c r="U114" s="13">
        <f>SUM(IFERROR(VLOOKUP($C:$C,Structure!$A:$AJ,U$1,0)*15,0),IFERROR(VLOOKUP($D:$D,Structure!$A:$AJ,U$1,0)*15,0),IFERROR(VLOOKUP($E:$E,Structure!$A:$AJ,U$1,0)*15,0))</f>
        <v>0</v>
      </c>
      <c r="V114" s="13">
        <f>SUM(IFERROR(VLOOKUP($C:$C,Structure!$A:$AJ,V$1,0)*15,0),IFERROR(VLOOKUP($D:$D,Structure!$A:$AJ,V$1,0)*15,0),IFERROR(VLOOKUP($E:$E,Structure!$A:$AJ,V$1,0)*15,0))</f>
        <v>0</v>
      </c>
      <c r="W114" s="13">
        <f>SUM(IFERROR(VLOOKUP($C:$C,Structure!$A:$AJ,W$1,0)*15,0),IFERROR(VLOOKUP($D:$D,Structure!$A:$AJ,W$1,0)*15,0),IFERROR(VLOOKUP($E:$E,Structure!$A:$AJ,W$1,0)*15,0))</f>
        <v>0</v>
      </c>
      <c r="X114" s="13">
        <f>SUM(IFERROR(VLOOKUP($C:$C,Structure!$A:$AJ,X$1,0)*15,0),IFERROR(VLOOKUP($D:$D,Structure!$A:$AJ,X$1,0)*15,0),IFERROR(VLOOKUP($E:$E,Structure!$A:$AJ,X$1,0)*15,0))</f>
        <v>0</v>
      </c>
      <c r="Y114" s="13">
        <f>SUM(IFERROR(VLOOKUP($C:$C,Structure!$A:$AJ,Y$1,0)*15,0),IFERROR(VLOOKUP($D:$D,Structure!$A:$AJ,Y$1,0)*15,0),IFERROR(VLOOKUP($E:$E,Structure!$A:$AJ,Y$1,0)*15,0))</f>
        <v>0</v>
      </c>
      <c r="Z114" s="13">
        <f>SUM(IFERROR(VLOOKUP($C:$C,Structure!$A:$AJ,Z$1,0)*15,0),IFERROR(VLOOKUP($D:$D,Structure!$A:$AJ,Z$1,0)*15,0),IFERROR(VLOOKUP($E:$E,Structure!$A:$AJ,Z$1,0)*15,0))</f>
        <v>0</v>
      </c>
      <c r="AA114" s="13">
        <f>SUM(IFERROR(VLOOKUP($C:$C,Structure!$A:$AJ,AA$1,0)*15,0),IFERROR(VLOOKUP($D:$D,Structure!$A:$AJ,AA$1,0)*15,0),IFERROR(VLOOKUP($E:$E,Structure!$A:$AJ,AA$1,0)*15,0))</f>
        <v>45</v>
      </c>
      <c r="AB114" s="13">
        <f>SUM(IFERROR(VLOOKUP($C:$C,Structure!$A:$AJ,AB$1,0)*15,0),IFERROR(VLOOKUP($D:$D,Structure!$A:$AJ,AB$1,0)*15,0),IFERROR(VLOOKUP($E:$E,Structure!$A:$AJ,AB$1,0)*15,0))</f>
        <v>0</v>
      </c>
      <c r="AC114" s="13">
        <f>SUM(IFERROR(VLOOKUP($C:$C,Structure!$A:$AJ,AC$1,0)*15,0),IFERROR(VLOOKUP($D:$D,Structure!$A:$AJ,AC$1,0)*15,0),IFERROR(VLOOKUP($E:$E,Structure!$A:$AJ,AC$1,0)*15,0))</f>
        <v>0</v>
      </c>
      <c r="AD114" s="13">
        <f>SUM(IFERROR(VLOOKUP($C:$C,Structure!$A:$AJ,AD$1,0)*15,0),IFERROR(VLOOKUP($D:$D,Structure!$A:$AJ,AD$1,0)*15,0),IFERROR(VLOOKUP($E:$E,Structure!$A:$AJ,AD$1,0)*15,0))</f>
        <v>0</v>
      </c>
      <c r="AE114" s="13">
        <f>SUM(IFERROR(VLOOKUP($C:$C,Structure!$A:$AJ,AE$1,0)*15,0),IFERROR(VLOOKUP($D:$D,Structure!$A:$AJ,AE$1,0)*15,0),IFERROR(VLOOKUP($E:$E,Structure!$A:$AJ,AE$1,0)*15,0))</f>
        <v>0</v>
      </c>
      <c r="AF114" s="13">
        <f>SUM(IFERROR(VLOOKUP($C:$C,Structure!$A:$AJ,AF$1,0)*15,0),IFERROR(VLOOKUP($D:$D,Structure!$A:$AJ,AF$1,0)*15,0),IFERROR(VLOOKUP($E:$E,Structure!$A:$AJ,AF$1,0)*15,0))</f>
        <v>0</v>
      </c>
      <c r="AG114" s="13">
        <f>SUM(IFERROR(VLOOKUP($C:$C,Structure!$A:$AJ,AG$1,0)*15,0),IFERROR(VLOOKUP($D:$D,Structure!$A:$AJ,AG$1,0)*15,0),IFERROR(VLOOKUP($E:$E,Structure!$A:$AJ,AG$1,0)*15,0))</f>
        <v>0</v>
      </c>
      <c r="AH114" s="13">
        <f>SUM(IFERROR(VLOOKUP($C:$C,Structure!$A:$AJ,AH$1,0)*15,0),IFERROR(VLOOKUP($D:$D,Structure!$A:$AJ,AH$1,0)*15,0),IFERROR(VLOOKUP($E:$E,Structure!$A:$AJ,AH$1,0)*15,0))</f>
        <v>0</v>
      </c>
      <c r="AI114" s="13">
        <f>SUM(IFERROR(VLOOKUP($C:$C,Structure!$A:$AJ,AI$1,0)*15,0),IFERROR(VLOOKUP($D:$D,Structure!$A:$AJ,AI$1,0)*15,0),IFERROR(VLOOKUP($E:$E,Structure!$A:$AJ,AI$1,0)*15,0))</f>
        <v>0</v>
      </c>
      <c r="AJ114" s="13">
        <f>SUM(IFERROR(VLOOKUP($C:$C,Structure!$A:$AJ,AJ$1,0)*15,0),IFERROR(VLOOKUP($D:$D,Structure!$A:$AJ,AJ$1,0)*15,0),IFERROR(VLOOKUP($E:$E,Structure!$A:$AJ,AJ$1,0)*15,0))</f>
        <v>30</v>
      </c>
      <c r="AK114" s="13">
        <f>SUM(IFERROR(VLOOKUP($C:$C,Structure!$A:$AJ,AK$1,0)*15,0),IFERROR(VLOOKUP($D:$D,Structure!$A:$AJ,AK$1,0)*15,0),IFERROR(VLOOKUP($E:$E,Structure!$A:$AJ,AK$1,0)*15,0))</f>
        <v>15</v>
      </c>
      <c r="AL114" s="13">
        <f>SUM(IFERROR(VLOOKUP($C:$C,Structure!$A:$AJ,AL$1,0)*15,0),IFERROR(VLOOKUP($D:$D,Structure!$A:$AJ,AL$1,0)*15,0),IFERROR(VLOOKUP($E:$E,Structure!$A:$AJ,AL$1,0)*15,0))</f>
        <v>0</v>
      </c>
      <c r="AM114" s="13">
        <f>SUM(IFERROR(VLOOKUP($C:$C,Structure!$A:$AJ,AM$1,0)*15,0),IFERROR(VLOOKUP($D:$D,Structure!$A:$AJ,AM$1,0)*15,0),IFERROR(VLOOKUP($E:$E,Structure!$A:$AJ,AM$1,0)*15,0))</f>
        <v>0</v>
      </c>
      <c r="AN114" s="13">
        <f>SUM(IFERROR(VLOOKUP($C:$C,Structure!$A:$AJ,AN$1,0)*15,0),IFERROR(VLOOKUP($D:$D,Structure!$A:$AJ,AN$1,0)*15,0),IFERROR(VLOOKUP($E:$E,Structure!$A:$AJ,AN$1,0)*15,0))</f>
        <v>0</v>
      </c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3"/>
      <c r="BZ114" s="4">
        <f>BZ113+AQ114-F114</f>
        <v>0</v>
      </c>
      <c r="CA114" s="4">
        <f>CA113+AR114-G114</f>
        <v>0</v>
      </c>
      <c r="CB114" s="4">
        <f>CB113+AS114-H114</f>
        <v>0</v>
      </c>
      <c r="CC114" s="4">
        <f>CC113+AT114-I114</f>
        <v>0</v>
      </c>
      <c r="CD114" s="4">
        <f>CD113+AU114-J114</f>
        <v>0</v>
      </c>
      <c r="CE114" s="4">
        <f>CE113+AV114-K114</f>
        <v>0</v>
      </c>
      <c r="CF114" s="4">
        <f>CF113+AW114-L114</f>
        <v>0</v>
      </c>
      <c r="CG114" s="4">
        <f>CG113+AX114-M114</f>
        <v>0</v>
      </c>
      <c r="CH114" s="4">
        <f>CH113+AY114-N114</f>
        <v>0</v>
      </c>
      <c r="CI114" s="4">
        <f>CI113+AZ114-O114</f>
        <v>0</v>
      </c>
      <c r="CJ114" s="4">
        <f>CJ113+BA114-P114</f>
        <v>0</v>
      </c>
      <c r="CK114" s="4">
        <f>CK113+BB114-Q114</f>
        <v>0</v>
      </c>
      <c r="CL114" s="4">
        <f>CL113+BC114-R114</f>
        <v>0</v>
      </c>
      <c r="CM114" s="4">
        <f>CM113+BD114-S114</f>
        <v>0</v>
      </c>
      <c r="CN114" s="4">
        <f>CN113+BE114-T114</f>
        <v>0</v>
      </c>
      <c r="CO114" s="4">
        <f>CO113+BF114-U114</f>
        <v>0</v>
      </c>
      <c r="CP114" s="4">
        <f>CP113+BG114-V114</f>
        <v>-60</v>
      </c>
      <c r="CQ114" s="4">
        <f>CQ113+BH114-W114</f>
        <v>0</v>
      </c>
      <c r="CR114" s="4">
        <f>CR113+BI114-X114</f>
        <v>-60</v>
      </c>
      <c r="CS114" s="4">
        <f>CS113+BJ114-Y114</f>
        <v>0</v>
      </c>
      <c r="CT114" s="4">
        <f>CT113+BK114-Z114</f>
        <v>0</v>
      </c>
      <c r="CU114" s="4">
        <f>CU113+BL114-AA114</f>
        <v>-4325</v>
      </c>
      <c r="CV114" s="4">
        <f>CV113+BM114-AB114</f>
        <v>-240</v>
      </c>
      <c r="CW114" s="4">
        <f>CW113+BN114-AC114</f>
        <v>-255</v>
      </c>
      <c r="CX114" s="4">
        <f>CX113+BO114-AD114</f>
        <v>0</v>
      </c>
      <c r="CY114" s="4">
        <f>CY113+BP114-AE114</f>
        <v>-60</v>
      </c>
      <c r="CZ114" s="4">
        <f>CZ113+BQ114-AF114</f>
        <v>-160</v>
      </c>
      <c r="DA114" s="4">
        <f>DA113+BR114-AG114</f>
        <v>0</v>
      </c>
      <c r="DB114" s="4">
        <f>DB113+BS114-AH114</f>
        <v>-60</v>
      </c>
      <c r="DC114" s="4">
        <f>DC113+BT114-AI114</f>
        <v>0</v>
      </c>
      <c r="DD114" s="4">
        <f>DD113+BU114-AJ114</f>
        <v>-3100</v>
      </c>
      <c r="DE114" s="4">
        <f>DE113+BV114-AK114</f>
        <v>-1245</v>
      </c>
      <c r="DF114" s="4">
        <f>DF113+BW114-AL114</f>
        <v>0</v>
      </c>
      <c r="DG114" s="4">
        <f>DG113+BX114-AM114</f>
        <v>-235</v>
      </c>
      <c r="DH114" s="4">
        <f>DH113+BY114-AN114</f>
        <v>0</v>
      </c>
    </row>
    <row r="115" spans="1:112" x14ac:dyDescent="0.25">
      <c r="A115" s="6">
        <v>46183</v>
      </c>
      <c r="B115" s="7">
        <v>0.99999999973078957</v>
      </c>
      <c r="C115" s="3" t="s">
        <v>3</v>
      </c>
      <c r="D115" s="3" t="s">
        <v>6</v>
      </c>
      <c r="E115" s="3" t="s">
        <v>2</v>
      </c>
      <c r="F115" s="13">
        <f>SUM(IFERROR(VLOOKUP($C:$C,Structure!$A:$AJ,F$1,0)*15,0),IFERROR(VLOOKUP($D:$D,Structure!$A:$AJ,F$1,0)*15,0),IFERROR(VLOOKUP($E:$E,Structure!$A:$AJ,F$1,0)*15,0))</f>
        <v>0</v>
      </c>
      <c r="G115" s="13">
        <f>SUM(IFERROR(VLOOKUP($C:$C,Structure!$A:$AJ,G$1,0)*15,0),IFERROR(VLOOKUP($D:$D,Structure!$A:$AJ,G$1,0)*15,0),IFERROR(VLOOKUP($E:$E,Structure!$A:$AJ,G$1,0)*15,0))</f>
        <v>0</v>
      </c>
      <c r="H115" s="13">
        <f>SUM(IFERROR(VLOOKUP($C:$C,Structure!$A:$AJ,H$1,0)*15,0),IFERROR(VLOOKUP($D:$D,Structure!$A:$AJ,H$1,0)*15,0),IFERROR(VLOOKUP($E:$E,Structure!$A:$AJ,H$1,0)*15,0))</f>
        <v>0</v>
      </c>
      <c r="I115" s="13">
        <f>SUM(IFERROR(VLOOKUP($C:$C,Structure!$A:$AJ,I$1,0)*15,0),IFERROR(VLOOKUP($D:$D,Structure!$A:$AJ,I$1,0)*15,0),IFERROR(VLOOKUP($E:$E,Structure!$A:$AJ,I$1,0)*15,0))</f>
        <v>0</v>
      </c>
      <c r="J115" s="13">
        <f>SUM(IFERROR(VLOOKUP($C:$C,Structure!$A:$AJ,J$1,0)*15,0),IFERROR(VLOOKUP($D:$D,Structure!$A:$AJ,J$1,0)*15,0),IFERROR(VLOOKUP($E:$E,Structure!$A:$AJ,J$1,0)*15,0))</f>
        <v>0</v>
      </c>
      <c r="K115" s="13">
        <f>SUM(IFERROR(VLOOKUP($C:$C,Structure!$A:$AJ,K$1,0)*15,0),IFERROR(VLOOKUP($D:$D,Structure!$A:$AJ,K$1,0)*15,0),IFERROR(VLOOKUP($E:$E,Structure!$A:$AJ,K$1,0)*15,0))</f>
        <v>0</v>
      </c>
      <c r="L115" s="13">
        <f>SUM(IFERROR(VLOOKUP($C:$C,Structure!$A:$AJ,L$1,0)*15,0),IFERROR(VLOOKUP($D:$D,Structure!$A:$AJ,L$1,0)*15,0),IFERROR(VLOOKUP($E:$E,Structure!$A:$AJ,L$1,0)*15,0))</f>
        <v>0</v>
      </c>
      <c r="M115" s="13">
        <f>SUM(IFERROR(VLOOKUP($C:$C,Structure!$A:$AJ,M$1,0)*15,0),IFERROR(VLOOKUP($D:$D,Structure!$A:$AJ,M$1,0)*15,0),IFERROR(VLOOKUP($E:$E,Structure!$A:$AJ,M$1,0)*15,0))</f>
        <v>0</v>
      </c>
      <c r="N115" s="13">
        <f>SUM(IFERROR(VLOOKUP($C:$C,Structure!$A:$AJ,N$1,0)*15,0),IFERROR(VLOOKUP($D:$D,Structure!$A:$AJ,N$1,0)*15,0),IFERROR(VLOOKUP($E:$E,Structure!$A:$AJ,N$1,0)*15,0))</f>
        <v>0</v>
      </c>
      <c r="O115" s="13">
        <f>SUM(IFERROR(VLOOKUP($C:$C,Structure!$A:$AJ,O$1,0)*15,0),IFERROR(VLOOKUP($D:$D,Structure!$A:$AJ,O$1,0)*15,0),IFERROR(VLOOKUP($E:$E,Structure!$A:$AJ,O$1,0)*15,0))</f>
        <v>0</v>
      </c>
      <c r="P115" s="13">
        <f>SUM(IFERROR(VLOOKUP($C:$C,Structure!$A:$AJ,P$1,0)*15,0),IFERROR(VLOOKUP($D:$D,Structure!$A:$AJ,P$1,0)*15,0),IFERROR(VLOOKUP($E:$E,Structure!$A:$AJ,P$1,0)*15,0))</f>
        <v>0</v>
      </c>
      <c r="Q115" s="13">
        <f>SUM(IFERROR(VLOOKUP($C:$C,Structure!$A:$AJ,Q$1,0)*15,0),IFERROR(VLOOKUP($D:$D,Structure!$A:$AJ,Q$1,0)*15,0),IFERROR(VLOOKUP($E:$E,Structure!$A:$AJ,Q$1,0)*15,0))</f>
        <v>0</v>
      </c>
      <c r="R115" s="13">
        <f>SUM(IFERROR(VLOOKUP($C:$C,Structure!$A:$AJ,R$1,0)*15,0),IFERROR(VLOOKUP($D:$D,Structure!$A:$AJ,R$1,0)*15,0),IFERROR(VLOOKUP($E:$E,Structure!$A:$AJ,R$1,0)*15,0))</f>
        <v>0</v>
      </c>
      <c r="S115" s="13">
        <f>SUM(IFERROR(VLOOKUP($C:$C,Structure!$A:$AJ,S$1,0)*15,0),IFERROR(VLOOKUP($D:$D,Structure!$A:$AJ,S$1,0)*15,0),IFERROR(VLOOKUP($E:$E,Structure!$A:$AJ,S$1,0)*15,0))</f>
        <v>0</v>
      </c>
      <c r="T115" s="13">
        <f>SUM(IFERROR(VLOOKUP($C:$C,Structure!$A:$AJ,T$1,0)*15,0),IFERROR(VLOOKUP($D:$D,Structure!$A:$AJ,T$1,0)*15,0),IFERROR(VLOOKUP($E:$E,Structure!$A:$AJ,T$1,0)*15,0))</f>
        <v>0</v>
      </c>
      <c r="U115" s="13">
        <f>SUM(IFERROR(VLOOKUP($C:$C,Structure!$A:$AJ,U$1,0)*15,0),IFERROR(VLOOKUP($D:$D,Structure!$A:$AJ,U$1,0)*15,0),IFERROR(VLOOKUP($E:$E,Structure!$A:$AJ,U$1,0)*15,0))</f>
        <v>0</v>
      </c>
      <c r="V115" s="13">
        <f>SUM(IFERROR(VLOOKUP($C:$C,Structure!$A:$AJ,V$1,0)*15,0),IFERROR(VLOOKUP($D:$D,Structure!$A:$AJ,V$1,0)*15,0),IFERROR(VLOOKUP($E:$E,Structure!$A:$AJ,V$1,0)*15,0))</f>
        <v>0</v>
      </c>
      <c r="W115" s="13">
        <f>SUM(IFERROR(VLOOKUP($C:$C,Structure!$A:$AJ,W$1,0)*15,0),IFERROR(VLOOKUP($D:$D,Structure!$A:$AJ,W$1,0)*15,0),IFERROR(VLOOKUP($E:$E,Structure!$A:$AJ,W$1,0)*15,0))</f>
        <v>0</v>
      </c>
      <c r="X115" s="13">
        <f>SUM(IFERROR(VLOOKUP($C:$C,Structure!$A:$AJ,X$1,0)*15,0),IFERROR(VLOOKUP($D:$D,Structure!$A:$AJ,X$1,0)*15,0),IFERROR(VLOOKUP($E:$E,Structure!$A:$AJ,X$1,0)*15,0))</f>
        <v>0</v>
      </c>
      <c r="Y115" s="13">
        <f>SUM(IFERROR(VLOOKUP($C:$C,Structure!$A:$AJ,Y$1,0)*15,0),IFERROR(VLOOKUP($D:$D,Structure!$A:$AJ,Y$1,0)*15,0),IFERROR(VLOOKUP($E:$E,Structure!$A:$AJ,Y$1,0)*15,0))</f>
        <v>0</v>
      </c>
      <c r="Z115" s="13">
        <f>SUM(IFERROR(VLOOKUP($C:$C,Structure!$A:$AJ,Z$1,0)*15,0),IFERROR(VLOOKUP($D:$D,Structure!$A:$AJ,Z$1,0)*15,0),IFERROR(VLOOKUP($E:$E,Structure!$A:$AJ,Z$1,0)*15,0))</f>
        <v>0</v>
      </c>
      <c r="AA115" s="13">
        <f>SUM(IFERROR(VLOOKUP($C:$C,Structure!$A:$AJ,AA$1,0)*15,0),IFERROR(VLOOKUP($D:$D,Structure!$A:$AJ,AA$1,0)*15,0),IFERROR(VLOOKUP($E:$E,Structure!$A:$AJ,AA$1,0)*15,0))</f>
        <v>45</v>
      </c>
      <c r="AB115" s="13">
        <f>SUM(IFERROR(VLOOKUP($C:$C,Structure!$A:$AJ,AB$1,0)*15,0),IFERROR(VLOOKUP($D:$D,Structure!$A:$AJ,AB$1,0)*15,0),IFERROR(VLOOKUP($E:$E,Structure!$A:$AJ,AB$1,0)*15,0))</f>
        <v>0</v>
      </c>
      <c r="AC115" s="13">
        <f>SUM(IFERROR(VLOOKUP($C:$C,Structure!$A:$AJ,AC$1,0)*15,0),IFERROR(VLOOKUP($D:$D,Structure!$A:$AJ,AC$1,0)*15,0),IFERROR(VLOOKUP($E:$E,Structure!$A:$AJ,AC$1,0)*15,0))</f>
        <v>0</v>
      </c>
      <c r="AD115" s="13">
        <f>SUM(IFERROR(VLOOKUP($C:$C,Structure!$A:$AJ,AD$1,0)*15,0),IFERROR(VLOOKUP($D:$D,Structure!$A:$AJ,AD$1,0)*15,0),IFERROR(VLOOKUP($E:$E,Structure!$A:$AJ,AD$1,0)*15,0))</f>
        <v>0</v>
      </c>
      <c r="AE115" s="13">
        <f>SUM(IFERROR(VLOOKUP($C:$C,Structure!$A:$AJ,AE$1,0)*15,0),IFERROR(VLOOKUP($D:$D,Structure!$A:$AJ,AE$1,0)*15,0),IFERROR(VLOOKUP($E:$E,Structure!$A:$AJ,AE$1,0)*15,0))</f>
        <v>0</v>
      </c>
      <c r="AF115" s="13">
        <f>SUM(IFERROR(VLOOKUP($C:$C,Structure!$A:$AJ,AF$1,0)*15,0),IFERROR(VLOOKUP($D:$D,Structure!$A:$AJ,AF$1,0)*15,0),IFERROR(VLOOKUP($E:$E,Structure!$A:$AJ,AF$1,0)*15,0))</f>
        <v>0</v>
      </c>
      <c r="AG115" s="13">
        <f>SUM(IFERROR(VLOOKUP($C:$C,Structure!$A:$AJ,AG$1,0)*15,0),IFERROR(VLOOKUP($D:$D,Structure!$A:$AJ,AG$1,0)*15,0),IFERROR(VLOOKUP($E:$E,Structure!$A:$AJ,AG$1,0)*15,0))</f>
        <v>0</v>
      </c>
      <c r="AH115" s="13">
        <f>SUM(IFERROR(VLOOKUP($C:$C,Structure!$A:$AJ,AH$1,0)*15,0),IFERROR(VLOOKUP($D:$D,Structure!$A:$AJ,AH$1,0)*15,0),IFERROR(VLOOKUP($E:$E,Structure!$A:$AJ,AH$1,0)*15,0))</f>
        <v>0</v>
      </c>
      <c r="AI115" s="13">
        <f>SUM(IFERROR(VLOOKUP($C:$C,Structure!$A:$AJ,AI$1,0)*15,0),IFERROR(VLOOKUP($D:$D,Structure!$A:$AJ,AI$1,0)*15,0),IFERROR(VLOOKUP($E:$E,Structure!$A:$AJ,AI$1,0)*15,0))</f>
        <v>0</v>
      </c>
      <c r="AJ115" s="13">
        <f>SUM(IFERROR(VLOOKUP($C:$C,Structure!$A:$AJ,AJ$1,0)*15,0),IFERROR(VLOOKUP($D:$D,Structure!$A:$AJ,AJ$1,0)*15,0),IFERROR(VLOOKUP($E:$E,Structure!$A:$AJ,AJ$1,0)*15,0))</f>
        <v>30</v>
      </c>
      <c r="AK115" s="13">
        <f>SUM(IFERROR(VLOOKUP($C:$C,Structure!$A:$AJ,AK$1,0)*15,0),IFERROR(VLOOKUP($D:$D,Structure!$A:$AJ,AK$1,0)*15,0),IFERROR(VLOOKUP($E:$E,Structure!$A:$AJ,AK$1,0)*15,0))</f>
        <v>15</v>
      </c>
      <c r="AL115" s="13">
        <f>SUM(IFERROR(VLOOKUP($C:$C,Structure!$A:$AJ,AL$1,0)*15,0),IFERROR(VLOOKUP($D:$D,Structure!$A:$AJ,AL$1,0)*15,0),IFERROR(VLOOKUP($E:$E,Structure!$A:$AJ,AL$1,0)*15,0))</f>
        <v>0</v>
      </c>
      <c r="AM115" s="13">
        <f>SUM(IFERROR(VLOOKUP($C:$C,Structure!$A:$AJ,AM$1,0)*15,0),IFERROR(VLOOKUP($D:$D,Structure!$A:$AJ,AM$1,0)*15,0),IFERROR(VLOOKUP($E:$E,Structure!$A:$AJ,AM$1,0)*15,0))</f>
        <v>0</v>
      </c>
      <c r="AN115" s="13">
        <f>SUM(IFERROR(VLOOKUP($C:$C,Structure!$A:$AJ,AN$1,0)*15,0),IFERROR(VLOOKUP($D:$D,Structure!$A:$AJ,AN$1,0)*15,0),IFERROR(VLOOKUP($E:$E,Structure!$A:$AJ,AN$1,0)*15,0))</f>
        <v>0</v>
      </c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3"/>
      <c r="BZ115" s="4">
        <f>BZ114+AQ115-F115</f>
        <v>0</v>
      </c>
      <c r="CA115" s="4">
        <f>CA114+AR115-G115</f>
        <v>0</v>
      </c>
      <c r="CB115" s="4">
        <f>CB114+AS115-H115</f>
        <v>0</v>
      </c>
      <c r="CC115" s="4">
        <f>CC114+AT115-I115</f>
        <v>0</v>
      </c>
      <c r="CD115" s="4">
        <f>CD114+AU115-J115</f>
        <v>0</v>
      </c>
      <c r="CE115" s="4">
        <f>CE114+AV115-K115</f>
        <v>0</v>
      </c>
      <c r="CF115" s="4">
        <f>CF114+AW115-L115</f>
        <v>0</v>
      </c>
      <c r="CG115" s="4">
        <f>CG114+AX115-M115</f>
        <v>0</v>
      </c>
      <c r="CH115" s="4">
        <f>CH114+AY115-N115</f>
        <v>0</v>
      </c>
      <c r="CI115" s="4">
        <f>CI114+AZ115-O115</f>
        <v>0</v>
      </c>
      <c r="CJ115" s="4">
        <f>CJ114+BA115-P115</f>
        <v>0</v>
      </c>
      <c r="CK115" s="4">
        <f>CK114+BB115-Q115</f>
        <v>0</v>
      </c>
      <c r="CL115" s="4">
        <f>CL114+BC115-R115</f>
        <v>0</v>
      </c>
      <c r="CM115" s="4">
        <f>CM114+BD115-S115</f>
        <v>0</v>
      </c>
      <c r="CN115" s="4">
        <f>CN114+BE115-T115</f>
        <v>0</v>
      </c>
      <c r="CO115" s="4">
        <f>CO114+BF115-U115</f>
        <v>0</v>
      </c>
      <c r="CP115" s="4">
        <f>CP114+BG115-V115</f>
        <v>-60</v>
      </c>
      <c r="CQ115" s="4">
        <f>CQ114+BH115-W115</f>
        <v>0</v>
      </c>
      <c r="CR115" s="4">
        <f>CR114+BI115-X115</f>
        <v>-60</v>
      </c>
      <c r="CS115" s="4">
        <f>CS114+BJ115-Y115</f>
        <v>0</v>
      </c>
      <c r="CT115" s="4">
        <f>CT114+BK115-Z115</f>
        <v>0</v>
      </c>
      <c r="CU115" s="4">
        <f>CU114+BL115-AA115</f>
        <v>-4370</v>
      </c>
      <c r="CV115" s="4">
        <f>CV114+BM115-AB115</f>
        <v>-240</v>
      </c>
      <c r="CW115" s="4">
        <f>CW114+BN115-AC115</f>
        <v>-255</v>
      </c>
      <c r="CX115" s="4">
        <f>CX114+BO115-AD115</f>
        <v>0</v>
      </c>
      <c r="CY115" s="4">
        <f>CY114+BP115-AE115</f>
        <v>-60</v>
      </c>
      <c r="CZ115" s="4">
        <f>CZ114+BQ115-AF115</f>
        <v>-160</v>
      </c>
      <c r="DA115" s="4">
        <f>DA114+BR115-AG115</f>
        <v>0</v>
      </c>
      <c r="DB115" s="4">
        <f>DB114+BS115-AH115</f>
        <v>-60</v>
      </c>
      <c r="DC115" s="4">
        <f>DC114+BT115-AI115</f>
        <v>0</v>
      </c>
      <c r="DD115" s="4">
        <f>DD114+BU115-AJ115</f>
        <v>-3130</v>
      </c>
      <c r="DE115" s="4">
        <f>DE114+BV115-AK115</f>
        <v>-1260</v>
      </c>
      <c r="DF115" s="4">
        <f>DF114+BW115-AL115</f>
        <v>0</v>
      </c>
      <c r="DG115" s="4">
        <f>DG114+BX115-AM115</f>
        <v>-235</v>
      </c>
      <c r="DH115" s="4">
        <f>DH114+BY115-AN115</f>
        <v>0</v>
      </c>
    </row>
    <row r="116" spans="1:112" x14ac:dyDescent="0.25">
      <c r="A116" s="6">
        <v>46184</v>
      </c>
      <c r="B116" s="7">
        <v>4.1666666395030916E-2</v>
      </c>
      <c r="C116" s="3" t="s">
        <v>2</v>
      </c>
      <c r="D116" s="3" t="s">
        <v>6</v>
      </c>
      <c r="E116" s="3" t="s">
        <v>2</v>
      </c>
      <c r="F116" s="13">
        <f>SUM(IFERROR(VLOOKUP($C:$C,Structure!$A:$AJ,F$1,0)*15,0),IFERROR(VLOOKUP($D:$D,Structure!$A:$AJ,F$1,0)*15,0),IFERROR(VLOOKUP($E:$E,Structure!$A:$AJ,F$1,0)*15,0))</f>
        <v>0</v>
      </c>
      <c r="G116" s="13">
        <f>SUM(IFERROR(VLOOKUP($C:$C,Structure!$A:$AJ,G$1,0)*15,0),IFERROR(VLOOKUP($D:$D,Structure!$A:$AJ,G$1,0)*15,0),IFERROR(VLOOKUP($E:$E,Structure!$A:$AJ,G$1,0)*15,0))</f>
        <v>0</v>
      </c>
      <c r="H116" s="13">
        <f>SUM(IFERROR(VLOOKUP($C:$C,Structure!$A:$AJ,H$1,0)*15,0),IFERROR(VLOOKUP($D:$D,Structure!$A:$AJ,H$1,0)*15,0),IFERROR(VLOOKUP($E:$E,Structure!$A:$AJ,H$1,0)*15,0))</f>
        <v>0</v>
      </c>
      <c r="I116" s="13">
        <f>SUM(IFERROR(VLOOKUP($C:$C,Structure!$A:$AJ,I$1,0)*15,0),IFERROR(VLOOKUP($D:$D,Structure!$A:$AJ,I$1,0)*15,0),IFERROR(VLOOKUP($E:$E,Structure!$A:$AJ,I$1,0)*15,0))</f>
        <v>0</v>
      </c>
      <c r="J116" s="13">
        <f>SUM(IFERROR(VLOOKUP($C:$C,Structure!$A:$AJ,J$1,0)*15,0),IFERROR(VLOOKUP($D:$D,Structure!$A:$AJ,J$1,0)*15,0),IFERROR(VLOOKUP($E:$E,Structure!$A:$AJ,J$1,0)*15,0))</f>
        <v>0</v>
      </c>
      <c r="K116" s="13">
        <f>SUM(IFERROR(VLOOKUP($C:$C,Structure!$A:$AJ,K$1,0)*15,0),IFERROR(VLOOKUP($D:$D,Structure!$A:$AJ,K$1,0)*15,0),IFERROR(VLOOKUP($E:$E,Structure!$A:$AJ,K$1,0)*15,0))</f>
        <v>0</v>
      </c>
      <c r="L116" s="13">
        <f>SUM(IFERROR(VLOOKUP($C:$C,Structure!$A:$AJ,L$1,0)*15,0),IFERROR(VLOOKUP($D:$D,Structure!$A:$AJ,L$1,0)*15,0),IFERROR(VLOOKUP($E:$E,Structure!$A:$AJ,L$1,0)*15,0))</f>
        <v>0</v>
      </c>
      <c r="M116" s="13">
        <f>SUM(IFERROR(VLOOKUP($C:$C,Structure!$A:$AJ,M$1,0)*15,0),IFERROR(VLOOKUP($D:$D,Structure!$A:$AJ,M$1,0)*15,0),IFERROR(VLOOKUP($E:$E,Structure!$A:$AJ,M$1,0)*15,0))</f>
        <v>0</v>
      </c>
      <c r="N116" s="13">
        <f>SUM(IFERROR(VLOOKUP($C:$C,Structure!$A:$AJ,N$1,0)*15,0),IFERROR(VLOOKUP($D:$D,Structure!$A:$AJ,N$1,0)*15,0),IFERROR(VLOOKUP($E:$E,Structure!$A:$AJ,N$1,0)*15,0))</f>
        <v>0</v>
      </c>
      <c r="O116" s="13">
        <f>SUM(IFERROR(VLOOKUP($C:$C,Structure!$A:$AJ,O$1,0)*15,0),IFERROR(VLOOKUP($D:$D,Structure!$A:$AJ,O$1,0)*15,0),IFERROR(VLOOKUP($E:$E,Structure!$A:$AJ,O$1,0)*15,0))</f>
        <v>0</v>
      </c>
      <c r="P116" s="13">
        <f>SUM(IFERROR(VLOOKUP($C:$C,Structure!$A:$AJ,P$1,0)*15,0),IFERROR(VLOOKUP($D:$D,Structure!$A:$AJ,P$1,0)*15,0),IFERROR(VLOOKUP($E:$E,Structure!$A:$AJ,P$1,0)*15,0))</f>
        <v>0</v>
      </c>
      <c r="Q116" s="13">
        <f>SUM(IFERROR(VLOOKUP($C:$C,Structure!$A:$AJ,Q$1,0)*15,0),IFERROR(VLOOKUP($D:$D,Structure!$A:$AJ,Q$1,0)*15,0),IFERROR(VLOOKUP($E:$E,Structure!$A:$AJ,Q$1,0)*15,0))</f>
        <v>0</v>
      </c>
      <c r="R116" s="13">
        <f>SUM(IFERROR(VLOOKUP($C:$C,Structure!$A:$AJ,R$1,0)*15,0),IFERROR(VLOOKUP($D:$D,Structure!$A:$AJ,R$1,0)*15,0),IFERROR(VLOOKUP($E:$E,Structure!$A:$AJ,R$1,0)*15,0))</f>
        <v>0</v>
      </c>
      <c r="S116" s="13">
        <f>SUM(IFERROR(VLOOKUP($C:$C,Structure!$A:$AJ,S$1,0)*15,0),IFERROR(VLOOKUP($D:$D,Structure!$A:$AJ,S$1,0)*15,0),IFERROR(VLOOKUP($E:$E,Structure!$A:$AJ,S$1,0)*15,0))</f>
        <v>0</v>
      </c>
      <c r="T116" s="13">
        <f>SUM(IFERROR(VLOOKUP($C:$C,Structure!$A:$AJ,T$1,0)*15,0),IFERROR(VLOOKUP($D:$D,Structure!$A:$AJ,T$1,0)*15,0),IFERROR(VLOOKUP($E:$E,Structure!$A:$AJ,T$1,0)*15,0))</f>
        <v>0</v>
      </c>
      <c r="U116" s="13">
        <f>SUM(IFERROR(VLOOKUP($C:$C,Structure!$A:$AJ,U$1,0)*15,0),IFERROR(VLOOKUP($D:$D,Structure!$A:$AJ,U$1,0)*15,0),IFERROR(VLOOKUP($E:$E,Structure!$A:$AJ,U$1,0)*15,0))</f>
        <v>0</v>
      </c>
      <c r="V116" s="13">
        <f>SUM(IFERROR(VLOOKUP($C:$C,Structure!$A:$AJ,V$1,0)*15,0),IFERROR(VLOOKUP($D:$D,Structure!$A:$AJ,V$1,0)*15,0),IFERROR(VLOOKUP($E:$E,Structure!$A:$AJ,V$1,0)*15,0))</f>
        <v>0</v>
      </c>
      <c r="W116" s="13">
        <f>SUM(IFERROR(VLOOKUP($C:$C,Structure!$A:$AJ,W$1,0)*15,0),IFERROR(VLOOKUP($D:$D,Structure!$A:$AJ,W$1,0)*15,0),IFERROR(VLOOKUP($E:$E,Structure!$A:$AJ,W$1,0)*15,0))</f>
        <v>0</v>
      </c>
      <c r="X116" s="13">
        <f>SUM(IFERROR(VLOOKUP($C:$C,Structure!$A:$AJ,X$1,0)*15,0),IFERROR(VLOOKUP($D:$D,Structure!$A:$AJ,X$1,0)*15,0),IFERROR(VLOOKUP($E:$E,Structure!$A:$AJ,X$1,0)*15,0))</f>
        <v>0</v>
      </c>
      <c r="Y116" s="13">
        <f>SUM(IFERROR(VLOOKUP($C:$C,Structure!$A:$AJ,Y$1,0)*15,0),IFERROR(VLOOKUP($D:$D,Structure!$A:$AJ,Y$1,0)*15,0),IFERROR(VLOOKUP($E:$E,Structure!$A:$AJ,Y$1,0)*15,0))</f>
        <v>0</v>
      </c>
      <c r="Z116" s="13">
        <f>SUM(IFERROR(VLOOKUP($C:$C,Structure!$A:$AJ,Z$1,0)*15,0),IFERROR(VLOOKUP($D:$D,Structure!$A:$AJ,Z$1,0)*15,0),IFERROR(VLOOKUP($E:$E,Structure!$A:$AJ,Z$1,0)*15,0))</f>
        <v>0</v>
      </c>
      <c r="AA116" s="13">
        <f>SUM(IFERROR(VLOOKUP($C:$C,Structure!$A:$AJ,AA$1,0)*15,0),IFERROR(VLOOKUP($D:$D,Structure!$A:$AJ,AA$1,0)*15,0),IFERROR(VLOOKUP($E:$E,Structure!$A:$AJ,AA$1,0)*15,0))</f>
        <v>45</v>
      </c>
      <c r="AB116" s="13">
        <f>SUM(IFERROR(VLOOKUP($C:$C,Structure!$A:$AJ,AB$1,0)*15,0),IFERROR(VLOOKUP($D:$D,Structure!$A:$AJ,AB$1,0)*15,0),IFERROR(VLOOKUP($E:$E,Structure!$A:$AJ,AB$1,0)*15,0))</f>
        <v>0</v>
      </c>
      <c r="AC116" s="13">
        <f>SUM(IFERROR(VLOOKUP($C:$C,Structure!$A:$AJ,AC$1,0)*15,0),IFERROR(VLOOKUP($D:$D,Structure!$A:$AJ,AC$1,0)*15,0),IFERROR(VLOOKUP($E:$E,Structure!$A:$AJ,AC$1,0)*15,0))</f>
        <v>0</v>
      </c>
      <c r="AD116" s="13">
        <f>SUM(IFERROR(VLOOKUP($C:$C,Structure!$A:$AJ,AD$1,0)*15,0),IFERROR(VLOOKUP($D:$D,Structure!$A:$AJ,AD$1,0)*15,0),IFERROR(VLOOKUP($E:$E,Structure!$A:$AJ,AD$1,0)*15,0))</f>
        <v>0</v>
      </c>
      <c r="AE116" s="13">
        <f>SUM(IFERROR(VLOOKUP($C:$C,Structure!$A:$AJ,AE$1,0)*15,0),IFERROR(VLOOKUP($D:$D,Structure!$A:$AJ,AE$1,0)*15,0),IFERROR(VLOOKUP($E:$E,Structure!$A:$AJ,AE$1,0)*15,0))</f>
        <v>0</v>
      </c>
      <c r="AF116" s="13">
        <f>SUM(IFERROR(VLOOKUP($C:$C,Structure!$A:$AJ,AF$1,0)*15,0),IFERROR(VLOOKUP($D:$D,Structure!$A:$AJ,AF$1,0)*15,0),IFERROR(VLOOKUP($E:$E,Structure!$A:$AJ,AF$1,0)*15,0))</f>
        <v>0</v>
      </c>
      <c r="AG116" s="13">
        <f>SUM(IFERROR(VLOOKUP($C:$C,Structure!$A:$AJ,AG$1,0)*15,0),IFERROR(VLOOKUP($D:$D,Structure!$A:$AJ,AG$1,0)*15,0),IFERROR(VLOOKUP($E:$E,Structure!$A:$AJ,AG$1,0)*15,0))</f>
        <v>0</v>
      </c>
      <c r="AH116" s="13">
        <f>SUM(IFERROR(VLOOKUP($C:$C,Structure!$A:$AJ,AH$1,0)*15,0),IFERROR(VLOOKUP($D:$D,Structure!$A:$AJ,AH$1,0)*15,0),IFERROR(VLOOKUP($E:$E,Structure!$A:$AJ,AH$1,0)*15,0))</f>
        <v>0</v>
      </c>
      <c r="AI116" s="13">
        <f>SUM(IFERROR(VLOOKUP($C:$C,Structure!$A:$AJ,AI$1,0)*15,0),IFERROR(VLOOKUP($D:$D,Structure!$A:$AJ,AI$1,0)*15,0),IFERROR(VLOOKUP($E:$E,Structure!$A:$AJ,AI$1,0)*15,0))</f>
        <v>0</v>
      </c>
      <c r="AJ116" s="13">
        <f>SUM(IFERROR(VLOOKUP($C:$C,Structure!$A:$AJ,AJ$1,0)*15,0),IFERROR(VLOOKUP($D:$D,Structure!$A:$AJ,AJ$1,0)*15,0),IFERROR(VLOOKUP($E:$E,Structure!$A:$AJ,AJ$1,0)*15,0))</f>
        <v>45</v>
      </c>
      <c r="AK116" s="13">
        <f>SUM(IFERROR(VLOOKUP($C:$C,Structure!$A:$AJ,AK$1,0)*15,0),IFERROR(VLOOKUP($D:$D,Structure!$A:$AJ,AK$1,0)*15,0),IFERROR(VLOOKUP($E:$E,Structure!$A:$AJ,AK$1,0)*15,0))</f>
        <v>0</v>
      </c>
      <c r="AL116" s="13">
        <f>SUM(IFERROR(VLOOKUP($C:$C,Structure!$A:$AJ,AL$1,0)*15,0),IFERROR(VLOOKUP($D:$D,Structure!$A:$AJ,AL$1,0)*15,0),IFERROR(VLOOKUP($E:$E,Structure!$A:$AJ,AL$1,0)*15,0))</f>
        <v>0</v>
      </c>
      <c r="AM116" s="13">
        <f>SUM(IFERROR(VLOOKUP($C:$C,Structure!$A:$AJ,AM$1,0)*15,0),IFERROR(VLOOKUP($D:$D,Structure!$A:$AJ,AM$1,0)*15,0),IFERROR(VLOOKUP($E:$E,Structure!$A:$AJ,AM$1,0)*15,0))</f>
        <v>0</v>
      </c>
      <c r="AN116" s="13">
        <f>SUM(IFERROR(VLOOKUP($C:$C,Structure!$A:$AJ,AN$1,0)*15,0),IFERROR(VLOOKUP($D:$D,Structure!$A:$AJ,AN$1,0)*15,0),IFERROR(VLOOKUP($E:$E,Structure!$A:$AJ,AN$1,0)*15,0))</f>
        <v>0</v>
      </c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3"/>
      <c r="BZ116" s="4">
        <f>BZ115+AQ116-F116</f>
        <v>0</v>
      </c>
      <c r="CA116" s="4">
        <f>CA115+AR116-G116</f>
        <v>0</v>
      </c>
      <c r="CB116" s="4">
        <f>CB115+AS116-H116</f>
        <v>0</v>
      </c>
      <c r="CC116" s="4">
        <f>CC115+AT116-I116</f>
        <v>0</v>
      </c>
      <c r="CD116" s="4">
        <f>CD115+AU116-J116</f>
        <v>0</v>
      </c>
      <c r="CE116" s="4">
        <f>CE115+AV116-K116</f>
        <v>0</v>
      </c>
      <c r="CF116" s="4">
        <f>CF115+AW116-L116</f>
        <v>0</v>
      </c>
      <c r="CG116" s="4">
        <f>CG115+AX116-M116</f>
        <v>0</v>
      </c>
      <c r="CH116" s="4">
        <f>CH115+AY116-N116</f>
        <v>0</v>
      </c>
      <c r="CI116" s="4">
        <f>CI115+AZ116-O116</f>
        <v>0</v>
      </c>
      <c r="CJ116" s="4">
        <f>CJ115+BA116-P116</f>
        <v>0</v>
      </c>
      <c r="CK116" s="4">
        <f>CK115+BB116-Q116</f>
        <v>0</v>
      </c>
      <c r="CL116" s="4">
        <f>CL115+BC116-R116</f>
        <v>0</v>
      </c>
      <c r="CM116" s="4">
        <f>CM115+BD116-S116</f>
        <v>0</v>
      </c>
      <c r="CN116" s="4">
        <f>CN115+BE116-T116</f>
        <v>0</v>
      </c>
      <c r="CO116" s="4">
        <f>CO115+BF116-U116</f>
        <v>0</v>
      </c>
      <c r="CP116" s="4">
        <f>CP115+BG116-V116</f>
        <v>-60</v>
      </c>
      <c r="CQ116" s="4">
        <f>CQ115+BH116-W116</f>
        <v>0</v>
      </c>
      <c r="CR116" s="4">
        <f>CR115+BI116-X116</f>
        <v>-60</v>
      </c>
      <c r="CS116" s="4">
        <f>CS115+BJ116-Y116</f>
        <v>0</v>
      </c>
      <c r="CT116" s="4">
        <f>CT115+BK116-Z116</f>
        <v>0</v>
      </c>
      <c r="CU116" s="4">
        <f>CU115+BL116-AA116</f>
        <v>-4415</v>
      </c>
      <c r="CV116" s="4">
        <f>CV115+BM116-AB116</f>
        <v>-240</v>
      </c>
      <c r="CW116" s="4">
        <f>CW115+BN116-AC116</f>
        <v>-255</v>
      </c>
      <c r="CX116" s="4">
        <f>CX115+BO116-AD116</f>
        <v>0</v>
      </c>
      <c r="CY116" s="4">
        <f>CY115+BP116-AE116</f>
        <v>-60</v>
      </c>
      <c r="CZ116" s="4">
        <f>CZ115+BQ116-AF116</f>
        <v>-160</v>
      </c>
      <c r="DA116" s="4">
        <f>DA115+BR116-AG116</f>
        <v>0</v>
      </c>
      <c r="DB116" s="4">
        <f>DB115+BS116-AH116</f>
        <v>-60</v>
      </c>
      <c r="DC116" s="4">
        <f>DC115+BT116-AI116</f>
        <v>0</v>
      </c>
      <c r="DD116" s="4">
        <f>DD115+BU116-AJ116</f>
        <v>-3175</v>
      </c>
      <c r="DE116" s="4">
        <f>DE115+BV116-AK116</f>
        <v>-1260</v>
      </c>
      <c r="DF116" s="4">
        <f>DF115+BW116-AL116</f>
        <v>0</v>
      </c>
      <c r="DG116" s="4">
        <f>DG115+BX116-AM116</f>
        <v>-235</v>
      </c>
      <c r="DH116" s="4">
        <f>DH115+BY116-AN116</f>
        <v>0</v>
      </c>
    </row>
    <row r="117" spans="1:112" x14ac:dyDescent="0.25">
      <c r="A117" s="6">
        <v>46184</v>
      </c>
      <c r="B117" s="7">
        <v>8.3333333059272263E-2</v>
      </c>
      <c r="C117" s="3" t="s">
        <v>2</v>
      </c>
      <c r="D117" s="3" t="s">
        <v>6</v>
      </c>
      <c r="E117" s="3" t="s">
        <v>2</v>
      </c>
      <c r="F117" s="13">
        <f>SUM(IFERROR(VLOOKUP($C:$C,Structure!$A:$AJ,F$1,0)*15,0),IFERROR(VLOOKUP($D:$D,Structure!$A:$AJ,F$1,0)*15,0),IFERROR(VLOOKUP($E:$E,Structure!$A:$AJ,F$1,0)*15,0))</f>
        <v>0</v>
      </c>
      <c r="G117" s="13">
        <f>SUM(IFERROR(VLOOKUP($C:$C,Structure!$A:$AJ,G$1,0)*15,0),IFERROR(VLOOKUP($D:$D,Structure!$A:$AJ,G$1,0)*15,0),IFERROR(VLOOKUP($E:$E,Structure!$A:$AJ,G$1,0)*15,0))</f>
        <v>0</v>
      </c>
      <c r="H117" s="13">
        <f>SUM(IFERROR(VLOOKUP($C:$C,Structure!$A:$AJ,H$1,0)*15,0),IFERROR(VLOOKUP($D:$D,Structure!$A:$AJ,H$1,0)*15,0),IFERROR(VLOOKUP($E:$E,Structure!$A:$AJ,H$1,0)*15,0))</f>
        <v>0</v>
      </c>
      <c r="I117" s="13">
        <f>SUM(IFERROR(VLOOKUP($C:$C,Structure!$A:$AJ,I$1,0)*15,0),IFERROR(VLOOKUP($D:$D,Structure!$A:$AJ,I$1,0)*15,0),IFERROR(VLOOKUP($E:$E,Structure!$A:$AJ,I$1,0)*15,0))</f>
        <v>0</v>
      </c>
      <c r="J117" s="13">
        <f>SUM(IFERROR(VLOOKUP($C:$C,Structure!$A:$AJ,J$1,0)*15,0),IFERROR(VLOOKUP($D:$D,Structure!$A:$AJ,J$1,0)*15,0),IFERROR(VLOOKUP($E:$E,Structure!$A:$AJ,J$1,0)*15,0))</f>
        <v>0</v>
      </c>
      <c r="K117" s="13">
        <f>SUM(IFERROR(VLOOKUP($C:$C,Structure!$A:$AJ,K$1,0)*15,0),IFERROR(VLOOKUP($D:$D,Structure!$A:$AJ,K$1,0)*15,0),IFERROR(VLOOKUP($E:$E,Structure!$A:$AJ,K$1,0)*15,0))</f>
        <v>0</v>
      </c>
      <c r="L117" s="13">
        <f>SUM(IFERROR(VLOOKUP($C:$C,Structure!$A:$AJ,L$1,0)*15,0),IFERROR(VLOOKUP($D:$D,Structure!$A:$AJ,L$1,0)*15,0),IFERROR(VLOOKUP($E:$E,Structure!$A:$AJ,L$1,0)*15,0))</f>
        <v>0</v>
      </c>
      <c r="M117" s="13">
        <f>SUM(IFERROR(VLOOKUP($C:$C,Structure!$A:$AJ,M$1,0)*15,0),IFERROR(VLOOKUP($D:$D,Structure!$A:$AJ,M$1,0)*15,0),IFERROR(VLOOKUP($E:$E,Structure!$A:$AJ,M$1,0)*15,0))</f>
        <v>0</v>
      </c>
      <c r="N117" s="13">
        <f>SUM(IFERROR(VLOOKUP($C:$C,Structure!$A:$AJ,N$1,0)*15,0),IFERROR(VLOOKUP($D:$D,Structure!$A:$AJ,N$1,0)*15,0),IFERROR(VLOOKUP($E:$E,Structure!$A:$AJ,N$1,0)*15,0))</f>
        <v>0</v>
      </c>
      <c r="O117" s="13">
        <f>SUM(IFERROR(VLOOKUP($C:$C,Structure!$A:$AJ,O$1,0)*15,0),IFERROR(VLOOKUP($D:$D,Structure!$A:$AJ,O$1,0)*15,0),IFERROR(VLOOKUP($E:$E,Structure!$A:$AJ,O$1,0)*15,0))</f>
        <v>0</v>
      </c>
      <c r="P117" s="13">
        <f>SUM(IFERROR(VLOOKUP($C:$C,Structure!$A:$AJ,P$1,0)*15,0),IFERROR(VLOOKUP($D:$D,Structure!$A:$AJ,P$1,0)*15,0),IFERROR(VLOOKUP($E:$E,Structure!$A:$AJ,P$1,0)*15,0))</f>
        <v>0</v>
      </c>
      <c r="Q117" s="13">
        <f>SUM(IFERROR(VLOOKUP($C:$C,Structure!$A:$AJ,Q$1,0)*15,0),IFERROR(VLOOKUP($D:$D,Structure!$A:$AJ,Q$1,0)*15,0),IFERROR(VLOOKUP($E:$E,Structure!$A:$AJ,Q$1,0)*15,0))</f>
        <v>0</v>
      </c>
      <c r="R117" s="13">
        <f>SUM(IFERROR(VLOOKUP($C:$C,Structure!$A:$AJ,R$1,0)*15,0),IFERROR(VLOOKUP($D:$D,Structure!$A:$AJ,R$1,0)*15,0),IFERROR(VLOOKUP($E:$E,Structure!$A:$AJ,R$1,0)*15,0))</f>
        <v>0</v>
      </c>
      <c r="S117" s="13">
        <f>SUM(IFERROR(VLOOKUP($C:$C,Structure!$A:$AJ,S$1,0)*15,0),IFERROR(VLOOKUP($D:$D,Structure!$A:$AJ,S$1,0)*15,0),IFERROR(VLOOKUP($E:$E,Structure!$A:$AJ,S$1,0)*15,0))</f>
        <v>0</v>
      </c>
      <c r="T117" s="13">
        <f>SUM(IFERROR(VLOOKUP($C:$C,Structure!$A:$AJ,T$1,0)*15,0),IFERROR(VLOOKUP($D:$D,Structure!$A:$AJ,T$1,0)*15,0),IFERROR(VLOOKUP($E:$E,Structure!$A:$AJ,T$1,0)*15,0))</f>
        <v>0</v>
      </c>
      <c r="U117" s="13">
        <f>SUM(IFERROR(VLOOKUP($C:$C,Structure!$A:$AJ,U$1,0)*15,0),IFERROR(VLOOKUP($D:$D,Structure!$A:$AJ,U$1,0)*15,0),IFERROR(VLOOKUP($E:$E,Structure!$A:$AJ,U$1,0)*15,0))</f>
        <v>0</v>
      </c>
      <c r="V117" s="13">
        <f>SUM(IFERROR(VLOOKUP($C:$C,Structure!$A:$AJ,V$1,0)*15,0),IFERROR(VLOOKUP($D:$D,Structure!$A:$AJ,V$1,0)*15,0),IFERROR(VLOOKUP($E:$E,Structure!$A:$AJ,V$1,0)*15,0))</f>
        <v>0</v>
      </c>
      <c r="W117" s="13">
        <f>SUM(IFERROR(VLOOKUP($C:$C,Structure!$A:$AJ,W$1,0)*15,0),IFERROR(VLOOKUP($D:$D,Structure!$A:$AJ,W$1,0)*15,0),IFERROR(VLOOKUP($E:$E,Structure!$A:$AJ,W$1,0)*15,0))</f>
        <v>0</v>
      </c>
      <c r="X117" s="13">
        <f>SUM(IFERROR(VLOOKUP($C:$C,Structure!$A:$AJ,X$1,0)*15,0),IFERROR(VLOOKUP($D:$D,Structure!$A:$AJ,X$1,0)*15,0),IFERROR(VLOOKUP($E:$E,Structure!$A:$AJ,X$1,0)*15,0))</f>
        <v>0</v>
      </c>
      <c r="Y117" s="13">
        <f>SUM(IFERROR(VLOOKUP($C:$C,Structure!$A:$AJ,Y$1,0)*15,0),IFERROR(VLOOKUP($D:$D,Structure!$A:$AJ,Y$1,0)*15,0),IFERROR(VLOOKUP($E:$E,Structure!$A:$AJ,Y$1,0)*15,0))</f>
        <v>0</v>
      </c>
      <c r="Z117" s="13">
        <f>SUM(IFERROR(VLOOKUP($C:$C,Structure!$A:$AJ,Z$1,0)*15,0),IFERROR(VLOOKUP($D:$D,Structure!$A:$AJ,Z$1,0)*15,0),IFERROR(VLOOKUP($E:$E,Structure!$A:$AJ,Z$1,0)*15,0))</f>
        <v>0</v>
      </c>
      <c r="AA117" s="13">
        <f>SUM(IFERROR(VLOOKUP($C:$C,Structure!$A:$AJ,AA$1,0)*15,0),IFERROR(VLOOKUP($D:$D,Structure!$A:$AJ,AA$1,0)*15,0),IFERROR(VLOOKUP($E:$E,Structure!$A:$AJ,AA$1,0)*15,0))</f>
        <v>45</v>
      </c>
      <c r="AB117" s="13">
        <f>SUM(IFERROR(VLOOKUP($C:$C,Structure!$A:$AJ,AB$1,0)*15,0),IFERROR(VLOOKUP($D:$D,Structure!$A:$AJ,AB$1,0)*15,0),IFERROR(VLOOKUP($E:$E,Structure!$A:$AJ,AB$1,0)*15,0))</f>
        <v>0</v>
      </c>
      <c r="AC117" s="13">
        <f>SUM(IFERROR(VLOOKUP($C:$C,Structure!$A:$AJ,AC$1,0)*15,0),IFERROR(VLOOKUP($D:$D,Structure!$A:$AJ,AC$1,0)*15,0),IFERROR(VLOOKUP($E:$E,Structure!$A:$AJ,AC$1,0)*15,0))</f>
        <v>0</v>
      </c>
      <c r="AD117" s="13">
        <f>SUM(IFERROR(VLOOKUP($C:$C,Structure!$A:$AJ,AD$1,0)*15,0),IFERROR(VLOOKUP($D:$D,Structure!$A:$AJ,AD$1,0)*15,0),IFERROR(VLOOKUP($E:$E,Structure!$A:$AJ,AD$1,0)*15,0))</f>
        <v>0</v>
      </c>
      <c r="AE117" s="13">
        <f>SUM(IFERROR(VLOOKUP($C:$C,Structure!$A:$AJ,AE$1,0)*15,0),IFERROR(VLOOKUP($D:$D,Structure!$A:$AJ,AE$1,0)*15,0),IFERROR(VLOOKUP($E:$E,Structure!$A:$AJ,AE$1,0)*15,0))</f>
        <v>0</v>
      </c>
      <c r="AF117" s="13">
        <f>SUM(IFERROR(VLOOKUP($C:$C,Structure!$A:$AJ,AF$1,0)*15,0),IFERROR(VLOOKUP($D:$D,Structure!$A:$AJ,AF$1,0)*15,0),IFERROR(VLOOKUP($E:$E,Structure!$A:$AJ,AF$1,0)*15,0))</f>
        <v>0</v>
      </c>
      <c r="AG117" s="13">
        <f>SUM(IFERROR(VLOOKUP($C:$C,Structure!$A:$AJ,AG$1,0)*15,0),IFERROR(VLOOKUP($D:$D,Structure!$A:$AJ,AG$1,0)*15,0),IFERROR(VLOOKUP($E:$E,Structure!$A:$AJ,AG$1,0)*15,0))</f>
        <v>0</v>
      </c>
      <c r="AH117" s="13">
        <f>SUM(IFERROR(VLOOKUP($C:$C,Structure!$A:$AJ,AH$1,0)*15,0),IFERROR(VLOOKUP($D:$D,Structure!$A:$AJ,AH$1,0)*15,0),IFERROR(VLOOKUP($E:$E,Structure!$A:$AJ,AH$1,0)*15,0))</f>
        <v>0</v>
      </c>
      <c r="AI117" s="13">
        <f>SUM(IFERROR(VLOOKUP($C:$C,Structure!$A:$AJ,AI$1,0)*15,0),IFERROR(VLOOKUP($D:$D,Structure!$A:$AJ,AI$1,0)*15,0),IFERROR(VLOOKUP($E:$E,Structure!$A:$AJ,AI$1,0)*15,0))</f>
        <v>0</v>
      </c>
      <c r="AJ117" s="13">
        <f>SUM(IFERROR(VLOOKUP($C:$C,Structure!$A:$AJ,AJ$1,0)*15,0),IFERROR(VLOOKUP($D:$D,Structure!$A:$AJ,AJ$1,0)*15,0),IFERROR(VLOOKUP($E:$E,Structure!$A:$AJ,AJ$1,0)*15,0))</f>
        <v>45</v>
      </c>
      <c r="AK117" s="13">
        <f>SUM(IFERROR(VLOOKUP($C:$C,Structure!$A:$AJ,AK$1,0)*15,0),IFERROR(VLOOKUP($D:$D,Structure!$A:$AJ,AK$1,0)*15,0),IFERROR(VLOOKUP($E:$E,Structure!$A:$AJ,AK$1,0)*15,0))</f>
        <v>0</v>
      </c>
      <c r="AL117" s="13">
        <f>SUM(IFERROR(VLOOKUP($C:$C,Structure!$A:$AJ,AL$1,0)*15,0),IFERROR(VLOOKUP($D:$D,Structure!$A:$AJ,AL$1,0)*15,0),IFERROR(VLOOKUP($E:$E,Structure!$A:$AJ,AL$1,0)*15,0))</f>
        <v>0</v>
      </c>
      <c r="AM117" s="13">
        <f>SUM(IFERROR(VLOOKUP($C:$C,Structure!$A:$AJ,AM$1,0)*15,0),IFERROR(VLOOKUP($D:$D,Structure!$A:$AJ,AM$1,0)*15,0),IFERROR(VLOOKUP($E:$E,Structure!$A:$AJ,AM$1,0)*15,0))</f>
        <v>0</v>
      </c>
      <c r="AN117" s="13">
        <f>SUM(IFERROR(VLOOKUP($C:$C,Structure!$A:$AJ,AN$1,0)*15,0),IFERROR(VLOOKUP($D:$D,Structure!$A:$AJ,AN$1,0)*15,0),IFERROR(VLOOKUP($E:$E,Structure!$A:$AJ,AN$1,0)*15,0))</f>
        <v>0</v>
      </c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3"/>
      <c r="BZ117" s="4">
        <f>BZ116+AQ117-F117</f>
        <v>0</v>
      </c>
      <c r="CA117" s="4">
        <f>CA116+AR117-G117</f>
        <v>0</v>
      </c>
      <c r="CB117" s="4">
        <f>CB116+AS117-H117</f>
        <v>0</v>
      </c>
      <c r="CC117" s="4">
        <f>CC116+AT117-I117</f>
        <v>0</v>
      </c>
      <c r="CD117" s="4">
        <f>CD116+AU117-J117</f>
        <v>0</v>
      </c>
      <c r="CE117" s="4">
        <f>CE116+AV117-K117</f>
        <v>0</v>
      </c>
      <c r="CF117" s="4">
        <f>CF116+AW117-L117</f>
        <v>0</v>
      </c>
      <c r="CG117" s="4">
        <f>CG116+AX117-M117</f>
        <v>0</v>
      </c>
      <c r="CH117" s="4">
        <f>CH116+AY117-N117</f>
        <v>0</v>
      </c>
      <c r="CI117" s="4">
        <f>CI116+AZ117-O117</f>
        <v>0</v>
      </c>
      <c r="CJ117" s="4">
        <f>CJ116+BA117-P117</f>
        <v>0</v>
      </c>
      <c r="CK117" s="4">
        <f>CK116+BB117-Q117</f>
        <v>0</v>
      </c>
      <c r="CL117" s="4">
        <f>CL116+BC117-R117</f>
        <v>0</v>
      </c>
      <c r="CM117" s="4">
        <f>CM116+BD117-S117</f>
        <v>0</v>
      </c>
      <c r="CN117" s="4">
        <f>CN116+BE117-T117</f>
        <v>0</v>
      </c>
      <c r="CO117" s="4">
        <f>CO116+BF117-U117</f>
        <v>0</v>
      </c>
      <c r="CP117" s="4">
        <f>CP116+BG117-V117</f>
        <v>-60</v>
      </c>
      <c r="CQ117" s="4">
        <f>CQ116+BH117-W117</f>
        <v>0</v>
      </c>
      <c r="CR117" s="4">
        <f>CR116+BI117-X117</f>
        <v>-60</v>
      </c>
      <c r="CS117" s="4">
        <f>CS116+BJ117-Y117</f>
        <v>0</v>
      </c>
      <c r="CT117" s="4">
        <f>CT116+BK117-Z117</f>
        <v>0</v>
      </c>
      <c r="CU117" s="4">
        <f>CU116+BL117-AA117</f>
        <v>-4460</v>
      </c>
      <c r="CV117" s="4">
        <f>CV116+BM117-AB117</f>
        <v>-240</v>
      </c>
      <c r="CW117" s="4">
        <f>CW116+BN117-AC117</f>
        <v>-255</v>
      </c>
      <c r="CX117" s="4">
        <f>CX116+BO117-AD117</f>
        <v>0</v>
      </c>
      <c r="CY117" s="4">
        <f>CY116+BP117-AE117</f>
        <v>-60</v>
      </c>
      <c r="CZ117" s="4">
        <f>CZ116+BQ117-AF117</f>
        <v>-160</v>
      </c>
      <c r="DA117" s="4">
        <f>DA116+BR117-AG117</f>
        <v>0</v>
      </c>
      <c r="DB117" s="4">
        <f>DB116+BS117-AH117</f>
        <v>-60</v>
      </c>
      <c r="DC117" s="4">
        <f>DC116+BT117-AI117</f>
        <v>0</v>
      </c>
      <c r="DD117" s="4">
        <f>DD116+BU117-AJ117</f>
        <v>-3220</v>
      </c>
      <c r="DE117" s="4">
        <f>DE116+BV117-AK117</f>
        <v>-1260</v>
      </c>
      <c r="DF117" s="4">
        <f>DF116+BW117-AL117</f>
        <v>0</v>
      </c>
      <c r="DG117" s="4">
        <f>DG116+BX117-AM117</f>
        <v>-235</v>
      </c>
      <c r="DH117" s="4">
        <f>DH116+BY117-AN117</f>
        <v>0</v>
      </c>
    </row>
    <row r="118" spans="1:112" x14ac:dyDescent="0.25">
      <c r="A118" s="6">
        <v>46184</v>
      </c>
      <c r="B118" s="7">
        <v>0.12499999972351361</v>
      </c>
      <c r="C118" s="3" t="s">
        <v>2</v>
      </c>
      <c r="D118" s="3" t="s">
        <v>6</v>
      </c>
      <c r="E118" s="3" t="s">
        <v>2</v>
      </c>
      <c r="F118" s="13">
        <f>SUM(IFERROR(VLOOKUP($C:$C,Structure!$A:$AJ,F$1,0)*15,0),IFERROR(VLOOKUP($D:$D,Structure!$A:$AJ,F$1,0)*15,0),IFERROR(VLOOKUP($E:$E,Structure!$A:$AJ,F$1,0)*15,0))</f>
        <v>0</v>
      </c>
      <c r="G118" s="13">
        <f>SUM(IFERROR(VLOOKUP($C:$C,Structure!$A:$AJ,G$1,0)*15,0),IFERROR(VLOOKUP($D:$D,Structure!$A:$AJ,G$1,0)*15,0),IFERROR(VLOOKUP($E:$E,Structure!$A:$AJ,G$1,0)*15,0))</f>
        <v>0</v>
      </c>
      <c r="H118" s="13">
        <f>SUM(IFERROR(VLOOKUP($C:$C,Structure!$A:$AJ,H$1,0)*15,0),IFERROR(VLOOKUP($D:$D,Structure!$A:$AJ,H$1,0)*15,0),IFERROR(VLOOKUP($E:$E,Structure!$A:$AJ,H$1,0)*15,0))</f>
        <v>0</v>
      </c>
      <c r="I118" s="13">
        <f>SUM(IFERROR(VLOOKUP($C:$C,Structure!$A:$AJ,I$1,0)*15,0),IFERROR(VLOOKUP($D:$D,Structure!$A:$AJ,I$1,0)*15,0),IFERROR(VLOOKUP($E:$E,Structure!$A:$AJ,I$1,0)*15,0))</f>
        <v>0</v>
      </c>
      <c r="J118" s="13">
        <f>SUM(IFERROR(VLOOKUP($C:$C,Structure!$A:$AJ,J$1,0)*15,0),IFERROR(VLOOKUP($D:$D,Structure!$A:$AJ,J$1,0)*15,0),IFERROR(VLOOKUP($E:$E,Structure!$A:$AJ,J$1,0)*15,0))</f>
        <v>0</v>
      </c>
      <c r="K118" s="13">
        <f>SUM(IFERROR(VLOOKUP($C:$C,Structure!$A:$AJ,K$1,0)*15,0),IFERROR(VLOOKUP($D:$D,Structure!$A:$AJ,K$1,0)*15,0),IFERROR(VLOOKUP($E:$E,Structure!$A:$AJ,K$1,0)*15,0))</f>
        <v>0</v>
      </c>
      <c r="L118" s="13">
        <f>SUM(IFERROR(VLOOKUP($C:$C,Structure!$A:$AJ,L$1,0)*15,0),IFERROR(VLOOKUP($D:$D,Structure!$A:$AJ,L$1,0)*15,0),IFERROR(VLOOKUP($E:$E,Structure!$A:$AJ,L$1,0)*15,0))</f>
        <v>0</v>
      </c>
      <c r="M118" s="13">
        <f>SUM(IFERROR(VLOOKUP($C:$C,Structure!$A:$AJ,M$1,0)*15,0),IFERROR(VLOOKUP($D:$D,Structure!$A:$AJ,M$1,0)*15,0),IFERROR(VLOOKUP($E:$E,Structure!$A:$AJ,M$1,0)*15,0))</f>
        <v>0</v>
      </c>
      <c r="N118" s="13">
        <f>SUM(IFERROR(VLOOKUP($C:$C,Structure!$A:$AJ,N$1,0)*15,0),IFERROR(VLOOKUP($D:$D,Structure!$A:$AJ,N$1,0)*15,0),IFERROR(VLOOKUP($E:$E,Structure!$A:$AJ,N$1,0)*15,0))</f>
        <v>0</v>
      </c>
      <c r="O118" s="13">
        <f>SUM(IFERROR(VLOOKUP($C:$C,Structure!$A:$AJ,O$1,0)*15,0),IFERROR(VLOOKUP($D:$D,Structure!$A:$AJ,O$1,0)*15,0),IFERROR(VLOOKUP($E:$E,Structure!$A:$AJ,O$1,0)*15,0))</f>
        <v>0</v>
      </c>
      <c r="P118" s="13">
        <f>SUM(IFERROR(VLOOKUP($C:$C,Structure!$A:$AJ,P$1,0)*15,0),IFERROR(VLOOKUP($D:$D,Structure!$A:$AJ,P$1,0)*15,0),IFERROR(VLOOKUP($E:$E,Structure!$A:$AJ,P$1,0)*15,0))</f>
        <v>0</v>
      </c>
      <c r="Q118" s="13">
        <f>SUM(IFERROR(VLOOKUP($C:$C,Structure!$A:$AJ,Q$1,0)*15,0),IFERROR(VLOOKUP($D:$D,Structure!$A:$AJ,Q$1,0)*15,0),IFERROR(VLOOKUP($E:$E,Structure!$A:$AJ,Q$1,0)*15,0))</f>
        <v>0</v>
      </c>
      <c r="R118" s="13">
        <f>SUM(IFERROR(VLOOKUP($C:$C,Structure!$A:$AJ,R$1,0)*15,0),IFERROR(VLOOKUP($D:$D,Structure!$A:$AJ,R$1,0)*15,0),IFERROR(VLOOKUP($E:$E,Structure!$A:$AJ,R$1,0)*15,0))</f>
        <v>0</v>
      </c>
      <c r="S118" s="13">
        <f>SUM(IFERROR(VLOOKUP($C:$C,Structure!$A:$AJ,S$1,0)*15,0),IFERROR(VLOOKUP($D:$D,Structure!$A:$AJ,S$1,0)*15,0),IFERROR(VLOOKUP($E:$E,Structure!$A:$AJ,S$1,0)*15,0))</f>
        <v>0</v>
      </c>
      <c r="T118" s="13">
        <f>SUM(IFERROR(VLOOKUP($C:$C,Structure!$A:$AJ,T$1,0)*15,0),IFERROR(VLOOKUP($D:$D,Structure!$A:$AJ,T$1,0)*15,0),IFERROR(VLOOKUP($E:$E,Structure!$A:$AJ,T$1,0)*15,0))</f>
        <v>0</v>
      </c>
      <c r="U118" s="13">
        <f>SUM(IFERROR(VLOOKUP($C:$C,Structure!$A:$AJ,U$1,0)*15,0),IFERROR(VLOOKUP($D:$D,Structure!$A:$AJ,U$1,0)*15,0),IFERROR(VLOOKUP($E:$E,Structure!$A:$AJ,U$1,0)*15,0))</f>
        <v>0</v>
      </c>
      <c r="V118" s="13">
        <f>SUM(IFERROR(VLOOKUP($C:$C,Structure!$A:$AJ,V$1,0)*15,0),IFERROR(VLOOKUP($D:$D,Structure!$A:$AJ,V$1,0)*15,0),IFERROR(VLOOKUP($E:$E,Structure!$A:$AJ,V$1,0)*15,0))</f>
        <v>0</v>
      </c>
      <c r="W118" s="13">
        <f>SUM(IFERROR(VLOOKUP($C:$C,Structure!$A:$AJ,W$1,0)*15,0),IFERROR(VLOOKUP($D:$D,Structure!$A:$AJ,W$1,0)*15,0),IFERROR(VLOOKUP($E:$E,Structure!$A:$AJ,W$1,0)*15,0))</f>
        <v>0</v>
      </c>
      <c r="X118" s="13">
        <f>SUM(IFERROR(VLOOKUP($C:$C,Structure!$A:$AJ,X$1,0)*15,0),IFERROR(VLOOKUP($D:$D,Structure!$A:$AJ,X$1,0)*15,0),IFERROR(VLOOKUP($E:$E,Structure!$A:$AJ,X$1,0)*15,0))</f>
        <v>0</v>
      </c>
      <c r="Y118" s="13">
        <f>SUM(IFERROR(VLOOKUP($C:$C,Structure!$A:$AJ,Y$1,0)*15,0),IFERROR(VLOOKUP($D:$D,Structure!$A:$AJ,Y$1,0)*15,0),IFERROR(VLOOKUP($E:$E,Structure!$A:$AJ,Y$1,0)*15,0))</f>
        <v>0</v>
      </c>
      <c r="Z118" s="13">
        <f>SUM(IFERROR(VLOOKUP($C:$C,Structure!$A:$AJ,Z$1,0)*15,0),IFERROR(VLOOKUP($D:$D,Structure!$A:$AJ,Z$1,0)*15,0),IFERROR(VLOOKUP($E:$E,Structure!$A:$AJ,Z$1,0)*15,0))</f>
        <v>0</v>
      </c>
      <c r="AA118" s="13">
        <f>SUM(IFERROR(VLOOKUP($C:$C,Structure!$A:$AJ,AA$1,0)*15,0),IFERROR(VLOOKUP($D:$D,Structure!$A:$AJ,AA$1,0)*15,0),IFERROR(VLOOKUP($E:$E,Structure!$A:$AJ,AA$1,0)*15,0))</f>
        <v>45</v>
      </c>
      <c r="AB118" s="13">
        <f>SUM(IFERROR(VLOOKUP($C:$C,Structure!$A:$AJ,AB$1,0)*15,0),IFERROR(VLOOKUP($D:$D,Structure!$A:$AJ,AB$1,0)*15,0),IFERROR(VLOOKUP($E:$E,Structure!$A:$AJ,AB$1,0)*15,0))</f>
        <v>0</v>
      </c>
      <c r="AC118" s="13">
        <f>SUM(IFERROR(VLOOKUP($C:$C,Structure!$A:$AJ,AC$1,0)*15,0),IFERROR(VLOOKUP($D:$D,Structure!$A:$AJ,AC$1,0)*15,0),IFERROR(VLOOKUP($E:$E,Structure!$A:$AJ,AC$1,0)*15,0))</f>
        <v>0</v>
      </c>
      <c r="AD118" s="13">
        <f>SUM(IFERROR(VLOOKUP($C:$C,Structure!$A:$AJ,AD$1,0)*15,0),IFERROR(VLOOKUP($D:$D,Structure!$A:$AJ,AD$1,0)*15,0),IFERROR(VLOOKUP($E:$E,Structure!$A:$AJ,AD$1,0)*15,0))</f>
        <v>0</v>
      </c>
      <c r="AE118" s="13">
        <f>SUM(IFERROR(VLOOKUP($C:$C,Structure!$A:$AJ,AE$1,0)*15,0),IFERROR(VLOOKUP($D:$D,Structure!$A:$AJ,AE$1,0)*15,0),IFERROR(VLOOKUP($E:$E,Structure!$A:$AJ,AE$1,0)*15,0))</f>
        <v>0</v>
      </c>
      <c r="AF118" s="13">
        <f>SUM(IFERROR(VLOOKUP($C:$C,Structure!$A:$AJ,AF$1,0)*15,0),IFERROR(VLOOKUP($D:$D,Structure!$A:$AJ,AF$1,0)*15,0),IFERROR(VLOOKUP($E:$E,Structure!$A:$AJ,AF$1,0)*15,0))</f>
        <v>0</v>
      </c>
      <c r="AG118" s="13">
        <f>SUM(IFERROR(VLOOKUP($C:$C,Structure!$A:$AJ,AG$1,0)*15,0),IFERROR(VLOOKUP($D:$D,Structure!$A:$AJ,AG$1,0)*15,0),IFERROR(VLOOKUP($E:$E,Structure!$A:$AJ,AG$1,0)*15,0))</f>
        <v>0</v>
      </c>
      <c r="AH118" s="13">
        <f>SUM(IFERROR(VLOOKUP($C:$C,Structure!$A:$AJ,AH$1,0)*15,0),IFERROR(VLOOKUP($D:$D,Structure!$A:$AJ,AH$1,0)*15,0),IFERROR(VLOOKUP($E:$E,Structure!$A:$AJ,AH$1,0)*15,0))</f>
        <v>0</v>
      </c>
      <c r="AI118" s="13">
        <f>SUM(IFERROR(VLOOKUP($C:$C,Structure!$A:$AJ,AI$1,0)*15,0),IFERROR(VLOOKUP($D:$D,Structure!$A:$AJ,AI$1,0)*15,0),IFERROR(VLOOKUP($E:$E,Structure!$A:$AJ,AI$1,0)*15,0))</f>
        <v>0</v>
      </c>
      <c r="AJ118" s="13">
        <f>SUM(IFERROR(VLOOKUP($C:$C,Structure!$A:$AJ,AJ$1,0)*15,0),IFERROR(VLOOKUP($D:$D,Structure!$A:$AJ,AJ$1,0)*15,0),IFERROR(VLOOKUP($E:$E,Structure!$A:$AJ,AJ$1,0)*15,0))</f>
        <v>45</v>
      </c>
      <c r="AK118" s="13">
        <f>SUM(IFERROR(VLOOKUP($C:$C,Structure!$A:$AJ,AK$1,0)*15,0),IFERROR(VLOOKUP($D:$D,Structure!$A:$AJ,AK$1,0)*15,0),IFERROR(VLOOKUP($E:$E,Structure!$A:$AJ,AK$1,0)*15,0))</f>
        <v>0</v>
      </c>
      <c r="AL118" s="13">
        <f>SUM(IFERROR(VLOOKUP($C:$C,Structure!$A:$AJ,AL$1,0)*15,0),IFERROR(VLOOKUP($D:$D,Structure!$A:$AJ,AL$1,0)*15,0),IFERROR(VLOOKUP($E:$E,Structure!$A:$AJ,AL$1,0)*15,0))</f>
        <v>0</v>
      </c>
      <c r="AM118" s="13">
        <f>SUM(IFERROR(VLOOKUP($C:$C,Structure!$A:$AJ,AM$1,0)*15,0),IFERROR(VLOOKUP($D:$D,Structure!$A:$AJ,AM$1,0)*15,0),IFERROR(VLOOKUP($E:$E,Structure!$A:$AJ,AM$1,0)*15,0))</f>
        <v>0</v>
      </c>
      <c r="AN118" s="13">
        <f>SUM(IFERROR(VLOOKUP($C:$C,Structure!$A:$AJ,AN$1,0)*15,0),IFERROR(VLOOKUP($D:$D,Structure!$A:$AJ,AN$1,0)*15,0),IFERROR(VLOOKUP($E:$E,Structure!$A:$AJ,AN$1,0)*15,0))</f>
        <v>0</v>
      </c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3"/>
      <c r="BZ118" s="4">
        <f>BZ117+AQ118-F118</f>
        <v>0</v>
      </c>
      <c r="CA118" s="4">
        <f>CA117+AR118-G118</f>
        <v>0</v>
      </c>
      <c r="CB118" s="4">
        <f>CB117+AS118-H118</f>
        <v>0</v>
      </c>
      <c r="CC118" s="4">
        <f>CC117+AT118-I118</f>
        <v>0</v>
      </c>
      <c r="CD118" s="4">
        <f>CD117+AU118-J118</f>
        <v>0</v>
      </c>
      <c r="CE118" s="4">
        <f>CE117+AV118-K118</f>
        <v>0</v>
      </c>
      <c r="CF118" s="4">
        <f>CF117+AW118-L118</f>
        <v>0</v>
      </c>
      <c r="CG118" s="4">
        <f>CG117+AX118-M118</f>
        <v>0</v>
      </c>
      <c r="CH118" s="4">
        <f>CH117+AY118-N118</f>
        <v>0</v>
      </c>
      <c r="CI118" s="4">
        <f>CI117+AZ118-O118</f>
        <v>0</v>
      </c>
      <c r="CJ118" s="4">
        <f>CJ117+BA118-P118</f>
        <v>0</v>
      </c>
      <c r="CK118" s="4">
        <f>CK117+BB118-Q118</f>
        <v>0</v>
      </c>
      <c r="CL118" s="4">
        <f>CL117+BC118-R118</f>
        <v>0</v>
      </c>
      <c r="CM118" s="4">
        <f>CM117+BD118-S118</f>
        <v>0</v>
      </c>
      <c r="CN118" s="4">
        <f>CN117+BE118-T118</f>
        <v>0</v>
      </c>
      <c r="CO118" s="4">
        <f>CO117+BF118-U118</f>
        <v>0</v>
      </c>
      <c r="CP118" s="4">
        <f>CP117+BG118-V118</f>
        <v>-60</v>
      </c>
      <c r="CQ118" s="4">
        <f>CQ117+BH118-W118</f>
        <v>0</v>
      </c>
      <c r="CR118" s="4">
        <f>CR117+BI118-X118</f>
        <v>-60</v>
      </c>
      <c r="CS118" s="4">
        <f>CS117+BJ118-Y118</f>
        <v>0</v>
      </c>
      <c r="CT118" s="4">
        <f>CT117+BK118-Z118</f>
        <v>0</v>
      </c>
      <c r="CU118" s="4">
        <f>CU117+BL118-AA118</f>
        <v>-4505</v>
      </c>
      <c r="CV118" s="4">
        <f>CV117+BM118-AB118</f>
        <v>-240</v>
      </c>
      <c r="CW118" s="4">
        <f>CW117+BN118-AC118</f>
        <v>-255</v>
      </c>
      <c r="CX118" s="4">
        <f>CX117+BO118-AD118</f>
        <v>0</v>
      </c>
      <c r="CY118" s="4">
        <f>CY117+BP118-AE118</f>
        <v>-60</v>
      </c>
      <c r="CZ118" s="4">
        <f>CZ117+BQ118-AF118</f>
        <v>-160</v>
      </c>
      <c r="DA118" s="4">
        <f>DA117+BR118-AG118</f>
        <v>0</v>
      </c>
      <c r="DB118" s="4">
        <f>DB117+BS118-AH118</f>
        <v>-60</v>
      </c>
      <c r="DC118" s="4">
        <f>DC117+BT118-AI118</f>
        <v>0</v>
      </c>
      <c r="DD118" s="4">
        <f>DD117+BU118-AJ118</f>
        <v>-3265</v>
      </c>
      <c r="DE118" s="4">
        <f>DE117+BV118-AK118</f>
        <v>-1260</v>
      </c>
      <c r="DF118" s="4">
        <f>DF117+BW118-AL118</f>
        <v>0</v>
      </c>
      <c r="DG118" s="4">
        <f>DG117+BX118-AM118</f>
        <v>-235</v>
      </c>
      <c r="DH118" s="4">
        <f>DH117+BY118-AN118</f>
        <v>0</v>
      </c>
    </row>
    <row r="119" spans="1:112" x14ac:dyDescent="0.25">
      <c r="A119" s="6">
        <v>46184</v>
      </c>
      <c r="B119" s="7">
        <v>0.16666666638775496</v>
      </c>
      <c r="C119" s="3" t="s">
        <v>2</v>
      </c>
      <c r="D119" s="3" t="s">
        <v>6</v>
      </c>
      <c r="E119" s="3" t="s">
        <v>2</v>
      </c>
      <c r="F119" s="13">
        <f>SUM(IFERROR(VLOOKUP($C:$C,Structure!$A:$AJ,F$1,0)*15,0),IFERROR(VLOOKUP($D:$D,Structure!$A:$AJ,F$1,0)*15,0),IFERROR(VLOOKUP($E:$E,Structure!$A:$AJ,F$1,0)*15,0))</f>
        <v>0</v>
      </c>
      <c r="G119" s="13">
        <f>SUM(IFERROR(VLOOKUP($C:$C,Structure!$A:$AJ,G$1,0)*15,0),IFERROR(VLOOKUP($D:$D,Structure!$A:$AJ,G$1,0)*15,0),IFERROR(VLOOKUP($E:$E,Structure!$A:$AJ,G$1,0)*15,0))</f>
        <v>0</v>
      </c>
      <c r="H119" s="13">
        <f>SUM(IFERROR(VLOOKUP($C:$C,Structure!$A:$AJ,H$1,0)*15,0),IFERROR(VLOOKUP($D:$D,Structure!$A:$AJ,H$1,0)*15,0),IFERROR(VLOOKUP($E:$E,Structure!$A:$AJ,H$1,0)*15,0))</f>
        <v>0</v>
      </c>
      <c r="I119" s="13">
        <f>SUM(IFERROR(VLOOKUP($C:$C,Structure!$A:$AJ,I$1,0)*15,0),IFERROR(VLOOKUP($D:$D,Structure!$A:$AJ,I$1,0)*15,0),IFERROR(VLOOKUP($E:$E,Structure!$A:$AJ,I$1,0)*15,0))</f>
        <v>0</v>
      </c>
      <c r="J119" s="13">
        <f>SUM(IFERROR(VLOOKUP($C:$C,Structure!$A:$AJ,J$1,0)*15,0),IFERROR(VLOOKUP($D:$D,Structure!$A:$AJ,J$1,0)*15,0),IFERROR(VLOOKUP($E:$E,Structure!$A:$AJ,J$1,0)*15,0))</f>
        <v>0</v>
      </c>
      <c r="K119" s="13">
        <f>SUM(IFERROR(VLOOKUP($C:$C,Structure!$A:$AJ,K$1,0)*15,0),IFERROR(VLOOKUP($D:$D,Structure!$A:$AJ,K$1,0)*15,0),IFERROR(VLOOKUP($E:$E,Structure!$A:$AJ,K$1,0)*15,0))</f>
        <v>0</v>
      </c>
      <c r="L119" s="13">
        <f>SUM(IFERROR(VLOOKUP($C:$C,Structure!$A:$AJ,L$1,0)*15,0),IFERROR(VLOOKUP($D:$D,Structure!$A:$AJ,L$1,0)*15,0),IFERROR(VLOOKUP($E:$E,Structure!$A:$AJ,L$1,0)*15,0))</f>
        <v>0</v>
      </c>
      <c r="M119" s="13">
        <f>SUM(IFERROR(VLOOKUP($C:$C,Structure!$A:$AJ,M$1,0)*15,0),IFERROR(VLOOKUP($D:$D,Structure!$A:$AJ,M$1,0)*15,0),IFERROR(VLOOKUP($E:$E,Structure!$A:$AJ,M$1,0)*15,0))</f>
        <v>0</v>
      </c>
      <c r="N119" s="13">
        <f>SUM(IFERROR(VLOOKUP($C:$C,Structure!$A:$AJ,N$1,0)*15,0),IFERROR(VLOOKUP($D:$D,Structure!$A:$AJ,N$1,0)*15,0),IFERROR(VLOOKUP($E:$E,Structure!$A:$AJ,N$1,0)*15,0))</f>
        <v>0</v>
      </c>
      <c r="O119" s="13">
        <f>SUM(IFERROR(VLOOKUP($C:$C,Structure!$A:$AJ,O$1,0)*15,0),IFERROR(VLOOKUP($D:$D,Structure!$A:$AJ,O$1,0)*15,0),IFERROR(VLOOKUP($E:$E,Structure!$A:$AJ,O$1,0)*15,0))</f>
        <v>0</v>
      </c>
      <c r="P119" s="13">
        <f>SUM(IFERROR(VLOOKUP($C:$C,Structure!$A:$AJ,P$1,0)*15,0),IFERROR(VLOOKUP($D:$D,Structure!$A:$AJ,P$1,0)*15,0),IFERROR(VLOOKUP($E:$E,Structure!$A:$AJ,P$1,0)*15,0))</f>
        <v>0</v>
      </c>
      <c r="Q119" s="13">
        <f>SUM(IFERROR(VLOOKUP($C:$C,Structure!$A:$AJ,Q$1,0)*15,0),IFERROR(VLOOKUP($D:$D,Structure!$A:$AJ,Q$1,0)*15,0),IFERROR(VLOOKUP($E:$E,Structure!$A:$AJ,Q$1,0)*15,0))</f>
        <v>0</v>
      </c>
      <c r="R119" s="13">
        <f>SUM(IFERROR(VLOOKUP($C:$C,Structure!$A:$AJ,R$1,0)*15,0),IFERROR(VLOOKUP($D:$D,Structure!$A:$AJ,R$1,0)*15,0),IFERROR(VLOOKUP($E:$E,Structure!$A:$AJ,R$1,0)*15,0))</f>
        <v>0</v>
      </c>
      <c r="S119" s="13">
        <f>SUM(IFERROR(VLOOKUP($C:$C,Structure!$A:$AJ,S$1,0)*15,0),IFERROR(VLOOKUP($D:$D,Structure!$A:$AJ,S$1,0)*15,0),IFERROR(VLOOKUP($E:$E,Structure!$A:$AJ,S$1,0)*15,0))</f>
        <v>0</v>
      </c>
      <c r="T119" s="13">
        <f>SUM(IFERROR(VLOOKUP($C:$C,Structure!$A:$AJ,T$1,0)*15,0),IFERROR(VLOOKUP($D:$D,Structure!$A:$AJ,T$1,0)*15,0),IFERROR(VLOOKUP($E:$E,Structure!$A:$AJ,T$1,0)*15,0))</f>
        <v>0</v>
      </c>
      <c r="U119" s="13">
        <f>SUM(IFERROR(VLOOKUP($C:$C,Structure!$A:$AJ,U$1,0)*15,0),IFERROR(VLOOKUP($D:$D,Structure!$A:$AJ,U$1,0)*15,0),IFERROR(VLOOKUP($E:$E,Structure!$A:$AJ,U$1,0)*15,0))</f>
        <v>0</v>
      </c>
      <c r="V119" s="13">
        <f>SUM(IFERROR(VLOOKUP($C:$C,Structure!$A:$AJ,V$1,0)*15,0),IFERROR(VLOOKUP($D:$D,Structure!$A:$AJ,V$1,0)*15,0),IFERROR(VLOOKUP($E:$E,Structure!$A:$AJ,V$1,0)*15,0))</f>
        <v>0</v>
      </c>
      <c r="W119" s="13">
        <f>SUM(IFERROR(VLOOKUP($C:$C,Structure!$A:$AJ,W$1,0)*15,0),IFERROR(VLOOKUP($D:$D,Structure!$A:$AJ,W$1,0)*15,0),IFERROR(VLOOKUP($E:$E,Structure!$A:$AJ,W$1,0)*15,0))</f>
        <v>0</v>
      </c>
      <c r="X119" s="13">
        <f>SUM(IFERROR(VLOOKUP($C:$C,Structure!$A:$AJ,X$1,0)*15,0),IFERROR(VLOOKUP($D:$D,Structure!$A:$AJ,X$1,0)*15,0),IFERROR(VLOOKUP($E:$E,Structure!$A:$AJ,X$1,0)*15,0))</f>
        <v>0</v>
      </c>
      <c r="Y119" s="13">
        <f>SUM(IFERROR(VLOOKUP($C:$C,Structure!$A:$AJ,Y$1,0)*15,0),IFERROR(VLOOKUP($D:$D,Structure!$A:$AJ,Y$1,0)*15,0),IFERROR(VLOOKUP($E:$E,Structure!$A:$AJ,Y$1,0)*15,0))</f>
        <v>0</v>
      </c>
      <c r="Z119" s="13">
        <f>SUM(IFERROR(VLOOKUP($C:$C,Structure!$A:$AJ,Z$1,0)*15,0),IFERROR(VLOOKUP($D:$D,Structure!$A:$AJ,Z$1,0)*15,0),IFERROR(VLOOKUP($E:$E,Structure!$A:$AJ,Z$1,0)*15,0))</f>
        <v>0</v>
      </c>
      <c r="AA119" s="13">
        <f>SUM(IFERROR(VLOOKUP($C:$C,Structure!$A:$AJ,AA$1,0)*15,0),IFERROR(VLOOKUP($D:$D,Structure!$A:$AJ,AA$1,0)*15,0),IFERROR(VLOOKUP($E:$E,Structure!$A:$AJ,AA$1,0)*15,0))</f>
        <v>45</v>
      </c>
      <c r="AB119" s="13">
        <f>SUM(IFERROR(VLOOKUP($C:$C,Structure!$A:$AJ,AB$1,0)*15,0),IFERROR(VLOOKUP($D:$D,Structure!$A:$AJ,AB$1,0)*15,0),IFERROR(VLOOKUP($E:$E,Structure!$A:$AJ,AB$1,0)*15,0))</f>
        <v>0</v>
      </c>
      <c r="AC119" s="13">
        <f>SUM(IFERROR(VLOOKUP($C:$C,Structure!$A:$AJ,AC$1,0)*15,0),IFERROR(VLOOKUP($D:$D,Structure!$A:$AJ,AC$1,0)*15,0),IFERROR(VLOOKUP($E:$E,Structure!$A:$AJ,AC$1,0)*15,0))</f>
        <v>0</v>
      </c>
      <c r="AD119" s="13">
        <f>SUM(IFERROR(VLOOKUP($C:$C,Structure!$A:$AJ,AD$1,0)*15,0),IFERROR(VLOOKUP($D:$D,Structure!$A:$AJ,AD$1,0)*15,0),IFERROR(VLOOKUP($E:$E,Structure!$A:$AJ,AD$1,0)*15,0))</f>
        <v>0</v>
      </c>
      <c r="AE119" s="13">
        <f>SUM(IFERROR(VLOOKUP($C:$C,Structure!$A:$AJ,AE$1,0)*15,0),IFERROR(VLOOKUP($D:$D,Structure!$A:$AJ,AE$1,0)*15,0),IFERROR(VLOOKUP($E:$E,Structure!$A:$AJ,AE$1,0)*15,0))</f>
        <v>0</v>
      </c>
      <c r="AF119" s="13">
        <f>SUM(IFERROR(VLOOKUP($C:$C,Structure!$A:$AJ,AF$1,0)*15,0),IFERROR(VLOOKUP($D:$D,Structure!$A:$AJ,AF$1,0)*15,0),IFERROR(VLOOKUP($E:$E,Structure!$A:$AJ,AF$1,0)*15,0))</f>
        <v>0</v>
      </c>
      <c r="AG119" s="13">
        <f>SUM(IFERROR(VLOOKUP($C:$C,Structure!$A:$AJ,AG$1,0)*15,0),IFERROR(VLOOKUP($D:$D,Structure!$A:$AJ,AG$1,0)*15,0),IFERROR(VLOOKUP($E:$E,Structure!$A:$AJ,AG$1,0)*15,0))</f>
        <v>0</v>
      </c>
      <c r="AH119" s="13">
        <f>SUM(IFERROR(VLOOKUP($C:$C,Structure!$A:$AJ,AH$1,0)*15,0),IFERROR(VLOOKUP($D:$D,Structure!$A:$AJ,AH$1,0)*15,0),IFERROR(VLOOKUP($E:$E,Structure!$A:$AJ,AH$1,0)*15,0))</f>
        <v>0</v>
      </c>
      <c r="AI119" s="13">
        <f>SUM(IFERROR(VLOOKUP($C:$C,Structure!$A:$AJ,AI$1,0)*15,0),IFERROR(VLOOKUP($D:$D,Structure!$A:$AJ,AI$1,0)*15,0),IFERROR(VLOOKUP($E:$E,Structure!$A:$AJ,AI$1,0)*15,0))</f>
        <v>0</v>
      </c>
      <c r="AJ119" s="13">
        <f>SUM(IFERROR(VLOOKUP($C:$C,Structure!$A:$AJ,AJ$1,0)*15,0),IFERROR(VLOOKUP($D:$D,Structure!$A:$AJ,AJ$1,0)*15,0),IFERROR(VLOOKUP($E:$E,Structure!$A:$AJ,AJ$1,0)*15,0))</f>
        <v>45</v>
      </c>
      <c r="AK119" s="13">
        <f>SUM(IFERROR(VLOOKUP($C:$C,Structure!$A:$AJ,AK$1,0)*15,0),IFERROR(VLOOKUP($D:$D,Structure!$A:$AJ,AK$1,0)*15,0),IFERROR(VLOOKUP($E:$E,Structure!$A:$AJ,AK$1,0)*15,0))</f>
        <v>0</v>
      </c>
      <c r="AL119" s="13">
        <f>SUM(IFERROR(VLOOKUP($C:$C,Structure!$A:$AJ,AL$1,0)*15,0),IFERROR(VLOOKUP($D:$D,Structure!$A:$AJ,AL$1,0)*15,0),IFERROR(VLOOKUP($E:$E,Structure!$A:$AJ,AL$1,0)*15,0))</f>
        <v>0</v>
      </c>
      <c r="AM119" s="13">
        <f>SUM(IFERROR(VLOOKUP($C:$C,Structure!$A:$AJ,AM$1,0)*15,0),IFERROR(VLOOKUP($D:$D,Structure!$A:$AJ,AM$1,0)*15,0),IFERROR(VLOOKUP($E:$E,Structure!$A:$AJ,AM$1,0)*15,0))</f>
        <v>0</v>
      </c>
      <c r="AN119" s="13">
        <f>SUM(IFERROR(VLOOKUP($C:$C,Structure!$A:$AJ,AN$1,0)*15,0),IFERROR(VLOOKUP($D:$D,Structure!$A:$AJ,AN$1,0)*15,0),IFERROR(VLOOKUP($E:$E,Structure!$A:$AJ,AN$1,0)*15,0))</f>
        <v>0</v>
      </c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3"/>
      <c r="BZ119" s="4">
        <f>BZ118+AQ119-F119</f>
        <v>0</v>
      </c>
      <c r="CA119" s="4">
        <f>CA118+AR119-G119</f>
        <v>0</v>
      </c>
      <c r="CB119" s="4">
        <f>CB118+AS119-H119</f>
        <v>0</v>
      </c>
      <c r="CC119" s="4">
        <f>CC118+AT119-I119</f>
        <v>0</v>
      </c>
      <c r="CD119" s="4">
        <f>CD118+AU119-J119</f>
        <v>0</v>
      </c>
      <c r="CE119" s="4">
        <f>CE118+AV119-K119</f>
        <v>0</v>
      </c>
      <c r="CF119" s="4">
        <f>CF118+AW119-L119</f>
        <v>0</v>
      </c>
      <c r="CG119" s="4">
        <f>CG118+AX119-M119</f>
        <v>0</v>
      </c>
      <c r="CH119" s="4">
        <f>CH118+AY119-N119</f>
        <v>0</v>
      </c>
      <c r="CI119" s="4">
        <f>CI118+AZ119-O119</f>
        <v>0</v>
      </c>
      <c r="CJ119" s="4">
        <f>CJ118+BA119-P119</f>
        <v>0</v>
      </c>
      <c r="CK119" s="4">
        <f>CK118+BB119-Q119</f>
        <v>0</v>
      </c>
      <c r="CL119" s="4">
        <f>CL118+BC119-R119</f>
        <v>0</v>
      </c>
      <c r="CM119" s="4">
        <f>CM118+BD119-S119</f>
        <v>0</v>
      </c>
      <c r="CN119" s="4">
        <f>CN118+BE119-T119</f>
        <v>0</v>
      </c>
      <c r="CO119" s="4">
        <f>CO118+BF119-U119</f>
        <v>0</v>
      </c>
      <c r="CP119" s="4">
        <f>CP118+BG119-V119</f>
        <v>-60</v>
      </c>
      <c r="CQ119" s="4">
        <f>CQ118+BH119-W119</f>
        <v>0</v>
      </c>
      <c r="CR119" s="4">
        <f>CR118+BI119-X119</f>
        <v>-60</v>
      </c>
      <c r="CS119" s="4">
        <f>CS118+BJ119-Y119</f>
        <v>0</v>
      </c>
      <c r="CT119" s="4">
        <f>CT118+BK119-Z119</f>
        <v>0</v>
      </c>
      <c r="CU119" s="4">
        <f>CU118+BL119-AA119</f>
        <v>-4550</v>
      </c>
      <c r="CV119" s="4">
        <f>CV118+BM119-AB119</f>
        <v>-240</v>
      </c>
      <c r="CW119" s="4">
        <f>CW118+BN119-AC119</f>
        <v>-255</v>
      </c>
      <c r="CX119" s="4">
        <f>CX118+BO119-AD119</f>
        <v>0</v>
      </c>
      <c r="CY119" s="4">
        <f>CY118+BP119-AE119</f>
        <v>-60</v>
      </c>
      <c r="CZ119" s="4">
        <f>CZ118+BQ119-AF119</f>
        <v>-160</v>
      </c>
      <c r="DA119" s="4">
        <f>DA118+BR119-AG119</f>
        <v>0</v>
      </c>
      <c r="DB119" s="4">
        <f>DB118+BS119-AH119</f>
        <v>-60</v>
      </c>
      <c r="DC119" s="4">
        <f>DC118+BT119-AI119</f>
        <v>0</v>
      </c>
      <c r="DD119" s="4">
        <f>DD118+BU119-AJ119</f>
        <v>-3310</v>
      </c>
      <c r="DE119" s="4">
        <f>DE118+BV119-AK119</f>
        <v>-1260</v>
      </c>
      <c r="DF119" s="4">
        <f>DF118+BW119-AL119</f>
        <v>0</v>
      </c>
      <c r="DG119" s="4">
        <f>DG118+BX119-AM119</f>
        <v>-235</v>
      </c>
      <c r="DH119" s="4">
        <f>DH118+BY119-AN119</f>
        <v>0</v>
      </c>
    </row>
    <row r="120" spans="1:112" x14ac:dyDescent="0.25">
      <c r="A120" s="6">
        <v>46184</v>
      </c>
      <c r="B120" s="7">
        <v>0.20833333305199631</v>
      </c>
      <c r="C120" s="3" t="s">
        <v>2</v>
      </c>
      <c r="D120" s="3" t="s">
        <v>6</v>
      </c>
      <c r="E120" s="3" t="s">
        <v>2</v>
      </c>
      <c r="F120" s="13">
        <f>SUM(IFERROR(VLOOKUP($C:$C,Structure!$A:$AJ,F$1,0)*15,0),IFERROR(VLOOKUP($D:$D,Structure!$A:$AJ,F$1,0)*15,0),IFERROR(VLOOKUP($E:$E,Structure!$A:$AJ,F$1,0)*15,0))</f>
        <v>0</v>
      </c>
      <c r="G120" s="13">
        <f>SUM(IFERROR(VLOOKUP($C:$C,Structure!$A:$AJ,G$1,0)*15,0),IFERROR(VLOOKUP($D:$D,Structure!$A:$AJ,G$1,0)*15,0),IFERROR(VLOOKUP($E:$E,Structure!$A:$AJ,G$1,0)*15,0))</f>
        <v>0</v>
      </c>
      <c r="H120" s="13">
        <f>SUM(IFERROR(VLOOKUP($C:$C,Structure!$A:$AJ,H$1,0)*15,0),IFERROR(VLOOKUP($D:$D,Structure!$A:$AJ,H$1,0)*15,0),IFERROR(VLOOKUP($E:$E,Structure!$A:$AJ,H$1,0)*15,0))</f>
        <v>0</v>
      </c>
      <c r="I120" s="13">
        <f>SUM(IFERROR(VLOOKUP($C:$C,Structure!$A:$AJ,I$1,0)*15,0),IFERROR(VLOOKUP($D:$D,Structure!$A:$AJ,I$1,0)*15,0),IFERROR(VLOOKUP($E:$E,Structure!$A:$AJ,I$1,0)*15,0))</f>
        <v>0</v>
      </c>
      <c r="J120" s="13">
        <f>SUM(IFERROR(VLOOKUP($C:$C,Structure!$A:$AJ,J$1,0)*15,0),IFERROR(VLOOKUP($D:$D,Structure!$A:$AJ,J$1,0)*15,0),IFERROR(VLOOKUP($E:$E,Structure!$A:$AJ,J$1,0)*15,0))</f>
        <v>0</v>
      </c>
      <c r="K120" s="13">
        <f>SUM(IFERROR(VLOOKUP($C:$C,Structure!$A:$AJ,K$1,0)*15,0),IFERROR(VLOOKUP($D:$D,Structure!$A:$AJ,K$1,0)*15,0),IFERROR(VLOOKUP($E:$E,Structure!$A:$AJ,K$1,0)*15,0))</f>
        <v>0</v>
      </c>
      <c r="L120" s="13">
        <f>SUM(IFERROR(VLOOKUP($C:$C,Structure!$A:$AJ,L$1,0)*15,0),IFERROR(VLOOKUP($D:$D,Structure!$A:$AJ,L$1,0)*15,0),IFERROR(VLOOKUP($E:$E,Structure!$A:$AJ,L$1,0)*15,0))</f>
        <v>0</v>
      </c>
      <c r="M120" s="13">
        <f>SUM(IFERROR(VLOOKUP($C:$C,Structure!$A:$AJ,M$1,0)*15,0),IFERROR(VLOOKUP($D:$D,Structure!$A:$AJ,M$1,0)*15,0),IFERROR(VLOOKUP($E:$E,Structure!$A:$AJ,M$1,0)*15,0))</f>
        <v>0</v>
      </c>
      <c r="N120" s="13">
        <f>SUM(IFERROR(VLOOKUP($C:$C,Structure!$A:$AJ,N$1,0)*15,0),IFERROR(VLOOKUP($D:$D,Structure!$A:$AJ,N$1,0)*15,0),IFERROR(VLOOKUP($E:$E,Structure!$A:$AJ,N$1,0)*15,0))</f>
        <v>0</v>
      </c>
      <c r="O120" s="13">
        <f>SUM(IFERROR(VLOOKUP($C:$C,Structure!$A:$AJ,O$1,0)*15,0),IFERROR(VLOOKUP($D:$D,Structure!$A:$AJ,O$1,0)*15,0),IFERROR(VLOOKUP($E:$E,Structure!$A:$AJ,O$1,0)*15,0))</f>
        <v>0</v>
      </c>
      <c r="P120" s="13">
        <f>SUM(IFERROR(VLOOKUP($C:$C,Structure!$A:$AJ,P$1,0)*15,0),IFERROR(VLOOKUP($D:$D,Structure!$A:$AJ,P$1,0)*15,0),IFERROR(VLOOKUP($E:$E,Structure!$A:$AJ,P$1,0)*15,0))</f>
        <v>0</v>
      </c>
      <c r="Q120" s="13">
        <f>SUM(IFERROR(VLOOKUP($C:$C,Structure!$A:$AJ,Q$1,0)*15,0),IFERROR(VLOOKUP($D:$D,Structure!$A:$AJ,Q$1,0)*15,0),IFERROR(VLOOKUP($E:$E,Structure!$A:$AJ,Q$1,0)*15,0))</f>
        <v>0</v>
      </c>
      <c r="R120" s="13">
        <f>SUM(IFERROR(VLOOKUP($C:$C,Structure!$A:$AJ,R$1,0)*15,0),IFERROR(VLOOKUP($D:$D,Structure!$A:$AJ,R$1,0)*15,0),IFERROR(VLOOKUP($E:$E,Structure!$A:$AJ,R$1,0)*15,0))</f>
        <v>0</v>
      </c>
      <c r="S120" s="13">
        <f>SUM(IFERROR(VLOOKUP($C:$C,Structure!$A:$AJ,S$1,0)*15,0),IFERROR(VLOOKUP($D:$D,Structure!$A:$AJ,S$1,0)*15,0),IFERROR(VLOOKUP($E:$E,Structure!$A:$AJ,S$1,0)*15,0))</f>
        <v>0</v>
      </c>
      <c r="T120" s="13">
        <f>SUM(IFERROR(VLOOKUP($C:$C,Structure!$A:$AJ,T$1,0)*15,0),IFERROR(VLOOKUP($D:$D,Structure!$A:$AJ,T$1,0)*15,0),IFERROR(VLOOKUP($E:$E,Structure!$A:$AJ,T$1,0)*15,0))</f>
        <v>0</v>
      </c>
      <c r="U120" s="13">
        <f>SUM(IFERROR(VLOOKUP($C:$C,Structure!$A:$AJ,U$1,0)*15,0),IFERROR(VLOOKUP($D:$D,Structure!$A:$AJ,U$1,0)*15,0),IFERROR(VLOOKUP($E:$E,Structure!$A:$AJ,U$1,0)*15,0))</f>
        <v>0</v>
      </c>
      <c r="V120" s="13">
        <f>SUM(IFERROR(VLOOKUP($C:$C,Structure!$A:$AJ,V$1,0)*15,0),IFERROR(VLOOKUP($D:$D,Structure!$A:$AJ,V$1,0)*15,0),IFERROR(VLOOKUP($E:$E,Structure!$A:$AJ,V$1,0)*15,0))</f>
        <v>0</v>
      </c>
      <c r="W120" s="13">
        <f>SUM(IFERROR(VLOOKUP($C:$C,Structure!$A:$AJ,W$1,0)*15,0),IFERROR(VLOOKUP($D:$D,Structure!$A:$AJ,W$1,0)*15,0),IFERROR(VLOOKUP($E:$E,Structure!$A:$AJ,W$1,0)*15,0))</f>
        <v>0</v>
      </c>
      <c r="X120" s="13">
        <f>SUM(IFERROR(VLOOKUP($C:$C,Structure!$A:$AJ,X$1,0)*15,0),IFERROR(VLOOKUP($D:$D,Structure!$A:$AJ,X$1,0)*15,0),IFERROR(VLOOKUP($E:$E,Structure!$A:$AJ,X$1,0)*15,0))</f>
        <v>0</v>
      </c>
      <c r="Y120" s="13">
        <f>SUM(IFERROR(VLOOKUP($C:$C,Structure!$A:$AJ,Y$1,0)*15,0),IFERROR(VLOOKUP($D:$D,Structure!$A:$AJ,Y$1,0)*15,0),IFERROR(VLOOKUP($E:$E,Structure!$A:$AJ,Y$1,0)*15,0))</f>
        <v>0</v>
      </c>
      <c r="Z120" s="13">
        <f>SUM(IFERROR(VLOOKUP($C:$C,Structure!$A:$AJ,Z$1,0)*15,0),IFERROR(VLOOKUP($D:$D,Structure!$A:$AJ,Z$1,0)*15,0),IFERROR(VLOOKUP($E:$E,Structure!$A:$AJ,Z$1,0)*15,0))</f>
        <v>0</v>
      </c>
      <c r="AA120" s="13">
        <f>SUM(IFERROR(VLOOKUP($C:$C,Structure!$A:$AJ,AA$1,0)*15,0),IFERROR(VLOOKUP($D:$D,Structure!$A:$AJ,AA$1,0)*15,0),IFERROR(VLOOKUP($E:$E,Structure!$A:$AJ,AA$1,0)*15,0))</f>
        <v>45</v>
      </c>
      <c r="AB120" s="13">
        <f>SUM(IFERROR(VLOOKUP($C:$C,Structure!$A:$AJ,AB$1,0)*15,0),IFERROR(VLOOKUP($D:$D,Structure!$A:$AJ,AB$1,0)*15,0),IFERROR(VLOOKUP($E:$E,Structure!$A:$AJ,AB$1,0)*15,0))</f>
        <v>0</v>
      </c>
      <c r="AC120" s="13">
        <f>SUM(IFERROR(VLOOKUP($C:$C,Structure!$A:$AJ,AC$1,0)*15,0),IFERROR(VLOOKUP($D:$D,Structure!$A:$AJ,AC$1,0)*15,0),IFERROR(VLOOKUP($E:$E,Structure!$A:$AJ,AC$1,0)*15,0))</f>
        <v>0</v>
      </c>
      <c r="AD120" s="13">
        <f>SUM(IFERROR(VLOOKUP($C:$C,Structure!$A:$AJ,AD$1,0)*15,0),IFERROR(VLOOKUP($D:$D,Structure!$A:$AJ,AD$1,0)*15,0),IFERROR(VLOOKUP($E:$E,Structure!$A:$AJ,AD$1,0)*15,0))</f>
        <v>0</v>
      </c>
      <c r="AE120" s="13">
        <f>SUM(IFERROR(VLOOKUP($C:$C,Structure!$A:$AJ,AE$1,0)*15,0),IFERROR(VLOOKUP($D:$D,Structure!$A:$AJ,AE$1,0)*15,0),IFERROR(VLOOKUP($E:$E,Structure!$A:$AJ,AE$1,0)*15,0))</f>
        <v>0</v>
      </c>
      <c r="AF120" s="13">
        <f>SUM(IFERROR(VLOOKUP($C:$C,Structure!$A:$AJ,AF$1,0)*15,0),IFERROR(VLOOKUP($D:$D,Structure!$A:$AJ,AF$1,0)*15,0),IFERROR(VLOOKUP($E:$E,Structure!$A:$AJ,AF$1,0)*15,0))</f>
        <v>0</v>
      </c>
      <c r="AG120" s="13">
        <f>SUM(IFERROR(VLOOKUP($C:$C,Structure!$A:$AJ,AG$1,0)*15,0),IFERROR(VLOOKUP($D:$D,Structure!$A:$AJ,AG$1,0)*15,0),IFERROR(VLOOKUP($E:$E,Structure!$A:$AJ,AG$1,0)*15,0))</f>
        <v>0</v>
      </c>
      <c r="AH120" s="13">
        <f>SUM(IFERROR(VLOOKUP($C:$C,Structure!$A:$AJ,AH$1,0)*15,0),IFERROR(VLOOKUP($D:$D,Structure!$A:$AJ,AH$1,0)*15,0),IFERROR(VLOOKUP($E:$E,Structure!$A:$AJ,AH$1,0)*15,0))</f>
        <v>0</v>
      </c>
      <c r="AI120" s="13">
        <f>SUM(IFERROR(VLOOKUP($C:$C,Structure!$A:$AJ,AI$1,0)*15,0),IFERROR(VLOOKUP($D:$D,Structure!$A:$AJ,AI$1,0)*15,0),IFERROR(VLOOKUP($E:$E,Structure!$A:$AJ,AI$1,0)*15,0))</f>
        <v>0</v>
      </c>
      <c r="AJ120" s="13">
        <f>SUM(IFERROR(VLOOKUP($C:$C,Structure!$A:$AJ,AJ$1,0)*15,0),IFERROR(VLOOKUP($D:$D,Structure!$A:$AJ,AJ$1,0)*15,0),IFERROR(VLOOKUP($E:$E,Structure!$A:$AJ,AJ$1,0)*15,0))</f>
        <v>45</v>
      </c>
      <c r="AK120" s="13">
        <f>SUM(IFERROR(VLOOKUP($C:$C,Structure!$A:$AJ,AK$1,0)*15,0),IFERROR(VLOOKUP($D:$D,Structure!$A:$AJ,AK$1,0)*15,0),IFERROR(VLOOKUP($E:$E,Structure!$A:$AJ,AK$1,0)*15,0))</f>
        <v>0</v>
      </c>
      <c r="AL120" s="13">
        <f>SUM(IFERROR(VLOOKUP($C:$C,Structure!$A:$AJ,AL$1,0)*15,0),IFERROR(VLOOKUP($D:$D,Structure!$A:$AJ,AL$1,0)*15,0),IFERROR(VLOOKUP($E:$E,Structure!$A:$AJ,AL$1,0)*15,0))</f>
        <v>0</v>
      </c>
      <c r="AM120" s="13">
        <f>SUM(IFERROR(VLOOKUP($C:$C,Structure!$A:$AJ,AM$1,0)*15,0),IFERROR(VLOOKUP($D:$D,Structure!$A:$AJ,AM$1,0)*15,0),IFERROR(VLOOKUP($E:$E,Structure!$A:$AJ,AM$1,0)*15,0))</f>
        <v>0</v>
      </c>
      <c r="AN120" s="13">
        <f>SUM(IFERROR(VLOOKUP($C:$C,Structure!$A:$AJ,AN$1,0)*15,0),IFERROR(VLOOKUP($D:$D,Structure!$A:$AJ,AN$1,0)*15,0),IFERROR(VLOOKUP($E:$E,Structure!$A:$AJ,AN$1,0)*15,0))</f>
        <v>0</v>
      </c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3"/>
      <c r="BZ120" s="4">
        <f>BZ119+AQ120-F120</f>
        <v>0</v>
      </c>
      <c r="CA120" s="4">
        <f>CA119+AR120-G120</f>
        <v>0</v>
      </c>
      <c r="CB120" s="4">
        <f>CB119+AS120-H120</f>
        <v>0</v>
      </c>
      <c r="CC120" s="4">
        <f>CC119+AT120-I120</f>
        <v>0</v>
      </c>
      <c r="CD120" s="4">
        <f>CD119+AU120-J120</f>
        <v>0</v>
      </c>
      <c r="CE120" s="4">
        <f>CE119+AV120-K120</f>
        <v>0</v>
      </c>
      <c r="CF120" s="4">
        <f>CF119+AW120-L120</f>
        <v>0</v>
      </c>
      <c r="CG120" s="4">
        <f>CG119+AX120-M120</f>
        <v>0</v>
      </c>
      <c r="CH120" s="4">
        <f>CH119+AY120-N120</f>
        <v>0</v>
      </c>
      <c r="CI120" s="4">
        <f>CI119+AZ120-O120</f>
        <v>0</v>
      </c>
      <c r="CJ120" s="4">
        <f>CJ119+BA120-P120</f>
        <v>0</v>
      </c>
      <c r="CK120" s="4">
        <f>CK119+BB120-Q120</f>
        <v>0</v>
      </c>
      <c r="CL120" s="4">
        <f>CL119+BC120-R120</f>
        <v>0</v>
      </c>
      <c r="CM120" s="4">
        <f>CM119+BD120-S120</f>
        <v>0</v>
      </c>
      <c r="CN120" s="4">
        <f>CN119+BE120-T120</f>
        <v>0</v>
      </c>
      <c r="CO120" s="4">
        <f>CO119+BF120-U120</f>
        <v>0</v>
      </c>
      <c r="CP120" s="4">
        <f>CP119+BG120-V120</f>
        <v>-60</v>
      </c>
      <c r="CQ120" s="4">
        <f>CQ119+BH120-W120</f>
        <v>0</v>
      </c>
      <c r="CR120" s="4">
        <f>CR119+BI120-X120</f>
        <v>-60</v>
      </c>
      <c r="CS120" s="4">
        <f>CS119+BJ120-Y120</f>
        <v>0</v>
      </c>
      <c r="CT120" s="4">
        <f>CT119+BK120-Z120</f>
        <v>0</v>
      </c>
      <c r="CU120" s="4">
        <f>CU119+BL120-AA120</f>
        <v>-4595</v>
      </c>
      <c r="CV120" s="4">
        <f>CV119+BM120-AB120</f>
        <v>-240</v>
      </c>
      <c r="CW120" s="4">
        <f>CW119+BN120-AC120</f>
        <v>-255</v>
      </c>
      <c r="CX120" s="4">
        <f>CX119+BO120-AD120</f>
        <v>0</v>
      </c>
      <c r="CY120" s="4">
        <f>CY119+BP120-AE120</f>
        <v>-60</v>
      </c>
      <c r="CZ120" s="4">
        <f>CZ119+BQ120-AF120</f>
        <v>-160</v>
      </c>
      <c r="DA120" s="4">
        <f>DA119+BR120-AG120</f>
        <v>0</v>
      </c>
      <c r="DB120" s="4">
        <f>DB119+BS120-AH120</f>
        <v>-60</v>
      </c>
      <c r="DC120" s="4">
        <f>DC119+BT120-AI120</f>
        <v>0</v>
      </c>
      <c r="DD120" s="4">
        <f>DD119+BU120-AJ120</f>
        <v>-3355</v>
      </c>
      <c r="DE120" s="4">
        <f>DE119+BV120-AK120</f>
        <v>-1260</v>
      </c>
      <c r="DF120" s="4">
        <f>DF119+BW120-AL120</f>
        <v>0</v>
      </c>
      <c r="DG120" s="4">
        <f>DG119+BX120-AM120</f>
        <v>-235</v>
      </c>
      <c r="DH120" s="4">
        <f>DH119+BY120-AN120</f>
        <v>0</v>
      </c>
    </row>
    <row r="121" spans="1:112" x14ac:dyDescent="0.25">
      <c r="A121" s="6">
        <v>46184</v>
      </c>
      <c r="B121" s="7">
        <v>0.24999999971623765</v>
      </c>
      <c r="C121" s="3" t="s">
        <v>2</v>
      </c>
      <c r="D121" s="3" t="s">
        <v>6</v>
      </c>
      <c r="E121" s="3" t="s">
        <v>2</v>
      </c>
      <c r="F121" s="13">
        <f>SUM(IFERROR(VLOOKUP($C:$C,Structure!$A:$AJ,F$1,0)*15,0),IFERROR(VLOOKUP($D:$D,Structure!$A:$AJ,F$1,0)*15,0),IFERROR(VLOOKUP($E:$E,Structure!$A:$AJ,F$1,0)*15,0))</f>
        <v>0</v>
      </c>
      <c r="G121" s="13">
        <f>SUM(IFERROR(VLOOKUP($C:$C,Structure!$A:$AJ,G$1,0)*15,0),IFERROR(VLOOKUP($D:$D,Structure!$A:$AJ,G$1,0)*15,0),IFERROR(VLOOKUP($E:$E,Structure!$A:$AJ,G$1,0)*15,0))</f>
        <v>0</v>
      </c>
      <c r="H121" s="13">
        <f>SUM(IFERROR(VLOOKUP($C:$C,Structure!$A:$AJ,H$1,0)*15,0),IFERROR(VLOOKUP($D:$D,Structure!$A:$AJ,H$1,0)*15,0),IFERROR(VLOOKUP($E:$E,Structure!$A:$AJ,H$1,0)*15,0))</f>
        <v>0</v>
      </c>
      <c r="I121" s="13">
        <f>SUM(IFERROR(VLOOKUP($C:$C,Structure!$A:$AJ,I$1,0)*15,0),IFERROR(VLOOKUP($D:$D,Structure!$A:$AJ,I$1,0)*15,0),IFERROR(VLOOKUP($E:$E,Structure!$A:$AJ,I$1,0)*15,0))</f>
        <v>0</v>
      </c>
      <c r="J121" s="13">
        <f>SUM(IFERROR(VLOOKUP($C:$C,Structure!$A:$AJ,J$1,0)*15,0),IFERROR(VLOOKUP($D:$D,Structure!$A:$AJ,J$1,0)*15,0),IFERROR(VLOOKUP($E:$E,Structure!$A:$AJ,J$1,0)*15,0))</f>
        <v>0</v>
      </c>
      <c r="K121" s="13">
        <f>SUM(IFERROR(VLOOKUP($C:$C,Structure!$A:$AJ,K$1,0)*15,0),IFERROR(VLOOKUP($D:$D,Structure!$A:$AJ,K$1,0)*15,0),IFERROR(VLOOKUP($E:$E,Structure!$A:$AJ,K$1,0)*15,0))</f>
        <v>0</v>
      </c>
      <c r="L121" s="13">
        <f>SUM(IFERROR(VLOOKUP($C:$C,Structure!$A:$AJ,L$1,0)*15,0),IFERROR(VLOOKUP($D:$D,Structure!$A:$AJ,L$1,0)*15,0),IFERROR(VLOOKUP($E:$E,Structure!$A:$AJ,L$1,0)*15,0))</f>
        <v>0</v>
      </c>
      <c r="M121" s="13">
        <f>SUM(IFERROR(VLOOKUP($C:$C,Structure!$A:$AJ,M$1,0)*15,0),IFERROR(VLOOKUP($D:$D,Structure!$A:$AJ,M$1,0)*15,0),IFERROR(VLOOKUP($E:$E,Structure!$A:$AJ,M$1,0)*15,0))</f>
        <v>0</v>
      </c>
      <c r="N121" s="13">
        <f>SUM(IFERROR(VLOOKUP($C:$C,Structure!$A:$AJ,N$1,0)*15,0),IFERROR(VLOOKUP($D:$D,Structure!$A:$AJ,N$1,0)*15,0),IFERROR(VLOOKUP($E:$E,Structure!$A:$AJ,N$1,0)*15,0))</f>
        <v>0</v>
      </c>
      <c r="O121" s="13">
        <f>SUM(IFERROR(VLOOKUP($C:$C,Structure!$A:$AJ,O$1,0)*15,0),IFERROR(VLOOKUP($D:$D,Structure!$A:$AJ,O$1,0)*15,0),IFERROR(VLOOKUP($E:$E,Structure!$A:$AJ,O$1,0)*15,0))</f>
        <v>0</v>
      </c>
      <c r="P121" s="13">
        <f>SUM(IFERROR(VLOOKUP($C:$C,Structure!$A:$AJ,P$1,0)*15,0),IFERROR(VLOOKUP($D:$D,Structure!$A:$AJ,P$1,0)*15,0),IFERROR(VLOOKUP($E:$E,Structure!$A:$AJ,P$1,0)*15,0))</f>
        <v>0</v>
      </c>
      <c r="Q121" s="13">
        <f>SUM(IFERROR(VLOOKUP($C:$C,Structure!$A:$AJ,Q$1,0)*15,0),IFERROR(VLOOKUP($D:$D,Structure!$A:$AJ,Q$1,0)*15,0),IFERROR(VLOOKUP($E:$E,Structure!$A:$AJ,Q$1,0)*15,0))</f>
        <v>0</v>
      </c>
      <c r="R121" s="13">
        <f>SUM(IFERROR(VLOOKUP($C:$C,Structure!$A:$AJ,R$1,0)*15,0),IFERROR(VLOOKUP($D:$D,Structure!$A:$AJ,R$1,0)*15,0),IFERROR(VLOOKUP($E:$E,Structure!$A:$AJ,R$1,0)*15,0))</f>
        <v>0</v>
      </c>
      <c r="S121" s="13">
        <f>SUM(IFERROR(VLOOKUP($C:$C,Structure!$A:$AJ,S$1,0)*15,0),IFERROR(VLOOKUP($D:$D,Structure!$A:$AJ,S$1,0)*15,0),IFERROR(VLOOKUP($E:$E,Structure!$A:$AJ,S$1,0)*15,0))</f>
        <v>0</v>
      </c>
      <c r="T121" s="13">
        <f>SUM(IFERROR(VLOOKUP($C:$C,Structure!$A:$AJ,T$1,0)*15,0),IFERROR(VLOOKUP($D:$D,Structure!$A:$AJ,T$1,0)*15,0),IFERROR(VLOOKUP($E:$E,Structure!$A:$AJ,T$1,0)*15,0))</f>
        <v>0</v>
      </c>
      <c r="U121" s="13">
        <f>SUM(IFERROR(VLOOKUP($C:$C,Structure!$A:$AJ,U$1,0)*15,0),IFERROR(VLOOKUP($D:$D,Structure!$A:$AJ,U$1,0)*15,0),IFERROR(VLOOKUP($E:$E,Structure!$A:$AJ,U$1,0)*15,0))</f>
        <v>0</v>
      </c>
      <c r="V121" s="13">
        <f>SUM(IFERROR(VLOOKUP($C:$C,Structure!$A:$AJ,V$1,0)*15,0),IFERROR(VLOOKUP($D:$D,Structure!$A:$AJ,V$1,0)*15,0),IFERROR(VLOOKUP($E:$E,Structure!$A:$AJ,V$1,0)*15,0))</f>
        <v>0</v>
      </c>
      <c r="W121" s="13">
        <f>SUM(IFERROR(VLOOKUP($C:$C,Structure!$A:$AJ,W$1,0)*15,0),IFERROR(VLOOKUP($D:$D,Structure!$A:$AJ,W$1,0)*15,0),IFERROR(VLOOKUP($E:$E,Structure!$A:$AJ,W$1,0)*15,0))</f>
        <v>0</v>
      </c>
      <c r="X121" s="13">
        <f>SUM(IFERROR(VLOOKUP($C:$C,Structure!$A:$AJ,X$1,0)*15,0),IFERROR(VLOOKUP($D:$D,Structure!$A:$AJ,X$1,0)*15,0),IFERROR(VLOOKUP($E:$E,Structure!$A:$AJ,X$1,0)*15,0))</f>
        <v>0</v>
      </c>
      <c r="Y121" s="13">
        <f>SUM(IFERROR(VLOOKUP($C:$C,Structure!$A:$AJ,Y$1,0)*15,0),IFERROR(VLOOKUP($D:$D,Structure!$A:$AJ,Y$1,0)*15,0),IFERROR(VLOOKUP($E:$E,Structure!$A:$AJ,Y$1,0)*15,0))</f>
        <v>0</v>
      </c>
      <c r="Z121" s="13">
        <f>SUM(IFERROR(VLOOKUP($C:$C,Structure!$A:$AJ,Z$1,0)*15,0),IFERROR(VLOOKUP($D:$D,Structure!$A:$AJ,Z$1,0)*15,0),IFERROR(VLOOKUP($E:$E,Structure!$A:$AJ,Z$1,0)*15,0))</f>
        <v>0</v>
      </c>
      <c r="AA121" s="13">
        <f>SUM(IFERROR(VLOOKUP($C:$C,Structure!$A:$AJ,AA$1,0)*15,0),IFERROR(VLOOKUP($D:$D,Structure!$A:$AJ,AA$1,0)*15,0),IFERROR(VLOOKUP($E:$E,Structure!$A:$AJ,AA$1,0)*15,0))</f>
        <v>45</v>
      </c>
      <c r="AB121" s="13">
        <f>SUM(IFERROR(VLOOKUP($C:$C,Structure!$A:$AJ,AB$1,0)*15,0),IFERROR(VLOOKUP($D:$D,Structure!$A:$AJ,AB$1,0)*15,0),IFERROR(VLOOKUP($E:$E,Structure!$A:$AJ,AB$1,0)*15,0))</f>
        <v>0</v>
      </c>
      <c r="AC121" s="13">
        <f>SUM(IFERROR(VLOOKUP($C:$C,Structure!$A:$AJ,AC$1,0)*15,0),IFERROR(VLOOKUP($D:$D,Structure!$A:$AJ,AC$1,0)*15,0),IFERROR(VLOOKUP($E:$E,Structure!$A:$AJ,AC$1,0)*15,0))</f>
        <v>0</v>
      </c>
      <c r="AD121" s="13">
        <f>SUM(IFERROR(VLOOKUP($C:$C,Structure!$A:$AJ,AD$1,0)*15,0),IFERROR(VLOOKUP($D:$D,Structure!$A:$AJ,AD$1,0)*15,0),IFERROR(VLOOKUP($E:$E,Structure!$A:$AJ,AD$1,0)*15,0))</f>
        <v>0</v>
      </c>
      <c r="AE121" s="13">
        <f>SUM(IFERROR(VLOOKUP($C:$C,Structure!$A:$AJ,AE$1,0)*15,0),IFERROR(VLOOKUP($D:$D,Structure!$A:$AJ,AE$1,0)*15,0),IFERROR(VLOOKUP($E:$E,Structure!$A:$AJ,AE$1,0)*15,0))</f>
        <v>0</v>
      </c>
      <c r="AF121" s="13">
        <f>SUM(IFERROR(VLOOKUP($C:$C,Structure!$A:$AJ,AF$1,0)*15,0),IFERROR(VLOOKUP($D:$D,Structure!$A:$AJ,AF$1,0)*15,0),IFERROR(VLOOKUP($E:$E,Structure!$A:$AJ,AF$1,0)*15,0))</f>
        <v>0</v>
      </c>
      <c r="AG121" s="13">
        <f>SUM(IFERROR(VLOOKUP($C:$C,Structure!$A:$AJ,AG$1,0)*15,0),IFERROR(VLOOKUP($D:$D,Structure!$A:$AJ,AG$1,0)*15,0),IFERROR(VLOOKUP($E:$E,Structure!$A:$AJ,AG$1,0)*15,0))</f>
        <v>0</v>
      </c>
      <c r="AH121" s="13">
        <f>SUM(IFERROR(VLOOKUP($C:$C,Structure!$A:$AJ,AH$1,0)*15,0),IFERROR(VLOOKUP($D:$D,Structure!$A:$AJ,AH$1,0)*15,0),IFERROR(VLOOKUP($E:$E,Structure!$A:$AJ,AH$1,0)*15,0))</f>
        <v>0</v>
      </c>
      <c r="AI121" s="13">
        <f>SUM(IFERROR(VLOOKUP($C:$C,Structure!$A:$AJ,AI$1,0)*15,0),IFERROR(VLOOKUP($D:$D,Structure!$A:$AJ,AI$1,0)*15,0),IFERROR(VLOOKUP($E:$E,Structure!$A:$AJ,AI$1,0)*15,0))</f>
        <v>0</v>
      </c>
      <c r="AJ121" s="13">
        <f>SUM(IFERROR(VLOOKUP($C:$C,Structure!$A:$AJ,AJ$1,0)*15,0),IFERROR(VLOOKUP($D:$D,Structure!$A:$AJ,AJ$1,0)*15,0),IFERROR(VLOOKUP($E:$E,Structure!$A:$AJ,AJ$1,0)*15,0))</f>
        <v>45</v>
      </c>
      <c r="AK121" s="13">
        <f>SUM(IFERROR(VLOOKUP($C:$C,Structure!$A:$AJ,AK$1,0)*15,0),IFERROR(VLOOKUP($D:$D,Structure!$A:$AJ,AK$1,0)*15,0),IFERROR(VLOOKUP($E:$E,Structure!$A:$AJ,AK$1,0)*15,0))</f>
        <v>0</v>
      </c>
      <c r="AL121" s="13">
        <f>SUM(IFERROR(VLOOKUP($C:$C,Structure!$A:$AJ,AL$1,0)*15,0),IFERROR(VLOOKUP($D:$D,Structure!$A:$AJ,AL$1,0)*15,0),IFERROR(VLOOKUP($E:$E,Structure!$A:$AJ,AL$1,0)*15,0))</f>
        <v>0</v>
      </c>
      <c r="AM121" s="13">
        <f>SUM(IFERROR(VLOOKUP($C:$C,Structure!$A:$AJ,AM$1,0)*15,0),IFERROR(VLOOKUP($D:$D,Structure!$A:$AJ,AM$1,0)*15,0),IFERROR(VLOOKUP($E:$E,Structure!$A:$AJ,AM$1,0)*15,0))</f>
        <v>0</v>
      </c>
      <c r="AN121" s="13">
        <f>SUM(IFERROR(VLOOKUP($C:$C,Structure!$A:$AJ,AN$1,0)*15,0),IFERROR(VLOOKUP($D:$D,Structure!$A:$AJ,AN$1,0)*15,0),IFERROR(VLOOKUP($E:$E,Structure!$A:$AJ,AN$1,0)*15,0))</f>
        <v>0</v>
      </c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3"/>
      <c r="BZ121" s="4">
        <f>BZ120+AQ121-F121</f>
        <v>0</v>
      </c>
      <c r="CA121" s="4">
        <f>CA120+AR121-G121</f>
        <v>0</v>
      </c>
      <c r="CB121" s="4">
        <f>CB120+AS121-H121</f>
        <v>0</v>
      </c>
      <c r="CC121" s="4">
        <f>CC120+AT121-I121</f>
        <v>0</v>
      </c>
      <c r="CD121" s="4">
        <f>CD120+AU121-J121</f>
        <v>0</v>
      </c>
      <c r="CE121" s="4">
        <f>CE120+AV121-K121</f>
        <v>0</v>
      </c>
      <c r="CF121" s="4">
        <f>CF120+AW121-L121</f>
        <v>0</v>
      </c>
      <c r="CG121" s="4">
        <f>CG120+AX121-M121</f>
        <v>0</v>
      </c>
      <c r="CH121" s="4">
        <f>CH120+AY121-N121</f>
        <v>0</v>
      </c>
      <c r="CI121" s="4">
        <f>CI120+AZ121-O121</f>
        <v>0</v>
      </c>
      <c r="CJ121" s="4">
        <f>CJ120+BA121-P121</f>
        <v>0</v>
      </c>
      <c r="CK121" s="4">
        <f>CK120+BB121-Q121</f>
        <v>0</v>
      </c>
      <c r="CL121" s="4">
        <f>CL120+BC121-R121</f>
        <v>0</v>
      </c>
      <c r="CM121" s="4">
        <f>CM120+BD121-S121</f>
        <v>0</v>
      </c>
      <c r="CN121" s="4">
        <f>CN120+BE121-T121</f>
        <v>0</v>
      </c>
      <c r="CO121" s="4">
        <f>CO120+BF121-U121</f>
        <v>0</v>
      </c>
      <c r="CP121" s="4">
        <f>CP120+BG121-V121</f>
        <v>-60</v>
      </c>
      <c r="CQ121" s="4">
        <f>CQ120+BH121-W121</f>
        <v>0</v>
      </c>
      <c r="CR121" s="4">
        <f>CR120+BI121-X121</f>
        <v>-60</v>
      </c>
      <c r="CS121" s="4">
        <f>CS120+BJ121-Y121</f>
        <v>0</v>
      </c>
      <c r="CT121" s="4">
        <f>CT120+BK121-Z121</f>
        <v>0</v>
      </c>
      <c r="CU121" s="4">
        <f>CU120+BL121-AA121</f>
        <v>-4640</v>
      </c>
      <c r="CV121" s="4">
        <f>CV120+BM121-AB121</f>
        <v>-240</v>
      </c>
      <c r="CW121" s="4">
        <f>CW120+BN121-AC121</f>
        <v>-255</v>
      </c>
      <c r="CX121" s="4">
        <f>CX120+BO121-AD121</f>
        <v>0</v>
      </c>
      <c r="CY121" s="4">
        <f>CY120+BP121-AE121</f>
        <v>-60</v>
      </c>
      <c r="CZ121" s="4">
        <f>CZ120+BQ121-AF121</f>
        <v>-160</v>
      </c>
      <c r="DA121" s="4">
        <f>DA120+BR121-AG121</f>
        <v>0</v>
      </c>
      <c r="DB121" s="4">
        <f>DB120+BS121-AH121</f>
        <v>-60</v>
      </c>
      <c r="DC121" s="4">
        <f>DC120+BT121-AI121</f>
        <v>0</v>
      </c>
      <c r="DD121" s="4">
        <f>DD120+BU121-AJ121</f>
        <v>-3400</v>
      </c>
      <c r="DE121" s="4">
        <f>DE120+BV121-AK121</f>
        <v>-1260</v>
      </c>
      <c r="DF121" s="4">
        <f>DF120+BW121-AL121</f>
        <v>0</v>
      </c>
      <c r="DG121" s="4">
        <f>DG120+BX121-AM121</f>
        <v>-235</v>
      </c>
      <c r="DH121" s="4">
        <f>DH120+BY121-AN121</f>
        <v>0</v>
      </c>
    </row>
    <row r="122" spans="1:112" x14ac:dyDescent="0.25">
      <c r="A122" s="6">
        <v>46184</v>
      </c>
      <c r="B122" s="7">
        <v>0.291666666380479</v>
      </c>
      <c r="C122" s="3" t="s">
        <v>2</v>
      </c>
      <c r="D122" s="3" t="s">
        <v>6</v>
      </c>
      <c r="E122" s="3" t="s">
        <v>2</v>
      </c>
      <c r="F122" s="13">
        <f>SUM(IFERROR(VLOOKUP($C:$C,Structure!$A:$AJ,F$1,0)*15,0),IFERROR(VLOOKUP($D:$D,Structure!$A:$AJ,F$1,0)*15,0),IFERROR(VLOOKUP($E:$E,Structure!$A:$AJ,F$1,0)*15,0))</f>
        <v>0</v>
      </c>
      <c r="G122" s="13">
        <f>SUM(IFERROR(VLOOKUP($C:$C,Structure!$A:$AJ,G$1,0)*15,0),IFERROR(VLOOKUP($D:$D,Structure!$A:$AJ,G$1,0)*15,0),IFERROR(VLOOKUP($E:$E,Structure!$A:$AJ,G$1,0)*15,0))</f>
        <v>0</v>
      </c>
      <c r="H122" s="13">
        <f>SUM(IFERROR(VLOOKUP($C:$C,Structure!$A:$AJ,H$1,0)*15,0),IFERROR(VLOOKUP($D:$D,Structure!$A:$AJ,H$1,0)*15,0),IFERROR(VLOOKUP($E:$E,Structure!$A:$AJ,H$1,0)*15,0))</f>
        <v>0</v>
      </c>
      <c r="I122" s="13">
        <f>SUM(IFERROR(VLOOKUP($C:$C,Structure!$A:$AJ,I$1,0)*15,0),IFERROR(VLOOKUP($D:$D,Structure!$A:$AJ,I$1,0)*15,0),IFERROR(VLOOKUP($E:$E,Structure!$A:$AJ,I$1,0)*15,0))</f>
        <v>0</v>
      </c>
      <c r="J122" s="13">
        <f>SUM(IFERROR(VLOOKUP($C:$C,Structure!$A:$AJ,J$1,0)*15,0),IFERROR(VLOOKUP($D:$D,Structure!$A:$AJ,J$1,0)*15,0),IFERROR(VLOOKUP($E:$E,Structure!$A:$AJ,J$1,0)*15,0))</f>
        <v>0</v>
      </c>
      <c r="K122" s="13">
        <f>SUM(IFERROR(VLOOKUP($C:$C,Structure!$A:$AJ,K$1,0)*15,0),IFERROR(VLOOKUP($D:$D,Structure!$A:$AJ,K$1,0)*15,0),IFERROR(VLOOKUP($E:$E,Structure!$A:$AJ,K$1,0)*15,0))</f>
        <v>0</v>
      </c>
      <c r="L122" s="13">
        <f>SUM(IFERROR(VLOOKUP($C:$C,Structure!$A:$AJ,L$1,0)*15,0),IFERROR(VLOOKUP($D:$D,Structure!$A:$AJ,L$1,0)*15,0),IFERROR(VLOOKUP($E:$E,Structure!$A:$AJ,L$1,0)*15,0))</f>
        <v>0</v>
      </c>
      <c r="M122" s="13">
        <f>SUM(IFERROR(VLOOKUP($C:$C,Structure!$A:$AJ,M$1,0)*15,0),IFERROR(VLOOKUP($D:$D,Structure!$A:$AJ,M$1,0)*15,0),IFERROR(VLOOKUP($E:$E,Structure!$A:$AJ,M$1,0)*15,0))</f>
        <v>0</v>
      </c>
      <c r="N122" s="13">
        <f>SUM(IFERROR(VLOOKUP($C:$C,Structure!$A:$AJ,N$1,0)*15,0),IFERROR(VLOOKUP($D:$D,Structure!$A:$AJ,N$1,0)*15,0),IFERROR(VLOOKUP($E:$E,Structure!$A:$AJ,N$1,0)*15,0))</f>
        <v>0</v>
      </c>
      <c r="O122" s="13">
        <f>SUM(IFERROR(VLOOKUP($C:$C,Structure!$A:$AJ,O$1,0)*15,0),IFERROR(VLOOKUP($D:$D,Structure!$A:$AJ,O$1,0)*15,0),IFERROR(VLOOKUP($E:$E,Structure!$A:$AJ,O$1,0)*15,0))</f>
        <v>0</v>
      </c>
      <c r="P122" s="13">
        <f>SUM(IFERROR(VLOOKUP($C:$C,Structure!$A:$AJ,P$1,0)*15,0),IFERROR(VLOOKUP($D:$D,Structure!$A:$AJ,P$1,0)*15,0),IFERROR(VLOOKUP($E:$E,Structure!$A:$AJ,P$1,0)*15,0))</f>
        <v>0</v>
      </c>
      <c r="Q122" s="13">
        <f>SUM(IFERROR(VLOOKUP($C:$C,Structure!$A:$AJ,Q$1,0)*15,0),IFERROR(VLOOKUP($D:$D,Structure!$A:$AJ,Q$1,0)*15,0),IFERROR(VLOOKUP($E:$E,Structure!$A:$AJ,Q$1,0)*15,0))</f>
        <v>0</v>
      </c>
      <c r="R122" s="13">
        <f>SUM(IFERROR(VLOOKUP($C:$C,Structure!$A:$AJ,R$1,0)*15,0),IFERROR(VLOOKUP($D:$D,Structure!$A:$AJ,R$1,0)*15,0),IFERROR(VLOOKUP($E:$E,Structure!$A:$AJ,R$1,0)*15,0))</f>
        <v>0</v>
      </c>
      <c r="S122" s="13">
        <f>SUM(IFERROR(VLOOKUP($C:$C,Structure!$A:$AJ,S$1,0)*15,0),IFERROR(VLOOKUP($D:$D,Structure!$A:$AJ,S$1,0)*15,0),IFERROR(VLOOKUP($E:$E,Structure!$A:$AJ,S$1,0)*15,0))</f>
        <v>0</v>
      </c>
      <c r="T122" s="13">
        <f>SUM(IFERROR(VLOOKUP($C:$C,Structure!$A:$AJ,T$1,0)*15,0),IFERROR(VLOOKUP($D:$D,Structure!$A:$AJ,T$1,0)*15,0),IFERROR(VLOOKUP($E:$E,Structure!$A:$AJ,T$1,0)*15,0))</f>
        <v>0</v>
      </c>
      <c r="U122" s="13">
        <f>SUM(IFERROR(VLOOKUP($C:$C,Structure!$A:$AJ,U$1,0)*15,0),IFERROR(VLOOKUP($D:$D,Structure!$A:$AJ,U$1,0)*15,0),IFERROR(VLOOKUP($E:$E,Structure!$A:$AJ,U$1,0)*15,0))</f>
        <v>0</v>
      </c>
      <c r="V122" s="13">
        <f>SUM(IFERROR(VLOOKUP($C:$C,Structure!$A:$AJ,V$1,0)*15,0),IFERROR(VLOOKUP($D:$D,Structure!$A:$AJ,V$1,0)*15,0),IFERROR(VLOOKUP($E:$E,Structure!$A:$AJ,V$1,0)*15,0))</f>
        <v>0</v>
      </c>
      <c r="W122" s="13">
        <f>SUM(IFERROR(VLOOKUP($C:$C,Structure!$A:$AJ,W$1,0)*15,0),IFERROR(VLOOKUP($D:$D,Structure!$A:$AJ,W$1,0)*15,0),IFERROR(VLOOKUP($E:$E,Structure!$A:$AJ,W$1,0)*15,0))</f>
        <v>0</v>
      </c>
      <c r="X122" s="13">
        <f>SUM(IFERROR(VLOOKUP($C:$C,Structure!$A:$AJ,X$1,0)*15,0),IFERROR(VLOOKUP($D:$D,Structure!$A:$AJ,X$1,0)*15,0),IFERROR(VLOOKUP($E:$E,Structure!$A:$AJ,X$1,0)*15,0))</f>
        <v>0</v>
      </c>
      <c r="Y122" s="13">
        <f>SUM(IFERROR(VLOOKUP($C:$C,Structure!$A:$AJ,Y$1,0)*15,0),IFERROR(VLOOKUP($D:$D,Structure!$A:$AJ,Y$1,0)*15,0),IFERROR(VLOOKUP($E:$E,Structure!$A:$AJ,Y$1,0)*15,0))</f>
        <v>0</v>
      </c>
      <c r="Z122" s="13">
        <f>SUM(IFERROR(VLOOKUP($C:$C,Structure!$A:$AJ,Z$1,0)*15,0),IFERROR(VLOOKUP($D:$D,Structure!$A:$AJ,Z$1,0)*15,0),IFERROR(VLOOKUP($E:$E,Structure!$A:$AJ,Z$1,0)*15,0))</f>
        <v>0</v>
      </c>
      <c r="AA122" s="13">
        <f>SUM(IFERROR(VLOOKUP($C:$C,Structure!$A:$AJ,AA$1,0)*15,0),IFERROR(VLOOKUP($D:$D,Structure!$A:$AJ,AA$1,0)*15,0),IFERROR(VLOOKUP($E:$E,Structure!$A:$AJ,AA$1,0)*15,0))</f>
        <v>45</v>
      </c>
      <c r="AB122" s="13">
        <f>SUM(IFERROR(VLOOKUP($C:$C,Structure!$A:$AJ,AB$1,0)*15,0),IFERROR(VLOOKUP($D:$D,Structure!$A:$AJ,AB$1,0)*15,0),IFERROR(VLOOKUP($E:$E,Structure!$A:$AJ,AB$1,0)*15,0))</f>
        <v>0</v>
      </c>
      <c r="AC122" s="13">
        <f>SUM(IFERROR(VLOOKUP($C:$C,Structure!$A:$AJ,AC$1,0)*15,0),IFERROR(VLOOKUP($D:$D,Structure!$A:$AJ,AC$1,0)*15,0),IFERROR(VLOOKUP($E:$E,Structure!$A:$AJ,AC$1,0)*15,0))</f>
        <v>0</v>
      </c>
      <c r="AD122" s="13">
        <f>SUM(IFERROR(VLOOKUP($C:$C,Structure!$A:$AJ,AD$1,0)*15,0),IFERROR(VLOOKUP($D:$D,Structure!$A:$AJ,AD$1,0)*15,0),IFERROR(VLOOKUP($E:$E,Structure!$A:$AJ,AD$1,0)*15,0))</f>
        <v>0</v>
      </c>
      <c r="AE122" s="13">
        <f>SUM(IFERROR(VLOOKUP($C:$C,Structure!$A:$AJ,AE$1,0)*15,0),IFERROR(VLOOKUP($D:$D,Structure!$A:$AJ,AE$1,0)*15,0),IFERROR(VLOOKUP($E:$E,Structure!$A:$AJ,AE$1,0)*15,0))</f>
        <v>0</v>
      </c>
      <c r="AF122" s="13">
        <f>SUM(IFERROR(VLOOKUP($C:$C,Structure!$A:$AJ,AF$1,0)*15,0),IFERROR(VLOOKUP($D:$D,Structure!$A:$AJ,AF$1,0)*15,0),IFERROR(VLOOKUP($E:$E,Structure!$A:$AJ,AF$1,0)*15,0))</f>
        <v>0</v>
      </c>
      <c r="AG122" s="13">
        <f>SUM(IFERROR(VLOOKUP($C:$C,Structure!$A:$AJ,AG$1,0)*15,0),IFERROR(VLOOKUP($D:$D,Structure!$A:$AJ,AG$1,0)*15,0),IFERROR(VLOOKUP($E:$E,Structure!$A:$AJ,AG$1,0)*15,0))</f>
        <v>0</v>
      </c>
      <c r="AH122" s="13">
        <f>SUM(IFERROR(VLOOKUP($C:$C,Structure!$A:$AJ,AH$1,0)*15,0),IFERROR(VLOOKUP($D:$D,Structure!$A:$AJ,AH$1,0)*15,0),IFERROR(VLOOKUP($E:$E,Structure!$A:$AJ,AH$1,0)*15,0))</f>
        <v>0</v>
      </c>
      <c r="AI122" s="13">
        <f>SUM(IFERROR(VLOOKUP($C:$C,Structure!$A:$AJ,AI$1,0)*15,0),IFERROR(VLOOKUP($D:$D,Structure!$A:$AJ,AI$1,0)*15,0),IFERROR(VLOOKUP($E:$E,Structure!$A:$AJ,AI$1,0)*15,0))</f>
        <v>0</v>
      </c>
      <c r="AJ122" s="13">
        <f>SUM(IFERROR(VLOOKUP($C:$C,Structure!$A:$AJ,AJ$1,0)*15,0),IFERROR(VLOOKUP($D:$D,Structure!$A:$AJ,AJ$1,0)*15,0),IFERROR(VLOOKUP($E:$E,Structure!$A:$AJ,AJ$1,0)*15,0))</f>
        <v>45</v>
      </c>
      <c r="AK122" s="13">
        <f>SUM(IFERROR(VLOOKUP($C:$C,Structure!$A:$AJ,AK$1,0)*15,0),IFERROR(VLOOKUP($D:$D,Structure!$A:$AJ,AK$1,0)*15,0),IFERROR(VLOOKUP($E:$E,Structure!$A:$AJ,AK$1,0)*15,0))</f>
        <v>0</v>
      </c>
      <c r="AL122" s="13">
        <f>SUM(IFERROR(VLOOKUP($C:$C,Structure!$A:$AJ,AL$1,0)*15,0),IFERROR(VLOOKUP($D:$D,Structure!$A:$AJ,AL$1,0)*15,0),IFERROR(VLOOKUP($E:$E,Structure!$A:$AJ,AL$1,0)*15,0))</f>
        <v>0</v>
      </c>
      <c r="AM122" s="13">
        <f>SUM(IFERROR(VLOOKUP($C:$C,Structure!$A:$AJ,AM$1,0)*15,0),IFERROR(VLOOKUP($D:$D,Structure!$A:$AJ,AM$1,0)*15,0),IFERROR(VLOOKUP($E:$E,Structure!$A:$AJ,AM$1,0)*15,0))</f>
        <v>0</v>
      </c>
      <c r="AN122" s="13">
        <f>SUM(IFERROR(VLOOKUP($C:$C,Structure!$A:$AJ,AN$1,0)*15,0),IFERROR(VLOOKUP($D:$D,Structure!$A:$AJ,AN$1,0)*15,0),IFERROR(VLOOKUP($E:$E,Structure!$A:$AJ,AN$1,0)*15,0))</f>
        <v>0</v>
      </c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3"/>
      <c r="BZ122" s="4">
        <f>BZ121+AQ122-F122</f>
        <v>0</v>
      </c>
      <c r="CA122" s="4">
        <f>CA121+AR122-G122</f>
        <v>0</v>
      </c>
      <c r="CB122" s="4">
        <f>CB121+AS122-H122</f>
        <v>0</v>
      </c>
      <c r="CC122" s="4">
        <f>CC121+AT122-I122</f>
        <v>0</v>
      </c>
      <c r="CD122" s="4">
        <f>CD121+AU122-J122</f>
        <v>0</v>
      </c>
      <c r="CE122" s="4">
        <f>CE121+AV122-K122</f>
        <v>0</v>
      </c>
      <c r="CF122" s="4">
        <f>CF121+AW122-L122</f>
        <v>0</v>
      </c>
      <c r="CG122" s="4">
        <f>CG121+AX122-M122</f>
        <v>0</v>
      </c>
      <c r="CH122" s="4">
        <f>CH121+AY122-N122</f>
        <v>0</v>
      </c>
      <c r="CI122" s="4">
        <f>CI121+AZ122-O122</f>
        <v>0</v>
      </c>
      <c r="CJ122" s="4">
        <f>CJ121+BA122-P122</f>
        <v>0</v>
      </c>
      <c r="CK122" s="4">
        <f>CK121+BB122-Q122</f>
        <v>0</v>
      </c>
      <c r="CL122" s="4">
        <f>CL121+BC122-R122</f>
        <v>0</v>
      </c>
      <c r="CM122" s="4">
        <f>CM121+BD122-S122</f>
        <v>0</v>
      </c>
      <c r="CN122" s="4">
        <f>CN121+BE122-T122</f>
        <v>0</v>
      </c>
      <c r="CO122" s="4">
        <f>CO121+BF122-U122</f>
        <v>0</v>
      </c>
      <c r="CP122" s="4">
        <f>CP121+BG122-V122</f>
        <v>-60</v>
      </c>
      <c r="CQ122" s="4">
        <f>CQ121+BH122-W122</f>
        <v>0</v>
      </c>
      <c r="CR122" s="4">
        <f>CR121+BI122-X122</f>
        <v>-60</v>
      </c>
      <c r="CS122" s="4">
        <f>CS121+BJ122-Y122</f>
        <v>0</v>
      </c>
      <c r="CT122" s="4">
        <f>CT121+BK122-Z122</f>
        <v>0</v>
      </c>
      <c r="CU122" s="4">
        <f>CU121+BL122-AA122</f>
        <v>-4685</v>
      </c>
      <c r="CV122" s="4">
        <f>CV121+BM122-AB122</f>
        <v>-240</v>
      </c>
      <c r="CW122" s="4">
        <f>CW121+BN122-AC122</f>
        <v>-255</v>
      </c>
      <c r="CX122" s="4">
        <f>CX121+BO122-AD122</f>
        <v>0</v>
      </c>
      <c r="CY122" s="4">
        <f>CY121+BP122-AE122</f>
        <v>-60</v>
      </c>
      <c r="CZ122" s="4">
        <f>CZ121+BQ122-AF122</f>
        <v>-160</v>
      </c>
      <c r="DA122" s="4">
        <f>DA121+BR122-AG122</f>
        <v>0</v>
      </c>
      <c r="DB122" s="4">
        <f>DB121+BS122-AH122</f>
        <v>-60</v>
      </c>
      <c r="DC122" s="4">
        <f>DC121+BT122-AI122</f>
        <v>0</v>
      </c>
      <c r="DD122" s="4">
        <f>DD121+BU122-AJ122</f>
        <v>-3445</v>
      </c>
      <c r="DE122" s="4">
        <f>DE121+BV122-AK122</f>
        <v>-1260</v>
      </c>
      <c r="DF122" s="4">
        <f>DF121+BW122-AL122</f>
        <v>0</v>
      </c>
      <c r="DG122" s="4">
        <f>DG121+BX122-AM122</f>
        <v>-235</v>
      </c>
      <c r="DH122" s="4">
        <f>DH121+BY122-AN122</f>
        <v>0</v>
      </c>
    </row>
    <row r="123" spans="1:112" x14ac:dyDescent="0.25">
      <c r="A123" s="6">
        <v>46184</v>
      </c>
      <c r="B123" s="7">
        <v>0.33333333304472035</v>
      </c>
      <c r="C123" s="3" t="s">
        <v>2</v>
      </c>
      <c r="D123" s="3" t="s">
        <v>6</v>
      </c>
      <c r="E123" s="3" t="s">
        <v>2</v>
      </c>
      <c r="F123" s="13">
        <f>SUM(IFERROR(VLOOKUP($C:$C,Structure!$A:$AJ,F$1,0)*15,0),IFERROR(VLOOKUP($D:$D,Structure!$A:$AJ,F$1,0)*15,0),IFERROR(VLOOKUP($E:$E,Structure!$A:$AJ,F$1,0)*15,0))</f>
        <v>0</v>
      </c>
      <c r="G123" s="13">
        <f>SUM(IFERROR(VLOOKUP($C:$C,Structure!$A:$AJ,G$1,0)*15,0),IFERROR(VLOOKUP($D:$D,Structure!$A:$AJ,G$1,0)*15,0),IFERROR(VLOOKUP($E:$E,Structure!$A:$AJ,G$1,0)*15,0))</f>
        <v>0</v>
      </c>
      <c r="H123" s="13">
        <f>SUM(IFERROR(VLOOKUP($C:$C,Structure!$A:$AJ,H$1,0)*15,0),IFERROR(VLOOKUP($D:$D,Structure!$A:$AJ,H$1,0)*15,0),IFERROR(VLOOKUP($E:$E,Structure!$A:$AJ,H$1,0)*15,0))</f>
        <v>0</v>
      </c>
      <c r="I123" s="13">
        <f>SUM(IFERROR(VLOOKUP($C:$C,Structure!$A:$AJ,I$1,0)*15,0),IFERROR(VLOOKUP($D:$D,Structure!$A:$AJ,I$1,0)*15,0),IFERROR(VLOOKUP($E:$E,Structure!$A:$AJ,I$1,0)*15,0))</f>
        <v>0</v>
      </c>
      <c r="J123" s="13">
        <f>SUM(IFERROR(VLOOKUP($C:$C,Structure!$A:$AJ,J$1,0)*15,0),IFERROR(VLOOKUP($D:$D,Structure!$A:$AJ,J$1,0)*15,0),IFERROR(VLOOKUP($E:$E,Structure!$A:$AJ,J$1,0)*15,0))</f>
        <v>0</v>
      </c>
      <c r="K123" s="13">
        <f>SUM(IFERROR(VLOOKUP($C:$C,Structure!$A:$AJ,K$1,0)*15,0),IFERROR(VLOOKUP($D:$D,Structure!$A:$AJ,K$1,0)*15,0),IFERROR(VLOOKUP($E:$E,Structure!$A:$AJ,K$1,0)*15,0))</f>
        <v>0</v>
      </c>
      <c r="L123" s="13">
        <f>SUM(IFERROR(VLOOKUP($C:$C,Structure!$A:$AJ,L$1,0)*15,0),IFERROR(VLOOKUP($D:$D,Structure!$A:$AJ,L$1,0)*15,0),IFERROR(VLOOKUP($E:$E,Structure!$A:$AJ,L$1,0)*15,0))</f>
        <v>0</v>
      </c>
      <c r="M123" s="13">
        <f>SUM(IFERROR(VLOOKUP($C:$C,Structure!$A:$AJ,M$1,0)*15,0),IFERROR(VLOOKUP($D:$D,Structure!$A:$AJ,M$1,0)*15,0),IFERROR(VLOOKUP($E:$E,Structure!$A:$AJ,M$1,0)*15,0))</f>
        <v>0</v>
      </c>
      <c r="N123" s="13">
        <f>SUM(IFERROR(VLOOKUP($C:$C,Structure!$A:$AJ,N$1,0)*15,0),IFERROR(VLOOKUP($D:$D,Structure!$A:$AJ,N$1,0)*15,0),IFERROR(VLOOKUP($E:$E,Structure!$A:$AJ,N$1,0)*15,0))</f>
        <v>0</v>
      </c>
      <c r="O123" s="13">
        <f>SUM(IFERROR(VLOOKUP($C:$C,Structure!$A:$AJ,O$1,0)*15,0),IFERROR(VLOOKUP($D:$D,Structure!$A:$AJ,O$1,0)*15,0),IFERROR(VLOOKUP($E:$E,Structure!$A:$AJ,O$1,0)*15,0))</f>
        <v>0</v>
      </c>
      <c r="P123" s="13">
        <f>SUM(IFERROR(VLOOKUP($C:$C,Structure!$A:$AJ,P$1,0)*15,0),IFERROR(VLOOKUP($D:$D,Structure!$A:$AJ,P$1,0)*15,0),IFERROR(VLOOKUP($E:$E,Structure!$A:$AJ,P$1,0)*15,0))</f>
        <v>0</v>
      </c>
      <c r="Q123" s="13">
        <f>SUM(IFERROR(VLOOKUP($C:$C,Structure!$A:$AJ,Q$1,0)*15,0),IFERROR(VLOOKUP($D:$D,Structure!$A:$AJ,Q$1,0)*15,0),IFERROR(VLOOKUP($E:$E,Structure!$A:$AJ,Q$1,0)*15,0))</f>
        <v>0</v>
      </c>
      <c r="R123" s="13">
        <f>SUM(IFERROR(VLOOKUP($C:$C,Structure!$A:$AJ,R$1,0)*15,0),IFERROR(VLOOKUP($D:$D,Structure!$A:$AJ,R$1,0)*15,0),IFERROR(VLOOKUP($E:$E,Structure!$A:$AJ,R$1,0)*15,0))</f>
        <v>0</v>
      </c>
      <c r="S123" s="13">
        <f>SUM(IFERROR(VLOOKUP($C:$C,Structure!$A:$AJ,S$1,0)*15,0),IFERROR(VLOOKUP($D:$D,Structure!$A:$AJ,S$1,0)*15,0),IFERROR(VLOOKUP($E:$E,Structure!$A:$AJ,S$1,0)*15,0))</f>
        <v>0</v>
      </c>
      <c r="T123" s="13">
        <f>SUM(IFERROR(VLOOKUP($C:$C,Structure!$A:$AJ,T$1,0)*15,0),IFERROR(VLOOKUP($D:$D,Structure!$A:$AJ,T$1,0)*15,0),IFERROR(VLOOKUP($E:$E,Structure!$A:$AJ,T$1,0)*15,0))</f>
        <v>0</v>
      </c>
      <c r="U123" s="13">
        <f>SUM(IFERROR(VLOOKUP($C:$C,Structure!$A:$AJ,U$1,0)*15,0),IFERROR(VLOOKUP($D:$D,Structure!$A:$AJ,U$1,0)*15,0),IFERROR(VLOOKUP($E:$E,Structure!$A:$AJ,U$1,0)*15,0))</f>
        <v>0</v>
      </c>
      <c r="V123" s="13">
        <f>SUM(IFERROR(VLOOKUP($C:$C,Structure!$A:$AJ,V$1,0)*15,0),IFERROR(VLOOKUP($D:$D,Structure!$A:$AJ,V$1,0)*15,0),IFERROR(VLOOKUP($E:$E,Structure!$A:$AJ,V$1,0)*15,0))</f>
        <v>0</v>
      </c>
      <c r="W123" s="13">
        <f>SUM(IFERROR(VLOOKUP($C:$C,Structure!$A:$AJ,W$1,0)*15,0),IFERROR(VLOOKUP($D:$D,Structure!$A:$AJ,W$1,0)*15,0),IFERROR(VLOOKUP($E:$E,Structure!$A:$AJ,W$1,0)*15,0))</f>
        <v>0</v>
      </c>
      <c r="X123" s="13">
        <f>SUM(IFERROR(VLOOKUP($C:$C,Structure!$A:$AJ,X$1,0)*15,0),IFERROR(VLOOKUP($D:$D,Structure!$A:$AJ,X$1,0)*15,0),IFERROR(VLOOKUP($E:$E,Structure!$A:$AJ,X$1,0)*15,0))</f>
        <v>0</v>
      </c>
      <c r="Y123" s="13">
        <f>SUM(IFERROR(VLOOKUP($C:$C,Structure!$A:$AJ,Y$1,0)*15,0),IFERROR(VLOOKUP($D:$D,Structure!$A:$AJ,Y$1,0)*15,0),IFERROR(VLOOKUP($E:$E,Structure!$A:$AJ,Y$1,0)*15,0))</f>
        <v>0</v>
      </c>
      <c r="Z123" s="13">
        <f>SUM(IFERROR(VLOOKUP($C:$C,Structure!$A:$AJ,Z$1,0)*15,0),IFERROR(VLOOKUP($D:$D,Structure!$A:$AJ,Z$1,0)*15,0),IFERROR(VLOOKUP($E:$E,Structure!$A:$AJ,Z$1,0)*15,0))</f>
        <v>0</v>
      </c>
      <c r="AA123" s="13">
        <f>SUM(IFERROR(VLOOKUP($C:$C,Structure!$A:$AJ,AA$1,0)*15,0),IFERROR(VLOOKUP($D:$D,Structure!$A:$AJ,AA$1,0)*15,0),IFERROR(VLOOKUP($E:$E,Structure!$A:$AJ,AA$1,0)*15,0))</f>
        <v>45</v>
      </c>
      <c r="AB123" s="13">
        <f>SUM(IFERROR(VLOOKUP($C:$C,Structure!$A:$AJ,AB$1,0)*15,0),IFERROR(VLOOKUP($D:$D,Structure!$A:$AJ,AB$1,0)*15,0),IFERROR(VLOOKUP($E:$E,Structure!$A:$AJ,AB$1,0)*15,0))</f>
        <v>0</v>
      </c>
      <c r="AC123" s="13">
        <f>SUM(IFERROR(VLOOKUP($C:$C,Structure!$A:$AJ,AC$1,0)*15,0),IFERROR(VLOOKUP($D:$D,Structure!$A:$AJ,AC$1,0)*15,0),IFERROR(VLOOKUP($E:$E,Structure!$A:$AJ,AC$1,0)*15,0))</f>
        <v>0</v>
      </c>
      <c r="AD123" s="13">
        <f>SUM(IFERROR(VLOOKUP($C:$C,Structure!$A:$AJ,AD$1,0)*15,0),IFERROR(VLOOKUP($D:$D,Structure!$A:$AJ,AD$1,0)*15,0),IFERROR(VLOOKUP($E:$E,Structure!$A:$AJ,AD$1,0)*15,0))</f>
        <v>0</v>
      </c>
      <c r="AE123" s="13">
        <f>SUM(IFERROR(VLOOKUP($C:$C,Structure!$A:$AJ,AE$1,0)*15,0),IFERROR(VLOOKUP($D:$D,Structure!$A:$AJ,AE$1,0)*15,0),IFERROR(VLOOKUP($E:$E,Structure!$A:$AJ,AE$1,0)*15,0))</f>
        <v>0</v>
      </c>
      <c r="AF123" s="13">
        <f>SUM(IFERROR(VLOOKUP($C:$C,Structure!$A:$AJ,AF$1,0)*15,0),IFERROR(VLOOKUP($D:$D,Structure!$A:$AJ,AF$1,0)*15,0),IFERROR(VLOOKUP($E:$E,Structure!$A:$AJ,AF$1,0)*15,0))</f>
        <v>0</v>
      </c>
      <c r="AG123" s="13">
        <f>SUM(IFERROR(VLOOKUP($C:$C,Structure!$A:$AJ,AG$1,0)*15,0),IFERROR(VLOOKUP($D:$D,Structure!$A:$AJ,AG$1,0)*15,0),IFERROR(VLOOKUP($E:$E,Structure!$A:$AJ,AG$1,0)*15,0))</f>
        <v>0</v>
      </c>
      <c r="AH123" s="13">
        <f>SUM(IFERROR(VLOOKUP($C:$C,Structure!$A:$AJ,AH$1,0)*15,0),IFERROR(VLOOKUP($D:$D,Structure!$A:$AJ,AH$1,0)*15,0),IFERROR(VLOOKUP($E:$E,Structure!$A:$AJ,AH$1,0)*15,0))</f>
        <v>0</v>
      </c>
      <c r="AI123" s="13">
        <f>SUM(IFERROR(VLOOKUP($C:$C,Structure!$A:$AJ,AI$1,0)*15,0),IFERROR(VLOOKUP($D:$D,Structure!$A:$AJ,AI$1,0)*15,0),IFERROR(VLOOKUP($E:$E,Structure!$A:$AJ,AI$1,0)*15,0))</f>
        <v>0</v>
      </c>
      <c r="AJ123" s="13">
        <f>SUM(IFERROR(VLOOKUP($C:$C,Structure!$A:$AJ,AJ$1,0)*15,0),IFERROR(VLOOKUP($D:$D,Structure!$A:$AJ,AJ$1,0)*15,0),IFERROR(VLOOKUP($E:$E,Structure!$A:$AJ,AJ$1,0)*15,0))</f>
        <v>45</v>
      </c>
      <c r="AK123" s="13">
        <f>SUM(IFERROR(VLOOKUP($C:$C,Structure!$A:$AJ,AK$1,0)*15,0),IFERROR(VLOOKUP($D:$D,Structure!$A:$AJ,AK$1,0)*15,0),IFERROR(VLOOKUP($E:$E,Structure!$A:$AJ,AK$1,0)*15,0))</f>
        <v>0</v>
      </c>
      <c r="AL123" s="13">
        <f>SUM(IFERROR(VLOOKUP($C:$C,Structure!$A:$AJ,AL$1,0)*15,0),IFERROR(VLOOKUP($D:$D,Structure!$A:$AJ,AL$1,0)*15,0),IFERROR(VLOOKUP($E:$E,Structure!$A:$AJ,AL$1,0)*15,0))</f>
        <v>0</v>
      </c>
      <c r="AM123" s="13">
        <f>SUM(IFERROR(VLOOKUP($C:$C,Structure!$A:$AJ,AM$1,0)*15,0),IFERROR(VLOOKUP($D:$D,Structure!$A:$AJ,AM$1,0)*15,0),IFERROR(VLOOKUP($E:$E,Structure!$A:$AJ,AM$1,0)*15,0))</f>
        <v>0</v>
      </c>
      <c r="AN123" s="13">
        <f>SUM(IFERROR(VLOOKUP($C:$C,Structure!$A:$AJ,AN$1,0)*15,0),IFERROR(VLOOKUP($D:$D,Structure!$A:$AJ,AN$1,0)*15,0),IFERROR(VLOOKUP($E:$E,Structure!$A:$AJ,AN$1,0)*15,0))</f>
        <v>0</v>
      </c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3"/>
      <c r="BZ123" s="4">
        <f>BZ122+AQ123-F123</f>
        <v>0</v>
      </c>
      <c r="CA123" s="4">
        <f>CA122+AR123-G123</f>
        <v>0</v>
      </c>
      <c r="CB123" s="4">
        <f>CB122+AS123-H123</f>
        <v>0</v>
      </c>
      <c r="CC123" s="4">
        <f>CC122+AT123-I123</f>
        <v>0</v>
      </c>
      <c r="CD123" s="4">
        <f>CD122+AU123-J123</f>
        <v>0</v>
      </c>
      <c r="CE123" s="4">
        <f>CE122+AV123-K123</f>
        <v>0</v>
      </c>
      <c r="CF123" s="4">
        <f>CF122+AW123-L123</f>
        <v>0</v>
      </c>
      <c r="CG123" s="4">
        <f>CG122+AX123-M123</f>
        <v>0</v>
      </c>
      <c r="CH123" s="4">
        <f>CH122+AY123-N123</f>
        <v>0</v>
      </c>
      <c r="CI123" s="4">
        <f>CI122+AZ123-O123</f>
        <v>0</v>
      </c>
      <c r="CJ123" s="4">
        <f>CJ122+BA123-P123</f>
        <v>0</v>
      </c>
      <c r="CK123" s="4">
        <f>CK122+BB123-Q123</f>
        <v>0</v>
      </c>
      <c r="CL123" s="4">
        <f>CL122+BC123-R123</f>
        <v>0</v>
      </c>
      <c r="CM123" s="4">
        <f>CM122+BD123-S123</f>
        <v>0</v>
      </c>
      <c r="CN123" s="4">
        <f>CN122+BE123-T123</f>
        <v>0</v>
      </c>
      <c r="CO123" s="4">
        <f>CO122+BF123-U123</f>
        <v>0</v>
      </c>
      <c r="CP123" s="4">
        <f>CP122+BG123-V123</f>
        <v>-60</v>
      </c>
      <c r="CQ123" s="4">
        <f>CQ122+BH123-W123</f>
        <v>0</v>
      </c>
      <c r="CR123" s="4">
        <f>CR122+BI123-X123</f>
        <v>-60</v>
      </c>
      <c r="CS123" s="4">
        <f>CS122+BJ123-Y123</f>
        <v>0</v>
      </c>
      <c r="CT123" s="4">
        <f>CT122+BK123-Z123</f>
        <v>0</v>
      </c>
      <c r="CU123" s="4">
        <f>CU122+BL123-AA123</f>
        <v>-4730</v>
      </c>
      <c r="CV123" s="4">
        <f>CV122+BM123-AB123</f>
        <v>-240</v>
      </c>
      <c r="CW123" s="4">
        <f>CW122+BN123-AC123</f>
        <v>-255</v>
      </c>
      <c r="CX123" s="4">
        <f>CX122+BO123-AD123</f>
        <v>0</v>
      </c>
      <c r="CY123" s="4">
        <f>CY122+BP123-AE123</f>
        <v>-60</v>
      </c>
      <c r="CZ123" s="4">
        <f>CZ122+BQ123-AF123</f>
        <v>-160</v>
      </c>
      <c r="DA123" s="4">
        <f>DA122+BR123-AG123</f>
        <v>0</v>
      </c>
      <c r="DB123" s="4">
        <f>DB122+BS123-AH123</f>
        <v>-60</v>
      </c>
      <c r="DC123" s="4">
        <f>DC122+BT123-AI123</f>
        <v>0</v>
      </c>
      <c r="DD123" s="4">
        <f>DD122+BU123-AJ123</f>
        <v>-3490</v>
      </c>
      <c r="DE123" s="4">
        <f>DE122+BV123-AK123</f>
        <v>-1260</v>
      </c>
      <c r="DF123" s="4">
        <f>DF122+BW123-AL123</f>
        <v>0</v>
      </c>
      <c r="DG123" s="4">
        <f>DG122+BX123-AM123</f>
        <v>-235</v>
      </c>
      <c r="DH123" s="4">
        <f>DH122+BY123-AN123</f>
        <v>0</v>
      </c>
    </row>
    <row r="124" spans="1:112" x14ac:dyDescent="0.25">
      <c r="A124" s="6">
        <v>46184</v>
      </c>
      <c r="B124" s="7">
        <v>0.3749999997089617</v>
      </c>
      <c r="C124" s="3" t="s">
        <v>2</v>
      </c>
      <c r="D124" s="3" t="s">
        <v>6</v>
      </c>
      <c r="E124" s="3" t="s">
        <v>2</v>
      </c>
      <c r="F124" s="13">
        <f>SUM(IFERROR(VLOOKUP($C:$C,Structure!$A:$AJ,F$1,0)*15,0),IFERROR(VLOOKUP($D:$D,Structure!$A:$AJ,F$1,0)*15,0),IFERROR(VLOOKUP($E:$E,Structure!$A:$AJ,F$1,0)*15,0))</f>
        <v>0</v>
      </c>
      <c r="G124" s="13">
        <f>SUM(IFERROR(VLOOKUP($C:$C,Structure!$A:$AJ,G$1,0)*15,0),IFERROR(VLOOKUP($D:$D,Structure!$A:$AJ,G$1,0)*15,0),IFERROR(VLOOKUP($E:$E,Structure!$A:$AJ,G$1,0)*15,0))</f>
        <v>0</v>
      </c>
      <c r="H124" s="13">
        <f>SUM(IFERROR(VLOOKUP($C:$C,Structure!$A:$AJ,H$1,0)*15,0),IFERROR(VLOOKUP($D:$D,Structure!$A:$AJ,H$1,0)*15,0),IFERROR(VLOOKUP($E:$E,Structure!$A:$AJ,H$1,0)*15,0))</f>
        <v>0</v>
      </c>
      <c r="I124" s="13">
        <f>SUM(IFERROR(VLOOKUP($C:$C,Structure!$A:$AJ,I$1,0)*15,0),IFERROR(VLOOKUP($D:$D,Structure!$A:$AJ,I$1,0)*15,0),IFERROR(VLOOKUP($E:$E,Structure!$A:$AJ,I$1,0)*15,0))</f>
        <v>0</v>
      </c>
      <c r="J124" s="13">
        <f>SUM(IFERROR(VLOOKUP($C:$C,Structure!$A:$AJ,J$1,0)*15,0),IFERROR(VLOOKUP($D:$D,Structure!$A:$AJ,J$1,0)*15,0),IFERROR(VLOOKUP($E:$E,Structure!$A:$AJ,J$1,0)*15,0))</f>
        <v>0</v>
      </c>
      <c r="K124" s="13">
        <f>SUM(IFERROR(VLOOKUP($C:$C,Structure!$A:$AJ,K$1,0)*15,0),IFERROR(VLOOKUP($D:$D,Structure!$A:$AJ,K$1,0)*15,0),IFERROR(VLOOKUP($E:$E,Structure!$A:$AJ,K$1,0)*15,0))</f>
        <v>0</v>
      </c>
      <c r="L124" s="13">
        <f>SUM(IFERROR(VLOOKUP($C:$C,Structure!$A:$AJ,L$1,0)*15,0),IFERROR(VLOOKUP($D:$D,Structure!$A:$AJ,L$1,0)*15,0),IFERROR(VLOOKUP($E:$E,Structure!$A:$AJ,L$1,0)*15,0))</f>
        <v>0</v>
      </c>
      <c r="M124" s="13">
        <f>SUM(IFERROR(VLOOKUP($C:$C,Structure!$A:$AJ,M$1,0)*15,0),IFERROR(VLOOKUP($D:$D,Structure!$A:$AJ,M$1,0)*15,0),IFERROR(VLOOKUP($E:$E,Structure!$A:$AJ,M$1,0)*15,0))</f>
        <v>0</v>
      </c>
      <c r="N124" s="13">
        <f>SUM(IFERROR(VLOOKUP($C:$C,Structure!$A:$AJ,N$1,0)*15,0),IFERROR(VLOOKUP($D:$D,Structure!$A:$AJ,N$1,0)*15,0),IFERROR(VLOOKUP($E:$E,Structure!$A:$AJ,N$1,0)*15,0))</f>
        <v>0</v>
      </c>
      <c r="O124" s="13">
        <f>SUM(IFERROR(VLOOKUP($C:$C,Structure!$A:$AJ,O$1,0)*15,0),IFERROR(VLOOKUP($D:$D,Structure!$A:$AJ,O$1,0)*15,0),IFERROR(VLOOKUP($E:$E,Structure!$A:$AJ,O$1,0)*15,0))</f>
        <v>0</v>
      </c>
      <c r="P124" s="13">
        <f>SUM(IFERROR(VLOOKUP($C:$C,Structure!$A:$AJ,P$1,0)*15,0),IFERROR(VLOOKUP($D:$D,Structure!$A:$AJ,P$1,0)*15,0),IFERROR(VLOOKUP($E:$E,Structure!$A:$AJ,P$1,0)*15,0))</f>
        <v>0</v>
      </c>
      <c r="Q124" s="13">
        <f>SUM(IFERROR(VLOOKUP($C:$C,Structure!$A:$AJ,Q$1,0)*15,0),IFERROR(VLOOKUP($D:$D,Structure!$A:$AJ,Q$1,0)*15,0),IFERROR(VLOOKUP($E:$E,Structure!$A:$AJ,Q$1,0)*15,0))</f>
        <v>0</v>
      </c>
      <c r="R124" s="13">
        <f>SUM(IFERROR(VLOOKUP($C:$C,Structure!$A:$AJ,R$1,0)*15,0),IFERROR(VLOOKUP($D:$D,Structure!$A:$AJ,R$1,0)*15,0),IFERROR(VLOOKUP($E:$E,Structure!$A:$AJ,R$1,0)*15,0))</f>
        <v>0</v>
      </c>
      <c r="S124" s="13">
        <f>SUM(IFERROR(VLOOKUP($C:$C,Structure!$A:$AJ,S$1,0)*15,0),IFERROR(VLOOKUP($D:$D,Structure!$A:$AJ,S$1,0)*15,0),IFERROR(VLOOKUP($E:$E,Structure!$A:$AJ,S$1,0)*15,0))</f>
        <v>0</v>
      </c>
      <c r="T124" s="13">
        <f>SUM(IFERROR(VLOOKUP($C:$C,Structure!$A:$AJ,T$1,0)*15,0),IFERROR(VLOOKUP($D:$D,Structure!$A:$AJ,T$1,0)*15,0),IFERROR(VLOOKUP($E:$E,Structure!$A:$AJ,T$1,0)*15,0))</f>
        <v>0</v>
      </c>
      <c r="U124" s="13">
        <f>SUM(IFERROR(VLOOKUP($C:$C,Structure!$A:$AJ,U$1,0)*15,0),IFERROR(VLOOKUP($D:$D,Structure!$A:$AJ,U$1,0)*15,0),IFERROR(VLOOKUP($E:$E,Structure!$A:$AJ,U$1,0)*15,0))</f>
        <v>0</v>
      </c>
      <c r="V124" s="13">
        <f>SUM(IFERROR(VLOOKUP($C:$C,Structure!$A:$AJ,V$1,0)*15,0),IFERROR(VLOOKUP($D:$D,Structure!$A:$AJ,V$1,0)*15,0),IFERROR(VLOOKUP($E:$E,Structure!$A:$AJ,V$1,0)*15,0))</f>
        <v>0</v>
      </c>
      <c r="W124" s="13">
        <f>SUM(IFERROR(VLOOKUP($C:$C,Structure!$A:$AJ,W$1,0)*15,0),IFERROR(VLOOKUP($D:$D,Structure!$A:$AJ,W$1,0)*15,0),IFERROR(VLOOKUP($E:$E,Structure!$A:$AJ,W$1,0)*15,0))</f>
        <v>0</v>
      </c>
      <c r="X124" s="13">
        <f>SUM(IFERROR(VLOOKUP($C:$C,Structure!$A:$AJ,X$1,0)*15,0),IFERROR(VLOOKUP($D:$D,Structure!$A:$AJ,X$1,0)*15,0),IFERROR(VLOOKUP($E:$E,Structure!$A:$AJ,X$1,0)*15,0))</f>
        <v>0</v>
      </c>
      <c r="Y124" s="13">
        <f>SUM(IFERROR(VLOOKUP($C:$C,Structure!$A:$AJ,Y$1,0)*15,0),IFERROR(VLOOKUP($D:$D,Structure!$A:$AJ,Y$1,0)*15,0),IFERROR(VLOOKUP($E:$E,Structure!$A:$AJ,Y$1,0)*15,0))</f>
        <v>0</v>
      </c>
      <c r="Z124" s="13">
        <f>SUM(IFERROR(VLOOKUP($C:$C,Structure!$A:$AJ,Z$1,0)*15,0),IFERROR(VLOOKUP($D:$D,Structure!$A:$AJ,Z$1,0)*15,0),IFERROR(VLOOKUP($E:$E,Structure!$A:$AJ,Z$1,0)*15,0))</f>
        <v>0</v>
      </c>
      <c r="AA124" s="13">
        <f>SUM(IFERROR(VLOOKUP($C:$C,Structure!$A:$AJ,AA$1,0)*15,0),IFERROR(VLOOKUP($D:$D,Structure!$A:$AJ,AA$1,0)*15,0),IFERROR(VLOOKUP($E:$E,Structure!$A:$AJ,AA$1,0)*15,0))</f>
        <v>45</v>
      </c>
      <c r="AB124" s="13">
        <f>SUM(IFERROR(VLOOKUP($C:$C,Structure!$A:$AJ,AB$1,0)*15,0),IFERROR(VLOOKUP($D:$D,Structure!$A:$AJ,AB$1,0)*15,0),IFERROR(VLOOKUP($E:$E,Structure!$A:$AJ,AB$1,0)*15,0))</f>
        <v>0</v>
      </c>
      <c r="AC124" s="13">
        <f>SUM(IFERROR(VLOOKUP($C:$C,Structure!$A:$AJ,AC$1,0)*15,0),IFERROR(VLOOKUP($D:$D,Structure!$A:$AJ,AC$1,0)*15,0),IFERROR(VLOOKUP($E:$E,Structure!$A:$AJ,AC$1,0)*15,0))</f>
        <v>0</v>
      </c>
      <c r="AD124" s="13">
        <f>SUM(IFERROR(VLOOKUP($C:$C,Structure!$A:$AJ,AD$1,0)*15,0),IFERROR(VLOOKUP($D:$D,Structure!$A:$AJ,AD$1,0)*15,0),IFERROR(VLOOKUP($E:$E,Structure!$A:$AJ,AD$1,0)*15,0))</f>
        <v>0</v>
      </c>
      <c r="AE124" s="13">
        <f>SUM(IFERROR(VLOOKUP($C:$C,Structure!$A:$AJ,AE$1,0)*15,0),IFERROR(VLOOKUP($D:$D,Structure!$A:$AJ,AE$1,0)*15,0),IFERROR(VLOOKUP($E:$E,Structure!$A:$AJ,AE$1,0)*15,0))</f>
        <v>0</v>
      </c>
      <c r="AF124" s="13">
        <f>SUM(IFERROR(VLOOKUP($C:$C,Structure!$A:$AJ,AF$1,0)*15,0),IFERROR(VLOOKUP($D:$D,Structure!$A:$AJ,AF$1,0)*15,0),IFERROR(VLOOKUP($E:$E,Structure!$A:$AJ,AF$1,0)*15,0))</f>
        <v>0</v>
      </c>
      <c r="AG124" s="13">
        <f>SUM(IFERROR(VLOOKUP($C:$C,Structure!$A:$AJ,AG$1,0)*15,0),IFERROR(VLOOKUP($D:$D,Structure!$A:$AJ,AG$1,0)*15,0),IFERROR(VLOOKUP($E:$E,Structure!$A:$AJ,AG$1,0)*15,0))</f>
        <v>0</v>
      </c>
      <c r="AH124" s="13">
        <f>SUM(IFERROR(VLOOKUP($C:$C,Structure!$A:$AJ,AH$1,0)*15,0),IFERROR(VLOOKUP($D:$D,Structure!$A:$AJ,AH$1,0)*15,0),IFERROR(VLOOKUP($E:$E,Structure!$A:$AJ,AH$1,0)*15,0))</f>
        <v>0</v>
      </c>
      <c r="AI124" s="13">
        <f>SUM(IFERROR(VLOOKUP($C:$C,Structure!$A:$AJ,AI$1,0)*15,0),IFERROR(VLOOKUP($D:$D,Structure!$A:$AJ,AI$1,0)*15,0),IFERROR(VLOOKUP($E:$E,Structure!$A:$AJ,AI$1,0)*15,0))</f>
        <v>0</v>
      </c>
      <c r="AJ124" s="13">
        <f>SUM(IFERROR(VLOOKUP($C:$C,Structure!$A:$AJ,AJ$1,0)*15,0),IFERROR(VLOOKUP($D:$D,Structure!$A:$AJ,AJ$1,0)*15,0),IFERROR(VLOOKUP($E:$E,Structure!$A:$AJ,AJ$1,0)*15,0))</f>
        <v>45</v>
      </c>
      <c r="AK124" s="13">
        <f>SUM(IFERROR(VLOOKUP($C:$C,Structure!$A:$AJ,AK$1,0)*15,0),IFERROR(VLOOKUP($D:$D,Structure!$A:$AJ,AK$1,0)*15,0),IFERROR(VLOOKUP($E:$E,Structure!$A:$AJ,AK$1,0)*15,0))</f>
        <v>0</v>
      </c>
      <c r="AL124" s="13">
        <f>SUM(IFERROR(VLOOKUP($C:$C,Structure!$A:$AJ,AL$1,0)*15,0),IFERROR(VLOOKUP($D:$D,Structure!$A:$AJ,AL$1,0)*15,0),IFERROR(VLOOKUP($E:$E,Structure!$A:$AJ,AL$1,0)*15,0))</f>
        <v>0</v>
      </c>
      <c r="AM124" s="13">
        <f>SUM(IFERROR(VLOOKUP($C:$C,Structure!$A:$AJ,AM$1,0)*15,0),IFERROR(VLOOKUP($D:$D,Structure!$A:$AJ,AM$1,0)*15,0),IFERROR(VLOOKUP($E:$E,Structure!$A:$AJ,AM$1,0)*15,0))</f>
        <v>0</v>
      </c>
      <c r="AN124" s="13">
        <f>SUM(IFERROR(VLOOKUP($C:$C,Structure!$A:$AJ,AN$1,0)*15,0),IFERROR(VLOOKUP($D:$D,Structure!$A:$AJ,AN$1,0)*15,0),IFERROR(VLOOKUP($E:$E,Structure!$A:$AJ,AN$1,0)*15,0))</f>
        <v>0</v>
      </c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3"/>
      <c r="BZ124" s="4">
        <f>BZ123+AQ124-F124</f>
        <v>0</v>
      </c>
      <c r="CA124" s="4">
        <f>CA123+AR124-G124</f>
        <v>0</v>
      </c>
      <c r="CB124" s="4">
        <f>CB123+AS124-H124</f>
        <v>0</v>
      </c>
      <c r="CC124" s="4">
        <f>CC123+AT124-I124</f>
        <v>0</v>
      </c>
      <c r="CD124" s="4">
        <f>CD123+AU124-J124</f>
        <v>0</v>
      </c>
      <c r="CE124" s="4">
        <f>CE123+AV124-K124</f>
        <v>0</v>
      </c>
      <c r="CF124" s="4">
        <f>CF123+AW124-L124</f>
        <v>0</v>
      </c>
      <c r="CG124" s="4">
        <f>CG123+AX124-M124</f>
        <v>0</v>
      </c>
      <c r="CH124" s="4">
        <f>CH123+AY124-N124</f>
        <v>0</v>
      </c>
      <c r="CI124" s="4">
        <f>CI123+AZ124-O124</f>
        <v>0</v>
      </c>
      <c r="CJ124" s="4">
        <f>CJ123+BA124-P124</f>
        <v>0</v>
      </c>
      <c r="CK124" s="4">
        <f>CK123+BB124-Q124</f>
        <v>0</v>
      </c>
      <c r="CL124" s="4">
        <f>CL123+BC124-R124</f>
        <v>0</v>
      </c>
      <c r="CM124" s="4">
        <f>CM123+BD124-S124</f>
        <v>0</v>
      </c>
      <c r="CN124" s="4">
        <f>CN123+BE124-T124</f>
        <v>0</v>
      </c>
      <c r="CO124" s="4">
        <f>CO123+BF124-U124</f>
        <v>0</v>
      </c>
      <c r="CP124" s="4">
        <f>CP123+BG124-V124</f>
        <v>-60</v>
      </c>
      <c r="CQ124" s="4">
        <f>CQ123+BH124-W124</f>
        <v>0</v>
      </c>
      <c r="CR124" s="4">
        <f>CR123+BI124-X124</f>
        <v>-60</v>
      </c>
      <c r="CS124" s="4">
        <f>CS123+BJ124-Y124</f>
        <v>0</v>
      </c>
      <c r="CT124" s="4">
        <f>CT123+BK124-Z124</f>
        <v>0</v>
      </c>
      <c r="CU124" s="4">
        <f>CU123+BL124-AA124</f>
        <v>-4775</v>
      </c>
      <c r="CV124" s="4">
        <f>CV123+BM124-AB124</f>
        <v>-240</v>
      </c>
      <c r="CW124" s="4">
        <f>CW123+BN124-AC124</f>
        <v>-255</v>
      </c>
      <c r="CX124" s="4">
        <f>CX123+BO124-AD124</f>
        <v>0</v>
      </c>
      <c r="CY124" s="4">
        <f>CY123+BP124-AE124</f>
        <v>-60</v>
      </c>
      <c r="CZ124" s="4">
        <f>CZ123+BQ124-AF124</f>
        <v>-160</v>
      </c>
      <c r="DA124" s="4">
        <f>DA123+BR124-AG124</f>
        <v>0</v>
      </c>
      <c r="DB124" s="4">
        <f>DB123+BS124-AH124</f>
        <v>-60</v>
      </c>
      <c r="DC124" s="4">
        <f>DC123+BT124-AI124</f>
        <v>0</v>
      </c>
      <c r="DD124" s="4">
        <f>DD123+BU124-AJ124</f>
        <v>-3535</v>
      </c>
      <c r="DE124" s="4">
        <f>DE123+BV124-AK124</f>
        <v>-1260</v>
      </c>
      <c r="DF124" s="4">
        <f>DF123+BW124-AL124</f>
        <v>0</v>
      </c>
      <c r="DG124" s="4">
        <f>DG123+BX124-AM124</f>
        <v>-235</v>
      </c>
      <c r="DH124" s="4">
        <f>DH123+BY124-AN124</f>
        <v>0</v>
      </c>
    </row>
    <row r="125" spans="1:112" x14ac:dyDescent="0.25">
      <c r="A125" s="6">
        <v>46184</v>
      </c>
      <c r="B125" s="7">
        <v>0.41666666637320304</v>
      </c>
      <c r="C125" s="3" t="s">
        <v>2</v>
      </c>
      <c r="D125" s="3" t="s">
        <v>6</v>
      </c>
      <c r="E125" s="3" t="s">
        <v>2</v>
      </c>
      <c r="F125" s="13">
        <f>SUM(IFERROR(VLOOKUP($C:$C,Structure!$A:$AJ,F$1,0)*15,0),IFERROR(VLOOKUP($D:$D,Structure!$A:$AJ,F$1,0)*15,0),IFERROR(VLOOKUP($E:$E,Structure!$A:$AJ,F$1,0)*15,0))</f>
        <v>0</v>
      </c>
      <c r="G125" s="13">
        <f>SUM(IFERROR(VLOOKUP($C:$C,Structure!$A:$AJ,G$1,0)*15,0),IFERROR(VLOOKUP($D:$D,Structure!$A:$AJ,G$1,0)*15,0),IFERROR(VLOOKUP($E:$E,Structure!$A:$AJ,G$1,0)*15,0))</f>
        <v>0</v>
      </c>
      <c r="H125" s="13">
        <f>SUM(IFERROR(VLOOKUP($C:$C,Structure!$A:$AJ,H$1,0)*15,0),IFERROR(VLOOKUP($D:$D,Structure!$A:$AJ,H$1,0)*15,0),IFERROR(VLOOKUP($E:$E,Structure!$A:$AJ,H$1,0)*15,0))</f>
        <v>0</v>
      </c>
      <c r="I125" s="13">
        <f>SUM(IFERROR(VLOOKUP($C:$C,Structure!$A:$AJ,I$1,0)*15,0),IFERROR(VLOOKUP($D:$D,Structure!$A:$AJ,I$1,0)*15,0),IFERROR(VLOOKUP($E:$E,Structure!$A:$AJ,I$1,0)*15,0))</f>
        <v>0</v>
      </c>
      <c r="J125" s="13">
        <f>SUM(IFERROR(VLOOKUP($C:$C,Structure!$A:$AJ,J$1,0)*15,0),IFERROR(VLOOKUP($D:$D,Structure!$A:$AJ,J$1,0)*15,0),IFERROR(VLOOKUP($E:$E,Structure!$A:$AJ,J$1,0)*15,0))</f>
        <v>0</v>
      </c>
      <c r="K125" s="13">
        <f>SUM(IFERROR(VLOOKUP($C:$C,Structure!$A:$AJ,K$1,0)*15,0),IFERROR(VLOOKUP($D:$D,Structure!$A:$AJ,K$1,0)*15,0),IFERROR(VLOOKUP($E:$E,Structure!$A:$AJ,K$1,0)*15,0))</f>
        <v>0</v>
      </c>
      <c r="L125" s="13">
        <f>SUM(IFERROR(VLOOKUP($C:$C,Structure!$A:$AJ,L$1,0)*15,0),IFERROR(VLOOKUP($D:$D,Structure!$A:$AJ,L$1,0)*15,0),IFERROR(VLOOKUP($E:$E,Structure!$A:$AJ,L$1,0)*15,0))</f>
        <v>0</v>
      </c>
      <c r="M125" s="13">
        <f>SUM(IFERROR(VLOOKUP($C:$C,Structure!$A:$AJ,M$1,0)*15,0),IFERROR(VLOOKUP($D:$D,Structure!$A:$AJ,M$1,0)*15,0),IFERROR(VLOOKUP($E:$E,Structure!$A:$AJ,M$1,0)*15,0))</f>
        <v>0</v>
      </c>
      <c r="N125" s="13">
        <f>SUM(IFERROR(VLOOKUP($C:$C,Structure!$A:$AJ,N$1,0)*15,0),IFERROR(VLOOKUP($D:$D,Structure!$A:$AJ,N$1,0)*15,0),IFERROR(VLOOKUP($E:$E,Structure!$A:$AJ,N$1,0)*15,0))</f>
        <v>0</v>
      </c>
      <c r="O125" s="13">
        <f>SUM(IFERROR(VLOOKUP($C:$C,Structure!$A:$AJ,O$1,0)*15,0),IFERROR(VLOOKUP($D:$D,Structure!$A:$AJ,O$1,0)*15,0),IFERROR(VLOOKUP($E:$E,Structure!$A:$AJ,O$1,0)*15,0))</f>
        <v>0</v>
      </c>
      <c r="P125" s="13">
        <f>SUM(IFERROR(VLOOKUP($C:$C,Structure!$A:$AJ,P$1,0)*15,0),IFERROR(VLOOKUP($D:$D,Structure!$A:$AJ,P$1,0)*15,0),IFERROR(VLOOKUP($E:$E,Structure!$A:$AJ,P$1,0)*15,0))</f>
        <v>0</v>
      </c>
      <c r="Q125" s="13">
        <f>SUM(IFERROR(VLOOKUP($C:$C,Structure!$A:$AJ,Q$1,0)*15,0),IFERROR(VLOOKUP($D:$D,Structure!$A:$AJ,Q$1,0)*15,0),IFERROR(VLOOKUP($E:$E,Structure!$A:$AJ,Q$1,0)*15,0))</f>
        <v>0</v>
      </c>
      <c r="R125" s="13">
        <f>SUM(IFERROR(VLOOKUP($C:$C,Structure!$A:$AJ,R$1,0)*15,0),IFERROR(VLOOKUP($D:$D,Structure!$A:$AJ,R$1,0)*15,0),IFERROR(VLOOKUP($E:$E,Structure!$A:$AJ,R$1,0)*15,0))</f>
        <v>0</v>
      </c>
      <c r="S125" s="13">
        <f>SUM(IFERROR(VLOOKUP($C:$C,Structure!$A:$AJ,S$1,0)*15,0),IFERROR(VLOOKUP($D:$D,Structure!$A:$AJ,S$1,0)*15,0),IFERROR(VLOOKUP($E:$E,Structure!$A:$AJ,S$1,0)*15,0))</f>
        <v>0</v>
      </c>
      <c r="T125" s="13">
        <f>SUM(IFERROR(VLOOKUP($C:$C,Structure!$A:$AJ,T$1,0)*15,0),IFERROR(VLOOKUP($D:$D,Structure!$A:$AJ,T$1,0)*15,0),IFERROR(VLOOKUP($E:$E,Structure!$A:$AJ,T$1,0)*15,0))</f>
        <v>0</v>
      </c>
      <c r="U125" s="13">
        <f>SUM(IFERROR(VLOOKUP($C:$C,Structure!$A:$AJ,U$1,0)*15,0),IFERROR(VLOOKUP($D:$D,Structure!$A:$AJ,U$1,0)*15,0),IFERROR(VLOOKUP($E:$E,Structure!$A:$AJ,U$1,0)*15,0))</f>
        <v>0</v>
      </c>
      <c r="V125" s="13">
        <f>SUM(IFERROR(VLOOKUP($C:$C,Structure!$A:$AJ,V$1,0)*15,0),IFERROR(VLOOKUP($D:$D,Structure!$A:$AJ,V$1,0)*15,0),IFERROR(VLOOKUP($E:$E,Structure!$A:$AJ,V$1,0)*15,0))</f>
        <v>0</v>
      </c>
      <c r="W125" s="13">
        <f>SUM(IFERROR(VLOOKUP($C:$C,Structure!$A:$AJ,W$1,0)*15,0),IFERROR(VLOOKUP($D:$D,Structure!$A:$AJ,W$1,0)*15,0),IFERROR(VLOOKUP($E:$E,Structure!$A:$AJ,W$1,0)*15,0))</f>
        <v>0</v>
      </c>
      <c r="X125" s="13">
        <f>SUM(IFERROR(VLOOKUP($C:$C,Structure!$A:$AJ,X$1,0)*15,0),IFERROR(VLOOKUP($D:$D,Structure!$A:$AJ,X$1,0)*15,0),IFERROR(VLOOKUP($E:$E,Structure!$A:$AJ,X$1,0)*15,0))</f>
        <v>0</v>
      </c>
      <c r="Y125" s="13">
        <f>SUM(IFERROR(VLOOKUP($C:$C,Structure!$A:$AJ,Y$1,0)*15,0),IFERROR(VLOOKUP($D:$D,Structure!$A:$AJ,Y$1,0)*15,0),IFERROR(VLOOKUP($E:$E,Structure!$A:$AJ,Y$1,0)*15,0))</f>
        <v>0</v>
      </c>
      <c r="Z125" s="13">
        <f>SUM(IFERROR(VLOOKUP($C:$C,Structure!$A:$AJ,Z$1,0)*15,0),IFERROR(VLOOKUP($D:$D,Structure!$A:$AJ,Z$1,0)*15,0),IFERROR(VLOOKUP($E:$E,Structure!$A:$AJ,Z$1,0)*15,0))</f>
        <v>0</v>
      </c>
      <c r="AA125" s="13">
        <f>SUM(IFERROR(VLOOKUP($C:$C,Structure!$A:$AJ,AA$1,0)*15,0),IFERROR(VLOOKUP($D:$D,Structure!$A:$AJ,AA$1,0)*15,0),IFERROR(VLOOKUP($E:$E,Structure!$A:$AJ,AA$1,0)*15,0))</f>
        <v>45</v>
      </c>
      <c r="AB125" s="13">
        <f>SUM(IFERROR(VLOOKUP($C:$C,Structure!$A:$AJ,AB$1,0)*15,0),IFERROR(VLOOKUP($D:$D,Structure!$A:$AJ,AB$1,0)*15,0),IFERROR(VLOOKUP($E:$E,Structure!$A:$AJ,AB$1,0)*15,0))</f>
        <v>0</v>
      </c>
      <c r="AC125" s="13">
        <f>SUM(IFERROR(VLOOKUP($C:$C,Structure!$A:$AJ,AC$1,0)*15,0),IFERROR(VLOOKUP($D:$D,Structure!$A:$AJ,AC$1,0)*15,0),IFERROR(VLOOKUP($E:$E,Structure!$A:$AJ,AC$1,0)*15,0))</f>
        <v>0</v>
      </c>
      <c r="AD125" s="13">
        <f>SUM(IFERROR(VLOOKUP($C:$C,Structure!$A:$AJ,AD$1,0)*15,0),IFERROR(VLOOKUP($D:$D,Structure!$A:$AJ,AD$1,0)*15,0),IFERROR(VLOOKUP($E:$E,Structure!$A:$AJ,AD$1,0)*15,0))</f>
        <v>0</v>
      </c>
      <c r="AE125" s="13">
        <f>SUM(IFERROR(VLOOKUP($C:$C,Structure!$A:$AJ,AE$1,0)*15,0),IFERROR(VLOOKUP($D:$D,Structure!$A:$AJ,AE$1,0)*15,0),IFERROR(VLOOKUP($E:$E,Structure!$A:$AJ,AE$1,0)*15,0))</f>
        <v>0</v>
      </c>
      <c r="AF125" s="13">
        <f>SUM(IFERROR(VLOOKUP($C:$C,Structure!$A:$AJ,AF$1,0)*15,0),IFERROR(VLOOKUP($D:$D,Structure!$A:$AJ,AF$1,0)*15,0),IFERROR(VLOOKUP($E:$E,Structure!$A:$AJ,AF$1,0)*15,0))</f>
        <v>0</v>
      </c>
      <c r="AG125" s="13">
        <f>SUM(IFERROR(VLOOKUP($C:$C,Structure!$A:$AJ,AG$1,0)*15,0),IFERROR(VLOOKUP($D:$D,Structure!$A:$AJ,AG$1,0)*15,0),IFERROR(VLOOKUP($E:$E,Structure!$A:$AJ,AG$1,0)*15,0))</f>
        <v>0</v>
      </c>
      <c r="AH125" s="13">
        <f>SUM(IFERROR(VLOOKUP($C:$C,Structure!$A:$AJ,AH$1,0)*15,0),IFERROR(VLOOKUP($D:$D,Structure!$A:$AJ,AH$1,0)*15,0),IFERROR(VLOOKUP($E:$E,Structure!$A:$AJ,AH$1,0)*15,0))</f>
        <v>0</v>
      </c>
      <c r="AI125" s="13">
        <f>SUM(IFERROR(VLOOKUP($C:$C,Structure!$A:$AJ,AI$1,0)*15,0),IFERROR(VLOOKUP($D:$D,Structure!$A:$AJ,AI$1,0)*15,0),IFERROR(VLOOKUP($E:$E,Structure!$A:$AJ,AI$1,0)*15,0))</f>
        <v>0</v>
      </c>
      <c r="AJ125" s="13">
        <f>SUM(IFERROR(VLOOKUP($C:$C,Structure!$A:$AJ,AJ$1,0)*15,0),IFERROR(VLOOKUP($D:$D,Structure!$A:$AJ,AJ$1,0)*15,0),IFERROR(VLOOKUP($E:$E,Structure!$A:$AJ,AJ$1,0)*15,0))</f>
        <v>45</v>
      </c>
      <c r="AK125" s="13">
        <f>SUM(IFERROR(VLOOKUP($C:$C,Structure!$A:$AJ,AK$1,0)*15,0),IFERROR(VLOOKUP($D:$D,Structure!$A:$AJ,AK$1,0)*15,0),IFERROR(VLOOKUP($E:$E,Structure!$A:$AJ,AK$1,0)*15,0))</f>
        <v>0</v>
      </c>
      <c r="AL125" s="13">
        <f>SUM(IFERROR(VLOOKUP($C:$C,Structure!$A:$AJ,AL$1,0)*15,0),IFERROR(VLOOKUP($D:$D,Structure!$A:$AJ,AL$1,0)*15,0),IFERROR(VLOOKUP($E:$E,Structure!$A:$AJ,AL$1,0)*15,0))</f>
        <v>0</v>
      </c>
      <c r="AM125" s="13">
        <f>SUM(IFERROR(VLOOKUP($C:$C,Structure!$A:$AJ,AM$1,0)*15,0),IFERROR(VLOOKUP($D:$D,Structure!$A:$AJ,AM$1,0)*15,0),IFERROR(VLOOKUP($E:$E,Structure!$A:$AJ,AM$1,0)*15,0))</f>
        <v>0</v>
      </c>
      <c r="AN125" s="13">
        <f>SUM(IFERROR(VLOOKUP($C:$C,Structure!$A:$AJ,AN$1,0)*15,0),IFERROR(VLOOKUP($D:$D,Structure!$A:$AJ,AN$1,0)*15,0),IFERROR(VLOOKUP($E:$E,Structure!$A:$AJ,AN$1,0)*15,0))</f>
        <v>0</v>
      </c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3"/>
      <c r="BZ125" s="4">
        <f>BZ124+AQ125-F125</f>
        <v>0</v>
      </c>
      <c r="CA125" s="4">
        <f>CA124+AR125-G125</f>
        <v>0</v>
      </c>
      <c r="CB125" s="4">
        <f>CB124+AS125-H125</f>
        <v>0</v>
      </c>
      <c r="CC125" s="4">
        <f>CC124+AT125-I125</f>
        <v>0</v>
      </c>
      <c r="CD125" s="4">
        <f>CD124+AU125-J125</f>
        <v>0</v>
      </c>
      <c r="CE125" s="4">
        <f>CE124+AV125-K125</f>
        <v>0</v>
      </c>
      <c r="CF125" s="4">
        <f>CF124+AW125-L125</f>
        <v>0</v>
      </c>
      <c r="CG125" s="4">
        <f>CG124+AX125-M125</f>
        <v>0</v>
      </c>
      <c r="CH125" s="4">
        <f>CH124+AY125-N125</f>
        <v>0</v>
      </c>
      <c r="CI125" s="4">
        <f>CI124+AZ125-O125</f>
        <v>0</v>
      </c>
      <c r="CJ125" s="4">
        <f>CJ124+BA125-P125</f>
        <v>0</v>
      </c>
      <c r="CK125" s="4">
        <f>CK124+BB125-Q125</f>
        <v>0</v>
      </c>
      <c r="CL125" s="4">
        <f>CL124+BC125-R125</f>
        <v>0</v>
      </c>
      <c r="CM125" s="4">
        <f>CM124+BD125-S125</f>
        <v>0</v>
      </c>
      <c r="CN125" s="4">
        <f>CN124+BE125-T125</f>
        <v>0</v>
      </c>
      <c r="CO125" s="4">
        <f>CO124+BF125-U125</f>
        <v>0</v>
      </c>
      <c r="CP125" s="4">
        <f>CP124+BG125-V125</f>
        <v>-60</v>
      </c>
      <c r="CQ125" s="4">
        <f>CQ124+BH125-W125</f>
        <v>0</v>
      </c>
      <c r="CR125" s="4">
        <f>CR124+BI125-X125</f>
        <v>-60</v>
      </c>
      <c r="CS125" s="4">
        <f>CS124+BJ125-Y125</f>
        <v>0</v>
      </c>
      <c r="CT125" s="4">
        <f>CT124+BK125-Z125</f>
        <v>0</v>
      </c>
      <c r="CU125" s="4">
        <f>CU124+BL125-AA125</f>
        <v>-4820</v>
      </c>
      <c r="CV125" s="4">
        <f>CV124+BM125-AB125</f>
        <v>-240</v>
      </c>
      <c r="CW125" s="4">
        <f>CW124+BN125-AC125</f>
        <v>-255</v>
      </c>
      <c r="CX125" s="4">
        <f>CX124+BO125-AD125</f>
        <v>0</v>
      </c>
      <c r="CY125" s="4">
        <f>CY124+BP125-AE125</f>
        <v>-60</v>
      </c>
      <c r="CZ125" s="4">
        <f>CZ124+BQ125-AF125</f>
        <v>-160</v>
      </c>
      <c r="DA125" s="4">
        <f>DA124+BR125-AG125</f>
        <v>0</v>
      </c>
      <c r="DB125" s="4">
        <f>DB124+BS125-AH125</f>
        <v>-60</v>
      </c>
      <c r="DC125" s="4">
        <f>DC124+BT125-AI125</f>
        <v>0</v>
      </c>
      <c r="DD125" s="4">
        <f>DD124+BU125-AJ125</f>
        <v>-3580</v>
      </c>
      <c r="DE125" s="4">
        <f>DE124+BV125-AK125</f>
        <v>-1260</v>
      </c>
      <c r="DF125" s="4">
        <f>DF124+BW125-AL125</f>
        <v>0</v>
      </c>
      <c r="DG125" s="4">
        <f>DG124+BX125-AM125</f>
        <v>-235</v>
      </c>
      <c r="DH125" s="4">
        <f>DH124+BY125-AN125</f>
        <v>0</v>
      </c>
    </row>
    <row r="126" spans="1:112" x14ac:dyDescent="0.25">
      <c r="A126" s="6">
        <v>46184</v>
      </c>
      <c r="B126" s="7">
        <v>0.45833333303744439</v>
      </c>
      <c r="C126" s="3" t="s">
        <v>2</v>
      </c>
      <c r="D126" s="3" t="s">
        <v>6</v>
      </c>
      <c r="E126" s="3" t="s">
        <v>2</v>
      </c>
      <c r="F126" s="13">
        <f>SUM(IFERROR(VLOOKUP($C:$C,Structure!$A:$AJ,F$1,0)*15,0),IFERROR(VLOOKUP($D:$D,Structure!$A:$AJ,F$1,0)*15,0),IFERROR(VLOOKUP($E:$E,Structure!$A:$AJ,F$1,0)*15,0))</f>
        <v>0</v>
      </c>
      <c r="G126" s="13">
        <f>SUM(IFERROR(VLOOKUP($C:$C,Structure!$A:$AJ,G$1,0)*15,0),IFERROR(VLOOKUP($D:$D,Structure!$A:$AJ,G$1,0)*15,0),IFERROR(VLOOKUP($E:$E,Structure!$A:$AJ,G$1,0)*15,0))</f>
        <v>0</v>
      </c>
      <c r="H126" s="13">
        <f>SUM(IFERROR(VLOOKUP($C:$C,Structure!$A:$AJ,H$1,0)*15,0),IFERROR(VLOOKUP($D:$D,Structure!$A:$AJ,H$1,0)*15,0),IFERROR(VLOOKUP($E:$E,Structure!$A:$AJ,H$1,0)*15,0))</f>
        <v>0</v>
      </c>
      <c r="I126" s="13">
        <f>SUM(IFERROR(VLOOKUP($C:$C,Structure!$A:$AJ,I$1,0)*15,0),IFERROR(VLOOKUP($D:$D,Structure!$A:$AJ,I$1,0)*15,0),IFERROR(VLOOKUP($E:$E,Structure!$A:$AJ,I$1,0)*15,0))</f>
        <v>0</v>
      </c>
      <c r="J126" s="13">
        <f>SUM(IFERROR(VLOOKUP($C:$C,Structure!$A:$AJ,J$1,0)*15,0),IFERROR(VLOOKUP($D:$D,Structure!$A:$AJ,J$1,0)*15,0),IFERROR(VLOOKUP($E:$E,Structure!$A:$AJ,J$1,0)*15,0))</f>
        <v>0</v>
      </c>
      <c r="K126" s="13">
        <f>SUM(IFERROR(VLOOKUP($C:$C,Structure!$A:$AJ,K$1,0)*15,0),IFERROR(VLOOKUP($D:$D,Structure!$A:$AJ,K$1,0)*15,0),IFERROR(VLOOKUP($E:$E,Structure!$A:$AJ,K$1,0)*15,0))</f>
        <v>0</v>
      </c>
      <c r="L126" s="13">
        <f>SUM(IFERROR(VLOOKUP($C:$C,Structure!$A:$AJ,L$1,0)*15,0),IFERROR(VLOOKUP($D:$D,Structure!$A:$AJ,L$1,0)*15,0),IFERROR(VLOOKUP($E:$E,Structure!$A:$AJ,L$1,0)*15,0))</f>
        <v>0</v>
      </c>
      <c r="M126" s="13">
        <f>SUM(IFERROR(VLOOKUP($C:$C,Structure!$A:$AJ,M$1,0)*15,0),IFERROR(VLOOKUP($D:$D,Structure!$A:$AJ,M$1,0)*15,0),IFERROR(VLOOKUP($E:$E,Structure!$A:$AJ,M$1,0)*15,0))</f>
        <v>0</v>
      </c>
      <c r="N126" s="13">
        <f>SUM(IFERROR(VLOOKUP($C:$C,Structure!$A:$AJ,N$1,0)*15,0),IFERROR(VLOOKUP($D:$D,Structure!$A:$AJ,N$1,0)*15,0),IFERROR(VLOOKUP($E:$E,Structure!$A:$AJ,N$1,0)*15,0))</f>
        <v>0</v>
      </c>
      <c r="O126" s="13">
        <f>SUM(IFERROR(VLOOKUP($C:$C,Structure!$A:$AJ,O$1,0)*15,0),IFERROR(VLOOKUP($D:$D,Structure!$A:$AJ,O$1,0)*15,0),IFERROR(VLOOKUP($E:$E,Structure!$A:$AJ,O$1,0)*15,0))</f>
        <v>0</v>
      </c>
      <c r="P126" s="13">
        <f>SUM(IFERROR(VLOOKUP($C:$C,Structure!$A:$AJ,P$1,0)*15,0),IFERROR(VLOOKUP($D:$D,Structure!$A:$AJ,P$1,0)*15,0),IFERROR(VLOOKUP($E:$E,Structure!$A:$AJ,P$1,0)*15,0))</f>
        <v>0</v>
      </c>
      <c r="Q126" s="13">
        <f>SUM(IFERROR(VLOOKUP($C:$C,Structure!$A:$AJ,Q$1,0)*15,0),IFERROR(VLOOKUP($D:$D,Structure!$A:$AJ,Q$1,0)*15,0),IFERROR(VLOOKUP($E:$E,Structure!$A:$AJ,Q$1,0)*15,0))</f>
        <v>0</v>
      </c>
      <c r="R126" s="13">
        <f>SUM(IFERROR(VLOOKUP($C:$C,Structure!$A:$AJ,R$1,0)*15,0),IFERROR(VLOOKUP($D:$D,Structure!$A:$AJ,R$1,0)*15,0),IFERROR(VLOOKUP($E:$E,Structure!$A:$AJ,R$1,0)*15,0))</f>
        <v>0</v>
      </c>
      <c r="S126" s="13">
        <f>SUM(IFERROR(VLOOKUP($C:$C,Structure!$A:$AJ,S$1,0)*15,0),IFERROR(VLOOKUP($D:$D,Structure!$A:$AJ,S$1,0)*15,0),IFERROR(VLOOKUP($E:$E,Structure!$A:$AJ,S$1,0)*15,0))</f>
        <v>0</v>
      </c>
      <c r="T126" s="13">
        <f>SUM(IFERROR(VLOOKUP($C:$C,Structure!$A:$AJ,T$1,0)*15,0),IFERROR(VLOOKUP($D:$D,Structure!$A:$AJ,T$1,0)*15,0),IFERROR(VLOOKUP($E:$E,Structure!$A:$AJ,T$1,0)*15,0))</f>
        <v>0</v>
      </c>
      <c r="U126" s="13">
        <f>SUM(IFERROR(VLOOKUP($C:$C,Structure!$A:$AJ,U$1,0)*15,0),IFERROR(VLOOKUP($D:$D,Structure!$A:$AJ,U$1,0)*15,0),IFERROR(VLOOKUP($E:$E,Structure!$A:$AJ,U$1,0)*15,0))</f>
        <v>0</v>
      </c>
      <c r="V126" s="13">
        <f>SUM(IFERROR(VLOOKUP($C:$C,Structure!$A:$AJ,V$1,0)*15,0),IFERROR(VLOOKUP($D:$D,Structure!$A:$AJ,V$1,0)*15,0),IFERROR(VLOOKUP($E:$E,Structure!$A:$AJ,V$1,0)*15,0))</f>
        <v>0</v>
      </c>
      <c r="W126" s="13">
        <f>SUM(IFERROR(VLOOKUP($C:$C,Structure!$A:$AJ,W$1,0)*15,0),IFERROR(VLOOKUP($D:$D,Structure!$A:$AJ,W$1,0)*15,0),IFERROR(VLOOKUP($E:$E,Structure!$A:$AJ,W$1,0)*15,0))</f>
        <v>0</v>
      </c>
      <c r="X126" s="13">
        <f>SUM(IFERROR(VLOOKUP($C:$C,Structure!$A:$AJ,X$1,0)*15,0),IFERROR(VLOOKUP($D:$D,Structure!$A:$AJ,X$1,0)*15,0),IFERROR(VLOOKUP($E:$E,Structure!$A:$AJ,X$1,0)*15,0))</f>
        <v>0</v>
      </c>
      <c r="Y126" s="13">
        <f>SUM(IFERROR(VLOOKUP($C:$C,Structure!$A:$AJ,Y$1,0)*15,0),IFERROR(VLOOKUP($D:$D,Structure!$A:$AJ,Y$1,0)*15,0),IFERROR(VLOOKUP($E:$E,Structure!$A:$AJ,Y$1,0)*15,0))</f>
        <v>0</v>
      </c>
      <c r="Z126" s="13">
        <f>SUM(IFERROR(VLOOKUP($C:$C,Structure!$A:$AJ,Z$1,0)*15,0),IFERROR(VLOOKUP($D:$D,Structure!$A:$AJ,Z$1,0)*15,0),IFERROR(VLOOKUP($E:$E,Structure!$A:$AJ,Z$1,0)*15,0))</f>
        <v>0</v>
      </c>
      <c r="AA126" s="13">
        <f>SUM(IFERROR(VLOOKUP($C:$C,Structure!$A:$AJ,AA$1,0)*15,0),IFERROR(VLOOKUP($D:$D,Structure!$A:$AJ,AA$1,0)*15,0),IFERROR(VLOOKUP($E:$E,Structure!$A:$AJ,AA$1,0)*15,0))</f>
        <v>45</v>
      </c>
      <c r="AB126" s="13">
        <f>SUM(IFERROR(VLOOKUP($C:$C,Structure!$A:$AJ,AB$1,0)*15,0),IFERROR(VLOOKUP($D:$D,Structure!$A:$AJ,AB$1,0)*15,0),IFERROR(VLOOKUP($E:$E,Structure!$A:$AJ,AB$1,0)*15,0))</f>
        <v>0</v>
      </c>
      <c r="AC126" s="13">
        <f>SUM(IFERROR(VLOOKUP($C:$C,Structure!$A:$AJ,AC$1,0)*15,0),IFERROR(VLOOKUP($D:$D,Structure!$A:$AJ,AC$1,0)*15,0),IFERROR(VLOOKUP($E:$E,Structure!$A:$AJ,AC$1,0)*15,0))</f>
        <v>0</v>
      </c>
      <c r="AD126" s="13">
        <f>SUM(IFERROR(VLOOKUP($C:$C,Structure!$A:$AJ,AD$1,0)*15,0),IFERROR(VLOOKUP($D:$D,Structure!$A:$AJ,AD$1,0)*15,0),IFERROR(VLOOKUP($E:$E,Structure!$A:$AJ,AD$1,0)*15,0))</f>
        <v>0</v>
      </c>
      <c r="AE126" s="13">
        <f>SUM(IFERROR(VLOOKUP($C:$C,Structure!$A:$AJ,AE$1,0)*15,0),IFERROR(VLOOKUP($D:$D,Structure!$A:$AJ,AE$1,0)*15,0),IFERROR(VLOOKUP($E:$E,Structure!$A:$AJ,AE$1,0)*15,0))</f>
        <v>0</v>
      </c>
      <c r="AF126" s="13">
        <f>SUM(IFERROR(VLOOKUP($C:$C,Structure!$A:$AJ,AF$1,0)*15,0),IFERROR(VLOOKUP($D:$D,Structure!$A:$AJ,AF$1,0)*15,0),IFERROR(VLOOKUP($E:$E,Structure!$A:$AJ,AF$1,0)*15,0))</f>
        <v>0</v>
      </c>
      <c r="AG126" s="13">
        <f>SUM(IFERROR(VLOOKUP($C:$C,Structure!$A:$AJ,AG$1,0)*15,0),IFERROR(VLOOKUP($D:$D,Structure!$A:$AJ,AG$1,0)*15,0),IFERROR(VLOOKUP($E:$E,Structure!$A:$AJ,AG$1,0)*15,0))</f>
        <v>0</v>
      </c>
      <c r="AH126" s="13">
        <f>SUM(IFERROR(VLOOKUP($C:$C,Structure!$A:$AJ,AH$1,0)*15,0),IFERROR(VLOOKUP($D:$D,Structure!$A:$AJ,AH$1,0)*15,0),IFERROR(VLOOKUP($E:$E,Structure!$A:$AJ,AH$1,0)*15,0))</f>
        <v>0</v>
      </c>
      <c r="AI126" s="13">
        <f>SUM(IFERROR(VLOOKUP($C:$C,Structure!$A:$AJ,AI$1,0)*15,0),IFERROR(VLOOKUP($D:$D,Structure!$A:$AJ,AI$1,0)*15,0),IFERROR(VLOOKUP($E:$E,Structure!$A:$AJ,AI$1,0)*15,0))</f>
        <v>0</v>
      </c>
      <c r="AJ126" s="13">
        <f>SUM(IFERROR(VLOOKUP($C:$C,Structure!$A:$AJ,AJ$1,0)*15,0),IFERROR(VLOOKUP($D:$D,Structure!$A:$AJ,AJ$1,0)*15,0),IFERROR(VLOOKUP($E:$E,Structure!$A:$AJ,AJ$1,0)*15,0))</f>
        <v>45</v>
      </c>
      <c r="AK126" s="13">
        <f>SUM(IFERROR(VLOOKUP($C:$C,Structure!$A:$AJ,AK$1,0)*15,0),IFERROR(VLOOKUP($D:$D,Structure!$A:$AJ,AK$1,0)*15,0),IFERROR(VLOOKUP($E:$E,Structure!$A:$AJ,AK$1,0)*15,0))</f>
        <v>0</v>
      </c>
      <c r="AL126" s="13">
        <f>SUM(IFERROR(VLOOKUP($C:$C,Structure!$A:$AJ,AL$1,0)*15,0),IFERROR(VLOOKUP($D:$D,Structure!$A:$AJ,AL$1,0)*15,0),IFERROR(VLOOKUP($E:$E,Structure!$A:$AJ,AL$1,0)*15,0))</f>
        <v>0</v>
      </c>
      <c r="AM126" s="13">
        <f>SUM(IFERROR(VLOOKUP($C:$C,Structure!$A:$AJ,AM$1,0)*15,0),IFERROR(VLOOKUP($D:$D,Structure!$A:$AJ,AM$1,0)*15,0),IFERROR(VLOOKUP($E:$E,Structure!$A:$AJ,AM$1,0)*15,0))</f>
        <v>0</v>
      </c>
      <c r="AN126" s="13">
        <f>SUM(IFERROR(VLOOKUP($C:$C,Structure!$A:$AJ,AN$1,0)*15,0),IFERROR(VLOOKUP($D:$D,Structure!$A:$AJ,AN$1,0)*15,0),IFERROR(VLOOKUP($E:$E,Structure!$A:$AJ,AN$1,0)*15,0))</f>
        <v>0</v>
      </c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3"/>
      <c r="BZ126" s="4">
        <f>BZ125+AQ126-F126</f>
        <v>0</v>
      </c>
      <c r="CA126" s="4">
        <f>CA125+AR126-G126</f>
        <v>0</v>
      </c>
      <c r="CB126" s="4">
        <f>CB125+AS126-H126</f>
        <v>0</v>
      </c>
      <c r="CC126" s="4">
        <f>CC125+AT126-I126</f>
        <v>0</v>
      </c>
      <c r="CD126" s="4">
        <f>CD125+AU126-J126</f>
        <v>0</v>
      </c>
      <c r="CE126" s="4">
        <f>CE125+AV126-K126</f>
        <v>0</v>
      </c>
      <c r="CF126" s="4">
        <f>CF125+AW126-L126</f>
        <v>0</v>
      </c>
      <c r="CG126" s="4">
        <f>CG125+AX126-M126</f>
        <v>0</v>
      </c>
      <c r="CH126" s="4">
        <f>CH125+AY126-N126</f>
        <v>0</v>
      </c>
      <c r="CI126" s="4">
        <f>CI125+AZ126-O126</f>
        <v>0</v>
      </c>
      <c r="CJ126" s="4">
        <f>CJ125+BA126-P126</f>
        <v>0</v>
      </c>
      <c r="CK126" s="4">
        <f>CK125+BB126-Q126</f>
        <v>0</v>
      </c>
      <c r="CL126" s="4">
        <f>CL125+BC126-R126</f>
        <v>0</v>
      </c>
      <c r="CM126" s="4">
        <f>CM125+BD126-S126</f>
        <v>0</v>
      </c>
      <c r="CN126" s="4">
        <f>CN125+BE126-T126</f>
        <v>0</v>
      </c>
      <c r="CO126" s="4">
        <f>CO125+BF126-U126</f>
        <v>0</v>
      </c>
      <c r="CP126" s="4">
        <f>CP125+BG126-V126</f>
        <v>-60</v>
      </c>
      <c r="CQ126" s="4">
        <f>CQ125+BH126-W126</f>
        <v>0</v>
      </c>
      <c r="CR126" s="4">
        <f>CR125+BI126-X126</f>
        <v>-60</v>
      </c>
      <c r="CS126" s="4">
        <f>CS125+BJ126-Y126</f>
        <v>0</v>
      </c>
      <c r="CT126" s="4">
        <f>CT125+BK126-Z126</f>
        <v>0</v>
      </c>
      <c r="CU126" s="4">
        <f>CU125+BL126-AA126</f>
        <v>-4865</v>
      </c>
      <c r="CV126" s="4">
        <f>CV125+BM126-AB126</f>
        <v>-240</v>
      </c>
      <c r="CW126" s="4">
        <f>CW125+BN126-AC126</f>
        <v>-255</v>
      </c>
      <c r="CX126" s="4">
        <f>CX125+BO126-AD126</f>
        <v>0</v>
      </c>
      <c r="CY126" s="4">
        <f>CY125+BP126-AE126</f>
        <v>-60</v>
      </c>
      <c r="CZ126" s="4">
        <f>CZ125+BQ126-AF126</f>
        <v>-160</v>
      </c>
      <c r="DA126" s="4">
        <f>DA125+BR126-AG126</f>
        <v>0</v>
      </c>
      <c r="DB126" s="4">
        <f>DB125+BS126-AH126</f>
        <v>-60</v>
      </c>
      <c r="DC126" s="4">
        <f>DC125+BT126-AI126</f>
        <v>0</v>
      </c>
      <c r="DD126" s="4">
        <f>DD125+BU126-AJ126</f>
        <v>-3625</v>
      </c>
      <c r="DE126" s="4">
        <f>DE125+BV126-AK126</f>
        <v>-1260</v>
      </c>
      <c r="DF126" s="4">
        <f>DF125+BW126-AL126</f>
        <v>0</v>
      </c>
      <c r="DG126" s="4">
        <f>DG125+BX126-AM126</f>
        <v>-235</v>
      </c>
      <c r="DH126" s="4">
        <f>DH125+BY126-AN126</f>
        <v>0</v>
      </c>
    </row>
    <row r="127" spans="1:112" x14ac:dyDescent="0.25">
      <c r="A127" s="6">
        <v>46184</v>
      </c>
      <c r="B127" s="7">
        <v>0.49999999970168574</v>
      </c>
      <c r="C127" s="3" t="s">
        <v>2</v>
      </c>
      <c r="D127" s="3" t="s">
        <v>6</v>
      </c>
      <c r="E127" s="3" t="s">
        <v>2</v>
      </c>
      <c r="F127" s="13">
        <f>SUM(IFERROR(VLOOKUP($C:$C,Structure!$A:$AJ,F$1,0)*15,0),IFERROR(VLOOKUP($D:$D,Structure!$A:$AJ,F$1,0)*15,0),IFERROR(VLOOKUP($E:$E,Structure!$A:$AJ,F$1,0)*15,0))</f>
        <v>0</v>
      </c>
      <c r="G127" s="13">
        <f>SUM(IFERROR(VLOOKUP($C:$C,Structure!$A:$AJ,G$1,0)*15,0),IFERROR(VLOOKUP($D:$D,Structure!$A:$AJ,G$1,0)*15,0),IFERROR(VLOOKUP($E:$E,Structure!$A:$AJ,G$1,0)*15,0))</f>
        <v>0</v>
      </c>
      <c r="H127" s="13">
        <f>SUM(IFERROR(VLOOKUP($C:$C,Structure!$A:$AJ,H$1,0)*15,0),IFERROR(VLOOKUP($D:$D,Structure!$A:$AJ,H$1,0)*15,0),IFERROR(VLOOKUP($E:$E,Structure!$A:$AJ,H$1,0)*15,0))</f>
        <v>0</v>
      </c>
      <c r="I127" s="13">
        <f>SUM(IFERROR(VLOOKUP($C:$C,Structure!$A:$AJ,I$1,0)*15,0),IFERROR(VLOOKUP($D:$D,Structure!$A:$AJ,I$1,0)*15,0),IFERROR(VLOOKUP($E:$E,Structure!$A:$AJ,I$1,0)*15,0))</f>
        <v>0</v>
      </c>
      <c r="J127" s="13">
        <f>SUM(IFERROR(VLOOKUP($C:$C,Structure!$A:$AJ,J$1,0)*15,0),IFERROR(VLOOKUP($D:$D,Structure!$A:$AJ,J$1,0)*15,0),IFERROR(VLOOKUP($E:$E,Structure!$A:$AJ,J$1,0)*15,0))</f>
        <v>0</v>
      </c>
      <c r="K127" s="13">
        <f>SUM(IFERROR(VLOOKUP($C:$C,Structure!$A:$AJ,K$1,0)*15,0),IFERROR(VLOOKUP($D:$D,Structure!$A:$AJ,K$1,0)*15,0),IFERROR(VLOOKUP($E:$E,Structure!$A:$AJ,K$1,0)*15,0))</f>
        <v>0</v>
      </c>
      <c r="L127" s="13">
        <f>SUM(IFERROR(VLOOKUP($C:$C,Structure!$A:$AJ,L$1,0)*15,0),IFERROR(VLOOKUP($D:$D,Structure!$A:$AJ,L$1,0)*15,0),IFERROR(VLOOKUP($E:$E,Structure!$A:$AJ,L$1,0)*15,0))</f>
        <v>0</v>
      </c>
      <c r="M127" s="13">
        <f>SUM(IFERROR(VLOOKUP($C:$C,Structure!$A:$AJ,M$1,0)*15,0),IFERROR(VLOOKUP($D:$D,Structure!$A:$AJ,M$1,0)*15,0),IFERROR(VLOOKUP($E:$E,Structure!$A:$AJ,M$1,0)*15,0))</f>
        <v>0</v>
      </c>
      <c r="N127" s="13">
        <f>SUM(IFERROR(VLOOKUP($C:$C,Structure!$A:$AJ,N$1,0)*15,0),IFERROR(VLOOKUP($D:$D,Structure!$A:$AJ,N$1,0)*15,0),IFERROR(VLOOKUP($E:$E,Structure!$A:$AJ,N$1,0)*15,0))</f>
        <v>0</v>
      </c>
      <c r="O127" s="13">
        <f>SUM(IFERROR(VLOOKUP($C:$C,Structure!$A:$AJ,O$1,0)*15,0),IFERROR(VLOOKUP($D:$D,Structure!$A:$AJ,O$1,0)*15,0),IFERROR(VLOOKUP($E:$E,Structure!$A:$AJ,O$1,0)*15,0))</f>
        <v>0</v>
      </c>
      <c r="P127" s="13">
        <f>SUM(IFERROR(VLOOKUP($C:$C,Structure!$A:$AJ,P$1,0)*15,0),IFERROR(VLOOKUP($D:$D,Structure!$A:$AJ,P$1,0)*15,0),IFERROR(VLOOKUP($E:$E,Structure!$A:$AJ,P$1,0)*15,0))</f>
        <v>0</v>
      </c>
      <c r="Q127" s="13">
        <f>SUM(IFERROR(VLOOKUP($C:$C,Structure!$A:$AJ,Q$1,0)*15,0),IFERROR(VLOOKUP($D:$D,Structure!$A:$AJ,Q$1,0)*15,0),IFERROR(VLOOKUP($E:$E,Structure!$A:$AJ,Q$1,0)*15,0))</f>
        <v>0</v>
      </c>
      <c r="R127" s="13">
        <f>SUM(IFERROR(VLOOKUP($C:$C,Structure!$A:$AJ,R$1,0)*15,0),IFERROR(VLOOKUP($D:$D,Structure!$A:$AJ,R$1,0)*15,0),IFERROR(VLOOKUP($E:$E,Structure!$A:$AJ,R$1,0)*15,0))</f>
        <v>0</v>
      </c>
      <c r="S127" s="13">
        <f>SUM(IFERROR(VLOOKUP($C:$C,Structure!$A:$AJ,S$1,0)*15,0),IFERROR(VLOOKUP($D:$D,Structure!$A:$AJ,S$1,0)*15,0),IFERROR(VLOOKUP($E:$E,Structure!$A:$AJ,S$1,0)*15,0))</f>
        <v>0</v>
      </c>
      <c r="T127" s="13">
        <f>SUM(IFERROR(VLOOKUP($C:$C,Structure!$A:$AJ,T$1,0)*15,0),IFERROR(VLOOKUP($D:$D,Structure!$A:$AJ,T$1,0)*15,0),IFERROR(VLOOKUP($E:$E,Structure!$A:$AJ,T$1,0)*15,0))</f>
        <v>0</v>
      </c>
      <c r="U127" s="13">
        <f>SUM(IFERROR(VLOOKUP($C:$C,Structure!$A:$AJ,U$1,0)*15,0),IFERROR(VLOOKUP($D:$D,Structure!$A:$AJ,U$1,0)*15,0),IFERROR(VLOOKUP($E:$E,Structure!$A:$AJ,U$1,0)*15,0))</f>
        <v>0</v>
      </c>
      <c r="V127" s="13">
        <f>SUM(IFERROR(VLOOKUP($C:$C,Structure!$A:$AJ,V$1,0)*15,0),IFERROR(VLOOKUP($D:$D,Structure!$A:$AJ,V$1,0)*15,0),IFERROR(VLOOKUP($E:$E,Structure!$A:$AJ,V$1,0)*15,0))</f>
        <v>0</v>
      </c>
      <c r="W127" s="13">
        <f>SUM(IFERROR(VLOOKUP($C:$C,Structure!$A:$AJ,W$1,0)*15,0),IFERROR(VLOOKUP($D:$D,Structure!$A:$AJ,W$1,0)*15,0),IFERROR(VLOOKUP($E:$E,Structure!$A:$AJ,W$1,0)*15,0))</f>
        <v>0</v>
      </c>
      <c r="X127" s="13">
        <f>SUM(IFERROR(VLOOKUP($C:$C,Structure!$A:$AJ,X$1,0)*15,0),IFERROR(VLOOKUP($D:$D,Structure!$A:$AJ,X$1,0)*15,0),IFERROR(VLOOKUP($E:$E,Structure!$A:$AJ,X$1,0)*15,0))</f>
        <v>0</v>
      </c>
      <c r="Y127" s="13">
        <f>SUM(IFERROR(VLOOKUP($C:$C,Structure!$A:$AJ,Y$1,0)*15,0),IFERROR(VLOOKUP($D:$D,Structure!$A:$AJ,Y$1,0)*15,0),IFERROR(VLOOKUP($E:$E,Structure!$A:$AJ,Y$1,0)*15,0))</f>
        <v>0</v>
      </c>
      <c r="Z127" s="13">
        <f>SUM(IFERROR(VLOOKUP($C:$C,Structure!$A:$AJ,Z$1,0)*15,0),IFERROR(VLOOKUP($D:$D,Structure!$A:$AJ,Z$1,0)*15,0),IFERROR(VLOOKUP($E:$E,Structure!$A:$AJ,Z$1,0)*15,0))</f>
        <v>0</v>
      </c>
      <c r="AA127" s="13">
        <f>SUM(IFERROR(VLOOKUP($C:$C,Structure!$A:$AJ,AA$1,0)*15,0),IFERROR(VLOOKUP($D:$D,Structure!$A:$AJ,AA$1,0)*15,0),IFERROR(VLOOKUP($E:$E,Structure!$A:$AJ,AA$1,0)*15,0))</f>
        <v>45</v>
      </c>
      <c r="AB127" s="13">
        <f>SUM(IFERROR(VLOOKUP($C:$C,Structure!$A:$AJ,AB$1,0)*15,0),IFERROR(VLOOKUP($D:$D,Structure!$A:$AJ,AB$1,0)*15,0),IFERROR(VLOOKUP($E:$E,Structure!$A:$AJ,AB$1,0)*15,0))</f>
        <v>0</v>
      </c>
      <c r="AC127" s="13">
        <f>SUM(IFERROR(VLOOKUP($C:$C,Structure!$A:$AJ,AC$1,0)*15,0),IFERROR(VLOOKUP($D:$D,Structure!$A:$AJ,AC$1,0)*15,0),IFERROR(VLOOKUP($E:$E,Structure!$A:$AJ,AC$1,0)*15,0))</f>
        <v>0</v>
      </c>
      <c r="AD127" s="13">
        <f>SUM(IFERROR(VLOOKUP($C:$C,Structure!$A:$AJ,AD$1,0)*15,0),IFERROR(VLOOKUP($D:$D,Structure!$A:$AJ,AD$1,0)*15,0),IFERROR(VLOOKUP($E:$E,Structure!$A:$AJ,AD$1,0)*15,0))</f>
        <v>0</v>
      </c>
      <c r="AE127" s="13">
        <f>SUM(IFERROR(VLOOKUP($C:$C,Structure!$A:$AJ,AE$1,0)*15,0),IFERROR(VLOOKUP($D:$D,Structure!$A:$AJ,AE$1,0)*15,0),IFERROR(VLOOKUP($E:$E,Structure!$A:$AJ,AE$1,0)*15,0))</f>
        <v>0</v>
      </c>
      <c r="AF127" s="13">
        <f>SUM(IFERROR(VLOOKUP($C:$C,Structure!$A:$AJ,AF$1,0)*15,0),IFERROR(VLOOKUP($D:$D,Structure!$A:$AJ,AF$1,0)*15,0),IFERROR(VLOOKUP($E:$E,Structure!$A:$AJ,AF$1,0)*15,0))</f>
        <v>0</v>
      </c>
      <c r="AG127" s="13">
        <f>SUM(IFERROR(VLOOKUP($C:$C,Structure!$A:$AJ,AG$1,0)*15,0),IFERROR(VLOOKUP($D:$D,Structure!$A:$AJ,AG$1,0)*15,0),IFERROR(VLOOKUP($E:$E,Structure!$A:$AJ,AG$1,0)*15,0))</f>
        <v>0</v>
      </c>
      <c r="AH127" s="13">
        <f>SUM(IFERROR(VLOOKUP($C:$C,Structure!$A:$AJ,AH$1,0)*15,0),IFERROR(VLOOKUP($D:$D,Structure!$A:$AJ,AH$1,0)*15,0),IFERROR(VLOOKUP($E:$E,Structure!$A:$AJ,AH$1,0)*15,0))</f>
        <v>0</v>
      </c>
      <c r="AI127" s="13">
        <f>SUM(IFERROR(VLOOKUP($C:$C,Structure!$A:$AJ,AI$1,0)*15,0),IFERROR(VLOOKUP($D:$D,Structure!$A:$AJ,AI$1,0)*15,0),IFERROR(VLOOKUP($E:$E,Structure!$A:$AJ,AI$1,0)*15,0))</f>
        <v>0</v>
      </c>
      <c r="AJ127" s="13">
        <f>SUM(IFERROR(VLOOKUP($C:$C,Structure!$A:$AJ,AJ$1,0)*15,0),IFERROR(VLOOKUP($D:$D,Structure!$A:$AJ,AJ$1,0)*15,0),IFERROR(VLOOKUP($E:$E,Structure!$A:$AJ,AJ$1,0)*15,0))</f>
        <v>45</v>
      </c>
      <c r="AK127" s="13">
        <f>SUM(IFERROR(VLOOKUP($C:$C,Structure!$A:$AJ,AK$1,0)*15,0),IFERROR(VLOOKUP($D:$D,Structure!$A:$AJ,AK$1,0)*15,0),IFERROR(VLOOKUP($E:$E,Structure!$A:$AJ,AK$1,0)*15,0))</f>
        <v>0</v>
      </c>
      <c r="AL127" s="13">
        <f>SUM(IFERROR(VLOOKUP($C:$C,Structure!$A:$AJ,AL$1,0)*15,0),IFERROR(VLOOKUP($D:$D,Structure!$A:$AJ,AL$1,0)*15,0),IFERROR(VLOOKUP($E:$E,Structure!$A:$AJ,AL$1,0)*15,0))</f>
        <v>0</v>
      </c>
      <c r="AM127" s="13">
        <f>SUM(IFERROR(VLOOKUP($C:$C,Structure!$A:$AJ,AM$1,0)*15,0),IFERROR(VLOOKUP($D:$D,Structure!$A:$AJ,AM$1,0)*15,0),IFERROR(VLOOKUP($E:$E,Structure!$A:$AJ,AM$1,0)*15,0))</f>
        <v>0</v>
      </c>
      <c r="AN127" s="13">
        <f>SUM(IFERROR(VLOOKUP($C:$C,Structure!$A:$AJ,AN$1,0)*15,0),IFERROR(VLOOKUP($D:$D,Structure!$A:$AJ,AN$1,0)*15,0),IFERROR(VLOOKUP($E:$E,Structure!$A:$AJ,AN$1,0)*15,0))</f>
        <v>0</v>
      </c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3"/>
      <c r="BZ127" s="4">
        <f>BZ126+AQ127-F127</f>
        <v>0</v>
      </c>
      <c r="CA127" s="4">
        <f>CA126+AR127-G127</f>
        <v>0</v>
      </c>
      <c r="CB127" s="4">
        <f>CB126+AS127-H127</f>
        <v>0</v>
      </c>
      <c r="CC127" s="4">
        <f>CC126+AT127-I127</f>
        <v>0</v>
      </c>
      <c r="CD127" s="4">
        <f>CD126+AU127-J127</f>
        <v>0</v>
      </c>
      <c r="CE127" s="4">
        <f>CE126+AV127-K127</f>
        <v>0</v>
      </c>
      <c r="CF127" s="4">
        <f>CF126+AW127-L127</f>
        <v>0</v>
      </c>
      <c r="CG127" s="4">
        <f>CG126+AX127-M127</f>
        <v>0</v>
      </c>
      <c r="CH127" s="4">
        <f>CH126+AY127-N127</f>
        <v>0</v>
      </c>
      <c r="CI127" s="4">
        <f>CI126+AZ127-O127</f>
        <v>0</v>
      </c>
      <c r="CJ127" s="4">
        <f>CJ126+BA127-P127</f>
        <v>0</v>
      </c>
      <c r="CK127" s="4">
        <f>CK126+BB127-Q127</f>
        <v>0</v>
      </c>
      <c r="CL127" s="4">
        <f>CL126+BC127-R127</f>
        <v>0</v>
      </c>
      <c r="CM127" s="4">
        <f>CM126+BD127-S127</f>
        <v>0</v>
      </c>
      <c r="CN127" s="4">
        <f>CN126+BE127-T127</f>
        <v>0</v>
      </c>
      <c r="CO127" s="4">
        <f>CO126+BF127-U127</f>
        <v>0</v>
      </c>
      <c r="CP127" s="4">
        <f>CP126+BG127-V127</f>
        <v>-60</v>
      </c>
      <c r="CQ127" s="4">
        <f>CQ126+BH127-W127</f>
        <v>0</v>
      </c>
      <c r="CR127" s="4">
        <f>CR126+BI127-X127</f>
        <v>-60</v>
      </c>
      <c r="CS127" s="4">
        <f>CS126+BJ127-Y127</f>
        <v>0</v>
      </c>
      <c r="CT127" s="4">
        <f>CT126+BK127-Z127</f>
        <v>0</v>
      </c>
      <c r="CU127" s="4">
        <f>CU126+BL127-AA127</f>
        <v>-4910</v>
      </c>
      <c r="CV127" s="4">
        <f>CV126+BM127-AB127</f>
        <v>-240</v>
      </c>
      <c r="CW127" s="4">
        <f>CW126+BN127-AC127</f>
        <v>-255</v>
      </c>
      <c r="CX127" s="4">
        <f>CX126+BO127-AD127</f>
        <v>0</v>
      </c>
      <c r="CY127" s="4">
        <f>CY126+BP127-AE127</f>
        <v>-60</v>
      </c>
      <c r="CZ127" s="4">
        <f>CZ126+BQ127-AF127</f>
        <v>-160</v>
      </c>
      <c r="DA127" s="4">
        <f>DA126+BR127-AG127</f>
        <v>0</v>
      </c>
      <c r="DB127" s="4">
        <f>DB126+BS127-AH127</f>
        <v>-60</v>
      </c>
      <c r="DC127" s="4">
        <f>DC126+BT127-AI127</f>
        <v>0</v>
      </c>
      <c r="DD127" s="4">
        <f>DD126+BU127-AJ127</f>
        <v>-3670</v>
      </c>
      <c r="DE127" s="4">
        <f>DE126+BV127-AK127</f>
        <v>-1260</v>
      </c>
      <c r="DF127" s="4">
        <f>DF126+BW127-AL127</f>
        <v>0</v>
      </c>
      <c r="DG127" s="4">
        <f>DG126+BX127-AM127</f>
        <v>-235</v>
      </c>
      <c r="DH127" s="4">
        <f>DH126+BY127-AN127</f>
        <v>0</v>
      </c>
    </row>
    <row r="128" spans="1:112" x14ac:dyDescent="0.25">
      <c r="A128" s="6">
        <v>46184</v>
      </c>
      <c r="B128" s="7">
        <v>0.54166666636592709</v>
      </c>
      <c r="C128" s="3" t="s">
        <v>2</v>
      </c>
      <c r="D128" s="3" t="s">
        <v>6</v>
      </c>
      <c r="E128" s="3" t="s">
        <v>2</v>
      </c>
      <c r="F128" s="13">
        <f>SUM(IFERROR(VLOOKUP($C:$C,Structure!$A:$AJ,F$1,0)*15,0),IFERROR(VLOOKUP($D:$D,Structure!$A:$AJ,F$1,0)*15,0),IFERROR(VLOOKUP($E:$E,Structure!$A:$AJ,F$1,0)*15,0))</f>
        <v>0</v>
      </c>
      <c r="G128" s="13">
        <f>SUM(IFERROR(VLOOKUP($C:$C,Structure!$A:$AJ,G$1,0)*15,0),IFERROR(VLOOKUP($D:$D,Structure!$A:$AJ,G$1,0)*15,0),IFERROR(VLOOKUP($E:$E,Structure!$A:$AJ,G$1,0)*15,0))</f>
        <v>0</v>
      </c>
      <c r="H128" s="13">
        <f>SUM(IFERROR(VLOOKUP($C:$C,Structure!$A:$AJ,H$1,0)*15,0),IFERROR(VLOOKUP($D:$D,Structure!$A:$AJ,H$1,0)*15,0),IFERROR(VLOOKUP($E:$E,Structure!$A:$AJ,H$1,0)*15,0))</f>
        <v>0</v>
      </c>
      <c r="I128" s="13">
        <f>SUM(IFERROR(VLOOKUP($C:$C,Structure!$A:$AJ,I$1,0)*15,0),IFERROR(VLOOKUP($D:$D,Structure!$A:$AJ,I$1,0)*15,0),IFERROR(VLOOKUP($E:$E,Structure!$A:$AJ,I$1,0)*15,0))</f>
        <v>0</v>
      </c>
      <c r="J128" s="13">
        <f>SUM(IFERROR(VLOOKUP($C:$C,Structure!$A:$AJ,J$1,0)*15,0),IFERROR(VLOOKUP($D:$D,Structure!$A:$AJ,J$1,0)*15,0),IFERROR(VLOOKUP($E:$E,Structure!$A:$AJ,J$1,0)*15,0))</f>
        <v>0</v>
      </c>
      <c r="K128" s="13">
        <f>SUM(IFERROR(VLOOKUP($C:$C,Structure!$A:$AJ,K$1,0)*15,0),IFERROR(VLOOKUP($D:$D,Structure!$A:$AJ,K$1,0)*15,0),IFERROR(VLOOKUP($E:$E,Structure!$A:$AJ,K$1,0)*15,0))</f>
        <v>0</v>
      </c>
      <c r="L128" s="13">
        <f>SUM(IFERROR(VLOOKUP($C:$C,Structure!$A:$AJ,L$1,0)*15,0),IFERROR(VLOOKUP($D:$D,Structure!$A:$AJ,L$1,0)*15,0),IFERROR(VLOOKUP($E:$E,Structure!$A:$AJ,L$1,0)*15,0))</f>
        <v>0</v>
      </c>
      <c r="M128" s="13">
        <f>SUM(IFERROR(VLOOKUP($C:$C,Structure!$A:$AJ,M$1,0)*15,0),IFERROR(VLOOKUP($D:$D,Structure!$A:$AJ,M$1,0)*15,0),IFERROR(VLOOKUP($E:$E,Structure!$A:$AJ,M$1,0)*15,0))</f>
        <v>0</v>
      </c>
      <c r="N128" s="13">
        <f>SUM(IFERROR(VLOOKUP($C:$C,Structure!$A:$AJ,N$1,0)*15,0),IFERROR(VLOOKUP($D:$D,Structure!$A:$AJ,N$1,0)*15,0),IFERROR(VLOOKUP($E:$E,Structure!$A:$AJ,N$1,0)*15,0))</f>
        <v>0</v>
      </c>
      <c r="O128" s="13">
        <f>SUM(IFERROR(VLOOKUP($C:$C,Structure!$A:$AJ,O$1,0)*15,0),IFERROR(VLOOKUP($D:$D,Structure!$A:$AJ,O$1,0)*15,0),IFERROR(VLOOKUP($E:$E,Structure!$A:$AJ,O$1,0)*15,0))</f>
        <v>0</v>
      </c>
      <c r="P128" s="13">
        <f>SUM(IFERROR(VLOOKUP($C:$C,Structure!$A:$AJ,P$1,0)*15,0),IFERROR(VLOOKUP($D:$D,Structure!$A:$AJ,P$1,0)*15,0),IFERROR(VLOOKUP($E:$E,Structure!$A:$AJ,P$1,0)*15,0))</f>
        <v>0</v>
      </c>
      <c r="Q128" s="13">
        <f>SUM(IFERROR(VLOOKUP($C:$C,Structure!$A:$AJ,Q$1,0)*15,0),IFERROR(VLOOKUP($D:$D,Structure!$A:$AJ,Q$1,0)*15,0),IFERROR(VLOOKUP($E:$E,Structure!$A:$AJ,Q$1,0)*15,0))</f>
        <v>0</v>
      </c>
      <c r="R128" s="13">
        <f>SUM(IFERROR(VLOOKUP($C:$C,Structure!$A:$AJ,R$1,0)*15,0),IFERROR(VLOOKUP($D:$D,Structure!$A:$AJ,R$1,0)*15,0),IFERROR(VLOOKUP($E:$E,Structure!$A:$AJ,R$1,0)*15,0))</f>
        <v>0</v>
      </c>
      <c r="S128" s="13">
        <f>SUM(IFERROR(VLOOKUP($C:$C,Structure!$A:$AJ,S$1,0)*15,0),IFERROR(VLOOKUP($D:$D,Structure!$A:$AJ,S$1,0)*15,0),IFERROR(VLOOKUP($E:$E,Structure!$A:$AJ,S$1,0)*15,0))</f>
        <v>0</v>
      </c>
      <c r="T128" s="13">
        <f>SUM(IFERROR(VLOOKUP($C:$C,Structure!$A:$AJ,T$1,0)*15,0),IFERROR(VLOOKUP($D:$D,Structure!$A:$AJ,T$1,0)*15,0),IFERROR(VLOOKUP($E:$E,Structure!$A:$AJ,T$1,0)*15,0))</f>
        <v>0</v>
      </c>
      <c r="U128" s="13">
        <f>SUM(IFERROR(VLOOKUP($C:$C,Structure!$A:$AJ,U$1,0)*15,0),IFERROR(VLOOKUP($D:$D,Structure!$A:$AJ,U$1,0)*15,0),IFERROR(VLOOKUP($E:$E,Structure!$A:$AJ,U$1,0)*15,0))</f>
        <v>0</v>
      </c>
      <c r="V128" s="13">
        <f>SUM(IFERROR(VLOOKUP($C:$C,Structure!$A:$AJ,V$1,0)*15,0),IFERROR(VLOOKUP($D:$D,Structure!$A:$AJ,V$1,0)*15,0),IFERROR(VLOOKUP($E:$E,Structure!$A:$AJ,V$1,0)*15,0))</f>
        <v>0</v>
      </c>
      <c r="W128" s="13">
        <f>SUM(IFERROR(VLOOKUP($C:$C,Structure!$A:$AJ,W$1,0)*15,0),IFERROR(VLOOKUP($D:$D,Structure!$A:$AJ,W$1,0)*15,0),IFERROR(VLOOKUP($E:$E,Structure!$A:$AJ,W$1,0)*15,0))</f>
        <v>0</v>
      </c>
      <c r="X128" s="13">
        <f>SUM(IFERROR(VLOOKUP($C:$C,Structure!$A:$AJ,X$1,0)*15,0),IFERROR(VLOOKUP($D:$D,Structure!$A:$AJ,X$1,0)*15,0),IFERROR(VLOOKUP($E:$E,Structure!$A:$AJ,X$1,0)*15,0))</f>
        <v>0</v>
      </c>
      <c r="Y128" s="13">
        <f>SUM(IFERROR(VLOOKUP($C:$C,Structure!$A:$AJ,Y$1,0)*15,0),IFERROR(VLOOKUP($D:$D,Structure!$A:$AJ,Y$1,0)*15,0),IFERROR(VLOOKUP($E:$E,Structure!$A:$AJ,Y$1,0)*15,0))</f>
        <v>0</v>
      </c>
      <c r="Z128" s="13">
        <f>SUM(IFERROR(VLOOKUP($C:$C,Structure!$A:$AJ,Z$1,0)*15,0),IFERROR(VLOOKUP($D:$D,Structure!$A:$AJ,Z$1,0)*15,0),IFERROR(VLOOKUP($E:$E,Structure!$A:$AJ,Z$1,0)*15,0))</f>
        <v>0</v>
      </c>
      <c r="AA128" s="13">
        <f>SUM(IFERROR(VLOOKUP($C:$C,Structure!$A:$AJ,AA$1,0)*15,0),IFERROR(VLOOKUP($D:$D,Structure!$A:$AJ,AA$1,0)*15,0),IFERROR(VLOOKUP($E:$E,Structure!$A:$AJ,AA$1,0)*15,0))</f>
        <v>45</v>
      </c>
      <c r="AB128" s="13">
        <f>SUM(IFERROR(VLOOKUP($C:$C,Structure!$A:$AJ,AB$1,0)*15,0),IFERROR(VLOOKUP($D:$D,Structure!$A:$AJ,AB$1,0)*15,0),IFERROR(VLOOKUP($E:$E,Structure!$A:$AJ,AB$1,0)*15,0))</f>
        <v>0</v>
      </c>
      <c r="AC128" s="13">
        <f>SUM(IFERROR(VLOOKUP($C:$C,Structure!$A:$AJ,AC$1,0)*15,0),IFERROR(VLOOKUP($D:$D,Structure!$A:$AJ,AC$1,0)*15,0),IFERROR(VLOOKUP($E:$E,Structure!$A:$AJ,AC$1,0)*15,0))</f>
        <v>0</v>
      </c>
      <c r="AD128" s="13">
        <f>SUM(IFERROR(VLOOKUP($C:$C,Structure!$A:$AJ,AD$1,0)*15,0),IFERROR(VLOOKUP($D:$D,Structure!$A:$AJ,AD$1,0)*15,0),IFERROR(VLOOKUP($E:$E,Structure!$A:$AJ,AD$1,0)*15,0))</f>
        <v>0</v>
      </c>
      <c r="AE128" s="13">
        <f>SUM(IFERROR(VLOOKUP($C:$C,Structure!$A:$AJ,AE$1,0)*15,0),IFERROR(VLOOKUP($D:$D,Structure!$A:$AJ,AE$1,0)*15,0),IFERROR(VLOOKUP($E:$E,Structure!$A:$AJ,AE$1,0)*15,0))</f>
        <v>0</v>
      </c>
      <c r="AF128" s="13">
        <f>SUM(IFERROR(VLOOKUP($C:$C,Structure!$A:$AJ,AF$1,0)*15,0),IFERROR(VLOOKUP($D:$D,Structure!$A:$AJ,AF$1,0)*15,0),IFERROR(VLOOKUP($E:$E,Structure!$A:$AJ,AF$1,0)*15,0))</f>
        <v>0</v>
      </c>
      <c r="AG128" s="13">
        <f>SUM(IFERROR(VLOOKUP($C:$C,Structure!$A:$AJ,AG$1,0)*15,0),IFERROR(VLOOKUP($D:$D,Structure!$A:$AJ,AG$1,0)*15,0),IFERROR(VLOOKUP($E:$E,Structure!$A:$AJ,AG$1,0)*15,0))</f>
        <v>0</v>
      </c>
      <c r="AH128" s="13">
        <f>SUM(IFERROR(VLOOKUP($C:$C,Structure!$A:$AJ,AH$1,0)*15,0),IFERROR(VLOOKUP($D:$D,Structure!$A:$AJ,AH$1,0)*15,0),IFERROR(VLOOKUP($E:$E,Structure!$A:$AJ,AH$1,0)*15,0))</f>
        <v>0</v>
      </c>
      <c r="AI128" s="13">
        <f>SUM(IFERROR(VLOOKUP($C:$C,Structure!$A:$AJ,AI$1,0)*15,0),IFERROR(VLOOKUP($D:$D,Structure!$A:$AJ,AI$1,0)*15,0),IFERROR(VLOOKUP($E:$E,Structure!$A:$AJ,AI$1,0)*15,0))</f>
        <v>0</v>
      </c>
      <c r="AJ128" s="13">
        <f>SUM(IFERROR(VLOOKUP($C:$C,Structure!$A:$AJ,AJ$1,0)*15,0),IFERROR(VLOOKUP($D:$D,Structure!$A:$AJ,AJ$1,0)*15,0),IFERROR(VLOOKUP($E:$E,Structure!$A:$AJ,AJ$1,0)*15,0))</f>
        <v>45</v>
      </c>
      <c r="AK128" s="13">
        <f>SUM(IFERROR(VLOOKUP($C:$C,Structure!$A:$AJ,AK$1,0)*15,0),IFERROR(VLOOKUP($D:$D,Structure!$A:$AJ,AK$1,0)*15,0),IFERROR(VLOOKUP($E:$E,Structure!$A:$AJ,AK$1,0)*15,0))</f>
        <v>0</v>
      </c>
      <c r="AL128" s="13">
        <f>SUM(IFERROR(VLOOKUP($C:$C,Structure!$A:$AJ,AL$1,0)*15,0),IFERROR(VLOOKUP($D:$D,Structure!$A:$AJ,AL$1,0)*15,0),IFERROR(VLOOKUP($E:$E,Structure!$A:$AJ,AL$1,0)*15,0))</f>
        <v>0</v>
      </c>
      <c r="AM128" s="13">
        <f>SUM(IFERROR(VLOOKUP($C:$C,Structure!$A:$AJ,AM$1,0)*15,0),IFERROR(VLOOKUP($D:$D,Structure!$A:$AJ,AM$1,0)*15,0),IFERROR(VLOOKUP($E:$E,Structure!$A:$AJ,AM$1,0)*15,0))</f>
        <v>0</v>
      </c>
      <c r="AN128" s="13">
        <f>SUM(IFERROR(VLOOKUP($C:$C,Structure!$A:$AJ,AN$1,0)*15,0),IFERROR(VLOOKUP($D:$D,Structure!$A:$AJ,AN$1,0)*15,0),IFERROR(VLOOKUP($E:$E,Structure!$A:$AJ,AN$1,0)*15,0))</f>
        <v>0</v>
      </c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3"/>
      <c r="BZ128" s="4">
        <f>BZ127+AQ128-F128</f>
        <v>0</v>
      </c>
      <c r="CA128" s="4">
        <f>CA127+AR128-G128</f>
        <v>0</v>
      </c>
      <c r="CB128" s="4">
        <f>CB127+AS128-H128</f>
        <v>0</v>
      </c>
      <c r="CC128" s="4">
        <f>CC127+AT128-I128</f>
        <v>0</v>
      </c>
      <c r="CD128" s="4">
        <f>CD127+AU128-J128</f>
        <v>0</v>
      </c>
      <c r="CE128" s="4">
        <f>CE127+AV128-K128</f>
        <v>0</v>
      </c>
      <c r="CF128" s="4">
        <f>CF127+AW128-L128</f>
        <v>0</v>
      </c>
      <c r="CG128" s="4">
        <f>CG127+AX128-M128</f>
        <v>0</v>
      </c>
      <c r="CH128" s="4">
        <f>CH127+AY128-N128</f>
        <v>0</v>
      </c>
      <c r="CI128" s="4">
        <f>CI127+AZ128-O128</f>
        <v>0</v>
      </c>
      <c r="CJ128" s="4">
        <f>CJ127+BA128-P128</f>
        <v>0</v>
      </c>
      <c r="CK128" s="4">
        <f>CK127+BB128-Q128</f>
        <v>0</v>
      </c>
      <c r="CL128" s="4">
        <f>CL127+BC128-R128</f>
        <v>0</v>
      </c>
      <c r="CM128" s="4">
        <f>CM127+BD128-S128</f>
        <v>0</v>
      </c>
      <c r="CN128" s="4">
        <f>CN127+BE128-T128</f>
        <v>0</v>
      </c>
      <c r="CO128" s="4">
        <f>CO127+BF128-U128</f>
        <v>0</v>
      </c>
      <c r="CP128" s="4">
        <f>CP127+BG128-V128</f>
        <v>-60</v>
      </c>
      <c r="CQ128" s="4">
        <f>CQ127+BH128-W128</f>
        <v>0</v>
      </c>
      <c r="CR128" s="4">
        <f>CR127+BI128-X128</f>
        <v>-60</v>
      </c>
      <c r="CS128" s="4">
        <f>CS127+BJ128-Y128</f>
        <v>0</v>
      </c>
      <c r="CT128" s="4">
        <f>CT127+BK128-Z128</f>
        <v>0</v>
      </c>
      <c r="CU128" s="4">
        <f>CU127+BL128-AA128</f>
        <v>-4955</v>
      </c>
      <c r="CV128" s="4">
        <f>CV127+BM128-AB128</f>
        <v>-240</v>
      </c>
      <c r="CW128" s="4">
        <f>CW127+BN128-AC128</f>
        <v>-255</v>
      </c>
      <c r="CX128" s="4">
        <f>CX127+BO128-AD128</f>
        <v>0</v>
      </c>
      <c r="CY128" s="4">
        <f>CY127+BP128-AE128</f>
        <v>-60</v>
      </c>
      <c r="CZ128" s="4">
        <f>CZ127+BQ128-AF128</f>
        <v>-160</v>
      </c>
      <c r="DA128" s="4">
        <f>DA127+BR128-AG128</f>
        <v>0</v>
      </c>
      <c r="DB128" s="4">
        <f>DB127+BS128-AH128</f>
        <v>-60</v>
      </c>
      <c r="DC128" s="4">
        <f>DC127+BT128-AI128</f>
        <v>0</v>
      </c>
      <c r="DD128" s="4">
        <f>DD127+BU128-AJ128</f>
        <v>-3715</v>
      </c>
      <c r="DE128" s="4">
        <f>DE127+BV128-AK128</f>
        <v>-1260</v>
      </c>
      <c r="DF128" s="4">
        <f>DF127+BW128-AL128</f>
        <v>0</v>
      </c>
      <c r="DG128" s="4">
        <f>DG127+BX128-AM128</f>
        <v>-235</v>
      </c>
      <c r="DH128" s="4">
        <f>DH127+BY128-AN128</f>
        <v>0</v>
      </c>
    </row>
    <row r="129" spans="1:112" x14ac:dyDescent="0.25">
      <c r="A129" s="6">
        <v>46184</v>
      </c>
      <c r="B129" s="7">
        <v>0.58333333303016843</v>
      </c>
      <c r="C129" s="3" t="s">
        <v>2</v>
      </c>
      <c r="D129" s="3" t="s">
        <v>6</v>
      </c>
      <c r="E129" s="3" t="s">
        <v>2</v>
      </c>
      <c r="F129" s="13">
        <f>SUM(IFERROR(VLOOKUP($C:$C,Structure!$A:$AJ,F$1,0)*15,0),IFERROR(VLOOKUP($D:$D,Structure!$A:$AJ,F$1,0)*15,0),IFERROR(VLOOKUP($E:$E,Structure!$A:$AJ,F$1,0)*15,0))</f>
        <v>0</v>
      </c>
      <c r="G129" s="13">
        <f>SUM(IFERROR(VLOOKUP($C:$C,Structure!$A:$AJ,G$1,0)*15,0),IFERROR(VLOOKUP($D:$D,Structure!$A:$AJ,G$1,0)*15,0),IFERROR(VLOOKUP($E:$E,Structure!$A:$AJ,G$1,0)*15,0))</f>
        <v>0</v>
      </c>
      <c r="H129" s="13">
        <f>SUM(IFERROR(VLOOKUP($C:$C,Structure!$A:$AJ,H$1,0)*15,0),IFERROR(VLOOKUP($D:$D,Structure!$A:$AJ,H$1,0)*15,0),IFERROR(VLOOKUP($E:$E,Structure!$A:$AJ,H$1,0)*15,0))</f>
        <v>0</v>
      </c>
      <c r="I129" s="13">
        <f>SUM(IFERROR(VLOOKUP($C:$C,Structure!$A:$AJ,I$1,0)*15,0),IFERROR(VLOOKUP($D:$D,Structure!$A:$AJ,I$1,0)*15,0),IFERROR(VLOOKUP($E:$E,Structure!$A:$AJ,I$1,0)*15,0))</f>
        <v>0</v>
      </c>
      <c r="J129" s="13">
        <f>SUM(IFERROR(VLOOKUP($C:$C,Structure!$A:$AJ,J$1,0)*15,0),IFERROR(VLOOKUP($D:$D,Structure!$A:$AJ,J$1,0)*15,0),IFERROR(VLOOKUP($E:$E,Structure!$A:$AJ,J$1,0)*15,0))</f>
        <v>0</v>
      </c>
      <c r="K129" s="13">
        <f>SUM(IFERROR(VLOOKUP($C:$C,Structure!$A:$AJ,K$1,0)*15,0),IFERROR(VLOOKUP($D:$D,Structure!$A:$AJ,K$1,0)*15,0),IFERROR(VLOOKUP($E:$E,Structure!$A:$AJ,K$1,0)*15,0))</f>
        <v>0</v>
      </c>
      <c r="L129" s="13">
        <f>SUM(IFERROR(VLOOKUP($C:$C,Structure!$A:$AJ,L$1,0)*15,0),IFERROR(VLOOKUP($D:$D,Structure!$A:$AJ,L$1,0)*15,0),IFERROR(VLOOKUP($E:$E,Structure!$A:$AJ,L$1,0)*15,0))</f>
        <v>0</v>
      </c>
      <c r="M129" s="13">
        <f>SUM(IFERROR(VLOOKUP($C:$C,Structure!$A:$AJ,M$1,0)*15,0),IFERROR(VLOOKUP($D:$D,Structure!$A:$AJ,M$1,0)*15,0),IFERROR(VLOOKUP($E:$E,Structure!$A:$AJ,M$1,0)*15,0))</f>
        <v>0</v>
      </c>
      <c r="N129" s="13">
        <f>SUM(IFERROR(VLOOKUP($C:$C,Structure!$A:$AJ,N$1,0)*15,0),IFERROR(VLOOKUP($D:$D,Structure!$A:$AJ,N$1,0)*15,0),IFERROR(VLOOKUP($E:$E,Structure!$A:$AJ,N$1,0)*15,0))</f>
        <v>0</v>
      </c>
      <c r="O129" s="13">
        <f>SUM(IFERROR(VLOOKUP($C:$C,Structure!$A:$AJ,O$1,0)*15,0),IFERROR(VLOOKUP($D:$D,Structure!$A:$AJ,O$1,0)*15,0),IFERROR(VLOOKUP($E:$E,Structure!$A:$AJ,O$1,0)*15,0))</f>
        <v>0</v>
      </c>
      <c r="P129" s="13">
        <f>SUM(IFERROR(VLOOKUP($C:$C,Structure!$A:$AJ,P$1,0)*15,0),IFERROR(VLOOKUP($D:$D,Structure!$A:$AJ,P$1,0)*15,0),IFERROR(VLOOKUP($E:$E,Structure!$A:$AJ,P$1,0)*15,0))</f>
        <v>0</v>
      </c>
      <c r="Q129" s="13">
        <f>SUM(IFERROR(VLOOKUP($C:$C,Structure!$A:$AJ,Q$1,0)*15,0),IFERROR(VLOOKUP($D:$D,Structure!$A:$AJ,Q$1,0)*15,0),IFERROR(VLOOKUP($E:$E,Structure!$A:$AJ,Q$1,0)*15,0))</f>
        <v>0</v>
      </c>
      <c r="R129" s="13">
        <f>SUM(IFERROR(VLOOKUP($C:$C,Structure!$A:$AJ,R$1,0)*15,0),IFERROR(VLOOKUP($D:$D,Structure!$A:$AJ,R$1,0)*15,0),IFERROR(VLOOKUP($E:$E,Structure!$A:$AJ,R$1,0)*15,0))</f>
        <v>0</v>
      </c>
      <c r="S129" s="13">
        <f>SUM(IFERROR(VLOOKUP($C:$C,Structure!$A:$AJ,S$1,0)*15,0),IFERROR(VLOOKUP($D:$D,Structure!$A:$AJ,S$1,0)*15,0),IFERROR(VLOOKUP($E:$E,Structure!$A:$AJ,S$1,0)*15,0))</f>
        <v>0</v>
      </c>
      <c r="T129" s="13">
        <f>SUM(IFERROR(VLOOKUP($C:$C,Structure!$A:$AJ,T$1,0)*15,0),IFERROR(VLOOKUP($D:$D,Structure!$A:$AJ,T$1,0)*15,0),IFERROR(VLOOKUP($E:$E,Structure!$A:$AJ,T$1,0)*15,0))</f>
        <v>0</v>
      </c>
      <c r="U129" s="13">
        <f>SUM(IFERROR(VLOOKUP($C:$C,Structure!$A:$AJ,U$1,0)*15,0),IFERROR(VLOOKUP($D:$D,Structure!$A:$AJ,U$1,0)*15,0),IFERROR(VLOOKUP($E:$E,Structure!$A:$AJ,U$1,0)*15,0))</f>
        <v>0</v>
      </c>
      <c r="V129" s="13">
        <f>SUM(IFERROR(VLOOKUP($C:$C,Structure!$A:$AJ,V$1,0)*15,0),IFERROR(VLOOKUP($D:$D,Structure!$A:$AJ,V$1,0)*15,0),IFERROR(VLOOKUP($E:$E,Structure!$A:$AJ,V$1,0)*15,0))</f>
        <v>0</v>
      </c>
      <c r="W129" s="13">
        <f>SUM(IFERROR(VLOOKUP($C:$C,Structure!$A:$AJ,W$1,0)*15,0),IFERROR(VLOOKUP($D:$D,Structure!$A:$AJ,W$1,0)*15,0),IFERROR(VLOOKUP($E:$E,Structure!$A:$AJ,W$1,0)*15,0))</f>
        <v>0</v>
      </c>
      <c r="X129" s="13">
        <f>SUM(IFERROR(VLOOKUP($C:$C,Structure!$A:$AJ,X$1,0)*15,0),IFERROR(VLOOKUP($D:$D,Structure!$A:$AJ,X$1,0)*15,0),IFERROR(VLOOKUP($E:$E,Structure!$A:$AJ,X$1,0)*15,0))</f>
        <v>0</v>
      </c>
      <c r="Y129" s="13">
        <f>SUM(IFERROR(VLOOKUP($C:$C,Structure!$A:$AJ,Y$1,0)*15,0),IFERROR(VLOOKUP($D:$D,Structure!$A:$AJ,Y$1,0)*15,0),IFERROR(VLOOKUP($E:$E,Structure!$A:$AJ,Y$1,0)*15,0))</f>
        <v>0</v>
      </c>
      <c r="Z129" s="13">
        <f>SUM(IFERROR(VLOOKUP($C:$C,Structure!$A:$AJ,Z$1,0)*15,0),IFERROR(VLOOKUP($D:$D,Structure!$A:$AJ,Z$1,0)*15,0),IFERROR(VLOOKUP($E:$E,Structure!$A:$AJ,Z$1,0)*15,0))</f>
        <v>0</v>
      </c>
      <c r="AA129" s="13">
        <f>SUM(IFERROR(VLOOKUP($C:$C,Structure!$A:$AJ,AA$1,0)*15,0),IFERROR(VLOOKUP($D:$D,Structure!$A:$AJ,AA$1,0)*15,0),IFERROR(VLOOKUP($E:$E,Structure!$A:$AJ,AA$1,0)*15,0))</f>
        <v>45</v>
      </c>
      <c r="AB129" s="13">
        <f>SUM(IFERROR(VLOOKUP($C:$C,Structure!$A:$AJ,AB$1,0)*15,0),IFERROR(VLOOKUP($D:$D,Structure!$A:$AJ,AB$1,0)*15,0),IFERROR(VLOOKUP($E:$E,Structure!$A:$AJ,AB$1,0)*15,0))</f>
        <v>0</v>
      </c>
      <c r="AC129" s="13">
        <f>SUM(IFERROR(VLOOKUP($C:$C,Structure!$A:$AJ,AC$1,0)*15,0),IFERROR(VLOOKUP($D:$D,Structure!$A:$AJ,AC$1,0)*15,0),IFERROR(VLOOKUP($E:$E,Structure!$A:$AJ,AC$1,0)*15,0))</f>
        <v>0</v>
      </c>
      <c r="AD129" s="13">
        <f>SUM(IFERROR(VLOOKUP($C:$C,Structure!$A:$AJ,AD$1,0)*15,0),IFERROR(VLOOKUP($D:$D,Structure!$A:$AJ,AD$1,0)*15,0),IFERROR(VLOOKUP($E:$E,Structure!$A:$AJ,AD$1,0)*15,0))</f>
        <v>0</v>
      </c>
      <c r="AE129" s="13">
        <f>SUM(IFERROR(VLOOKUP($C:$C,Structure!$A:$AJ,AE$1,0)*15,0),IFERROR(VLOOKUP($D:$D,Structure!$A:$AJ,AE$1,0)*15,0),IFERROR(VLOOKUP($E:$E,Structure!$A:$AJ,AE$1,0)*15,0))</f>
        <v>0</v>
      </c>
      <c r="AF129" s="13">
        <f>SUM(IFERROR(VLOOKUP($C:$C,Structure!$A:$AJ,AF$1,0)*15,0),IFERROR(VLOOKUP($D:$D,Structure!$A:$AJ,AF$1,0)*15,0),IFERROR(VLOOKUP($E:$E,Structure!$A:$AJ,AF$1,0)*15,0))</f>
        <v>0</v>
      </c>
      <c r="AG129" s="13">
        <f>SUM(IFERROR(VLOOKUP($C:$C,Structure!$A:$AJ,AG$1,0)*15,0),IFERROR(VLOOKUP($D:$D,Structure!$A:$AJ,AG$1,0)*15,0),IFERROR(VLOOKUP($E:$E,Structure!$A:$AJ,AG$1,0)*15,0))</f>
        <v>0</v>
      </c>
      <c r="AH129" s="13">
        <f>SUM(IFERROR(VLOOKUP($C:$C,Structure!$A:$AJ,AH$1,0)*15,0),IFERROR(VLOOKUP($D:$D,Structure!$A:$AJ,AH$1,0)*15,0),IFERROR(VLOOKUP($E:$E,Structure!$A:$AJ,AH$1,0)*15,0))</f>
        <v>0</v>
      </c>
      <c r="AI129" s="13">
        <f>SUM(IFERROR(VLOOKUP($C:$C,Structure!$A:$AJ,AI$1,0)*15,0),IFERROR(VLOOKUP($D:$D,Structure!$A:$AJ,AI$1,0)*15,0),IFERROR(VLOOKUP($E:$E,Structure!$A:$AJ,AI$1,0)*15,0))</f>
        <v>0</v>
      </c>
      <c r="AJ129" s="13">
        <f>SUM(IFERROR(VLOOKUP($C:$C,Structure!$A:$AJ,AJ$1,0)*15,0),IFERROR(VLOOKUP($D:$D,Structure!$A:$AJ,AJ$1,0)*15,0),IFERROR(VLOOKUP($E:$E,Structure!$A:$AJ,AJ$1,0)*15,0))</f>
        <v>45</v>
      </c>
      <c r="AK129" s="13">
        <f>SUM(IFERROR(VLOOKUP($C:$C,Structure!$A:$AJ,AK$1,0)*15,0),IFERROR(VLOOKUP($D:$D,Structure!$A:$AJ,AK$1,0)*15,0),IFERROR(VLOOKUP($E:$E,Structure!$A:$AJ,AK$1,0)*15,0))</f>
        <v>0</v>
      </c>
      <c r="AL129" s="13">
        <f>SUM(IFERROR(VLOOKUP($C:$C,Structure!$A:$AJ,AL$1,0)*15,0),IFERROR(VLOOKUP($D:$D,Structure!$A:$AJ,AL$1,0)*15,0),IFERROR(VLOOKUP($E:$E,Structure!$A:$AJ,AL$1,0)*15,0))</f>
        <v>0</v>
      </c>
      <c r="AM129" s="13">
        <f>SUM(IFERROR(VLOOKUP($C:$C,Structure!$A:$AJ,AM$1,0)*15,0),IFERROR(VLOOKUP($D:$D,Structure!$A:$AJ,AM$1,0)*15,0),IFERROR(VLOOKUP($E:$E,Structure!$A:$AJ,AM$1,0)*15,0))</f>
        <v>0</v>
      </c>
      <c r="AN129" s="13">
        <f>SUM(IFERROR(VLOOKUP($C:$C,Structure!$A:$AJ,AN$1,0)*15,0),IFERROR(VLOOKUP($D:$D,Structure!$A:$AJ,AN$1,0)*15,0),IFERROR(VLOOKUP($E:$E,Structure!$A:$AJ,AN$1,0)*15,0))</f>
        <v>0</v>
      </c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3"/>
      <c r="BZ129" s="4">
        <f>BZ128+AQ129-F129</f>
        <v>0</v>
      </c>
      <c r="CA129" s="4">
        <f>CA128+AR129-G129</f>
        <v>0</v>
      </c>
      <c r="CB129" s="4">
        <f>CB128+AS129-H129</f>
        <v>0</v>
      </c>
      <c r="CC129" s="4">
        <f>CC128+AT129-I129</f>
        <v>0</v>
      </c>
      <c r="CD129" s="4">
        <f>CD128+AU129-J129</f>
        <v>0</v>
      </c>
      <c r="CE129" s="4">
        <f>CE128+AV129-K129</f>
        <v>0</v>
      </c>
      <c r="CF129" s="4">
        <f>CF128+AW129-L129</f>
        <v>0</v>
      </c>
      <c r="CG129" s="4">
        <f>CG128+AX129-M129</f>
        <v>0</v>
      </c>
      <c r="CH129" s="4">
        <f>CH128+AY129-N129</f>
        <v>0</v>
      </c>
      <c r="CI129" s="4">
        <f>CI128+AZ129-O129</f>
        <v>0</v>
      </c>
      <c r="CJ129" s="4">
        <f>CJ128+BA129-P129</f>
        <v>0</v>
      </c>
      <c r="CK129" s="4">
        <f>CK128+BB129-Q129</f>
        <v>0</v>
      </c>
      <c r="CL129" s="4">
        <f>CL128+BC129-R129</f>
        <v>0</v>
      </c>
      <c r="CM129" s="4">
        <f>CM128+BD129-S129</f>
        <v>0</v>
      </c>
      <c r="CN129" s="4">
        <f>CN128+BE129-T129</f>
        <v>0</v>
      </c>
      <c r="CO129" s="4">
        <f>CO128+BF129-U129</f>
        <v>0</v>
      </c>
      <c r="CP129" s="4">
        <f>CP128+BG129-V129</f>
        <v>-60</v>
      </c>
      <c r="CQ129" s="4">
        <f>CQ128+BH129-W129</f>
        <v>0</v>
      </c>
      <c r="CR129" s="4">
        <f>CR128+BI129-X129</f>
        <v>-60</v>
      </c>
      <c r="CS129" s="4">
        <f>CS128+BJ129-Y129</f>
        <v>0</v>
      </c>
      <c r="CT129" s="4">
        <f>CT128+BK129-Z129</f>
        <v>0</v>
      </c>
      <c r="CU129" s="4">
        <f>CU128+BL129-AA129</f>
        <v>-5000</v>
      </c>
      <c r="CV129" s="4">
        <f>CV128+BM129-AB129</f>
        <v>-240</v>
      </c>
      <c r="CW129" s="4">
        <f>CW128+BN129-AC129</f>
        <v>-255</v>
      </c>
      <c r="CX129" s="4">
        <f>CX128+BO129-AD129</f>
        <v>0</v>
      </c>
      <c r="CY129" s="4">
        <f>CY128+BP129-AE129</f>
        <v>-60</v>
      </c>
      <c r="CZ129" s="4">
        <f>CZ128+BQ129-AF129</f>
        <v>-160</v>
      </c>
      <c r="DA129" s="4">
        <f>DA128+BR129-AG129</f>
        <v>0</v>
      </c>
      <c r="DB129" s="4">
        <f>DB128+BS129-AH129</f>
        <v>-60</v>
      </c>
      <c r="DC129" s="4">
        <f>DC128+BT129-AI129</f>
        <v>0</v>
      </c>
      <c r="DD129" s="4">
        <f>DD128+BU129-AJ129</f>
        <v>-3760</v>
      </c>
      <c r="DE129" s="4">
        <f>DE128+BV129-AK129</f>
        <v>-1260</v>
      </c>
      <c r="DF129" s="4">
        <f>DF128+BW129-AL129</f>
        <v>0</v>
      </c>
      <c r="DG129" s="4">
        <f>DG128+BX129-AM129</f>
        <v>-235</v>
      </c>
      <c r="DH129" s="4">
        <f>DH128+BY129-AN129</f>
        <v>0</v>
      </c>
    </row>
    <row r="130" spans="1:112" x14ac:dyDescent="0.25">
      <c r="A130" s="6">
        <v>46184</v>
      </c>
      <c r="B130" s="7">
        <v>0.62499999969440978</v>
      </c>
      <c r="C130" s="3" t="s">
        <v>2</v>
      </c>
      <c r="D130" s="3" t="s">
        <v>6</v>
      </c>
      <c r="E130" s="3" t="s">
        <v>2</v>
      </c>
      <c r="F130" s="13">
        <f>SUM(IFERROR(VLOOKUP($C:$C,Structure!$A:$AJ,F$1,0)*15,0),IFERROR(VLOOKUP($D:$D,Structure!$A:$AJ,F$1,0)*15,0),IFERROR(VLOOKUP($E:$E,Structure!$A:$AJ,F$1,0)*15,0))</f>
        <v>0</v>
      </c>
      <c r="G130" s="13">
        <f>SUM(IFERROR(VLOOKUP($C:$C,Structure!$A:$AJ,G$1,0)*15,0),IFERROR(VLOOKUP($D:$D,Structure!$A:$AJ,G$1,0)*15,0),IFERROR(VLOOKUP($E:$E,Structure!$A:$AJ,G$1,0)*15,0))</f>
        <v>0</v>
      </c>
      <c r="H130" s="13">
        <f>SUM(IFERROR(VLOOKUP($C:$C,Structure!$A:$AJ,H$1,0)*15,0),IFERROR(VLOOKUP($D:$D,Structure!$A:$AJ,H$1,0)*15,0),IFERROR(VLOOKUP($E:$E,Structure!$A:$AJ,H$1,0)*15,0))</f>
        <v>0</v>
      </c>
      <c r="I130" s="13">
        <f>SUM(IFERROR(VLOOKUP($C:$C,Structure!$A:$AJ,I$1,0)*15,0),IFERROR(VLOOKUP($D:$D,Structure!$A:$AJ,I$1,0)*15,0),IFERROR(VLOOKUP($E:$E,Structure!$A:$AJ,I$1,0)*15,0))</f>
        <v>0</v>
      </c>
      <c r="J130" s="13">
        <f>SUM(IFERROR(VLOOKUP($C:$C,Structure!$A:$AJ,J$1,0)*15,0),IFERROR(VLOOKUP($D:$D,Structure!$A:$AJ,J$1,0)*15,0),IFERROR(VLOOKUP($E:$E,Structure!$A:$AJ,J$1,0)*15,0))</f>
        <v>0</v>
      </c>
      <c r="K130" s="13">
        <f>SUM(IFERROR(VLOOKUP($C:$C,Structure!$A:$AJ,K$1,0)*15,0),IFERROR(VLOOKUP($D:$D,Structure!$A:$AJ,K$1,0)*15,0),IFERROR(VLOOKUP($E:$E,Structure!$A:$AJ,K$1,0)*15,0))</f>
        <v>0</v>
      </c>
      <c r="L130" s="13">
        <f>SUM(IFERROR(VLOOKUP($C:$C,Structure!$A:$AJ,L$1,0)*15,0),IFERROR(VLOOKUP($D:$D,Structure!$A:$AJ,L$1,0)*15,0),IFERROR(VLOOKUP($E:$E,Structure!$A:$AJ,L$1,0)*15,0))</f>
        <v>0</v>
      </c>
      <c r="M130" s="13">
        <f>SUM(IFERROR(VLOOKUP($C:$C,Structure!$A:$AJ,M$1,0)*15,0),IFERROR(VLOOKUP($D:$D,Structure!$A:$AJ,M$1,0)*15,0),IFERROR(VLOOKUP($E:$E,Structure!$A:$AJ,M$1,0)*15,0))</f>
        <v>0</v>
      </c>
      <c r="N130" s="13">
        <f>SUM(IFERROR(VLOOKUP($C:$C,Structure!$A:$AJ,N$1,0)*15,0),IFERROR(VLOOKUP($D:$D,Structure!$A:$AJ,N$1,0)*15,0),IFERROR(VLOOKUP($E:$E,Structure!$A:$AJ,N$1,0)*15,0))</f>
        <v>0</v>
      </c>
      <c r="O130" s="13">
        <f>SUM(IFERROR(VLOOKUP($C:$C,Structure!$A:$AJ,O$1,0)*15,0),IFERROR(VLOOKUP($D:$D,Structure!$A:$AJ,O$1,0)*15,0),IFERROR(VLOOKUP($E:$E,Structure!$A:$AJ,O$1,0)*15,0))</f>
        <v>0</v>
      </c>
      <c r="P130" s="13">
        <f>SUM(IFERROR(VLOOKUP($C:$C,Structure!$A:$AJ,P$1,0)*15,0),IFERROR(VLOOKUP($D:$D,Structure!$A:$AJ,P$1,0)*15,0),IFERROR(VLOOKUP($E:$E,Structure!$A:$AJ,P$1,0)*15,0))</f>
        <v>0</v>
      </c>
      <c r="Q130" s="13">
        <f>SUM(IFERROR(VLOOKUP($C:$C,Structure!$A:$AJ,Q$1,0)*15,0),IFERROR(VLOOKUP($D:$D,Structure!$A:$AJ,Q$1,0)*15,0),IFERROR(VLOOKUP($E:$E,Structure!$A:$AJ,Q$1,0)*15,0))</f>
        <v>0</v>
      </c>
      <c r="R130" s="13">
        <f>SUM(IFERROR(VLOOKUP($C:$C,Structure!$A:$AJ,R$1,0)*15,0),IFERROR(VLOOKUP($D:$D,Structure!$A:$AJ,R$1,0)*15,0),IFERROR(VLOOKUP($E:$E,Structure!$A:$AJ,R$1,0)*15,0))</f>
        <v>0</v>
      </c>
      <c r="S130" s="13">
        <f>SUM(IFERROR(VLOOKUP($C:$C,Structure!$A:$AJ,S$1,0)*15,0),IFERROR(VLOOKUP($D:$D,Structure!$A:$AJ,S$1,0)*15,0),IFERROR(VLOOKUP($E:$E,Structure!$A:$AJ,S$1,0)*15,0))</f>
        <v>0</v>
      </c>
      <c r="T130" s="13">
        <f>SUM(IFERROR(VLOOKUP($C:$C,Structure!$A:$AJ,T$1,0)*15,0),IFERROR(VLOOKUP($D:$D,Structure!$A:$AJ,T$1,0)*15,0),IFERROR(VLOOKUP($E:$E,Structure!$A:$AJ,T$1,0)*15,0))</f>
        <v>0</v>
      </c>
      <c r="U130" s="13">
        <f>SUM(IFERROR(VLOOKUP($C:$C,Structure!$A:$AJ,U$1,0)*15,0),IFERROR(VLOOKUP($D:$D,Structure!$A:$AJ,U$1,0)*15,0),IFERROR(VLOOKUP($E:$E,Structure!$A:$AJ,U$1,0)*15,0))</f>
        <v>0</v>
      </c>
      <c r="V130" s="13">
        <f>SUM(IFERROR(VLOOKUP($C:$C,Structure!$A:$AJ,V$1,0)*15,0),IFERROR(VLOOKUP($D:$D,Structure!$A:$AJ,V$1,0)*15,0),IFERROR(VLOOKUP($E:$E,Structure!$A:$AJ,V$1,0)*15,0))</f>
        <v>0</v>
      </c>
      <c r="W130" s="13">
        <f>SUM(IFERROR(VLOOKUP($C:$C,Structure!$A:$AJ,W$1,0)*15,0),IFERROR(VLOOKUP($D:$D,Structure!$A:$AJ,W$1,0)*15,0),IFERROR(VLOOKUP($E:$E,Structure!$A:$AJ,W$1,0)*15,0))</f>
        <v>0</v>
      </c>
      <c r="X130" s="13">
        <f>SUM(IFERROR(VLOOKUP($C:$C,Structure!$A:$AJ,X$1,0)*15,0),IFERROR(VLOOKUP($D:$D,Structure!$A:$AJ,X$1,0)*15,0),IFERROR(VLOOKUP($E:$E,Structure!$A:$AJ,X$1,0)*15,0))</f>
        <v>0</v>
      </c>
      <c r="Y130" s="13">
        <f>SUM(IFERROR(VLOOKUP($C:$C,Structure!$A:$AJ,Y$1,0)*15,0),IFERROR(VLOOKUP($D:$D,Structure!$A:$AJ,Y$1,0)*15,0),IFERROR(VLOOKUP($E:$E,Structure!$A:$AJ,Y$1,0)*15,0))</f>
        <v>0</v>
      </c>
      <c r="Z130" s="13">
        <f>SUM(IFERROR(VLOOKUP($C:$C,Structure!$A:$AJ,Z$1,0)*15,0),IFERROR(VLOOKUP($D:$D,Structure!$A:$AJ,Z$1,0)*15,0),IFERROR(VLOOKUP($E:$E,Structure!$A:$AJ,Z$1,0)*15,0))</f>
        <v>0</v>
      </c>
      <c r="AA130" s="13">
        <f>SUM(IFERROR(VLOOKUP($C:$C,Structure!$A:$AJ,AA$1,0)*15,0),IFERROR(VLOOKUP($D:$D,Structure!$A:$AJ,AA$1,0)*15,0),IFERROR(VLOOKUP($E:$E,Structure!$A:$AJ,AA$1,0)*15,0))</f>
        <v>45</v>
      </c>
      <c r="AB130" s="13">
        <f>SUM(IFERROR(VLOOKUP($C:$C,Structure!$A:$AJ,AB$1,0)*15,0),IFERROR(VLOOKUP($D:$D,Structure!$A:$AJ,AB$1,0)*15,0),IFERROR(VLOOKUP($E:$E,Structure!$A:$AJ,AB$1,0)*15,0))</f>
        <v>0</v>
      </c>
      <c r="AC130" s="13">
        <f>SUM(IFERROR(VLOOKUP($C:$C,Structure!$A:$AJ,AC$1,0)*15,0),IFERROR(VLOOKUP($D:$D,Structure!$A:$AJ,AC$1,0)*15,0),IFERROR(VLOOKUP($E:$E,Structure!$A:$AJ,AC$1,0)*15,0))</f>
        <v>0</v>
      </c>
      <c r="AD130" s="13">
        <f>SUM(IFERROR(VLOOKUP($C:$C,Structure!$A:$AJ,AD$1,0)*15,0),IFERROR(VLOOKUP($D:$D,Structure!$A:$AJ,AD$1,0)*15,0),IFERROR(VLOOKUP($E:$E,Structure!$A:$AJ,AD$1,0)*15,0))</f>
        <v>0</v>
      </c>
      <c r="AE130" s="13">
        <f>SUM(IFERROR(VLOOKUP($C:$C,Structure!$A:$AJ,AE$1,0)*15,0),IFERROR(VLOOKUP($D:$D,Structure!$A:$AJ,AE$1,0)*15,0),IFERROR(VLOOKUP($E:$E,Structure!$A:$AJ,AE$1,0)*15,0))</f>
        <v>0</v>
      </c>
      <c r="AF130" s="13">
        <f>SUM(IFERROR(VLOOKUP($C:$C,Structure!$A:$AJ,AF$1,0)*15,0),IFERROR(VLOOKUP($D:$D,Structure!$A:$AJ,AF$1,0)*15,0),IFERROR(VLOOKUP($E:$E,Structure!$A:$AJ,AF$1,0)*15,0))</f>
        <v>0</v>
      </c>
      <c r="AG130" s="13">
        <f>SUM(IFERROR(VLOOKUP($C:$C,Structure!$A:$AJ,AG$1,0)*15,0),IFERROR(VLOOKUP($D:$D,Structure!$A:$AJ,AG$1,0)*15,0),IFERROR(VLOOKUP($E:$E,Structure!$A:$AJ,AG$1,0)*15,0))</f>
        <v>0</v>
      </c>
      <c r="AH130" s="13">
        <f>SUM(IFERROR(VLOOKUP($C:$C,Structure!$A:$AJ,AH$1,0)*15,0),IFERROR(VLOOKUP($D:$D,Structure!$A:$AJ,AH$1,0)*15,0),IFERROR(VLOOKUP($E:$E,Structure!$A:$AJ,AH$1,0)*15,0))</f>
        <v>0</v>
      </c>
      <c r="AI130" s="13">
        <f>SUM(IFERROR(VLOOKUP($C:$C,Structure!$A:$AJ,AI$1,0)*15,0),IFERROR(VLOOKUP($D:$D,Structure!$A:$AJ,AI$1,0)*15,0),IFERROR(VLOOKUP($E:$E,Structure!$A:$AJ,AI$1,0)*15,0))</f>
        <v>0</v>
      </c>
      <c r="AJ130" s="13">
        <f>SUM(IFERROR(VLOOKUP($C:$C,Structure!$A:$AJ,AJ$1,0)*15,0),IFERROR(VLOOKUP($D:$D,Structure!$A:$AJ,AJ$1,0)*15,0),IFERROR(VLOOKUP($E:$E,Structure!$A:$AJ,AJ$1,0)*15,0))</f>
        <v>45</v>
      </c>
      <c r="AK130" s="13">
        <f>SUM(IFERROR(VLOOKUP($C:$C,Structure!$A:$AJ,AK$1,0)*15,0),IFERROR(VLOOKUP($D:$D,Structure!$A:$AJ,AK$1,0)*15,0),IFERROR(VLOOKUP($E:$E,Structure!$A:$AJ,AK$1,0)*15,0))</f>
        <v>0</v>
      </c>
      <c r="AL130" s="13">
        <f>SUM(IFERROR(VLOOKUP($C:$C,Structure!$A:$AJ,AL$1,0)*15,0),IFERROR(VLOOKUP($D:$D,Structure!$A:$AJ,AL$1,0)*15,0),IFERROR(VLOOKUP($E:$E,Structure!$A:$AJ,AL$1,0)*15,0))</f>
        <v>0</v>
      </c>
      <c r="AM130" s="13">
        <f>SUM(IFERROR(VLOOKUP($C:$C,Structure!$A:$AJ,AM$1,0)*15,0),IFERROR(VLOOKUP($D:$D,Structure!$A:$AJ,AM$1,0)*15,0),IFERROR(VLOOKUP($E:$E,Structure!$A:$AJ,AM$1,0)*15,0))</f>
        <v>0</v>
      </c>
      <c r="AN130" s="13">
        <f>SUM(IFERROR(VLOOKUP($C:$C,Structure!$A:$AJ,AN$1,0)*15,0),IFERROR(VLOOKUP($D:$D,Structure!$A:$AJ,AN$1,0)*15,0),IFERROR(VLOOKUP($E:$E,Structure!$A:$AJ,AN$1,0)*15,0))</f>
        <v>0</v>
      </c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3"/>
      <c r="BZ130" s="4">
        <f>BZ129+AQ130-F130</f>
        <v>0</v>
      </c>
      <c r="CA130" s="4">
        <f>CA129+AR130-G130</f>
        <v>0</v>
      </c>
      <c r="CB130" s="4">
        <f>CB129+AS130-H130</f>
        <v>0</v>
      </c>
      <c r="CC130" s="4">
        <f>CC129+AT130-I130</f>
        <v>0</v>
      </c>
      <c r="CD130" s="4">
        <f>CD129+AU130-J130</f>
        <v>0</v>
      </c>
      <c r="CE130" s="4">
        <f>CE129+AV130-K130</f>
        <v>0</v>
      </c>
      <c r="CF130" s="4">
        <f>CF129+AW130-L130</f>
        <v>0</v>
      </c>
      <c r="CG130" s="4">
        <f>CG129+AX130-M130</f>
        <v>0</v>
      </c>
      <c r="CH130" s="4">
        <f>CH129+AY130-N130</f>
        <v>0</v>
      </c>
      <c r="CI130" s="4">
        <f>CI129+AZ130-O130</f>
        <v>0</v>
      </c>
      <c r="CJ130" s="4">
        <f>CJ129+BA130-P130</f>
        <v>0</v>
      </c>
      <c r="CK130" s="4">
        <f>CK129+BB130-Q130</f>
        <v>0</v>
      </c>
      <c r="CL130" s="4">
        <f>CL129+BC130-R130</f>
        <v>0</v>
      </c>
      <c r="CM130" s="4">
        <f>CM129+BD130-S130</f>
        <v>0</v>
      </c>
      <c r="CN130" s="4">
        <f>CN129+BE130-T130</f>
        <v>0</v>
      </c>
      <c r="CO130" s="4">
        <f>CO129+BF130-U130</f>
        <v>0</v>
      </c>
      <c r="CP130" s="4">
        <f>CP129+BG130-V130</f>
        <v>-60</v>
      </c>
      <c r="CQ130" s="4">
        <f>CQ129+BH130-W130</f>
        <v>0</v>
      </c>
      <c r="CR130" s="4">
        <f>CR129+BI130-X130</f>
        <v>-60</v>
      </c>
      <c r="CS130" s="4">
        <f>CS129+BJ130-Y130</f>
        <v>0</v>
      </c>
      <c r="CT130" s="4">
        <f>CT129+BK130-Z130</f>
        <v>0</v>
      </c>
      <c r="CU130" s="4">
        <f>CU129+BL130-AA130</f>
        <v>-5045</v>
      </c>
      <c r="CV130" s="4">
        <f>CV129+BM130-AB130</f>
        <v>-240</v>
      </c>
      <c r="CW130" s="4">
        <f>CW129+BN130-AC130</f>
        <v>-255</v>
      </c>
      <c r="CX130" s="4">
        <f>CX129+BO130-AD130</f>
        <v>0</v>
      </c>
      <c r="CY130" s="4">
        <f>CY129+BP130-AE130</f>
        <v>-60</v>
      </c>
      <c r="CZ130" s="4">
        <f>CZ129+BQ130-AF130</f>
        <v>-160</v>
      </c>
      <c r="DA130" s="4">
        <f>DA129+BR130-AG130</f>
        <v>0</v>
      </c>
      <c r="DB130" s="4">
        <f>DB129+BS130-AH130</f>
        <v>-60</v>
      </c>
      <c r="DC130" s="4">
        <f>DC129+BT130-AI130</f>
        <v>0</v>
      </c>
      <c r="DD130" s="4">
        <f>DD129+BU130-AJ130</f>
        <v>-3805</v>
      </c>
      <c r="DE130" s="4">
        <f>DE129+BV130-AK130</f>
        <v>-1260</v>
      </c>
      <c r="DF130" s="4">
        <f>DF129+BW130-AL130</f>
        <v>0</v>
      </c>
      <c r="DG130" s="4">
        <f>DG129+BX130-AM130</f>
        <v>-235</v>
      </c>
      <c r="DH130" s="4">
        <f>DH129+BY130-AN130</f>
        <v>0</v>
      </c>
    </row>
    <row r="131" spans="1:112" x14ac:dyDescent="0.25">
      <c r="A131" s="6">
        <v>46184</v>
      </c>
      <c r="B131" s="7">
        <v>0.66666666635865113</v>
      </c>
      <c r="C131" s="3" t="s">
        <v>2</v>
      </c>
      <c r="D131" s="3" t="s">
        <v>6</v>
      </c>
      <c r="E131" s="3" t="s">
        <v>2</v>
      </c>
      <c r="F131" s="13">
        <f>SUM(IFERROR(VLOOKUP($C:$C,Structure!$A:$AJ,F$1,0)*15,0),IFERROR(VLOOKUP($D:$D,Structure!$A:$AJ,F$1,0)*15,0),IFERROR(VLOOKUP($E:$E,Structure!$A:$AJ,F$1,0)*15,0))</f>
        <v>0</v>
      </c>
      <c r="G131" s="13">
        <f>SUM(IFERROR(VLOOKUP($C:$C,Structure!$A:$AJ,G$1,0)*15,0),IFERROR(VLOOKUP($D:$D,Structure!$A:$AJ,G$1,0)*15,0),IFERROR(VLOOKUP($E:$E,Structure!$A:$AJ,G$1,0)*15,0))</f>
        <v>0</v>
      </c>
      <c r="H131" s="13">
        <f>SUM(IFERROR(VLOOKUP($C:$C,Structure!$A:$AJ,H$1,0)*15,0),IFERROR(VLOOKUP($D:$D,Structure!$A:$AJ,H$1,0)*15,0),IFERROR(VLOOKUP($E:$E,Structure!$A:$AJ,H$1,0)*15,0))</f>
        <v>0</v>
      </c>
      <c r="I131" s="13">
        <f>SUM(IFERROR(VLOOKUP($C:$C,Structure!$A:$AJ,I$1,0)*15,0),IFERROR(VLOOKUP($D:$D,Structure!$A:$AJ,I$1,0)*15,0),IFERROR(VLOOKUP($E:$E,Structure!$A:$AJ,I$1,0)*15,0))</f>
        <v>0</v>
      </c>
      <c r="J131" s="13">
        <f>SUM(IFERROR(VLOOKUP($C:$C,Structure!$A:$AJ,J$1,0)*15,0),IFERROR(VLOOKUP($D:$D,Structure!$A:$AJ,J$1,0)*15,0),IFERROR(VLOOKUP($E:$E,Structure!$A:$AJ,J$1,0)*15,0))</f>
        <v>0</v>
      </c>
      <c r="K131" s="13">
        <f>SUM(IFERROR(VLOOKUP($C:$C,Structure!$A:$AJ,K$1,0)*15,0),IFERROR(VLOOKUP($D:$D,Structure!$A:$AJ,K$1,0)*15,0),IFERROR(VLOOKUP($E:$E,Structure!$A:$AJ,K$1,0)*15,0))</f>
        <v>0</v>
      </c>
      <c r="L131" s="13">
        <f>SUM(IFERROR(VLOOKUP($C:$C,Structure!$A:$AJ,L$1,0)*15,0),IFERROR(VLOOKUP($D:$D,Structure!$A:$AJ,L$1,0)*15,0),IFERROR(VLOOKUP($E:$E,Structure!$A:$AJ,L$1,0)*15,0))</f>
        <v>0</v>
      </c>
      <c r="M131" s="13">
        <f>SUM(IFERROR(VLOOKUP($C:$C,Structure!$A:$AJ,M$1,0)*15,0),IFERROR(VLOOKUP($D:$D,Structure!$A:$AJ,M$1,0)*15,0),IFERROR(VLOOKUP($E:$E,Structure!$A:$AJ,M$1,0)*15,0))</f>
        <v>0</v>
      </c>
      <c r="N131" s="13">
        <f>SUM(IFERROR(VLOOKUP($C:$C,Structure!$A:$AJ,N$1,0)*15,0),IFERROR(VLOOKUP($D:$D,Structure!$A:$AJ,N$1,0)*15,0),IFERROR(VLOOKUP($E:$E,Structure!$A:$AJ,N$1,0)*15,0))</f>
        <v>0</v>
      </c>
      <c r="O131" s="13">
        <f>SUM(IFERROR(VLOOKUP($C:$C,Structure!$A:$AJ,O$1,0)*15,0),IFERROR(VLOOKUP($D:$D,Structure!$A:$AJ,O$1,0)*15,0),IFERROR(VLOOKUP($E:$E,Structure!$A:$AJ,O$1,0)*15,0))</f>
        <v>0</v>
      </c>
      <c r="P131" s="13">
        <f>SUM(IFERROR(VLOOKUP($C:$C,Structure!$A:$AJ,P$1,0)*15,0),IFERROR(VLOOKUP($D:$D,Structure!$A:$AJ,P$1,0)*15,0),IFERROR(VLOOKUP($E:$E,Structure!$A:$AJ,P$1,0)*15,0))</f>
        <v>0</v>
      </c>
      <c r="Q131" s="13">
        <f>SUM(IFERROR(VLOOKUP($C:$C,Structure!$A:$AJ,Q$1,0)*15,0),IFERROR(VLOOKUP($D:$D,Structure!$A:$AJ,Q$1,0)*15,0),IFERROR(VLOOKUP($E:$E,Structure!$A:$AJ,Q$1,0)*15,0))</f>
        <v>0</v>
      </c>
      <c r="R131" s="13">
        <f>SUM(IFERROR(VLOOKUP($C:$C,Structure!$A:$AJ,R$1,0)*15,0),IFERROR(VLOOKUP($D:$D,Structure!$A:$AJ,R$1,0)*15,0),IFERROR(VLOOKUP($E:$E,Structure!$A:$AJ,R$1,0)*15,0))</f>
        <v>0</v>
      </c>
      <c r="S131" s="13">
        <f>SUM(IFERROR(VLOOKUP($C:$C,Structure!$A:$AJ,S$1,0)*15,0),IFERROR(VLOOKUP($D:$D,Structure!$A:$AJ,S$1,0)*15,0),IFERROR(VLOOKUP($E:$E,Structure!$A:$AJ,S$1,0)*15,0))</f>
        <v>0</v>
      </c>
      <c r="T131" s="13">
        <f>SUM(IFERROR(VLOOKUP($C:$C,Structure!$A:$AJ,T$1,0)*15,0),IFERROR(VLOOKUP($D:$D,Structure!$A:$AJ,T$1,0)*15,0),IFERROR(VLOOKUP($E:$E,Structure!$A:$AJ,T$1,0)*15,0))</f>
        <v>0</v>
      </c>
      <c r="U131" s="13">
        <f>SUM(IFERROR(VLOOKUP($C:$C,Structure!$A:$AJ,U$1,0)*15,0),IFERROR(VLOOKUP($D:$D,Structure!$A:$AJ,U$1,0)*15,0),IFERROR(VLOOKUP($E:$E,Structure!$A:$AJ,U$1,0)*15,0))</f>
        <v>0</v>
      </c>
      <c r="V131" s="13">
        <f>SUM(IFERROR(VLOOKUP($C:$C,Structure!$A:$AJ,V$1,0)*15,0),IFERROR(VLOOKUP($D:$D,Structure!$A:$AJ,V$1,0)*15,0),IFERROR(VLOOKUP($E:$E,Structure!$A:$AJ,V$1,0)*15,0))</f>
        <v>0</v>
      </c>
      <c r="W131" s="13">
        <f>SUM(IFERROR(VLOOKUP($C:$C,Structure!$A:$AJ,W$1,0)*15,0),IFERROR(VLOOKUP($D:$D,Structure!$A:$AJ,W$1,0)*15,0),IFERROR(VLOOKUP($E:$E,Structure!$A:$AJ,W$1,0)*15,0))</f>
        <v>0</v>
      </c>
      <c r="X131" s="13">
        <f>SUM(IFERROR(VLOOKUP($C:$C,Structure!$A:$AJ,X$1,0)*15,0),IFERROR(VLOOKUP($D:$D,Structure!$A:$AJ,X$1,0)*15,0),IFERROR(VLOOKUP($E:$E,Structure!$A:$AJ,X$1,0)*15,0))</f>
        <v>0</v>
      </c>
      <c r="Y131" s="13">
        <f>SUM(IFERROR(VLOOKUP($C:$C,Structure!$A:$AJ,Y$1,0)*15,0),IFERROR(VLOOKUP($D:$D,Structure!$A:$AJ,Y$1,0)*15,0),IFERROR(VLOOKUP($E:$E,Structure!$A:$AJ,Y$1,0)*15,0))</f>
        <v>0</v>
      </c>
      <c r="Z131" s="13">
        <f>SUM(IFERROR(VLOOKUP($C:$C,Structure!$A:$AJ,Z$1,0)*15,0),IFERROR(VLOOKUP($D:$D,Structure!$A:$AJ,Z$1,0)*15,0),IFERROR(VLOOKUP($E:$E,Structure!$A:$AJ,Z$1,0)*15,0))</f>
        <v>0</v>
      </c>
      <c r="AA131" s="13">
        <f>SUM(IFERROR(VLOOKUP($C:$C,Structure!$A:$AJ,AA$1,0)*15,0),IFERROR(VLOOKUP($D:$D,Structure!$A:$AJ,AA$1,0)*15,0),IFERROR(VLOOKUP($E:$E,Structure!$A:$AJ,AA$1,0)*15,0))</f>
        <v>45</v>
      </c>
      <c r="AB131" s="13">
        <f>SUM(IFERROR(VLOOKUP($C:$C,Structure!$A:$AJ,AB$1,0)*15,0),IFERROR(VLOOKUP($D:$D,Structure!$A:$AJ,AB$1,0)*15,0),IFERROR(VLOOKUP($E:$E,Structure!$A:$AJ,AB$1,0)*15,0))</f>
        <v>0</v>
      </c>
      <c r="AC131" s="13">
        <f>SUM(IFERROR(VLOOKUP($C:$C,Structure!$A:$AJ,AC$1,0)*15,0),IFERROR(VLOOKUP($D:$D,Structure!$A:$AJ,AC$1,0)*15,0),IFERROR(VLOOKUP($E:$E,Structure!$A:$AJ,AC$1,0)*15,0))</f>
        <v>0</v>
      </c>
      <c r="AD131" s="13">
        <f>SUM(IFERROR(VLOOKUP($C:$C,Structure!$A:$AJ,AD$1,0)*15,0),IFERROR(VLOOKUP($D:$D,Structure!$A:$AJ,AD$1,0)*15,0),IFERROR(VLOOKUP($E:$E,Structure!$A:$AJ,AD$1,0)*15,0))</f>
        <v>0</v>
      </c>
      <c r="AE131" s="13">
        <f>SUM(IFERROR(VLOOKUP($C:$C,Structure!$A:$AJ,AE$1,0)*15,0),IFERROR(VLOOKUP($D:$D,Structure!$A:$AJ,AE$1,0)*15,0),IFERROR(VLOOKUP($E:$E,Structure!$A:$AJ,AE$1,0)*15,0))</f>
        <v>0</v>
      </c>
      <c r="AF131" s="13">
        <f>SUM(IFERROR(VLOOKUP($C:$C,Structure!$A:$AJ,AF$1,0)*15,0),IFERROR(VLOOKUP($D:$D,Structure!$A:$AJ,AF$1,0)*15,0),IFERROR(VLOOKUP($E:$E,Structure!$A:$AJ,AF$1,0)*15,0))</f>
        <v>0</v>
      </c>
      <c r="AG131" s="13">
        <f>SUM(IFERROR(VLOOKUP($C:$C,Structure!$A:$AJ,AG$1,0)*15,0),IFERROR(VLOOKUP($D:$D,Structure!$A:$AJ,AG$1,0)*15,0),IFERROR(VLOOKUP($E:$E,Structure!$A:$AJ,AG$1,0)*15,0))</f>
        <v>0</v>
      </c>
      <c r="AH131" s="13">
        <f>SUM(IFERROR(VLOOKUP($C:$C,Structure!$A:$AJ,AH$1,0)*15,0),IFERROR(VLOOKUP($D:$D,Structure!$A:$AJ,AH$1,0)*15,0),IFERROR(VLOOKUP($E:$E,Structure!$A:$AJ,AH$1,0)*15,0))</f>
        <v>0</v>
      </c>
      <c r="AI131" s="13">
        <f>SUM(IFERROR(VLOOKUP($C:$C,Structure!$A:$AJ,AI$1,0)*15,0),IFERROR(VLOOKUP($D:$D,Structure!$A:$AJ,AI$1,0)*15,0),IFERROR(VLOOKUP($E:$E,Structure!$A:$AJ,AI$1,0)*15,0))</f>
        <v>0</v>
      </c>
      <c r="AJ131" s="13">
        <f>SUM(IFERROR(VLOOKUP($C:$C,Structure!$A:$AJ,AJ$1,0)*15,0),IFERROR(VLOOKUP($D:$D,Structure!$A:$AJ,AJ$1,0)*15,0),IFERROR(VLOOKUP($E:$E,Structure!$A:$AJ,AJ$1,0)*15,0))</f>
        <v>45</v>
      </c>
      <c r="AK131" s="13">
        <f>SUM(IFERROR(VLOOKUP($C:$C,Structure!$A:$AJ,AK$1,0)*15,0),IFERROR(VLOOKUP($D:$D,Structure!$A:$AJ,AK$1,0)*15,0),IFERROR(VLOOKUP($E:$E,Structure!$A:$AJ,AK$1,0)*15,0))</f>
        <v>0</v>
      </c>
      <c r="AL131" s="13">
        <f>SUM(IFERROR(VLOOKUP($C:$C,Structure!$A:$AJ,AL$1,0)*15,0),IFERROR(VLOOKUP($D:$D,Structure!$A:$AJ,AL$1,0)*15,0),IFERROR(VLOOKUP($E:$E,Structure!$A:$AJ,AL$1,0)*15,0))</f>
        <v>0</v>
      </c>
      <c r="AM131" s="13">
        <f>SUM(IFERROR(VLOOKUP($C:$C,Structure!$A:$AJ,AM$1,0)*15,0),IFERROR(VLOOKUP($D:$D,Structure!$A:$AJ,AM$1,0)*15,0),IFERROR(VLOOKUP($E:$E,Structure!$A:$AJ,AM$1,0)*15,0))</f>
        <v>0</v>
      </c>
      <c r="AN131" s="13">
        <f>SUM(IFERROR(VLOOKUP($C:$C,Structure!$A:$AJ,AN$1,0)*15,0),IFERROR(VLOOKUP($D:$D,Structure!$A:$AJ,AN$1,0)*15,0),IFERROR(VLOOKUP($E:$E,Structure!$A:$AJ,AN$1,0)*15,0))</f>
        <v>0</v>
      </c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3"/>
      <c r="BZ131" s="4">
        <f>BZ130+AQ131-F131</f>
        <v>0</v>
      </c>
      <c r="CA131" s="4">
        <f>CA130+AR131-G131</f>
        <v>0</v>
      </c>
      <c r="CB131" s="4">
        <f>CB130+AS131-H131</f>
        <v>0</v>
      </c>
      <c r="CC131" s="4">
        <f>CC130+AT131-I131</f>
        <v>0</v>
      </c>
      <c r="CD131" s="4">
        <f>CD130+AU131-J131</f>
        <v>0</v>
      </c>
      <c r="CE131" s="4">
        <f>CE130+AV131-K131</f>
        <v>0</v>
      </c>
      <c r="CF131" s="4">
        <f>CF130+AW131-L131</f>
        <v>0</v>
      </c>
      <c r="CG131" s="4">
        <f>CG130+AX131-M131</f>
        <v>0</v>
      </c>
      <c r="CH131" s="4">
        <f>CH130+AY131-N131</f>
        <v>0</v>
      </c>
      <c r="CI131" s="4">
        <f>CI130+AZ131-O131</f>
        <v>0</v>
      </c>
      <c r="CJ131" s="4">
        <f>CJ130+BA131-P131</f>
        <v>0</v>
      </c>
      <c r="CK131" s="4">
        <f>CK130+BB131-Q131</f>
        <v>0</v>
      </c>
      <c r="CL131" s="4">
        <f>CL130+BC131-R131</f>
        <v>0</v>
      </c>
      <c r="CM131" s="4">
        <f>CM130+BD131-S131</f>
        <v>0</v>
      </c>
      <c r="CN131" s="4">
        <f>CN130+BE131-T131</f>
        <v>0</v>
      </c>
      <c r="CO131" s="4">
        <f>CO130+BF131-U131</f>
        <v>0</v>
      </c>
      <c r="CP131" s="4">
        <f>CP130+BG131-V131</f>
        <v>-60</v>
      </c>
      <c r="CQ131" s="4">
        <f>CQ130+BH131-W131</f>
        <v>0</v>
      </c>
      <c r="CR131" s="4">
        <f>CR130+BI131-X131</f>
        <v>-60</v>
      </c>
      <c r="CS131" s="4">
        <f>CS130+BJ131-Y131</f>
        <v>0</v>
      </c>
      <c r="CT131" s="4">
        <f>CT130+BK131-Z131</f>
        <v>0</v>
      </c>
      <c r="CU131" s="4">
        <f>CU130+BL131-AA131</f>
        <v>-5090</v>
      </c>
      <c r="CV131" s="4">
        <f>CV130+BM131-AB131</f>
        <v>-240</v>
      </c>
      <c r="CW131" s="4">
        <f>CW130+BN131-AC131</f>
        <v>-255</v>
      </c>
      <c r="CX131" s="4">
        <f>CX130+BO131-AD131</f>
        <v>0</v>
      </c>
      <c r="CY131" s="4">
        <f>CY130+BP131-AE131</f>
        <v>-60</v>
      </c>
      <c r="CZ131" s="4">
        <f>CZ130+BQ131-AF131</f>
        <v>-160</v>
      </c>
      <c r="DA131" s="4">
        <f>DA130+BR131-AG131</f>
        <v>0</v>
      </c>
      <c r="DB131" s="4">
        <f>DB130+BS131-AH131</f>
        <v>-60</v>
      </c>
      <c r="DC131" s="4">
        <f>DC130+BT131-AI131</f>
        <v>0</v>
      </c>
      <c r="DD131" s="4">
        <f>DD130+BU131-AJ131</f>
        <v>-3850</v>
      </c>
      <c r="DE131" s="4">
        <f>DE130+BV131-AK131</f>
        <v>-1260</v>
      </c>
      <c r="DF131" s="4">
        <f>DF130+BW131-AL131</f>
        <v>0</v>
      </c>
      <c r="DG131" s="4">
        <f>DG130+BX131-AM131</f>
        <v>-235</v>
      </c>
      <c r="DH131" s="4">
        <f>DH130+BY131-AN131</f>
        <v>0</v>
      </c>
    </row>
    <row r="132" spans="1:112" x14ac:dyDescent="0.25">
      <c r="A132" s="6">
        <v>46184</v>
      </c>
      <c r="B132" s="7">
        <v>0.70833333302289248</v>
      </c>
      <c r="C132" s="3" t="s">
        <v>2</v>
      </c>
      <c r="D132" s="3" t="s">
        <v>76</v>
      </c>
      <c r="E132" s="3" t="s">
        <v>2</v>
      </c>
      <c r="F132" s="13">
        <f>SUM(IFERROR(VLOOKUP($C:$C,Structure!$A:$AJ,F$1,0)*15,0),IFERROR(VLOOKUP($D:$D,Structure!$A:$AJ,F$1,0)*15,0),IFERROR(VLOOKUP($E:$E,Structure!$A:$AJ,F$1,0)*15,0))</f>
        <v>0</v>
      </c>
      <c r="G132" s="13">
        <f>SUM(IFERROR(VLOOKUP($C:$C,Structure!$A:$AJ,G$1,0)*15,0),IFERROR(VLOOKUP($D:$D,Structure!$A:$AJ,G$1,0)*15,0),IFERROR(VLOOKUP($E:$E,Structure!$A:$AJ,G$1,0)*15,0))</f>
        <v>0</v>
      </c>
      <c r="H132" s="13">
        <f>SUM(IFERROR(VLOOKUP($C:$C,Structure!$A:$AJ,H$1,0)*15,0),IFERROR(VLOOKUP($D:$D,Structure!$A:$AJ,H$1,0)*15,0),IFERROR(VLOOKUP($E:$E,Structure!$A:$AJ,H$1,0)*15,0))</f>
        <v>0</v>
      </c>
      <c r="I132" s="13">
        <f>SUM(IFERROR(VLOOKUP($C:$C,Structure!$A:$AJ,I$1,0)*15,0),IFERROR(VLOOKUP($D:$D,Structure!$A:$AJ,I$1,0)*15,0),IFERROR(VLOOKUP($E:$E,Structure!$A:$AJ,I$1,0)*15,0))</f>
        <v>0</v>
      </c>
      <c r="J132" s="13">
        <f>SUM(IFERROR(VLOOKUP($C:$C,Structure!$A:$AJ,J$1,0)*15,0),IFERROR(VLOOKUP($D:$D,Structure!$A:$AJ,J$1,0)*15,0),IFERROR(VLOOKUP($E:$E,Structure!$A:$AJ,J$1,0)*15,0))</f>
        <v>0</v>
      </c>
      <c r="K132" s="13">
        <f>SUM(IFERROR(VLOOKUP($C:$C,Structure!$A:$AJ,K$1,0)*15,0),IFERROR(VLOOKUP($D:$D,Structure!$A:$AJ,K$1,0)*15,0),IFERROR(VLOOKUP($E:$E,Structure!$A:$AJ,K$1,0)*15,0))</f>
        <v>0</v>
      </c>
      <c r="L132" s="13">
        <f>SUM(IFERROR(VLOOKUP($C:$C,Structure!$A:$AJ,L$1,0)*15,0),IFERROR(VLOOKUP($D:$D,Structure!$A:$AJ,L$1,0)*15,0),IFERROR(VLOOKUP($E:$E,Structure!$A:$AJ,L$1,0)*15,0))</f>
        <v>0</v>
      </c>
      <c r="M132" s="13">
        <f>SUM(IFERROR(VLOOKUP($C:$C,Structure!$A:$AJ,M$1,0)*15,0),IFERROR(VLOOKUP($D:$D,Structure!$A:$AJ,M$1,0)*15,0),IFERROR(VLOOKUP($E:$E,Structure!$A:$AJ,M$1,0)*15,0))</f>
        <v>0</v>
      </c>
      <c r="N132" s="13">
        <f>SUM(IFERROR(VLOOKUP($C:$C,Structure!$A:$AJ,N$1,0)*15,0),IFERROR(VLOOKUP($D:$D,Structure!$A:$AJ,N$1,0)*15,0),IFERROR(VLOOKUP($E:$E,Structure!$A:$AJ,N$1,0)*15,0))</f>
        <v>0</v>
      </c>
      <c r="O132" s="13">
        <f>SUM(IFERROR(VLOOKUP($C:$C,Structure!$A:$AJ,O$1,0)*15,0),IFERROR(VLOOKUP($D:$D,Structure!$A:$AJ,O$1,0)*15,0),IFERROR(VLOOKUP($E:$E,Structure!$A:$AJ,O$1,0)*15,0))</f>
        <v>0</v>
      </c>
      <c r="P132" s="13">
        <f>SUM(IFERROR(VLOOKUP($C:$C,Structure!$A:$AJ,P$1,0)*15,0),IFERROR(VLOOKUP($D:$D,Structure!$A:$AJ,P$1,0)*15,0),IFERROR(VLOOKUP($E:$E,Structure!$A:$AJ,P$1,0)*15,0))</f>
        <v>0</v>
      </c>
      <c r="Q132" s="13">
        <f>SUM(IFERROR(VLOOKUP($C:$C,Structure!$A:$AJ,Q$1,0)*15,0),IFERROR(VLOOKUP($D:$D,Structure!$A:$AJ,Q$1,0)*15,0),IFERROR(VLOOKUP($E:$E,Structure!$A:$AJ,Q$1,0)*15,0))</f>
        <v>0</v>
      </c>
      <c r="R132" s="13">
        <f>SUM(IFERROR(VLOOKUP($C:$C,Structure!$A:$AJ,R$1,0)*15,0),IFERROR(VLOOKUP($D:$D,Structure!$A:$AJ,R$1,0)*15,0),IFERROR(VLOOKUP($E:$E,Structure!$A:$AJ,R$1,0)*15,0))</f>
        <v>0</v>
      </c>
      <c r="S132" s="13">
        <f>SUM(IFERROR(VLOOKUP($C:$C,Structure!$A:$AJ,S$1,0)*15,0),IFERROR(VLOOKUP($D:$D,Structure!$A:$AJ,S$1,0)*15,0),IFERROR(VLOOKUP($E:$E,Structure!$A:$AJ,S$1,0)*15,0))</f>
        <v>0</v>
      </c>
      <c r="T132" s="13">
        <f>SUM(IFERROR(VLOOKUP($C:$C,Structure!$A:$AJ,T$1,0)*15,0),IFERROR(VLOOKUP($D:$D,Structure!$A:$AJ,T$1,0)*15,0),IFERROR(VLOOKUP($E:$E,Structure!$A:$AJ,T$1,0)*15,0))</f>
        <v>0</v>
      </c>
      <c r="U132" s="13">
        <f>SUM(IFERROR(VLOOKUP($C:$C,Structure!$A:$AJ,U$1,0)*15,0),IFERROR(VLOOKUP($D:$D,Structure!$A:$AJ,U$1,0)*15,0),IFERROR(VLOOKUP($E:$E,Structure!$A:$AJ,U$1,0)*15,0))</f>
        <v>0</v>
      </c>
      <c r="V132" s="13">
        <f>SUM(IFERROR(VLOOKUP($C:$C,Structure!$A:$AJ,V$1,0)*15,0),IFERROR(VLOOKUP($D:$D,Structure!$A:$AJ,V$1,0)*15,0),IFERROR(VLOOKUP($E:$E,Structure!$A:$AJ,V$1,0)*15,0))</f>
        <v>0</v>
      </c>
      <c r="W132" s="13">
        <f>SUM(IFERROR(VLOOKUP($C:$C,Structure!$A:$AJ,W$1,0)*15,0),IFERROR(VLOOKUP($D:$D,Structure!$A:$AJ,W$1,0)*15,0),IFERROR(VLOOKUP($E:$E,Structure!$A:$AJ,W$1,0)*15,0))</f>
        <v>0</v>
      </c>
      <c r="X132" s="13">
        <f>SUM(IFERROR(VLOOKUP($C:$C,Structure!$A:$AJ,X$1,0)*15,0),IFERROR(VLOOKUP($D:$D,Structure!$A:$AJ,X$1,0)*15,0),IFERROR(VLOOKUP($E:$E,Structure!$A:$AJ,X$1,0)*15,0))</f>
        <v>0</v>
      </c>
      <c r="Y132" s="13">
        <f>SUM(IFERROR(VLOOKUP($C:$C,Structure!$A:$AJ,Y$1,0)*15,0),IFERROR(VLOOKUP($D:$D,Structure!$A:$AJ,Y$1,0)*15,0),IFERROR(VLOOKUP($E:$E,Structure!$A:$AJ,Y$1,0)*15,0))</f>
        <v>0</v>
      </c>
      <c r="Z132" s="13">
        <f>SUM(IFERROR(VLOOKUP($C:$C,Structure!$A:$AJ,Z$1,0)*15,0),IFERROR(VLOOKUP($D:$D,Structure!$A:$AJ,Z$1,0)*15,0),IFERROR(VLOOKUP($E:$E,Structure!$A:$AJ,Z$1,0)*15,0))</f>
        <v>0</v>
      </c>
      <c r="AA132" s="13">
        <f>SUM(IFERROR(VLOOKUP($C:$C,Structure!$A:$AJ,AA$1,0)*15,0),IFERROR(VLOOKUP($D:$D,Structure!$A:$AJ,AA$1,0)*15,0),IFERROR(VLOOKUP($E:$E,Structure!$A:$AJ,AA$1,0)*15,0))</f>
        <v>45</v>
      </c>
      <c r="AB132" s="13">
        <f>SUM(IFERROR(VLOOKUP($C:$C,Structure!$A:$AJ,AB$1,0)*15,0),IFERROR(VLOOKUP($D:$D,Structure!$A:$AJ,AB$1,0)*15,0),IFERROR(VLOOKUP($E:$E,Structure!$A:$AJ,AB$1,0)*15,0))</f>
        <v>0</v>
      </c>
      <c r="AC132" s="13">
        <f>SUM(IFERROR(VLOOKUP($C:$C,Structure!$A:$AJ,AC$1,0)*15,0),IFERROR(VLOOKUP($D:$D,Structure!$A:$AJ,AC$1,0)*15,0),IFERROR(VLOOKUP($E:$E,Structure!$A:$AJ,AC$1,0)*15,0))</f>
        <v>0</v>
      </c>
      <c r="AD132" s="13">
        <f>SUM(IFERROR(VLOOKUP($C:$C,Structure!$A:$AJ,AD$1,0)*15,0),IFERROR(VLOOKUP($D:$D,Structure!$A:$AJ,AD$1,0)*15,0),IFERROR(VLOOKUP($E:$E,Structure!$A:$AJ,AD$1,0)*15,0))</f>
        <v>0</v>
      </c>
      <c r="AE132" s="13">
        <f>SUM(IFERROR(VLOOKUP($C:$C,Structure!$A:$AJ,AE$1,0)*15,0),IFERROR(VLOOKUP($D:$D,Structure!$A:$AJ,AE$1,0)*15,0),IFERROR(VLOOKUP($E:$E,Structure!$A:$AJ,AE$1,0)*15,0))</f>
        <v>0</v>
      </c>
      <c r="AF132" s="13">
        <f>SUM(IFERROR(VLOOKUP($C:$C,Structure!$A:$AJ,AF$1,0)*15,0),IFERROR(VLOOKUP($D:$D,Structure!$A:$AJ,AF$1,0)*15,0),IFERROR(VLOOKUP($E:$E,Structure!$A:$AJ,AF$1,0)*15,0))</f>
        <v>0</v>
      </c>
      <c r="AG132" s="13">
        <f>SUM(IFERROR(VLOOKUP($C:$C,Structure!$A:$AJ,AG$1,0)*15,0),IFERROR(VLOOKUP($D:$D,Structure!$A:$AJ,AG$1,0)*15,0),IFERROR(VLOOKUP($E:$E,Structure!$A:$AJ,AG$1,0)*15,0))</f>
        <v>0</v>
      </c>
      <c r="AH132" s="13">
        <f>SUM(IFERROR(VLOOKUP($C:$C,Structure!$A:$AJ,AH$1,0)*15,0),IFERROR(VLOOKUP($D:$D,Structure!$A:$AJ,AH$1,0)*15,0),IFERROR(VLOOKUP($E:$E,Structure!$A:$AJ,AH$1,0)*15,0))</f>
        <v>0</v>
      </c>
      <c r="AI132" s="13">
        <f>SUM(IFERROR(VLOOKUP($C:$C,Structure!$A:$AJ,AI$1,0)*15,0),IFERROR(VLOOKUP($D:$D,Structure!$A:$AJ,AI$1,0)*15,0),IFERROR(VLOOKUP($E:$E,Structure!$A:$AJ,AI$1,0)*15,0))</f>
        <v>0</v>
      </c>
      <c r="AJ132" s="13">
        <f>SUM(IFERROR(VLOOKUP($C:$C,Structure!$A:$AJ,AJ$1,0)*15,0),IFERROR(VLOOKUP($D:$D,Structure!$A:$AJ,AJ$1,0)*15,0),IFERROR(VLOOKUP($E:$E,Structure!$A:$AJ,AJ$1,0)*15,0))</f>
        <v>30</v>
      </c>
      <c r="AK132" s="13">
        <f>SUM(IFERROR(VLOOKUP($C:$C,Structure!$A:$AJ,AK$1,0)*15,0),IFERROR(VLOOKUP($D:$D,Structure!$A:$AJ,AK$1,0)*15,0),IFERROR(VLOOKUP($E:$E,Structure!$A:$AJ,AK$1,0)*15,0))</f>
        <v>15</v>
      </c>
      <c r="AL132" s="13">
        <f>SUM(IFERROR(VLOOKUP($C:$C,Structure!$A:$AJ,AL$1,0)*15,0),IFERROR(VLOOKUP($D:$D,Structure!$A:$AJ,AL$1,0)*15,0),IFERROR(VLOOKUP($E:$E,Structure!$A:$AJ,AL$1,0)*15,0))</f>
        <v>0</v>
      </c>
      <c r="AM132" s="13">
        <f>SUM(IFERROR(VLOOKUP($C:$C,Structure!$A:$AJ,AM$1,0)*15,0),IFERROR(VLOOKUP($D:$D,Structure!$A:$AJ,AM$1,0)*15,0),IFERROR(VLOOKUP($E:$E,Structure!$A:$AJ,AM$1,0)*15,0))</f>
        <v>0</v>
      </c>
      <c r="AN132" s="13">
        <f>SUM(IFERROR(VLOOKUP($C:$C,Structure!$A:$AJ,AN$1,0)*15,0),IFERROR(VLOOKUP($D:$D,Structure!$A:$AJ,AN$1,0)*15,0),IFERROR(VLOOKUP($E:$E,Structure!$A:$AJ,AN$1,0)*15,0))</f>
        <v>0</v>
      </c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3"/>
      <c r="BZ132" s="4">
        <f>BZ131+AQ132-F132</f>
        <v>0</v>
      </c>
      <c r="CA132" s="4">
        <f>CA131+AR132-G132</f>
        <v>0</v>
      </c>
      <c r="CB132" s="4">
        <f>CB131+AS132-H132</f>
        <v>0</v>
      </c>
      <c r="CC132" s="4">
        <f>CC131+AT132-I132</f>
        <v>0</v>
      </c>
      <c r="CD132" s="4">
        <f>CD131+AU132-J132</f>
        <v>0</v>
      </c>
      <c r="CE132" s="4">
        <f>CE131+AV132-K132</f>
        <v>0</v>
      </c>
      <c r="CF132" s="4">
        <f>CF131+AW132-L132</f>
        <v>0</v>
      </c>
      <c r="CG132" s="4">
        <f>CG131+AX132-M132</f>
        <v>0</v>
      </c>
      <c r="CH132" s="4">
        <f>CH131+AY132-N132</f>
        <v>0</v>
      </c>
      <c r="CI132" s="4">
        <f>CI131+AZ132-O132</f>
        <v>0</v>
      </c>
      <c r="CJ132" s="4">
        <f>CJ131+BA132-P132</f>
        <v>0</v>
      </c>
      <c r="CK132" s="4">
        <f>CK131+BB132-Q132</f>
        <v>0</v>
      </c>
      <c r="CL132" s="4">
        <f>CL131+BC132-R132</f>
        <v>0</v>
      </c>
      <c r="CM132" s="4">
        <f>CM131+BD132-S132</f>
        <v>0</v>
      </c>
      <c r="CN132" s="4">
        <f>CN131+BE132-T132</f>
        <v>0</v>
      </c>
      <c r="CO132" s="4">
        <f>CO131+BF132-U132</f>
        <v>0</v>
      </c>
      <c r="CP132" s="4">
        <f>CP131+BG132-V132</f>
        <v>-60</v>
      </c>
      <c r="CQ132" s="4">
        <f>CQ131+BH132-W132</f>
        <v>0</v>
      </c>
      <c r="CR132" s="4">
        <f>CR131+BI132-X132</f>
        <v>-60</v>
      </c>
      <c r="CS132" s="4">
        <f>CS131+BJ132-Y132</f>
        <v>0</v>
      </c>
      <c r="CT132" s="4">
        <f>CT131+BK132-Z132</f>
        <v>0</v>
      </c>
      <c r="CU132" s="4">
        <f>CU131+BL132-AA132</f>
        <v>-5135</v>
      </c>
      <c r="CV132" s="4">
        <f>CV131+BM132-AB132</f>
        <v>-240</v>
      </c>
      <c r="CW132" s="4">
        <f>CW131+BN132-AC132</f>
        <v>-255</v>
      </c>
      <c r="CX132" s="4">
        <f>CX131+BO132-AD132</f>
        <v>0</v>
      </c>
      <c r="CY132" s="4">
        <f>CY131+BP132-AE132</f>
        <v>-60</v>
      </c>
      <c r="CZ132" s="4">
        <f>CZ131+BQ132-AF132</f>
        <v>-160</v>
      </c>
      <c r="DA132" s="4">
        <f>DA131+BR132-AG132</f>
        <v>0</v>
      </c>
      <c r="DB132" s="4">
        <f>DB131+BS132-AH132</f>
        <v>-60</v>
      </c>
      <c r="DC132" s="4">
        <f>DC131+BT132-AI132</f>
        <v>0</v>
      </c>
      <c r="DD132" s="4">
        <f>DD131+BU132-AJ132</f>
        <v>-3880</v>
      </c>
      <c r="DE132" s="4">
        <f>DE131+BV132-AK132</f>
        <v>-1275</v>
      </c>
      <c r="DF132" s="4">
        <f>DF131+BW132-AL132</f>
        <v>0</v>
      </c>
      <c r="DG132" s="4">
        <f>DG131+BX132-AM132</f>
        <v>-235</v>
      </c>
      <c r="DH132" s="4">
        <f>DH131+BY132-AN132</f>
        <v>0</v>
      </c>
    </row>
    <row r="133" spans="1:112" x14ac:dyDescent="0.25">
      <c r="A133" s="6">
        <v>46184</v>
      </c>
      <c r="B133" s="7">
        <v>0.74999999968713382</v>
      </c>
      <c r="C133" s="3" t="s">
        <v>2</v>
      </c>
      <c r="D133" s="3" t="s">
        <v>6</v>
      </c>
      <c r="E133" s="3" t="s">
        <v>2</v>
      </c>
      <c r="F133" s="13">
        <f>SUM(IFERROR(VLOOKUP($C:$C,Structure!$A:$AJ,F$1,0)*15,0),IFERROR(VLOOKUP($D:$D,Structure!$A:$AJ,F$1,0)*15,0),IFERROR(VLOOKUP($E:$E,Structure!$A:$AJ,F$1,0)*15,0))</f>
        <v>0</v>
      </c>
      <c r="G133" s="13">
        <f>SUM(IFERROR(VLOOKUP($C:$C,Structure!$A:$AJ,G$1,0)*15,0),IFERROR(VLOOKUP($D:$D,Structure!$A:$AJ,G$1,0)*15,0),IFERROR(VLOOKUP($E:$E,Structure!$A:$AJ,G$1,0)*15,0))</f>
        <v>0</v>
      </c>
      <c r="H133" s="13">
        <f>SUM(IFERROR(VLOOKUP($C:$C,Structure!$A:$AJ,H$1,0)*15,0),IFERROR(VLOOKUP($D:$D,Structure!$A:$AJ,H$1,0)*15,0),IFERROR(VLOOKUP($E:$E,Structure!$A:$AJ,H$1,0)*15,0))</f>
        <v>0</v>
      </c>
      <c r="I133" s="13">
        <f>SUM(IFERROR(VLOOKUP($C:$C,Structure!$A:$AJ,I$1,0)*15,0),IFERROR(VLOOKUP($D:$D,Structure!$A:$AJ,I$1,0)*15,0),IFERROR(VLOOKUP($E:$E,Structure!$A:$AJ,I$1,0)*15,0))</f>
        <v>0</v>
      </c>
      <c r="J133" s="13">
        <f>SUM(IFERROR(VLOOKUP($C:$C,Structure!$A:$AJ,J$1,0)*15,0),IFERROR(VLOOKUP($D:$D,Structure!$A:$AJ,J$1,0)*15,0),IFERROR(VLOOKUP($E:$E,Structure!$A:$AJ,J$1,0)*15,0))</f>
        <v>0</v>
      </c>
      <c r="K133" s="13">
        <f>SUM(IFERROR(VLOOKUP($C:$C,Structure!$A:$AJ,K$1,0)*15,0),IFERROR(VLOOKUP($D:$D,Structure!$A:$AJ,K$1,0)*15,0),IFERROR(VLOOKUP($E:$E,Structure!$A:$AJ,K$1,0)*15,0))</f>
        <v>0</v>
      </c>
      <c r="L133" s="13">
        <f>SUM(IFERROR(VLOOKUP($C:$C,Structure!$A:$AJ,L$1,0)*15,0),IFERROR(VLOOKUP($D:$D,Structure!$A:$AJ,L$1,0)*15,0),IFERROR(VLOOKUP($E:$E,Structure!$A:$AJ,L$1,0)*15,0))</f>
        <v>0</v>
      </c>
      <c r="M133" s="13">
        <f>SUM(IFERROR(VLOOKUP($C:$C,Structure!$A:$AJ,M$1,0)*15,0),IFERROR(VLOOKUP($D:$D,Structure!$A:$AJ,M$1,0)*15,0),IFERROR(VLOOKUP($E:$E,Structure!$A:$AJ,M$1,0)*15,0))</f>
        <v>0</v>
      </c>
      <c r="N133" s="13">
        <f>SUM(IFERROR(VLOOKUP($C:$C,Structure!$A:$AJ,N$1,0)*15,0),IFERROR(VLOOKUP($D:$D,Structure!$A:$AJ,N$1,0)*15,0),IFERROR(VLOOKUP($E:$E,Structure!$A:$AJ,N$1,0)*15,0))</f>
        <v>0</v>
      </c>
      <c r="O133" s="13">
        <f>SUM(IFERROR(VLOOKUP($C:$C,Structure!$A:$AJ,O$1,0)*15,0),IFERROR(VLOOKUP($D:$D,Structure!$A:$AJ,O$1,0)*15,0),IFERROR(VLOOKUP($E:$E,Structure!$A:$AJ,O$1,0)*15,0))</f>
        <v>0</v>
      </c>
      <c r="P133" s="13">
        <f>SUM(IFERROR(VLOOKUP($C:$C,Structure!$A:$AJ,P$1,0)*15,0),IFERROR(VLOOKUP($D:$D,Structure!$A:$AJ,P$1,0)*15,0),IFERROR(VLOOKUP($E:$E,Structure!$A:$AJ,P$1,0)*15,0))</f>
        <v>0</v>
      </c>
      <c r="Q133" s="13">
        <f>SUM(IFERROR(VLOOKUP($C:$C,Structure!$A:$AJ,Q$1,0)*15,0),IFERROR(VLOOKUP($D:$D,Structure!$A:$AJ,Q$1,0)*15,0),IFERROR(VLOOKUP($E:$E,Structure!$A:$AJ,Q$1,0)*15,0))</f>
        <v>0</v>
      </c>
      <c r="R133" s="13">
        <f>SUM(IFERROR(VLOOKUP($C:$C,Structure!$A:$AJ,R$1,0)*15,0),IFERROR(VLOOKUP($D:$D,Structure!$A:$AJ,R$1,0)*15,0),IFERROR(VLOOKUP($E:$E,Structure!$A:$AJ,R$1,0)*15,0))</f>
        <v>0</v>
      </c>
      <c r="S133" s="13">
        <f>SUM(IFERROR(VLOOKUP($C:$C,Structure!$A:$AJ,S$1,0)*15,0),IFERROR(VLOOKUP($D:$D,Structure!$A:$AJ,S$1,0)*15,0),IFERROR(VLOOKUP($E:$E,Structure!$A:$AJ,S$1,0)*15,0))</f>
        <v>0</v>
      </c>
      <c r="T133" s="13">
        <f>SUM(IFERROR(VLOOKUP($C:$C,Structure!$A:$AJ,T$1,0)*15,0),IFERROR(VLOOKUP($D:$D,Structure!$A:$AJ,T$1,0)*15,0),IFERROR(VLOOKUP($E:$E,Structure!$A:$AJ,T$1,0)*15,0))</f>
        <v>0</v>
      </c>
      <c r="U133" s="13">
        <f>SUM(IFERROR(VLOOKUP($C:$C,Structure!$A:$AJ,U$1,0)*15,0),IFERROR(VLOOKUP($D:$D,Structure!$A:$AJ,U$1,0)*15,0),IFERROR(VLOOKUP($E:$E,Structure!$A:$AJ,U$1,0)*15,0))</f>
        <v>0</v>
      </c>
      <c r="V133" s="13">
        <f>SUM(IFERROR(VLOOKUP($C:$C,Structure!$A:$AJ,V$1,0)*15,0),IFERROR(VLOOKUP($D:$D,Structure!$A:$AJ,V$1,0)*15,0),IFERROR(VLOOKUP($E:$E,Structure!$A:$AJ,V$1,0)*15,0))</f>
        <v>0</v>
      </c>
      <c r="W133" s="13">
        <f>SUM(IFERROR(VLOOKUP($C:$C,Structure!$A:$AJ,W$1,0)*15,0),IFERROR(VLOOKUP($D:$D,Structure!$A:$AJ,W$1,0)*15,0),IFERROR(VLOOKUP($E:$E,Structure!$A:$AJ,W$1,0)*15,0))</f>
        <v>0</v>
      </c>
      <c r="X133" s="13">
        <f>SUM(IFERROR(VLOOKUP($C:$C,Structure!$A:$AJ,X$1,0)*15,0),IFERROR(VLOOKUP($D:$D,Structure!$A:$AJ,X$1,0)*15,0),IFERROR(VLOOKUP($E:$E,Structure!$A:$AJ,X$1,0)*15,0))</f>
        <v>0</v>
      </c>
      <c r="Y133" s="13">
        <f>SUM(IFERROR(VLOOKUP($C:$C,Structure!$A:$AJ,Y$1,0)*15,0),IFERROR(VLOOKUP($D:$D,Structure!$A:$AJ,Y$1,0)*15,0),IFERROR(VLOOKUP($E:$E,Structure!$A:$AJ,Y$1,0)*15,0))</f>
        <v>0</v>
      </c>
      <c r="Z133" s="13">
        <f>SUM(IFERROR(VLOOKUP($C:$C,Structure!$A:$AJ,Z$1,0)*15,0),IFERROR(VLOOKUP($D:$D,Structure!$A:$AJ,Z$1,0)*15,0),IFERROR(VLOOKUP($E:$E,Structure!$A:$AJ,Z$1,0)*15,0))</f>
        <v>0</v>
      </c>
      <c r="AA133" s="13">
        <f>SUM(IFERROR(VLOOKUP($C:$C,Structure!$A:$AJ,AA$1,0)*15,0),IFERROR(VLOOKUP($D:$D,Structure!$A:$AJ,AA$1,0)*15,0),IFERROR(VLOOKUP($E:$E,Structure!$A:$AJ,AA$1,0)*15,0))</f>
        <v>45</v>
      </c>
      <c r="AB133" s="13">
        <f>SUM(IFERROR(VLOOKUP($C:$C,Structure!$A:$AJ,AB$1,0)*15,0),IFERROR(VLOOKUP($D:$D,Structure!$A:$AJ,AB$1,0)*15,0),IFERROR(VLOOKUP($E:$E,Structure!$A:$AJ,AB$1,0)*15,0))</f>
        <v>0</v>
      </c>
      <c r="AC133" s="13">
        <f>SUM(IFERROR(VLOOKUP($C:$C,Structure!$A:$AJ,AC$1,0)*15,0),IFERROR(VLOOKUP($D:$D,Structure!$A:$AJ,AC$1,0)*15,0),IFERROR(VLOOKUP($E:$E,Structure!$A:$AJ,AC$1,0)*15,0))</f>
        <v>0</v>
      </c>
      <c r="AD133" s="13">
        <f>SUM(IFERROR(VLOOKUP($C:$C,Structure!$A:$AJ,AD$1,0)*15,0),IFERROR(VLOOKUP($D:$D,Structure!$A:$AJ,AD$1,0)*15,0),IFERROR(VLOOKUP($E:$E,Structure!$A:$AJ,AD$1,0)*15,0))</f>
        <v>0</v>
      </c>
      <c r="AE133" s="13">
        <f>SUM(IFERROR(VLOOKUP($C:$C,Structure!$A:$AJ,AE$1,0)*15,0),IFERROR(VLOOKUP($D:$D,Structure!$A:$AJ,AE$1,0)*15,0),IFERROR(VLOOKUP($E:$E,Structure!$A:$AJ,AE$1,0)*15,0))</f>
        <v>0</v>
      </c>
      <c r="AF133" s="13">
        <f>SUM(IFERROR(VLOOKUP($C:$C,Structure!$A:$AJ,AF$1,0)*15,0),IFERROR(VLOOKUP($D:$D,Structure!$A:$AJ,AF$1,0)*15,0),IFERROR(VLOOKUP($E:$E,Structure!$A:$AJ,AF$1,0)*15,0))</f>
        <v>0</v>
      </c>
      <c r="AG133" s="13">
        <f>SUM(IFERROR(VLOOKUP($C:$C,Structure!$A:$AJ,AG$1,0)*15,0),IFERROR(VLOOKUP($D:$D,Structure!$A:$AJ,AG$1,0)*15,0),IFERROR(VLOOKUP($E:$E,Structure!$A:$AJ,AG$1,0)*15,0))</f>
        <v>0</v>
      </c>
      <c r="AH133" s="13">
        <f>SUM(IFERROR(VLOOKUP($C:$C,Structure!$A:$AJ,AH$1,0)*15,0),IFERROR(VLOOKUP($D:$D,Structure!$A:$AJ,AH$1,0)*15,0),IFERROR(VLOOKUP($E:$E,Structure!$A:$AJ,AH$1,0)*15,0))</f>
        <v>0</v>
      </c>
      <c r="AI133" s="13">
        <f>SUM(IFERROR(VLOOKUP($C:$C,Structure!$A:$AJ,AI$1,0)*15,0),IFERROR(VLOOKUP($D:$D,Structure!$A:$AJ,AI$1,0)*15,0),IFERROR(VLOOKUP($E:$E,Structure!$A:$AJ,AI$1,0)*15,0))</f>
        <v>0</v>
      </c>
      <c r="AJ133" s="13">
        <f>SUM(IFERROR(VLOOKUP($C:$C,Structure!$A:$AJ,AJ$1,0)*15,0),IFERROR(VLOOKUP($D:$D,Structure!$A:$AJ,AJ$1,0)*15,0),IFERROR(VLOOKUP($E:$E,Structure!$A:$AJ,AJ$1,0)*15,0))</f>
        <v>45</v>
      </c>
      <c r="AK133" s="13">
        <f>SUM(IFERROR(VLOOKUP($C:$C,Structure!$A:$AJ,AK$1,0)*15,0),IFERROR(VLOOKUP($D:$D,Structure!$A:$AJ,AK$1,0)*15,0),IFERROR(VLOOKUP($E:$E,Structure!$A:$AJ,AK$1,0)*15,0))</f>
        <v>0</v>
      </c>
      <c r="AL133" s="13">
        <f>SUM(IFERROR(VLOOKUP($C:$C,Structure!$A:$AJ,AL$1,0)*15,0),IFERROR(VLOOKUP($D:$D,Structure!$A:$AJ,AL$1,0)*15,0),IFERROR(VLOOKUP($E:$E,Structure!$A:$AJ,AL$1,0)*15,0))</f>
        <v>0</v>
      </c>
      <c r="AM133" s="13">
        <f>SUM(IFERROR(VLOOKUP($C:$C,Structure!$A:$AJ,AM$1,0)*15,0),IFERROR(VLOOKUP($D:$D,Structure!$A:$AJ,AM$1,0)*15,0),IFERROR(VLOOKUP($E:$E,Structure!$A:$AJ,AM$1,0)*15,0))</f>
        <v>0</v>
      </c>
      <c r="AN133" s="13">
        <f>SUM(IFERROR(VLOOKUP($C:$C,Structure!$A:$AJ,AN$1,0)*15,0),IFERROR(VLOOKUP($D:$D,Structure!$A:$AJ,AN$1,0)*15,0),IFERROR(VLOOKUP($E:$E,Structure!$A:$AJ,AN$1,0)*15,0))</f>
        <v>0</v>
      </c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3"/>
      <c r="BZ133" s="4">
        <f>BZ132+AQ133-F133</f>
        <v>0</v>
      </c>
      <c r="CA133" s="4">
        <f>CA132+AR133-G133</f>
        <v>0</v>
      </c>
      <c r="CB133" s="4">
        <f>CB132+AS133-H133</f>
        <v>0</v>
      </c>
      <c r="CC133" s="4">
        <f>CC132+AT133-I133</f>
        <v>0</v>
      </c>
      <c r="CD133" s="4">
        <f>CD132+AU133-J133</f>
        <v>0</v>
      </c>
      <c r="CE133" s="4">
        <f>CE132+AV133-K133</f>
        <v>0</v>
      </c>
      <c r="CF133" s="4">
        <f>CF132+AW133-L133</f>
        <v>0</v>
      </c>
      <c r="CG133" s="4">
        <f>CG132+AX133-M133</f>
        <v>0</v>
      </c>
      <c r="CH133" s="4">
        <f>CH132+AY133-N133</f>
        <v>0</v>
      </c>
      <c r="CI133" s="4">
        <f>CI132+AZ133-O133</f>
        <v>0</v>
      </c>
      <c r="CJ133" s="4">
        <f>CJ132+BA133-P133</f>
        <v>0</v>
      </c>
      <c r="CK133" s="4">
        <f>CK132+BB133-Q133</f>
        <v>0</v>
      </c>
      <c r="CL133" s="4">
        <f>CL132+BC133-R133</f>
        <v>0</v>
      </c>
      <c r="CM133" s="4">
        <f>CM132+BD133-S133</f>
        <v>0</v>
      </c>
      <c r="CN133" s="4">
        <f>CN132+BE133-T133</f>
        <v>0</v>
      </c>
      <c r="CO133" s="4">
        <f>CO132+BF133-U133</f>
        <v>0</v>
      </c>
      <c r="CP133" s="4">
        <f>CP132+BG133-V133</f>
        <v>-60</v>
      </c>
      <c r="CQ133" s="4">
        <f>CQ132+BH133-W133</f>
        <v>0</v>
      </c>
      <c r="CR133" s="4">
        <f>CR132+BI133-X133</f>
        <v>-60</v>
      </c>
      <c r="CS133" s="4">
        <f>CS132+BJ133-Y133</f>
        <v>0</v>
      </c>
      <c r="CT133" s="4">
        <f>CT132+BK133-Z133</f>
        <v>0</v>
      </c>
      <c r="CU133" s="4">
        <f>CU132+BL133-AA133</f>
        <v>-5180</v>
      </c>
      <c r="CV133" s="4">
        <f>CV132+BM133-AB133</f>
        <v>-240</v>
      </c>
      <c r="CW133" s="4">
        <f>CW132+BN133-AC133</f>
        <v>-255</v>
      </c>
      <c r="CX133" s="4">
        <f>CX132+BO133-AD133</f>
        <v>0</v>
      </c>
      <c r="CY133" s="4">
        <f>CY132+BP133-AE133</f>
        <v>-60</v>
      </c>
      <c r="CZ133" s="4">
        <f>CZ132+BQ133-AF133</f>
        <v>-160</v>
      </c>
      <c r="DA133" s="4">
        <f>DA132+BR133-AG133</f>
        <v>0</v>
      </c>
      <c r="DB133" s="4">
        <f>DB132+BS133-AH133</f>
        <v>-60</v>
      </c>
      <c r="DC133" s="4">
        <f>DC132+BT133-AI133</f>
        <v>0</v>
      </c>
      <c r="DD133" s="4">
        <f>DD132+BU133-AJ133</f>
        <v>-3925</v>
      </c>
      <c r="DE133" s="4">
        <f>DE132+BV133-AK133</f>
        <v>-1275</v>
      </c>
      <c r="DF133" s="4">
        <f>DF132+BW133-AL133</f>
        <v>0</v>
      </c>
      <c r="DG133" s="4">
        <f>DG132+BX133-AM133</f>
        <v>-235</v>
      </c>
      <c r="DH133" s="4">
        <f>DH132+BY133-AN133</f>
        <v>0</v>
      </c>
    </row>
    <row r="134" spans="1:112" x14ac:dyDescent="0.25">
      <c r="A134" s="6">
        <v>46184</v>
      </c>
      <c r="B134" s="7">
        <v>0.79166666635137517</v>
      </c>
      <c r="C134" s="3" t="s">
        <v>2</v>
      </c>
      <c r="D134" s="3" t="s">
        <v>6</v>
      </c>
      <c r="E134" s="3" t="s">
        <v>2</v>
      </c>
      <c r="F134" s="13">
        <f>SUM(IFERROR(VLOOKUP($C:$C,Structure!$A:$AJ,F$1,0)*15,0),IFERROR(VLOOKUP($D:$D,Structure!$A:$AJ,F$1,0)*15,0),IFERROR(VLOOKUP($E:$E,Structure!$A:$AJ,F$1,0)*15,0))</f>
        <v>0</v>
      </c>
      <c r="G134" s="13">
        <f>SUM(IFERROR(VLOOKUP($C:$C,Structure!$A:$AJ,G$1,0)*15,0),IFERROR(VLOOKUP($D:$D,Structure!$A:$AJ,G$1,0)*15,0),IFERROR(VLOOKUP($E:$E,Structure!$A:$AJ,G$1,0)*15,0))</f>
        <v>0</v>
      </c>
      <c r="H134" s="13">
        <f>SUM(IFERROR(VLOOKUP($C:$C,Structure!$A:$AJ,H$1,0)*15,0),IFERROR(VLOOKUP($D:$D,Structure!$A:$AJ,H$1,0)*15,0),IFERROR(VLOOKUP($E:$E,Structure!$A:$AJ,H$1,0)*15,0))</f>
        <v>0</v>
      </c>
      <c r="I134" s="13">
        <f>SUM(IFERROR(VLOOKUP($C:$C,Structure!$A:$AJ,I$1,0)*15,0),IFERROR(VLOOKUP($D:$D,Structure!$A:$AJ,I$1,0)*15,0),IFERROR(VLOOKUP($E:$E,Structure!$A:$AJ,I$1,0)*15,0))</f>
        <v>0</v>
      </c>
      <c r="J134" s="13">
        <f>SUM(IFERROR(VLOOKUP($C:$C,Structure!$A:$AJ,J$1,0)*15,0),IFERROR(VLOOKUP($D:$D,Structure!$A:$AJ,J$1,0)*15,0),IFERROR(VLOOKUP($E:$E,Structure!$A:$AJ,J$1,0)*15,0))</f>
        <v>0</v>
      </c>
      <c r="K134" s="13">
        <f>SUM(IFERROR(VLOOKUP($C:$C,Structure!$A:$AJ,K$1,0)*15,0),IFERROR(VLOOKUP($D:$D,Structure!$A:$AJ,K$1,0)*15,0),IFERROR(VLOOKUP($E:$E,Structure!$A:$AJ,K$1,0)*15,0))</f>
        <v>0</v>
      </c>
      <c r="L134" s="13">
        <f>SUM(IFERROR(VLOOKUP($C:$C,Structure!$A:$AJ,L$1,0)*15,0),IFERROR(VLOOKUP($D:$D,Structure!$A:$AJ,L$1,0)*15,0),IFERROR(VLOOKUP($E:$E,Structure!$A:$AJ,L$1,0)*15,0))</f>
        <v>0</v>
      </c>
      <c r="M134" s="13">
        <f>SUM(IFERROR(VLOOKUP($C:$C,Structure!$A:$AJ,M$1,0)*15,0),IFERROR(VLOOKUP($D:$D,Structure!$A:$AJ,M$1,0)*15,0),IFERROR(VLOOKUP($E:$E,Structure!$A:$AJ,M$1,0)*15,0))</f>
        <v>0</v>
      </c>
      <c r="N134" s="13">
        <f>SUM(IFERROR(VLOOKUP($C:$C,Structure!$A:$AJ,N$1,0)*15,0),IFERROR(VLOOKUP($D:$D,Structure!$A:$AJ,N$1,0)*15,0),IFERROR(VLOOKUP($E:$E,Structure!$A:$AJ,N$1,0)*15,0))</f>
        <v>0</v>
      </c>
      <c r="O134" s="13">
        <f>SUM(IFERROR(VLOOKUP($C:$C,Structure!$A:$AJ,O$1,0)*15,0),IFERROR(VLOOKUP($D:$D,Structure!$A:$AJ,O$1,0)*15,0),IFERROR(VLOOKUP($E:$E,Structure!$A:$AJ,O$1,0)*15,0))</f>
        <v>0</v>
      </c>
      <c r="P134" s="13">
        <f>SUM(IFERROR(VLOOKUP($C:$C,Structure!$A:$AJ,P$1,0)*15,0),IFERROR(VLOOKUP($D:$D,Structure!$A:$AJ,P$1,0)*15,0),IFERROR(VLOOKUP($E:$E,Structure!$A:$AJ,P$1,0)*15,0))</f>
        <v>0</v>
      </c>
      <c r="Q134" s="13">
        <f>SUM(IFERROR(VLOOKUP($C:$C,Structure!$A:$AJ,Q$1,0)*15,0),IFERROR(VLOOKUP($D:$D,Structure!$A:$AJ,Q$1,0)*15,0),IFERROR(VLOOKUP($E:$E,Structure!$A:$AJ,Q$1,0)*15,0))</f>
        <v>0</v>
      </c>
      <c r="R134" s="13">
        <f>SUM(IFERROR(VLOOKUP($C:$C,Structure!$A:$AJ,R$1,0)*15,0),IFERROR(VLOOKUP($D:$D,Structure!$A:$AJ,R$1,0)*15,0),IFERROR(VLOOKUP($E:$E,Structure!$A:$AJ,R$1,0)*15,0))</f>
        <v>0</v>
      </c>
      <c r="S134" s="13">
        <f>SUM(IFERROR(VLOOKUP($C:$C,Structure!$A:$AJ,S$1,0)*15,0),IFERROR(VLOOKUP($D:$D,Structure!$A:$AJ,S$1,0)*15,0),IFERROR(VLOOKUP($E:$E,Structure!$A:$AJ,S$1,0)*15,0))</f>
        <v>0</v>
      </c>
      <c r="T134" s="13">
        <f>SUM(IFERROR(VLOOKUP($C:$C,Structure!$A:$AJ,T$1,0)*15,0),IFERROR(VLOOKUP($D:$D,Structure!$A:$AJ,T$1,0)*15,0),IFERROR(VLOOKUP($E:$E,Structure!$A:$AJ,T$1,0)*15,0))</f>
        <v>0</v>
      </c>
      <c r="U134" s="13">
        <f>SUM(IFERROR(VLOOKUP($C:$C,Structure!$A:$AJ,U$1,0)*15,0),IFERROR(VLOOKUP($D:$D,Structure!$A:$AJ,U$1,0)*15,0),IFERROR(VLOOKUP($E:$E,Structure!$A:$AJ,U$1,0)*15,0))</f>
        <v>0</v>
      </c>
      <c r="V134" s="13">
        <f>SUM(IFERROR(VLOOKUP($C:$C,Structure!$A:$AJ,V$1,0)*15,0),IFERROR(VLOOKUP($D:$D,Structure!$A:$AJ,V$1,0)*15,0),IFERROR(VLOOKUP($E:$E,Structure!$A:$AJ,V$1,0)*15,0))</f>
        <v>0</v>
      </c>
      <c r="W134" s="13">
        <f>SUM(IFERROR(VLOOKUP($C:$C,Structure!$A:$AJ,W$1,0)*15,0),IFERROR(VLOOKUP($D:$D,Structure!$A:$AJ,W$1,0)*15,0),IFERROR(VLOOKUP($E:$E,Structure!$A:$AJ,W$1,0)*15,0))</f>
        <v>0</v>
      </c>
      <c r="X134" s="13">
        <f>SUM(IFERROR(VLOOKUP($C:$C,Structure!$A:$AJ,X$1,0)*15,0),IFERROR(VLOOKUP($D:$D,Structure!$A:$AJ,X$1,0)*15,0),IFERROR(VLOOKUP($E:$E,Structure!$A:$AJ,X$1,0)*15,0))</f>
        <v>0</v>
      </c>
      <c r="Y134" s="13">
        <f>SUM(IFERROR(VLOOKUP($C:$C,Structure!$A:$AJ,Y$1,0)*15,0),IFERROR(VLOOKUP($D:$D,Structure!$A:$AJ,Y$1,0)*15,0),IFERROR(VLOOKUP($E:$E,Structure!$A:$AJ,Y$1,0)*15,0))</f>
        <v>0</v>
      </c>
      <c r="Z134" s="13">
        <f>SUM(IFERROR(VLOOKUP($C:$C,Structure!$A:$AJ,Z$1,0)*15,0),IFERROR(VLOOKUP($D:$D,Structure!$A:$AJ,Z$1,0)*15,0),IFERROR(VLOOKUP($E:$E,Structure!$A:$AJ,Z$1,0)*15,0))</f>
        <v>0</v>
      </c>
      <c r="AA134" s="13">
        <f>SUM(IFERROR(VLOOKUP($C:$C,Structure!$A:$AJ,AA$1,0)*15,0),IFERROR(VLOOKUP($D:$D,Structure!$A:$AJ,AA$1,0)*15,0),IFERROR(VLOOKUP($E:$E,Structure!$A:$AJ,AA$1,0)*15,0))</f>
        <v>45</v>
      </c>
      <c r="AB134" s="13">
        <f>SUM(IFERROR(VLOOKUP($C:$C,Structure!$A:$AJ,AB$1,0)*15,0),IFERROR(VLOOKUP($D:$D,Structure!$A:$AJ,AB$1,0)*15,0),IFERROR(VLOOKUP($E:$E,Structure!$A:$AJ,AB$1,0)*15,0))</f>
        <v>0</v>
      </c>
      <c r="AC134" s="13">
        <f>SUM(IFERROR(VLOOKUP($C:$C,Structure!$A:$AJ,AC$1,0)*15,0),IFERROR(VLOOKUP($D:$D,Structure!$A:$AJ,AC$1,0)*15,0),IFERROR(VLOOKUP($E:$E,Structure!$A:$AJ,AC$1,0)*15,0))</f>
        <v>0</v>
      </c>
      <c r="AD134" s="13">
        <f>SUM(IFERROR(VLOOKUP($C:$C,Structure!$A:$AJ,AD$1,0)*15,0),IFERROR(VLOOKUP($D:$D,Structure!$A:$AJ,AD$1,0)*15,0),IFERROR(VLOOKUP($E:$E,Structure!$A:$AJ,AD$1,0)*15,0))</f>
        <v>0</v>
      </c>
      <c r="AE134" s="13">
        <f>SUM(IFERROR(VLOOKUP($C:$C,Structure!$A:$AJ,AE$1,0)*15,0),IFERROR(VLOOKUP($D:$D,Structure!$A:$AJ,AE$1,0)*15,0),IFERROR(VLOOKUP($E:$E,Structure!$A:$AJ,AE$1,0)*15,0))</f>
        <v>0</v>
      </c>
      <c r="AF134" s="13">
        <f>SUM(IFERROR(VLOOKUP($C:$C,Structure!$A:$AJ,AF$1,0)*15,0),IFERROR(VLOOKUP($D:$D,Structure!$A:$AJ,AF$1,0)*15,0),IFERROR(VLOOKUP($E:$E,Structure!$A:$AJ,AF$1,0)*15,0))</f>
        <v>0</v>
      </c>
      <c r="AG134" s="13">
        <f>SUM(IFERROR(VLOOKUP($C:$C,Structure!$A:$AJ,AG$1,0)*15,0),IFERROR(VLOOKUP($D:$D,Structure!$A:$AJ,AG$1,0)*15,0),IFERROR(VLOOKUP($E:$E,Structure!$A:$AJ,AG$1,0)*15,0))</f>
        <v>0</v>
      </c>
      <c r="AH134" s="13">
        <f>SUM(IFERROR(VLOOKUP($C:$C,Structure!$A:$AJ,AH$1,0)*15,0),IFERROR(VLOOKUP($D:$D,Structure!$A:$AJ,AH$1,0)*15,0),IFERROR(VLOOKUP($E:$E,Structure!$A:$AJ,AH$1,0)*15,0))</f>
        <v>0</v>
      </c>
      <c r="AI134" s="13">
        <f>SUM(IFERROR(VLOOKUP($C:$C,Structure!$A:$AJ,AI$1,0)*15,0),IFERROR(VLOOKUP($D:$D,Structure!$A:$AJ,AI$1,0)*15,0),IFERROR(VLOOKUP($E:$E,Structure!$A:$AJ,AI$1,0)*15,0))</f>
        <v>0</v>
      </c>
      <c r="AJ134" s="13">
        <f>SUM(IFERROR(VLOOKUP($C:$C,Structure!$A:$AJ,AJ$1,0)*15,0),IFERROR(VLOOKUP($D:$D,Structure!$A:$AJ,AJ$1,0)*15,0),IFERROR(VLOOKUP($E:$E,Structure!$A:$AJ,AJ$1,0)*15,0))</f>
        <v>45</v>
      </c>
      <c r="AK134" s="13">
        <f>SUM(IFERROR(VLOOKUP($C:$C,Structure!$A:$AJ,AK$1,0)*15,0),IFERROR(VLOOKUP($D:$D,Structure!$A:$AJ,AK$1,0)*15,0),IFERROR(VLOOKUP($E:$E,Structure!$A:$AJ,AK$1,0)*15,0))</f>
        <v>0</v>
      </c>
      <c r="AL134" s="13">
        <f>SUM(IFERROR(VLOOKUP($C:$C,Structure!$A:$AJ,AL$1,0)*15,0),IFERROR(VLOOKUP($D:$D,Structure!$A:$AJ,AL$1,0)*15,0),IFERROR(VLOOKUP($E:$E,Structure!$A:$AJ,AL$1,0)*15,0))</f>
        <v>0</v>
      </c>
      <c r="AM134" s="13">
        <f>SUM(IFERROR(VLOOKUP($C:$C,Structure!$A:$AJ,AM$1,0)*15,0),IFERROR(VLOOKUP($D:$D,Structure!$A:$AJ,AM$1,0)*15,0),IFERROR(VLOOKUP($E:$E,Structure!$A:$AJ,AM$1,0)*15,0))</f>
        <v>0</v>
      </c>
      <c r="AN134" s="13">
        <f>SUM(IFERROR(VLOOKUP($C:$C,Structure!$A:$AJ,AN$1,0)*15,0),IFERROR(VLOOKUP($D:$D,Structure!$A:$AJ,AN$1,0)*15,0),IFERROR(VLOOKUP($E:$E,Structure!$A:$AJ,AN$1,0)*15,0))</f>
        <v>0</v>
      </c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3"/>
      <c r="BZ134" s="4">
        <f>BZ133+AQ134-F134</f>
        <v>0</v>
      </c>
      <c r="CA134" s="4">
        <f>CA133+AR134-G134</f>
        <v>0</v>
      </c>
      <c r="CB134" s="4">
        <f>CB133+AS134-H134</f>
        <v>0</v>
      </c>
      <c r="CC134" s="4">
        <f>CC133+AT134-I134</f>
        <v>0</v>
      </c>
      <c r="CD134" s="4">
        <f>CD133+AU134-J134</f>
        <v>0</v>
      </c>
      <c r="CE134" s="4">
        <f>CE133+AV134-K134</f>
        <v>0</v>
      </c>
      <c r="CF134" s="4">
        <f>CF133+AW134-L134</f>
        <v>0</v>
      </c>
      <c r="CG134" s="4">
        <f>CG133+AX134-M134</f>
        <v>0</v>
      </c>
      <c r="CH134" s="4">
        <f>CH133+AY134-N134</f>
        <v>0</v>
      </c>
      <c r="CI134" s="4">
        <f>CI133+AZ134-O134</f>
        <v>0</v>
      </c>
      <c r="CJ134" s="4">
        <f>CJ133+BA134-P134</f>
        <v>0</v>
      </c>
      <c r="CK134" s="4">
        <f>CK133+BB134-Q134</f>
        <v>0</v>
      </c>
      <c r="CL134" s="4">
        <f>CL133+BC134-R134</f>
        <v>0</v>
      </c>
      <c r="CM134" s="4">
        <f>CM133+BD134-S134</f>
        <v>0</v>
      </c>
      <c r="CN134" s="4">
        <f>CN133+BE134-T134</f>
        <v>0</v>
      </c>
      <c r="CO134" s="4">
        <f>CO133+BF134-U134</f>
        <v>0</v>
      </c>
      <c r="CP134" s="4">
        <f>CP133+BG134-V134</f>
        <v>-60</v>
      </c>
      <c r="CQ134" s="4">
        <f>CQ133+BH134-W134</f>
        <v>0</v>
      </c>
      <c r="CR134" s="4">
        <f>CR133+BI134-X134</f>
        <v>-60</v>
      </c>
      <c r="CS134" s="4">
        <f>CS133+BJ134-Y134</f>
        <v>0</v>
      </c>
      <c r="CT134" s="4">
        <f>CT133+BK134-Z134</f>
        <v>0</v>
      </c>
      <c r="CU134" s="4">
        <f>CU133+BL134-AA134</f>
        <v>-5225</v>
      </c>
      <c r="CV134" s="4">
        <f>CV133+BM134-AB134</f>
        <v>-240</v>
      </c>
      <c r="CW134" s="4">
        <f>CW133+BN134-AC134</f>
        <v>-255</v>
      </c>
      <c r="CX134" s="4">
        <f>CX133+BO134-AD134</f>
        <v>0</v>
      </c>
      <c r="CY134" s="4">
        <f>CY133+BP134-AE134</f>
        <v>-60</v>
      </c>
      <c r="CZ134" s="4">
        <f>CZ133+BQ134-AF134</f>
        <v>-160</v>
      </c>
      <c r="DA134" s="4">
        <f>DA133+BR134-AG134</f>
        <v>0</v>
      </c>
      <c r="DB134" s="4">
        <f>DB133+BS134-AH134</f>
        <v>-60</v>
      </c>
      <c r="DC134" s="4">
        <f>DC133+BT134-AI134</f>
        <v>0</v>
      </c>
      <c r="DD134" s="4">
        <f>DD133+BU134-AJ134</f>
        <v>-3970</v>
      </c>
      <c r="DE134" s="4">
        <f>DE133+BV134-AK134</f>
        <v>-1275</v>
      </c>
      <c r="DF134" s="4">
        <f>DF133+BW134-AL134</f>
        <v>0</v>
      </c>
      <c r="DG134" s="4">
        <f>DG133+BX134-AM134</f>
        <v>-235</v>
      </c>
      <c r="DH134" s="4">
        <f>DH133+BY134-AN134</f>
        <v>0</v>
      </c>
    </row>
    <row r="135" spans="1:112" x14ac:dyDescent="0.25">
      <c r="A135" s="6">
        <v>46184</v>
      </c>
      <c r="B135" s="7">
        <v>0.83333333301561652</v>
      </c>
      <c r="C135" s="3" t="s">
        <v>2</v>
      </c>
      <c r="D135" s="3" t="s">
        <v>6</v>
      </c>
      <c r="E135" s="3" t="s">
        <v>2</v>
      </c>
      <c r="F135" s="13">
        <f>SUM(IFERROR(VLOOKUP($C:$C,Structure!$A:$AJ,F$1,0)*15,0),IFERROR(VLOOKUP($D:$D,Structure!$A:$AJ,F$1,0)*15,0),IFERROR(VLOOKUP($E:$E,Structure!$A:$AJ,F$1,0)*15,0))</f>
        <v>0</v>
      </c>
      <c r="G135" s="13">
        <f>SUM(IFERROR(VLOOKUP($C:$C,Structure!$A:$AJ,G$1,0)*15,0),IFERROR(VLOOKUP($D:$D,Structure!$A:$AJ,G$1,0)*15,0),IFERROR(VLOOKUP($E:$E,Structure!$A:$AJ,G$1,0)*15,0))</f>
        <v>0</v>
      </c>
      <c r="H135" s="13">
        <f>SUM(IFERROR(VLOOKUP($C:$C,Structure!$A:$AJ,H$1,0)*15,0),IFERROR(VLOOKUP($D:$D,Structure!$A:$AJ,H$1,0)*15,0),IFERROR(VLOOKUP($E:$E,Structure!$A:$AJ,H$1,0)*15,0))</f>
        <v>0</v>
      </c>
      <c r="I135" s="13">
        <f>SUM(IFERROR(VLOOKUP($C:$C,Structure!$A:$AJ,I$1,0)*15,0),IFERROR(VLOOKUP($D:$D,Structure!$A:$AJ,I$1,0)*15,0),IFERROR(VLOOKUP($E:$E,Structure!$A:$AJ,I$1,0)*15,0))</f>
        <v>0</v>
      </c>
      <c r="J135" s="13">
        <f>SUM(IFERROR(VLOOKUP($C:$C,Structure!$A:$AJ,J$1,0)*15,0),IFERROR(VLOOKUP($D:$D,Structure!$A:$AJ,J$1,0)*15,0),IFERROR(VLOOKUP($E:$E,Structure!$A:$AJ,J$1,0)*15,0))</f>
        <v>0</v>
      </c>
      <c r="K135" s="13">
        <f>SUM(IFERROR(VLOOKUP($C:$C,Structure!$A:$AJ,K$1,0)*15,0),IFERROR(VLOOKUP($D:$D,Structure!$A:$AJ,K$1,0)*15,0),IFERROR(VLOOKUP($E:$E,Structure!$A:$AJ,K$1,0)*15,0))</f>
        <v>0</v>
      </c>
      <c r="L135" s="13">
        <f>SUM(IFERROR(VLOOKUP($C:$C,Structure!$A:$AJ,L$1,0)*15,0),IFERROR(VLOOKUP($D:$D,Structure!$A:$AJ,L$1,0)*15,0),IFERROR(VLOOKUP($E:$E,Structure!$A:$AJ,L$1,0)*15,0))</f>
        <v>0</v>
      </c>
      <c r="M135" s="13">
        <f>SUM(IFERROR(VLOOKUP($C:$C,Structure!$A:$AJ,M$1,0)*15,0),IFERROR(VLOOKUP($D:$D,Structure!$A:$AJ,M$1,0)*15,0),IFERROR(VLOOKUP($E:$E,Structure!$A:$AJ,M$1,0)*15,0))</f>
        <v>0</v>
      </c>
      <c r="N135" s="13">
        <f>SUM(IFERROR(VLOOKUP($C:$C,Structure!$A:$AJ,N$1,0)*15,0),IFERROR(VLOOKUP($D:$D,Structure!$A:$AJ,N$1,0)*15,0),IFERROR(VLOOKUP($E:$E,Structure!$A:$AJ,N$1,0)*15,0))</f>
        <v>0</v>
      </c>
      <c r="O135" s="13">
        <f>SUM(IFERROR(VLOOKUP($C:$C,Structure!$A:$AJ,O$1,0)*15,0),IFERROR(VLOOKUP($D:$D,Structure!$A:$AJ,O$1,0)*15,0),IFERROR(VLOOKUP($E:$E,Structure!$A:$AJ,O$1,0)*15,0))</f>
        <v>0</v>
      </c>
      <c r="P135" s="13">
        <f>SUM(IFERROR(VLOOKUP($C:$C,Structure!$A:$AJ,P$1,0)*15,0),IFERROR(VLOOKUP($D:$D,Structure!$A:$AJ,P$1,0)*15,0),IFERROR(VLOOKUP($E:$E,Structure!$A:$AJ,P$1,0)*15,0))</f>
        <v>0</v>
      </c>
      <c r="Q135" s="13">
        <f>SUM(IFERROR(VLOOKUP($C:$C,Structure!$A:$AJ,Q$1,0)*15,0),IFERROR(VLOOKUP($D:$D,Structure!$A:$AJ,Q$1,0)*15,0),IFERROR(VLOOKUP($E:$E,Structure!$A:$AJ,Q$1,0)*15,0))</f>
        <v>0</v>
      </c>
      <c r="R135" s="13">
        <f>SUM(IFERROR(VLOOKUP($C:$C,Structure!$A:$AJ,R$1,0)*15,0),IFERROR(VLOOKUP($D:$D,Structure!$A:$AJ,R$1,0)*15,0),IFERROR(VLOOKUP($E:$E,Structure!$A:$AJ,R$1,0)*15,0))</f>
        <v>0</v>
      </c>
      <c r="S135" s="13">
        <f>SUM(IFERROR(VLOOKUP($C:$C,Structure!$A:$AJ,S$1,0)*15,0),IFERROR(VLOOKUP($D:$D,Structure!$A:$AJ,S$1,0)*15,0),IFERROR(VLOOKUP($E:$E,Structure!$A:$AJ,S$1,0)*15,0))</f>
        <v>0</v>
      </c>
      <c r="T135" s="13">
        <f>SUM(IFERROR(VLOOKUP($C:$C,Structure!$A:$AJ,T$1,0)*15,0),IFERROR(VLOOKUP($D:$D,Structure!$A:$AJ,T$1,0)*15,0),IFERROR(VLOOKUP($E:$E,Structure!$A:$AJ,T$1,0)*15,0))</f>
        <v>0</v>
      </c>
      <c r="U135" s="13">
        <f>SUM(IFERROR(VLOOKUP($C:$C,Structure!$A:$AJ,U$1,0)*15,0),IFERROR(VLOOKUP($D:$D,Structure!$A:$AJ,U$1,0)*15,0),IFERROR(VLOOKUP($E:$E,Structure!$A:$AJ,U$1,0)*15,0))</f>
        <v>0</v>
      </c>
      <c r="V135" s="13">
        <f>SUM(IFERROR(VLOOKUP($C:$C,Structure!$A:$AJ,V$1,0)*15,0),IFERROR(VLOOKUP($D:$D,Structure!$A:$AJ,V$1,0)*15,0),IFERROR(VLOOKUP($E:$E,Structure!$A:$AJ,V$1,0)*15,0))</f>
        <v>0</v>
      </c>
      <c r="W135" s="13">
        <f>SUM(IFERROR(VLOOKUP($C:$C,Structure!$A:$AJ,W$1,0)*15,0),IFERROR(VLOOKUP($D:$D,Structure!$A:$AJ,W$1,0)*15,0),IFERROR(VLOOKUP($E:$E,Structure!$A:$AJ,W$1,0)*15,0))</f>
        <v>0</v>
      </c>
      <c r="X135" s="13">
        <f>SUM(IFERROR(VLOOKUP($C:$C,Structure!$A:$AJ,X$1,0)*15,0),IFERROR(VLOOKUP($D:$D,Structure!$A:$AJ,X$1,0)*15,0),IFERROR(VLOOKUP($E:$E,Structure!$A:$AJ,X$1,0)*15,0))</f>
        <v>0</v>
      </c>
      <c r="Y135" s="13">
        <f>SUM(IFERROR(VLOOKUP($C:$C,Structure!$A:$AJ,Y$1,0)*15,0),IFERROR(VLOOKUP($D:$D,Structure!$A:$AJ,Y$1,0)*15,0),IFERROR(VLOOKUP($E:$E,Structure!$A:$AJ,Y$1,0)*15,0))</f>
        <v>0</v>
      </c>
      <c r="Z135" s="13">
        <f>SUM(IFERROR(VLOOKUP($C:$C,Structure!$A:$AJ,Z$1,0)*15,0),IFERROR(VLOOKUP($D:$D,Structure!$A:$AJ,Z$1,0)*15,0),IFERROR(VLOOKUP($E:$E,Structure!$A:$AJ,Z$1,0)*15,0))</f>
        <v>0</v>
      </c>
      <c r="AA135" s="13">
        <f>SUM(IFERROR(VLOOKUP($C:$C,Structure!$A:$AJ,AA$1,0)*15,0),IFERROR(VLOOKUP($D:$D,Structure!$A:$AJ,AA$1,0)*15,0),IFERROR(VLOOKUP($E:$E,Structure!$A:$AJ,AA$1,0)*15,0))</f>
        <v>45</v>
      </c>
      <c r="AB135" s="13">
        <f>SUM(IFERROR(VLOOKUP($C:$C,Structure!$A:$AJ,AB$1,0)*15,0),IFERROR(VLOOKUP($D:$D,Structure!$A:$AJ,AB$1,0)*15,0),IFERROR(VLOOKUP($E:$E,Structure!$A:$AJ,AB$1,0)*15,0))</f>
        <v>0</v>
      </c>
      <c r="AC135" s="13">
        <f>SUM(IFERROR(VLOOKUP($C:$C,Structure!$A:$AJ,AC$1,0)*15,0),IFERROR(VLOOKUP($D:$D,Structure!$A:$AJ,AC$1,0)*15,0),IFERROR(VLOOKUP($E:$E,Structure!$A:$AJ,AC$1,0)*15,0))</f>
        <v>0</v>
      </c>
      <c r="AD135" s="13">
        <f>SUM(IFERROR(VLOOKUP($C:$C,Structure!$A:$AJ,AD$1,0)*15,0),IFERROR(VLOOKUP($D:$D,Structure!$A:$AJ,AD$1,0)*15,0),IFERROR(VLOOKUP($E:$E,Structure!$A:$AJ,AD$1,0)*15,0))</f>
        <v>0</v>
      </c>
      <c r="AE135" s="13">
        <f>SUM(IFERROR(VLOOKUP($C:$C,Structure!$A:$AJ,AE$1,0)*15,0),IFERROR(VLOOKUP($D:$D,Structure!$A:$AJ,AE$1,0)*15,0),IFERROR(VLOOKUP($E:$E,Structure!$A:$AJ,AE$1,0)*15,0))</f>
        <v>0</v>
      </c>
      <c r="AF135" s="13">
        <f>SUM(IFERROR(VLOOKUP($C:$C,Structure!$A:$AJ,AF$1,0)*15,0),IFERROR(VLOOKUP($D:$D,Structure!$A:$AJ,AF$1,0)*15,0),IFERROR(VLOOKUP($E:$E,Structure!$A:$AJ,AF$1,0)*15,0))</f>
        <v>0</v>
      </c>
      <c r="AG135" s="13">
        <f>SUM(IFERROR(VLOOKUP($C:$C,Structure!$A:$AJ,AG$1,0)*15,0),IFERROR(VLOOKUP($D:$D,Structure!$A:$AJ,AG$1,0)*15,0),IFERROR(VLOOKUP($E:$E,Structure!$A:$AJ,AG$1,0)*15,0))</f>
        <v>0</v>
      </c>
      <c r="AH135" s="13">
        <f>SUM(IFERROR(VLOOKUP($C:$C,Structure!$A:$AJ,AH$1,0)*15,0),IFERROR(VLOOKUP($D:$D,Structure!$A:$AJ,AH$1,0)*15,0),IFERROR(VLOOKUP($E:$E,Structure!$A:$AJ,AH$1,0)*15,0))</f>
        <v>0</v>
      </c>
      <c r="AI135" s="13">
        <f>SUM(IFERROR(VLOOKUP($C:$C,Structure!$A:$AJ,AI$1,0)*15,0),IFERROR(VLOOKUP($D:$D,Structure!$A:$AJ,AI$1,0)*15,0),IFERROR(VLOOKUP($E:$E,Structure!$A:$AJ,AI$1,0)*15,0))</f>
        <v>0</v>
      </c>
      <c r="AJ135" s="13">
        <f>SUM(IFERROR(VLOOKUP($C:$C,Structure!$A:$AJ,AJ$1,0)*15,0),IFERROR(VLOOKUP($D:$D,Structure!$A:$AJ,AJ$1,0)*15,0),IFERROR(VLOOKUP($E:$E,Structure!$A:$AJ,AJ$1,0)*15,0))</f>
        <v>45</v>
      </c>
      <c r="AK135" s="13">
        <f>SUM(IFERROR(VLOOKUP($C:$C,Structure!$A:$AJ,AK$1,0)*15,0),IFERROR(VLOOKUP($D:$D,Structure!$A:$AJ,AK$1,0)*15,0),IFERROR(VLOOKUP($E:$E,Structure!$A:$AJ,AK$1,0)*15,0))</f>
        <v>0</v>
      </c>
      <c r="AL135" s="13">
        <f>SUM(IFERROR(VLOOKUP($C:$C,Structure!$A:$AJ,AL$1,0)*15,0),IFERROR(VLOOKUP($D:$D,Structure!$A:$AJ,AL$1,0)*15,0),IFERROR(VLOOKUP($E:$E,Structure!$A:$AJ,AL$1,0)*15,0))</f>
        <v>0</v>
      </c>
      <c r="AM135" s="13">
        <f>SUM(IFERROR(VLOOKUP($C:$C,Structure!$A:$AJ,AM$1,0)*15,0),IFERROR(VLOOKUP($D:$D,Structure!$A:$AJ,AM$1,0)*15,0),IFERROR(VLOOKUP($E:$E,Structure!$A:$AJ,AM$1,0)*15,0))</f>
        <v>0</v>
      </c>
      <c r="AN135" s="13">
        <f>SUM(IFERROR(VLOOKUP($C:$C,Structure!$A:$AJ,AN$1,0)*15,0),IFERROR(VLOOKUP($D:$D,Structure!$A:$AJ,AN$1,0)*15,0),IFERROR(VLOOKUP($E:$E,Structure!$A:$AJ,AN$1,0)*15,0))</f>
        <v>0</v>
      </c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3"/>
      <c r="BZ135" s="4">
        <f>BZ134+AQ135-F135</f>
        <v>0</v>
      </c>
      <c r="CA135" s="4">
        <f>CA134+AR135-G135</f>
        <v>0</v>
      </c>
      <c r="CB135" s="4">
        <f>CB134+AS135-H135</f>
        <v>0</v>
      </c>
      <c r="CC135" s="4">
        <f>CC134+AT135-I135</f>
        <v>0</v>
      </c>
      <c r="CD135" s="4">
        <f>CD134+AU135-J135</f>
        <v>0</v>
      </c>
      <c r="CE135" s="4">
        <f>CE134+AV135-K135</f>
        <v>0</v>
      </c>
      <c r="CF135" s="4">
        <f>CF134+AW135-L135</f>
        <v>0</v>
      </c>
      <c r="CG135" s="4">
        <f>CG134+AX135-M135</f>
        <v>0</v>
      </c>
      <c r="CH135" s="4">
        <f>CH134+AY135-N135</f>
        <v>0</v>
      </c>
      <c r="CI135" s="4">
        <f>CI134+AZ135-O135</f>
        <v>0</v>
      </c>
      <c r="CJ135" s="4">
        <f>CJ134+BA135-P135</f>
        <v>0</v>
      </c>
      <c r="CK135" s="4">
        <f>CK134+BB135-Q135</f>
        <v>0</v>
      </c>
      <c r="CL135" s="4">
        <f>CL134+BC135-R135</f>
        <v>0</v>
      </c>
      <c r="CM135" s="4">
        <f>CM134+BD135-S135</f>
        <v>0</v>
      </c>
      <c r="CN135" s="4">
        <f>CN134+BE135-T135</f>
        <v>0</v>
      </c>
      <c r="CO135" s="4">
        <f>CO134+BF135-U135</f>
        <v>0</v>
      </c>
      <c r="CP135" s="4">
        <f>CP134+BG135-V135</f>
        <v>-60</v>
      </c>
      <c r="CQ135" s="4">
        <f>CQ134+BH135-W135</f>
        <v>0</v>
      </c>
      <c r="CR135" s="4">
        <f>CR134+BI135-X135</f>
        <v>-60</v>
      </c>
      <c r="CS135" s="4">
        <f>CS134+BJ135-Y135</f>
        <v>0</v>
      </c>
      <c r="CT135" s="4">
        <f>CT134+BK135-Z135</f>
        <v>0</v>
      </c>
      <c r="CU135" s="4">
        <f>CU134+BL135-AA135</f>
        <v>-5270</v>
      </c>
      <c r="CV135" s="4">
        <f>CV134+BM135-AB135</f>
        <v>-240</v>
      </c>
      <c r="CW135" s="4">
        <f>CW134+BN135-AC135</f>
        <v>-255</v>
      </c>
      <c r="CX135" s="4">
        <f>CX134+BO135-AD135</f>
        <v>0</v>
      </c>
      <c r="CY135" s="4">
        <f>CY134+BP135-AE135</f>
        <v>-60</v>
      </c>
      <c r="CZ135" s="4">
        <f>CZ134+BQ135-AF135</f>
        <v>-160</v>
      </c>
      <c r="DA135" s="4">
        <f>DA134+BR135-AG135</f>
        <v>0</v>
      </c>
      <c r="DB135" s="4">
        <f>DB134+BS135-AH135</f>
        <v>-60</v>
      </c>
      <c r="DC135" s="4">
        <f>DC134+BT135-AI135</f>
        <v>0</v>
      </c>
      <c r="DD135" s="4">
        <f>DD134+BU135-AJ135</f>
        <v>-4015</v>
      </c>
      <c r="DE135" s="4">
        <f>DE134+BV135-AK135</f>
        <v>-1275</v>
      </c>
      <c r="DF135" s="4">
        <f>DF134+BW135-AL135</f>
        <v>0</v>
      </c>
      <c r="DG135" s="4">
        <f>DG134+BX135-AM135</f>
        <v>-235</v>
      </c>
      <c r="DH135" s="4">
        <f>DH134+BY135-AN135</f>
        <v>0</v>
      </c>
    </row>
    <row r="136" spans="1:112" x14ac:dyDescent="0.25">
      <c r="A136" s="6">
        <v>46184</v>
      </c>
      <c r="B136" s="7">
        <v>0.87499999967985786</v>
      </c>
      <c r="C136" s="3" t="s">
        <v>2</v>
      </c>
      <c r="D136" s="3" t="s">
        <v>6</v>
      </c>
      <c r="E136" s="3" t="s">
        <v>2</v>
      </c>
      <c r="F136" s="13">
        <f>SUM(IFERROR(VLOOKUP($C:$C,Structure!$A:$AJ,F$1,0)*15,0),IFERROR(VLOOKUP($D:$D,Structure!$A:$AJ,F$1,0)*15,0),IFERROR(VLOOKUP($E:$E,Structure!$A:$AJ,F$1,0)*15,0))</f>
        <v>0</v>
      </c>
      <c r="G136" s="13">
        <f>SUM(IFERROR(VLOOKUP($C:$C,Structure!$A:$AJ,G$1,0)*15,0),IFERROR(VLOOKUP($D:$D,Structure!$A:$AJ,G$1,0)*15,0),IFERROR(VLOOKUP($E:$E,Structure!$A:$AJ,G$1,0)*15,0))</f>
        <v>0</v>
      </c>
      <c r="H136" s="13">
        <f>SUM(IFERROR(VLOOKUP($C:$C,Structure!$A:$AJ,H$1,0)*15,0),IFERROR(VLOOKUP($D:$D,Structure!$A:$AJ,H$1,0)*15,0),IFERROR(VLOOKUP($E:$E,Structure!$A:$AJ,H$1,0)*15,0))</f>
        <v>0</v>
      </c>
      <c r="I136" s="13">
        <f>SUM(IFERROR(VLOOKUP($C:$C,Structure!$A:$AJ,I$1,0)*15,0),IFERROR(VLOOKUP($D:$D,Structure!$A:$AJ,I$1,0)*15,0),IFERROR(VLOOKUP($E:$E,Structure!$A:$AJ,I$1,0)*15,0))</f>
        <v>0</v>
      </c>
      <c r="J136" s="13">
        <f>SUM(IFERROR(VLOOKUP($C:$C,Structure!$A:$AJ,J$1,0)*15,0),IFERROR(VLOOKUP($D:$D,Structure!$A:$AJ,J$1,0)*15,0),IFERROR(VLOOKUP($E:$E,Structure!$A:$AJ,J$1,0)*15,0))</f>
        <v>0</v>
      </c>
      <c r="K136" s="13">
        <f>SUM(IFERROR(VLOOKUP($C:$C,Structure!$A:$AJ,K$1,0)*15,0),IFERROR(VLOOKUP($D:$D,Structure!$A:$AJ,K$1,0)*15,0),IFERROR(VLOOKUP($E:$E,Structure!$A:$AJ,K$1,0)*15,0))</f>
        <v>0</v>
      </c>
      <c r="L136" s="13">
        <f>SUM(IFERROR(VLOOKUP($C:$C,Structure!$A:$AJ,L$1,0)*15,0),IFERROR(VLOOKUP($D:$D,Structure!$A:$AJ,L$1,0)*15,0),IFERROR(VLOOKUP($E:$E,Structure!$A:$AJ,L$1,0)*15,0))</f>
        <v>0</v>
      </c>
      <c r="M136" s="13">
        <f>SUM(IFERROR(VLOOKUP($C:$C,Structure!$A:$AJ,M$1,0)*15,0),IFERROR(VLOOKUP($D:$D,Structure!$A:$AJ,M$1,0)*15,0),IFERROR(VLOOKUP($E:$E,Structure!$A:$AJ,M$1,0)*15,0))</f>
        <v>0</v>
      </c>
      <c r="N136" s="13">
        <f>SUM(IFERROR(VLOOKUP($C:$C,Structure!$A:$AJ,N$1,0)*15,0),IFERROR(VLOOKUP($D:$D,Structure!$A:$AJ,N$1,0)*15,0),IFERROR(VLOOKUP($E:$E,Structure!$A:$AJ,N$1,0)*15,0))</f>
        <v>0</v>
      </c>
      <c r="O136" s="13">
        <f>SUM(IFERROR(VLOOKUP($C:$C,Structure!$A:$AJ,O$1,0)*15,0),IFERROR(VLOOKUP($D:$D,Structure!$A:$AJ,O$1,0)*15,0),IFERROR(VLOOKUP($E:$E,Structure!$A:$AJ,O$1,0)*15,0))</f>
        <v>0</v>
      </c>
      <c r="P136" s="13">
        <f>SUM(IFERROR(VLOOKUP($C:$C,Structure!$A:$AJ,P$1,0)*15,0),IFERROR(VLOOKUP($D:$D,Structure!$A:$AJ,P$1,0)*15,0),IFERROR(VLOOKUP($E:$E,Structure!$A:$AJ,P$1,0)*15,0))</f>
        <v>0</v>
      </c>
      <c r="Q136" s="13">
        <f>SUM(IFERROR(VLOOKUP($C:$C,Structure!$A:$AJ,Q$1,0)*15,0),IFERROR(VLOOKUP($D:$D,Structure!$A:$AJ,Q$1,0)*15,0),IFERROR(VLOOKUP($E:$E,Structure!$A:$AJ,Q$1,0)*15,0))</f>
        <v>0</v>
      </c>
      <c r="R136" s="13">
        <f>SUM(IFERROR(VLOOKUP($C:$C,Structure!$A:$AJ,R$1,0)*15,0),IFERROR(VLOOKUP($D:$D,Structure!$A:$AJ,R$1,0)*15,0),IFERROR(VLOOKUP($E:$E,Structure!$A:$AJ,R$1,0)*15,0))</f>
        <v>0</v>
      </c>
      <c r="S136" s="13">
        <f>SUM(IFERROR(VLOOKUP($C:$C,Structure!$A:$AJ,S$1,0)*15,0),IFERROR(VLOOKUP($D:$D,Structure!$A:$AJ,S$1,0)*15,0),IFERROR(VLOOKUP($E:$E,Structure!$A:$AJ,S$1,0)*15,0))</f>
        <v>0</v>
      </c>
      <c r="T136" s="13">
        <f>SUM(IFERROR(VLOOKUP($C:$C,Structure!$A:$AJ,T$1,0)*15,0),IFERROR(VLOOKUP($D:$D,Structure!$A:$AJ,T$1,0)*15,0),IFERROR(VLOOKUP($E:$E,Structure!$A:$AJ,T$1,0)*15,0))</f>
        <v>0</v>
      </c>
      <c r="U136" s="13">
        <f>SUM(IFERROR(VLOOKUP($C:$C,Structure!$A:$AJ,U$1,0)*15,0),IFERROR(VLOOKUP($D:$D,Structure!$A:$AJ,U$1,0)*15,0),IFERROR(VLOOKUP($E:$E,Structure!$A:$AJ,U$1,0)*15,0))</f>
        <v>0</v>
      </c>
      <c r="V136" s="13">
        <f>SUM(IFERROR(VLOOKUP($C:$C,Structure!$A:$AJ,V$1,0)*15,0),IFERROR(VLOOKUP($D:$D,Structure!$A:$AJ,V$1,0)*15,0),IFERROR(VLOOKUP($E:$E,Structure!$A:$AJ,V$1,0)*15,0))</f>
        <v>0</v>
      </c>
      <c r="W136" s="13">
        <f>SUM(IFERROR(VLOOKUP($C:$C,Structure!$A:$AJ,W$1,0)*15,0),IFERROR(VLOOKUP($D:$D,Structure!$A:$AJ,W$1,0)*15,0),IFERROR(VLOOKUP($E:$E,Structure!$A:$AJ,W$1,0)*15,0))</f>
        <v>0</v>
      </c>
      <c r="X136" s="13">
        <f>SUM(IFERROR(VLOOKUP($C:$C,Structure!$A:$AJ,X$1,0)*15,0),IFERROR(VLOOKUP($D:$D,Structure!$A:$AJ,X$1,0)*15,0),IFERROR(VLOOKUP($E:$E,Structure!$A:$AJ,X$1,0)*15,0))</f>
        <v>0</v>
      </c>
      <c r="Y136" s="13">
        <f>SUM(IFERROR(VLOOKUP($C:$C,Structure!$A:$AJ,Y$1,0)*15,0),IFERROR(VLOOKUP($D:$D,Structure!$A:$AJ,Y$1,0)*15,0),IFERROR(VLOOKUP($E:$E,Structure!$A:$AJ,Y$1,0)*15,0))</f>
        <v>0</v>
      </c>
      <c r="Z136" s="13">
        <f>SUM(IFERROR(VLOOKUP($C:$C,Structure!$A:$AJ,Z$1,0)*15,0),IFERROR(VLOOKUP($D:$D,Structure!$A:$AJ,Z$1,0)*15,0),IFERROR(VLOOKUP($E:$E,Structure!$A:$AJ,Z$1,0)*15,0))</f>
        <v>0</v>
      </c>
      <c r="AA136" s="13">
        <f>SUM(IFERROR(VLOOKUP($C:$C,Structure!$A:$AJ,AA$1,0)*15,0),IFERROR(VLOOKUP($D:$D,Structure!$A:$AJ,AA$1,0)*15,0),IFERROR(VLOOKUP($E:$E,Structure!$A:$AJ,AA$1,0)*15,0))</f>
        <v>45</v>
      </c>
      <c r="AB136" s="13">
        <f>SUM(IFERROR(VLOOKUP($C:$C,Structure!$A:$AJ,AB$1,0)*15,0),IFERROR(VLOOKUP($D:$D,Structure!$A:$AJ,AB$1,0)*15,0),IFERROR(VLOOKUP($E:$E,Structure!$A:$AJ,AB$1,0)*15,0))</f>
        <v>0</v>
      </c>
      <c r="AC136" s="13">
        <f>SUM(IFERROR(VLOOKUP($C:$C,Structure!$A:$AJ,AC$1,0)*15,0),IFERROR(VLOOKUP($D:$D,Structure!$A:$AJ,AC$1,0)*15,0),IFERROR(VLOOKUP($E:$E,Structure!$A:$AJ,AC$1,0)*15,0))</f>
        <v>0</v>
      </c>
      <c r="AD136" s="13">
        <f>SUM(IFERROR(VLOOKUP($C:$C,Structure!$A:$AJ,AD$1,0)*15,0),IFERROR(VLOOKUP($D:$D,Structure!$A:$AJ,AD$1,0)*15,0),IFERROR(VLOOKUP($E:$E,Structure!$A:$AJ,AD$1,0)*15,0))</f>
        <v>0</v>
      </c>
      <c r="AE136" s="13">
        <f>SUM(IFERROR(VLOOKUP($C:$C,Structure!$A:$AJ,AE$1,0)*15,0),IFERROR(VLOOKUP($D:$D,Structure!$A:$AJ,AE$1,0)*15,0),IFERROR(VLOOKUP($E:$E,Structure!$A:$AJ,AE$1,0)*15,0))</f>
        <v>0</v>
      </c>
      <c r="AF136" s="13">
        <f>SUM(IFERROR(VLOOKUP($C:$C,Structure!$A:$AJ,AF$1,0)*15,0),IFERROR(VLOOKUP($D:$D,Structure!$A:$AJ,AF$1,0)*15,0),IFERROR(VLOOKUP($E:$E,Structure!$A:$AJ,AF$1,0)*15,0))</f>
        <v>0</v>
      </c>
      <c r="AG136" s="13">
        <f>SUM(IFERROR(VLOOKUP($C:$C,Structure!$A:$AJ,AG$1,0)*15,0),IFERROR(VLOOKUP($D:$D,Structure!$A:$AJ,AG$1,0)*15,0),IFERROR(VLOOKUP($E:$E,Structure!$A:$AJ,AG$1,0)*15,0))</f>
        <v>0</v>
      </c>
      <c r="AH136" s="13">
        <f>SUM(IFERROR(VLOOKUP($C:$C,Structure!$A:$AJ,AH$1,0)*15,0),IFERROR(VLOOKUP($D:$D,Structure!$A:$AJ,AH$1,0)*15,0),IFERROR(VLOOKUP($E:$E,Structure!$A:$AJ,AH$1,0)*15,0))</f>
        <v>0</v>
      </c>
      <c r="AI136" s="13">
        <f>SUM(IFERROR(VLOOKUP($C:$C,Structure!$A:$AJ,AI$1,0)*15,0),IFERROR(VLOOKUP($D:$D,Structure!$A:$AJ,AI$1,0)*15,0),IFERROR(VLOOKUP($E:$E,Structure!$A:$AJ,AI$1,0)*15,0))</f>
        <v>0</v>
      </c>
      <c r="AJ136" s="13">
        <f>SUM(IFERROR(VLOOKUP($C:$C,Structure!$A:$AJ,AJ$1,0)*15,0),IFERROR(VLOOKUP($D:$D,Structure!$A:$AJ,AJ$1,0)*15,0),IFERROR(VLOOKUP($E:$E,Structure!$A:$AJ,AJ$1,0)*15,0))</f>
        <v>45</v>
      </c>
      <c r="AK136" s="13">
        <f>SUM(IFERROR(VLOOKUP($C:$C,Structure!$A:$AJ,AK$1,0)*15,0),IFERROR(VLOOKUP($D:$D,Structure!$A:$AJ,AK$1,0)*15,0),IFERROR(VLOOKUP($E:$E,Structure!$A:$AJ,AK$1,0)*15,0))</f>
        <v>0</v>
      </c>
      <c r="AL136" s="13">
        <f>SUM(IFERROR(VLOOKUP($C:$C,Structure!$A:$AJ,AL$1,0)*15,0),IFERROR(VLOOKUP($D:$D,Structure!$A:$AJ,AL$1,0)*15,0),IFERROR(VLOOKUP($E:$E,Structure!$A:$AJ,AL$1,0)*15,0))</f>
        <v>0</v>
      </c>
      <c r="AM136" s="13">
        <f>SUM(IFERROR(VLOOKUP($C:$C,Structure!$A:$AJ,AM$1,0)*15,0),IFERROR(VLOOKUP($D:$D,Structure!$A:$AJ,AM$1,0)*15,0),IFERROR(VLOOKUP($E:$E,Structure!$A:$AJ,AM$1,0)*15,0))</f>
        <v>0</v>
      </c>
      <c r="AN136" s="13">
        <f>SUM(IFERROR(VLOOKUP($C:$C,Structure!$A:$AJ,AN$1,0)*15,0),IFERROR(VLOOKUP($D:$D,Structure!$A:$AJ,AN$1,0)*15,0),IFERROR(VLOOKUP($E:$E,Structure!$A:$AJ,AN$1,0)*15,0))</f>
        <v>0</v>
      </c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3"/>
      <c r="BZ136" s="4">
        <f>BZ135+AQ136-F136</f>
        <v>0</v>
      </c>
      <c r="CA136" s="4">
        <f>CA135+AR136-G136</f>
        <v>0</v>
      </c>
      <c r="CB136" s="4">
        <f>CB135+AS136-H136</f>
        <v>0</v>
      </c>
      <c r="CC136" s="4">
        <f>CC135+AT136-I136</f>
        <v>0</v>
      </c>
      <c r="CD136" s="4">
        <f>CD135+AU136-J136</f>
        <v>0</v>
      </c>
      <c r="CE136" s="4">
        <f>CE135+AV136-K136</f>
        <v>0</v>
      </c>
      <c r="CF136" s="4">
        <f>CF135+AW136-L136</f>
        <v>0</v>
      </c>
      <c r="CG136" s="4">
        <f>CG135+AX136-M136</f>
        <v>0</v>
      </c>
      <c r="CH136" s="4">
        <f>CH135+AY136-N136</f>
        <v>0</v>
      </c>
      <c r="CI136" s="4">
        <f>CI135+AZ136-O136</f>
        <v>0</v>
      </c>
      <c r="CJ136" s="4">
        <f>CJ135+BA136-P136</f>
        <v>0</v>
      </c>
      <c r="CK136" s="4">
        <f>CK135+BB136-Q136</f>
        <v>0</v>
      </c>
      <c r="CL136" s="4">
        <f>CL135+BC136-R136</f>
        <v>0</v>
      </c>
      <c r="CM136" s="4">
        <f>CM135+BD136-S136</f>
        <v>0</v>
      </c>
      <c r="CN136" s="4">
        <f>CN135+BE136-T136</f>
        <v>0</v>
      </c>
      <c r="CO136" s="4">
        <f>CO135+BF136-U136</f>
        <v>0</v>
      </c>
      <c r="CP136" s="4">
        <f>CP135+BG136-V136</f>
        <v>-60</v>
      </c>
      <c r="CQ136" s="4">
        <f>CQ135+BH136-W136</f>
        <v>0</v>
      </c>
      <c r="CR136" s="4">
        <f>CR135+BI136-X136</f>
        <v>-60</v>
      </c>
      <c r="CS136" s="4">
        <f>CS135+BJ136-Y136</f>
        <v>0</v>
      </c>
      <c r="CT136" s="4">
        <f>CT135+BK136-Z136</f>
        <v>0</v>
      </c>
      <c r="CU136" s="4">
        <f>CU135+BL136-AA136</f>
        <v>-5315</v>
      </c>
      <c r="CV136" s="4">
        <f>CV135+BM136-AB136</f>
        <v>-240</v>
      </c>
      <c r="CW136" s="4">
        <f>CW135+BN136-AC136</f>
        <v>-255</v>
      </c>
      <c r="CX136" s="4">
        <f>CX135+BO136-AD136</f>
        <v>0</v>
      </c>
      <c r="CY136" s="4">
        <f>CY135+BP136-AE136</f>
        <v>-60</v>
      </c>
      <c r="CZ136" s="4">
        <f>CZ135+BQ136-AF136</f>
        <v>-160</v>
      </c>
      <c r="DA136" s="4">
        <f>DA135+BR136-AG136</f>
        <v>0</v>
      </c>
      <c r="DB136" s="4">
        <f>DB135+BS136-AH136</f>
        <v>-60</v>
      </c>
      <c r="DC136" s="4">
        <f>DC135+BT136-AI136</f>
        <v>0</v>
      </c>
      <c r="DD136" s="4">
        <f>DD135+BU136-AJ136</f>
        <v>-4060</v>
      </c>
      <c r="DE136" s="4">
        <f>DE135+BV136-AK136</f>
        <v>-1275</v>
      </c>
      <c r="DF136" s="4">
        <f>DF135+BW136-AL136</f>
        <v>0</v>
      </c>
      <c r="DG136" s="4">
        <f>DG135+BX136-AM136</f>
        <v>-235</v>
      </c>
      <c r="DH136" s="4">
        <f>DH135+BY136-AN136</f>
        <v>0</v>
      </c>
    </row>
    <row r="137" spans="1:112" x14ac:dyDescent="0.25">
      <c r="A137" s="6">
        <v>46184</v>
      </c>
      <c r="B137" s="7">
        <v>0.91666666634409921</v>
      </c>
      <c r="C137" s="3" t="s">
        <v>2</v>
      </c>
      <c r="D137" s="3" t="s">
        <v>6</v>
      </c>
      <c r="E137" s="3" t="s">
        <v>2</v>
      </c>
      <c r="F137" s="13">
        <f>SUM(IFERROR(VLOOKUP($C:$C,Structure!$A:$AJ,F$1,0)*15,0),IFERROR(VLOOKUP($D:$D,Structure!$A:$AJ,F$1,0)*15,0),IFERROR(VLOOKUP($E:$E,Structure!$A:$AJ,F$1,0)*15,0))</f>
        <v>0</v>
      </c>
      <c r="G137" s="13">
        <f>SUM(IFERROR(VLOOKUP($C:$C,Structure!$A:$AJ,G$1,0)*15,0),IFERROR(VLOOKUP($D:$D,Structure!$A:$AJ,G$1,0)*15,0),IFERROR(VLOOKUP($E:$E,Structure!$A:$AJ,G$1,0)*15,0))</f>
        <v>0</v>
      </c>
      <c r="H137" s="13">
        <f>SUM(IFERROR(VLOOKUP($C:$C,Structure!$A:$AJ,H$1,0)*15,0),IFERROR(VLOOKUP($D:$D,Structure!$A:$AJ,H$1,0)*15,0),IFERROR(VLOOKUP($E:$E,Structure!$A:$AJ,H$1,0)*15,0))</f>
        <v>0</v>
      </c>
      <c r="I137" s="13">
        <f>SUM(IFERROR(VLOOKUP($C:$C,Structure!$A:$AJ,I$1,0)*15,0),IFERROR(VLOOKUP($D:$D,Structure!$A:$AJ,I$1,0)*15,0),IFERROR(VLOOKUP($E:$E,Structure!$A:$AJ,I$1,0)*15,0))</f>
        <v>0</v>
      </c>
      <c r="J137" s="13">
        <f>SUM(IFERROR(VLOOKUP($C:$C,Structure!$A:$AJ,J$1,0)*15,0),IFERROR(VLOOKUP($D:$D,Structure!$A:$AJ,J$1,0)*15,0),IFERROR(VLOOKUP($E:$E,Structure!$A:$AJ,J$1,0)*15,0))</f>
        <v>0</v>
      </c>
      <c r="K137" s="13">
        <f>SUM(IFERROR(VLOOKUP($C:$C,Structure!$A:$AJ,K$1,0)*15,0),IFERROR(VLOOKUP($D:$D,Structure!$A:$AJ,K$1,0)*15,0),IFERROR(VLOOKUP($E:$E,Structure!$A:$AJ,K$1,0)*15,0))</f>
        <v>0</v>
      </c>
      <c r="L137" s="13">
        <f>SUM(IFERROR(VLOOKUP($C:$C,Structure!$A:$AJ,L$1,0)*15,0),IFERROR(VLOOKUP($D:$D,Structure!$A:$AJ,L$1,0)*15,0),IFERROR(VLOOKUP($E:$E,Structure!$A:$AJ,L$1,0)*15,0))</f>
        <v>0</v>
      </c>
      <c r="M137" s="13">
        <f>SUM(IFERROR(VLOOKUP($C:$C,Structure!$A:$AJ,M$1,0)*15,0),IFERROR(VLOOKUP($D:$D,Structure!$A:$AJ,M$1,0)*15,0),IFERROR(VLOOKUP($E:$E,Structure!$A:$AJ,M$1,0)*15,0))</f>
        <v>0</v>
      </c>
      <c r="N137" s="13">
        <f>SUM(IFERROR(VLOOKUP($C:$C,Structure!$A:$AJ,N$1,0)*15,0),IFERROR(VLOOKUP($D:$D,Structure!$A:$AJ,N$1,0)*15,0),IFERROR(VLOOKUP($E:$E,Structure!$A:$AJ,N$1,0)*15,0))</f>
        <v>0</v>
      </c>
      <c r="O137" s="13">
        <f>SUM(IFERROR(VLOOKUP($C:$C,Structure!$A:$AJ,O$1,0)*15,0),IFERROR(VLOOKUP($D:$D,Structure!$A:$AJ,O$1,0)*15,0),IFERROR(VLOOKUP($E:$E,Structure!$A:$AJ,O$1,0)*15,0))</f>
        <v>0</v>
      </c>
      <c r="P137" s="13">
        <f>SUM(IFERROR(VLOOKUP($C:$C,Structure!$A:$AJ,P$1,0)*15,0),IFERROR(VLOOKUP($D:$D,Structure!$A:$AJ,P$1,0)*15,0),IFERROR(VLOOKUP($E:$E,Structure!$A:$AJ,P$1,0)*15,0))</f>
        <v>0</v>
      </c>
      <c r="Q137" s="13">
        <f>SUM(IFERROR(VLOOKUP($C:$C,Structure!$A:$AJ,Q$1,0)*15,0),IFERROR(VLOOKUP($D:$D,Structure!$A:$AJ,Q$1,0)*15,0),IFERROR(VLOOKUP($E:$E,Structure!$A:$AJ,Q$1,0)*15,0))</f>
        <v>0</v>
      </c>
      <c r="R137" s="13">
        <f>SUM(IFERROR(VLOOKUP($C:$C,Structure!$A:$AJ,R$1,0)*15,0),IFERROR(VLOOKUP($D:$D,Structure!$A:$AJ,R$1,0)*15,0),IFERROR(VLOOKUP($E:$E,Structure!$A:$AJ,R$1,0)*15,0))</f>
        <v>0</v>
      </c>
      <c r="S137" s="13">
        <f>SUM(IFERROR(VLOOKUP($C:$C,Structure!$A:$AJ,S$1,0)*15,0),IFERROR(VLOOKUP($D:$D,Structure!$A:$AJ,S$1,0)*15,0),IFERROR(VLOOKUP($E:$E,Structure!$A:$AJ,S$1,0)*15,0))</f>
        <v>0</v>
      </c>
      <c r="T137" s="13">
        <f>SUM(IFERROR(VLOOKUP($C:$C,Structure!$A:$AJ,T$1,0)*15,0),IFERROR(VLOOKUP($D:$D,Structure!$A:$AJ,T$1,0)*15,0),IFERROR(VLOOKUP($E:$E,Structure!$A:$AJ,T$1,0)*15,0))</f>
        <v>0</v>
      </c>
      <c r="U137" s="13">
        <f>SUM(IFERROR(VLOOKUP($C:$C,Structure!$A:$AJ,U$1,0)*15,0),IFERROR(VLOOKUP($D:$D,Structure!$A:$AJ,U$1,0)*15,0),IFERROR(VLOOKUP($E:$E,Structure!$A:$AJ,U$1,0)*15,0))</f>
        <v>0</v>
      </c>
      <c r="V137" s="13">
        <f>SUM(IFERROR(VLOOKUP($C:$C,Structure!$A:$AJ,V$1,0)*15,0),IFERROR(VLOOKUP($D:$D,Structure!$A:$AJ,V$1,0)*15,0),IFERROR(VLOOKUP($E:$E,Structure!$A:$AJ,V$1,0)*15,0))</f>
        <v>0</v>
      </c>
      <c r="W137" s="13">
        <f>SUM(IFERROR(VLOOKUP($C:$C,Structure!$A:$AJ,W$1,0)*15,0),IFERROR(VLOOKUP($D:$D,Structure!$A:$AJ,W$1,0)*15,0),IFERROR(VLOOKUP($E:$E,Structure!$A:$AJ,W$1,0)*15,0))</f>
        <v>0</v>
      </c>
      <c r="X137" s="13">
        <f>SUM(IFERROR(VLOOKUP($C:$C,Structure!$A:$AJ,X$1,0)*15,0),IFERROR(VLOOKUP($D:$D,Structure!$A:$AJ,X$1,0)*15,0),IFERROR(VLOOKUP($E:$E,Structure!$A:$AJ,X$1,0)*15,0))</f>
        <v>0</v>
      </c>
      <c r="Y137" s="13">
        <f>SUM(IFERROR(VLOOKUP($C:$C,Structure!$A:$AJ,Y$1,0)*15,0),IFERROR(VLOOKUP($D:$D,Structure!$A:$AJ,Y$1,0)*15,0),IFERROR(VLOOKUP($E:$E,Structure!$A:$AJ,Y$1,0)*15,0))</f>
        <v>0</v>
      </c>
      <c r="Z137" s="13">
        <f>SUM(IFERROR(VLOOKUP($C:$C,Structure!$A:$AJ,Z$1,0)*15,0),IFERROR(VLOOKUP($D:$D,Structure!$A:$AJ,Z$1,0)*15,0),IFERROR(VLOOKUP($E:$E,Structure!$A:$AJ,Z$1,0)*15,0))</f>
        <v>0</v>
      </c>
      <c r="AA137" s="13">
        <f>SUM(IFERROR(VLOOKUP($C:$C,Structure!$A:$AJ,AA$1,0)*15,0),IFERROR(VLOOKUP($D:$D,Structure!$A:$AJ,AA$1,0)*15,0),IFERROR(VLOOKUP($E:$E,Structure!$A:$AJ,AA$1,0)*15,0))</f>
        <v>45</v>
      </c>
      <c r="AB137" s="13">
        <f>SUM(IFERROR(VLOOKUP($C:$C,Structure!$A:$AJ,AB$1,0)*15,0),IFERROR(VLOOKUP($D:$D,Structure!$A:$AJ,AB$1,0)*15,0),IFERROR(VLOOKUP($E:$E,Structure!$A:$AJ,AB$1,0)*15,0))</f>
        <v>0</v>
      </c>
      <c r="AC137" s="13">
        <f>SUM(IFERROR(VLOOKUP($C:$C,Structure!$A:$AJ,AC$1,0)*15,0),IFERROR(VLOOKUP($D:$D,Structure!$A:$AJ,AC$1,0)*15,0),IFERROR(VLOOKUP($E:$E,Structure!$A:$AJ,AC$1,0)*15,0))</f>
        <v>0</v>
      </c>
      <c r="AD137" s="13">
        <f>SUM(IFERROR(VLOOKUP($C:$C,Structure!$A:$AJ,AD$1,0)*15,0),IFERROR(VLOOKUP($D:$D,Structure!$A:$AJ,AD$1,0)*15,0),IFERROR(VLOOKUP($E:$E,Structure!$A:$AJ,AD$1,0)*15,0))</f>
        <v>0</v>
      </c>
      <c r="AE137" s="13">
        <f>SUM(IFERROR(VLOOKUP($C:$C,Structure!$A:$AJ,AE$1,0)*15,0),IFERROR(VLOOKUP($D:$D,Structure!$A:$AJ,AE$1,0)*15,0),IFERROR(VLOOKUP($E:$E,Structure!$A:$AJ,AE$1,0)*15,0))</f>
        <v>0</v>
      </c>
      <c r="AF137" s="13">
        <f>SUM(IFERROR(VLOOKUP($C:$C,Structure!$A:$AJ,AF$1,0)*15,0),IFERROR(VLOOKUP($D:$D,Structure!$A:$AJ,AF$1,0)*15,0),IFERROR(VLOOKUP($E:$E,Structure!$A:$AJ,AF$1,0)*15,0))</f>
        <v>0</v>
      </c>
      <c r="AG137" s="13">
        <f>SUM(IFERROR(VLOOKUP($C:$C,Structure!$A:$AJ,AG$1,0)*15,0),IFERROR(VLOOKUP($D:$D,Structure!$A:$AJ,AG$1,0)*15,0),IFERROR(VLOOKUP($E:$E,Structure!$A:$AJ,AG$1,0)*15,0))</f>
        <v>0</v>
      </c>
      <c r="AH137" s="13">
        <f>SUM(IFERROR(VLOOKUP($C:$C,Structure!$A:$AJ,AH$1,0)*15,0),IFERROR(VLOOKUP($D:$D,Structure!$A:$AJ,AH$1,0)*15,0),IFERROR(VLOOKUP($E:$E,Structure!$A:$AJ,AH$1,0)*15,0))</f>
        <v>0</v>
      </c>
      <c r="AI137" s="13">
        <f>SUM(IFERROR(VLOOKUP($C:$C,Structure!$A:$AJ,AI$1,0)*15,0),IFERROR(VLOOKUP($D:$D,Structure!$A:$AJ,AI$1,0)*15,0),IFERROR(VLOOKUP($E:$E,Structure!$A:$AJ,AI$1,0)*15,0))</f>
        <v>0</v>
      </c>
      <c r="AJ137" s="13">
        <f>SUM(IFERROR(VLOOKUP($C:$C,Structure!$A:$AJ,AJ$1,0)*15,0),IFERROR(VLOOKUP($D:$D,Structure!$A:$AJ,AJ$1,0)*15,0),IFERROR(VLOOKUP($E:$E,Structure!$A:$AJ,AJ$1,0)*15,0))</f>
        <v>45</v>
      </c>
      <c r="AK137" s="13">
        <f>SUM(IFERROR(VLOOKUP($C:$C,Structure!$A:$AJ,AK$1,0)*15,0),IFERROR(VLOOKUP($D:$D,Structure!$A:$AJ,AK$1,0)*15,0),IFERROR(VLOOKUP($E:$E,Structure!$A:$AJ,AK$1,0)*15,0))</f>
        <v>0</v>
      </c>
      <c r="AL137" s="13">
        <f>SUM(IFERROR(VLOOKUP($C:$C,Structure!$A:$AJ,AL$1,0)*15,0),IFERROR(VLOOKUP($D:$D,Structure!$A:$AJ,AL$1,0)*15,0),IFERROR(VLOOKUP($E:$E,Structure!$A:$AJ,AL$1,0)*15,0))</f>
        <v>0</v>
      </c>
      <c r="AM137" s="13">
        <f>SUM(IFERROR(VLOOKUP($C:$C,Structure!$A:$AJ,AM$1,0)*15,0),IFERROR(VLOOKUP($D:$D,Structure!$A:$AJ,AM$1,0)*15,0),IFERROR(VLOOKUP($E:$E,Structure!$A:$AJ,AM$1,0)*15,0))</f>
        <v>0</v>
      </c>
      <c r="AN137" s="13">
        <f>SUM(IFERROR(VLOOKUP($C:$C,Structure!$A:$AJ,AN$1,0)*15,0),IFERROR(VLOOKUP($D:$D,Structure!$A:$AJ,AN$1,0)*15,0),IFERROR(VLOOKUP($E:$E,Structure!$A:$AJ,AN$1,0)*15,0))</f>
        <v>0</v>
      </c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3"/>
      <c r="BZ137" s="4">
        <f>BZ136+AQ137-F137</f>
        <v>0</v>
      </c>
      <c r="CA137" s="4">
        <f>CA136+AR137-G137</f>
        <v>0</v>
      </c>
      <c r="CB137" s="4">
        <f>CB136+AS137-H137</f>
        <v>0</v>
      </c>
      <c r="CC137" s="4">
        <f>CC136+AT137-I137</f>
        <v>0</v>
      </c>
      <c r="CD137" s="4">
        <f>CD136+AU137-J137</f>
        <v>0</v>
      </c>
      <c r="CE137" s="4">
        <f>CE136+AV137-K137</f>
        <v>0</v>
      </c>
      <c r="CF137" s="4">
        <f>CF136+AW137-L137</f>
        <v>0</v>
      </c>
      <c r="CG137" s="4">
        <f>CG136+AX137-M137</f>
        <v>0</v>
      </c>
      <c r="CH137" s="4">
        <f>CH136+AY137-N137</f>
        <v>0</v>
      </c>
      <c r="CI137" s="4">
        <f>CI136+AZ137-O137</f>
        <v>0</v>
      </c>
      <c r="CJ137" s="4">
        <f>CJ136+BA137-P137</f>
        <v>0</v>
      </c>
      <c r="CK137" s="4">
        <f>CK136+BB137-Q137</f>
        <v>0</v>
      </c>
      <c r="CL137" s="4">
        <f>CL136+BC137-R137</f>
        <v>0</v>
      </c>
      <c r="CM137" s="4">
        <f>CM136+BD137-S137</f>
        <v>0</v>
      </c>
      <c r="CN137" s="4">
        <f>CN136+BE137-T137</f>
        <v>0</v>
      </c>
      <c r="CO137" s="4">
        <f>CO136+BF137-U137</f>
        <v>0</v>
      </c>
      <c r="CP137" s="4">
        <f>CP136+BG137-V137</f>
        <v>-60</v>
      </c>
      <c r="CQ137" s="4">
        <f>CQ136+BH137-W137</f>
        <v>0</v>
      </c>
      <c r="CR137" s="4">
        <f>CR136+BI137-X137</f>
        <v>-60</v>
      </c>
      <c r="CS137" s="4">
        <f>CS136+BJ137-Y137</f>
        <v>0</v>
      </c>
      <c r="CT137" s="4">
        <f>CT136+BK137-Z137</f>
        <v>0</v>
      </c>
      <c r="CU137" s="4">
        <f>CU136+BL137-AA137</f>
        <v>-5360</v>
      </c>
      <c r="CV137" s="4">
        <f>CV136+BM137-AB137</f>
        <v>-240</v>
      </c>
      <c r="CW137" s="4">
        <f>CW136+BN137-AC137</f>
        <v>-255</v>
      </c>
      <c r="CX137" s="4">
        <f>CX136+BO137-AD137</f>
        <v>0</v>
      </c>
      <c r="CY137" s="4">
        <f>CY136+BP137-AE137</f>
        <v>-60</v>
      </c>
      <c r="CZ137" s="4">
        <f>CZ136+BQ137-AF137</f>
        <v>-160</v>
      </c>
      <c r="DA137" s="4">
        <f>DA136+BR137-AG137</f>
        <v>0</v>
      </c>
      <c r="DB137" s="4">
        <f>DB136+BS137-AH137</f>
        <v>-60</v>
      </c>
      <c r="DC137" s="4">
        <f>DC136+BT137-AI137</f>
        <v>0</v>
      </c>
      <c r="DD137" s="4">
        <f>DD136+BU137-AJ137</f>
        <v>-4105</v>
      </c>
      <c r="DE137" s="4">
        <f>DE136+BV137-AK137</f>
        <v>-1275</v>
      </c>
      <c r="DF137" s="4">
        <f>DF136+BW137-AL137</f>
        <v>0</v>
      </c>
      <c r="DG137" s="4">
        <f>DG136+BX137-AM137</f>
        <v>-235</v>
      </c>
      <c r="DH137" s="4">
        <f>DH136+BY137-AN137</f>
        <v>0</v>
      </c>
    </row>
    <row r="138" spans="1:112" x14ac:dyDescent="0.25">
      <c r="A138" s="6">
        <v>46184</v>
      </c>
      <c r="B138" s="7">
        <v>0.95833333300834056</v>
      </c>
      <c r="C138" s="3" t="s">
        <v>2</v>
      </c>
      <c r="D138" s="3" t="s">
        <v>6</v>
      </c>
      <c r="E138" s="3" t="s">
        <v>2</v>
      </c>
      <c r="F138" s="13">
        <f>SUM(IFERROR(VLOOKUP($C:$C,Structure!$A:$AJ,F$1,0)*15,0),IFERROR(VLOOKUP($D:$D,Structure!$A:$AJ,F$1,0)*15,0),IFERROR(VLOOKUP($E:$E,Structure!$A:$AJ,F$1,0)*15,0))</f>
        <v>0</v>
      </c>
      <c r="G138" s="13">
        <f>SUM(IFERROR(VLOOKUP($C:$C,Structure!$A:$AJ,G$1,0)*15,0),IFERROR(VLOOKUP($D:$D,Structure!$A:$AJ,G$1,0)*15,0),IFERROR(VLOOKUP($E:$E,Structure!$A:$AJ,G$1,0)*15,0))</f>
        <v>0</v>
      </c>
      <c r="H138" s="13">
        <f>SUM(IFERROR(VLOOKUP($C:$C,Structure!$A:$AJ,H$1,0)*15,0),IFERROR(VLOOKUP($D:$D,Structure!$A:$AJ,H$1,0)*15,0),IFERROR(VLOOKUP($E:$E,Structure!$A:$AJ,H$1,0)*15,0))</f>
        <v>0</v>
      </c>
      <c r="I138" s="13">
        <f>SUM(IFERROR(VLOOKUP($C:$C,Structure!$A:$AJ,I$1,0)*15,0),IFERROR(VLOOKUP($D:$D,Structure!$A:$AJ,I$1,0)*15,0),IFERROR(VLOOKUP($E:$E,Structure!$A:$AJ,I$1,0)*15,0))</f>
        <v>0</v>
      </c>
      <c r="J138" s="13">
        <f>SUM(IFERROR(VLOOKUP($C:$C,Structure!$A:$AJ,J$1,0)*15,0),IFERROR(VLOOKUP($D:$D,Structure!$A:$AJ,J$1,0)*15,0),IFERROR(VLOOKUP($E:$E,Structure!$A:$AJ,J$1,0)*15,0))</f>
        <v>0</v>
      </c>
      <c r="K138" s="13">
        <f>SUM(IFERROR(VLOOKUP($C:$C,Structure!$A:$AJ,K$1,0)*15,0),IFERROR(VLOOKUP($D:$D,Structure!$A:$AJ,K$1,0)*15,0),IFERROR(VLOOKUP($E:$E,Structure!$A:$AJ,K$1,0)*15,0))</f>
        <v>0</v>
      </c>
      <c r="L138" s="13">
        <f>SUM(IFERROR(VLOOKUP($C:$C,Structure!$A:$AJ,L$1,0)*15,0),IFERROR(VLOOKUP($D:$D,Structure!$A:$AJ,L$1,0)*15,0),IFERROR(VLOOKUP($E:$E,Structure!$A:$AJ,L$1,0)*15,0))</f>
        <v>0</v>
      </c>
      <c r="M138" s="13">
        <f>SUM(IFERROR(VLOOKUP($C:$C,Structure!$A:$AJ,M$1,0)*15,0),IFERROR(VLOOKUP($D:$D,Structure!$A:$AJ,M$1,0)*15,0),IFERROR(VLOOKUP($E:$E,Structure!$A:$AJ,M$1,0)*15,0))</f>
        <v>0</v>
      </c>
      <c r="N138" s="13">
        <f>SUM(IFERROR(VLOOKUP($C:$C,Structure!$A:$AJ,N$1,0)*15,0),IFERROR(VLOOKUP($D:$D,Structure!$A:$AJ,N$1,0)*15,0),IFERROR(VLOOKUP($E:$E,Structure!$A:$AJ,N$1,0)*15,0))</f>
        <v>0</v>
      </c>
      <c r="O138" s="13">
        <f>SUM(IFERROR(VLOOKUP($C:$C,Structure!$A:$AJ,O$1,0)*15,0),IFERROR(VLOOKUP($D:$D,Structure!$A:$AJ,O$1,0)*15,0),IFERROR(VLOOKUP($E:$E,Structure!$A:$AJ,O$1,0)*15,0))</f>
        <v>0</v>
      </c>
      <c r="P138" s="13">
        <f>SUM(IFERROR(VLOOKUP($C:$C,Structure!$A:$AJ,P$1,0)*15,0),IFERROR(VLOOKUP($D:$D,Structure!$A:$AJ,P$1,0)*15,0),IFERROR(VLOOKUP($E:$E,Structure!$A:$AJ,P$1,0)*15,0))</f>
        <v>0</v>
      </c>
      <c r="Q138" s="13">
        <f>SUM(IFERROR(VLOOKUP($C:$C,Structure!$A:$AJ,Q$1,0)*15,0),IFERROR(VLOOKUP($D:$D,Structure!$A:$AJ,Q$1,0)*15,0),IFERROR(VLOOKUP($E:$E,Structure!$A:$AJ,Q$1,0)*15,0))</f>
        <v>0</v>
      </c>
      <c r="R138" s="13">
        <f>SUM(IFERROR(VLOOKUP($C:$C,Structure!$A:$AJ,R$1,0)*15,0),IFERROR(VLOOKUP($D:$D,Structure!$A:$AJ,R$1,0)*15,0),IFERROR(VLOOKUP($E:$E,Structure!$A:$AJ,R$1,0)*15,0))</f>
        <v>0</v>
      </c>
      <c r="S138" s="13">
        <f>SUM(IFERROR(VLOOKUP($C:$C,Structure!$A:$AJ,S$1,0)*15,0),IFERROR(VLOOKUP($D:$D,Structure!$A:$AJ,S$1,0)*15,0),IFERROR(VLOOKUP($E:$E,Structure!$A:$AJ,S$1,0)*15,0))</f>
        <v>0</v>
      </c>
      <c r="T138" s="13">
        <f>SUM(IFERROR(VLOOKUP($C:$C,Structure!$A:$AJ,T$1,0)*15,0),IFERROR(VLOOKUP($D:$D,Structure!$A:$AJ,T$1,0)*15,0),IFERROR(VLOOKUP($E:$E,Structure!$A:$AJ,T$1,0)*15,0))</f>
        <v>0</v>
      </c>
      <c r="U138" s="13">
        <f>SUM(IFERROR(VLOOKUP($C:$C,Structure!$A:$AJ,U$1,0)*15,0),IFERROR(VLOOKUP($D:$D,Structure!$A:$AJ,U$1,0)*15,0),IFERROR(VLOOKUP($E:$E,Structure!$A:$AJ,U$1,0)*15,0))</f>
        <v>0</v>
      </c>
      <c r="V138" s="13">
        <f>SUM(IFERROR(VLOOKUP($C:$C,Structure!$A:$AJ,V$1,0)*15,0),IFERROR(VLOOKUP($D:$D,Structure!$A:$AJ,V$1,0)*15,0),IFERROR(VLOOKUP($E:$E,Structure!$A:$AJ,V$1,0)*15,0))</f>
        <v>0</v>
      </c>
      <c r="W138" s="13">
        <f>SUM(IFERROR(VLOOKUP($C:$C,Structure!$A:$AJ,W$1,0)*15,0),IFERROR(VLOOKUP($D:$D,Structure!$A:$AJ,W$1,0)*15,0),IFERROR(VLOOKUP($E:$E,Structure!$A:$AJ,W$1,0)*15,0))</f>
        <v>0</v>
      </c>
      <c r="X138" s="13">
        <f>SUM(IFERROR(VLOOKUP($C:$C,Structure!$A:$AJ,X$1,0)*15,0),IFERROR(VLOOKUP($D:$D,Structure!$A:$AJ,X$1,0)*15,0),IFERROR(VLOOKUP($E:$E,Structure!$A:$AJ,X$1,0)*15,0))</f>
        <v>0</v>
      </c>
      <c r="Y138" s="13">
        <f>SUM(IFERROR(VLOOKUP($C:$C,Structure!$A:$AJ,Y$1,0)*15,0),IFERROR(VLOOKUP($D:$D,Structure!$A:$AJ,Y$1,0)*15,0),IFERROR(VLOOKUP($E:$E,Structure!$A:$AJ,Y$1,0)*15,0))</f>
        <v>0</v>
      </c>
      <c r="Z138" s="13">
        <f>SUM(IFERROR(VLOOKUP($C:$C,Structure!$A:$AJ,Z$1,0)*15,0),IFERROR(VLOOKUP($D:$D,Structure!$A:$AJ,Z$1,0)*15,0),IFERROR(VLOOKUP($E:$E,Structure!$A:$AJ,Z$1,0)*15,0))</f>
        <v>0</v>
      </c>
      <c r="AA138" s="13">
        <f>SUM(IFERROR(VLOOKUP($C:$C,Structure!$A:$AJ,AA$1,0)*15,0),IFERROR(VLOOKUP($D:$D,Structure!$A:$AJ,AA$1,0)*15,0),IFERROR(VLOOKUP($E:$E,Structure!$A:$AJ,AA$1,0)*15,0))</f>
        <v>45</v>
      </c>
      <c r="AB138" s="13">
        <f>SUM(IFERROR(VLOOKUP($C:$C,Structure!$A:$AJ,AB$1,0)*15,0),IFERROR(VLOOKUP($D:$D,Structure!$A:$AJ,AB$1,0)*15,0),IFERROR(VLOOKUP($E:$E,Structure!$A:$AJ,AB$1,0)*15,0))</f>
        <v>0</v>
      </c>
      <c r="AC138" s="13">
        <f>SUM(IFERROR(VLOOKUP($C:$C,Structure!$A:$AJ,AC$1,0)*15,0),IFERROR(VLOOKUP($D:$D,Structure!$A:$AJ,AC$1,0)*15,0),IFERROR(VLOOKUP($E:$E,Structure!$A:$AJ,AC$1,0)*15,0))</f>
        <v>0</v>
      </c>
      <c r="AD138" s="13">
        <f>SUM(IFERROR(VLOOKUP($C:$C,Structure!$A:$AJ,AD$1,0)*15,0),IFERROR(VLOOKUP($D:$D,Structure!$A:$AJ,AD$1,0)*15,0),IFERROR(VLOOKUP($E:$E,Structure!$A:$AJ,AD$1,0)*15,0))</f>
        <v>0</v>
      </c>
      <c r="AE138" s="13">
        <f>SUM(IFERROR(VLOOKUP($C:$C,Structure!$A:$AJ,AE$1,0)*15,0),IFERROR(VLOOKUP($D:$D,Structure!$A:$AJ,AE$1,0)*15,0),IFERROR(VLOOKUP($E:$E,Structure!$A:$AJ,AE$1,0)*15,0))</f>
        <v>0</v>
      </c>
      <c r="AF138" s="13">
        <f>SUM(IFERROR(VLOOKUP($C:$C,Structure!$A:$AJ,AF$1,0)*15,0),IFERROR(VLOOKUP($D:$D,Structure!$A:$AJ,AF$1,0)*15,0),IFERROR(VLOOKUP($E:$E,Structure!$A:$AJ,AF$1,0)*15,0))</f>
        <v>0</v>
      </c>
      <c r="AG138" s="13">
        <f>SUM(IFERROR(VLOOKUP($C:$C,Structure!$A:$AJ,AG$1,0)*15,0),IFERROR(VLOOKUP($D:$D,Structure!$A:$AJ,AG$1,0)*15,0),IFERROR(VLOOKUP($E:$E,Structure!$A:$AJ,AG$1,0)*15,0))</f>
        <v>0</v>
      </c>
      <c r="AH138" s="13">
        <f>SUM(IFERROR(VLOOKUP($C:$C,Structure!$A:$AJ,AH$1,0)*15,0),IFERROR(VLOOKUP($D:$D,Structure!$A:$AJ,AH$1,0)*15,0),IFERROR(VLOOKUP($E:$E,Structure!$A:$AJ,AH$1,0)*15,0))</f>
        <v>0</v>
      </c>
      <c r="AI138" s="13">
        <f>SUM(IFERROR(VLOOKUP($C:$C,Structure!$A:$AJ,AI$1,0)*15,0),IFERROR(VLOOKUP($D:$D,Structure!$A:$AJ,AI$1,0)*15,0),IFERROR(VLOOKUP($E:$E,Structure!$A:$AJ,AI$1,0)*15,0))</f>
        <v>0</v>
      </c>
      <c r="AJ138" s="13">
        <f>SUM(IFERROR(VLOOKUP($C:$C,Structure!$A:$AJ,AJ$1,0)*15,0),IFERROR(VLOOKUP($D:$D,Structure!$A:$AJ,AJ$1,0)*15,0),IFERROR(VLOOKUP($E:$E,Structure!$A:$AJ,AJ$1,0)*15,0))</f>
        <v>45</v>
      </c>
      <c r="AK138" s="13">
        <f>SUM(IFERROR(VLOOKUP($C:$C,Structure!$A:$AJ,AK$1,0)*15,0),IFERROR(VLOOKUP($D:$D,Structure!$A:$AJ,AK$1,0)*15,0),IFERROR(VLOOKUP($E:$E,Structure!$A:$AJ,AK$1,0)*15,0))</f>
        <v>0</v>
      </c>
      <c r="AL138" s="13">
        <f>SUM(IFERROR(VLOOKUP($C:$C,Structure!$A:$AJ,AL$1,0)*15,0),IFERROR(VLOOKUP($D:$D,Structure!$A:$AJ,AL$1,0)*15,0),IFERROR(VLOOKUP($E:$E,Structure!$A:$AJ,AL$1,0)*15,0))</f>
        <v>0</v>
      </c>
      <c r="AM138" s="13">
        <f>SUM(IFERROR(VLOOKUP($C:$C,Structure!$A:$AJ,AM$1,0)*15,0),IFERROR(VLOOKUP($D:$D,Structure!$A:$AJ,AM$1,0)*15,0),IFERROR(VLOOKUP($E:$E,Structure!$A:$AJ,AM$1,0)*15,0))</f>
        <v>0</v>
      </c>
      <c r="AN138" s="13">
        <f>SUM(IFERROR(VLOOKUP($C:$C,Structure!$A:$AJ,AN$1,0)*15,0),IFERROR(VLOOKUP($D:$D,Structure!$A:$AJ,AN$1,0)*15,0),IFERROR(VLOOKUP($E:$E,Structure!$A:$AJ,AN$1,0)*15,0))</f>
        <v>0</v>
      </c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3"/>
      <c r="BZ138" s="4">
        <f>BZ137+AQ138-F138</f>
        <v>0</v>
      </c>
      <c r="CA138" s="4">
        <f>CA137+AR138-G138</f>
        <v>0</v>
      </c>
      <c r="CB138" s="4">
        <f>CB137+AS138-H138</f>
        <v>0</v>
      </c>
      <c r="CC138" s="4">
        <f>CC137+AT138-I138</f>
        <v>0</v>
      </c>
      <c r="CD138" s="4">
        <f>CD137+AU138-J138</f>
        <v>0</v>
      </c>
      <c r="CE138" s="4">
        <f>CE137+AV138-K138</f>
        <v>0</v>
      </c>
      <c r="CF138" s="4">
        <f>CF137+AW138-L138</f>
        <v>0</v>
      </c>
      <c r="CG138" s="4">
        <f>CG137+AX138-M138</f>
        <v>0</v>
      </c>
      <c r="CH138" s="4">
        <f>CH137+AY138-N138</f>
        <v>0</v>
      </c>
      <c r="CI138" s="4">
        <f>CI137+AZ138-O138</f>
        <v>0</v>
      </c>
      <c r="CJ138" s="4">
        <f>CJ137+BA138-P138</f>
        <v>0</v>
      </c>
      <c r="CK138" s="4">
        <f>CK137+BB138-Q138</f>
        <v>0</v>
      </c>
      <c r="CL138" s="4">
        <f>CL137+BC138-R138</f>
        <v>0</v>
      </c>
      <c r="CM138" s="4">
        <f>CM137+BD138-S138</f>
        <v>0</v>
      </c>
      <c r="CN138" s="4">
        <f>CN137+BE138-T138</f>
        <v>0</v>
      </c>
      <c r="CO138" s="4">
        <f>CO137+BF138-U138</f>
        <v>0</v>
      </c>
      <c r="CP138" s="4">
        <f>CP137+BG138-V138</f>
        <v>-60</v>
      </c>
      <c r="CQ138" s="4">
        <f>CQ137+BH138-W138</f>
        <v>0</v>
      </c>
      <c r="CR138" s="4">
        <f>CR137+BI138-X138</f>
        <v>-60</v>
      </c>
      <c r="CS138" s="4">
        <f>CS137+BJ138-Y138</f>
        <v>0</v>
      </c>
      <c r="CT138" s="4">
        <f>CT137+BK138-Z138</f>
        <v>0</v>
      </c>
      <c r="CU138" s="4">
        <f>CU137+BL138-AA138</f>
        <v>-5405</v>
      </c>
      <c r="CV138" s="4">
        <f>CV137+BM138-AB138</f>
        <v>-240</v>
      </c>
      <c r="CW138" s="4">
        <f>CW137+BN138-AC138</f>
        <v>-255</v>
      </c>
      <c r="CX138" s="4">
        <f>CX137+BO138-AD138</f>
        <v>0</v>
      </c>
      <c r="CY138" s="4">
        <f>CY137+BP138-AE138</f>
        <v>-60</v>
      </c>
      <c r="CZ138" s="4">
        <f>CZ137+BQ138-AF138</f>
        <v>-160</v>
      </c>
      <c r="DA138" s="4">
        <f>DA137+BR138-AG138</f>
        <v>0</v>
      </c>
      <c r="DB138" s="4">
        <f>DB137+BS138-AH138</f>
        <v>-60</v>
      </c>
      <c r="DC138" s="4">
        <f>DC137+BT138-AI138</f>
        <v>0</v>
      </c>
      <c r="DD138" s="4">
        <f>DD137+BU138-AJ138</f>
        <v>-4150</v>
      </c>
      <c r="DE138" s="4">
        <f>DE137+BV138-AK138</f>
        <v>-1275</v>
      </c>
      <c r="DF138" s="4">
        <f>DF137+BW138-AL138</f>
        <v>0</v>
      </c>
      <c r="DG138" s="4">
        <f>DG137+BX138-AM138</f>
        <v>-235</v>
      </c>
      <c r="DH138" s="4">
        <f>DH137+BY138-AN138</f>
        <v>0</v>
      </c>
    </row>
    <row r="139" spans="1:112" x14ac:dyDescent="0.25">
      <c r="A139" s="6">
        <v>46184</v>
      </c>
      <c r="B139" s="7">
        <v>0.99999999967258191</v>
      </c>
      <c r="C139" s="3" t="s">
        <v>2</v>
      </c>
      <c r="D139" s="3" t="s">
        <v>6</v>
      </c>
      <c r="E139" s="3" t="s">
        <v>2</v>
      </c>
      <c r="F139" s="13">
        <f>SUM(IFERROR(VLOOKUP($C:$C,Structure!$A:$AJ,F$1,0)*15,0),IFERROR(VLOOKUP($D:$D,Structure!$A:$AJ,F$1,0)*15,0),IFERROR(VLOOKUP($E:$E,Structure!$A:$AJ,F$1,0)*15,0))</f>
        <v>0</v>
      </c>
      <c r="G139" s="13">
        <f>SUM(IFERROR(VLOOKUP($C:$C,Structure!$A:$AJ,G$1,0)*15,0),IFERROR(VLOOKUP($D:$D,Structure!$A:$AJ,G$1,0)*15,0),IFERROR(VLOOKUP($E:$E,Structure!$A:$AJ,G$1,0)*15,0))</f>
        <v>0</v>
      </c>
      <c r="H139" s="13">
        <f>SUM(IFERROR(VLOOKUP($C:$C,Structure!$A:$AJ,H$1,0)*15,0),IFERROR(VLOOKUP($D:$D,Structure!$A:$AJ,H$1,0)*15,0),IFERROR(VLOOKUP($E:$E,Structure!$A:$AJ,H$1,0)*15,0))</f>
        <v>0</v>
      </c>
      <c r="I139" s="13">
        <f>SUM(IFERROR(VLOOKUP($C:$C,Structure!$A:$AJ,I$1,0)*15,0),IFERROR(VLOOKUP($D:$D,Structure!$A:$AJ,I$1,0)*15,0),IFERROR(VLOOKUP($E:$E,Structure!$A:$AJ,I$1,0)*15,0))</f>
        <v>0</v>
      </c>
      <c r="J139" s="13">
        <f>SUM(IFERROR(VLOOKUP($C:$C,Structure!$A:$AJ,J$1,0)*15,0),IFERROR(VLOOKUP($D:$D,Structure!$A:$AJ,J$1,0)*15,0),IFERROR(VLOOKUP($E:$E,Structure!$A:$AJ,J$1,0)*15,0))</f>
        <v>0</v>
      </c>
      <c r="K139" s="13">
        <f>SUM(IFERROR(VLOOKUP($C:$C,Structure!$A:$AJ,K$1,0)*15,0),IFERROR(VLOOKUP($D:$D,Structure!$A:$AJ,K$1,0)*15,0),IFERROR(VLOOKUP($E:$E,Structure!$A:$AJ,K$1,0)*15,0))</f>
        <v>0</v>
      </c>
      <c r="L139" s="13">
        <f>SUM(IFERROR(VLOOKUP($C:$C,Structure!$A:$AJ,L$1,0)*15,0),IFERROR(VLOOKUP($D:$D,Structure!$A:$AJ,L$1,0)*15,0),IFERROR(VLOOKUP($E:$E,Structure!$A:$AJ,L$1,0)*15,0))</f>
        <v>0</v>
      </c>
      <c r="M139" s="13">
        <f>SUM(IFERROR(VLOOKUP($C:$C,Structure!$A:$AJ,M$1,0)*15,0),IFERROR(VLOOKUP($D:$D,Structure!$A:$AJ,M$1,0)*15,0),IFERROR(VLOOKUP($E:$E,Structure!$A:$AJ,M$1,0)*15,0))</f>
        <v>0</v>
      </c>
      <c r="N139" s="13">
        <f>SUM(IFERROR(VLOOKUP($C:$C,Structure!$A:$AJ,N$1,0)*15,0),IFERROR(VLOOKUP($D:$D,Structure!$A:$AJ,N$1,0)*15,0),IFERROR(VLOOKUP($E:$E,Structure!$A:$AJ,N$1,0)*15,0))</f>
        <v>0</v>
      </c>
      <c r="O139" s="13">
        <f>SUM(IFERROR(VLOOKUP($C:$C,Structure!$A:$AJ,O$1,0)*15,0),IFERROR(VLOOKUP($D:$D,Structure!$A:$AJ,O$1,0)*15,0),IFERROR(VLOOKUP($E:$E,Structure!$A:$AJ,O$1,0)*15,0))</f>
        <v>0</v>
      </c>
      <c r="P139" s="13">
        <f>SUM(IFERROR(VLOOKUP($C:$C,Structure!$A:$AJ,P$1,0)*15,0),IFERROR(VLOOKUP($D:$D,Structure!$A:$AJ,P$1,0)*15,0),IFERROR(VLOOKUP($E:$E,Structure!$A:$AJ,P$1,0)*15,0))</f>
        <v>0</v>
      </c>
      <c r="Q139" s="13">
        <f>SUM(IFERROR(VLOOKUP($C:$C,Structure!$A:$AJ,Q$1,0)*15,0),IFERROR(VLOOKUP($D:$D,Structure!$A:$AJ,Q$1,0)*15,0),IFERROR(VLOOKUP($E:$E,Structure!$A:$AJ,Q$1,0)*15,0))</f>
        <v>0</v>
      </c>
      <c r="R139" s="13">
        <f>SUM(IFERROR(VLOOKUP($C:$C,Structure!$A:$AJ,R$1,0)*15,0),IFERROR(VLOOKUP($D:$D,Structure!$A:$AJ,R$1,0)*15,0),IFERROR(VLOOKUP($E:$E,Structure!$A:$AJ,R$1,0)*15,0))</f>
        <v>0</v>
      </c>
      <c r="S139" s="13">
        <f>SUM(IFERROR(VLOOKUP($C:$C,Structure!$A:$AJ,S$1,0)*15,0),IFERROR(VLOOKUP($D:$D,Structure!$A:$AJ,S$1,0)*15,0),IFERROR(VLOOKUP($E:$E,Structure!$A:$AJ,S$1,0)*15,0))</f>
        <v>0</v>
      </c>
      <c r="T139" s="13">
        <f>SUM(IFERROR(VLOOKUP($C:$C,Structure!$A:$AJ,T$1,0)*15,0),IFERROR(VLOOKUP($D:$D,Structure!$A:$AJ,T$1,0)*15,0),IFERROR(VLOOKUP($E:$E,Structure!$A:$AJ,T$1,0)*15,0))</f>
        <v>0</v>
      </c>
      <c r="U139" s="13">
        <f>SUM(IFERROR(VLOOKUP($C:$C,Structure!$A:$AJ,U$1,0)*15,0),IFERROR(VLOOKUP($D:$D,Structure!$A:$AJ,U$1,0)*15,0),IFERROR(VLOOKUP($E:$E,Structure!$A:$AJ,U$1,0)*15,0))</f>
        <v>0</v>
      </c>
      <c r="V139" s="13">
        <f>SUM(IFERROR(VLOOKUP($C:$C,Structure!$A:$AJ,V$1,0)*15,0),IFERROR(VLOOKUP($D:$D,Structure!$A:$AJ,V$1,0)*15,0),IFERROR(VLOOKUP($E:$E,Structure!$A:$AJ,V$1,0)*15,0))</f>
        <v>0</v>
      </c>
      <c r="W139" s="13">
        <f>SUM(IFERROR(VLOOKUP($C:$C,Structure!$A:$AJ,W$1,0)*15,0),IFERROR(VLOOKUP($D:$D,Structure!$A:$AJ,W$1,0)*15,0),IFERROR(VLOOKUP($E:$E,Structure!$A:$AJ,W$1,0)*15,0))</f>
        <v>0</v>
      </c>
      <c r="X139" s="13">
        <f>SUM(IFERROR(VLOOKUP($C:$C,Structure!$A:$AJ,X$1,0)*15,0),IFERROR(VLOOKUP($D:$D,Structure!$A:$AJ,X$1,0)*15,0),IFERROR(VLOOKUP($E:$E,Structure!$A:$AJ,X$1,0)*15,0))</f>
        <v>0</v>
      </c>
      <c r="Y139" s="13">
        <f>SUM(IFERROR(VLOOKUP($C:$C,Structure!$A:$AJ,Y$1,0)*15,0),IFERROR(VLOOKUP($D:$D,Structure!$A:$AJ,Y$1,0)*15,0),IFERROR(VLOOKUP($E:$E,Structure!$A:$AJ,Y$1,0)*15,0))</f>
        <v>0</v>
      </c>
      <c r="Z139" s="13">
        <f>SUM(IFERROR(VLOOKUP($C:$C,Structure!$A:$AJ,Z$1,0)*15,0),IFERROR(VLOOKUP($D:$D,Structure!$A:$AJ,Z$1,0)*15,0),IFERROR(VLOOKUP($E:$E,Structure!$A:$AJ,Z$1,0)*15,0))</f>
        <v>0</v>
      </c>
      <c r="AA139" s="13">
        <f>SUM(IFERROR(VLOOKUP($C:$C,Structure!$A:$AJ,AA$1,0)*15,0),IFERROR(VLOOKUP($D:$D,Structure!$A:$AJ,AA$1,0)*15,0),IFERROR(VLOOKUP($E:$E,Structure!$A:$AJ,AA$1,0)*15,0))</f>
        <v>45</v>
      </c>
      <c r="AB139" s="13">
        <f>SUM(IFERROR(VLOOKUP($C:$C,Structure!$A:$AJ,AB$1,0)*15,0),IFERROR(VLOOKUP($D:$D,Structure!$A:$AJ,AB$1,0)*15,0),IFERROR(VLOOKUP($E:$E,Structure!$A:$AJ,AB$1,0)*15,0))</f>
        <v>0</v>
      </c>
      <c r="AC139" s="13">
        <f>SUM(IFERROR(VLOOKUP($C:$C,Structure!$A:$AJ,AC$1,0)*15,0),IFERROR(VLOOKUP($D:$D,Structure!$A:$AJ,AC$1,0)*15,0),IFERROR(VLOOKUP($E:$E,Structure!$A:$AJ,AC$1,0)*15,0))</f>
        <v>0</v>
      </c>
      <c r="AD139" s="13">
        <f>SUM(IFERROR(VLOOKUP($C:$C,Structure!$A:$AJ,AD$1,0)*15,0),IFERROR(VLOOKUP($D:$D,Structure!$A:$AJ,AD$1,0)*15,0),IFERROR(VLOOKUP($E:$E,Structure!$A:$AJ,AD$1,0)*15,0))</f>
        <v>0</v>
      </c>
      <c r="AE139" s="13">
        <f>SUM(IFERROR(VLOOKUP($C:$C,Structure!$A:$AJ,AE$1,0)*15,0),IFERROR(VLOOKUP($D:$D,Structure!$A:$AJ,AE$1,0)*15,0),IFERROR(VLOOKUP($E:$E,Structure!$A:$AJ,AE$1,0)*15,0))</f>
        <v>0</v>
      </c>
      <c r="AF139" s="13">
        <f>SUM(IFERROR(VLOOKUP($C:$C,Structure!$A:$AJ,AF$1,0)*15,0),IFERROR(VLOOKUP($D:$D,Structure!$A:$AJ,AF$1,0)*15,0),IFERROR(VLOOKUP($E:$E,Structure!$A:$AJ,AF$1,0)*15,0))</f>
        <v>0</v>
      </c>
      <c r="AG139" s="13">
        <f>SUM(IFERROR(VLOOKUP($C:$C,Structure!$A:$AJ,AG$1,0)*15,0),IFERROR(VLOOKUP($D:$D,Structure!$A:$AJ,AG$1,0)*15,0),IFERROR(VLOOKUP($E:$E,Structure!$A:$AJ,AG$1,0)*15,0))</f>
        <v>0</v>
      </c>
      <c r="AH139" s="13">
        <f>SUM(IFERROR(VLOOKUP($C:$C,Structure!$A:$AJ,AH$1,0)*15,0),IFERROR(VLOOKUP($D:$D,Structure!$A:$AJ,AH$1,0)*15,0),IFERROR(VLOOKUP($E:$E,Structure!$A:$AJ,AH$1,0)*15,0))</f>
        <v>0</v>
      </c>
      <c r="AI139" s="13">
        <f>SUM(IFERROR(VLOOKUP($C:$C,Structure!$A:$AJ,AI$1,0)*15,0),IFERROR(VLOOKUP($D:$D,Structure!$A:$AJ,AI$1,0)*15,0),IFERROR(VLOOKUP($E:$E,Structure!$A:$AJ,AI$1,0)*15,0))</f>
        <v>0</v>
      </c>
      <c r="AJ139" s="13">
        <f>SUM(IFERROR(VLOOKUP($C:$C,Structure!$A:$AJ,AJ$1,0)*15,0),IFERROR(VLOOKUP($D:$D,Structure!$A:$AJ,AJ$1,0)*15,0),IFERROR(VLOOKUP($E:$E,Structure!$A:$AJ,AJ$1,0)*15,0))</f>
        <v>45</v>
      </c>
      <c r="AK139" s="13">
        <f>SUM(IFERROR(VLOOKUP($C:$C,Structure!$A:$AJ,AK$1,0)*15,0),IFERROR(VLOOKUP($D:$D,Structure!$A:$AJ,AK$1,0)*15,0),IFERROR(VLOOKUP($E:$E,Structure!$A:$AJ,AK$1,0)*15,0))</f>
        <v>0</v>
      </c>
      <c r="AL139" s="13">
        <f>SUM(IFERROR(VLOOKUP($C:$C,Structure!$A:$AJ,AL$1,0)*15,0),IFERROR(VLOOKUP($D:$D,Structure!$A:$AJ,AL$1,0)*15,0),IFERROR(VLOOKUP($E:$E,Structure!$A:$AJ,AL$1,0)*15,0))</f>
        <v>0</v>
      </c>
      <c r="AM139" s="13">
        <f>SUM(IFERROR(VLOOKUP($C:$C,Structure!$A:$AJ,AM$1,0)*15,0),IFERROR(VLOOKUP($D:$D,Structure!$A:$AJ,AM$1,0)*15,0),IFERROR(VLOOKUP($E:$E,Structure!$A:$AJ,AM$1,0)*15,0))</f>
        <v>0</v>
      </c>
      <c r="AN139" s="13">
        <f>SUM(IFERROR(VLOOKUP($C:$C,Structure!$A:$AJ,AN$1,0)*15,0),IFERROR(VLOOKUP($D:$D,Structure!$A:$AJ,AN$1,0)*15,0),IFERROR(VLOOKUP($E:$E,Structure!$A:$AJ,AN$1,0)*15,0))</f>
        <v>0</v>
      </c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3"/>
      <c r="BZ139" s="4">
        <f>BZ138+AQ139-F139</f>
        <v>0</v>
      </c>
      <c r="CA139" s="4">
        <f>CA138+AR139-G139</f>
        <v>0</v>
      </c>
      <c r="CB139" s="4">
        <f>CB138+AS139-H139</f>
        <v>0</v>
      </c>
      <c r="CC139" s="4">
        <f>CC138+AT139-I139</f>
        <v>0</v>
      </c>
      <c r="CD139" s="4">
        <f>CD138+AU139-J139</f>
        <v>0</v>
      </c>
      <c r="CE139" s="4">
        <f>CE138+AV139-K139</f>
        <v>0</v>
      </c>
      <c r="CF139" s="4">
        <f>CF138+AW139-L139</f>
        <v>0</v>
      </c>
      <c r="CG139" s="4">
        <f>CG138+AX139-M139</f>
        <v>0</v>
      </c>
      <c r="CH139" s="4">
        <f>CH138+AY139-N139</f>
        <v>0</v>
      </c>
      <c r="CI139" s="4">
        <f>CI138+AZ139-O139</f>
        <v>0</v>
      </c>
      <c r="CJ139" s="4">
        <f>CJ138+BA139-P139</f>
        <v>0</v>
      </c>
      <c r="CK139" s="4">
        <f>CK138+BB139-Q139</f>
        <v>0</v>
      </c>
      <c r="CL139" s="4">
        <f>CL138+BC139-R139</f>
        <v>0</v>
      </c>
      <c r="CM139" s="4">
        <f>CM138+BD139-S139</f>
        <v>0</v>
      </c>
      <c r="CN139" s="4">
        <f>CN138+BE139-T139</f>
        <v>0</v>
      </c>
      <c r="CO139" s="4">
        <f>CO138+BF139-U139</f>
        <v>0</v>
      </c>
      <c r="CP139" s="4">
        <f>CP138+BG139-V139</f>
        <v>-60</v>
      </c>
      <c r="CQ139" s="4">
        <f>CQ138+BH139-W139</f>
        <v>0</v>
      </c>
      <c r="CR139" s="4">
        <f>CR138+BI139-X139</f>
        <v>-60</v>
      </c>
      <c r="CS139" s="4">
        <f>CS138+BJ139-Y139</f>
        <v>0</v>
      </c>
      <c r="CT139" s="4">
        <f>CT138+BK139-Z139</f>
        <v>0</v>
      </c>
      <c r="CU139" s="4">
        <f>CU138+BL139-AA139</f>
        <v>-5450</v>
      </c>
      <c r="CV139" s="4">
        <f>CV138+BM139-AB139</f>
        <v>-240</v>
      </c>
      <c r="CW139" s="4">
        <f>CW138+BN139-AC139</f>
        <v>-255</v>
      </c>
      <c r="CX139" s="4">
        <f>CX138+BO139-AD139</f>
        <v>0</v>
      </c>
      <c r="CY139" s="4">
        <f>CY138+BP139-AE139</f>
        <v>-60</v>
      </c>
      <c r="CZ139" s="4">
        <f>CZ138+BQ139-AF139</f>
        <v>-160</v>
      </c>
      <c r="DA139" s="4">
        <f>DA138+BR139-AG139</f>
        <v>0</v>
      </c>
      <c r="DB139" s="4">
        <f>DB138+BS139-AH139</f>
        <v>-60</v>
      </c>
      <c r="DC139" s="4">
        <f>DC138+BT139-AI139</f>
        <v>0</v>
      </c>
      <c r="DD139" s="4">
        <f>DD138+BU139-AJ139</f>
        <v>-4195</v>
      </c>
      <c r="DE139" s="4">
        <f>DE138+BV139-AK139</f>
        <v>-1275</v>
      </c>
      <c r="DF139" s="4">
        <f>DF138+BW139-AL139</f>
        <v>0</v>
      </c>
      <c r="DG139" s="4">
        <f>DG138+BX139-AM139</f>
        <v>-235</v>
      </c>
      <c r="DH139" s="4">
        <f>DH138+BY139-AN139</f>
        <v>0</v>
      </c>
    </row>
    <row r="140" spans="1:112" x14ac:dyDescent="0.25">
      <c r="A140" s="6">
        <v>46185</v>
      </c>
      <c r="B140" s="7">
        <v>4.1666666336823255E-2</v>
      </c>
      <c r="C140" s="3" t="s">
        <v>2</v>
      </c>
      <c r="D140" s="3" t="s">
        <v>6</v>
      </c>
      <c r="E140" s="3" t="s">
        <v>2</v>
      </c>
      <c r="F140" s="13">
        <f>SUM(IFERROR(VLOOKUP($C:$C,Structure!$A:$AJ,F$1,0)*15,0),IFERROR(VLOOKUP($D:$D,Structure!$A:$AJ,F$1,0)*15,0),IFERROR(VLOOKUP($E:$E,Structure!$A:$AJ,F$1,0)*15,0))</f>
        <v>0</v>
      </c>
      <c r="G140" s="13">
        <f>SUM(IFERROR(VLOOKUP($C:$C,Structure!$A:$AJ,G$1,0)*15,0),IFERROR(VLOOKUP($D:$D,Structure!$A:$AJ,G$1,0)*15,0),IFERROR(VLOOKUP($E:$E,Structure!$A:$AJ,G$1,0)*15,0))</f>
        <v>0</v>
      </c>
      <c r="H140" s="13">
        <f>SUM(IFERROR(VLOOKUP($C:$C,Structure!$A:$AJ,H$1,0)*15,0),IFERROR(VLOOKUP($D:$D,Structure!$A:$AJ,H$1,0)*15,0),IFERROR(VLOOKUP($E:$E,Structure!$A:$AJ,H$1,0)*15,0))</f>
        <v>0</v>
      </c>
      <c r="I140" s="13">
        <f>SUM(IFERROR(VLOOKUP($C:$C,Structure!$A:$AJ,I$1,0)*15,0),IFERROR(VLOOKUP($D:$D,Structure!$A:$AJ,I$1,0)*15,0),IFERROR(VLOOKUP($E:$E,Structure!$A:$AJ,I$1,0)*15,0))</f>
        <v>0</v>
      </c>
      <c r="J140" s="13">
        <f>SUM(IFERROR(VLOOKUP($C:$C,Structure!$A:$AJ,J$1,0)*15,0),IFERROR(VLOOKUP($D:$D,Structure!$A:$AJ,J$1,0)*15,0),IFERROR(VLOOKUP($E:$E,Structure!$A:$AJ,J$1,0)*15,0))</f>
        <v>0</v>
      </c>
      <c r="K140" s="13">
        <f>SUM(IFERROR(VLOOKUP($C:$C,Structure!$A:$AJ,K$1,0)*15,0),IFERROR(VLOOKUP($D:$D,Structure!$A:$AJ,K$1,0)*15,0),IFERROR(VLOOKUP($E:$E,Structure!$A:$AJ,K$1,0)*15,0))</f>
        <v>0</v>
      </c>
      <c r="L140" s="13">
        <f>SUM(IFERROR(VLOOKUP($C:$C,Structure!$A:$AJ,L$1,0)*15,0),IFERROR(VLOOKUP($D:$D,Structure!$A:$AJ,L$1,0)*15,0),IFERROR(VLOOKUP($E:$E,Structure!$A:$AJ,L$1,0)*15,0))</f>
        <v>0</v>
      </c>
      <c r="M140" s="13">
        <f>SUM(IFERROR(VLOOKUP($C:$C,Structure!$A:$AJ,M$1,0)*15,0),IFERROR(VLOOKUP($D:$D,Structure!$A:$AJ,M$1,0)*15,0),IFERROR(VLOOKUP($E:$E,Structure!$A:$AJ,M$1,0)*15,0))</f>
        <v>0</v>
      </c>
      <c r="N140" s="13">
        <f>SUM(IFERROR(VLOOKUP($C:$C,Structure!$A:$AJ,N$1,0)*15,0),IFERROR(VLOOKUP($D:$D,Structure!$A:$AJ,N$1,0)*15,0),IFERROR(VLOOKUP($E:$E,Structure!$A:$AJ,N$1,0)*15,0))</f>
        <v>0</v>
      </c>
      <c r="O140" s="13">
        <f>SUM(IFERROR(VLOOKUP($C:$C,Structure!$A:$AJ,O$1,0)*15,0),IFERROR(VLOOKUP($D:$D,Structure!$A:$AJ,O$1,0)*15,0),IFERROR(VLOOKUP($E:$E,Structure!$A:$AJ,O$1,0)*15,0))</f>
        <v>0</v>
      </c>
      <c r="P140" s="13">
        <f>SUM(IFERROR(VLOOKUP($C:$C,Structure!$A:$AJ,P$1,0)*15,0),IFERROR(VLOOKUP($D:$D,Structure!$A:$AJ,P$1,0)*15,0),IFERROR(VLOOKUP($E:$E,Structure!$A:$AJ,P$1,0)*15,0))</f>
        <v>0</v>
      </c>
      <c r="Q140" s="13">
        <f>SUM(IFERROR(VLOOKUP($C:$C,Structure!$A:$AJ,Q$1,0)*15,0),IFERROR(VLOOKUP($D:$D,Structure!$A:$AJ,Q$1,0)*15,0),IFERROR(VLOOKUP($E:$E,Structure!$A:$AJ,Q$1,0)*15,0))</f>
        <v>0</v>
      </c>
      <c r="R140" s="13">
        <f>SUM(IFERROR(VLOOKUP($C:$C,Structure!$A:$AJ,R$1,0)*15,0),IFERROR(VLOOKUP($D:$D,Structure!$A:$AJ,R$1,0)*15,0),IFERROR(VLOOKUP($E:$E,Structure!$A:$AJ,R$1,0)*15,0))</f>
        <v>0</v>
      </c>
      <c r="S140" s="13">
        <f>SUM(IFERROR(VLOOKUP($C:$C,Structure!$A:$AJ,S$1,0)*15,0),IFERROR(VLOOKUP($D:$D,Structure!$A:$AJ,S$1,0)*15,0),IFERROR(VLOOKUP($E:$E,Structure!$A:$AJ,S$1,0)*15,0))</f>
        <v>0</v>
      </c>
      <c r="T140" s="13">
        <f>SUM(IFERROR(VLOOKUP($C:$C,Structure!$A:$AJ,T$1,0)*15,0),IFERROR(VLOOKUP($D:$D,Structure!$A:$AJ,T$1,0)*15,0),IFERROR(VLOOKUP($E:$E,Structure!$A:$AJ,T$1,0)*15,0))</f>
        <v>0</v>
      </c>
      <c r="U140" s="13">
        <f>SUM(IFERROR(VLOOKUP($C:$C,Structure!$A:$AJ,U$1,0)*15,0),IFERROR(VLOOKUP($D:$D,Structure!$A:$AJ,U$1,0)*15,0),IFERROR(VLOOKUP($E:$E,Structure!$A:$AJ,U$1,0)*15,0))</f>
        <v>0</v>
      </c>
      <c r="V140" s="13">
        <f>SUM(IFERROR(VLOOKUP($C:$C,Structure!$A:$AJ,V$1,0)*15,0),IFERROR(VLOOKUP($D:$D,Structure!$A:$AJ,V$1,0)*15,0),IFERROR(VLOOKUP($E:$E,Structure!$A:$AJ,V$1,0)*15,0))</f>
        <v>0</v>
      </c>
      <c r="W140" s="13">
        <f>SUM(IFERROR(VLOOKUP($C:$C,Structure!$A:$AJ,W$1,0)*15,0),IFERROR(VLOOKUP($D:$D,Structure!$A:$AJ,W$1,0)*15,0),IFERROR(VLOOKUP($E:$E,Structure!$A:$AJ,W$1,0)*15,0))</f>
        <v>0</v>
      </c>
      <c r="X140" s="13">
        <f>SUM(IFERROR(VLOOKUP($C:$C,Structure!$A:$AJ,X$1,0)*15,0),IFERROR(VLOOKUP($D:$D,Structure!$A:$AJ,X$1,0)*15,0),IFERROR(VLOOKUP($E:$E,Structure!$A:$AJ,X$1,0)*15,0))</f>
        <v>0</v>
      </c>
      <c r="Y140" s="13">
        <f>SUM(IFERROR(VLOOKUP($C:$C,Structure!$A:$AJ,Y$1,0)*15,0),IFERROR(VLOOKUP($D:$D,Structure!$A:$AJ,Y$1,0)*15,0),IFERROR(VLOOKUP($E:$E,Structure!$A:$AJ,Y$1,0)*15,0))</f>
        <v>0</v>
      </c>
      <c r="Z140" s="13">
        <f>SUM(IFERROR(VLOOKUP($C:$C,Structure!$A:$AJ,Z$1,0)*15,0),IFERROR(VLOOKUP($D:$D,Structure!$A:$AJ,Z$1,0)*15,0),IFERROR(VLOOKUP($E:$E,Structure!$A:$AJ,Z$1,0)*15,0))</f>
        <v>0</v>
      </c>
      <c r="AA140" s="13">
        <f>SUM(IFERROR(VLOOKUP($C:$C,Structure!$A:$AJ,AA$1,0)*15,0),IFERROR(VLOOKUP($D:$D,Structure!$A:$AJ,AA$1,0)*15,0),IFERROR(VLOOKUP($E:$E,Structure!$A:$AJ,AA$1,0)*15,0))</f>
        <v>45</v>
      </c>
      <c r="AB140" s="13">
        <f>SUM(IFERROR(VLOOKUP($C:$C,Structure!$A:$AJ,AB$1,0)*15,0),IFERROR(VLOOKUP($D:$D,Structure!$A:$AJ,AB$1,0)*15,0),IFERROR(VLOOKUP($E:$E,Structure!$A:$AJ,AB$1,0)*15,0))</f>
        <v>0</v>
      </c>
      <c r="AC140" s="13">
        <f>SUM(IFERROR(VLOOKUP($C:$C,Structure!$A:$AJ,AC$1,0)*15,0),IFERROR(VLOOKUP($D:$D,Structure!$A:$AJ,AC$1,0)*15,0),IFERROR(VLOOKUP($E:$E,Structure!$A:$AJ,AC$1,0)*15,0))</f>
        <v>0</v>
      </c>
      <c r="AD140" s="13">
        <f>SUM(IFERROR(VLOOKUP($C:$C,Structure!$A:$AJ,AD$1,0)*15,0),IFERROR(VLOOKUP($D:$D,Structure!$A:$AJ,AD$1,0)*15,0),IFERROR(VLOOKUP($E:$E,Structure!$A:$AJ,AD$1,0)*15,0))</f>
        <v>0</v>
      </c>
      <c r="AE140" s="13">
        <f>SUM(IFERROR(VLOOKUP($C:$C,Structure!$A:$AJ,AE$1,0)*15,0),IFERROR(VLOOKUP($D:$D,Structure!$A:$AJ,AE$1,0)*15,0),IFERROR(VLOOKUP($E:$E,Structure!$A:$AJ,AE$1,0)*15,0))</f>
        <v>0</v>
      </c>
      <c r="AF140" s="13">
        <f>SUM(IFERROR(VLOOKUP($C:$C,Structure!$A:$AJ,AF$1,0)*15,0),IFERROR(VLOOKUP($D:$D,Structure!$A:$AJ,AF$1,0)*15,0),IFERROR(VLOOKUP($E:$E,Structure!$A:$AJ,AF$1,0)*15,0))</f>
        <v>0</v>
      </c>
      <c r="AG140" s="13">
        <f>SUM(IFERROR(VLOOKUP($C:$C,Structure!$A:$AJ,AG$1,0)*15,0),IFERROR(VLOOKUP($D:$D,Structure!$A:$AJ,AG$1,0)*15,0),IFERROR(VLOOKUP($E:$E,Structure!$A:$AJ,AG$1,0)*15,0))</f>
        <v>0</v>
      </c>
      <c r="AH140" s="13">
        <f>SUM(IFERROR(VLOOKUP($C:$C,Structure!$A:$AJ,AH$1,0)*15,0),IFERROR(VLOOKUP($D:$D,Structure!$A:$AJ,AH$1,0)*15,0),IFERROR(VLOOKUP($E:$E,Structure!$A:$AJ,AH$1,0)*15,0))</f>
        <v>0</v>
      </c>
      <c r="AI140" s="13">
        <f>SUM(IFERROR(VLOOKUP($C:$C,Structure!$A:$AJ,AI$1,0)*15,0),IFERROR(VLOOKUP($D:$D,Structure!$A:$AJ,AI$1,0)*15,0),IFERROR(VLOOKUP($E:$E,Structure!$A:$AJ,AI$1,0)*15,0))</f>
        <v>0</v>
      </c>
      <c r="AJ140" s="13">
        <f>SUM(IFERROR(VLOOKUP($C:$C,Structure!$A:$AJ,AJ$1,0)*15,0),IFERROR(VLOOKUP($D:$D,Structure!$A:$AJ,AJ$1,0)*15,0),IFERROR(VLOOKUP($E:$E,Structure!$A:$AJ,AJ$1,0)*15,0))</f>
        <v>45</v>
      </c>
      <c r="AK140" s="13">
        <f>SUM(IFERROR(VLOOKUP($C:$C,Structure!$A:$AJ,AK$1,0)*15,0),IFERROR(VLOOKUP($D:$D,Structure!$A:$AJ,AK$1,0)*15,0),IFERROR(VLOOKUP($E:$E,Structure!$A:$AJ,AK$1,0)*15,0))</f>
        <v>0</v>
      </c>
      <c r="AL140" s="13">
        <f>SUM(IFERROR(VLOOKUP($C:$C,Structure!$A:$AJ,AL$1,0)*15,0),IFERROR(VLOOKUP($D:$D,Structure!$A:$AJ,AL$1,0)*15,0),IFERROR(VLOOKUP($E:$E,Structure!$A:$AJ,AL$1,0)*15,0))</f>
        <v>0</v>
      </c>
      <c r="AM140" s="13">
        <f>SUM(IFERROR(VLOOKUP($C:$C,Structure!$A:$AJ,AM$1,0)*15,0),IFERROR(VLOOKUP($D:$D,Structure!$A:$AJ,AM$1,0)*15,0),IFERROR(VLOOKUP($E:$E,Structure!$A:$AJ,AM$1,0)*15,0))</f>
        <v>0</v>
      </c>
      <c r="AN140" s="13">
        <f>SUM(IFERROR(VLOOKUP($C:$C,Structure!$A:$AJ,AN$1,0)*15,0),IFERROR(VLOOKUP($D:$D,Structure!$A:$AJ,AN$1,0)*15,0),IFERROR(VLOOKUP($E:$E,Structure!$A:$AJ,AN$1,0)*15,0))</f>
        <v>0</v>
      </c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3"/>
      <c r="BZ140" s="4">
        <f>BZ139+AQ140-F140</f>
        <v>0</v>
      </c>
      <c r="CA140" s="4">
        <f>CA139+AR140-G140</f>
        <v>0</v>
      </c>
      <c r="CB140" s="4">
        <f>CB139+AS140-H140</f>
        <v>0</v>
      </c>
      <c r="CC140" s="4">
        <f>CC139+AT140-I140</f>
        <v>0</v>
      </c>
      <c r="CD140" s="4">
        <f>CD139+AU140-J140</f>
        <v>0</v>
      </c>
      <c r="CE140" s="4">
        <f>CE139+AV140-K140</f>
        <v>0</v>
      </c>
      <c r="CF140" s="4">
        <f>CF139+AW140-L140</f>
        <v>0</v>
      </c>
      <c r="CG140" s="4">
        <f>CG139+AX140-M140</f>
        <v>0</v>
      </c>
      <c r="CH140" s="4">
        <f>CH139+AY140-N140</f>
        <v>0</v>
      </c>
      <c r="CI140" s="4">
        <f>CI139+AZ140-O140</f>
        <v>0</v>
      </c>
      <c r="CJ140" s="4">
        <f>CJ139+BA140-P140</f>
        <v>0</v>
      </c>
      <c r="CK140" s="4">
        <f>CK139+BB140-Q140</f>
        <v>0</v>
      </c>
      <c r="CL140" s="4">
        <f>CL139+BC140-R140</f>
        <v>0</v>
      </c>
      <c r="CM140" s="4">
        <f>CM139+BD140-S140</f>
        <v>0</v>
      </c>
      <c r="CN140" s="4">
        <f>CN139+BE140-T140</f>
        <v>0</v>
      </c>
      <c r="CO140" s="4">
        <f>CO139+BF140-U140</f>
        <v>0</v>
      </c>
      <c r="CP140" s="4">
        <f>CP139+BG140-V140</f>
        <v>-60</v>
      </c>
      <c r="CQ140" s="4">
        <f>CQ139+BH140-W140</f>
        <v>0</v>
      </c>
      <c r="CR140" s="4">
        <f>CR139+BI140-X140</f>
        <v>-60</v>
      </c>
      <c r="CS140" s="4">
        <f>CS139+BJ140-Y140</f>
        <v>0</v>
      </c>
      <c r="CT140" s="4">
        <f>CT139+BK140-Z140</f>
        <v>0</v>
      </c>
      <c r="CU140" s="4">
        <f>CU139+BL140-AA140</f>
        <v>-5495</v>
      </c>
      <c r="CV140" s="4">
        <f>CV139+BM140-AB140</f>
        <v>-240</v>
      </c>
      <c r="CW140" s="4">
        <f>CW139+BN140-AC140</f>
        <v>-255</v>
      </c>
      <c r="CX140" s="4">
        <f>CX139+BO140-AD140</f>
        <v>0</v>
      </c>
      <c r="CY140" s="4">
        <f>CY139+BP140-AE140</f>
        <v>-60</v>
      </c>
      <c r="CZ140" s="4">
        <f>CZ139+BQ140-AF140</f>
        <v>-160</v>
      </c>
      <c r="DA140" s="4">
        <f>DA139+BR140-AG140</f>
        <v>0</v>
      </c>
      <c r="DB140" s="4">
        <f>DB139+BS140-AH140</f>
        <v>-60</v>
      </c>
      <c r="DC140" s="4">
        <f>DC139+BT140-AI140</f>
        <v>0</v>
      </c>
      <c r="DD140" s="4">
        <f>DD139+BU140-AJ140</f>
        <v>-4240</v>
      </c>
      <c r="DE140" s="4">
        <f>DE139+BV140-AK140</f>
        <v>-1275</v>
      </c>
      <c r="DF140" s="4">
        <f>DF139+BW140-AL140</f>
        <v>0</v>
      </c>
      <c r="DG140" s="4">
        <f>DG139+BX140-AM140</f>
        <v>-235</v>
      </c>
      <c r="DH140" s="4">
        <f>DH139+BY140-AN140</f>
        <v>0</v>
      </c>
    </row>
    <row r="141" spans="1:112" x14ac:dyDescent="0.25">
      <c r="A141" s="6">
        <v>46185</v>
      </c>
      <c r="B141" s="7">
        <v>8.3333333001064602E-2</v>
      </c>
      <c r="C141" s="3" t="s">
        <v>2</v>
      </c>
      <c r="D141" s="3" t="s">
        <v>6</v>
      </c>
      <c r="E141" s="3" t="s">
        <v>2</v>
      </c>
      <c r="F141" s="13">
        <f>SUM(IFERROR(VLOOKUP($C:$C,Structure!$A:$AJ,F$1,0)*15,0),IFERROR(VLOOKUP($D:$D,Structure!$A:$AJ,F$1,0)*15,0),IFERROR(VLOOKUP($E:$E,Structure!$A:$AJ,F$1,0)*15,0))</f>
        <v>0</v>
      </c>
      <c r="G141" s="13">
        <f>SUM(IFERROR(VLOOKUP($C:$C,Structure!$A:$AJ,G$1,0)*15,0),IFERROR(VLOOKUP($D:$D,Structure!$A:$AJ,G$1,0)*15,0),IFERROR(VLOOKUP($E:$E,Structure!$A:$AJ,G$1,0)*15,0))</f>
        <v>0</v>
      </c>
      <c r="H141" s="13">
        <f>SUM(IFERROR(VLOOKUP($C:$C,Structure!$A:$AJ,H$1,0)*15,0),IFERROR(VLOOKUP($D:$D,Structure!$A:$AJ,H$1,0)*15,0),IFERROR(VLOOKUP($E:$E,Structure!$A:$AJ,H$1,0)*15,0))</f>
        <v>0</v>
      </c>
      <c r="I141" s="13">
        <f>SUM(IFERROR(VLOOKUP($C:$C,Structure!$A:$AJ,I$1,0)*15,0),IFERROR(VLOOKUP($D:$D,Structure!$A:$AJ,I$1,0)*15,0),IFERROR(VLOOKUP($E:$E,Structure!$A:$AJ,I$1,0)*15,0))</f>
        <v>0</v>
      </c>
      <c r="J141" s="13">
        <f>SUM(IFERROR(VLOOKUP($C:$C,Structure!$A:$AJ,J$1,0)*15,0),IFERROR(VLOOKUP($D:$D,Structure!$A:$AJ,J$1,0)*15,0),IFERROR(VLOOKUP($E:$E,Structure!$A:$AJ,J$1,0)*15,0))</f>
        <v>0</v>
      </c>
      <c r="K141" s="13">
        <f>SUM(IFERROR(VLOOKUP($C:$C,Structure!$A:$AJ,K$1,0)*15,0),IFERROR(VLOOKUP($D:$D,Structure!$A:$AJ,K$1,0)*15,0),IFERROR(VLOOKUP($E:$E,Structure!$A:$AJ,K$1,0)*15,0))</f>
        <v>0</v>
      </c>
      <c r="L141" s="13">
        <f>SUM(IFERROR(VLOOKUP($C:$C,Structure!$A:$AJ,L$1,0)*15,0),IFERROR(VLOOKUP($D:$D,Structure!$A:$AJ,L$1,0)*15,0),IFERROR(VLOOKUP($E:$E,Structure!$A:$AJ,L$1,0)*15,0))</f>
        <v>0</v>
      </c>
      <c r="M141" s="13">
        <f>SUM(IFERROR(VLOOKUP($C:$C,Structure!$A:$AJ,M$1,0)*15,0),IFERROR(VLOOKUP($D:$D,Structure!$A:$AJ,M$1,0)*15,0),IFERROR(VLOOKUP($E:$E,Structure!$A:$AJ,M$1,0)*15,0))</f>
        <v>0</v>
      </c>
      <c r="N141" s="13">
        <f>SUM(IFERROR(VLOOKUP($C:$C,Structure!$A:$AJ,N$1,0)*15,0),IFERROR(VLOOKUP($D:$D,Structure!$A:$AJ,N$1,0)*15,0),IFERROR(VLOOKUP($E:$E,Structure!$A:$AJ,N$1,0)*15,0))</f>
        <v>0</v>
      </c>
      <c r="O141" s="13">
        <f>SUM(IFERROR(VLOOKUP($C:$C,Structure!$A:$AJ,O$1,0)*15,0),IFERROR(VLOOKUP($D:$D,Structure!$A:$AJ,O$1,0)*15,0),IFERROR(VLOOKUP($E:$E,Structure!$A:$AJ,O$1,0)*15,0))</f>
        <v>0</v>
      </c>
      <c r="P141" s="13">
        <f>SUM(IFERROR(VLOOKUP($C:$C,Structure!$A:$AJ,P$1,0)*15,0),IFERROR(VLOOKUP($D:$D,Structure!$A:$AJ,P$1,0)*15,0),IFERROR(VLOOKUP($E:$E,Structure!$A:$AJ,P$1,0)*15,0))</f>
        <v>0</v>
      </c>
      <c r="Q141" s="13">
        <f>SUM(IFERROR(VLOOKUP($C:$C,Structure!$A:$AJ,Q$1,0)*15,0),IFERROR(VLOOKUP($D:$D,Structure!$A:$AJ,Q$1,0)*15,0),IFERROR(VLOOKUP($E:$E,Structure!$A:$AJ,Q$1,0)*15,0))</f>
        <v>0</v>
      </c>
      <c r="R141" s="13">
        <f>SUM(IFERROR(VLOOKUP($C:$C,Structure!$A:$AJ,R$1,0)*15,0),IFERROR(VLOOKUP($D:$D,Structure!$A:$AJ,R$1,0)*15,0),IFERROR(VLOOKUP($E:$E,Structure!$A:$AJ,R$1,0)*15,0))</f>
        <v>0</v>
      </c>
      <c r="S141" s="13">
        <f>SUM(IFERROR(VLOOKUP($C:$C,Structure!$A:$AJ,S$1,0)*15,0),IFERROR(VLOOKUP($D:$D,Structure!$A:$AJ,S$1,0)*15,0),IFERROR(VLOOKUP($E:$E,Structure!$A:$AJ,S$1,0)*15,0))</f>
        <v>0</v>
      </c>
      <c r="T141" s="13">
        <f>SUM(IFERROR(VLOOKUP($C:$C,Structure!$A:$AJ,T$1,0)*15,0),IFERROR(VLOOKUP($D:$D,Structure!$A:$AJ,T$1,0)*15,0),IFERROR(VLOOKUP($E:$E,Structure!$A:$AJ,T$1,0)*15,0))</f>
        <v>0</v>
      </c>
      <c r="U141" s="13">
        <f>SUM(IFERROR(VLOOKUP($C:$C,Structure!$A:$AJ,U$1,0)*15,0),IFERROR(VLOOKUP($D:$D,Structure!$A:$AJ,U$1,0)*15,0),IFERROR(VLOOKUP($E:$E,Structure!$A:$AJ,U$1,0)*15,0))</f>
        <v>0</v>
      </c>
      <c r="V141" s="13">
        <f>SUM(IFERROR(VLOOKUP($C:$C,Structure!$A:$AJ,V$1,0)*15,0),IFERROR(VLOOKUP($D:$D,Structure!$A:$AJ,V$1,0)*15,0),IFERROR(VLOOKUP($E:$E,Structure!$A:$AJ,V$1,0)*15,0))</f>
        <v>0</v>
      </c>
      <c r="W141" s="13">
        <f>SUM(IFERROR(VLOOKUP($C:$C,Structure!$A:$AJ,W$1,0)*15,0),IFERROR(VLOOKUP($D:$D,Structure!$A:$AJ,W$1,0)*15,0),IFERROR(VLOOKUP($E:$E,Structure!$A:$AJ,W$1,0)*15,0))</f>
        <v>0</v>
      </c>
      <c r="X141" s="13">
        <f>SUM(IFERROR(VLOOKUP($C:$C,Structure!$A:$AJ,X$1,0)*15,0),IFERROR(VLOOKUP($D:$D,Structure!$A:$AJ,X$1,0)*15,0),IFERROR(VLOOKUP($E:$E,Structure!$A:$AJ,X$1,0)*15,0))</f>
        <v>0</v>
      </c>
      <c r="Y141" s="13">
        <f>SUM(IFERROR(VLOOKUP($C:$C,Structure!$A:$AJ,Y$1,0)*15,0),IFERROR(VLOOKUP($D:$D,Structure!$A:$AJ,Y$1,0)*15,0),IFERROR(VLOOKUP($E:$E,Structure!$A:$AJ,Y$1,0)*15,0))</f>
        <v>0</v>
      </c>
      <c r="Z141" s="13">
        <f>SUM(IFERROR(VLOOKUP($C:$C,Structure!$A:$AJ,Z$1,0)*15,0),IFERROR(VLOOKUP($D:$D,Structure!$A:$AJ,Z$1,0)*15,0),IFERROR(VLOOKUP($E:$E,Structure!$A:$AJ,Z$1,0)*15,0))</f>
        <v>0</v>
      </c>
      <c r="AA141" s="13">
        <f>SUM(IFERROR(VLOOKUP($C:$C,Structure!$A:$AJ,AA$1,0)*15,0),IFERROR(VLOOKUP($D:$D,Structure!$A:$AJ,AA$1,0)*15,0),IFERROR(VLOOKUP($E:$E,Structure!$A:$AJ,AA$1,0)*15,0))</f>
        <v>45</v>
      </c>
      <c r="AB141" s="13">
        <f>SUM(IFERROR(VLOOKUP($C:$C,Structure!$A:$AJ,AB$1,0)*15,0),IFERROR(VLOOKUP($D:$D,Structure!$A:$AJ,AB$1,0)*15,0),IFERROR(VLOOKUP($E:$E,Structure!$A:$AJ,AB$1,0)*15,0))</f>
        <v>0</v>
      </c>
      <c r="AC141" s="13">
        <f>SUM(IFERROR(VLOOKUP($C:$C,Structure!$A:$AJ,AC$1,0)*15,0),IFERROR(VLOOKUP($D:$D,Structure!$A:$AJ,AC$1,0)*15,0),IFERROR(VLOOKUP($E:$E,Structure!$A:$AJ,AC$1,0)*15,0))</f>
        <v>0</v>
      </c>
      <c r="AD141" s="13">
        <f>SUM(IFERROR(VLOOKUP($C:$C,Structure!$A:$AJ,AD$1,0)*15,0),IFERROR(VLOOKUP($D:$D,Structure!$A:$AJ,AD$1,0)*15,0),IFERROR(VLOOKUP($E:$E,Structure!$A:$AJ,AD$1,0)*15,0))</f>
        <v>0</v>
      </c>
      <c r="AE141" s="13">
        <f>SUM(IFERROR(VLOOKUP($C:$C,Structure!$A:$AJ,AE$1,0)*15,0),IFERROR(VLOOKUP($D:$D,Structure!$A:$AJ,AE$1,0)*15,0),IFERROR(VLOOKUP($E:$E,Structure!$A:$AJ,AE$1,0)*15,0))</f>
        <v>0</v>
      </c>
      <c r="AF141" s="13">
        <f>SUM(IFERROR(VLOOKUP($C:$C,Structure!$A:$AJ,AF$1,0)*15,0),IFERROR(VLOOKUP($D:$D,Structure!$A:$AJ,AF$1,0)*15,0),IFERROR(VLOOKUP($E:$E,Structure!$A:$AJ,AF$1,0)*15,0))</f>
        <v>0</v>
      </c>
      <c r="AG141" s="13">
        <f>SUM(IFERROR(VLOOKUP($C:$C,Structure!$A:$AJ,AG$1,0)*15,0),IFERROR(VLOOKUP($D:$D,Structure!$A:$AJ,AG$1,0)*15,0),IFERROR(VLOOKUP($E:$E,Structure!$A:$AJ,AG$1,0)*15,0))</f>
        <v>0</v>
      </c>
      <c r="AH141" s="13">
        <f>SUM(IFERROR(VLOOKUP($C:$C,Structure!$A:$AJ,AH$1,0)*15,0),IFERROR(VLOOKUP($D:$D,Structure!$A:$AJ,AH$1,0)*15,0),IFERROR(VLOOKUP($E:$E,Structure!$A:$AJ,AH$1,0)*15,0))</f>
        <v>0</v>
      </c>
      <c r="AI141" s="13">
        <f>SUM(IFERROR(VLOOKUP($C:$C,Structure!$A:$AJ,AI$1,0)*15,0),IFERROR(VLOOKUP($D:$D,Structure!$A:$AJ,AI$1,0)*15,0),IFERROR(VLOOKUP($E:$E,Structure!$A:$AJ,AI$1,0)*15,0))</f>
        <v>0</v>
      </c>
      <c r="AJ141" s="13">
        <f>SUM(IFERROR(VLOOKUP($C:$C,Structure!$A:$AJ,AJ$1,0)*15,0),IFERROR(VLOOKUP($D:$D,Structure!$A:$AJ,AJ$1,0)*15,0),IFERROR(VLOOKUP($E:$E,Structure!$A:$AJ,AJ$1,0)*15,0))</f>
        <v>45</v>
      </c>
      <c r="AK141" s="13">
        <f>SUM(IFERROR(VLOOKUP($C:$C,Structure!$A:$AJ,AK$1,0)*15,0),IFERROR(VLOOKUP($D:$D,Structure!$A:$AJ,AK$1,0)*15,0),IFERROR(VLOOKUP($E:$E,Structure!$A:$AJ,AK$1,0)*15,0))</f>
        <v>0</v>
      </c>
      <c r="AL141" s="13">
        <f>SUM(IFERROR(VLOOKUP($C:$C,Structure!$A:$AJ,AL$1,0)*15,0),IFERROR(VLOOKUP($D:$D,Structure!$A:$AJ,AL$1,0)*15,0),IFERROR(VLOOKUP($E:$E,Structure!$A:$AJ,AL$1,0)*15,0))</f>
        <v>0</v>
      </c>
      <c r="AM141" s="13">
        <f>SUM(IFERROR(VLOOKUP($C:$C,Structure!$A:$AJ,AM$1,0)*15,0),IFERROR(VLOOKUP($D:$D,Structure!$A:$AJ,AM$1,0)*15,0),IFERROR(VLOOKUP($E:$E,Structure!$A:$AJ,AM$1,0)*15,0))</f>
        <v>0</v>
      </c>
      <c r="AN141" s="13">
        <f>SUM(IFERROR(VLOOKUP($C:$C,Structure!$A:$AJ,AN$1,0)*15,0),IFERROR(VLOOKUP($D:$D,Structure!$A:$AJ,AN$1,0)*15,0),IFERROR(VLOOKUP($E:$E,Structure!$A:$AJ,AN$1,0)*15,0))</f>
        <v>0</v>
      </c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3"/>
      <c r="BZ141" s="4">
        <f>BZ140+AQ141-F141</f>
        <v>0</v>
      </c>
      <c r="CA141" s="4">
        <f>CA140+AR141-G141</f>
        <v>0</v>
      </c>
      <c r="CB141" s="4">
        <f>CB140+AS141-H141</f>
        <v>0</v>
      </c>
      <c r="CC141" s="4">
        <f>CC140+AT141-I141</f>
        <v>0</v>
      </c>
      <c r="CD141" s="4">
        <f>CD140+AU141-J141</f>
        <v>0</v>
      </c>
      <c r="CE141" s="4">
        <f>CE140+AV141-K141</f>
        <v>0</v>
      </c>
      <c r="CF141" s="4">
        <f>CF140+AW141-L141</f>
        <v>0</v>
      </c>
      <c r="CG141" s="4">
        <f>CG140+AX141-M141</f>
        <v>0</v>
      </c>
      <c r="CH141" s="4">
        <f>CH140+AY141-N141</f>
        <v>0</v>
      </c>
      <c r="CI141" s="4">
        <f>CI140+AZ141-O141</f>
        <v>0</v>
      </c>
      <c r="CJ141" s="4">
        <f>CJ140+BA141-P141</f>
        <v>0</v>
      </c>
      <c r="CK141" s="4">
        <f>CK140+BB141-Q141</f>
        <v>0</v>
      </c>
      <c r="CL141" s="4">
        <f>CL140+BC141-R141</f>
        <v>0</v>
      </c>
      <c r="CM141" s="4">
        <f>CM140+BD141-S141</f>
        <v>0</v>
      </c>
      <c r="CN141" s="4">
        <f>CN140+BE141-T141</f>
        <v>0</v>
      </c>
      <c r="CO141" s="4">
        <f>CO140+BF141-U141</f>
        <v>0</v>
      </c>
      <c r="CP141" s="4">
        <f>CP140+BG141-V141</f>
        <v>-60</v>
      </c>
      <c r="CQ141" s="4">
        <f>CQ140+BH141-W141</f>
        <v>0</v>
      </c>
      <c r="CR141" s="4">
        <f>CR140+BI141-X141</f>
        <v>-60</v>
      </c>
      <c r="CS141" s="4">
        <f>CS140+BJ141-Y141</f>
        <v>0</v>
      </c>
      <c r="CT141" s="4">
        <f>CT140+BK141-Z141</f>
        <v>0</v>
      </c>
      <c r="CU141" s="4">
        <f>CU140+BL141-AA141</f>
        <v>-5540</v>
      </c>
      <c r="CV141" s="4">
        <f>CV140+BM141-AB141</f>
        <v>-240</v>
      </c>
      <c r="CW141" s="4">
        <f>CW140+BN141-AC141</f>
        <v>-255</v>
      </c>
      <c r="CX141" s="4">
        <f>CX140+BO141-AD141</f>
        <v>0</v>
      </c>
      <c r="CY141" s="4">
        <f>CY140+BP141-AE141</f>
        <v>-60</v>
      </c>
      <c r="CZ141" s="4">
        <f>CZ140+BQ141-AF141</f>
        <v>-160</v>
      </c>
      <c r="DA141" s="4">
        <f>DA140+BR141-AG141</f>
        <v>0</v>
      </c>
      <c r="DB141" s="4">
        <f>DB140+BS141-AH141</f>
        <v>-60</v>
      </c>
      <c r="DC141" s="4">
        <f>DC140+BT141-AI141</f>
        <v>0</v>
      </c>
      <c r="DD141" s="4">
        <f>DD140+BU141-AJ141</f>
        <v>-4285</v>
      </c>
      <c r="DE141" s="4">
        <f>DE140+BV141-AK141</f>
        <v>-1275</v>
      </c>
      <c r="DF141" s="4">
        <f>DF140+BW141-AL141</f>
        <v>0</v>
      </c>
      <c r="DG141" s="4">
        <f>DG140+BX141-AM141</f>
        <v>-235</v>
      </c>
      <c r="DH141" s="4">
        <f>DH140+BY141-AN141</f>
        <v>0</v>
      </c>
    </row>
    <row r="142" spans="1:112" x14ac:dyDescent="0.25">
      <c r="A142" s="6">
        <v>46185</v>
      </c>
      <c r="B142" s="7">
        <v>0.12499999966530595</v>
      </c>
      <c r="C142" s="3" t="s">
        <v>2</v>
      </c>
      <c r="D142" s="3" t="s">
        <v>6</v>
      </c>
      <c r="E142" s="3" t="s">
        <v>2</v>
      </c>
      <c r="F142" s="13">
        <f>SUM(IFERROR(VLOOKUP($C:$C,Structure!$A:$AJ,F$1,0)*15,0),IFERROR(VLOOKUP($D:$D,Structure!$A:$AJ,F$1,0)*15,0),IFERROR(VLOOKUP($E:$E,Structure!$A:$AJ,F$1,0)*15,0))</f>
        <v>0</v>
      </c>
      <c r="G142" s="13">
        <f>SUM(IFERROR(VLOOKUP($C:$C,Structure!$A:$AJ,G$1,0)*15,0),IFERROR(VLOOKUP($D:$D,Structure!$A:$AJ,G$1,0)*15,0),IFERROR(VLOOKUP($E:$E,Structure!$A:$AJ,G$1,0)*15,0))</f>
        <v>0</v>
      </c>
      <c r="H142" s="13">
        <f>SUM(IFERROR(VLOOKUP($C:$C,Structure!$A:$AJ,H$1,0)*15,0),IFERROR(VLOOKUP($D:$D,Structure!$A:$AJ,H$1,0)*15,0),IFERROR(VLOOKUP($E:$E,Structure!$A:$AJ,H$1,0)*15,0))</f>
        <v>0</v>
      </c>
      <c r="I142" s="13">
        <f>SUM(IFERROR(VLOOKUP($C:$C,Structure!$A:$AJ,I$1,0)*15,0),IFERROR(VLOOKUP($D:$D,Structure!$A:$AJ,I$1,0)*15,0),IFERROR(VLOOKUP($E:$E,Structure!$A:$AJ,I$1,0)*15,0))</f>
        <v>0</v>
      </c>
      <c r="J142" s="13">
        <f>SUM(IFERROR(VLOOKUP($C:$C,Structure!$A:$AJ,J$1,0)*15,0),IFERROR(VLOOKUP($D:$D,Structure!$A:$AJ,J$1,0)*15,0),IFERROR(VLOOKUP($E:$E,Structure!$A:$AJ,J$1,0)*15,0))</f>
        <v>0</v>
      </c>
      <c r="K142" s="13">
        <f>SUM(IFERROR(VLOOKUP($C:$C,Structure!$A:$AJ,K$1,0)*15,0),IFERROR(VLOOKUP($D:$D,Structure!$A:$AJ,K$1,0)*15,0),IFERROR(VLOOKUP($E:$E,Structure!$A:$AJ,K$1,0)*15,0))</f>
        <v>0</v>
      </c>
      <c r="L142" s="13">
        <f>SUM(IFERROR(VLOOKUP($C:$C,Structure!$A:$AJ,L$1,0)*15,0),IFERROR(VLOOKUP($D:$D,Structure!$A:$AJ,L$1,0)*15,0),IFERROR(VLOOKUP($E:$E,Structure!$A:$AJ,L$1,0)*15,0))</f>
        <v>0</v>
      </c>
      <c r="M142" s="13">
        <f>SUM(IFERROR(VLOOKUP($C:$C,Structure!$A:$AJ,M$1,0)*15,0),IFERROR(VLOOKUP($D:$D,Structure!$A:$AJ,M$1,0)*15,0),IFERROR(VLOOKUP($E:$E,Structure!$A:$AJ,M$1,0)*15,0))</f>
        <v>0</v>
      </c>
      <c r="N142" s="13">
        <f>SUM(IFERROR(VLOOKUP($C:$C,Structure!$A:$AJ,N$1,0)*15,0),IFERROR(VLOOKUP($D:$D,Structure!$A:$AJ,N$1,0)*15,0),IFERROR(VLOOKUP($E:$E,Structure!$A:$AJ,N$1,0)*15,0))</f>
        <v>0</v>
      </c>
      <c r="O142" s="13">
        <f>SUM(IFERROR(VLOOKUP($C:$C,Structure!$A:$AJ,O$1,0)*15,0),IFERROR(VLOOKUP($D:$D,Structure!$A:$AJ,O$1,0)*15,0),IFERROR(VLOOKUP($E:$E,Structure!$A:$AJ,O$1,0)*15,0))</f>
        <v>0</v>
      </c>
      <c r="P142" s="13">
        <f>SUM(IFERROR(VLOOKUP($C:$C,Structure!$A:$AJ,P$1,0)*15,0),IFERROR(VLOOKUP($D:$D,Structure!$A:$AJ,P$1,0)*15,0),IFERROR(VLOOKUP($E:$E,Structure!$A:$AJ,P$1,0)*15,0))</f>
        <v>0</v>
      </c>
      <c r="Q142" s="13">
        <f>SUM(IFERROR(VLOOKUP($C:$C,Structure!$A:$AJ,Q$1,0)*15,0),IFERROR(VLOOKUP($D:$D,Structure!$A:$AJ,Q$1,0)*15,0),IFERROR(VLOOKUP($E:$E,Structure!$A:$AJ,Q$1,0)*15,0))</f>
        <v>0</v>
      </c>
      <c r="R142" s="13">
        <f>SUM(IFERROR(VLOOKUP($C:$C,Structure!$A:$AJ,R$1,0)*15,0),IFERROR(VLOOKUP($D:$D,Structure!$A:$AJ,R$1,0)*15,0),IFERROR(VLOOKUP($E:$E,Structure!$A:$AJ,R$1,0)*15,0))</f>
        <v>0</v>
      </c>
      <c r="S142" s="13">
        <f>SUM(IFERROR(VLOOKUP($C:$C,Structure!$A:$AJ,S$1,0)*15,0),IFERROR(VLOOKUP($D:$D,Structure!$A:$AJ,S$1,0)*15,0),IFERROR(VLOOKUP($E:$E,Structure!$A:$AJ,S$1,0)*15,0))</f>
        <v>0</v>
      </c>
      <c r="T142" s="13">
        <f>SUM(IFERROR(VLOOKUP($C:$C,Structure!$A:$AJ,T$1,0)*15,0),IFERROR(VLOOKUP($D:$D,Structure!$A:$AJ,T$1,0)*15,0),IFERROR(VLOOKUP($E:$E,Structure!$A:$AJ,T$1,0)*15,0))</f>
        <v>0</v>
      </c>
      <c r="U142" s="13">
        <f>SUM(IFERROR(VLOOKUP($C:$C,Structure!$A:$AJ,U$1,0)*15,0),IFERROR(VLOOKUP($D:$D,Structure!$A:$AJ,U$1,0)*15,0),IFERROR(VLOOKUP($E:$E,Structure!$A:$AJ,U$1,0)*15,0))</f>
        <v>0</v>
      </c>
      <c r="V142" s="13">
        <f>SUM(IFERROR(VLOOKUP($C:$C,Structure!$A:$AJ,V$1,0)*15,0),IFERROR(VLOOKUP($D:$D,Structure!$A:$AJ,V$1,0)*15,0),IFERROR(VLOOKUP($E:$E,Structure!$A:$AJ,V$1,0)*15,0))</f>
        <v>0</v>
      </c>
      <c r="W142" s="13">
        <f>SUM(IFERROR(VLOOKUP($C:$C,Structure!$A:$AJ,W$1,0)*15,0),IFERROR(VLOOKUP($D:$D,Structure!$A:$AJ,W$1,0)*15,0),IFERROR(VLOOKUP($E:$E,Structure!$A:$AJ,W$1,0)*15,0))</f>
        <v>0</v>
      </c>
      <c r="X142" s="13">
        <f>SUM(IFERROR(VLOOKUP($C:$C,Structure!$A:$AJ,X$1,0)*15,0),IFERROR(VLOOKUP($D:$D,Structure!$A:$AJ,X$1,0)*15,0),IFERROR(VLOOKUP($E:$E,Structure!$A:$AJ,X$1,0)*15,0))</f>
        <v>0</v>
      </c>
      <c r="Y142" s="13">
        <f>SUM(IFERROR(VLOOKUP($C:$C,Structure!$A:$AJ,Y$1,0)*15,0),IFERROR(VLOOKUP($D:$D,Structure!$A:$AJ,Y$1,0)*15,0),IFERROR(VLOOKUP($E:$E,Structure!$A:$AJ,Y$1,0)*15,0))</f>
        <v>0</v>
      </c>
      <c r="Z142" s="13">
        <f>SUM(IFERROR(VLOOKUP($C:$C,Structure!$A:$AJ,Z$1,0)*15,0),IFERROR(VLOOKUP($D:$D,Structure!$A:$AJ,Z$1,0)*15,0),IFERROR(VLOOKUP($E:$E,Structure!$A:$AJ,Z$1,0)*15,0))</f>
        <v>0</v>
      </c>
      <c r="AA142" s="13">
        <f>SUM(IFERROR(VLOOKUP($C:$C,Structure!$A:$AJ,AA$1,0)*15,0),IFERROR(VLOOKUP($D:$D,Structure!$A:$AJ,AA$1,0)*15,0),IFERROR(VLOOKUP($E:$E,Structure!$A:$AJ,AA$1,0)*15,0))</f>
        <v>45</v>
      </c>
      <c r="AB142" s="13">
        <f>SUM(IFERROR(VLOOKUP($C:$C,Structure!$A:$AJ,AB$1,0)*15,0),IFERROR(VLOOKUP($D:$D,Structure!$A:$AJ,AB$1,0)*15,0),IFERROR(VLOOKUP($E:$E,Structure!$A:$AJ,AB$1,0)*15,0))</f>
        <v>0</v>
      </c>
      <c r="AC142" s="13">
        <f>SUM(IFERROR(VLOOKUP($C:$C,Structure!$A:$AJ,AC$1,0)*15,0),IFERROR(VLOOKUP($D:$D,Structure!$A:$AJ,AC$1,0)*15,0),IFERROR(VLOOKUP($E:$E,Structure!$A:$AJ,AC$1,0)*15,0))</f>
        <v>0</v>
      </c>
      <c r="AD142" s="13">
        <f>SUM(IFERROR(VLOOKUP($C:$C,Structure!$A:$AJ,AD$1,0)*15,0),IFERROR(VLOOKUP($D:$D,Structure!$A:$AJ,AD$1,0)*15,0),IFERROR(VLOOKUP($E:$E,Structure!$A:$AJ,AD$1,0)*15,0))</f>
        <v>0</v>
      </c>
      <c r="AE142" s="13">
        <f>SUM(IFERROR(VLOOKUP($C:$C,Structure!$A:$AJ,AE$1,0)*15,0),IFERROR(VLOOKUP($D:$D,Structure!$A:$AJ,AE$1,0)*15,0),IFERROR(VLOOKUP($E:$E,Structure!$A:$AJ,AE$1,0)*15,0))</f>
        <v>0</v>
      </c>
      <c r="AF142" s="13">
        <f>SUM(IFERROR(VLOOKUP($C:$C,Structure!$A:$AJ,AF$1,0)*15,0),IFERROR(VLOOKUP($D:$D,Structure!$A:$AJ,AF$1,0)*15,0),IFERROR(VLOOKUP($E:$E,Structure!$A:$AJ,AF$1,0)*15,0))</f>
        <v>0</v>
      </c>
      <c r="AG142" s="13">
        <f>SUM(IFERROR(VLOOKUP($C:$C,Structure!$A:$AJ,AG$1,0)*15,0),IFERROR(VLOOKUP($D:$D,Structure!$A:$AJ,AG$1,0)*15,0),IFERROR(VLOOKUP($E:$E,Structure!$A:$AJ,AG$1,0)*15,0))</f>
        <v>0</v>
      </c>
      <c r="AH142" s="13">
        <f>SUM(IFERROR(VLOOKUP($C:$C,Structure!$A:$AJ,AH$1,0)*15,0),IFERROR(VLOOKUP($D:$D,Structure!$A:$AJ,AH$1,0)*15,0),IFERROR(VLOOKUP($E:$E,Structure!$A:$AJ,AH$1,0)*15,0))</f>
        <v>0</v>
      </c>
      <c r="AI142" s="13">
        <f>SUM(IFERROR(VLOOKUP($C:$C,Structure!$A:$AJ,AI$1,0)*15,0),IFERROR(VLOOKUP($D:$D,Structure!$A:$AJ,AI$1,0)*15,0),IFERROR(VLOOKUP($E:$E,Structure!$A:$AJ,AI$1,0)*15,0))</f>
        <v>0</v>
      </c>
      <c r="AJ142" s="13">
        <f>SUM(IFERROR(VLOOKUP($C:$C,Structure!$A:$AJ,AJ$1,0)*15,0),IFERROR(VLOOKUP($D:$D,Structure!$A:$AJ,AJ$1,0)*15,0),IFERROR(VLOOKUP($E:$E,Structure!$A:$AJ,AJ$1,0)*15,0))</f>
        <v>45</v>
      </c>
      <c r="AK142" s="13">
        <f>SUM(IFERROR(VLOOKUP($C:$C,Structure!$A:$AJ,AK$1,0)*15,0),IFERROR(VLOOKUP($D:$D,Structure!$A:$AJ,AK$1,0)*15,0),IFERROR(VLOOKUP($E:$E,Structure!$A:$AJ,AK$1,0)*15,0))</f>
        <v>0</v>
      </c>
      <c r="AL142" s="13">
        <f>SUM(IFERROR(VLOOKUP($C:$C,Structure!$A:$AJ,AL$1,0)*15,0),IFERROR(VLOOKUP($D:$D,Structure!$A:$AJ,AL$1,0)*15,0),IFERROR(VLOOKUP($E:$E,Structure!$A:$AJ,AL$1,0)*15,0))</f>
        <v>0</v>
      </c>
      <c r="AM142" s="13">
        <f>SUM(IFERROR(VLOOKUP($C:$C,Structure!$A:$AJ,AM$1,0)*15,0),IFERROR(VLOOKUP($D:$D,Structure!$A:$AJ,AM$1,0)*15,0),IFERROR(VLOOKUP($E:$E,Structure!$A:$AJ,AM$1,0)*15,0))</f>
        <v>0</v>
      </c>
      <c r="AN142" s="13">
        <f>SUM(IFERROR(VLOOKUP($C:$C,Structure!$A:$AJ,AN$1,0)*15,0),IFERROR(VLOOKUP($D:$D,Structure!$A:$AJ,AN$1,0)*15,0),IFERROR(VLOOKUP($E:$E,Structure!$A:$AJ,AN$1,0)*15,0))</f>
        <v>0</v>
      </c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3"/>
      <c r="BZ142" s="4">
        <f>BZ141+AQ142-F142</f>
        <v>0</v>
      </c>
      <c r="CA142" s="4">
        <f>CA141+AR142-G142</f>
        <v>0</v>
      </c>
      <c r="CB142" s="4">
        <f>CB141+AS142-H142</f>
        <v>0</v>
      </c>
      <c r="CC142" s="4">
        <f>CC141+AT142-I142</f>
        <v>0</v>
      </c>
      <c r="CD142" s="4">
        <f>CD141+AU142-J142</f>
        <v>0</v>
      </c>
      <c r="CE142" s="4">
        <f>CE141+AV142-K142</f>
        <v>0</v>
      </c>
      <c r="CF142" s="4">
        <f>CF141+AW142-L142</f>
        <v>0</v>
      </c>
      <c r="CG142" s="4">
        <f>CG141+AX142-M142</f>
        <v>0</v>
      </c>
      <c r="CH142" s="4">
        <f>CH141+AY142-N142</f>
        <v>0</v>
      </c>
      <c r="CI142" s="4">
        <f>CI141+AZ142-O142</f>
        <v>0</v>
      </c>
      <c r="CJ142" s="4">
        <f>CJ141+BA142-P142</f>
        <v>0</v>
      </c>
      <c r="CK142" s="4">
        <f>CK141+BB142-Q142</f>
        <v>0</v>
      </c>
      <c r="CL142" s="4">
        <f>CL141+BC142-R142</f>
        <v>0</v>
      </c>
      <c r="CM142" s="4">
        <f>CM141+BD142-S142</f>
        <v>0</v>
      </c>
      <c r="CN142" s="4">
        <f>CN141+BE142-T142</f>
        <v>0</v>
      </c>
      <c r="CO142" s="4">
        <f>CO141+BF142-U142</f>
        <v>0</v>
      </c>
      <c r="CP142" s="4">
        <f>CP141+BG142-V142</f>
        <v>-60</v>
      </c>
      <c r="CQ142" s="4">
        <f>CQ141+BH142-W142</f>
        <v>0</v>
      </c>
      <c r="CR142" s="4">
        <f>CR141+BI142-X142</f>
        <v>-60</v>
      </c>
      <c r="CS142" s="4">
        <f>CS141+BJ142-Y142</f>
        <v>0</v>
      </c>
      <c r="CT142" s="4">
        <f>CT141+BK142-Z142</f>
        <v>0</v>
      </c>
      <c r="CU142" s="4">
        <f>CU141+BL142-AA142</f>
        <v>-5585</v>
      </c>
      <c r="CV142" s="4">
        <f>CV141+BM142-AB142</f>
        <v>-240</v>
      </c>
      <c r="CW142" s="4">
        <f>CW141+BN142-AC142</f>
        <v>-255</v>
      </c>
      <c r="CX142" s="4">
        <f>CX141+BO142-AD142</f>
        <v>0</v>
      </c>
      <c r="CY142" s="4">
        <f>CY141+BP142-AE142</f>
        <v>-60</v>
      </c>
      <c r="CZ142" s="4">
        <f>CZ141+BQ142-AF142</f>
        <v>-160</v>
      </c>
      <c r="DA142" s="4">
        <f>DA141+BR142-AG142</f>
        <v>0</v>
      </c>
      <c r="DB142" s="4">
        <f>DB141+BS142-AH142</f>
        <v>-60</v>
      </c>
      <c r="DC142" s="4">
        <f>DC141+BT142-AI142</f>
        <v>0</v>
      </c>
      <c r="DD142" s="4">
        <f>DD141+BU142-AJ142</f>
        <v>-4330</v>
      </c>
      <c r="DE142" s="4">
        <f>DE141+BV142-AK142</f>
        <v>-1275</v>
      </c>
      <c r="DF142" s="4">
        <f>DF141+BW142-AL142</f>
        <v>0</v>
      </c>
      <c r="DG142" s="4">
        <f>DG141+BX142-AM142</f>
        <v>-235</v>
      </c>
      <c r="DH142" s="4">
        <f>DH141+BY142-AN142</f>
        <v>0</v>
      </c>
    </row>
    <row r="143" spans="1:112" x14ac:dyDescent="0.25">
      <c r="A143" s="6">
        <v>46185</v>
      </c>
      <c r="B143" s="7">
        <v>0.1666666663295473</v>
      </c>
      <c r="C143" s="3" t="s">
        <v>2</v>
      </c>
      <c r="D143" s="3" t="s">
        <v>6</v>
      </c>
      <c r="E143" s="3" t="s">
        <v>2</v>
      </c>
      <c r="F143" s="13">
        <f>SUM(IFERROR(VLOOKUP($C:$C,Structure!$A:$AJ,F$1,0)*15,0),IFERROR(VLOOKUP($D:$D,Structure!$A:$AJ,F$1,0)*15,0),IFERROR(VLOOKUP($E:$E,Structure!$A:$AJ,F$1,0)*15,0))</f>
        <v>0</v>
      </c>
      <c r="G143" s="13">
        <f>SUM(IFERROR(VLOOKUP($C:$C,Structure!$A:$AJ,G$1,0)*15,0),IFERROR(VLOOKUP($D:$D,Structure!$A:$AJ,G$1,0)*15,0),IFERROR(VLOOKUP($E:$E,Structure!$A:$AJ,G$1,0)*15,0))</f>
        <v>0</v>
      </c>
      <c r="H143" s="13">
        <f>SUM(IFERROR(VLOOKUP($C:$C,Structure!$A:$AJ,H$1,0)*15,0),IFERROR(VLOOKUP($D:$D,Structure!$A:$AJ,H$1,0)*15,0),IFERROR(VLOOKUP($E:$E,Structure!$A:$AJ,H$1,0)*15,0))</f>
        <v>0</v>
      </c>
      <c r="I143" s="13">
        <f>SUM(IFERROR(VLOOKUP($C:$C,Structure!$A:$AJ,I$1,0)*15,0),IFERROR(VLOOKUP($D:$D,Structure!$A:$AJ,I$1,0)*15,0),IFERROR(VLOOKUP($E:$E,Structure!$A:$AJ,I$1,0)*15,0))</f>
        <v>0</v>
      </c>
      <c r="J143" s="13">
        <f>SUM(IFERROR(VLOOKUP($C:$C,Structure!$A:$AJ,J$1,0)*15,0),IFERROR(VLOOKUP($D:$D,Structure!$A:$AJ,J$1,0)*15,0),IFERROR(VLOOKUP($E:$E,Structure!$A:$AJ,J$1,0)*15,0))</f>
        <v>0</v>
      </c>
      <c r="K143" s="13">
        <f>SUM(IFERROR(VLOOKUP($C:$C,Structure!$A:$AJ,K$1,0)*15,0),IFERROR(VLOOKUP($D:$D,Structure!$A:$AJ,K$1,0)*15,0),IFERROR(VLOOKUP($E:$E,Structure!$A:$AJ,K$1,0)*15,0))</f>
        <v>0</v>
      </c>
      <c r="L143" s="13">
        <f>SUM(IFERROR(VLOOKUP($C:$C,Structure!$A:$AJ,L$1,0)*15,0),IFERROR(VLOOKUP($D:$D,Structure!$A:$AJ,L$1,0)*15,0),IFERROR(VLOOKUP($E:$E,Structure!$A:$AJ,L$1,0)*15,0))</f>
        <v>0</v>
      </c>
      <c r="M143" s="13">
        <f>SUM(IFERROR(VLOOKUP($C:$C,Structure!$A:$AJ,M$1,0)*15,0),IFERROR(VLOOKUP($D:$D,Structure!$A:$AJ,M$1,0)*15,0),IFERROR(VLOOKUP($E:$E,Structure!$A:$AJ,M$1,0)*15,0))</f>
        <v>0</v>
      </c>
      <c r="N143" s="13">
        <f>SUM(IFERROR(VLOOKUP($C:$C,Structure!$A:$AJ,N$1,0)*15,0),IFERROR(VLOOKUP($D:$D,Structure!$A:$AJ,N$1,0)*15,0),IFERROR(VLOOKUP($E:$E,Structure!$A:$AJ,N$1,0)*15,0))</f>
        <v>0</v>
      </c>
      <c r="O143" s="13">
        <f>SUM(IFERROR(VLOOKUP($C:$C,Structure!$A:$AJ,O$1,0)*15,0),IFERROR(VLOOKUP($D:$D,Structure!$A:$AJ,O$1,0)*15,0),IFERROR(VLOOKUP($E:$E,Structure!$A:$AJ,O$1,0)*15,0))</f>
        <v>0</v>
      </c>
      <c r="P143" s="13">
        <f>SUM(IFERROR(VLOOKUP($C:$C,Structure!$A:$AJ,P$1,0)*15,0),IFERROR(VLOOKUP($D:$D,Structure!$A:$AJ,P$1,0)*15,0),IFERROR(VLOOKUP($E:$E,Structure!$A:$AJ,P$1,0)*15,0))</f>
        <v>0</v>
      </c>
      <c r="Q143" s="13">
        <f>SUM(IFERROR(VLOOKUP($C:$C,Structure!$A:$AJ,Q$1,0)*15,0),IFERROR(VLOOKUP($D:$D,Structure!$A:$AJ,Q$1,0)*15,0),IFERROR(VLOOKUP($E:$E,Structure!$A:$AJ,Q$1,0)*15,0))</f>
        <v>0</v>
      </c>
      <c r="R143" s="13">
        <f>SUM(IFERROR(VLOOKUP($C:$C,Structure!$A:$AJ,R$1,0)*15,0),IFERROR(VLOOKUP($D:$D,Structure!$A:$AJ,R$1,0)*15,0),IFERROR(VLOOKUP($E:$E,Structure!$A:$AJ,R$1,0)*15,0))</f>
        <v>0</v>
      </c>
      <c r="S143" s="13">
        <f>SUM(IFERROR(VLOOKUP($C:$C,Structure!$A:$AJ,S$1,0)*15,0),IFERROR(VLOOKUP($D:$D,Structure!$A:$AJ,S$1,0)*15,0),IFERROR(VLOOKUP($E:$E,Structure!$A:$AJ,S$1,0)*15,0))</f>
        <v>0</v>
      </c>
      <c r="T143" s="13">
        <f>SUM(IFERROR(VLOOKUP($C:$C,Structure!$A:$AJ,T$1,0)*15,0),IFERROR(VLOOKUP($D:$D,Structure!$A:$AJ,T$1,0)*15,0),IFERROR(VLOOKUP($E:$E,Structure!$A:$AJ,T$1,0)*15,0))</f>
        <v>0</v>
      </c>
      <c r="U143" s="13">
        <f>SUM(IFERROR(VLOOKUP($C:$C,Structure!$A:$AJ,U$1,0)*15,0),IFERROR(VLOOKUP($D:$D,Structure!$A:$AJ,U$1,0)*15,0),IFERROR(VLOOKUP($E:$E,Structure!$A:$AJ,U$1,0)*15,0))</f>
        <v>0</v>
      </c>
      <c r="V143" s="13">
        <f>SUM(IFERROR(VLOOKUP($C:$C,Structure!$A:$AJ,V$1,0)*15,0),IFERROR(VLOOKUP($D:$D,Structure!$A:$AJ,V$1,0)*15,0),IFERROR(VLOOKUP($E:$E,Structure!$A:$AJ,V$1,0)*15,0))</f>
        <v>0</v>
      </c>
      <c r="W143" s="13">
        <f>SUM(IFERROR(VLOOKUP($C:$C,Structure!$A:$AJ,W$1,0)*15,0),IFERROR(VLOOKUP($D:$D,Structure!$A:$AJ,W$1,0)*15,0),IFERROR(VLOOKUP($E:$E,Structure!$A:$AJ,W$1,0)*15,0))</f>
        <v>0</v>
      </c>
      <c r="X143" s="13">
        <f>SUM(IFERROR(VLOOKUP($C:$C,Structure!$A:$AJ,X$1,0)*15,0),IFERROR(VLOOKUP($D:$D,Structure!$A:$AJ,X$1,0)*15,0),IFERROR(VLOOKUP($E:$E,Structure!$A:$AJ,X$1,0)*15,0))</f>
        <v>0</v>
      </c>
      <c r="Y143" s="13">
        <f>SUM(IFERROR(VLOOKUP($C:$C,Structure!$A:$AJ,Y$1,0)*15,0),IFERROR(VLOOKUP($D:$D,Structure!$A:$AJ,Y$1,0)*15,0),IFERROR(VLOOKUP($E:$E,Structure!$A:$AJ,Y$1,0)*15,0))</f>
        <v>0</v>
      </c>
      <c r="Z143" s="13">
        <f>SUM(IFERROR(VLOOKUP($C:$C,Structure!$A:$AJ,Z$1,0)*15,0),IFERROR(VLOOKUP($D:$D,Structure!$A:$AJ,Z$1,0)*15,0),IFERROR(VLOOKUP($E:$E,Structure!$A:$AJ,Z$1,0)*15,0))</f>
        <v>0</v>
      </c>
      <c r="AA143" s="13">
        <f>SUM(IFERROR(VLOOKUP($C:$C,Structure!$A:$AJ,AA$1,0)*15,0),IFERROR(VLOOKUP($D:$D,Structure!$A:$AJ,AA$1,0)*15,0),IFERROR(VLOOKUP($E:$E,Structure!$A:$AJ,AA$1,0)*15,0))</f>
        <v>45</v>
      </c>
      <c r="AB143" s="13">
        <f>SUM(IFERROR(VLOOKUP($C:$C,Structure!$A:$AJ,AB$1,0)*15,0),IFERROR(VLOOKUP($D:$D,Structure!$A:$AJ,AB$1,0)*15,0),IFERROR(VLOOKUP($E:$E,Structure!$A:$AJ,AB$1,0)*15,0))</f>
        <v>0</v>
      </c>
      <c r="AC143" s="13">
        <f>SUM(IFERROR(VLOOKUP($C:$C,Structure!$A:$AJ,AC$1,0)*15,0),IFERROR(VLOOKUP($D:$D,Structure!$A:$AJ,AC$1,0)*15,0),IFERROR(VLOOKUP($E:$E,Structure!$A:$AJ,AC$1,0)*15,0))</f>
        <v>0</v>
      </c>
      <c r="AD143" s="13">
        <f>SUM(IFERROR(VLOOKUP($C:$C,Structure!$A:$AJ,AD$1,0)*15,0),IFERROR(VLOOKUP($D:$D,Structure!$A:$AJ,AD$1,0)*15,0),IFERROR(VLOOKUP($E:$E,Structure!$A:$AJ,AD$1,0)*15,0))</f>
        <v>0</v>
      </c>
      <c r="AE143" s="13">
        <f>SUM(IFERROR(VLOOKUP($C:$C,Structure!$A:$AJ,AE$1,0)*15,0),IFERROR(VLOOKUP($D:$D,Structure!$A:$AJ,AE$1,0)*15,0),IFERROR(VLOOKUP($E:$E,Structure!$A:$AJ,AE$1,0)*15,0))</f>
        <v>0</v>
      </c>
      <c r="AF143" s="13">
        <f>SUM(IFERROR(VLOOKUP($C:$C,Structure!$A:$AJ,AF$1,0)*15,0),IFERROR(VLOOKUP($D:$D,Structure!$A:$AJ,AF$1,0)*15,0),IFERROR(VLOOKUP($E:$E,Structure!$A:$AJ,AF$1,0)*15,0))</f>
        <v>0</v>
      </c>
      <c r="AG143" s="13">
        <f>SUM(IFERROR(VLOOKUP($C:$C,Structure!$A:$AJ,AG$1,0)*15,0),IFERROR(VLOOKUP($D:$D,Structure!$A:$AJ,AG$1,0)*15,0),IFERROR(VLOOKUP($E:$E,Structure!$A:$AJ,AG$1,0)*15,0))</f>
        <v>0</v>
      </c>
      <c r="AH143" s="13">
        <f>SUM(IFERROR(VLOOKUP($C:$C,Structure!$A:$AJ,AH$1,0)*15,0),IFERROR(VLOOKUP($D:$D,Structure!$A:$AJ,AH$1,0)*15,0),IFERROR(VLOOKUP($E:$E,Structure!$A:$AJ,AH$1,0)*15,0))</f>
        <v>0</v>
      </c>
      <c r="AI143" s="13">
        <f>SUM(IFERROR(VLOOKUP($C:$C,Structure!$A:$AJ,AI$1,0)*15,0),IFERROR(VLOOKUP($D:$D,Structure!$A:$AJ,AI$1,0)*15,0),IFERROR(VLOOKUP($E:$E,Structure!$A:$AJ,AI$1,0)*15,0))</f>
        <v>0</v>
      </c>
      <c r="AJ143" s="13">
        <f>SUM(IFERROR(VLOOKUP($C:$C,Structure!$A:$AJ,AJ$1,0)*15,0),IFERROR(VLOOKUP($D:$D,Structure!$A:$AJ,AJ$1,0)*15,0),IFERROR(VLOOKUP($E:$E,Structure!$A:$AJ,AJ$1,0)*15,0))</f>
        <v>45</v>
      </c>
      <c r="AK143" s="13">
        <f>SUM(IFERROR(VLOOKUP($C:$C,Structure!$A:$AJ,AK$1,0)*15,0),IFERROR(VLOOKUP($D:$D,Structure!$A:$AJ,AK$1,0)*15,0),IFERROR(VLOOKUP($E:$E,Structure!$A:$AJ,AK$1,0)*15,0))</f>
        <v>0</v>
      </c>
      <c r="AL143" s="13">
        <f>SUM(IFERROR(VLOOKUP($C:$C,Structure!$A:$AJ,AL$1,0)*15,0),IFERROR(VLOOKUP($D:$D,Structure!$A:$AJ,AL$1,0)*15,0),IFERROR(VLOOKUP($E:$E,Structure!$A:$AJ,AL$1,0)*15,0))</f>
        <v>0</v>
      </c>
      <c r="AM143" s="13">
        <f>SUM(IFERROR(VLOOKUP($C:$C,Structure!$A:$AJ,AM$1,0)*15,0),IFERROR(VLOOKUP($D:$D,Structure!$A:$AJ,AM$1,0)*15,0),IFERROR(VLOOKUP($E:$E,Structure!$A:$AJ,AM$1,0)*15,0))</f>
        <v>0</v>
      </c>
      <c r="AN143" s="13">
        <f>SUM(IFERROR(VLOOKUP($C:$C,Structure!$A:$AJ,AN$1,0)*15,0),IFERROR(VLOOKUP($D:$D,Structure!$A:$AJ,AN$1,0)*15,0),IFERROR(VLOOKUP($E:$E,Structure!$A:$AJ,AN$1,0)*15,0))</f>
        <v>0</v>
      </c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3"/>
      <c r="BZ143" s="4">
        <f>BZ142+AQ143-F143</f>
        <v>0</v>
      </c>
      <c r="CA143" s="4">
        <f>CA142+AR143-G143</f>
        <v>0</v>
      </c>
      <c r="CB143" s="4">
        <f>CB142+AS143-H143</f>
        <v>0</v>
      </c>
      <c r="CC143" s="4">
        <f>CC142+AT143-I143</f>
        <v>0</v>
      </c>
      <c r="CD143" s="4">
        <f>CD142+AU143-J143</f>
        <v>0</v>
      </c>
      <c r="CE143" s="4">
        <f>CE142+AV143-K143</f>
        <v>0</v>
      </c>
      <c r="CF143" s="4">
        <f>CF142+AW143-L143</f>
        <v>0</v>
      </c>
      <c r="CG143" s="4">
        <f>CG142+AX143-M143</f>
        <v>0</v>
      </c>
      <c r="CH143" s="4">
        <f>CH142+AY143-N143</f>
        <v>0</v>
      </c>
      <c r="CI143" s="4">
        <f>CI142+AZ143-O143</f>
        <v>0</v>
      </c>
      <c r="CJ143" s="4">
        <f>CJ142+BA143-P143</f>
        <v>0</v>
      </c>
      <c r="CK143" s="4">
        <f>CK142+BB143-Q143</f>
        <v>0</v>
      </c>
      <c r="CL143" s="4">
        <f>CL142+BC143-R143</f>
        <v>0</v>
      </c>
      <c r="CM143" s="4">
        <f>CM142+BD143-S143</f>
        <v>0</v>
      </c>
      <c r="CN143" s="4">
        <f>CN142+BE143-T143</f>
        <v>0</v>
      </c>
      <c r="CO143" s="4">
        <f>CO142+BF143-U143</f>
        <v>0</v>
      </c>
      <c r="CP143" s="4">
        <f>CP142+BG143-V143</f>
        <v>-60</v>
      </c>
      <c r="CQ143" s="4">
        <f>CQ142+BH143-W143</f>
        <v>0</v>
      </c>
      <c r="CR143" s="4">
        <f>CR142+BI143-X143</f>
        <v>-60</v>
      </c>
      <c r="CS143" s="4">
        <f>CS142+BJ143-Y143</f>
        <v>0</v>
      </c>
      <c r="CT143" s="4">
        <f>CT142+BK143-Z143</f>
        <v>0</v>
      </c>
      <c r="CU143" s="4">
        <f>CU142+BL143-AA143</f>
        <v>-5630</v>
      </c>
      <c r="CV143" s="4">
        <f>CV142+BM143-AB143</f>
        <v>-240</v>
      </c>
      <c r="CW143" s="4">
        <f>CW142+BN143-AC143</f>
        <v>-255</v>
      </c>
      <c r="CX143" s="4">
        <f>CX142+BO143-AD143</f>
        <v>0</v>
      </c>
      <c r="CY143" s="4">
        <f>CY142+BP143-AE143</f>
        <v>-60</v>
      </c>
      <c r="CZ143" s="4">
        <f>CZ142+BQ143-AF143</f>
        <v>-160</v>
      </c>
      <c r="DA143" s="4">
        <f>DA142+BR143-AG143</f>
        <v>0</v>
      </c>
      <c r="DB143" s="4">
        <f>DB142+BS143-AH143</f>
        <v>-60</v>
      </c>
      <c r="DC143" s="4">
        <f>DC142+BT143-AI143</f>
        <v>0</v>
      </c>
      <c r="DD143" s="4">
        <f>DD142+BU143-AJ143</f>
        <v>-4375</v>
      </c>
      <c r="DE143" s="4">
        <f>DE142+BV143-AK143</f>
        <v>-1275</v>
      </c>
      <c r="DF143" s="4">
        <f>DF142+BW143-AL143</f>
        <v>0</v>
      </c>
      <c r="DG143" s="4">
        <f>DG142+BX143-AM143</f>
        <v>-235</v>
      </c>
      <c r="DH143" s="4">
        <f>DH142+BY143-AN143</f>
        <v>0</v>
      </c>
    </row>
    <row r="144" spans="1:112" x14ac:dyDescent="0.25">
      <c r="A144" s="6">
        <v>46185</v>
      </c>
      <c r="B144" s="7">
        <v>0.20833333299378864</v>
      </c>
      <c r="C144" s="3" t="s">
        <v>2</v>
      </c>
      <c r="D144" s="3" t="s">
        <v>6</v>
      </c>
      <c r="E144" s="3" t="s">
        <v>2</v>
      </c>
      <c r="F144" s="13">
        <f>SUM(IFERROR(VLOOKUP($C:$C,Structure!$A:$AJ,F$1,0)*15,0),IFERROR(VLOOKUP($D:$D,Structure!$A:$AJ,F$1,0)*15,0),IFERROR(VLOOKUP($E:$E,Structure!$A:$AJ,F$1,0)*15,0))</f>
        <v>0</v>
      </c>
      <c r="G144" s="13">
        <f>SUM(IFERROR(VLOOKUP($C:$C,Structure!$A:$AJ,G$1,0)*15,0),IFERROR(VLOOKUP($D:$D,Structure!$A:$AJ,G$1,0)*15,0),IFERROR(VLOOKUP($E:$E,Structure!$A:$AJ,G$1,0)*15,0))</f>
        <v>0</v>
      </c>
      <c r="H144" s="13">
        <f>SUM(IFERROR(VLOOKUP($C:$C,Structure!$A:$AJ,H$1,0)*15,0),IFERROR(VLOOKUP($D:$D,Structure!$A:$AJ,H$1,0)*15,0),IFERROR(VLOOKUP($E:$E,Structure!$A:$AJ,H$1,0)*15,0))</f>
        <v>0</v>
      </c>
      <c r="I144" s="13">
        <f>SUM(IFERROR(VLOOKUP($C:$C,Structure!$A:$AJ,I$1,0)*15,0),IFERROR(VLOOKUP($D:$D,Structure!$A:$AJ,I$1,0)*15,0),IFERROR(VLOOKUP($E:$E,Structure!$A:$AJ,I$1,0)*15,0))</f>
        <v>0</v>
      </c>
      <c r="J144" s="13">
        <f>SUM(IFERROR(VLOOKUP($C:$C,Structure!$A:$AJ,J$1,0)*15,0),IFERROR(VLOOKUP($D:$D,Structure!$A:$AJ,J$1,0)*15,0),IFERROR(VLOOKUP($E:$E,Structure!$A:$AJ,J$1,0)*15,0))</f>
        <v>0</v>
      </c>
      <c r="K144" s="13">
        <f>SUM(IFERROR(VLOOKUP($C:$C,Structure!$A:$AJ,K$1,0)*15,0),IFERROR(VLOOKUP($D:$D,Structure!$A:$AJ,K$1,0)*15,0),IFERROR(VLOOKUP($E:$E,Structure!$A:$AJ,K$1,0)*15,0))</f>
        <v>0</v>
      </c>
      <c r="L144" s="13">
        <f>SUM(IFERROR(VLOOKUP($C:$C,Structure!$A:$AJ,L$1,0)*15,0),IFERROR(VLOOKUP($D:$D,Structure!$A:$AJ,L$1,0)*15,0),IFERROR(VLOOKUP($E:$E,Structure!$A:$AJ,L$1,0)*15,0))</f>
        <v>0</v>
      </c>
      <c r="M144" s="13">
        <f>SUM(IFERROR(VLOOKUP($C:$C,Structure!$A:$AJ,M$1,0)*15,0),IFERROR(VLOOKUP($D:$D,Structure!$A:$AJ,M$1,0)*15,0),IFERROR(VLOOKUP($E:$E,Structure!$A:$AJ,M$1,0)*15,0))</f>
        <v>0</v>
      </c>
      <c r="N144" s="13">
        <f>SUM(IFERROR(VLOOKUP($C:$C,Structure!$A:$AJ,N$1,0)*15,0),IFERROR(VLOOKUP($D:$D,Structure!$A:$AJ,N$1,0)*15,0),IFERROR(VLOOKUP($E:$E,Structure!$A:$AJ,N$1,0)*15,0))</f>
        <v>0</v>
      </c>
      <c r="O144" s="13">
        <f>SUM(IFERROR(VLOOKUP($C:$C,Structure!$A:$AJ,O$1,0)*15,0),IFERROR(VLOOKUP($D:$D,Structure!$A:$AJ,O$1,0)*15,0),IFERROR(VLOOKUP($E:$E,Structure!$A:$AJ,O$1,0)*15,0))</f>
        <v>0</v>
      </c>
      <c r="P144" s="13">
        <f>SUM(IFERROR(VLOOKUP($C:$C,Structure!$A:$AJ,P$1,0)*15,0),IFERROR(VLOOKUP($D:$D,Structure!$A:$AJ,P$1,0)*15,0),IFERROR(VLOOKUP($E:$E,Structure!$A:$AJ,P$1,0)*15,0))</f>
        <v>0</v>
      </c>
      <c r="Q144" s="13">
        <f>SUM(IFERROR(VLOOKUP($C:$C,Structure!$A:$AJ,Q$1,0)*15,0),IFERROR(VLOOKUP($D:$D,Structure!$A:$AJ,Q$1,0)*15,0),IFERROR(VLOOKUP($E:$E,Structure!$A:$AJ,Q$1,0)*15,0))</f>
        <v>0</v>
      </c>
      <c r="R144" s="13">
        <f>SUM(IFERROR(VLOOKUP($C:$C,Structure!$A:$AJ,R$1,0)*15,0),IFERROR(VLOOKUP($D:$D,Structure!$A:$AJ,R$1,0)*15,0),IFERROR(VLOOKUP($E:$E,Structure!$A:$AJ,R$1,0)*15,0))</f>
        <v>0</v>
      </c>
      <c r="S144" s="13">
        <f>SUM(IFERROR(VLOOKUP($C:$C,Structure!$A:$AJ,S$1,0)*15,0),IFERROR(VLOOKUP($D:$D,Structure!$A:$AJ,S$1,0)*15,0),IFERROR(VLOOKUP($E:$E,Structure!$A:$AJ,S$1,0)*15,0))</f>
        <v>0</v>
      </c>
      <c r="T144" s="13">
        <f>SUM(IFERROR(VLOOKUP($C:$C,Structure!$A:$AJ,T$1,0)*15,0),IFERROR(VLOOKUP($D:$D,Structure!$A:$AJ,T$1,0)*15,0),IFERROR(VLOOKUP($E:$E,Structure!$A:$AJ,T$1,0)*15,0))</f>
        <v>0</v>
      </c>
      <c r="U144" s="13">
        <f>SUM(IFERROR(VLOOKUP($C:$C,Structure!$A:$AJ,U$1,0)*15,0),IFERROR(VLOOKUP($D:$D,Structure!$A:$AJ,U$1,0)*15,0),IFERROR(VLOOKUP($E:$E,Structure!$A:$AJ,U$1,0)*15,0))</f>
        <v>0</v>
      </c>
      <c r="V144" s="13">
        <f>SUM(IFERROR(VLOOKUP($C:$C,Structure!$A:$AJ,V$1,0)*15,0),IFERROR(VLOOKUP($D:$D,Structure!$A:$AJ,V$1,0)*15,0),IFERROR(VLOOKUP($E:$E,Structure!$A:$AJ,V$1,0)*15,0))</f>
        <v>0</v>
      </c>
      <c r="W144" s="13">
        <f>SUM(IFERROR(VLOOKUP($C:$C,Structure!$A:$AJ,W$1,0)*15,0),IFERROR(VLOOKUP($D:$D,Structure!$A:$AJ,W$1,0)*15,0),IFERROR(VLOOKUP($E:$E,Structure!$A:$AJ,W$1,0)*15,0))</f>
        <v>0</v>
      </c>
      <c r="X144" s="13">
        <f>SUM(IFERROR(VLOOKUP($C:$C,Structure!$A:$AJ,X$1,0)*15,0),IFERROR(VLOOKUP($D:$D,Structure!$A:$AJ,X$1,0)*15,0),IFERROR(VLOOKUP($E:$E,Structure!$A:$AJ,X$1,0)*15,0))</f>
        <v>0</v>
      </c>
      <c r="Y144" s="13">
        <f>SUM(IFERROR(VLOOKUP($C:$C,Structure!$A:$AJ,Y$1,0)*15,0),IFERROR(VLOOKUP($D:$D,Structure!$A:$AJ,Y$1,0)*15,0),IFERROR(VLOOKUP($E:$E,Structure!$A:$AJ,Y$1,0)*15,0))</f>
        <v>0</v>
      </c>
      <c r="Z144" s="13">
        <f>SUM(IFERROR(VLOOKUP($C:$C,Structure!$A:$AJ,Z$1,0)*15,0),IFERROR(VLOOKUP($D:$D,Structure!$A:$AJ,Z$1,0)*15,0),IFERROR(VLOOKUP($E:$E,Structure!$A:$AJ,Z$1,0)*15,0))</f>
        <v>0</v>
      </c>
      <c r="AA144" s="13">
        <f>SUM(IFERROR(VLOOKUP($C:$C,Structure!$A:$AJ,AA$1,0)*15,0),IFERROR(VLOOKUP($D:$D,Structure!$A:$AJ,AA$1,0)*15,0),IFERROR(VLOOKUP($E:$E,Structure!$A:$AJ,AA$1,0)*15,0))</f>
        <v>45</v>
      </c>
      <c r="AB144" s="13">
        <f>SUM(IFERROR(VLOOKUP($C:$C,Structure!$A:$AJ,AB$1,0)*15,0),IFERROR(VLOOKUP($D:$D,Structure!$A:$AJ,AB$1,0)*15,0),IFERROR(VLOOKUP($E:$E,Structure!$A:$AJ,AB$1,0)*15,0))</f>
        <v>0</v>
      </c>
      <c r="AC144" s="13">
        <f>SUM(IFERROR(VLOOKUP($C:$C,Structure!$A:$AJ,AC$1,0)*15,0),IFERROR(VLOOKUP($D:$D,Structure!$A:$AJ,AC$1,0)*15,0),IFERROR(VLOOKUP($E:$E,Structure!$A:$AJ,AC$1,0)*15,0))</f>
        <v>0</v>
      </c>
      <c r="AD144" s="13">
        <f>SUM(IFERROR(VLOOKUP($C:$C,Structure!$A:$AJ,AD$1,0)*15,0),IFERROR(VLOOKUP($D:$D,Structure!$A:$AJ,AD$1,0)*15,0),IFERROR(VLOOKUP($E:$E,Structure!$A:$AJ,AD$1,0)*15,0))</f>
        <v>0</v>
      </c>
      <c r="AE144" s="13">
        <f>SUM(IFERROR(VLOOKUP($C:$C,Structure!$A:$AJ,AE$1,0)*15,0),IFERROR(VLOOKUP($D:$D,Structure!$A:$AJ,AE$1,0)*15,0),IFERROR(VLOOKUP($E:$E,Structure!$A:$AJ,AE$1,0)*15,0))</f>
        <v>0</v>
      </c>
      <c r="AF144" s="13">
        <f>SUM(IFERROR(VLOOKUP($C:$C,Structure!$A:$AJ,AF$1,0)*15,0),IFERROR(VLOOKUP($D:$D,Structure!$A:$AJ,AF$1,0)*15,0),IFERROR(VLOOKUP($E:$E,Structure!$A:$AJ,AF$1,0)*15,0))</f>
        <v>0</v>
      </c>
      <c r="AG144" s="13">
        <f>SUM(IFERROR(VLOOKUP($C:$C,Structure!$A:$AJ,AG$1,0)*15,0),IFERROR(VLOOKUP($D:$D,Structure!$A:$AJ,AG$1,0)*15,0),IFERROR(VLOOKUP($E:$E,Structure!$A:$AJ,AG$1,0)*15,0))</f>
        <v>0</v>
      </c>
      <c r="AH144" s="13">
        <f>SUM(IFERROR(VLOOKUP($C:$C,Structure!$A:$AJ,AH$1,0)*15,0),IFERROR(VLOOKUP($D:$D,Structure!$A:$AJ,AH$1,0)*15,0),IFERROR(VLOOKUP($E:$E,Structure!$A:$AJ,AH$1,0)*15,0))</f>
        <v>0</v>
      </c>
      <c r="AI144" s="13">
        <f>SUM(IFERROR(VLOOKUP($C:$C,Structure!$A:$AJ,AI$1,0)*15,0),IFERROR(VLOOKUP($D:$D,Structure!$A:$AJ,AI$1,0)*15,0),IFERROR(VLOOKUP($E:$E,Structure!$A:$AJ,AI$1,0)*15,0))</f>
        <v>0</v>
      </c>
      <c r="AJ144" s="13">
        <f>SUM(IFERROR(VLOOKUP($C:$C,Structure!$A:$AJ,AJ$1,0)*15,0),IFERROR(VLOOKUP($D:$D,Structure!$A:$AJ,AJ$1,0)*15,0),IFERROR(VLOOKUP($E:$E,Structure!$A:$AJ,AJ$1,0)*15,0))</f>
        <v>45</v>
      </c>
      <c r="AK144" s="13">
        <f>SUM(IFERROR(VLOOKUP($C:$C,Structure!$A:$AJ,AK$1,0)*15,0),IFERROR(VLOOKUP($D:$D,Structure!$A:$AJ,AK$1,0)*15,0),IFERROR(VLOOKUP($E:$E,Structure!$A:$AJ,AK$1,0)*15,0))</f>
        <v>0</v>
      </c>
      <c r="AL144" s="13">
        <f>SUM(IFERROR(VLOOKUP($C:$C,Structure!$A:$AJ,AL$1,0)*15,0),IFERROR(VLOOKUP($D:$D,Structure!$A:$AJ,AL$1,0)*15,0),IFERROR(VLOOKUP($E:$E,Structure!$A:$AJ,AL$1,0)*15,0))</f>
        <v>0</v>
      </c>
      <c r="AM144" s="13">
        <f>SUM(IFERROR(VLOOKUP($C:$C,Structure!$A:$AJ,AM$1,0)*15,0),IFERROR(VLOOKUP($D:$D,Structure!$A:$AJ,AM$1,0)*15,0),IFERROR(VLOOKUP($E:$E,Structure!$A:$AJ,AM$1,0)*15,0))</f>
        <v>0</v>
      </c>
      <c r="AN144" s="13">
        <f>SUM(IFERROR(VLOOKUP($C:$C,Structure!$A:$AJ,AN$1,0)*15,0),IFERROR(VLOOKUP($D:$D,Structure!$A:$AJ,AN$1,0)*15,0),IFERROR(VLOOKUP($E:$E,Structure!$A:$AJ,AN$1,0)*15,0))</f>
        <v>0</v>
      </c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3"/>
      <c r="BZ144" s="4">
        <f>BZ143+AQ144-F144</f>
        <v>0</v>
      </c>
      <c r="CA144" s="4">
        <f>CA143+AR144-G144</f>
        <v>0</v>
      </c>
      <c r="CB144" s="4">
        <f>CB143+AS144-H144</f>
        <v>0</v>
      </c>
      <c r="CC144" s="4">
        <f>CC143+AT144-I144</f>
        <v>0</v>
      </c>
      <c r="CD144" s="4">
        <f>CD143+AU144-J144</f>
        <v>0</v>
      </c>
      <c r="CE144" s="4">
        <f>CE143+AV144-K144</f>
        <v>0</v>
      </c>
      <c r="CF144" s="4">
        <f>CF143+AW144-L144</f>
        <v>0</v>
      </c>
      <c r="CG144" s="4">
        <f>CG143+AX144-M144</f>
        <v>0</v>
      </c>
      <c r="CH144" s="4">
        <f>CH143+AY144-N144</f>
        <v>0</v>
      </c>
      <c r="CI144" s="4">
        <f>CI143+AZ144-O144</f>
        <v>0</v>
      </c>
      <c r="CJ144" s="4">
        <f>CJ143+BA144-P144</f>
        <v>0</v>
      </c>
      <c r="CK144" s="4">
        <f>CK143+BB144-Q144</f>
        <v>0</v>
      </c>
      <c r="CL144" s="4">
        <f>CL143+BC144-R144</f>
        <v>0</v>
      </c>
      <c r="CM144" s="4">
        <f>CM143+BD144-S144</f>
        <v>0</v>
      </c>
      <c r="CN144" s="4">
        <f>CN143+BE144-T144</f>
        <v>0</v>
      </c>
      <c r="CO144" s="4">
        <f>CO143+BF144-U144</f>
        <v>0</v>
      </c>
      <c r="CP144" s="4">
        <f>CP143+BG144-V144</f>
        <v>-60</v>
      </c>
      <c r="CQ144" s="4">
        <f>CQ143+BH144-W144</f>
        <v>0</v>
      </c>
      <c r="CR144" s="4">
        <f>CR143+BI144-X144</f>
        <v>-60</v>
      </c>
      <c r="CS144" s="4">
        <f>CS143+BJ144-Y144</f>
        <v>0</v>
      </c>
      <c r="CT144" s="4">
        <f>CT143+BK144-Z144</f>
        <v>0</v>
      </c>
      <c r="CU144" s="4">
        <f>CU143+BL144-AA144</f>
        <v>-5675</v>
      </c>
      <c r="CV144" s="4">
        <f>CV143+BM144-AB144</f>
        <v>-240</v>
      </c>
      <c r="CW144" s="4">
        <f>CW143+BN144-AC144</f>
        <v>-255</v>
      </c>
      <c r="CX144" s="4">
        <f>CX143+BO144-AD144</f>
        <v>0</v>
      </c>
      <c r="CY144" s="4">
        <f>CY143+BP144-AE144</f>
        <v>-60</v>
      </c>
      <c r="CZ144" s="4">
        <f>CZ143+BQ144-AF144</f>
        <v>-160</v>
      </c>
      <c r="DA144" s="4">
        <f>DA143+BR144-AG144</f>
        <v>0</v>
      </c>
      <c r="DB144" s="4">
        <f>DB143+BS144-AH144</f>
        <v>-60</v>
      </c>
      <c r="DC144" s="4">
        <f>DC143+BT144-AI144</f>
        <v>0</v>
      </c>
      <c r="DD144" s="4">
        <f>DD143+BU144-AJ144</f>
        <v>-4420</v>
      </c>
      <c r="DE144" s="4">
        <f>DE143+BV144-AK144</f>
        <v>-1275</v>
      </c>
      <c r="DF144" s="4">
        <f>DF143+BW144-AL144</f>
        <v>0</v>
      </c>
      <c r="DG144" s="4">
        <f>DG143+BX144-AM144</f>
        <v>-235</v>
      </c>
      <c r="DH144" s="4">
        <f>DH143+BY144-AN144</f>
        <v>0</v>
      </c>
    </row>
    <row r="145" spans="1:112" x14ac:dyDescent="0.25">
      <c r="A145" s="6">
        <v>46185</v>
      </c>
      <c r="B145" s="7">
        <v>0.24999999965802999</v>
      </c>
      <c r="C145" s="3" t="s">
        <v>2</v>
      </c>
      <c r="D145" s="3" t="s">
        <v>6</v>
      </c>
      <c r="E145" s="3" t="s">
        <v>2</v>
      </c>
      <c r="F145" s="13">
        <f>SUM(IFERROR(VLOOKUP($C:$C,Structure!$A:$AJ,F$1,0)*15,0),IFERROR(VLOOKUP($D:$D,Structure!$A:$AJ,F$1,0)*15,0),IFERROR(VLOOKUP($E:$E,Structure!$A:$AJ,F$1,0)*15,0))</f>
        <v>0</v>
      </c>
      <c r="G145" s="13">
        <f>SUM(IFERROR(VLOOKUP($C:$C,Structure!$A:$AJ,G$1,0)*15,0),IFERROR(VLOOKUP($D:$D,Structure!$A:$AJ,G$1,0)*15,0),IFERROR(VLOOKUP($E:$E,Structure!$A:$AJ,G$1,0)*15,0))</f>
        <v>0</v>
      </c>
      <c r="H145" s="13">
        <f>SUM(IFERROR(VLOOKUP($C:$C,Structure!$A:$AJ,H$1,0)*15,0),IFERROR(VLOOKUP($D:$D,Structure!$A:$AJ,H$1,0)*15,0),IFERROR(VLOOKUP($E:$E,Structure!$A:$AJ,H$1,0)*15,0))</f>
        <v>0</v>
      </c>
      <c r="I145" s="13">
        <f>SUM(IFERROR(VLOOKUP($C:$C,Structure!$A:$AJ,I$1,0)*15,0),IFERROR(VLOOKUP($D:$D,Structure!$A:$AJ,I$1,0)*15,0),IFERROR(VLOOKUP($E:$E,Structure!$A:$AJ,I$1,0)*15,0))</f>
        <v>0</v>
      </c>
      <c r="J145" s="13">
        <f>SUM(IFERROR(VLOOKUP($C:$C,Structure!$A:$AJ,J$1,0)*15,0),IFERROR(VLOOKUP($D:$D,Structure!$A:$AJ,J$1,0)*15,0),IFERROR(VLOOKUP($E:$E,Structure!$A:$AJ,J$1,0)*15,0))</f>
        <v>0</v>
      </c>
      <c r="K145" s="13">
        <f>SUM(IFERROR(VLOOKUP($C:$C,Structure!$A:$AJ,K$1,0)*15,0),IFERROR(VLOOKUP($D:$D,Structure!$A:$AJ,K$1,0)*15,0),IFERROR(VLOOKUP($E:$E,Structure!$A:$AJ,K$1,0)*15,0))</f>
        <v>0</v>
      </c>
      <c r="L145" s="13">
        <f>SUM(IFERROR(VLOOKUP($C:$C,Structure!$A:$AJ,L$1,0)*15,0),IFERROR(VLOOKUP($D:$D,Structure!$A:$AJ,L$1,0)*15,0),IFERROR(VLOOKUP($E:$E,Structure!$A:$AJ,L$1,0)*15,0))</f>
        <v>0</v>
      </c>
      <c r="M145" s="13">
        <f>SUM(IFERROR(VLOOKUP($C:$C,Structure!$A:$AJ,M$1,0)*15,0),IFERROR(VLOOKUP($D:$D,Structure!$A:$AJ,M$1,0)*15,0),IFERROR(VLOOKUP($E:$E,Structure!$A:$AJ,M$1,0)*15,0))</f>
        <v>0</v>
      </c>
      <c r="N145" s="13">
        <f>SUM(IFERROR(VLOOKUP($C:$C,Structure!$A:$AJ,N$1,0)*15,0),IFERROR(VLOOKUP($D:$D,Structure!$A:$AJ,N$1,0)*15,0),IFERROR(VLOOKUP($E:$E,Structure!$A:$AJ,N$1,0)*15,0))</f>
        <v>0</v>
      </c>
      <c r="O145" s="13">
        <f>SUM(IFERROR(VLOOKUP($C:$C,Structure!$A:$AJ,O$1,0)*15,0),IFERROR(VLOOKUP($D:$D,Structure!$A:$AJ,O$1,0)*15,0),IFERROR(VLOOKUP($E:$E,Structure!$A:$AJ,O$1,0)*15,0))</f>
        <v>0</v>
      </c>
      <c r="P145" s="13">
        <f>SUM(IFERROR(VLOOKUP($C:$C,Structure!$A:$AJ,P$1,0)*15,0),IFERROR(VLOOKUP($D:$D,Structure!$A:$AJ,P$1,0)*15,0),IFERROR(VLOOKUP($E:$E,Structure!$A:$AJ,P$1,0)*15,0))</f>
        <v>0</v>
      </c>
      <c r="Q145" s="13">
        <f>SUM(IFERROR(VLOOKUP($C:$C,Structure!$A:$AJ,Q$1,0)*15,0),IFERROR(VLOOKUP($D:$D,Structure!$A:$AJ,Q$1,0)*15,0),IFERROR(VLOOKUP($E:$E,Structure!$A:$AJ,Q$1,0)*15,0))</f>
        <v>0</v>
      </c>
      <c r="R145" s="13">
        <f>SUM(IFERROR(VLOOKUP($C:$C,Structure!$A:$AJ,R$1,0)*15,0),IFERROR(VLOOKUP($D:$D,Structure!$A:$AJ,R$1,0)*15,0),IFERROR(VLOOKUP($E:$E,Structure!$A:$AJ,R$1,0)*15,0))</f>
        <v>0</v>
      </c>
      <c r="S145" s="13">
        <f>SUM(IFERROR(VLOOKUP($C:$C,Structure!$A:$AJ,S$1,0)*15,0),IFERROR(VLOOKUP($D:$D,Structure!$A:$AJ,S$1,0)*15,0),IFERROR(VLOOKUP($E:$E,Structure!$A:$AJ,S$1,0)*15,0))</f>
        <v>0</v>
      </c>
      <c r="T145" s="13">
        <f>SUM(IFERROR(VLOOKUP($C:$C,Structure!$A:$AJ,T$1,0)*15,0),IFERROR(VLOOKUP($D:$D,Structure!$A:$AJ,T$1,0)*15,0),IFERROR(VLOOKUP($E:$E,Structure!$A:$AJ,T$1,0)*15,0))</f>
        <v>0</v>
      </c>
      <c r="U145" s="13">
        <f>SUM(IFERROR(VLOOKUP($C:$C,Structure!$A:$AJ,U$1,0)*15,0),IFERROR(VLOOKUP($D:$D,Structure!$A:$AJ,U$1,0)*15,0),IFERROR(VLOOKUP($E:$E,Structure!$A:$AJ,U$1,0)*15,0))</f>
        <v>0</v>
      </c>
      <c r="V145" s="13">
        <f>SUM(IFERROR(VLOOKUP($C:$C,Structure!$A:$AJ,V$1,0)*15,0),IFERROR(VLOOKUP($D:$D,Structure!$A:$AJ,V$1,0)*15,0),IFERROR(VLOOKUP($E:$E,Structure!$A:$AJ,V$1,0)*15,0))</f>
        <v>0</v>
      </c>
      <c r="W145" s="13">
        <f>SUM(IFERROR(VLOOKUP($C:$C,Structure!$A:$AJ,W$1,0)*15,0),IFERROR(VLOOKUP($D:$D,Structure!$A:$AJ,W$1,0)*15,0),IFERROR(VLOOKUP($E:$E,Structure!$A:$AJ,W$1,0)*15,0))</f>
        <v>0</v>
      </c>
      <c r="X145" s="13">
        <f>SUM(IFERROR(VLOOKUP($C:$C,Structure!$A:$AJ,X$1,0)*15,0),IFERROR(VLOOKUP($D:$D,Structure!$A:$AJ,X$1,0)*15,0),IFERROR(VLOOKUP($E:$E,Structure!$A:$AJ,X$1,0)*15,0))</f>
        <v>0</v>
      </c>
      <c r="Y145" s="13">
        <f>SUM(IFERROR(VLOOKUP($C:$C,Structure!$A:$AJ,Y$1,0)*15,0),IFERROR(VLOOKUP($D:$D,Structure!$A:$AJ,Y$1,0)*15,0),IFERROR(VLOOKUP($E:$E,Structure!$A:$AJ,Y$1,0)*15,0))</f>
        <v>0</v>
      </c>
      <c r="Z145" s="13">
        <f>SUM(IFERROR(VLOOKUP($C:$C,Structure!$A:$AJ,Z$1,0)*15,0),IFERROR(VLOOKUP($D:$D,Structure!$A:$AJ,Z$1,0)*15,0),IFERROR(VLOOKUP($E:$E,Structure!$A:$AJ,Z$1,0)*15,0))</f>
        <v>0</v>
      </c>
      <c r="AA145" s="13">
        <f>SUM(IFERROR(VLOOKUP($C:$C,Structure!$A:$AJ,AA$1,0)*15,0),IFERROR(VLOOKUP($D:$D,Structure!$A:$AJ,AA$1,0)*15,0),IFERROR(VLOOKUP($E:$E,Structure!$A:$AJ,AA$1,0)*15,0))</f>
        <v>45</v>
      </c>
      <c r="AB145" s="13">
        <f>SUM(IFERROR(VLOOKUP($C:$C,Structure!$A:$AJ,AB$1,0)*15,0),IFERROR(VLOOKUP($D:$D,Structure!$A:$AJ,AB$1,0)*15,0),IFERROR(VLOOKUP($E:$E,Structure!$A:$AJ,AB$1,0)*15,0))</f>
        <v>0</v>
      </c>
      <c r="AC145" s="13">
        <f>SUM(IFERROR(VLOOKUP($C:$C,Structure!$A:$AJ,AC$1,0)*15,0),IFERROR(VLOOKUP($D:$D,Structure!$A:$AJ,AC$1,0)*15,0),IFERROR(VLOOKUP($E:$E,Structure!$A:$AJ,AC$1,0)*15,0))</f>
        <v>0</v>
      </c>
      <c r="AD145" s="13">
        <f>SUM(IFERROR(VLOOKUP($C:$C,Structure!$A:$AJ,AD$1,0)*15,0),IFERROR(VLOOKUP($D:$D,Structure!$A:$AJ,AD$1,0)*15,0),IFERROR(VLOOKUP($E:$E,Structure!$A:$AJ,AD$1,0)*15,0))</f>
        <v>0</v>
      </c>
      <c r="AE145" s="13">
        <f>SUM(IFERROR(VLOOKUP($C:$C,Structure!$A:$AJ,AE$1,0)*15,0),IFERROR(VLOOKUP($D:$D,Structure!$A:$AJ,AE$1,0)*15,0),IFERROR(VLOOKUP($E:$E,Structure!$A:$AJ,AE$1,0)*15,0))</f>
        <v>0</v>
      </c>
      <c r="AF145" s="13">
        <f>SUM(IFERROR(VLOOKUP($C:$C,Structure!$A:$AJ,AF$1,0)*15,0),IFERROR(VLOOKUP($D:$D,Structure!$A:$AJ,AF$1,0)*15,0),IFERROR(VLOOKUP($E:$E,Structure!$A:$AJ,AF$1,0)*15,0))</f>
        <v>0</v>
      </c>
      <c r="AG145" s="13">
        <f>SUM(IFERROR(VLOOKUP($C:$C,Structure!$A:$AJ,AG$1,0)*15,0),IFERROR(VLOOKUP($D:$D,Structure!$A:$AJ,AG$1,0)*15,0),IFERROR(VLOOKUP($E:$E,Structure!$A:$AJ,AG$1,0)*15,0))</f>
        <v>0</v>
      </c>
      <c r="AH145" s="13">
        <f>SUM(IFERROR(VLOOKUP($C:$C,Structure!$A:$AJ,AH$1,0)*15,0),IFERROR(VLOOKUP($D:$D,Structure!$A:$AJ,AH$1,0)*15,0),IFERROR(VLOOKUP($E:$E,Structure!$A:$AJ,AH$1,0)*15,0))</f>
        <v>0</v>
      </c>
      <c r="AI145" s="13">
        <f>SUM(IFERROR(VLOOKUP($C:$C,Structure!$A:$AJ,AI$1,0)*15,0),IFERROR(VLOOKUP($D:$D,Structure!$A:$AJ,AI$1,0)*15,0),IFERROR(VLOOKUP($E:$E,Structure!$A:$AJ,AI$1,0)*15,0))</f>
        <v>0</v>
      </c>
      <c r="AJ145" s="13">
        <f>SUM(IFERROR(VLOOKUP($C:$C,Structure!$A:$AJ,AJ$1,0)*15,0),IFERROR(VLOOKUP($D:$D,Structure!$A:$AJ,AJ$1,0)*15,0),IFERROR(VLOOKUP($E:$E,Structure!$A:$AJ,AJ$1,0)*15,0))</f>
        <v>45</v>
      </c>
      <c r="AK145" s="13">
        <f>SUM(IFERROR(VLOOKUP($C:$C,Structure!$A:$AJ,AK$1,0)*15,0),IFERROR(VLOOKUP($D:$D,Structure!$A:$AJ,AK$1,0)*15,0),IFERROR(VLOOKUP($E:$E,Structure!$A:$AJ,AK$1,0)*15,0))</f>
        <v>0</v>
      </c>
      <c r="AL145" s="13">
        <f>SUM(IFERROR(VLOOKUP($C:$C,Structure!$A:$AJ,AL$1,0)*15,0),IFERROR(VLOOKUP($D:$D,Structure!$A:$AJ,AL$1,0)*15,0),IFERROR(VLOOKUP($E:$E,Structure!$A:$AJ,AL$1,0)*15,0))</f>
        <v>0</v>
      </c>
      <c r="AM145" s="13">
        <f>SUM(IFERROR(VLOOKUP($C:$C,Structure!$A:$AJ,AM$1,0)*15,0),IFERROR(VLOOKUP($D:$D,Structure!$A:$AJ,AM$1,0)*15,0),IFERROR(VLOOKUP($E:$E,Structure!$A:$AJ,AM$1,0)*15,0))</f>
        <v>0</v>
      </c>
      <c r="AN145" s="13">
        <f>SUM(IFERROR(VLOOKUP($C:$C,Structure!$A:$AJ,AN$1,0)*15,0),IFERROR(VLOOKUP($D:$D,Structure!$A:$AJ,AN$1,0)*15,0),IFERROR(VLOOKUP($E:$E,Structure!$A:$AJ,AN$1,0)*15,0))</f>
        <v>0</v>
      </c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3"/>
      <c r="BZ145" s="4">
        <f>BZ144+AQ145-F145</f>
        <v>0</v>
      </c>
      <c r="CA145" s="4">
        <f>CA144+AR145-G145</f>
        <v>0</v>
      </c>
      <c r="CB145" s="4">
        <f>CB144+AS145-H145</f>
        <v>0</v>
      </c>
      <c r="CC145" s="4">
        <f>CC144+AT145-I145</f>
        <v>0</v>
      </c>
      <c r="CD145" s="4">
        <f>CD144+AU145-J145</f>
        <v>0</v>
      </c>
      <c r="CE145" s="4">
        <f>CE144+AV145-K145</f>
        <v>0</v>
      </c>
      <c r="CF145" s="4">
        <f>CF144+AW145-L145</f>
        <v>0</v>
      </c>
      <c r="CG145" s="4">
        <f>CG144+AX145-M145</f>
        <v>0</v>
      </c>
      <c r="CH145" s="4">
        <f>CH144+AY145-N145</f>
        <v>0</v>
      </c>
      <c r="CI145" s="4">
        <f>CI144+AZ145-O145</f>
        <v>0</v>
      </c>
      <c r="CJ145" s="4">
        <f>CJ144+BA145-P145</f>
        <v>0</v>
      </c>
      <c r="CK145" s="4">
        <f>CK144+BB145-Q145</f>
        <v>0</v>
      </c>
      <c r="CL145" s="4">
        <f>CL144+BC145-R145</f>
        <v>0</v>
      </c>
      <c r="CM145" s="4">
        <f>CM144+BD145-S145</f>
        <v>0</v>
      </c>
      <c r="CN145" s="4">
        <f>CN144+BE145-T145</f>
        <v>0</v>
      </c>
      <c r="CO145" s="4">
        <f>CO144+BF145-U145</f>
        <v>0</v>
      </c>
      <c r="CP145" s="4">
        <f>CP144+BG145-V145</f>
        <v>-60</v>
      </c>
      <c r="CQ145" s="4">
        <f>CQ144+BH145-W145</f>
        <v>0</v>
      </c>
      <c r="CR145" s="4">
        <f>CR144+BI145-X145</f>
        <v>-60</v>
      </c>
      <c r="CS145" s="4">
        <f>CS144+BJ145-Y145</f>
        <v>0</v>
      </c>
      <c r="CT145" s="4">
        <f>CT144+BK145-Z145</f>
        <v>0</v>
      </c>
      <c r="CU145" s="4">
        <f>CU144+BL145-AA145</f>
        <v>-5720</v>
      </c>
      <c r="CV145" s="4">
        <f>CV144+BM145-AB145</f>
        <v>-240</v>
      </c>
      <c r="CW145" s="4">
        <f>CW144+BN145-AC145</f>
        <v>-255</v>
      </c>
      <c r="CX145" s="4">
        <f>CX144+BO145-AD145</f>
        <v>0</v>
      </c>
      <c r="CY145" s="4">
        <f>CY144+BP145-AE145</f>
        <v>-60</v>
      </c>
      <c r="CZ145" s="4">
        <f>CZ144+BQ145-AF145</f>
        <v>-160</v>
      </c>
      <c r="DA145" s="4">
        <f>DA144+BR145-AG145</f>
        <v>0</v>
      </c>
      <c r="DB145" s="4">
        <f>DB144+BS145-AH145</f>
        <v>-60</v>
      </c>
      <c r="DC145" s="4">
        <f>DC144+BT145-AI145</f>
        <v>0</v>
      </c>
      <c r="DD145" s="4">
        <f>DD144+BU145-AJ145</f>
        <v>-4465</v>
      </c>
      <c r="DE145" s="4">
        <f>DE144+BV145-AK145</f>
        <v>-1275</v>
      </c>
      <c r="DF145" s="4">
        <f>DF144+BW145-AL145</f>
        <v>0</v>
      </c>
      <c r="DG145" s="4">
        <f>DG144+BX145-AM145</f>
        <v>-235</v>
      </c>
      <c r="DH145" s="4">
        <f>DH144+BY145-AN145</f>
        <v>0</v>
      </c>
    </row>
    <row r="146" spans="1:112" x14ac:dyDescent="0.25">
      <c r="A146" s="6">
        <v>46185</v>
      </c>
      <c r="B146" s="7">
        <v>0.29166666632227134</v>
      </c>
      <c r="C146" s="3" t="s">
        <v>3</v>
      </c>
      <c r="D146" s="3" t="s">
        <v>6</v>
      </c>
      <c r="E146" s="3" t="s">
        <v>2</v>
      </c>
      <c r="F146" s="13">
        <f>SUM(IFERROR(VLOOKUP($C:$C,Structure!$A:$AJ,F$1,0)*15,0),IFERROR(VLOOKUP($D:$D,Structure!$A:$AJ,F$1,0)*15,0),IFERROR(VLOOKUP($E:$E,Structure!$A:$AJ,F$1,0)*15,0))</f>
        <v>0</v>
      </c>
      <c r="G146" s="13">
        <f>SUM(IFERROR(VLOOKUP($C:$C,Structure!$A:$AJ,G$1,0)*15,0),IFERROR(VLOOKUP($D:$D,Structure!$A:$AJ,G$1,0)*15,0),IFERROR(VLOOKUP($E:$E,Structure!$A:$AJ,G$1,0)*15,0))</f>
        <v>0</v>
      </c>
      <c r="H146" s="13">
        <f>SUM(IFERROR(VLOOKUP($C:$C,Structure!$A:$AJ,H$1,0)*15,0),IFERROR(VLOOKUP($D:$D,Structure!$A:$AJ,H$1,0)*15,0),IFERROR(VLOOKUP($E:$E,Structure!$A:$AJ,H$1,0)*15,0))</f>
        <v>0</v>
      </c>
      <c r="I146" s="13">
        <f>SUM(IFERROR(VLOOKUP($C:$C,Structure!$A:$AJ,I$1,0)*15,0),IFERROR(VLOOKUP($D:$D,Structure!$A:$AJ,I$1,0)*15,0),IFERROR(VLOOKUP($E:$E,Structure!$A:$AJ,I$1,0)*15,0))</f>
        <v>0</v>
      </c>
      <c r="J146" s="13">
        <f>SUM(IFERROR(VLOOKUP($C:$C,Structure!$A:$AJ,J$1,0)*15,0),IFERROR(VLOOKUP($D:$D,Structure!$A:$AJ,J$1,0)*15,0),IFERROR(VLOOKUP($E:$E,Structure!$A:$AJ,J$1,0)*15,0))</f>
        <v>0</v>
      </c>
      <c r="K146" s="13">
        <f>SUM(IFERROR(VLOOKUP($C:$C,Structure!$A:$AJ,K$1,0)*15,0),IFERROR(VLOOKUP($D:$D,Structure!$A:$AJ,K$1,0)*15,0),IFERROR(VLOOKUP($E:$E,Structure!$A:$AJ,K$1,0)*15,0))</f>
        <v>0</v>
      </c>
      <c r="L146" s="13">
        <f>SUM(IFERROR(VLOOKUP($C:$C,Structure!$A:$AJ,L$1,0)*15,0),IFERROR(VLOOKUP($D:$D,Structure!$A:$AJ,L$1,0)*15,0),IFERROR(VLOOKUP($E:$E,Structure!$A:$AJ,L$1,0)*15,0))</f>
        <v>0</v>
      </c>
      <c r="M146" s="13">
        <f>SUM(IFERROR(VLOOKUP($C:$C,Structure!$A:$AJ,M$1,0)*15,0),IFERROR(VLOOKUP($D:$D,Structure!$A:$AJ,M$1,0)*15,0),IFERROR(VLOOKUP($E:$E,Structure!$A:$AJ,M$1,0)*15,0))</f>
        <v>0</v>
      </c>
      <c r="N146" s="13">
        <f>SUM(IFERROR(VLOOKUP($C:$C,Structure!$A:$AJ,N$1,0)*15,0),IFERROR(VLOOKUP($D:$D,Structure!$A:$AJ,N$1,0)*15,0),IFERROR(VLOOKUP($E:$E,Structure!$A:$AJ,N$1,0)*15,0))</f>
        <v>0</v>
      </c>
      <c r="O146" s="13">
        <f>SUM(IFERROR(VLOOKUP($C:$C,Structure!$A:$AJ,O$1,0)*15,0),IFERROR(VLOOKUP($D:$D,Structure!$A:$AJ,O$1,0)*15,0),IFERROR(VLOOKUP($E:$E,Structure!$A:$AJ,O$1,0)*15,0))</f>
        <v>0</v>
      </c>
      <c r="P146" s="13">
        <f>SUM(IFERROR(VLOOKUP($C:$C,Structure!$A:$AJ,P$1,0)*15,0),IFERROR(VLOOKUP($D:$D,Structure!$A:$AJ,P$1,0)*15,0),IFERROR(VLOOKUP($E:$E,Structure!$A:$AJ,P$1,0)*15,0))</f>
        <v>0</v>
      </c>
      <c r="Q146" s="13">
        <f>SUM(IFERROR(VLOOKUP($C:$C,Structure!$A:$AJ,Q$1,0)*15,0),IFERROR(VLOOKUP($D:$D,Structure!$A:$AJ,Q$1,0)*15,0),IFERROR(VLOOKUP($E:$E,Structure!$A:$AJ,Q$1,0)*15,0))</f>
        <v>0</v>
      </c>
      <c r="R146" s="13">
        <f>SUM(IFERROR(VLOOKUP($C:$C,Structure!$A:$AJ,R$1,0)*15,0),IFERROR(VLOOKUP($D:$D,Structure!$A:$AJ,R$1,0)*15,0),IFERROR(VLOOKUP($E:$E,Structure!$A:$AJ,R$1,0)*15,0))</f>
        <v>0</v>
      </c>
      <c r="S146" s="13">
        <f>SUM(IFERROR(VLOOKUP($C:$C,Structure!$A:$AJ,S$1,0)*15,0),IFERROR(VLOOKUP($D:$D,Structure!$A:$AJ,S$1,0)*15,0),IFERROR(VLOOKUP($E:$E,Structure!$A:$AJ,S$1,0)*15,0))</f>
        <v>0</v>
      </c>
      <c r="T146" s="13">
        <f>SUM(IFERROR(VLOOKUP($C:$C,Structure!$A:$AJ,T$1,0)*15,0),IFERROR(VLOOKUP($D:$D,Structure!$A:$AJ,T$1,0)*15,0),IFERROR(VLOOKUP($E:$E,Structure!$A:$AJ,T$1,0)*15,0))</f>
        <v>0</v>
      </c>
      <c r="U146" s="13">
        <f>SUM(IFERROR(VLOOKUP($C:$C,Structure!$A:$AJ,U$1,0)*15,0),IFERROR(VLOOKUP($D:$D,Structure!$A:$AJ,U$1,0)*15,0),IFERROR(VLOOKUP($E:$E,Structure!$A:$AJ,U$1,0)*15,0))</f>
        <v>0</v>
      </c>
      <c r="V146" s="13">
        <f>SUM(IFERROR(VLOOKUP($C:$C,Structure!$A:$AJ,V$1,0)*15,0),IFERROR(VLOOKUP($D:$D,Structure!$A:$AJ,V$1,0)*15,0),IFERROR(VLOOKUP($E:$E,Structure!$A:$AJ,V$1,0)*15,0))</f>
        <v>0</v>
      </c>
      <c r="W146" s="13">
        <f>SUM(IFERROR(VLOOKUP($C:$C,Structure!$A:$AJ,W$1,0)*15,0),IFERROR(VLOOKUP($D:$D,Structure!$A:$AJ,W$1,0)*15,0),IFERROR(VLOOKUP($E:$E,Structure!$A:$AJ,W$1,0)*15,0))</f>
        <v>0</v>
      </c>
      <c r="X146" s="13">
        <f>SUM(IFERROR(VLOOKUP($C:$C,Structure!$A:$AJ,X$1,0)*15,0),IFERROR(VLOOKUP($D:$D,Structure!$A:$AJ,X$1,0)*15,0),IFERROR(VLOOKUP($E:$E,Structure!$A:$AJ,X$1,0)*15,0))</f>
        <v>0</v>
      </c>
      <c r="Y146" s="13">
        <f>SUM(IFERROR(VLOOKUP($C:$C,Structure!$A:$AJ,Y$1,0)*15,0),IFERROR(VLOOKUP($D:$D,Structure!$A:$AJ,Y$1,0)*15,0),IFERROR(VLOOKUP($E:$E,Structure!$A:$AJ,Y$1,0)*15,0))</f>
        <v>0</v>
      </c>
      <c r="Z146" s="13">
        <f>SUM(IFERROR(VLOOKUP($C:$C,Structure!$A:$AJ,Z$1,0)*15,0),IFERROR(VLOOKUP($D:$D,Structure!$A:$AJ,Z$1,0)*15,0),IFERROR(VLOOKUP($E:$E,Structure!$A:$AJ,Z$1,0)*15,0))</f>
        <v>0</v>
      </c>
      <c r="AA146" s="13">
        <f>SUM(IFERROR(VLOOKUP($C:$C,Structure!$A:$AJ,AA$1,0)*15,0),IFERROR(VLOOKUP($D:$D,Structure!$A:$AJ,AA$1,0)*15,0),IFERROR(VLOOKUP($E:$E,Structure!$A:$AJ,AA$1,0)*15,0))</f>
        <v>45</v>
      </c>
      <c r="AB146" s="13">
        <f>SUM(IFERROR(VLOOKUP($C:$C,Structure!$A:$AJ,AB$1,0)*15,0),IFERROR(VLOOKUP($D:$D,Structure!$A:$AJ,AB$1,0)*15,0),IFERROR(VLOOKUP($E:$E,Structure!$A:$AJ,AB$1,0)*15,0))</f>
        <v>0</v>
      </c>
      <c r="AC146" s="13">
        <f>SUM(IFERROR(VLOOKUP($C:$C,Structure!$A:$AJ,AC$1,0)*15,0),IFERROR(VLOOKUP($D:$D,Structure!$A:$AJ,AC$1,0)*15,0),IFERROR(VLOOKUP($E:$E,Structure!$A:$AJ,AC$1,0)*15,0))</f>
        <v>0</v>
      </c>
      <c r="AD146" s="13">
        <f>SUM(IFERROR(VLOOKUP($C:$C,Structure!$A:$AJ,AD$1,0)*15,0),IFERROR(VLOOKUP($D:$D,Structure!$A:$AJ,AD$1,0)*15,0),IFERROR(VLOOKUP($E:$E,Structure!$A:$AJ,AD$1,0)*15,0))</f>
        <v>0</v>
      </c>
      <c r="AE146" s="13">
        <f>SUM(IFERROR(VLOOKUP($C:$C,Structure!$A:$AJ,AE$1,0)*15,0),IFERROR(VLOOKUP($D:$D,Structure!$A:$AJ,AE$1,0)*15,0),IFERROR(VLOOKUP($E:$E,Structure!$A:$AJ,AE$1,0)*15,0))</f>
        <v>0</v>
      </c>
      <c r="AF146" s="13">
        <f>SUM(IFERROR(VLOOKUP($C:$C,Structure!$A:$AJ,AF$1,0)*15,0),IFERROR(VLOOKUP($D:$D,Structure!$A:$AJ,AF$1,0)*15,0),IFERROR(VLOOKUP($E:$E,Structure!$A:$AJ,AF$1,0)*15,0))</f>
        <v>0</v>
      </c>
      <c r="AG146" s="13">
        <f>SUM(IFERROR(VLOOKUP($C:$C,Structure!$A:$AJ,AG$1,0)*15,0),IFERROR(VLOOKUP($D:$D,Structure!$A:$AJ,AG$1,0)*15,0),IFERROR(VLOOKUP($E:$E,Structure!$A:$AJ,AG$1,0)*15,0))</f>
        <v>0</v>
      </c>
      <c r="AH146" s="13">
        <f>SUM(IFERROR(VLOOKUP($C:$C,Structure!$A:$AJ,AH$1,0)*15,0),IFERROR(VLOOKUP($D:$D,Structure!$A:$AJ,AH$1,0)*15,0),IFERROR(VLOOKUP($E:$E,Structure!$A:$AJ,AH$1,0)*15,0))</f>
        <v>0</v>
      </c>
      <c r="AI146" s="13">
        <f>SUM(IFERROR(VLOOKUP($C:$C,Structure!$A:$AJ,AI$1,0)*15,0),IFERROR(VLOOKUP($D:$D,Structure!$A:$AJ,AI$1,0)*15,0),IFERROR(VLOOKUP($E:$E,Structure!$A:$AJ,AI$1,0)*15,0))</f>
        <v>0</v>
      </c>
      <c r="AJ146" s="13">
        <f>SUM(IFERROR(VLOOKUP($C:$C,Structure!$A:$AJ,AJ$1,0)*15,0),IFERROR(VLOOKUP($D:$D,Structure!$A:$AJ,AJ$1,0)*15,0),IFERROR(VLOOKUP($E:$E,Structure!$A:$AJ,AJ$1,0)*15,0))</f>
        <v>30</v>
      </c>
      <c r="AK146" s="13">
        <f>SUM(IFERROR(VLOOKUP($C:$C,Structure!$A:$AJ,AK$1,0)*15,0),IFERROR(VLOOKUP($D:$D,Structure!$A:$AJ,AK$1,0)*15,0),IFERROR(VLOOKUP($E:$E,Structure!$A:$AJ,AK$1,0)*15,0))</f>
        <v>15</v>
      </c>
      <c r="AL146" s="13">
        <f>SUM(IFERROR(VLOOKUP($C:$C,Structure!$A:$AJ,AL$1,0)*15,0),IFERROR(VLOOKUP($D:$D,Structure!$A:$AJ,AL$1,0)*15,0),IFERROR(VLOOKUP($E:$E,Structure!$A:$AJ,AL$1,0)*15,0))</f>
        <v>0</v>
      </c>
      <c r="AM146" s="13">
        <f>SUM(IFERROR(VLOOKUP($C:$C,Structure!$A:$AJ,AM$1,0)*15,0),IFERROR(VLOOKUP($D:$D,Structure!$A:$AJ,AM$1,0)*15,0),IFERROR(VLOOKUP($E:$E,Structure!$A:$AJ,AM$1,0)*15,0))</f>
        <v>0</v>
      </c>
      <c r="AN146" s="13">
        <f>SUM(IFERROR(VLOOKUP($C:$C,Structure!$A:$AJ,AN$1,0)*15,0),IFERROR(VLOOKUP($D:$D,Structure!$A:$AJ,AN$1,0)*15,0),IFERROR(VLOOKUP($E:$E,Structure!$A:$AJ,AN$1,0)*15,0))</f>
        <v>0</v>
      </c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3"/>
      <c r="BZ146" s="4">
        <f>BZ145+AQ146-F146</f>
        <v>0</v>
      </c>
      <c r="CA146" s="4">
        <f>CA145+AR146-G146</f>
        <v>0</v>
      </c>
      <c r="CB146" s="4">
        <f>CB145+AS146-H146</f>
        <v>0</v>
      </c>
      <c r="CC146" s="4">
        <f>CC145+AT146-I146</f>
        <v>0</v>
      </c>
      <c r="CD146" s="4">
        <f>CD145+AU146-J146</f>
        <v>0</v>
      </c>
      <c r="CE146" s="4">
        <f>CE145+AV146-K146</f>
        <v>0</v>
      </c>
      <c r="CF146" s="4">
        <f>CF145+AW146-L146</f>
        <v>0</v>
      </c>
      <c r="CG146" s="4">
        <f>CG145+AX146-M146</f>
        <v>0</v>
      </c>
      <c r="CH146" s="4">
        <f>CH145+AY146-N146</f>
        <v>0</v>
      </c>
      <c r="CI146" s="4">
        <f>CI145+AZ146-O146</f>
        <v>0</v>
      </c>
      <c r="CJ146" s="4">
        <f>CJ145+BA146-P146</f>
        <v>0</v>
      </c>
      <c r="CK146" s="4">
        <f>CK145+BB146-Q146</f>
        <v>0</v>
      </c>
      <c r="CL146" s="4">
        <f>CL145+BC146-R146</f>
        <v>0</v>
      </c>
      <c r="CM146" s="4">
        <f>CM145+BD146-S146</f>
        <v>0</v>
      </c>
      <c r="CN146" s="4">
        <f>CN145+BE146-T146</f>
        <v>0</v>
      </c>
      <c r="CO146" s="4">
        <f>CO145+BF146-U146</f>
        <v>0</v>
      </c>
      <c r="CP146" s="4">
        <f>CP145+BG146-V146</f>
        <v>-60</v>
      </c>
      <c r="CQ146" s="4">
        <f>CQ145+BH146-W146</f>
        <v>0</v>
      </c>
      <c r="CR146" s="4">
        <f>CR145+BI146-X146</f>
        <v>-60</v>
      </c>
      <c r="CS146" s="4">
        <f>CS145+BJ146-Y146</f>
        <v>0</v>
      </c>
      <c r="CT146" s="4">
        <f>CT145+BK146-Z146</f>
        <v>0</v>
      </c>
      <c r="CU146" s="4">
        <f>CU145+BL146-AA146</f>
        <v>-5765</v>
      </c>
      <c r="CV146" s="4">
        <f>CV145+BM146-AB146</f>
        <v>-240</v>
      </c>
      <c r="CW146" s="4">
        <f>CW145+BN146-AC146</f>
        <v>-255</v>
      </c>
      <c r="CX146" s="4">
        <f>CX145+BO146-AD146</f>
        <v>0</v>
      </c>
      <c r="CY146" s="4">
        <f>CY145+BP146-AE146</f>
        <v>-60</v>
      </c>
      <c r="CZ146" s="4">
        <f>CZ145+BQ146-AF146</f>
        <v>-160</v>
      </c>
      <c r="DA146" s="4">
        <f>DA145+BR146-AG146</f>
        <v>0</v>
      </c>
      <c r="DB146" s="4">
        <f>DB145+BS146-AH146</f>
        <v>-60</v>
      </c>
      <c r="DC146" s="4">
        <f>DC145+BT146-AI146</f>
        <v>0</v>
      </c>
      <c r="DD146" s="4">
        <f>DD145+BU146-AJ146</f>
        <v>-4495</v>
      </c>
      <c r="DE146" s="4">
        <f>DE145+BV146-AK146</f>
        <v>-1290</v>
      </c>
      <c r="DF146" s="4">
        <f>DF145+BW146-AL146</f>
        <v>0</v>
      </c>
      <c r="DG146" s="4">
        <f>DG145+BX146-AM146</f>
        <v>-235</v>
      </c>
      <c r="DH146" s="4">
        <f>DH145+BY146-AN146</f>
        <v>0</v>
      </c>
    </row>
    <row r="147" spans="1:112" x14ac:dyDescent="0.25">
      <c r="A147" s="6">
        <v>46185</v>
      </c>
      <c r="B147" s="7">
        <v>0.33333333298651269</v>
      </c>
      <c r="C147" s="3" t="s">
        <v>3</v>
      </c>
      <c r="D147" s="3" t="s">
        <v>6</v>
      </c>
      <c r="E147" s="3" t="s">
        <v>2</v>
      </c>
      <c r="F147" s="13">
        <f>SUM(IFERROR(VLOOKUP($C:$C,Structure!$A:$AJ,F$1,0)*15,0),IFERROR(VLOOKUP($D:$D,Structure!$A:$AJ,F$1,0)*15,0),IFERROR(VLOOKUP($E:$E,Structure!$A:$AJ,F$1,0)*15,0))</f>
        <v>0</v>
      </c>
      <c r="G147" s="13">
        <f>SUM(IFERROR(VLOOKUP($C:$C,Structure!$A:$AJ,G$1,0)*15,0),IFERROR(VLOOKUP($D:$D,Structure!$A:$AJ,G$1,0)*15,0),IFERROR(VLOOKUP($E:$E,Structure!$A:$AJ,G$1,0)*15,0))</f>
        <v>0</v>
      </c>
      <c r="H147" s="13">
        <f>SUM(IFERROR(VLOOKUP($C:$C,Structure!$A:$AJ,H$1,0)*15,0),IFERROR(VLOOKUP($D:$D,Structure!$A:$AJ,H$1,0)*15,0),IFERROR(VLOOKUP($E:$E,Structure!$A:$AJ,H$1,0)*15,0))</f>
        <v>0</v>
      </c>
      <c r="I147" s="13">
        <f>SUM(IFERROR(VLOOKUP($C:$C,Structure!$A:$AJ,I$1,0)*15,0),IFERROR(VLOOKUP($D:$D,Structure!$A:$AJ,I$1,0)*15,0),IFERROR(VLOOKUP($E:$E,Structure!$A:$AJ,I$1,0)*15,0))</f>
        <v>0</v>
      </c>
      <c r="J147" s="13">
        <f>SUM(IFERROR(VLOOKUP($C:$C,Structure!$A:$AJ,J$1,0)*15,0),IFERROR(VLOOKUP($D:$D,Structure!$A:$AJ,J$1,0)*15,0),IFERROR(VLOOKUP($E:$E,Structure!$A:$AJ,J$1,0)*15,0))</f>
        <v>0</v>
      </c>
      <c r="K147" s="13">
        <f>SUM(IFERROR(VLOOKUP($C:$C,Structure!$A:$AJ,K$1,0)*15,0),IFERROR(VLOOKUP($D:$D,Structure!$A:$AJ,K$1,0)*15,0),IFERROR(VLOOKUP($E:$E,Structure!$A:$AJ,K$1,0)*15,0))</f>
        <v>0</v>
      </c>
      <c r="L147" s="13">
        <f>SUM(IFERROR(VLOOKUP($C:$C,Structure!$A:$AJ,L$1,0)*15,0),IFERROR(VLOOKUP($D:$D,Structure!$A:$AJ,L$1,0)*15,0),IFERROR(VLOOKUP($E:$E,Structure!$A:$AJ,L$1,0)*15,0))</f>
        <v>0</v>
      </c>
      <c r="M147" s="13">
        <f>SUM(IFERROR(VLOOKUP($C:$C,Structure!$A:$AJ,M$1,0)*15,0),IFERROR(VLOOKUP($D:$D,Structure!$A:$AJ,M$1,0)*15,0),IFERROR(VLOOKUP($E:$E,Structure!$A:$AJ,M$1,0)*15,0))</f>
        <v>0</v>
      </c>
      <c r="N147" s="13">
        <f>SUM(IFERROR(VLOOKUP($C:$C,Structure!$A:$AJ,N$1,0)*15,0),IFERROR(VLOOKUP($D:$D,Structure!$A:$AJ,N$1,0)*15,0),IFERROR(VLOOKUP($E:$E,Structure!$A:$AJ,N$1,0)*15,0))</f>
        <v>0</v>
      </c>
      <c r="O147" s="13">
        <f>SUM(IFERROR(VLOOKUP($C:$C,Structure!$A:$AJ,O$1,0)*15,0),IFERROR(VLOOKUP($D:$D,Structure!$A:$AJ,O$1,0)*15,0),IFERROR(VLOOKUP($E:$E,Structure!$A:$AJ,O$1,0)*15,0))</f>
        <v>0</v>
      </c>
      <c r="P147" s="13">
        <f>SUM(IFERROR(VLOOKUP($C:$C,Structure!$A:$AJ,P$1,0)*15,0),IFERROR(VLOOKUP($D:$D,Structure!$A:$AJ,P$1,0)*15,0),IFERROR(VLOOKUP($E:$E,Structure!$A:$AJ,P$1,0)*15,0))</f>
        <v>0</v>
      </c>
      <c r="Q147" s="13">
        <f>SUM(IFERROR(VLOOKUP($C:$C,Structure!$A:$AJ,Q$1,0)*15,0),IFERROR(VLOOKUP($D:$D,Structure!$A:$AJ,Q$1,0)*15,0),IFERROR(VLOOKUP($E:$E,Structure!$A:$AJ,Q$1,0)*15,0))</f>
        <v>0</v>
      </c>
      <c r="R147" s="13">
        <f>SUM(IFERROR(VLOOKUP($C:$C,Structure!$A:$AJ,R$1,0)*15,0),IFERROR(VLOOKUP($D:$D,Structure!$A:$AJ,R$1,0)*15,0),IFERROR(VLOOKUP($E:$E,Structure!$A:$AJ,R$1,0)*15,0))</f>
        <v>0</v>
      </c>
      <c r="S147" s="13">
        <f>SUM(IFERROR(VLOOKUP($C:$C,Structure!$A:$AJ,S$1,0)*15,0),IFERROR(VLOOKUP($D:$D,Structure!$A:$AJ,S$1,0)*15,0),IFERROR(VLOOKUP($E:$E,Structure!$A:$AJ,S$1,0)*15,0))</f>
        <v>0</v>
      </c>
      <c r="T147" s="13">
        <f>SUM(IFERROR(VLOOKUP($C:$C,Structure!$A:$AJ,T$1,0)*15,0),IFERROR(VLOOKUP($D:$D,Structure!$A:$AJ,T$1,0)*15,0),IFERROR(VLOOKUP($E:$E,Structure!$A:$AJ,T$1,0)*15,0))</f>
        <v>0</v>
      </c>
      <c r="U147" s="13">
        <f>SUM(IFERROR(VLOOKUP($C:$C,Structure!$A:$AJ,U$1,0)*15,0),IFERROR(VLOOKUP($D:$D,Structure!$A:$AJ,U$1,0)*15,0),IFERROR(VLOOKUP($E:$E,Structure!$A:$AJ,U$1,0)*15,0))</f>
        <v>0</v>
      </c>
      <c r="V147" s="13">
        <f>SUM(IFERROR(VLOOKUP($C:$C,Structure!$A:$AJ,V$1,0)*15,0),IFERROR(VLOOKUP($D:$D,Structure!$A:$AJ,V$1,0)*15,0),IFERROR(VLOOKUP($E:$E,Structure!$A:$AJ,V$1,0)*15,0))</f>
        <v>0</v>
      </c>
      <c r="W147" s="13">
        <f>SUM(IFERROR(VLOOKUP($C:$C,Structure!$A:$AJ,W$1,0)*15,0),IFERROR(VLOOKUP($D:$D,Structure!$A:$AJ,W$1,0)*15,0),IFERROR(VLOOKUP($E:$E,Structure!$A:$AJ,W$1,0)*15,0))</f>
        <v>0</v>
      </c>
      <c r="X147" s="13">
        <f>SUM(IFERROR(VLOOKUP($C:$C,Structure!$A:$AJ,X$1,0)*15,0),IFERROR(VLOOKUP($D:$D,Structure!$A:$AJ,X$1,0)*15,0),IFERROR(VLOOKUP($E:$E,Structure!$A:$AJ,X$1,0)*15,0))</f>
        <v>0</v>
      </c>
      <c r="Y147" s="13">
        <f>SUM(IFERROR(VLOOKUP($C:$C,Structure!$A:$AJ,Y$1,0)*15,0),IFERROR(VLOOKUP($D:$D,Structure!$A:$AJ,Y$1,0)*15,0),IFERROR(VLOOKUP($E:$E,Structure!$A:$AJ,Y$1,0)*15,0))</f>
        <v>0</v>
      </c>
      <c r="Z147" s="13">
        <f>SUM(IFERROR(VLOOKUP($C:$C,Structure!$A:$AJ,Z$1,0)*15,0),IFERROR(VLOOKUP($D:$D,Structure!$A:$AJ,Z$1,0)*15,0),IFERROR(VLOOKUP($E:$E,Structure!$A:$AJ,Z$1,0)*15,0))</f>
        <v>0</v>
      </c>
      <c r="AA147" s="13">
        <f>SUM(IFERROR(VLOOKUP($C:$C,Structure!$A:$AJ,AA$1,0)*15,0),IFERROR(VLOOKUP($D:$D,Structure!$A:$AJ,AA$1,0)*15,0),IFERROR(VLOOKUP($E:$E,Structure!$A:$AJ,AA$1,0)*15,0))</f>
        <v>45</v>
      </c>
      <c r="AB147" s="13">
        <f>SUM(IFERROR(VLOOKUP($C:$C,Structure!$A:$AJ,AB$1,0)*15,0),IFERROR(VLOOKUP($D:$D,Structure!$A:$AJ,AB$1,0)*15,0),IFERROR(VLOOKUP($E:$E,Structure!$A:$AJ,AB$1,0)*15,0))</f>
        <v>0</v>
      </c>
      <c r="AC147" s="13">
        <f>SUM(IFERROR(VLOOKUP($C:$C,Structure!$A:$AJ,AC$1,0)*15,0),IFERROR(VLOOKUP($D:$D,Structure!$A:$AJ,AC$1,0)*15,0),IFERROR(VLOOKUP($E:$E,Structure!$A:$AJ,AC$1,0)*15,0))</f>
        <v>0</v>
      </c>
      <c r="AD147" s="13">
        <f>SUM(IFERROR(VLOOKUP($C:$C,Structure!$A:$AJ,AD$1,0)*15,0),IFERROR(VLOOKUP($D:$D,Structure!$A:$AJ,AD$1,0)*15,0),IFERROR(VLOOKUP($E:$E,Structure!$A:$AJ,AD$1,0)*15,0))</f>
        <v>0</v>
      </c>
      <c r="AE147" s="13">
        <f>SUM(IFERROR(VLOOKUP($C:$C,Structure!$A:$AJ,AE$1,0)*15,0),IFERROR(VLOOKUP($D:$D,Structure!$A:$AJ,AE$1,0)*15,0),IFERROR(VLOOKUP($E:$E,Structure!$A:$AJ,AE$1,0)*15,0))</f>
        <v>0</v>
      </c>
      <c r="AF147" s="13">
        <f>SUM(IFERROR(VLOOKUP($C:$C,Structure!$A:$AJ,AF$1,0)*15,0),IFERROR(VLOOKUP($D:$D,Structure!$A:$AJ,AF$1,0)*15,0),IFERROR(VLOOKUP($E:$E,Structure!$A:$AJ,AF$1,0)*15,0))</f>
        <v>0</v>
      </c>
      <c r="AG147" s="13">
        <f>SUM(IFERROR(VLOOKUP($C:$C,Structure!$A:$AJ,AG$1,0)*15,0),IFERROR(VLOOKUP($D:$D,Structure!$A:$AJ,AG$1,0)*15,0),IFERROR(VLOOKUP($E:$E,Structure!$A:$AJ,AG$1,0)*15,0))</f>
        <v>0</v>
      </c>
      <c r="AH147" s="13">
        <f>SUM(IFERROR(VLOOKUP($C:$C,Structure!$A:$AJ,AH$1,0)*15,0),IFERROR(VLOOKUP($D:$D,Structure!$A:$AJ,AH$1,0)*15,0),IFERROR(VLOOKUP($E:$E,Structure!$A:$AJ,AH$1,0)*15,0))</f>
        <v>0</v>
      </c>
      <c r="AI147" s="13">
        <f>SUM(IFERROR(VLOOKUP($C:$C,Structure!$A:$AJ,AI$1,0)*15,0),IFERROR(VLOOKUP($D:$D,Structure!$A:$AJ,AI$1,0)*15,0),IFERROR(VLOOKUP($E:$E,Structure!$A:$AJ,AI$1,0)*15,0))</f>
        <v>0</v>
      </c>
      <c r="AJ147" s="13">
        <f>SUM(IFERROR(VLOOKUP($C:$C,Structure!$A:$AJ,AJ$1,0)*15,0),IFERROR(VLOOKUP($D:$D,Structure!$A:$AJ,AJ$1,0)*15,0),IFERROR(VLOOKUP($E:$E,Structure!$A:$AJ,AJ$1,0)*15,0))</f>
        <v>30</v>
      </c>
      <c r="AK147" s="13">
        <f>SUM(IFERROR(VLOOKUP($C:$C,Structure!$A:$AJ,AK$1,0)*15,0),IFERROR(VLOOKUP($D:$D,Structure!$A:$AJ,AK$1,0)*15,0),IFERROR(VLOOKUP($E:$E,Structure!$A:$AJ,AK$1,0)*15,0))</f>
        <v>15</v>
      </c>
      <c r="AL147" s="13">
        <f>SUM(IFERROR(VLOOKUP($C:$C,Structure!$A:$AJ,AL$1,0)*15,0),IFERROR(VLOOKUP($D:$D,Structure!$A:$AJ,AL$1,0)*15,0),IFERROR(VLOOKUP($E:$E,Structure!$A:$AJ,AL$1,0)*15,0))</f>
        <v>0</v>
      </c>
      <c r="AM147" s="13">
        <f>SUM(IFERROR(VLOOKUP($C:$C,Structure!$A:$AJ,AM$1,0)*15,0),IFERROR(VLOOKUP($D:$D,Structure!$A:$AJ,AM$1,0)*15,0),IFERROR(VLOOKUP($E:$E,Structure!$A:$AJ,AM$1,0)*15,0))</f>
        <v>0</v>
      </c>
      <c r="AN147" s="13">
        <f>SUM(IFERROR(VLOOKUP($C:$C,Structure!$A:$AJ,AN$1,0)*15,0),IFERROR(VLOOKUP($D:$D,Structure!$A:$AJ,AN$1,0)*15,0),IFERROR(VLOOKUP($E:$E,Structure!$A:$AJ,AN$1,0)*15,0))</f>
        <v>0</v>
      </c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3"/>
      <c r="BZ147" s="4">
        <f>BZ146+AQ147-F147</f>
        <v>0</v>
      </c>
      <c r="CA147" s="4">
        <f>CA146+AR147-G147</f>
        <v>0</v>
      </c>
      <c r="CB147" s="4">
        <f>CB146+AS147-H147</f>
        <v>0</v>
      </c>
      <c r="CC147" s="4">
        <f>CC146+AT147-I147</f>
        <v>0</v>
      </c>
      <c r="CD147" s="4">
        <f>CD146+AU147-J147</f>
        <v>0</v>
      </c>
      <c r="CE147" s="4">
        <f>CE146+AV147-K147</f>
        <v>0</v>
      </c>
      <c r="CF147" s="4">
        <f>CF146+AW147-L147</f>
        <v>0</v>
      </c>
      <c r="CG147" s="4">
        <f>CG146+AX147-M147</f>
        <v>0</v>
      </c>
      <c r="CH147" s="4">
        <f>CH146+AY147-N147</f>
        <v>0</v>
      </c>
      <c r="CI147" s="4">
        <f>CI146+AZ147-O147</f>
        <v>0</v>
      </c>
      <c r="CJ147" s="4">
        <f>CJ146+BA147-P147</f>
        <v>0</v>
      </c>
      <c r="CK147" s="4">
        <f>CK146+BB147-Q147</f>
        <v>0</v>
      </c>
      <c r="CL147" s="4">
        <f>CL146+BC147-R147</f>
        <v>0</v>
      </c>
      <c r="CM147" s="4">
        <f>CM146+BD147-S147</f>
        <v>0</v>
      </c>
      <c r="CN147" s="4">
        <f>CN146+BE147-T147</f>
        <v>0</v>
      </c>
      <c r="CO147" s="4">
        <f>CO146+BF147-U147</f>
        <v>0</v>
      </c>
      <c r="CP147" s="4">
        <f>CP146+BG147-V147</f>
        <v>-60</v>
      </c>
      <c r="CQ147" s="4">
        <f>CQ146+BH147-W147</f>
        <v>0</v>
      </c>
      <c r="CR147" s="4">
        <f>CR146+BI147-X147</f>
        <v>-60</v>
      </c>
      <c r="CS147" s="4">
        <f>CS146+BJ147-Y147</f>
        <v>0</v>
      </c>
      <c r="CT147" s="4">
        <f>CT146+BK147-Z147</f>
        <v>0</v>
      </c>
      <c r="CU147" s="4">
        <f>CU146+BL147-AA147</f>
        <v>-5810</v>
      </c>
      <c r="CV147" s="4">
        <f>CV146+BM147-AB147</f>
        <v>-240</v>
      </c>
      <c r="CW147" s="4">
        <f>CW146+BN147-AC147</f>
        <v>-255</v>
      </c>
      <c r="CX147" s="4">
        <f>CX146+BO147-AD147</f>
        <v>0</v>
      </c>
      <c r="CY147" s="4">
        <f>CY146+BP147-AE147</f>
        <v>-60</v>
      </c>
      <c r="CZ147" s="4">
        <f>CZ146+BQ147-AF147</f>
        <v>-160</v>
      </c>
      <c r="DA147" s="4">
        <f>DA146+BR147-AG147</f>
        <v>0</v>
      </c>
      <c r="DB147" s="4">
        <f>DB146+BS147-AH147</f>
        <v>-60</v>
      </c>
      <c r="DC147" s="4">
        <f>DC146+BT147-AI147</f>
        <v>0</v>
      </c>
      <c r="DD147" s="4">
        <f>DD146+BU147-AJ147</f>
        <v>-4525</v>
      </c>
      <c r="DE147" s="4">
        <f>DE146+BV147-AK147</f>
        <v>-1305</v>
      </c>
      <c r="DF147" s="4">
        <f>DF146+BW147-AL147</f>
        <v>0</v>
      </c>
      <c r="DG147" s="4">
        <f>DG146+BX147-AM147</f>
        <v>-235</v>
      </c>
      <c r="DH147" s="4">
        <f>DH146+BY147-AN147</f>
        <v>0</v>
      </c>
    </row>
    <row r="148" spans="1:112" x14ac:dyDescent="0.25">
      <c r="A148" s="6">
        <v>46185</v>
      </c>
      <c r="B148" s="7">
        <v>0.37499999965075403</v>
      </c>
      <c r="C148" s="3" t="s">
        <v>3</v>
      </c>
      <c r="D148" s="3" t="s">
        <v>6</v>
      </c>
      <c r="E148" s="3" t="s">
        <v>2</v>
      </c>
      <c r="F148" s="13">
        <f>SUM(IFERROR(VLOOKUP($C:$C,Structure!$A:$AJ,F$1,0)*15,0),IFERROR(VLOOKUP($D:$D,Structure!$A:$AJ,F$1,0)*15,0),IFERROR(VLOOKUP($E:$E,Structure!$A:$AJ,F$1,0)*15,0))</f>
        <v>0</v>
      </c>
      <c r="G148" s="13">
        <f>SUM(IFERROR(VLOOKUP($C:$C,Structure!$A:$AJ,G$1,0)*15,0),IFERROR(VLOOKUP($D:$D,Structure!$A:$AJ,G$1,0)*15,0),IFERROR(VLOOKUP($E:$E,Structure!$A:$AJ,G$1,0)*15,0))</f>
        <v>0</v>
      </c>
      <c r="H148" s="13">
        <f>SUM(IFERROR(VLOOKUP($C:$C,Structure!$A:$AJ,H$1,0)*15,0),IFERROR(VLOOKUP($D:$D,Structure!$A:$AJ,H$1,0)*15,0),IFERROR(VLOOKUP($E:$E,Structure!$A:$AJ,H$1,0)*15,0))</f>
        <v>0</v>
      </c>
      <c r="I148" s="13">
        <f>SUM(IFERROR(VLOOKUP($C:$C,Structure!$A:$AJ,I$1,0)*15,0),IFERROR(VLOOKUP($D:$D,Structure!$A:$AJ,I$1,0)*15,0),IFERROR(VLOOKUP($E:$E,Structure!$A:$AJ,I$1,0)*15,0))</f>
        <v>0</v>
      </c>
      <c r="J148" s="13">
        <f>SUM(IFERROR(VLOOKUP($C:$C,Structure!$A:$AJ,J$1,0)*15,0),IFERROR(VLOOKUP($D:$D,Structure!$A:$AJ,J$1,0)*15,0),IFERROR(VLOOKUP($E:$E,Structure!$A:$AJ,J$1,0)*15,0))</f>
        <v>0</v>
      </c>
      <c r="K148" s="13">
        <f>SUM(IFERROR(VLOOKUP($C:$C,Structure!$A:$AJ,K$1,0)*15,0),IFERROR(VLOOKUP($D:$D,Structure!$A:$AJ,K$1,0)*15,0),IFERROR(VLOOKUP($E:$E,Structure!$A:$AJ,K$1,0)*15,0))</f>
        <v>0</v>
      </c>
      <c r="L148" s="13">
        <f>SUM(IFERROR(VLOOKUP($C:$C,Structure!$A:$AJ,L$1,0)*15,0),IFERROR(VLOOKUP($D:$D,Structure!$A:$AJ,L$1,0)*15,0),IFERROR(VLOOKUP($E:$E,Structure!$A:$AJ,L$1,0)*15,0))</f>
        <v>0</v>
      </c>
      <c r="M148" s="13">
        <f>SUM(IFERROR(VLOOKUP($C:$C,Structure!$A:$AJ,M$1,0)*15,0),IFERROR(VLOOKUP($D:$D,Structure!$A:$AJ,M$1,0)*15,0),IFERROR(VLOOKUP($E:$E,Structure!$A:$AJ,M$1,0)*15,0))</f>
        <v>0</v>
      </c>
      <c r="N148" s="13">
        <f>SUM(IFERROR(VLOOKUP($C:$C,Structure!$A:$AJ,N$1,0)*15,0),IFERROR(VLOOKUP($D:$D,Structure!$A:$AJ,N$1,0)*15,0),IFERROR(VLOOKUP($E:$E,Structure!$A:$AJ,N$1,0)*15,0))</f>
        <v>0</v>
      </c>
      <c r="O148" s="13">
        <f>SUM(IFERROR(VLOOKUP($C:$C,Structure!$A:$AJ,O$1,0)*15,0),IFERROR(VLOOKUP($D:$D,Structure!$A:$AJ,O$1,0)*15,0),IFERROR(VLOOKUP($E:$E,Structure!$A:$AJ,O$1,0)*15,0))</f>
        <v>0</v>
      </c>
      <c r="P148" s="13">
        <f>SUM(IFERROR(VLOOKUP($C:$C,Structure!$A:$AJ,P$1,0)*15,0),IFERROR(VLOOKUP($D:$D,Structure!$A:$AJ,P$1,0)*15,0),IFERROR(VLOOKUP($E:$E,Structure!$A:$AJ,P$1,0)*15,0))</f>
        <v>0</v>
      </c>
      <c r="Q148" s="13">
        <f>SUM(IFERROR(VLOOKUP($C:$C,Structure!$A:$AJ,Q$1,0)*15,0),IFERROR(VLOOKUP($D:$D,Structure!$A:$AJ,Q$1,0)*15,0),IFERROR(VLOOKUP($E:$E,Structure!$A:$AJ,Q$1,0)*15,0))</f>
        <v>0</v>
      </c>
      <c r="R148" s="13">
        <f>SUM(IFERROR(VLOOKUP($C:$C,Structure!$A:$AJ,R$1,0)*15,0),IFERROR(VLOOKUP($D:$D,Structure!$A:$AJ,R$1,0)*15,0),IFERROR(VLOOKUP($E:$E,Structure!$A:$AJ,R$1,0)*15,0))</f>
        <v>0</v>
      </c>
      <c r="S148" s="13">
        <f>SUM(IFERROR(VLOOKUP($C:$C,Structure!$A:$AJ,S$1,0)*15,0),IFERROR(VLOOKUP($D:$D,Structure!$A:$AJ,S$1,0)*15,0),IFERROR(VLOOKUP($E:$E,Structure!$A:$AJ,S$1,0)*15,0))</f>
        <v>0</v>
      </c>
      <c r="T148" s="13">
        <f>SUM(IFERROR(VLOOKUP($C:$C,Structure!$A:$AJ,T$1,0)*15,0),IFERROR(VLOOKUP($D:$D,Structure!$A:$AJ,T$1,0)*15,0),IFERROR(VLOOKUP($E:$E,Structure!$A:$AJ,T$1,0)*15,0))</f>
        <v>0</v>
      </c>
      <c r="U148" s="13">
        <f>SUM(IFERROR(VLOOKUP($C:$C,Structure!$A:$AJ,U$1,0)*15,0),IFERROR(VLOOKUP($D:$D,Structure!$A:$AJ,U$1,0)*15,0),IFERROR(VLOOKUP($E:$E,Structure!$A:$AJ,U$1,0)*15,0))</f>
        <v>0</v>
      </c>
      <c r="V148" s="13">
        <f>SUM(IFERROR(VLOOKUP($C:$C,Structure!$A:$AJ,V$1,0)*15,0),IFERROR(VLOOKUP($D:$D,Structure!$A:$AJ,V$1,0)*15,0),IFERROR(VLOOKUP($E:$E,Structure!$A:$AJ,V$1,0)*15,0))</f>
        <v>0</v>
      </c>
      <c r="W148" s="13">
        <f>SUM(IFERROR(VLOOKUP($C:$C,Structure!$A:$AJ,W$1,0)*15,0),IFERROR(VLOOKUP($D:$D,Structure!$A:$AJ,W$1,0)*15,0),IFERROR(VLOOKUP($E:$E,Structure!$A:$AJ,W$1,0)*15,0))</f>
        <v>0</v>
      </c>
      <c r="X148" s="13">
        <f>SUM(IFERROR(VLOOKUP($C:$C,Structure!$A:$AJ,X$1,0)*15,0),IFERROR(VLOOKUP($D:$D,Structure!$A:$AJ,X$1,0)*15,0),IFERROR(VLOOKUP($E:$E,Structure!$A:$AJ,X$1,0)*15,0))</f>
        <v>0</v>
      </c>
      <c r="Y148" s="13">
        <f>SUM(IFERROR(VLOOKUP($C:$C,Structure!$A:$AJ,Y$1,0)*15,0),IFERROR(VLOOKUP($D:$D,Structure!$A:$AJ,Y$1,0)*15,0),IFERROR(VLOOKUP($E:$E,Structure!$A:$AJ,Y$1,0)*15,0))</f>
        <v>0</v>
      </c>
      <c r="Z148" s="13">
        <f>SUM(IFERROR(VLOOKUP($C:$C,Structure!$A:$AJ,Z$1,0)*15,0),IFERROR(VLOOKUP($D:$D,Structure!$A:$AJ,Z$1,0)*15,0),IFERROR(VLOOKUP($E:$E,Structure!$A:$AJ,Z$1,0)*15,0))</f>
        <v>0</v>
      </c>
      <c r="AA148" s="13">
        <f>SUM(IFERROR(VLOOKUP($C:$C,Structure!$A:$AJ,AA$1,0)*15,0),IFERROR(VLOOKUP($D:$D,Structure!$A:$AJ,AA$1,0)*15,0),IFERROR(VLOOKUP($E:$E,Structure!$A:$AJ,AA$1,0)*15,0))</f>
        <v>45</v>
      </c>
      <c r="AB148" s="13">
        <f>SUM(IFERROR(VLOOKUP($C:$C,Structure!$A:$AJ,AB$1,0)*15,0),IFERROR(VLOOKUP($D:$D,Structure!$A:$AJ,AB$1,0)*15,0),IFERROR(VLOOKUP($E:$E,Structure!$A:$AJ,AB$1,0)*15,0))</f>
        <v>0</v>
      </c>
      <c r="AC148" s="13">
        <f>SUM(IFERROR(VLOOKUP($C:$C,Structure!$A:$AJ,AC$1,0)*15,0),IFERROR(VLOOKUP($D:$D,Structure!$A:$AJ,AC$1,0)*15,0),IFERROR(VLOOKUP($E:$E,Structure!$A:$AJ,AC$1,0)*15,0))</f>
        <v>0</v>
      </c>
      <c r="AD148" s="13">
        <f>SUM(IFERROR(VLOOKUP($C:$C,Structure!$A:$AJ,AD$1,0)*15,0),IFERROR(VLOOKUP($D:$D,Structure!$A:$AJ,AD$1,0)*15,0),IFERROR(VLOOKUP($E:$E,Structure!$A:$AJ,AD$1,0)*15,0))</f>
        <v>0</v>
      </c>
      <c r="AE148" s="13">
        <f>SUM(IFERROR(VLOOKUP($C:$C,Structure!$A:$AJ,AE$1,0)*15,0),IFERROR(VLOOKUP($D:$D,Structure!$A:$AJ,AE$1,0)*15,0),IFERROR(VLOOKUP($E:$E,Structure!$A:$AJ,AE$1,0)*15,0))</f>
        <v>0</v>
      </c>
      <c r="AF148" s="13">
        <f>SUM(IFERROR(VLOOKUP($C:$C,Structure!$A:$AJ,AF$1,0)*15,0),IFERROR(VLOOKUP($D:$D,Structure!$A:$AJ,AF$1,0)*15,0),IFERROR(VLOOKUP($E:$E,Structure!$A:$AJ,AF$1,0)*15,0))</f>
        <v>0</v>
      </c>
      <c r="AG148" s="13">
        <f>SUM(IFERROR(VLOOKUP($C:$C,Structure!$A:$AJ,AG$1,0)*15,0),IFERROR(VLOOKUP($D:$D,Structure!$A:$AJ,AG$1,0)*15,0),IFERROR(VLOOKUP($E:$E,Structure!$A:$AJ,AG$1,0)*15,0))</f>
        <v>0</v>
      </c>
      <c r="AH148" s="13">
        <f>SUM(IFERROR(VLOOKUP($C:$C,Structure!$A:$AJ,AH$1,0)*15,0),IFERROR(VLOOKUP($D:$D,Structure!$A:$AJ,AH$1,0)*15,0),IFERROR(VLOOKUP($E:$E,Structure!$A:$AJ,AH$1,0)*15,0))</f>
        <v>0</v>
      </c>
      <c r="AI148" s="13">
        <f>SUM(IFERROR(VLOOKUP($C:$C,Structure!$A:$AJ,AI$1,0)*15,0),IFERROR(VLOOKUP($D:$D,Structure!$A:$AJ,AI$1,0)*15,0),IFERROR(VLOOKUP($E:$E,Structure!$A:$AJ,AI$1,0)*15,0))</f>
        <v>0</v>
      </c>
      <c r="AJ148" s="13">
        <f>SUM(IFERROR(VLOOKUP($C:$C,Structure!$A:$AJ,AJ$1,0)*15,0),IFERROR(VLOOKUP($D:$D,Structure!$A:$AJ,AJ$1,0)*15,0),IFERROR(VLOOKUP($E:$E,Structure!$A:$AJ,AJ$1,0)*15,0))</f>
        <v>30</v>
      </c>
      <c r="AK148" s="13">
        <f>SUM(IFERROR(VLOOKUP($C:$C,Structure!$A:$AJ,AK$1,0)*15,0),IFERROR(VLOOKUP($D:$D,Structure!$A:$AJ,AK$1,0)*15,0),IFERROR(VLOOKUP($E:$E,Structure!$A:$AJ,AK$1,0)*15,0))</f>
        <v>15</v>
      </c>
      <c r="AL148" s="13">
        <f>SUM(IFERROR(VLOOKUP($C:$C,Structure!$A:$AJ,AL$1,0)*15,0),IFERROR(VLOOKUP($D:$D,Structure!$A:$AJ,AL$1,0)*15,0),IFERROR(VLOOKUP($E:$E,Structure!$A:$AJ,AL$1,0)*15,0))</f>
        <v>0</v>
      </c>
      <c r="AM148" s="13">
        <f>SUM(IFERROR(VLOOKUP($C:$C,Structure!$A:$AJ,AM$1,0)*15,0),IFERROR(VLOOKUP($D:$D,Structure!$A:$AJ,AM$1,0)*15,0),IFERROR(VLOOKUP($E:$E,Structure!$A:$AJ,AM$1,0)*15,0))</f>
        <v>0</v>
      </c>
      <c r="AN148" s="13">
        <f>SUM(IFERROR(VLOOKUP($C:$C,Structure!$A:$AJ,AN$1,0)*15,0),IFERROR(VLOOKUP($D:$D,Structure!$A:$AJ,AN$1,0)*15,0),IFERROR(VLOOKUP($E:$E,Structure!$A:$AJ,AN$1,0)*15,0))</f>
        <v>0</v>
      </c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3"/>
      <c r="BZ148" s="4">
        <f>BZ147+AQ148-F148</f>
        <v>0</v>
      </c>
      <c r="CA148" s="4">
        <f>CA147+AR148-G148</f>
        <v>0</v>
      </c>
      <c r="CB148" s="4">
        <f>CB147+AS148-H148</f>
        <v>0</v>
      </c>
      <c r="CC148" s="4">
        <f>CC147+AT148-I148</f>
        <v>0</v>
      </c>
      <c r="CD148" s="4">
        <f>CD147+AU148-J148</f>
        <v>0</v>
      </c>
      <c r="CE148" s="4">
        <f>CE147+AV148-K148</f>
        <v>0</v>
      </c>
      <c r="CF148" s="4">
        <f>CF147+AW148-L148</f>
        <v>0</v>
      </c>
      <c r="CG148" s="4">
        <f>CG147+AX148-M148</f>
        <v>0</v>
      </c>
      <c r="CH148" s="4">
        <f>CH147+AY148-N148</f>
        <v>0</v>
      </c>
      <c r="CI148" s="4">
        <f>CI147+AZ148-O148</f>
        <v>0</v>
      </c>
      <c r="CJ148" s="4">
        <f>CJ147+BA148-P148</f>
        <v>0</v>
      </c>
      <c r="CK148" s="4">
        <f>CK147+BB148-Q148</f>
        <v>0</v>
      </c>
      <c r="CL148" s="4">
        <f>CL147+BC148-R148</f>
        <v>0</v>
      </c>
      <c r="CM148" s="4">
        <f>CM147+BD148-S148</f>
        <v>0</v>
      </c>
      <c r="CN148" s="4">
        <f>CN147+BE148-T148</f>
        <v>0</v>
      </c>
      <c r="CO148" s="4">
        <f>CO147+BF148-U148</f>
        <v>0</v>
      </c>
      <c r="CP148" s="4">
        <f>CP147+BG148-V148</f>
        <v>-60</v>
      </c>
      <c r="CQ148" s="4">
        <f>CQ147+BH148-W148</f>
        <v>0</v>
      </c>
      <c r="CR148" s="4">
        <f>CR147+BI148-X148</f>
        <v>-60</v>
      </c>
      <c r="CS148" s="4">
        <f>CS147+BJ148-Y148</f>
        <v>0</v>
      </c>
      <c r="CT148" s="4">
        <f>CT147+BK148-Z148</f>
        <v>0</v>
      </c>
      <c r="CU148" s="4">
        <f>CU147+BL148-AA148</f>
        <v>-5855</v>
      </c>
      <c r="CV148" s="4">
        <f>CV147+BM148-AB148</f>
        <v>-240</v>
      </c>
      <c r="CW148" s="4">
        <f>CW147+BN148-AC148</f>
        <v>-255</v>
      </c>
      <c r="CX148" s="4">
        <f>CX147+BO148-AD148</f>
        <v>0</v>
      </c>
      <c r="CY148" s="4">
        <f>CY147+BP148-AE148</f>
        <v>-60</v>
      </c>
      <c r="CZ148" s="4">
        <f>CZ147+BQ148-AF148</f>
        <v>-160</v>
      </c>
      <c r="DA148" s="4">
        <f>DA147+BR148-AG148</f>
        <v>0</v>
      </c>
      <c r="DB148" s="4">
        <f>DB147+BS148-AH148</f>
        <v>-60</v>
      </c>
      <c r="DC148" s="4">
        <f>DC147+BT148-AI148</f>
        <v>0</v>
      </c>
      <c r="DD148" s="4">
        <f>DD147+BU148-AJ148</f>
        <v>-4555</v>
      </c>
      <c r="DE148" s="4">
        <f>DE147+BV148-AK148</f>
        <v>-1320</v>
      </c>
      <c r="DF148" s="4">
        <f>DF147+BW148-AL148</f>
        <v>0</v>
      </c>
      <c r="DG148" s="4">
        <f>DG147+BX148-AM148</f>
        <v>-235</v>
      </c>
      <c r="DH148" s="4">
        <f>DH147+BY148-AN148</f>
        <v>0</v>
      </c>
    </row>
    <row r="149" spans="1:112" x14ac:dyDescent="0.25">
      <c r="A149" s="6">
        <v>46185</v>
      </c>
      <c r="B149" s="7">
        <v>0.41666666631499538</v>
      </c>
      <c r="C149" s="3" t="s">
        <v>3</v>
      </c>
      <c r="D149" s="3" t="s">
        <v>6</v>
      </c>
      <c r="E149" s="3" t="s">
        <v>2</v>
      </c>
      <c r="F149" s="13">
        <f>SUM(IFERROR(VLOOKUP($C:$C,Structure!$A:$AJ,F$1,0)*15,0),IFERROR(VLOOKUP($D:$D,Structure!$A:$AJ,F$1,0)*15,0),IFERROR(VLOOKUP($E:$E,Structure!$A:$AJ,F$1,0)*15,0))</f>
        <v>0</v>
      </c>
      <c r="G149" s="13">
        <f>SUM(IFERROR(VLOOKUP($C:$C,Structure!$A:$AJ,G$1,0)*15,0),IFERROR(VLOOKUP($D:$D,Structure!$A:$AJ,G$1,0)*15,0),IFERROR(VLOOKUP($E:$E,Structure!$A:$AJ,G$1,0)*15,0))</f>
        <v>0</v>
      </c>
      <c r="H149" s="13">
        <f>SUM(IFERROR(VLOOKUP($C:$C,Structure!$A:$AJ,H$1,0)*15,0),IFERROR(VLOOKUP($D:$D,Structure!$A:$AJ,H$1,0)*15,0),IFERROR(VLOOKUP($E:$E,Structure!$A:$AJ,H$1,0)*15,0))</f>
        <v>0</v>
      </c>
      <c r="I149" s="13">
        <f>SUM(IFERROR(VLOOKUP($C:$C,Structure!$A:$AJ,I$1,0)*15,0),IFERROR(VLOOKUP($D:$D,Structure!$A:$AJ,I$1,0)*15,0),IFERROR(VLOOKUP($E:$E,Structure!$A:$AJ,I$1,0)*15,0))</f>
        <v>0</v>
      </c>
      <c r="J149" s="13">
        <f>SUM(IFERROR(VLOOKUP($C:$C,Structure!$A:$AJ,J$1,0)*15,0),IFERROR(VLOOKUP($D:$D,Structure!$A:$AJ,J$1,0)*15,0),IFERROR(VLOOKUP($E:$E,Structure!$A:$AJ,J$1,0)*15,0))</f>
        <v>0</v>
      </c>
      <c r="K149" s="13">
        <f>SUM(IFERROR(VLOOKUP($C:$C,Structure!$A:$AJ,K$1,0)*15,0),IFERROR(VLOOKUP($D:$D,Structure!$A:$AJ,K$1,0)*15,0),IFERROR(VLOOKUP($E:$E,Structure!$A:$AJ,K$1,0)*15,0))</f>
        <v>0</v>
      </c>
      <c r="L149" s="13">
        <f>SUM(IFERROR(VLOOKUP($C:$C,Structure!$A:$AJ,L$1,0)*15,0),IFERROR(VLOOKUP($D:$D,Structure!$A:$AJ,L$1,0)*15,0),IFERROR(VLOOKUP($E:$E,Structure!$A:$AJ,L$1,0)*15,0))</f>
        <v>0</v>
      </c>
      <c r="M149" s="13">
        <f>SUM(IFERROR(VLOOKUP($C:$C,Structure!$A:$AJ,M$1,0)*15,0),IFERROR(VLOOKUP($D:$D,Structure!$A:$AJ,M$1,0)*15,0),IFERROR(VLOOKUP($E:$E,Structure!$A:$AJ,M$1,0)*15,0))</f>
        <v>0</v>
      </c>
      <c r="N149" s="13">
        <f>SUM(IFERROR(VLOOKUP($C:$C,Structure!$A:$AJ,N$1,0)*15,0),IFERROR(VLOOKUP($D:$D,Structure!$A:$AJ,N$1,0)*15,0),IFERROR(VLOOKUP($E:$E,Structure!$A:$AJ,N$1,0)*15,0))</f>
        <v>0</v>
      </c>
      <c r="O149" s="13">
        <f>SUM(IFERROR(VLOOKUP($C:$C,Structure!$A:$AJ,O$1,0)*15,0),IFERROR(VLOOKUP($D:$D,Structure!$A:$AJ,O$1,0)*15,0),IFERROR(VLOOKUP($E:$E,Structure!$A:$AJ,O$1,0)*15,0))</f>
        <v>0</v>
      </c>
      <c r="P149" s="13">
        <f>SUM(IFERROR(VLOOKUP($C:$C,Structure!$A:$AJ,P$1,0)*15,0),IFERROR(VLOOKUP($D:$D,Structure!$A:$AJ,P$1,0)*15,0),IFERROR(VLOOKUP($E:$E,Structure!$A:$AJ,P$1,0)*15,0))</f>
        <v>0</v>
      </c>
      <c r="Q149" s="13">
        <f>SUM(IFERROR(VLOOKUP($C:$C,Structure!$A:$AJ,Q$1,0)*15,0),IFERROR(VLOOKUP($D:$D,Structure!$A:$AJ,Q$1,0)*15,0),IFERROR(VLOOKUP($E:$E,Structure!$A:$AJ,Q$1,0)*15,0))</f>
        <v>0</v>
      </c>
      <c r="R149" s="13">
        <f>SUM(IFERROR(VLOOKUP($C:$C,Structure!$A:$AJ,R$1,0)*15,0),IFERROR(VLOOKUP($D:$D,Structure!$A:$AJ,R$1,0)*15,0),IFERROR(VLOOKUP($E:$E,Structure!$A:$AJ,R$1,0)*15,0))</f>
        <v>0</v>
      </c>
      <c r="S149" s="13">
        <f>SUM(IFERROR(VLOOKUP($C:$C,Structure!$A:$AJ,S$1,0)*15,0),IFERROR(VLOOKUP($D:$D,Structure!$A:$AJ,S$1,0)*15,0),IFERROR(VLOOKUP($E:$E,Structure!$A:$AJ,S$1,0)*15,0))</f>
        <v>0</v>
      </c>
      <c r="T149" s="13">
        <f>SUM(IFERROR(VLOOKUP($C:$C,Structure!$A:$AJ,T$1,0)*15,0),IFERROR(VLOOKUP($D:$D,Structure!$A:$AJ,T$1,0)*15,0),IFERROR(VLOOKUP($E:$E,Structure!$A:$AJ,T$1,0)*15,0))</f>
        <v>0</v>
      </c>
      <c r="U149" s="13">
        <f>SUM(IFERROR(VLOOKUP($C:$C,Structure!$A:$AJ,U$1,0)*15,0),IFERROR(VLOOKUP($D:$D,Structure!$A:$AJ,U$1,0)*15,0),IFERROR(VLOOKUP($E:$E,Structure!$A:$AJ,U$1,0)*15,0))</f>
        <v>0</v>
      </c>
      <c r="V149" s="13">
        <f>SUM(IFERROR(VLOOKUP($C:$C,Structure!$A:$AJ,V$1,0)*15,0),IFERROR(VLOOKUP($D:$D,Structure!$A:$AJ,V$1,0)*15,0),IFERROR(VLOOKUP($E:$E,Structure!$A:$AJ,V$1,0)*15,0))</f>
        <v>0</v>
      </c>
      <c r="W149" s="13">
        <f>SUM(IFERROR(VLOOKUP($C:$C,Structure!$A:$AJ,W$1,0)*15,0),IFERROR(VLOOKUP($D:$D,Structure!$A:$AJ,W$1,0)*15,0),IFERROR(VLOOKUP($E:$E,Structure!$A:$AJ,W$1,0)*15,0))</f>
        <v>0</v>
      </c>
      <c r="X149" s="13">
        <f>SUM(IFERROR(VLOOKUP($C:$C,Structure!$A:$AJ,X$1,0)*15,0),IFERROR(VLOOKUP($D:$D,Structure!$A:$AJ,X$1,0)*15,0),IFERROR(VLOOKUP($E:$E,Structure!$A:$AJ,X$1,0)*15,0))</f>
        <v>0</v>
      </c>
      <c r="Y149" s="13">
        <f>SUM(IFERROR(VLOOKUP($C:$C,Structure!$A:$AJ,Y$1,0)*15,0),IFERROR(VLOOKUP($D:$D,Structure!$A:$AJ,Y$1,0)*15,0),IFERROR(VLOOKUP($E:$E,Structure!$A:$AJ,Y$1,0)*15,0))</f>
        <v>0</v>
      </c>
      <c r="Z149" s="13">
        <f>SUM(IFERROR(VLOOKUP($C:$C,Structure!$A:$AJ,Z$1,0)*15,0),IFERROR(VLOOKUP($D:$D,Structure!$A:$AJ,Z$1,0)*15,0),IFERROR(VLOOKUP($E:$E,Structure!$A:$AJ,Z$1,0)*15,0))</f>
        <v>0</v>
      </c>
      <c r="AA149" s="13">
        <f>SUM(IFERROR(VLOOKUP($C:$C,Structure!$A:$AJ,AA$1,0)*15,0),IFERROR(VLOOKUP($D:$D,Structure!$A:$AJ,AA$1,0)*15,0),IFERROR(VLOOKUP($E:$E,Structure!$A:$AJ,AA$1,0)*15,0))</f>
        <v>45</v>
      </c>
      <c r="AB149" s="13">
        <f>SUM(IFERROR(VLOOKUP($C:$C,Structure!$A:$AJ,AB$1,0)*15,0),IFERROR(VLOOKUP($D:$D,Structure!$A:$AJ,AB$1,0)*15,0),IFERROR(VLOOKUP($E:$E,Structure!$A:$AJ,AB$1,0)*15,0))</f>
        <v>0</v>
      </c>
      <c r="AC149" s="13">
        <f>SUM(IFERROR(VLOOKUP($C:$C,Structure!$A:$AJ,AC$1,0)*15,0),IFERROR(VLOOKUP($D:$D,Structure!$A:$AJ,AC$1,0)*15,0),IFERROR(VLOOKUP($E:$E,Structure!$A:$AJ,AC$1,0)*15,0))</f>
        <v>0</v>
      </c>
      <c r="AD149" s="13">
        <f>SUM(IFERROR(VLOOKUP($C:$C,Structure!$A:$AJ,AD$1,0)*15,0),IFERROR(VLOOKUP($D:$D,Structure!$A:$AJ,AD$1,0)*15,0),IFERROR(VLOOKUP($E:$E,Structure!$A:$AJ,AD$1,0)*15,0))</f>
        <v>0</v>
      </c>
      <c r="AE149" s="13">
        <f>SUM(IFERROR(VLOOKUP($C:$C,Structure!$A:$AJ,AE$1,0)*15,0),IFERROR(VLOOKUP($D:$D,Structure!$A:$AJ,AE$1,0)*15,0),IFERROR(VLOOKUP($E:$E,Structure!$A:$AJ,AE$1,0)*15,0))</f>
        <v>0</v>
      </c>
      <c r="AF149" s="13">
        <f>SUM(IFERROR(VLOOKUP($C:$C,Structure!$A:$AJ,AF$1,0)*15,0),IFERROR(VLOOKUP($D:$D,Structure!$A:$AJ,AF$1,0)*15,0),IFERROR(VLOOKUP($E:$E,Structure!$A:$AJ,AF$1,0)*15,0))</f>
        <v>0</v>
      </c>
      <c r="AG149" s="13">
        <f>SUM(IFERROR(VLOOKUP($C:$C,Structure!$A:$AJ,AG$1,0)*15,0),IFERROR(VLOOKUP($D:$D,Structure!$A:$AJ,AG$1,0)*15,0),IFERROR(VLOOKUP($E:$E,Structure!$A:$AJ,AG$1,0)*15,0))</f>
        <v>0</v>
      </c>
      <c r="AH149" s="13">
        <f>SUM(IFERROR(VLOOKUP($C:$C,Structure!$A:$AJ,AH$1,0)*15,0),IFERROR(VLOOKUP($D:$D,Structure!$A:$AJ,AH$1,0)*15,0),IFERROR(VLOOKUP($E:$E,Structure!$A:$AJ,AH$1,0)*15,0))</f>
        <v>0</v>
      </c>
      <c r="AI149" s="13">
        <f>SUM(IFERROR(VLOOKUP($C:$C,Structure!$A:$AJ,AI$1,0)*15,0),IFERROR(VLOOKUP($D:$D,Structure!$A:$AJ,AI$1,0)*15,0),IFERROR(VLOOKUP($E:$E,Structure!$A:$AJ,AI$1,0)*15,0))</f>
        <v>0</v>
      </c>
      <c r="AJ149" s="13">
        <f>SUM(IFERROR(VLOOKUP($C:$C,Structure!$A:$AJ,AJ$1,0)*15,0),IFERROR(VLOOKUP($D:$D,Structure!$A:$AJ,AJ$1,0)*15,0),IFERROR(VLOOKUP($E:$E,Structure!$A:$AJ,AJ$1,0)*15,0))</f>
        <v>30</v>
      </c>
      <c r="AK149" s="13">
        <f>SUM(IFERROR(VLOOKUP($C:$C,Structure!$A:$AJ,AK$1,0)*15,0),IFERROR(VLOOKUP($D:$D,Structure!$A:$AJ,AK$1,0)*15,0),IFERROR(VLOOKUP($E:$E,Structure!$A:$AJ,AK$1,0)*15,0))</f>
        <v>15</v>
      </c>
      <c r="AL149" s="13">
        <f>SUM(IFERROR(VLOOKUP($C:$C,Structure!$A:$AJ,AL$1,0)*15,0),IFERROR(VLOOKUP($D:$D,Structure!$A:$AJ,AL$1,0)*15,0),IFERROR(VLOOKUP($E:$E,Structure!$A:$AJ,AL$1,0)*15,0))</f>
        <v>0</v>
      </c>
      <c r="AM149" s="13">
        <f>SUM(IFERROR(VLOOKUP($C:$C,Structure!$A:$AJ,AM$1,0)*15,0),IFERROR(VLOOKUP($D:$D,Structure!$A:$AJ,AM$1,0)*15,0),IFERROR(VLOOKUP($E:$E,Structure!$A:$AJ,AM$1,0)*15,0))</f>
        <v>0</v>
      </c>
      <c r="AN149" s="13">
        <f>SUM(IFERROR(VLOOKUP($C:$C,Structure!$A:$AJ,AN$1,0)*15,0),IFERROR(VLOOKUP($D:$D,Structure!$A:$AJ,AN$1,0)*15,0),IFERROR(VLOOKUP($E:$E,Structure!$A:$AJ,AN$1,0)*15,0))</f>
        <v>0</v>
      </c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3"/>
      <c r="BZ149" s="4">
        <f>BZ148+AQ149-F149</f>
        <v>0</v>
      </c>
      <c r="CA149" s="4">
        <f>CA148+AR149-G149</f>
        <v>0</v>
      </c>
      <c r="CB149" s="4">
        <f>CB148+AS149-H149</f>
        <v>0</v>
      </c>
      <c r="CC149" s="4">
        <f>CC148+AT149-I149</f>
        <v>0</v>
      </c>
      <c r="CD149" s="4">
        <f>CD148+AU149-J149</f>
        <v>0</v>
      </c>
      <c r="CE149" s="4">
        <f>CE148+AV149-K149</f>
        <v>0</v>
      </c>
      <c r="CF149" s="4">
        <f>CF148+AW149-L149</f>
        <v>0</v>
      </c>
      <c r="CG149" s="4">
        <f>CG148+AX149-M149</f>
        <v>0</v>
      </c>
      <c r="CH149" s="4">
        <f>CH148+AY149-N149</f>
        <v>0</v>
      </c>
      <c r="CI149" s="4">
        <f>CI148+AZ149-O149</f>
        <v>0</v>
      </c>
      <c r="CJ149" s="4">
        <f>CJ148+BA149-P149</f>
        <v>0</v>
      </c>
      <c r="CK149" s="4">
        <f>CK148+BB149-Q149</f>
        <v>0</v>
      </c>
      <c r="CL149" s="4">
        <f>CL148+BC149-R149</f>
        <v>0</v>
      </c>
      <c r="CM149" s="4">
        <f>CM148+BD149-S149</f>
        <v>0</v>
      </c>
      <c r="CN149" s="4">
        <f>CN148+BE149-T149</f>
        <v>0</v>
      </c>
      <c r="CO149" s="4">
        <f>CO148+BF149-U149</f>
        <v>0</v>
      </c>
      <c r="CP149" s="4">
        <f>CP148+BG149-V149</f>
        <v>-60</v>
      </c>
      <c r="CQ149" s="4">
        <f>CQ148+BH149-W149</f>
        <v>0</v>
      </c>
      <c r="CR149" s="4">
        <f>CR148+BI149-X149</f>
        <v>-60</v>
      </c>
      <c r="CS149" s="4">
        <f>CS148+BJ149-Y149</f>
        <v>0</v>
      </c>
      <c r="CT149" s="4">
        <f>CT148+BK149-Z149</f>
        <v>0</v>
      </c>
      <c r="CU149" s="4">
        <f>CU148+BL149-AA149</f>
        <v>-5900</v>
      </c>
      <c r="CV149" s="4">
        <f>CV148+BM149-AB149</f>
        <v>-240</v>
      </c>
      <c r="CW149" s="4">
        <f>CW148+BN149-AC149</f>
        <v>-255</v>
      </c>
      <c r="CX149" s="4">
        <f>CX148+BO149-AD149</f>
        <v>0</v>
      </c>
      <c r="CY149" s="4">
        <f>CY148+BP149-AE149</f>
        <v>-60</v>
      </c>
      <c r="CZ149" s="4">
        <f>CZ148+BQ149-AF149</f>
        <v>-160</v>
      </c>
      <c r="DA149" s="4">
        <f>DA148+BR149-AG149</f>
        <v>0</v>
      </c>
      <c r="DB149" s="4">
        <f>DB148+BS149-AH149</f>
        <v>-60</v>
      </c>
      <c r="DC149" s="4">
        <f>DC148+BT149-AI149</f>
        <v>0</v>
      </c>
      <c r="DD149" s="4">
        <f>DD148+BU149-AJ149</f>
        <v>-4585</v>
      </c>
      <c r="DE149" s="4">
        <f>DE148+BV149-AK149</f>
        <v>-1335</v>
      </c>
      <c r="DF149" s="4">
        <f>DF148+BW149-AL149</f>
        <v>0</v>
      </c>
      <c r="DG149" s="4">
        <f>DG148+BX149-AM149</f>
        <v>-235</v>
      </c>
      <c r="DH149" s="4">
        <f>DH148+BY149-AN149</f>
        <v>0</v>
      </c>
    </row>
    <row r="150" spans="1:112" x14ac:dyDescent="0.25">
      <c r="A150" s="6">
        <v>46185</v>
      </c>
      <c r="B150" s="7">
        <v>0.45833333297923673</v>
      </c>
      <c r="C150" s="3" t="s">
        <v>3</v>
      </c>
      <c r="D150" s="3" t="s">
        <v>6</v>
      </c>
      <c r="E150" s="3" t="s">
        <v>2</v>
      </c>
      <c r="F150" s="13">
        <f>SUM(IFERROR(VLOOKUP($C:$C,Structure!$A:$AJ,F$1,0)*15,0),IFERROR(VLOOKUP($D:$D,Structure!$A:$AJ,F$1,0)*15,0),IFERROR(VLOOKUP($E:$E,Structure!$A:$AJ,F$1,0)*15,0))</f>
        <v>0</v>
      </c>
      <c r="G150" s="13">
        <f>SUM(IFERROR(VLOOKUP($C:$C,Structure!$A:$AJ,G$1,0)*15,0),IFERROR(VLOOKUP($D:$D,Structure!$A:$AJ,G$1,0)*15,0),IFERROR(VLOOKUP($E:$E,Structure!$A:$AJ,G$1,0)*15,0))</f>
        <v>0</v>
      </c>
      <c r="H150" s="13">
        <f>SUM(IFERROR(VLOOKUP($C:$C,Structure!$A:$AJ,H$1,0)*15,0),IFERROR(VLOOKUP($D:$D,Structure!$A:$AJ,H$1,0)*15,0),IFERROR(VLOOKUP($E:$E,Structure!$A:$AJ,H$1,0)*15,0))</f>
        <v>0</v>
      </c>
      <c r="I150" s="13">
        <f>SUM(IFERROR(VLOOKUP($C:$C,Structure!$A:$AJ,I$1,0)*15,0),IFERROR(VLOOKUP($D:$D,Structure!$A:$AJ,I$1,0)*15,0),IFERROR(VLOOKUP($E:$E,Structure!$A:$AJ,I$1,0)*15,0))</f>
        <v>0</v>
      </c>
      <c r="J150" s="13">
        <f>SUM(IFERROR(VLOOKUP($C:$C,Structure!$A:$AJ,J$1,0)*15,0),IFERROR(VLOOKUP($D:$D,Structure!$A:$AJ,J$1,0)*15,0),IFERROR(VLOOKUP($E:$E,Structure!$A:$AJ,J$1,0)*15,0))</f>
        <v>0</v>
      </c>
      <c r="K150" s="13">
        <f>SUM(IFERROR(VLOOKUP($C:$C,Structure!$A:$AJ,K$1,0)*15,0),IFERROR(VLOOKUP($D:$D,Structure!$A:$AJ,K$1,0)*15,0),IFERROR(VLOOKUP($E:$E,Structure!$A:$AJ,K$1,0)*15,0))</f>
        <v>0</v>
      </c>
      <c r="L150" s="13">
        <f>SUM(IFERROR(VLOOKUP($C:$C,Structure!$A:$AJ,L$1,0)*15,0),IFERROR(VLOOKUP($D:$D,Structure!$A:$AJ,L$1,0)*15,0),IFERROR(VLOOKUP($E:$E,Structure!$A:$AJ,L$1,0)*15,0))</f>
        <v>0</v>
      </c>
      <c r="M150" s="13">
        <f>SUM(IFERROR(VLOOKUP($C:$C,Structure!$A:$AJ,M$1,0)*15,0),IFERROR(VLOOKUP($D:$D,Structure!$A:$AJ,M$1,0)*15,0),IFERROR(VLOOKUP($E:$E,Structure!$A:$AJ,M$1,0)*15,0))</f>
        <v>0</v>
      </c>
      <c r="N150" s="13">
        <f>SUM(IFERROR(VLOOKUP($C:$C,Structure!$A:$AJ,N$1,0)*15,0),IFERROR(VLOOKUP($D:$D,Structure!$A:$AJ,N$1,0)*15,0),IFERROR(VLOOKUP($E:$E,Structure!$A:$AJ,N$1,0)*15,0))</f>
        <v>0</v>
      </c>
      <c r="O150" s="13">
        <f>SUM(IFERROR(VLOOKUP($C:$C,Structure!$A:$AJ,O$1,0)*15,0),IFERROR(VLOOKUP($D:$D,Structure!$A:$AJ,O$1,0)*15,0),IFERROR(VLOOKUP($E:$E,Structure!$A:$AJ,O$1,0)*15,0))</f>
        <v>0</v>
      </c>
      <c r="P150" s="13">
        <f>SUM(IFERROR(VLOOKUP($C:$C,Structure!$A:$AJ,P$1,0)*15,0),IFERROR(VLOOKUP($D:$D,Structure!$A:$AJ,P$1,0)*15,0),IFERROR(VLOOKUP($E:$E,Structure!$A:$AJ,P$1,0)*15,0))</f>
        <v>0</v>
      </c>
      <c r="Q150" s="13">
        <f>SUM(IFERROR(VLOOKUP($C:$C,Structure!$A:$AJ,Q$1,0)*15,0),IFERROR(VLOOKUP($D:$D,Structure!$A:$AJ,Q$1,0)*15,0),IFERROR(VLOOKUP($E:$E,Structure!$A:$AJ,Q$1,0)*15,0))</f>
        <v>0</v>
      </c>
      <c r="R150" s="13">
        <f>SUM(IFERROR(VLOOKUP($C:$C,Structure!$A:$AJ,R$1,0)*15,0),IFERROR(VLOOKUP($D:$D,Structure!$A:$AJ,R$1,0)*15,0),IFERROR(VLOOKUP($E:$E,Structure!$A:$AJ,R$1,0)*15,0))</f>
        <v>0</v>
      </c>
      <c r="S150" s="13">
        <f>SUM(IFERROR(VLOOKUP($C:$C,Structure!$A:$AJ,S$1,0)*15,0),IFERROR(VLOOKUP($D:$D,Structure!$A:$AJ,S$1,0)*15,0),IFERROR(VLOOKUP($E:$E,Structure!$A:$AJ,S$1,0)*15,0))</f>
        <v>0</v>
      </c>
      <c r="T150" s="13">
        <f>SUM(IFERROR(VLOOKUP($C:$C,Structure!$A:$AJ,T$1,0)*15,0),IFERROR(VLOOKUP($D:$D,Structure!$A:$AJ,T$1,0)*15,0),IFERROR(VLOOKUP($E:$E,Structure!$A:$AJ,T$1,0)*15,0))</f>
        <v>0</v>
      </c>
      <c r="U150" s="13">
        <f>SUM(IFERROR(VLOOKUP($C:$C,Structure!$A:$AJ,U$1,0)*15,0),IFERROR(VLOOKUP($D:$D,Structure!$A:$AJ,U$1,0)*15,0),IFERROR(VLOOKUP($E:$E,Structure!$A:$AJ,U$1,0)*15,0))</f>
        <v>0</v>
      </c>
      <c r="V150" s="13">
        <f>SUM(IFERROR(VLOOKUP($C:$C,Structure!$A:$AJ,V$1,0)*15,0),IFERROR(VLOOKUP($D:$D,Structure!$A:$AJ,V$1,0)*15,0),IFERROR(VLOOKUP($E:$E,Structure!$A:$AJ,V$1,0)*15,0))</f>
        <v>0</v>
      </c>
      <c r="W150" s="13">
        <f>SUM(IFERROR(VLOOKUP($C:$C,Structure!$A:$AJ,W$1,0)*15,0),IFERROR(VLOOKUP($D:$D,Structure!$A:$AJ,W$1,0)*15,0),IFERROR(VLOOKUP($E:$E,Structure!$A:$AJ,W$1,0)*15,0))</f>
        <v>0</v>
      </c>
      <c r="X150" s="13">
        <f>SUM(IFERROR(VLOOKUP($C:$C,Structure!$A:$AJ,X$1,0)*15,0),IFERROR(VLOOKUP($D:$D,Structure!$A:$AJ,X$1,0)*15,0),IFERROR(VLOOKUP($E:$E,Structure!$A:$AJ,X$1,0)*15,0))</f>
        <v>0</v>
      </c>
      <c r="Y150" s="13">
        <f>SUM(IFERROR(VLOOKUP($C:$C,Structure!$A:$AJ,Y$1,0)*15,0),IFERROR(VLOOKUP($D:$D,Structure!$A:$AJ,Y$1,0)*15,0),IFERROR(VLOOKUP($E:$E,Structure!$A:$AJ,Y$1,0)*15,0))</f>
        <v>0</v>
      </c>
      <c r="Z150" s="13">
        <f>SUM(IFERROR(VLOOKUP($C:$C,Structure!$A:$AJ,Z$1,0)*15,0),IFERROR(VLOOKUP($D:$D,Structure!$A:$AJ,Z$1,0)*15,0),IFERROR(VLOOKUP($E:$E,Structure!$A:$AJ,Z$1,0)*15,0))</f>
        <v>0</v>
      </c>
      <c r="AA150" s="13">
        <f>SUM(IFERROR(VLOOKUP($C:$C,Structure!$A:$AJ,AA$1,0)*15,0),IFERROR(VLOOKUP($D:$D,Structure!$A:$AJ,AA$1,0)*15,0),IFERROR(VLOOKUP($E:$E,Structure!$A:$AJ,AA$1,0)*15,0))</f>
        <v>45</v>
      </c>
      <c r="AB150" s="13">
        <f>SUM(IFERROR(VLOOKUP($C:$C,Structure!$A:$AJ,AB$1,0)*15,0),IFERROR(VLOOKUP($D:$D,Structure!$A:$AJ,AB$1,0)*15,0),IFERROR(VLOOKUP($E:$E,Structure!$A:$AJ,AB$1,0)*15,0))</f>
        <v>0</v>
      </c>
      <c r="AC150" s="13">
        <f>SUM(IFERROR(VLOOKUP($C:$C,Structure!$A:$AJ,AC$1,0)*15,0),IFERROR(VLOOKUP($D:$D,Structure!$A:$AJ,AC$1,0)*15,0),IFERROR(VLOOKUP($E:$E,Structure!$A:$AJ,AC$1,0)*15,0))</f>
        <v>0</v>
      </c>
      <c r="AD150" s="13">
        <f>SUM(IFERROR(VLOOKUP($C:$C,Structure!$A:$AJ,AD$1,0)*15,0),IFERROR(VLOOKUP($D:$D,Structure!$A:$AJ,AD$1,0)*15,0),IFERROR(VLOOKUP($E:$E,Structure!$A:$AJ,AD$1,0)*15,0))</f>
        <v>0</v>
      </c>
      <c r="AE150" s="13">
        <f>SUM(IFERROR(VLOOKUP($C:$C,Structure!$A:$AJ,AE$1,0)*15,0),IFERROR(VLOOKUP($D:$D,Structure!$A:$AJ,AE$1,0)*15,0),IFERROR(VLOOKUP($E:$E,Structure!$A:$AJ,AE$1,0)*15,0))</f>
        <v>0</v>
      </c>
      <c r="AF150" s="13">
        <f>SUM(IFERROR(VLOOKUP($C:$C,Structure!$A:$AJ,AF$1,0)*15,0),IFERROR(VLOOKUP($D:$D,Structure!$A:$AJ,AF$1,0)*15,0),IFERROR(VLOOKUP($E:$E,Structure!$A:$AJ,AF$1,0)*15,0))</f>
        <v>0</v>
      </c>
      <c r="AG150" s="13">
        <f>SUM(IFERROR(VLOOKUP($C:$C,Structure!$A:$AJ,AG$1,0)*15,0),IFERROR(VLOOKUP($D:$D,Structure!$A:$AJ,AG$1,0)*15,0),IFERROR(VLOOKUP($E:$E,Structure!$A:$AJ,AG$1,0)*15,0))</f>
        <v>0</v>
      </c>
      <c r="AH150" s="13">
        <f>SUM(IFERROR(VLOOKUP($C:$C,Structure!$A:$AJ,AH$1,0)*15,0),IFERROR(VLOOKUP($D:$D,Structure!$A:$AJ,AH$1,0)*15,0),IFERROR(VLOOKUP($E:$E,Structure!$A:$AJ,AH$1,0)*15,0))</f>
        <v>0</v>
      </c>
      <c r="AI150" s="13">
        <f>SUM(IFERROR(VLOOKUP($C:$C,Structure!$A:$AJ,AI$1,0)*15,0),IFERROR(VLOOKUP($D:$D,Structure!$A:$AJ,AI$1,0)*15,0),IFERROR(VLOOKUP($E:$E,Structure!$A:$AJ,AI$1,0)*15,0))</f>
        <v>0</v>
      </c>
      <c r="AJ150" s="13">
        <f>SUM(IFERROR(VLOOKUP($C:$C,Structure!$A:$AJ,AJ$1,0)*15,0),IFERROR(VLOOKUP($D:$D,Structure!$A:$AJ,AJ$1,0)*15,0),IFERROR(VLOOKUP($E:$E,Structure!$A:$AJ,AJ$1,0)*15,0))</f>
        <v>30</v>
      </c>
      <c r="AK150" s="13">
        <f>SUM(IFERROR(VLOOKUP($C:$C,Structure!$A:$AJ,AK$1,0)*15,0),IFERROR(VLOOKUP($D:$D,Structure!$A:$AJ,AK$1,0)*15,0),IFERROR(VLOOKUP($E:$E,Structure!$A:$AJ,AK$1,0)*15,0))</f>
        <v>15</v>
      </c>
      <c r="AL150" s="13">
        <f>SUM(IFERROR(VLOOKUP($C:$C,Structure!$A:$AJ,AL$1,0)*15,0),IFERROR(VLOOKUP($D:$D,Structure!$A:$AJ,AL$1,0)*15,0),IFERROR(VLOOKUP($E:$E,Structure!$A:$AJ,AL$1,0)*15,0))</f>
        <v>0</v>
      </c>
      <c r="AM150" s="13">
        <f>SUM(IFERROR(VLOOKUP($C:$C,Structure!$A:$AJ,AM$1,0)*15,0),IFERROR(VLOOKUP($D:$D,Structure!$A:$AJ,AM$1,0)*15,0),IFERROR(VLOOKUP($E:$E,Structure!$A:$AJ,AM$1,0)*15,0))</f>
        <v>0</v>
      </c>
      <c r="AN150" s="13">
        <f>SUM(IFERROR(VLOOKUP($C:$C,Structure!$A:$AJ,AN$1,0)*15,0),IFERROR(VLOOKUP($D:$D,Structure!$A:$AJ,AN$1,0)*15,0),IFERROR(VLOOKUP($E:$E,Structure!$A:$AJ,AN$1,0)*15,0))</f>
        <v>0</v>
      </c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3"/>
      <c r="BZ150" s="4">
        <f>BZ149+AQ150-F150</f>
        <v>0</v>
      </c>
      <c r="CA150" s="4">
        <f>CA149+AR150-G150</f>
        <v>0</v>
      </c>
      <c r="CB150" s="4">
        <f>CB149+AS150-H150</f>
        <v>0</v>
      </c>
      <c r="CC150" s="4">
        <f>CC149+AT150-I150</f>
        <v>0</v>
      </c>
      <c r="CD150" s="4">
        <f>CD149+AU150-J150</f>
        <v>0</v>
      </c>
      <c r="CE150" s="4">
        <f>CE149+AV150-K150</f>
        <v>0</v>
      </c>
      <c r="CF150" s="4">
        <f>CF149+AW150-L150</f>
        <v>0</v>
      </c>
      <c r="CG150" s="4">
        <f>CG149+AX150-M150</f>
        <v>0</v>
      </c>
      <c r="CH150" s="4">
        <f>CH149+AY150-N150</f>
        <v>0</v>
      </c>
      <c r="CI150" s="4">
        <f>CI149+AZ150-O150</f>
        <v>0</v>
      </c>
      <c r="CJ150" s="4">
        <f>CJ149+BA150-P150</f>
        <v>0</v>
      </c>
      <c r="CK150" s="4">
        <f>CK149+BB150-Q150</f>
        <v>0</v>
      </c>
      <c r="CL150" s="4">
        <f>CL149+BC150-R150</f>
        <v>0</v>
      </c>
      <c r="CM150" s="4">
        <f>CM149+BD150-S150</f>
        <v>0</v>
      </c>
      <c r="CN150" s="4">
        <f>CN149+BE150-T150</f>
        <v>0</v>
      </c>
      <c r="CO150" s="4">
        <f>CO149+BF150-U150</f>
        <v>0</v>
      </c>
      <c r="CP150" s="4">
        <f>CP149+BG150-V150</f>
        <v>-60</v>
      </c>
      <c r="CQ150" s="4">
        <f>CQ149+BH150-W150</f>
        <v>0</v>
      </c>
      <c r="CR150" s="4">
        <f>CR149+BI150-X150</f>
        <v>-60</v>
      </c>
      <c r="CS150" s="4">
        <f>CS149+BJ150-Y150</f>
        <v>0</v>
      </c>
      <c r="CT150" s="4">
        <f>CT149+BK150-Z150</f>
        <v>0</v>
      </c>
      <c r="CU150" s="4">
        <f>CU149+BL150-AA150</f>
        <v>-5945</v>
      </c>
      <c r="CV150" s="4">
        <f>CV149+BM150-AB150</f>
        <v>-240</v>
      </c>
      <c r="CW150" s="4">
        <f>CW149+BN150-AC150</f>
        <v>-255</v>
      </c>
      <c r="CX150" s="4">
        <f>CX149+BO150-AD150</f>
        <v>0</v>
      </c>
      <c r="CY150" s="4">
        <f>CY149+BP150-AE150</f>
        <v>-60</v>
      </c>
      <c r="CZ150" s="4">
        <f>CZ149+BQ150-AF150</f>
        <v>-160</v>
      </c>
      <c r="DA150" s="4">
        <f>DA149+BR150-AG150</f>
        <v>0</v>
      </c>
      <c r="DB150" s="4">
        <f>DB149+BS150-AH150</f>
        <v>-60</v>
      </c>
      <c r="DC150" s="4">
        <f>DC149+BT150-AI150</f>
        <v>0</v>
      </c>
      <c r="DD150" s="4">
        <f>DD149+BU150-AJ150</f>
        <v>-4615</v>
      </c>
      <c r="DE150" s="4">
        <f>DE149+BV150-AK150</f>
        <v>-1350</v>
      </c>
      <c r="DF150" s="4">
        <f>DF149+BW150-AL150</f>
        <v>0</v>
      </c>
      <c r="DG150" s="4">
        <f>DG149+BX150-AM150</f>
        <v>-235</v>
      </c>
      <c r="DH150" s="4">
        <f>DH149+BY150-AN150</f>
        <v>0</v>
      </c>
    </row>
    <row r="151" spans="1:112" x14ac:dyDescent="0.25">
      <c r="A151" s="6">
        <v>46185</v>
      </c>
      <c r="B151" s="7">
        <v>0.49999999964347808</v>
      </c>
      <c r="C151" s="3" t="s">
        <v>3</v>
      </c>
      <c r="D151" s="3" t="s">
        <v>6</v>
      </c>
      <c r="E151" s="3" t="s">
        <v>2</v>
      </c>
      <c r="F151" s="13">
        <f>SUM(IFERROR(VLOOKUP($C:$C,Structure!$A:$AJ,F$1,0)*15,0),IFERROR(VLOOKUP($D:$D,Structure!$A:$AJ,F$1,0)*15,0),IFERROR(VLOOKUP($E:$E,Structure!$A:$AJ,F$1,0)*15,0))</f>
        <v>0</v>
      </c>
      <c r="G151" s="13">
        <f>SUM(IFERROR(VLOOKUP($C:$C,Structure!$A:$AJ,G$1,0)*15,0),IFERROR(VLOOKUP($D:$D,Structure!$A:$AJ,G$1,0)*15,0),IFERROR(VLOOKUP($E:$E,Structure!$A:$AJ,G$1,0)*15,0))</f>
        <v>0</v>
      </c>
      <c r="H151" s="13">
        <f>SUM(IFERROR(VLOOKUP($C:$C,Structure!$A:$AJ,H$1,0)*15,0),IFERROR(VLOOKUP($D:$D,Structure!$A:$AJ,H$1,0)*15,0),IFERROR(VLOOKUP($E:$E,Structure!$A:$AJ,H$1,0)*15,0))</f>
        <v>0</v>
      </c>
      <c r="I151" s="13">
        <f>SUM(IFERROR(VLOOKUP($C:$C,Structure!$A:$AJ,I$1,0)*15,0),IFERROR(VLOOKUP($D:$D,Structure!$A:$AJ,I$1,0)*15,0),IFERROR(VLOOKUP($E:$E,Structure!$A:$AJ,I$1,0)*15,0))</f>
        <v>0</v>
      </c>
      <c r="J151" s="13">
        <f>SUM(IFERROR(VLOOKUP($C:$C,Structure!$A:$AJ,J$1,0)*15,0),IFERROR(VLOOKUP($D:$D,Structure!$A:$AJ,J$1,0)*15,0),IFERROR(VLOOKUP($E:$E,Structure!$A:$AJ,J$1,0)*15,0))</f>
        <v>0</v>
      </c>
      <c r="K151" s="13">
        <f>SUM(IFERROR(VLOOKUP($C:$C,Structure!$A:$AJ,K$1,0)*15,0),IFERROR(VLOOKUP($D:$D,Structure!$A:$AJ,K$1,0)*15,0),IFERROR(VLOOKUP($E:$E,Structure!$A:$AJ,K$1,0)*15,0))</f>
        <v>0</v>
      </c>
      <c r="L151" s="13">
        <f>SUM(IFERROR(VLOOKUP($C:$C,Structure!$A:$AJ,L$1,0)*15,0),IFERROR(VLOOKUP($D:$D,Structure!$A:$AJ,L$1,0)*15,0),IFERROR(VLOOKUP($E:$E,Structure!$A:$AJ,L$1,0)*15,0))</f>
        <v>0</v>
      </c>
      <c r="M151" s="13">
        <f>SUM(IFERROR(VLOOKUP($C:$C,Structure!$A:$AJ,M$1,0)*15,0),IFERROR(VLOOKUP($D:$D,Structure!$A:$AJ,M$1,0)*15,0),IFERROR(VLOOKUP($E:$E,Structure!$A:$AJ,M$1,0)*15,0))</f>
        <v>0</v>
      </c>
      <c r="N151" s="13">
        <f>SUM(IFERROR(VLOOKUP($C:$C,Structure!$A:$AJ,N$1,0)*15,0),IFERROR(VLOOKUP($D:$D,Structure!$A:$AJ,N$1,0)*15,0),IFERROR(VLOOKUP($E:$E,Structure!$A:$AJ,N$1,0)*15,0))</f>
        <v>0</v>
      </c>
      <c r="O151" s="13">
        <f>SUM(IFERROR(VLOOKUP($C:$C,Structure!$A:$AJ,O$1,0)*15,0),IFERROR(VLOOKUP($D:$D,Structure!$A:$AJ,O$1,0)*15,0),IFERROR(VLOOKUP($E:$E,Structure!$A:$AJ,O$1,0)*15,0))</f>
        <v>0</v>
      </c>
      <c r="P151" s="13">
        <f>SUM(IFERROR(VLOOKUP($C:$C,Structure!$A:$AJ,P$1,0)*15,0),IFERROR(VLOOKUP($D:$D,Structure!$A:$AJ,P$1,0)*15,0),IFERROR(VLOOKUP($E:$E,Structure!$A:$AJ,P$1,0)*15,0))</f>
        <v>0</v>
      </c>
      <c r="Q151" s="13">
        <f>SUM(IFERROR(VLOOKUP($C:$C,Structure!$A:$AJ,Q$1,0)*15,0),IFERROR(VLOOKUP($D:$D,Structure!$A:$AJ,Q$1,0)*15,0),IFERROR(VLOOKUP($E:$E,Structure!$A:$AJ,Q$1,0)*15,0))</f>
        <v>0</v>
      </c>
      <c r="R151" s="13">
        <f>SUM(IFERROR(VLOOKUP($C:$C,Structure!$A:$AJ,R$1,0)*15,0),IFERROR(VLOOKUP($D:$D,Structure!$A:$AJ,R$1,0)*15,0),IFERROR(VLOOKUP($E:$E,Structure!$A:$AJ,R$1,0)*15,0))</f>
        <v>0</v>
      </c>
      <c r="S151" s="13">
        <f>SUM(IFERROR(VLOOKUP($C:$C,Structure!$A:$AJ,S$1,0)*15,0),IFERROR(VLOOKUP($D:$D,Structure!$A:$AJ,S$1,0)*15,0),IFERROR(VLOOKUP($E:$E,Structure!$A:$AJ,S$1,0)*15,0))</f>
        <v>0</v>
      </c>
      <c r="T151" s="13">
        <f>SUM(IFERROR(VLOOKUP($C:$C,Structure!$A:$AJ,T$1,0)*15,0),IFERROR(VLOOKUP($D:$D,Structure!$A:$AJ,T$1,0)*15,0),IFERROR(VLOOKUP($E:$E,Structure!$A:$AJ,T$1,0)*15,0))</f>
        <v>0</v>
      </c>
      <c r="U151" s="13">
        <f>SUM(IFERROR(VLOOKUP($C:$C,Structure!$A:$AJ,U$1,0)*15,0),IFERROR(VLOOKUP($D:$D,Structure!$A:$AJ,U$1,0)*15,0),IFERROR(VLOOKUP($E:$E,Structure!$A:$AJ,U$1,0)*15,0))</f>
        <v>0</v>
      </c>
      <c r="V151" s="13">
        <f>SUM(IFERROR(VLOOKUP($C:$C,Structure!$A:$AJ,V$1,0)*15,0),IFERROR(VLOOKUP($D:$D,Structure!$A:$AJ,V$1,0)*15,0),IFERROR(VLOOKUP($E:$E,Structure!$A:$AJ,V$1,0)*15,0))</f>
        <v>0</v>
      </c>
      <c r="W151" s="13">
        <f>SUM(IFERROR(VLOOKUP($C:$C,Structure!$A:$AJ,W$1,0)*15,0),IFERROR(VLOOKUP($D:$D,Structure!$A:$AJ,W$1,0)*15,0),IFERROR(VLOOKUP($E:$E,Structure!$A:$AJ,W$1,0)*15,0))</f>
        <v>0</v>
      </c>
      <c r="X151" s="13">
        <f>SUM(IFERROR(VLOOKUP($C:$C,Structure!$A:$AJ,X$1,0)*15,0),IFERROR(VLOOKUP($D:$D,Structure!$A:$AJ,X$1,0)*15,0),IFERROR(VLOOKUP($E:$E,Structure!$A:$AJ,X$1,0)*15,0))</f>
        <v>0</v>
      </c>
      <c r="Y151" s="13">
        <f>SUM(IFERROR(VLOOKUP($C:$C,Structure!$A:$AJ,Y$1,0)*15,0),IFERROR(VLOOKUP($D:$D,Structure!$A:$AJ,Y$1,0)*15,0),IFERROR(VLOOKUP($E:$E,Structure!$A:$AJ,Y$1,0)*15,0))</f>
        <v>0</v>
      </c>
      <c r="Z151" s="13">
        <f>SUM(IFERROR(VLOOKUP($C:$C,Structure!$A:$AJ,Z$1,0)*15,0),IFERROR(VLOOKUP($D:$D,Structure!$A:$AJ,Z$1,0)*15,0),IFERROR(VLOOKUP($E:$E,Structure!$A:$AJ,Z$1,0)*15,0))</f>
        <v>0</v>
      </c>
      <c r="AA151" s="13">
        <f>SUM(IFERROR(VLOOKUP($C:$C,Structure!$A:$AJ,AA$1,0)*15,0),IFERROR(VLOOKUP($D:$D,Structure!$A:$AJ,AA$1,0)*15,0),IFERROR(VLOOKUP($E:$E,Structure!$A:$AJ,AA$1,0)*15,0))</f>
        <v>45</v>
      </c>
      <c r="AB151" s="13">
        <f>SUM(IFERROR(VLOOKUP($C:$C,Structure!$A:$AJ,AB$1,0)*15,0),IFERROR(VLOOKUP($D:$D,Structure!$A:$AJ,AB$1,0)*15,0),IFERROR(VLOOKUP($E:$E,Structure!$A:$AJ,AB$1,0)*15,0))</f>
        <v>0</v>
      </c>
      <c r="AC151" s="13">
        <f>SUM(IFERROR(VLOOKUP($C:$C,Structure!$A:$AJ,AC$1,0)*15,0),IFERROR(VLOOKUP($D:$D,Structure!$A:$AJ,AC$1,0)*15,0),IFERROR(VLOOKUP($E:$E,Structure!$A:$AJ,AC$1,0)*15,0))</f>
        <v>0</v>
      </c>
      <c r="AD151" s="13">
        <f>SUM(IFERROR(VLOOKUP($C:$C,Structure!$A:$AJ,AD$1,0)*15,0),IFERROR(VLOOKUP($D:$D,Structure!$A:$AJ,AD$1,0)*15,0),IFERROR(VLOOKUP($E:$E,Structure!$A:$AJ,AD$1,0)*15,0))</f>
        <v>0</v>
      </c>
      <c r="AE151" s="13">
        <f>SUM(IFERROR(VLOOKUP($C:$C,Structure!$A:$AJ,AE$1,0)*15,0),IFERROR(VLOOKUP($D:$D,Structure!$A:$AJ,AE$1,0)*15,0),IFERROR(VLOOKUP($E:$E,Structure!$A:$AJ,AE$1,0)*15,0))</f>
        <v>0</v>
      </c>
      <c r="AF151" s="13">
        <f>SUM(IFERROR(VLOOKUP($C:$C,Structure!$A:$AJ,AF$1,0)*15,0),IFERROR(VLOOKUP($D:$D,Structure!$A:$AJ,AF$1,0)*15,0),IFERROR(VLOOKUP($E:$E,Structure!$A:$AJ,AF$1,0)*15,0))</f>
        <v>0</v>
      </c>
      <c r="AG151" s="13">
        <f>SUM(IFERROR(VLOOKUP($C:$C,Structure!$A:$AJ,AG$1,0)*15,0),IFERROR(VLOOKUP($D:$D,Structure!$A:$AJ,AG$1,0)*15,0),IFERROR(VLOOKUP($E:$E,Structure!$A:$AJ,AG$1,0)*15,0))</f>
        <v>0</v>
      </c>
      <c r="AH151" s="13">
        <f>SUM(IFERROR(VLOOKUP($C:$C,Structure!$A:$AJ,AH$1,0)*15,0),IFERROR(VLOOKUP($D:$D,Structure!$A:$AJ,AH$1,0)*15,0),IFERROR(VLOOKUP($E:$E,Structure!$A:$AJ,AH$1,0)*15,0))</f>
        <v>0</v>
      </c>
      <c r="AI151" s="13">
        <f>SUM(IFERROR(VLOOKUP($C:$C,Structure!$A:$AJ,AI$1,0)*15,0),IFERROR(VLOOKUP($D:$D,Structure!$A:$AJ,AI$1,0)*15,0),IFERROR(VLOOKUP($E:$E,Structure!$A:$AJ,AI$1,0)*15,0))</f>
        <v>0</v>
      </c>
      <c r="AJ151" s="13">
        <f>SUM(IFERROR(VLOOKUP($C:$C,Structure!$A:$AJ,AJ$1,0)*15,0),IFERROR(VLOOKUP($D:$D,Structure!$A:$AJ,AJ$1,0)*15,0),IFERROR(VLOOKUP($E:$E,Structure!$A:$AJ,AJ$1,0)*15,0))</f>
        <v>30</v>
      </c>
      <c r="AK151" s="13">
        <f>SUM(IFERROR(VLOOKUP($C:$C,Structure!$A:$AJ,AK$1,0)*15,0),IFERROR(VLOOKUP($D:$D,Structure!$A:$AJ,AK$1,0)*15,0),IFERROR(VLOOKUP($E:$E,Structure!$A:$AJ,AK$1,0)*15,0))</f>
        <v>15</v>
      </c>
      <c r="AL151" s="13">
        <f>SUM(IFERROR(VLOOKUP($C:$C,Structure!$A:$AJ,AL$1,0)*15,0),IFERROR(VLOOKUP($D:$D,Structure!$A:$AJ,AL$1,0)*15,0),IFERROR(VLOOKUP($E:$E,Structure!$A:$AJ,AL$1,0)*15,0))</f>
        <v>0</v>
      </c>
      <c r="AM151" s="13">
        <f>SUM(IFERROR(VLOOKUP($C:$C,Structure!$A:$AJ,AM$1,0)*15,0),IFERROR(VLOOKUP($D:$D,Structure!$A:$AJ,AM$1,0)*15,0),IFERROR(VLOOKUP($E:$E,Structure!$A:$AJ,AM$1,0)*15,0))</f>
        <v>0</v>
      </c>
      <c r="AN151" s="13">
        <f>SUM(IFERROR(VLOOKUP($C:$C,Structure!$A:$AJ,AN$1,0)*15,0),IFERROR(VLOOKUP($D:$D,Structure!$A:$AJ,AN$1,0)*15,0),IFERROR(VLOOKUP($E:$E,Structure!$A:$AJ,AN$1,0)*15,0))</f>
        <v>0</v>
      </c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3"/>
      <c r="BZ151" s="4">
        <f>BZ150+AQ151-F151</f>
        <v>0</v>
      </c>
      <c r="CA151" s="4">
        <f>CA150+AR151-G151</f>
        <v>0</v>
      </c>
      <c r="CB151" s="4">
        <f>CB150+AS151-H151</f>
        <v>0</v>
      </c>
      <c r="CC151" s="4">
        <f>CC150+AT151-I151</f>
        <v>0</v>
      </c>
      <c r="CD151" s="4">
        <f>CD150+AU151-J151</f>
        <v>0</v>
      </c>
      <c r="CE151" s="4">
        <f>CE150+AV151-K151</f>
        <v>0</v>
      </c>
      <c r="CF151" s="4">
        <f>CF150+AW151-L151</f>
        <v>0</v>
      </c>
      <c r="CG151" s="4">
        <f>CG150+AX151-M151</f>
        <v>0</v>
      </c>
      <c r="CH151" s="4">
        <f>CH150+AY151-N151</f>
        <v>0</v>
      </c>
      <c r="CI151" s="4">
        <f>CI150+AZ151-O151</f>
        <v>0</v>
      </c>
      <c r="CJ151" s="4">
        <f>CJ150+BA151-P151</f>
        <v>0</v>
      </c>
      <c r="CK151" s="4">
        <f>CK150+BB151-Q151</f>
        <v>0</v>
      </c>
      <c r="CL151" s="4">
        <f>CL150+BC151-R151</f>
        <v>0</v>
      </c>
      <c r="CM151" s="4">
        <f>CM150+BD151-S151</f>
        <v>0</v>
      </c>
      <c r="CN151" s="4">
        <f>CN150+BE151-T151</f>
        <v>0</v>
      </c>
      <c r="CO151" s="4">
        <f>CO150+BF151-U151</f>
        <v>0</v>
      </c>
      <c r="CP151" s="4">
        <f>CP150+BG151-V151</f>
        <v>-60</v>
      </c>
      <c r="CQ151" s="4">
        <f>CQ150+BH151-W151</f>
        <v>0</v>
      </c>
      <c r="CR151" s="4">
        <f>CR150+BI151-X151</f>
        <v>-60</v>
      </c>
      <c r="CS151" s="4">
        <f>CS150+BJ151-Y151</f>
        <v>0</v>
      </c>
      <c r="CT151" s="4">
        <f>CT150+BK151-Z151</f>
        <v>0</v>
      </c>
      <c r="CU151" s="4">
        <f>CU150+BL151-AA151</f>
        <v>-5990</v>
      </c>
      <c r="CV151" s="4">
        <f>CV150+BM151-AB151</f>
        <v>-240</v>
      </c>
      <c r="CW151" s="4">
        <f>CW150+BN151-AC151</f>
        <v>-255</v>
      </c>
      <c r="CX151" s="4">
        <f>CX150+BO151-AD151</f>
        <v>0</v>
      </c>
      <c r="CY151" s="4">
        <f>CY150+BP151-AE151</f>
        <v>-60</v>
      </c>
      <c r="CZ151" s="4">
        <f>CZ150+BQ151-AF151</f>
        <v>-160</v>
      </c>
      <c r="DA151" s="4">
        <f>DA150+BR151-AG151</f>
        <v>0</v>
      </c>
      <c r="DB151" s="4">
        <f>DB150+BS151-AH151</f>
        <v>-60</v>
      </c>
      <c r="DC151" s="4">
        <f>DC150+BT151-AI151</f>
        <v>0</v>
      </c>
      <c r="DD151" s="4">
        <f>DD150+BU151-AJ151</f>
        <v>-4645</v>
      </c>
      <c r="DE151" s="4">
        <f>DE150+BV151-AK151</f>
        <v>-1365</v>
      </c>
      <c r="DF151" s="4">
        <f>DF150+BW151-AL151</f>
        <v>0</v>
      </c>
      <c r="DG151" s="4">
        <f>DG150+BX151-AM151</f>
        <v>-235</v>
      </c>
      <c r="DH151" s="4">
        <f>DH150+BY151-AN151</f>
        <v>0</v>
      </c>
    </row>
    <row r="152" spans="1:112" x14ac:dyDescent="0.25">
      <c r="A152" s="6">
        <v>46185</v>
      </c>
      <c r="B152" s="7">
        <v>0.54166666630771942</v>
      </c>
      <c r="C152" s="3" t="s">
        <v>3</v>
      </c>
      <c r="D152" s="3" t="s">
        <v>6</v>
      </c>
      <c r="E152" s="3" t="s">
        <v>2</v>
      </c>
      <c r="F152" s="13">
        <f>SUM(IFERROR(VLOOKUP($C:$C,Structure!$A:$AJ,F$1,0)*15,0),IFERROR(VLOOKUP($D:$D,Structure!$A:$AJ,F$1,0)*15,0),IFERROR(VLOOKUP($E:$E,Structure!$A:$AJ,F$1,0)*15,0))</f>
        <v>0</v>
      </c>
      <c r="G152" s="13">
        <f>SUM(IFERROR(VLOOKUP($C:$C,Structure!$A:$AJ,G$1,0)*15,0),IFERROR(VLOOKUP($D:$D,Structure!$A:$AJ,G$1,0)*15,0),IFERROR(VLOOKUP($E:$E,Structure!$A:$AJ,G$1,0)*15,0))</f>
        <v>0</v>
      </c>
      <c r="H152" s="13">
        <f>SUM(IFERROR(VLOOKUP($C:$C,Structure!$A:$AJ,H$1,0)*15,0),IFERROR(VLOOKUP($D:$D,Structure!$A:$AJ,H$1,0)*15,0),IFERROR(VLOOKUP($E:$E,Structure!$A:$AJ,H$1,0)*15,0))</f>
        <v>0</v>
      </c>
      <c r="I152" s="13">
        <f>SUM(IFERROR(VLOOKUP($C:$C,Structure!$A:$AJ,I$1,0)*15,0),IFERROR(VLOOKUP($D:$D,Structure!$A:$AJ,I$1,0)*15,0),IFERROR(VLOOKUP($E:$E,Structure!$A:$AJ,I$1,0)*15,0))</f>
        <v>0</v>
      </c>
      <c r="J152" s="13">
        <f>SUM(IFERROR(VLOOKUP($C:$C,Structure!$A:$AJ,J$1,0)*15,0),IFERROR(VLOOKUP($D:$D,Structure!$A:$AJ,J$1,0)*15,0),IFERROR(VLOOKUP($E:$E,Structure!$A:$AJ,J$1,0)*15,0))</f>
        <v>0</v>
      </c>
      <c r="K152" s="13">
        <f>SUM(IFERROR(VLOOKUP($C:$C,Structure!$A:$AJ,K$1,0)*15,0),IFERROR(VLOOKUP($D:$D,Structure!$A:$AJ,K$1,0)*15,0),IFERROR(VLOOKUP($E:$E,Structure!$A:$AJ,K$1,0)*15,0))</f>
        <v>0</v>
      </c>
      <c r="L152" s="13">
        <f>SUM(IFERROR(VLOOKUP($C:$C,Structure!$A:$AJ,L$1,0)*15,0),IFERROR(VLOOKUP($D:$D,Structure!$A:$AJ,L$1,0)*15,0),IFERROR(VLOOKUP($E:$E,Structure!$A:$AJ,L$1,0)*15,0))</f>
        <v>0</v>
      </c>
      <c r="M152" s="13">
        <f>SUM(IFERROR(VLOOKUP($C:$C,Structure!$A:$AJ,M$1,0)*15,0),IFERROR(VLOOKUP($D:$D,Structure!$A:$AJ,M$1,0)*15,0),IFERROR(VLOOKUP($E:$E,Structure!$A:$AJ,M$1,0)*15,0))</f>
        <v>0</v>
      </c>
      <c r="N152" s="13">
        <f>SUM(IFERROR(VLOOKUP($C:$C,Structure!$A:$AJ,N$1,0)*15,0),IFERROR(VLOOKUP($D:$D,Structure!$A:$AJ,N$1,0)*15,0),IFERROR(VLOOKUP($E:$E,Structure!$A:$AJ,N$1,0)*15,0))</f>
        <v>0</v>
      </c>
      <c r="O152" s="13">
        <f>SUM(IFERROR(VLOOKUP($C:$C,Structure!$A:$AJ,O$1,0)*15,0),IFERROR(VLOOKUP($D:$D,Structure!$A:$AJ,O$1,0)*15,0),IFERROR(VLOOKUP($E:$E,Structure!$A:$AJ,O$1,0)*15,0))</f>
        <v>0</v>
      </c>
      <c r="P152" s="13">
        <f>SUM(IFERROR(VLOOKUP($C:$C,Structure!$A:$AJ,P$1,0)*15,0),IFERROR(VLOOKUP($D:$D,Structure!$A:$AJ,P$1,0)*15,0),IFERROR(VLOOKUP($E:$E,Structure!$A:$AJ,P$1,0)*15,0))</f>
        <v>0</v>
      </c>
      <c r="Q152" s="13">
        <f>SUM(IFERROR(VLOOKUP($C:$C,Structure!$A:$AJ,Q$1,0)*15,0),IFERROR(VLOOKUP($D:$D,Structure!$A:$AJ,Q$1,0)*15,0),IFERROR(VLOOKUP($E:$E,Structure!$A:$AJ,Q$1,0)*15,0))</f>
        <v>0</v>
      </c>
      <c r="R152" s="13">
        <f>SUM(IFERROR(VLOOKUP($C:$C,Structure!$A:$AJ,R$1,0)*15,0),IFERROR(VLOOKUP($D:$D,Structure!$A:$AJ,R$1,0)*15,0),IFERROR(VLOOKUP($E:$E,Structure!$A:$AJ,R$1,0)*15,0))</f>
        <v>0</v>
      </c>
      <c r="S152" s="13">
        <f>SUM(IFERROR(VLOOKUP($C:$C,Structure!$A:$AJ,S$1,0)*15,0),IFERROR(VLOOKUP($D:$D,Structure!$A:$AJ,S$1,0)*15,0),IFERROR(VLOOKUP($E:$E,Structure!$A:$AJ,S$1,0)*15,0))</f>
        <v>0</v>
      </c>
      <c r="T152" s="13">
        <f>SUM(IFERROR(VLOOKUP($C:$C,Structure!$A:$AJ,T$1,0)*15,0),IFERROR(VLOOKUP($D:$D,Structure!$A:$AJ,T$1,0)*15,0),IFERROR(VLOOKUP($E:$E,Structure!$A:$AJ,T$1,0)*15,0))</f>
        <v>0</v>
      </c>
      <c r="U152" s="13">
        <f>SUM(IFERROR(VLOOKUP($C:$C,Structure!$A:$AJ,U$1,0)*15,0),IFERROR(VLOOKUP($D:$D,Structure!$A:$AJ,U$1,0)*15,0),IFERROR(VLOOKUP($E:$E,Structure!$A:$AJ,U$1,0)*15,0))</f>
        <v>0</v>
      </c>
      <c r="V152" s="13">
        <f>SUM(IFERROR(VLOOKUP($C:$C,Structure!$A:$AJ,V$1,0)*15,0),IFERROR(VLOOKUP($D:$D,Structure!$A:$AJ,V$1,0)*15,0),IFERROR(VLOOKUP($E:$E,Structure!$A:$AJ,V$1,0)*15,0))</f>
        <v>0</v>
      </c>
      <c r="W152" s="13">
        <f>SUM(IFERROR(VLOOKUP($C:$C,Structure!$A:$AJ,W$1,0)*15,0),IFERROR(VLOOKUP($D:$D,Structure!$A:$AJ,W$1,0)*15,0),IFERROR(VLOOKUP($E:$E,Structure!$A:$AJ,W$1,0)*15,0))</f>
        <v>0</v>
      </c>
      <c r="X152" s="13">
        <f>SUM(IFERROR(VLOOKUP($C:$C,Structure!$A:$AJ,X$1,0)*15,0),IFERROR(VLOOKUP($D:$D,Structure!$A:$AJ,X$1,0)*15,0),IFERROR(VLOOKUP($E:$E,Structure!$A:$AJ,X$1,0)*15,0))</f>
        <v>0</v>
      </c>
      <c r="Y152" s="13">
        <f>SUM(IFERROR(VLOOKUP($C:$C,Structure!$A:$AJ,Y$1,0)*15,0),IFERROR(VLOOKUP($D:$D,Structure!$A:$AJ,Y$1,0)*15,0),IFERROR(VLOOKUP($E:$E,Structure!$A:$AJ,Y$1,0)*15,0))</f>
        <v>0</v>
      </c>
      <c r="Z152" s="13">
        <f>SUM(IFERROR(VLOOKUP($C:$C,Structure!$A:$AJ,Z$1,0)*15,0),IFERROR(VLOOKUP($D:$D,Structure!$A:$AJ,Z$1,0)*15,0),IFERROR(VLOOKUP($E:$E,Structure!$A:$AJ,Z$1,0)*15,0))</f>
        <v>0</v>
      </c>
      <c r="AA152" s="13">
        <f>SUM(IFERROR(VLOOKUP($C:$C,Structure!$A:$AJ,AA$1,0)*15,0),IFERROR(VLOOKUP($D:$D,Structure!$A:$AJ,AA$1,0)*15,0),IFERROR(VLOOKUP($E:$E,Structure!$A:$AJ,AA$1,0)*15,0))</f>
        <v>45</v>
      </c>
      <c r="AB152" s="13">
        <f>SUM(IFERROR(VLOOKUP($C:$C,Structure!$A:$AJ,AB$1,0)*15,0),IFERROR(VLOOKUP($D:$D,Structure!$A:$AJ,AB$1,0)*15,0),IFERROR(VLOOKUP($E:$E,Structure!$A:$AJ,AB$1,0)*15,0))</f>
        <v>0</v>
      </c>
      <c r="AC152" s="13">
        <f>SUM(IFERROR(VLOOKUP($C:$C,Structure!$A:$AJ,AC$1,0)*15,0),IFERROR(VLOOKUP($D:$D,Structure!$A:$AJ,AC$1,0)*15,0),IFERROR(VLOOKUP($E:$E,Structure!$A:$AJ,AC$1,0)*15,0))</f>
        <v>0</v>
      </c>
      <c r="AD152" s="13">
        <f>SUM(IFERROR(VLOOKUP($C:$C,Structure!$A:$AJ,AD$1,0)*15,0),IFERROR(VLOOKUP($D:$D,Structure!$A:$AJ,AD$1,0)*15,0),IFERROR(VLOOKUP($E:$E,Structure!$A:$AJ,AD$1,0)*15,0))</f>
        <v>0</v>
      </c>
      <c r="AE152" s="13">
        <f>SUM(IFERROR(VLOOKUP($C:$C,Structure!$A:$AJ,AE$1,0)*15,0),IFERROR(VLOOKUP($D:$D,Structure!$A:$AJ,AE$1,0)*15,0),IFERROR(VLOOKUP($E:$E,Structure!$A:$AJ,AE$1,0)*15,0))</f>
        <v>0</v>
      </c>
      <c r="AF152" s="13">
        <f>SUM(IFERROR(VLOOKUP($C:$C,Structure!$A:$AJ,AF$1,0)*15,0),IFERROR(VLOOKUP($D:$D,Structure!$A:$AJ,AF$1,0)*15,0),IFERROR(VLOOKUP($E:$E,Structure!$A:$AJ,AF$1,0)*15,0))</f>
        <v>0</v>
      </c>
      <c r="AG152" s="13">
        <f>SUM(IFERROR(VLOOKUP($C:$C,Structure!$A:$AJ,AG$1,0)*15,0),IFERROR(VLOOKUP($D:$D,Structure!$A:$AJ,AG$1,0)*15,0),IFERROR(VLOOKUP($E:$E,Structure!$A:$AJ,AG$1,0)*15,0))</f>
        <v>0</v>
      </c>
      <c r="AH152" s="13">
        <f>SUM(IFERROR(VLOOKUP($C:$C,Structure!$A:$AJ,AH$1,0)*15,0),IFERROR(VLOOKUP($D:$D,Structure!$A:$AJ,AH$1,0)*15,0),IFERROR(VLOOKUP($E:$E,Structure!$A:$AJ,AH$1,0)*15,0))</f>
        <v>0</v>
      </c>
      <c r="AI152" s="13">
        <f>SUM(IFERROR(VLOOKUP($C:$C,Structure!$A:$AJ,AI$1,0)*15,0),IFERROR(VLOOKUP($D:$D,Structure!$A:$AJ,AI$1,0)*15,0),IFERROR(VLOOKUP($E:$E,Structure!$A:$AJ,AI$1,0)*15,0))</f>
        <v>0</v>
      </c>
      <c r="AJ152" s="13">
        <f>SUM(IFERROR(VLOOKUP($C:$C,Structure!$A:$AJ,AJ$1,0)*15,0),IFERROR(VLOOKUP($D:$D,Structure!$A:$AJ,AJ$1,0)*15,0),IFERROR(VLOOKUP($E:$E,Structure!$A:$AJ,AJ$1,0)*15,0))</f>
        <v>30</v>
      </c>
      <c r="AK152" s="13">
        <f>SUM(IFERROR(VLOOKUP($C:$C,Structure!$A:$AJ,AK$1,0)*15,0),IFERROR(VLOOKUP($D:$D,Structure!$A:$AJ,AK$1,0)*15,0),IFERROR(VLOOKUP($E:$E,Structure!$A:$AJ,AK$1,0)*15,0))</f>
        <v>15</v>
      </c>
      <c r="AL152" s="13">
        <f>SUM(IFERROR(VLOOKUP($C:$C,Structure!$A:$AJ,AL$1,0)*15,0),IFERROR(VLOOKUP($D:$D,Structure!$A:$AJ,AL$1,0)*15,0),IFERROR(VLOOKUP($E:$E,Structure!$A:$AJ,AL$1,0)*15,0))</f>
        <v>0</v>
      </c>
      <c r="AM152" s="13">
        <f>SUM(IFERROR(VLOOKUP($C:$C,Structure!$A:$AJ,AM$1,0)*15,0),IFERROR(VLOOKUP($D:$D,Structure!$A:$AJ,AM$1,0)*15,0),IFERROR(VLOOKUP($E:$E,Structure!$A:$AJ,AM$1,0)*15,0))</f>
        <v>0</v>
      </c>
      <c r="AN152" s="13">
        <f>SUM(IFERROR(VLOOKUP($C:$C,Structure!$A:$AJ,AN$1,0)*15,0),IFERROR(VLOOKUP($D:$D,Structure!$A:$AJ,AN$1,0)*15,0),IFERROR(VLOOKUP($E:$E,Structure!$A:$AJ,AN$1,0)*15,0))</f>
        <v>0</v>
      </c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3"/>
      <c r="BZ152" s="4">
        <f>BZ151+AQ152-F152</f>
        <v>0</v>
      </c>
      <c r="CA152" s="4">
        <f>CA151+AR152-G152</f>
        <v>0</v>
      </c>
      <c r="CB152" s="4">
        <f>CB151+AS152-H152</f>
        <v>0</v>
      </c>
      <c r="CC152" s="4">
        <f>CC151+AT152-I152</f>
        <v>0</v>
      </c>
      <c r="CD152" s="4">
        <f>CD151+AU152-J152</f>
        <v>0</v>
      </c>
      <c r="CE152" s="4">
        <f>CE151+AV152-K152</f>
        <v>0</v>
      </c>
      <c r="CF152" s="4">
        <f>CF151+AW152-L152</f>
        <v>0</v>
      </c>
      <c r="CG152" s="4">
        <f>CG151+AX152-M152</f>
        <v>0</v>
      </c>
      <c r="CH152" s="4">
        <f>CH151+AY152-N152</f>
        <v>0</v>
      </c>
      <c r="CI152" s="4">
        <f>CI151+AZ152-O152</f>
        <v>0</v>
      </c>
      <c r="CJ152" s="4">
        <f>CJ151+BA152-P152</f>
        <v>0</v>
      </c>
      <c r="CK152" s="4">
        <f>CK151+BB152-Q152</f>
        <v>0</v>
      </c>
      <c r="CL152" s="4">
        <f>CL151+BC152-R152</f>
        <v>0</v>
      </c>
      <c r="CM152" s="4">
        <f>CM151+BD152-S152</f>
        <v>0</v>
      </c>
      <c r="CN152" s="4">
        <f>CN151+BE152-T152</f>
        <v>0</v>
      </c>
      <c r="CO152" s="4">
        <f>CO151+BF152-U152</f>
        <v>0</v>
      </c>
      <c r="CP152" s="4">
        <f>CP151+BG152-V152</f>
        <v>-60</v>
      </c>
      <c r="CQ152" s="4">
        <f>CQ151+BH152-W152</f>
        <v>0</v>
      </c>
      <c r="CR152" s="4">
        <f>CR151+BI152-X152</f>
        <v>-60</v>
      </c>
      <c r="CS152" s="4">
        <f>CS151+BJ152-Y152</f>
        <v>0</v>
      </c>
      <c r="CT152" s="4">
        <f>CT151+BK152-Z152</f>
        <v>0</v>
      </c>
      <c r="CU152" s="4">
        <f>CU151+BL152-AA152</f>
        <v>-6035</v>
      </c>
      <c r="CV152" s="4">
        <f>CV151+BM152-AB152</f>
        <v>-240</v>
      </c>
      <c r="CW152" s="4">
        <f>CW151+BN152-AC152</f>
        <v>-255</v>
      </c>
      <c r="CX152" s="4">
        <f>CX151+BO152-AD152</f>
        <v>0</v>
      </c>
      <c r="CY152" s="4">
        <f>CY151+BP152-AE152</f>
        <v>-60</v>
      </c>
      <c r="CZ152" s="4">
        <f>CZ151+BQ152-AF152</f>
        <v>-160</v>
      </c>
      <c r="DA152" s="4">
        <f>DA151+BR152-AG152</f>
        <v>0</v>
      </c>
      <c r="DB152" s="4">
        <f>DB151+BS152-AH152</f>
        <v>-60</v>
      </c>
      <c r="DC152" s="4">
        <f>DC151+BT152-AI152</f>
        <v>0</v>
      </c>
      <c r="DD152" s="4">
        <f>DD151+BU152-AJ152</f>
        <v>-4675</v>
      </c>
      <c r="DE152" s="4">
        <f>DE151+BV152-AK152</f>
        <v>-1380</v>
      </c>
      <c r="DF152" s="4">
        <f>DF151+BW152-AL152</f>
        <v>0</v>
      </c>
      <c r="DG152" s="4">
        <f>DG151+BX152-AM152</f>
        <v>-235</v>
      </c>
      <c r="DH152" s="4">
        <f>DH151+BY152-AN152</f>
        <v>0</v>
      </c>
    </row>
    <row r="153" spans="1:112" x14ac:dyDescent="0.25">
      <c r="A153" s="6">
        <v>46185</v>
      </c>
      <c r="B153" s="7">
        <v>0.58333333297196077</v>
      </c>
      <c r="C153" s="3" t="s">
        <v>2</v>
      </c>
      <c r="D153" s="3" t="s">
        <v>6</v>
      </c>
      <c r="E153" s="3" t="s">
        <v>2</v>
      </c>
      <c r="F153" s="13">
        <f>SUM(IFERROR(VLOOKUP($C:$C,Structure!$A:$AJ,F$1,0)*15,0),IFERROR(VLOOKUP($D:$D,Structure!$A:$AJ,F$1,0)*15,0),IFERROR(VLOOKUP($E:$E,Structure!$A:$AJ,F$1,0)*15,0))</f>
        <v>0</v>
      </c>
      <c r="G153" s="13">
        <f>SUM(IFERROR(VLOOKUP($C:$C,Structure!$A:$AJ,G$1,0)*15,0),IFERROR(VLOOKUP($D:$D,Structure!$A:$AJ,G$1,0)*15,0),IFERROR(VLOOKUP($E:$E,Structure!$A:$AJ,G$1,0)*15,0))</f>
        <v>0</v>
      </c>
      <c r="H153" s="13">
        <f>SUM(IFERROR(VLOOKUP($C:$C,Structure!$A:$AJ,H$1,0)*15,0),IFERROR(VLOOKUP($D:$D,Structure!$A:$AJ,H$1,0)*15,0),IFERROR(VLOOKUP($E:$E,Structure!$A:$AJ,H$1,0)*15,0))</f>
        <v>0</v>
      </c>
      <c r="I153" s="13">
        <f>SUM(IFERROR(VLOOKUP($C:$C,Structure!$A:$AJ,I$1,0)*15,0),IFERROR(VLOOKUP($D:$D,Structure!$A:$AJ,I$1,0)*15,0),IFERROR(VLOOKUP($E:$E,Structure!$A:$AJ,I$1,0)*15,0))</f>
        <v>0</v>
      </c>
      <c r="J153" s="13">
        <f>SUM(IFERROR(VLOOKUP($C:$C,Structure!$A:$AJ,J$1,0)*15,0),IFERROR(VLOOKUP($D:$D,Structure!$A:$AJ,J$1,0)*15,0),IFERROR(VLOOKUP($E:$E,Structure!$A:$AJ,J$1,0)*15,0))</f>
        <v>0</v>
      </c>
      <c r="K153" s="13">
        <f>SUM(IFERROR(VLOOKUP($C:$C,Structure!$A:$AJ,K$1,0)*15,0),IFERROR(VLOOKUP($D:$D,Structure!$A:$AJ,K$1,0)*15,0),IFERROR(VLOOKUP($E:$E,Structure!$A:$AJ,K$1,0)*15,0))</f>
        <v>0</v>
      </c>
      <c r="L153" s="13">
        <f>SUM(IFERROR(VLOOKUP($C:$C,Structure!$A:$AJ,L$1,0)*15,0),IFERROR(VLOOKUP($D:$D,Structure!$A:$AJ,L$1,0)*15,0),IFERROR(VLOOKUP($E:$E,Structure!$A:$AJ,L$1,0)*15,0))</f>
        <v>0</v>
      </c>
      <c r="M153" s="13">
        <f>SUM(IFERROR(VLOOKUP($C:$C,Structure!$A:$AJ,M$1,0)*15,0),IFERROR(VLOOKUP($D:$D,Structure!$A:$AJ,M$1,0)*15,0),IFERROR(VLOOKUP($E:$E,Structure!$A:$AJ,M$1,0)*15,0))</f>
        <v>0</v>
      </c>
      <c r="N153" s="13">
        <f>SUM(IFERROR(VLOOKUP($C:$C,Structure!$A:$AJ,N$1,0)*15,0),IFERROR(VLOOKUP($D:$D,Structure!$A:$AJ,N$1,0)*15,0),IFERROR(VLOOKUP($E:$E,Structure!$A:$AJ,N$1,0)*15,0))</f>
        <v>0</v>
      </c>
      <c r="O153" s="13">
        <f>SUM(IFERROR(VLOOKUP($C:$C,Structure!$A:$AJ,O$1,0)*15,0),IFERROR(VLOOKUP($D:$D,Structure!$A:$AJ,O$1,0)*15,0),IFERROR(VLOOKUP($E:$E,Structure!$A:$AJ,O$1,0)*15,0))</f>
        <v>0</v>
      </c>
      <c r="P153" s="13">
        <f>SUM(IFERROR(VLOOKUP($C:$C,Structure!$A:$AJ,P$1,0)*15,0),IFERROR(VLOOKUP($D:$D,Structure!$A:$AJ,P$1,0)*15,0),IFERROR(VLOOKUP($E:$E,Structure!$A:$AJ,P$1,0)*15,0))</f>
        <v>0</v>
      </c>
      <c r="Q153" s="13">
        <f>SUM(IFERROR(VLOOKUP($C:$C,Structure!$A:$AJ,Q$1,0)*15,0),IFERROR(VLOOKUP($D:$D,Structure!$A:$AJ,Q$1,0)*15,0),IFERROR(VLOOKUP($E:$E,Structure!$A:$AJ,Q$1,0)*15,0))</f>
        <v>0</v>
      </c>
      <c r="R153" s="13">
        <f>SUM(IFERROR(VLOOKUP($C:$C,Structure!$A:$AJ,R$1,0)*15,0),IFERROR(VLOOKUP($D:$D,Structure!$A:$AJ,R$1,0)*15,0),IFERROR(VLOOKUP($E:$E,Structure!$A:$AJ,R$1,0)*15,0))</f>
        <v>0</v>
      </c>
      <c r="S153" s="13">
        <f>SUM(IFERROR(VLOOKUP($C:$C,Structure!$A:$AJ,S$1,0)*15,0),IFERROR(VLOOKUP($D:$D,Structure!$A:$AJ,S$1,0)*15,0),IFERROR(VLOOKUP($E:$E,Structure!$A:$AJ,S$1,0)*15,0))</f>
        <v>0</v>
      </c>
      <c r="T153" s="13">
        <f>SUM(IFERROR(VLOOKUP($C:$C,Structure!$A:$AJ,T$1,0)*15,0),IFERROR(VLOOKUP($D:$D,Structure!$A:$AJ,T$1,0)*15,0),IFERROR(VLOOKUP($E:$E,Structure!$A:$AJ,T$1,0)*15,0))</f>
        <v>0</v>
      </c>
      <c r="U153" s="13">
        <f>SUM(IFERROR(VLOOKUP($C:$C,Structure!$A:$AJ,U$1,0)*15,0),IFERROR(VLOOKUP($D:$D,Structure!$A:$AJ,U$1,0)*15,0),IFERROR(VLOOKUP($E:$E,Structure!$A:$AJ,U$1,0)*15,0))</f>
        <v>0</v>
      </c>
      <c r="V153" s="13">
        <f>SUM(IFERROR(VLOOKUP($C:$C,Structure!$A:$AJ,V$1,0)*15,0),IFERROR(VLOOKUP($D:$D,Structure!$A:$AJ,V$1,0)*15,0),IFERROR(VLOOKUP($E:$E,Structure!$A:$AJ,V$1,0)*15,0))</f>
        <v>0</v>
      </c>
      <c r="W153" s="13">
        <f>SUM(IFERROR(VLOOKUP($C:$C,Structure!$A:$AJ,W$1,0)*15,0),IFERROR(VLOOKUP($D:$D,Structure!$A:$AJ,W$1,0)*15,0),IFERROR(VLOOKUP($E:$E,Structure!$A:$AJ,W$1,0)*15,0))</f>
        <v>0</v>
      </c>
      <c r="X153" s="13">
        <f>SUM(IFERROR(VLOOKUP($C:$C,Structure!$A:$AJ,X$1,0)*15,0),IFERROR(VLOOKUP($D:$D,Structure!$A:$AJ,X$1,0)*15,0),IFERROR(VLOOKUP($E:$E,Structure!$A:$AJ,X$1,0)*15,0))</f>
        <v>0</v>
      </c>
      <c r="Y153" s="13">
        <f>SUM(IFERROR(VLOOKUP($C:$C,Structure!$A:$AJ,Y$1,0)*15,0),IFERROR(VLOOKUP($D:$D,Structure!$A:$AJ,Y$1,0)*15,0),IFERROR(VLOOKUP($E:$E,Structure!$A:$AJ,Y$1,0)*15,0))</f>
        <v>0</v>
      </c>
      <c r="Z153" s="13">
        <f>SUM(IFERROR(VLOOKUP($C:$C,Structure!$A:$AJ,Z$1,0)*15,0),IFERROR(VLOOKUP($D:$D,Structure!$A:$AJ,Z$1,0)*15,0),IFERROR(VLOOKUP($E:$E,Structure!$A:$AJ,Z$1,0)*15,0))</f>
        <v>0</v>
      </c>
      <c r="AA153" s="13">
        <f>SUM(IFERROR(VLOOKUP($C:$C,Structure!$A:$AJ,AA$1,0)*15,0),IFERROR(VLOOKUP($D:$D,Structure!$A:$AJ,AA$1,0)*15,0),IFERROR(VLOOKUP($E:$E,Structure!$A:$AJ,AA$1,0)*15,0))</f>
        <v>45</v>
      </c>
      <c r="AB153" s="13">
        <f>SUM(IFERROR(VLOOKUP($C:$C,Structure!$A:$AJ,AB$1,0)*15,0),IFERROR(VLOOKUP($D:$D,Structure!$A:$AJ,AB$1,0)*15,0),IFERROR(VLOOKUP($E:$E,Structure!$A:$AJ,AB$1,0)*15,0))</f>
        <v>0</v>
      </c>
      <c r="AC153" s="13">
        <f>SUM(IFERROR(VLOOKUP($C:$C,Structure!$A:$AJ,AC$1,0)*15,0),IFERROR(VLOOKUP($D:$D,Structure!$A:$AJ,AC$1,0)*15,0),IFERROR(VLOOKUP($E:$E,Structure!$A:$AJ,AC$1,0)*15,0))</f>
        <v>0</v>
      </c>
      <c r="AD153" s="13">
        <f>SUM(IFERROR(VLOOKUP($C:$C,Structure!$A:$AJ,AD$1,0)*15,0),IFERROR(VLOOKUP($D:$D,Structure!$A:$AJ,AD$1,0)*15,0),IFERROR(VLOOKUP($E:$E,Structure!$A:$AJ,AD$1,0)*15,0))</f>
        <v>0</v>
      </c>
      <c r="AE153" s="13">
        <f>SUM(IFERROR(VLOOKUP($C:$C,Structure!$A:$AJ,AE$1,0)*15,0),IFERROR(VLOOKUP($D:$D,Structure!$A:$AJ,AE$1,0)*15,0),IFERROR(VLOOKUP($E:$E,Structure!$A:$AJ,AE$1,0)*15,0))</f>
        <v>0</v>
      </c>
      <c r="AF153" s="13">
        <f>SUM(IFERROR(VLOOKUP($C:$C,Structure!$A:$AJ,AF$1,0)*15,0),IFERROR(VLOOKUP($D:$D,Structure!$A:$AJ,AF$1,0)*15,0),IFERROR(VLOOKUP($E:$E,Structure!$A:$AJ,AF$1,0)*15,0))</f>
        <v>0</v>
      </c>
      <c r="AG153" s="13">
        <f>SUM(IFERROR(VLOOKUP($C:$C,Structure!$A:$AJ,AG$1,0)*15,0),IFERROR(VLOOKUP($D:$D,Structure!$A:$AJ,AG$1,0)*15,0),IFERROR(VLOOKUP($E:$E,Structure!$A:$AJ,AG$1,0)*15,0))</f>
        <v>0</v>
      </c>
      <c r="AH153" s="13">
        <f>SUM(IFERROR(VLOOKUP($C:$C,Structure!$A:$AJ,AH$1,0)*15,0),IFERROR(VLOOKUP($D:$D,Structure!$A:$AJ,AH$1,0)*15,0),IFERROR(VLOOKUP($E:$E,Structure!$A:$AJ,AH$1,0)*15,0))</f>
        <v>0</v>
      </c>
      <c r="AI153" s="13">
        <f>SUM(IFERROR(VLOOKUP($C:$C,Structure!$A:$AJ,AI$1,0)*15,0),IFERROR(VLOOKUP($D:$D,Structure!$A:$AJ,AI$1,0)*15,0),IFERROR(VLOOKUP($E:$E,Structure!$A:$AJ,AI$1,0)*15,0))</f>
        <v>0</v>
      </c>
      <c r="AJ153" s="13">
        <f>SUM(IFERROR(VLOOKUP($C:$C,Structure!$A:$AJ,AJ$1,0)*15,0),IFERROR(VLOOKUP($D:$D,Structure!$A:$AJ,AJ$1,0)*15,0),IFERROR(VLOOKUP($E:$E,Structure!$A:$AJ,AJ$1,0)*15,0))</f>
        <v>45</v>
      </c>
      <c r="AK153" s="13">
        <f>SUM(IFERROR(VLOOKUP($C:$C,Structure!$A:$AJ,AK$1,0)*15,0),IFERROR(VLOOKUP($D:$D,Structure!$A:$AJ,AK$1,0)*15,0),IFERROR(VLOOKUP($E:$E,Structure!$A:$AJ,AK$1,0)*15,0))</f>
        <v>0</v>
      </c>
      <c r="AL153" s="13">
        <f>SUM(IFERROR(VLOOKUP($C:$C,Structure!$A:$AJ,AL$1,0)*15,0),IFERROR(VLOOKUP($D:$D,Structure!$A:$AJ,AL$1,0)*15,0),IFERROR(VLOOKUP($E:$E,Structure!$A:$AJ,AL$1,0)*15,0))</f>
        <v>0</v>
      </c>
      <c r="AM153" s="13">
        <f>SUM(IFERROR(VLOOKUP($C:$C,Structure!$A:$AJ,AM$1,0)*15,0),IFERROR(VLOOKUP($D:$D,Structure!$A:$AJ,AM$1,0)*15,0),IFERROR(VLOOKUP($E:$E,Structure!$A:$AJ,AM$1,0)*15,0))</f>
        <v>0</v>
      </c>
      <c r="AN153" s="13">
        <f>SUM(IFERROR(VLOOKUP($C:$C,Structure!$A:$AJ,AN$1,0)*15,0),IFERROR(VLOOKUP($D:$D,Structure!$A:$AJ,AN$1,0)*15,0),IFERROR(VLOOKUP($E:$E,Structure!$A:$AJ,AN$1,0)*15,0))</f>
        <v>0</v>
      </c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3"/>
      <c r="BZ153" s="4">
        <f>BZ152+AQ153-F153</f>
        <v>0</v>
      </c>
      <c r="CA153" s="4">
        <f>CA152+AR153-G153</f>
        <v>0</v>
      </c>
      <c r="CB153" s="4">
        <f>CB152+AS153-H153</f>
        <v>0</v>
      </c>
      <c r="CC153" s="4">
        <f>CC152+AT153-I153</f>
        <v>0</v>
      </c>
      <c r="CD153" s="4">
        <f>CD152+AU153-J153</f>
        <v>0</v>
      </c>
      <c r="CE153" s="4">
        <f>CE152+AV153-K153</f>
        <v>0</v>
      </c>
      <c r="CF153" s="4">
        <f>CF152+AW153-L153</f>
        <v>0</v>
      </c>
      <c r="CG153" s="4">
        <f>CG152+AX153-M153</f>
        <v>0</v>
      </c>
      <c r="CH153" s="4">
        <f>CH152+AY153-N153</f>
        <v>0</v>
      </c>
      <c r="CI153" s="4">
        <f>CI152+AZ153-O153</f>
        <v>0</v>
      </c>
      <c r="CJ153" s="4">
        <f>CJ152+BA153-P153</f>
        <v>0</v>
      </c>
      <c r="CK153" s="4">
        <f>CK152+BB153-Q153</f>
        <v>0</v>
      </c>
      <c r="CL153" s="4">
        <f>CL152+BC153-R153</f>
        <v>0</v>
      </c>
      <c r="CM153" s="4">
        <f>CM152+BD153-S153</f>
        <v>0</v>
      </c>
      <c r="CN153" s="4">
        <f>CN152+BE153-T153</f>
        <v>0</v>
      </c>
      <c r="CO153" s="4">
        <f>CO152+BF153-U153</f>
        <v>0</v>
      </c>
      <c r="CP153" s="4">
        <f>CP152+BG153-V153</f>
        <v>-60</v>
      </c>
      <c r="CQ153" s="4">
        <f>CQ152+BH153-W153</f>
        <v>0</v>
      </c>
      <c r="CR153" s="4">
        <f>CR152+BI153-X153</f>
        <v>-60</v>
      </c>
      <c r="CS153" s="4">
        <f>CS152+BJ153-Y153</f>
        <v>0</v>
      </c>
      <c r="CT153" s="4">
        <f>CT152+BK153-Z153</f>
        <v>0</v>
      </c>
      <c r="CU153" s="4">
        <f>CU152+BL153-AA153</f>
        <v>-6080</v>
      </c>
      <c r="CV153" s="4">
        <f>CV152+BM153-AB153</f>
        <v>-240</v>
      </c>
      <c r="CW153" s="4">
        <f>CW152+BN153-AC153</f>
        <v>-255</v>
      </c>
      <c r="CX153" s="4">
        <f>CX152+BO153-AD153</f>
        <v>0</v>
      </c>
      <c r="CY153" s="4">
        <f>CY152+BP153-AE153</f>
        <v>-60</v>
      </c>
      <c r="CZ153" s="4">
        <f>CZ152+BQ153-AF153</f>
        <v>-160</v>
      </c>
      <c r="DA153" s="4">
        <f>DA152+BR153-AG153</f>
        <v>0</v>
      </c>
      <c r="DB153" s="4">
        <f>DB152+BS153-AH153</f>
        <v>-60</v>
      </c>
      <c r="DC153" s="4">
        <f>DC152+BT153-AI153</f>
        <v>0</v>
      </c>
      <c r="DD153" s="4">
        <f>DD152+BU153-AJ153</f>
        <v>-4720</v>
      </c>
      <c r="DE153" s="4">
        <f>DE152+BV153-AK153</f>
        <v>-1380</v>
      </c>
      <c r="DF153" s="4">
        <f>DF152+BW153-AL153</f>
        <v>0</v>
      </c>
      <c r="DG153" s="4">
        <f>DG152+BX153-AM153</f>
        <v>-235</v>
      </c>
      <c r="DH153" s="4">
        <f>DH152+BY153-AN153</f>
        <v>0</v>
      </c>
    </row>
    <row r="154" spans="1:112" x14ac:dyDescent="0.25">
      <c r="A154" s="6">
        <v>46185</v>
      </c>
      <c r="B154" s="7">
        <v>0.62499999963620212</v>
      </c>
      <c r="C154" s="3" t="s">
        <v>2</v>
      </c>
      <c r="D154" s="3" t="s">
        <v>6</v>
      </c>
      <c r="E154" s="3" t="s">
        <v>2</v>
      </c>
      <c r="F154" s="13">
        <f>SUM(IFERROR(VLOOKUP($C:$C,Structure!$A:$AJ,F$1,0)*15,0),IFERROR(VLOOKUP($D:$D,Structure!$A:$AJ,F$1,0)*15,0),IFERROR(VLOOKUP($E:$E,Structure!$A:$AJ,F$1,0)*15,0))</f>
        <v>0</v>
      </c>
      <c r="G154" s="13">
        <f>SUM(IFERROR(VLOOKUP($C:$C,Structure!$A:$AJ,G$1,0)*15,0),IFERROR(VLOOKUP($D:$D,Structure!$A:$AJ,G$1,0)*15,0),IFERROR(VLOOKUP($E:$E,Structure!$A:$AJ,G$1,0)*15,0))</f>
        <v>0</v>
      </c>
      <c r="H154" s="13">
        <f>SUM(IFERROR(VLOOKUP($C:$C,Structure!$A:$AJ,H$1,0)*15,0),IFERROR(VLOOKUP($D:$D,Structure!$A:$AJ,H$1,0)*15,0),IFERROR(VLOOKUP($E:$E,Structure!$A:$AJ,H$1,0)*15,0))</f>
        <v>0</v>
      </c>
      <c r="I154" s="13">
        <f>SUM(IFERROR(VLOOKUP($C:$C,Structure!$A:$AJ,I$1,0)*15,0),IFERROR(VLOOKUP($D:$D,Structure!$A:$AJ,I$1,0)*15,0),IFERROR(VLOOKUP($E:$E,Structure!$A:$AJ,I$1,0)*15,0))</f>
        <v>0</v>
      </c>
      <c r="J154" s="13">
        <f>SUM(IFERROR(VLOOKUP($C:$C,Structure!$A:$AJ,J$1,0)*15,0),IFERROR(VLOOKUP($D:$D,Structure!$A:$AJ,J$1,0)*15,0),IFERROR(VLOOKUP($E:$E,Structure!$A:$AJ,J$1,0)*15,0))</f>
        <v>0</v>
      </c>
      <c r="K154" s="13">
        <f>SUM(IFERROR(VLOOKUP($C:$C,Structure!$A:$AJ,K$1,0)*15,0),IFERROR(VLOOKUP($D:$D,Structure!$A:$AJ,K$1,0)*15,0),IFERROR(VLOOKUP($E:$E,Structure!$A:$AJ,K$1,0)*15,0))</f>
        <v>0</v>
      </c>
      <c r="L154" s="13">
        <f>SUM(IFERROR(VLOOKUP($C:$C,Structure!$A:$AJ,L$1,0)*15,0),IFERROR(VLOOKUP($D:$D,Structure!$A:$AJ,L$1,0)*15,0),IFERROR(VLOOKUP($E:$E,Structure!$A:$AJ,L$1,0)*15,0))</f>
        <v>0</v>
      </c>
      <c r="M154" s="13">
        <f>SUM(IFERROR(VLOOKUP($C:$C,Structure!$A:$AJ,M$1,0)*15,0),IFERROR(VLOOKUP($D:$D,Structure!$A:$AJ,M$1,0)*15,0),IFERROR(VLOOKUP($E:$E,Structure!$A:$AJ,M$1,0)*15,0))</f>
        <v>0</v>
      </c>
      <c r="N154" s="13">
        <f>SUM(IFERROR(VLOOKUP($C:$C,Structure!$A:$AJ,N$1,0)*15,0),IFERROR(VLOOKUP($D:$D,Structure!$A:$AJ,N$1,0)*15,0),IFERROR(VLOOKUP($E:$E,Structure!$A:$AJ,N$1,0)*15,0))</f>
        <v>0</v>
      </c>
      <c r="O154" s="13">
        <f>SUM(IFERROR(VLOOKUP($C:$C,Structure!$A:$AJ,O$1,0)*15,0),IFERROR(VLOOKUP($D:$D,Structure!$A:$AJ,O$1,0)*15,0),IFERROR(VLOOKUP($E:$E,Structure!$A:$AJ,O$1,0)*15,0))</f>
        <v>0</v>
      </c>
      <c r="P154" s="13">
        <f>SUM(IFERROR(VLOOKUP($C:$C,Structure!$A:$AJ,P$1,0)*15,0),IFERROR(VLOOKUP($D:$D,Structure!$A:$AJ,P$1,0)*15,0),IFERROR(VLOOKUP($E:$E,Structure!$A:$AJ,P$1,0)*15,0))</f>
        <v>0</v>
      </c>
      <c r="Q154" s="13">
        <f>SUM(IFERROR(VLOOKUP($C:$C,Structure!$A:$AJ,Q$1,0)*15,0),IFERROR(VLOOKUP($D:$D,Structure!$A:$AJ,Q$1,0)*15,0),IFERROR(VLOOKUP($E:$E,Structure!$A:$AJ,Q$1,0)*15,0))</f>
        <v>0</v>
      </c>
      <c r="R154" s="13">
        <f>SUM(IFERROR(VLOOKUP($C:$C,Structure!$A:$AJ,R$1,0)*15,0),IFERROR(VLOOKUP($D:$D,Structure!$A:$AJ,R$1,0)*15,0),IFERROR(VLOOKUP($E:$E,Structure!$A:$AJ,R$1,0)*15,0))</f>
        <v>0</v>
      </c>
      <c r="S154" s="13">
        <f>SUM(IFERROR(VLOOKUP($C:$C,Structure!$A:$AJ,S$1,0)*15,0),IFERROR(VLOOKUP($D:$D,Structure!$A:$AJ,S$1,0)*15,0),IFERROR(VLOOKUP($E:$E,Structure!$A:$AJ,S$1,0)*15,0))</f>
        <v>0</v>
      </c>
      <c r="T154" s="13">
        <f>SUM(IFERROR(VLOOKUP($C:$C,Structure!$A:$AJ,T$1,0)*15,0),IFERROR(VLOOKUP($D:$D,Structure!$A:$AJ,T$1,0)*15,0),IFERROR(VLOOKUP($E:$E,Structure!$A:$AJ,T$1,0)*15,0))</f>
        <v>0</v>
      </c>
      <c r="U154" s="13">
        <f>SUM(IFERROR(VLOOKUP($C:$C,Structure!$A:$AJ,U$1,0)*15,0),IFERROR(VLOOKUP($D:$D,Structure!$A:$AJ,U$1,0)*15,0),IFERROR(VLOOKUP($E:$E,Structure!$A:$AJ,U$1,0)*15,0))</f>
        <v>0</v>
      </c>
      <c r="V154" s="13">
        <f>SUM(IFERROR(VLOOKUP($C:$C,Structure!$A:$AJ,V$1,0)*15,0),IFERROR(VLOOKUP($D:$D,Structure!$A:$AJ,V$1,0)*15,0),IFERROR(VLOOKUP($E:$E,Structure!$A:$AJ,V$1,0)*15,0))</f>
        <v>0</v>
      </c>
      <c r="W154" s="13">
        <f>SUM(IFERROR(VLOOKUP($C:$C,Structure!$A:$AJ,W$1,0)*15,0),IFERROR(VLOOKUP($D:$D,Structure!$A:$AJ,W$1,0)*15,0),IFERROR(VLOOKUP($E:$E,Structure!$A:$AJ,W$1,0)*15,0))</f>
        <v>0</v>
      </c>
      <c r="X154" s="13">
        <f>SUM(IFERROR(VLOOKUP($C:$C,Structure!$A:$AJ,X$1,0)*15,0),IFERROR(VLOOKUP($D:$D,Structure!$A:$AJ,X$1,0)*15,0),IFERROR(VLOOKUP($E:$E,Structure!$A:$AJ,X$1,0)*15,0))</f>
        <v>0</v>
      </c>
      <c r="Y154" s="13">
        <f>SUM(IFERROR(VLOOKUP($C:$C,Structure!$A:$AJ,Y$1,0)*15,0),IFERROR(VLOOKUP($D:$D,Structure!$A:$AJ,Y$1,0)*15,0),IFERROR(VLOOKUP($E:$E,Structure!$A:$AJ,Y$1,0)*15,0))</f>
        <v>0</v>
      </c>
      <c r="Z154" s="13">
        <f>SUM(IFERROR(VLOOKUP($C:$C,Structure!$A:$AJ,Z$1,0)*15,0),IFERROR(VLOOKUP($D:$D,Structure!$A:$AJ,Z$1,0)*15,0),IFERROR(VLOOKUP($E:$E,Structure!$A:$AJ,Z$1,0)*15,0))</f>
        <v>0</v>
      </c>
      <c r="AA154" s="13">
        <f>SUM(IFERROR(VLOOKUP($C:$C,Structure!$A:$AJ,AA$1,0)*15,0),IFERROR(VLOOKUP($D:$D,Structure!$A:$AJ,AA$1,0)*15,0),IFERROR(VLOOKUP($E:$E,Structure!$A:$AJ,AA$1,0)*15,0))</f>
        <v>45</v>
      </c>
      <c r="AB154" s="13">
        <f>SUM(IFERROR(VLOOKUP($C:$C,Structure!$A:$AJ,AB$1,0)*15,0),IFERROR(VLOOKUP($D:$D,Structure!$A:$AJ,AB$1,0)*15,0),IFERROR(VLOOKUP($E:$E,Structure!$A:$AJ,AB$1,0)*15,0))</f>
        <v>0</v>
      </c>
      <c r="AC154" s="13">
        <f>SUM(IFERROR(VLOOKUP($C:$C,Structure!$A:$AJ,AC$1,0)*15,0),IFERROR(VLOOKUP($D:$D,Structure!$A:$AJ,AC$1,0)*15,0),IFERROR(VLOOKUP($E:$E,Structure!$A:$AJ,AC$1,0)*15,0))</f>
        <v>0</v>
      </c>
      <c r="AD154" s="13">
        <f>SUM(IFERROR(VLOOKUP($C:$C,Structure!$A:$AJ,AD$1,0)*15,0),IFERROR(VLOOKUP($D:$D,Structure!$A:$AJ,AD$1,0)*15,0),IFERROR(VLOOKUP($E:$E,Structure!$A:$AJ,AD$1,0)*15,0))</f>
        <v>0</v>
      </c>
      <c r="AE154" s="13">
        <f>SUM(IFERROR(VLOOKUP($C:$C,Structure!$A:$AJ,AE$1,0)*15,0),IFERROR(VLOOKUP($D:$D,Structure!$A:$AJ,AE$1,0)*15,0),IFERROR(VLOOKUP($E:$E,Structure!$A:$AJ,AE$1,0)*15,0))</f>
        <v>0</v>
      </c>
      <c r="AF154" s="13">
        <f>SUM(IFERROR(VLOOKUP($C:$C,Structure!$A:$AJ,AF$1,0)*15,0),IFERROR(VLOOKUP($D:$D,Structure!$A:$AJ,AF$1,0)*15,0),IFERROR(VLOOKUP($E:$E,Structure!$A:$AJ,AF$1,0)*15,0))</f>
        <v>0</v>
      </c>
      <c r="AG154" s="13">
        <f>SUM(IFERROR(VLOOKUP($C:$C,Structure!$A:$AJ,AG$1,0)*15,0),IFERROR(VLOOKUP($D:$D,Structure!$A:$AJ,AG$1,0)*15,0),IFERROR(VLOOKUP($E:$E,Structure!$A:$AJ,AG$1,0)*15,0))</f>
        <v>0</v>
      </c>
      <c r="AH154" s="13">
        <f>SUM(IFERROR(VLOOKUP($C:$C,Structure!$A:$AJ,AH$1,0)*15,0),IFERROR(VLOOKUP($D:$D,Structure!$A:$AJ,AH$1,0)*15,0),IFERROR(VLOOKUP($E:$E,Structure!$A:$AJ,AH$1,0)*15,0))</f>
        <v>0</v>
      </c>
      <c r="AI154" s="13">
        <f>SUM(IFERROR(VLOOKUP($C:$C,Structure!$A:$AJ,AI$1,0)*15,0),IFERROR(VLOOKUP($D:$D,Structure!$A:$AJ,AI$1,0)*15,0),IFERROR(VLOOKUP($E:$E,Structure!$A:$AJ,AI$1,0)*15,0))</f>
        <v>0</v>
      </c>
      <c r="AJ154" s="13">
        <f>SUM(IFERROR(VLOOKUP($C:$C,Structure!$A:$AJ,AJ$1,0)*15,0),IFERROR(VLOOKUP($D:$D,Structure!$A:$AJ,AJ$1,0)*15,0),IFERROR(VLOOKUP($E:$E,Structure!$A:$AJ,AJ$1,0)*15,0))</f>
        <v>45</v>
      </c>
      <c r="AK154" s="13">
        <f>SUM(IFERROR(VLOOKUP($C:$C,Structure!$A:$AJ,AK$1,0)*15,0),IFERROR(VLOOKUP($D:$D,Structure!$A:$AJ,AK$1,0)*15,0),IFERROR(VLOOKUP($E:$E,Structure!$A:$AJ,AK$1,0)*15,0))</f>
        <v>0</v>
      </c>
      <c r="AL154" s="13">
        <f>SUM(IFERROR(VLOOKUP($C:$C,Structure!$A:$AJ,AL$1,0)*15,0),IFERROR(VLOOKUP($D:$D,Structure!$A:$AJ,AL$1,0)*15,0),IFERROR(VLOOKUP($E:$E,Structure!$A:$AJ,AL$1,0)*15,0))</f>
        <v>0</v>
      </c>
      <c r="AM154" s="13">
        <f>SUM(IFERROR(VLOOKUP($C:$C,Structure!$A:$AJ,AM$1,0)*15,0),IFERROR(VLOOKUP($D:$D,Structure!$A:$AJ,AM$1,0)*15,0),IFERROR(VLOOKUP($E:$E,Structure!$A:$AJ,AM$1,0)*15,0))</f>
        <v>0</v>
      </c>
      <c r="AN154" s="13">
        <f>SUM(IFERROR(VLOOKUP($C:$C,Structure!$A:$AJ,AN$1,0)*15,0),IFERROR(VLOOKUP($D:$D,Structure!$A:$AJ,AN$1,0)*15,0),IFERROR(VLOOKUP($E:$E,Structure!$A:$AJ,AN$1,0)*15,0))</f>
        <v>0</v>
      </c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3"/>
      <c r="BZ154" s="4">
        <f>BZ153+AQ154-F154</f>
        <v>0</v>
      </c>
      <c r="CA154" s="4">
        <f>CA153+AR154-G154</f>
        <v>0</v>
      </c>
      <c r="CB154" s="4">
        <f>CB153+AS154-H154</f>
        <v>0</v>
      </c>
      <c r="CC154" s="4">
        <f>CC153+AT154-I154</f>
        <v>0</v>
      </c>
      <c r="CD154" s="4">
        <f>CD153+AU154-J154</f>
        <v>0</v>
      </c>
      <c r="CE154" s="4">
        <f>CE153+AV154-K154</f>
        <v>0</v>
      </c>
      <c r="CF154" s="4">
        <f>CF153+AW154-L154</f>
        <v>0</v>
      </c>
      <c r="CG154" s="4">
        <f>CG153+AX154-M154</f>
        <v>0</v>
      </c>
      <c r="CH154" s="4">
        <f>CH153+AY154-N154</f>
        <v>0</v>
      </c>
      <c r="CI154" s="4">
        <f>CI153+AZ154-O154</f>
        <v>0</v>
      </c>
      <c r="CJ154" s="4">
        <f>CJ153+BA154-P154</f>
        <v>0</v>
      </c>
      <c r="CK154" s="4">
        <f>CK153+BB154-Q154</f>
        <v>0</v>
      </c>
      <c r="CL154" s="4">
        <f>CL153+BC154-R154</f>
        <v>0</v>
      </c>
      <c r="CM154" s="4">
        <f>CM153+BD154-S154</f>
        <v>0</v>
      </c>
      <c r="CN154" s="4">
        <f>CN153+BE154-T154</f>
        <v>0</v>
      </c>
      <c r="CO154" s="4">
        <f>CO153+BF154-U154</f>
        <v>0</v>
      </c>
      <c r="CP154" s="4">
        <f>CP153+BG154-V154</f>
        <v>-60</v>
      </c>
      <c r="CQ154" s="4">
        <f>CQ153+BH154-W154</f>
        <v>0</v>
      </c>
      <c r="CR154" s="4">
        <f>CR153+BI154-X154</f>
        <v>-60</v>
      </c>
      <c r="CS154" s="4">
        <f>CS153+BJ154-Y154</f>
        <v>0</v>
      </c>
      <c r="CT154" s="4">
        <f>CT153+BK154-Z154</f>
        <v>0</v>
      </c>
      <c r="CU154" s="4">
        <f>CU153+BL154-AA154</f>
        <v>-6125</v>
      </c>
      <c r="CV154" s="4">
        <f>CV153+BM154-AB154</f>
        <v>-240</v>
      </c>
      <c r="CW154" s="4">
        <f>CW153+BN154-AC154</f>
        <v>-255</v>
      </c>
      <c r="CX154" s="4">
        <f>CX153+BO154-AD154</f>
        <v>0</v>
      </c>
      <c r="CY154" s="4">
        <f>CY153+BP154-AE154</f>
        <v>-60</v>
      </c>
      <c r="CZ154" s="4">
        <f>CZ153+BQ154-AF154</f>
        <v>-160</v>
      </c>
      <c r="DA154" s="4">
        <f>DA153+BR154-AG154</f>
        <v>0</v>
      </c>
      <c r="DB154" s="4">
        <f>DB153+BS154-AH154</f>
        <v>-60</v>
      </c>
      <c r="DC154" s="4">
        <f>DC153+BT154-AI154</f>
        <v>0</v>
      </c>
      <c r="DD154" s="4">
        <f>DD153+BU154-AJ154</f>
        <v>-4765</v>
      </c>
      <c r="DE154" s="4">
        <f>DE153+BV154-AK154</f>
        <v>-1380</v>
      </c>
      <c r="DF154" s="4">
        <f>DF153+BW154-AL154</f>
        <v>0</v>
      </c>
      <c r="DG154" s="4">
        <f>DG153+BX154-AM154</f>
        <v>-235</v>
      </c>
      <c r="DH154" s="4">
        <f>DH153+BY154-AN154</f>
        <v>0</v>
      </c>
    </row>
    <row r="155" spans="1:112" x14ac:dyDescent="0.25">
      <c r="A155" s="6">
        <v>46185</v>
      </c>
      <c r="B155" s="7">
        <v>0.66666666630044347</v>
      </c>
      <c r="C155" s="3" t="s">
        <v>2</v>
      </c>
      <c r="D155" s="3" t="s">
        <v>6</v>
      </c>
      <c r="E155" s="3" t="s">
        <v>2</v>
      </c>
      <c r="F155" s="13">
        <f>SUM(IFERROR(VLOOKUP($C:$C,Structure!$A:$AJ,F$1,0)*15,0),IFERROR(VLOOKUP($D:$D,Structure!$A:$AJ,F$1,0)*15,0),IFERROR(VLOOKUP($E:$E,Structure!$A:$AJ,F$1,0)*15,0))</f>
        <v>0</v>
      </c>
      <c r="G155" s="13">
        <f>SUM(IFERROR(VLOOKUP($C:$C,Structure!$A:$AJ,G$1,0)*15,0),IFERROR(VLOOKUP($D:$D,Structure!$A:$AJ,G$1,0)*15,0),IFERROR(VLOOKUP($E:$E,Structure!$A:$AJ,G$1,0)*15,0))</f>
        <v>0</v>
      </c>
      <c r="H155" s="13">
        <f>SUM(IFERROR(VLOOKUP($C:$C,Structure!$A:$AJ,H$1,0)*15,0),IFERROR(VLOOKUP($D:$D,Structure!$A:$AJ,H$1,0)*15,0),IFERROR(VLOOKUP($E:$E,Structure!$A:$AJ,H$1,0)*15,0))</f>
        <v>0</v>
      </c>
      <c r="I155" s="13">
        <f>SUM(IFERROR(VLOOKUP($C:$C,Structure!$A:$AJ,I$1,0)*15,0),IFERROR(VLOOKUP($D:$D,Structure!$A:$AJ,I$1,0)*15,0),IFERROR(VLOOKUP($E:$E,Structure!$A:$AJ,I$1,0)*15,0))</f>
        <v>0</v>
      </c>
      <c r="J155" s="13">
        <f>SUM(IFERROR(VLOOKUP($C:$C,Structure!$A:$AJ,J$1,0)*15,0),IFERROR(VLOOKUP($D:$D,Structure!$A:$AJ,J$1,0)*15,0),IFERROR(VLOOKUP($E:$E,Structure!$A:$AJ,J$1,0)*15,0))</f>
        <v>0</v>
      </c>
      <c r="K155" s="13">
        <f>SUM(IFERROR(VLOOKUP($C:$C,Structure!$A:$AJ,K$1,0)*15,0),IFERROR(VLOOKUP($D:$D,Structure!$A:$AJ,K$1,0)*15,0),IFERROR(VLOOKUP($E:$E,Structure!$A:$AJ,K$1,0)*15,0))</f>
        <v>0</v>
      </c>
      <c r="L155" s="13">
        <f>SUM(IFERROR(VLOOKUP($C:$C,Structure!$A:$AJ,L$1,0)*15,0),IFERROR(VLOOKUP($D:$D,Structure!$A:$AJ,L$1,0)*15,0),IFERROR(VLOOKUP($E:$E,Structure!$A:$AJ,L$1,0)*15,0))</f>
        <v>0</v>
      </c>
      <c r="M155" s="13">
        <f>SUM(IFERROR(VLOOKUP($C:$C,Structure!$A:$AJ,M$1,0)*15,0),IFERROR(VLOOKUP($D:$D,Structure!$A:$AJ,M$1,0)*15,0),IFERROR(VLOOKUP($E:$E,Structure!$A:$AJ,M$1,0)*15,0))</f>
        <v>0</v>
      </c>
      <c r="N155" s="13">
        <f>SUM(IFERROR(VLOOKUP($C:$C,Structure!$A:$AJ,N$1,0)*15,0),IFERROR(VLOOKUP($D:$D,Structure!$A:$AJ,N$1,0)*15,0),IFERROR(VLOOKUP($E:$E,Structure!$A:$AJ,N$1,0)*15,0))</f>
        <v>0</v>
      </c>
      <c r="O155" s="13">
        <f>SUM(IFERROR(VLOOKUP($C:$C,Structure!$A:$AJ,O$1,0)*15,0),IFERROR(VLOOKUP($D:$D,Structure!$A:$AJ,O$1,0)*15,0),IFERROR(VLOOKUP($E:$E,Structure!$A:$AJ,O$1,0)*15,0))</f>
        <v>0</v>
      </c>
      <c r="P155" s="13">
        <f>SUM(IFERROR(VLOOKUP($C:$C,Structure!$A:$AJ,P$1,0)*15,0),IFERROR(VLOOKUP($D:$D,Structure!$A:$AJ,P$1,0)*15,0),IFERROR(VLOOKUP($E:$E,Structure!$A:$AJ,P$1,0)*15,0))</f>
        <v>0</v>
      </c>
      <c r="Q155" s="13">
        <f>SUM(IFERROR(VLOOKUP($C:$C,Structure!$A:$AJ,Q$1,0)*15,0),IFERROR(VLOOKUP($D:$D,Structure!$A:$AJ,Q$1,0)*15,0),IFERROR(VLOOKUP($E:$E,Structure!$A:$AJ,Q$1,0)*15,0))</f>
        <v>0</v>
      </c>
      <c r="R155" s="13">
        <f>SUM(IFERROR(VLOOKUP($C:$C,Structure!$A:$AJ,R$1,0)*15,0),IFERROR(VLOOKUP($D:$D,Structure!$A:$AJ,R$1,0)*15,0),IFERROR(VLOOKUP($E:$E,Structure!$A:$AJ,R$1,0)*15,0))</f>
        <v>0</v>
      </c>
      <c r="S155" s="13">
        <f>SUM(IFERROR(VLOOKUP($C:$C,Structure!$A:$AJ,S$1,0)*15,0),IFERROR(VLOOKUP($D:$D,Structure!$A:$AJ,S$1,0)*15,0),IFERROR(VLOOKUP($E:$E,Structure!$A:$AJ,S$1,0)*15,0))</f>
        <v>0</v>
      </c>
      <c r="T155" s="13">
        <f>SUM(IFERROR(VLOOKUP($C:$C,Structure!$A:$AJ,T$1,0)*15,0),IFERROR(VLOOKUP($D:$D,Structure!$A:$AJ,T$1,0)*15,0),IFERROR(VLOOKUP($E:$E,Structure!$A:$AJ,T$1,0)*15,0))</f>
        <v>0</v>
      </c>
      <c r="U155" s="13">
        <f>SUM(IFERROR(VLOOKUP($C:$C,Structure!$A:$AJ,U$1,0)*15,0),IFERROR(VLOOKUP($D:$D,Structure!$A:$AJ,U$1,0)*15,0),IFERROR(VLOOKUP($E:$E,Structure!$A:$AJ,U$1,0)*15,0))</f>
        <v>0</v>
      </c>
      <c r="V155" s="13">
        <f>SUM(IFERROR(VLOOKUP($C:$C,Structure!$A:$AJ,V$1,0)*15,0),IFERROR(VLOOKUP($D:$D,Structure!$A:$AJ,V$1,0)*15,0),IFERROR(VLOOKUP($E:$E,Structure!$A:$AJ,V$1,0)*15,0))</f>
        <v>0</v>
      </c>
      <c r="W155" s="13">
        <f>SUM(IFERROR(VLOOKUP($C:$C,Structure!$A:$AJ,W$1,0)*15,0),IFERROR(VLOOKUP($D:$D,Structure!$A:$AJ,W$1,0)*15,0),IFERROR(VLOOKUP($E:$E,Structure!$A:$AJ,W$1,0)*15,0))</f>
        <v>0</v>
      </c>
      <c r="X155" s="13">
        <f>SUM(IFERROR(VLOOKUP($C:$C,Structure!$A:$AJ,X$1,0)*15,0),IFERROR(VLOOKUP($D:$D,Structure!$A:$AJ,X$1,0)*15,0),IFERROR(VLOOKUP($E:$E,Structure!$A:$AJ,X$1,0)*15,0))</f>
        <v>0</v>
      </c>
      <c r="Y155" s="13">
        <f>SUM(IFERROR(VLOOKUP($C:$C,Structure!$A:$AJ,Y$1,0)*15,0),IFERROR(VLOOKUP($D:$D,Structure!$A:$AJ,Y$1,0)*15,0),IFERROR(VLOOKUP($E:$E,Structure!$A:$AJ,Y$1,0)*15,0))</f>
        <v>0</v>
      </c>
      <c r="Z155" s="13">
        <f>SUM(IFERROR(VLOOKUP($C:$C,Structure!$A:$AJ,Z$1,0)*15,0),IFERROR(VLOOKUP($D:$D,Structure!$A:$AJ,Z$1,0)*15,0),IFERROR(VLOOKUP($E:$E,Structure!$A:$AJ,Z$1,0)*15,0))</f>
        <v>0</v>
      </c>
      <c r="AA155" s="13">
        <f>SUM(IFERROR(VLOOKUP($C:$C,Structure!$A:$AJ,AA$1,0)*15,0),IFERROR(VLOOKUP($D:$D,Structure!$A:$AJ,AA$1,0)*15,0),IFERROR(VLOOKUP($E:$E,Structure!$A:$AJ,AA$1,0)*15,0))</f>
        <v>45</v>
      </c>
      <c r="AB155" s="13">
        <f>SUM(IFERROR(VLOOKUP($C:$C,Structure!$A:$AJ,AB$1,0)*15,0),IFERROR(VLOOKUP($D:$D,Structure!$A:$AJ,AB$1,0)*15,0),IFERROR(VLOOKUP($E:$E,Structure!$A:$AJ,AB$1,0)*15,0))</f>
        <v>0</v>
      </c>
      <c r="AC155" s="13">
        <f>SUM(IFERROR(VLOOKUP($C:$C,Structure!$A:$AJ,AC$1,0)*15,0),IFERROR(VLOOKUP($D:$D,Structure!$A:$AJ,AC$1,0)*15,0),IFERROR(VLOOKUP($E:$E,Structure!$A:$AJ,AC$1,0)*15,0))</f>
        <v>0</v>
      </c>
      <c r="AD155" s="13">
        <f>SUM(IFERROR(VLOOKUP($C:$C,Structure!$A:$AJ,AD$1,0)*15,0),IFERROR(VLOOKUP($D:$D,Structure!$A:$AJ,AD$1,0)*15,0),IFERROR(VLOOKUP($E:$E,Structure!$A:$AJ,AD$1,0)*15,0))</f>
        <v>0</v>
      </c>
      <c r="AE155" s="13">
        <f>SUM(IFERROR(VLOOKUP($C:$C,Structure!$A:$AJ,AE$1,0)*15,0),IFERROR(VLOOKUP($D:$D,Structure!$A:$AJ,AE$1,0)*15,0),IFERROR(VLOOKUP($E:$E,Structure!$A:$AJ,AE$1,0)*15,0))</f>
        <v>0</v>
      </c>
      <c r="AF155" s="13">
        <f>SUM(IFERROR(VLOOKUP($C:$C,Structure!$A:$AJ,AF$1,0)*15,0),IFERROR(VLOOKUP($D:$D,Structure!$A:$AJ,AF$1,0)*15,0),IFERROR(VLOOKUP($E:$E,Structure!$A:$AJ,AF$1,0)*15,0))</f>
        <v>0</v>
      </c>
      <c r="AG155" s="13">
        <f>SUM(IFERROR(VLOOKUP($C:$C,Structure!$A:$AJ,AG$1,0)*15,0),IFERROR(VLOOKUP($D:$D,Structure!$A:$AJ,AG$1,0)*15,0),IFERROR(VLOOKUP($E:$E,Structure!$A:$AJ,AG$1,0)*15,0))</f>
        <v>0</v>
      </c>
      <c r="AH155" s="13">
        <f>SUM(IFERROR(VLOOKUP($C:$C,Structure!$A:$AJ,AH$1,0)*15,0),IFERROR(VLOOKUP($D:$D,Structure!$A:$AJ,AH$1,0)*15,0),IFERROR(VLOOKUP($E:$E,Structure!$A:$AJ,AH$1,0)*15,0))</f>
        <v>0</v>
      </c>
      <c r="AI155" s="13">
        <f>SUM(IFERROR(VLOOKUP($C:$C,Structure!$A:$AJ,AI$1,0)*15,0),IFERROR(VLOOKUP($D:$D,Structure!$A:$AJ,AI$1,0)*15,0),IFERROR(VLOOKUP($E:$E,Structure!$A:$AJ,AI$1,0)*15,0))</f>
        <v>0</v>
      </c>
      <c r="AJ155" s="13">
        <f>SUM(IFERROR(VLOOKUP($C:$C,Structure!$A:$AJ,AJ$1,0)*15,0),IFERROR(VLOOKUP($D:$D,Structure!$A:$AJ,AJ$1,0)*15,0),IFERROR(VLOOKUP($E:$E,Structure!$A:$AJ,AJ$1,0)*15,0))</f>
        <v>45</v>
      </c>
      <c r="AK155" s="13">
        <f>SUM(IFERROR(VLOOKUP($C:$C,Structure!$A:$AJ,AK$1,0)*15,0),IFERROR(VLOOKUP($D:$D,Structure!$A:$AJ,AK$1,0)*15,0),IFERROR(VLOOKUP($E:$E,Structure!$A:$AJ,AK$1,0)*15,0))</f>
        <v>0</v>
      </c>
      <c r="AL155" s="13">
        <f>SUM(IFERROR(VLOOKUP($C:$C,Structure!$A:$AJ,AL$1,0)*15,0),IFERROR(VLOOKUP($D:$D,Structure!$A:$AJ,AL$1,0)*15,0),IFERROR(VLOOKUP($E:$E,Structure!$A:$AJ,AL$1,0)*15,0))</f>
        <v>0</v>
      </c>
      <c r="AM155" s="13">
        <f>SUM(IFERROR(VLOOKUP($C:$C,Structure!$A:$AJ,AM$1,0)*15,0),IFERROR(VLOOKUP($D:$D,Structure!$A:$AJ,AM$1,0)*15,0),IFERROR(VLOOKUP($E:$E,Structure!$A:$AJ,AM$1,0)*15,0))</f>
        <v>0</v>
      </c>
      <c r="AN155" s="13">
        <f>SUM(IFERROR(VLOOKUP($C:$C,Structure!$A:$AJ,AN$1,0)*15,0),IFERROR(VLOOKUP($D:$D,Structure!$A:$AJ,AN$1,0)*15,0),IFERROR(VLOOKUP($E:$E,Structure!$A:$AJ,AN$1,0)*15,0))</f>
        <v>0</v>
      </c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3"/>
      <c r="BZ155" s="4">
        <f>BZ154+AQ155-F155</f>
        <v>0</v>
      </c>
      <c r="CA155" s="4">
        <f>CA154+AR155-G155</f>
        <v>0</v>
      </c>
      <c r="CB155" s="4">
        <f>CB154+AS155-H155</f>
        <v>0</v>
      </c>
      <c r="CC155" s="4">
        <f>CC154+AT155-I155</f>
        <v>0</v>
      </c>
      <c r="CD155" s="4">
        <f>CD154+AU155-J155</f>
        <v>0</v>
      </c>
      <c r="CE155" s="4">
        <f>CE154+AV155-K155</f>
        <v>0</v>
      </c>
      <c r="CF155" s="4">
        <f>CF154+AW155-L155</f>
        <v>0</v>
      </c>
      <c r="CG155" s="4">
        <f>CG154+AX155-M155</f>
        <v>0</v>
      </c>
      <c r="CH155" s="4">
        <f>CH154+AY155-N155</f>
        <v>0</v>
      </c>
      <c r="CI155" s="4">
        <f>CI154+AZ155-O155</f>
        <v>0</v>
      </c>
      <c r="CJ155" s="4">
        <f>CJ154+BA155-P155</f>
        <v>0</v>
      </c>
      <c r="CK155" s="4">
        <f>CK154+BB155-Q155</f>
        <v>0</v>
      </c>
      <c r="CL155" s="4">
        <f>CL154+BC155-R155</f>
        <v>0</v>
      </c>
      <c r="CM155" s="4">
        <f>CM154+BD155-S155</f>
        <v>0</v>
      </c>
      <c r="CN155" s="4">
        <f>CN154+BE155-T155</f>
        <v>0</v>
      </c>
      <c r="CO155" s="4">
        <f>CO154+BF155-U155</f>
        <v>0</v>
      </c>
      <c r="CP155" s="4">
        <f>CP154+BG155-V155</f>
        <v>-60</v>
      </c>
      <c r="CQ155" s="4">
        <f>CQ154+BH155-W155</f>
        <v>0</v>
      </c>
      <c r="CR155" s="4">
        <f>CR154+BI155-X155</f>
        <v>-60</v>
      </c>
      <c r="CS155" s="4">
        <f>CS154+BJ155-Y155</f>
        <v>0</v>
      </c>
      <c r="CT155" s="4">
        <f>CT154+BK155-Z155</f>
        <v>0</v>
      </c>
      <c r="CU155" s="4">
        <f>CU154+BL155-AA155</f>
        <v>-6170</v>
      </c>
      <c r="CV155" s="4">
        <f>CV154+BM155-AB155</f>
        <v>-240</v>
      </c>
      <c r="CW155" s="4">
        <f>CW154+BN155-AC155</f>
        <v>-255</v>
      </c>
      <c r="CX155" s="4">
        <f>CX154+BO155-AD155</f>
        <v>0</v>
      </c>
      <c r="CY155" s="4">
        <f>CY154+BP155-AE155</f>
        <v>-60</v>
      </c>
      <c r="CZ155" s="4">
        <f>CZ154+BQ155-AF155</f>
        <v>-160</v>
      </c>
      <c r="DA155" s="4">
        <f>DA154+BR155-AG155</f>
        <v>0</v>
      </c>
      <c r="DB155" s="4">
        <f>DB154+BS155-AH155</f>
        <v>-60</v>
      </c>
      <c r="DC155" s="4">
        <f>DC154+BT155-AI155</f>
        <v>0</v>
      </c>
      <c r="DD155" s="4">
        <f>DD154+BU155-AJ155</f>
        <v>-4810</v>
      </c>
      <c r="DE155" s="4">
        <f>DE154+BV155-AK155</f>
        <v>-1380</v>
      </c>
      <c r="DF155" s="4">
        <f>DF154+BW155-AL155</f>
        <v>0</v>
      </c>
      <c r="DG155" s="4">
        <f>DG154+BX155-AM155</f>
        <v>-235</v>
      </c>
      <c r="DH155" s="4">
        <f>DH154+BY155-AN155</f>
        <v>0</v>
      </c>
    </row>
    <row r="156" spans="1:112" x14ac:dyDescent="0.25">
      <c r="A156" s="6">
        <v>46185</v>
      </c>
      <c r="B156" s="7">
        <v>0.70833333296468481</v>
      </c>
      <c r="C156" s="3" t="s">
        <v>2</v>
      </c>
      <c r="D156" s="3" t="s">
        <v>6</v>
      </c>
      <c r="E156" s="3" t="s">
        <v>2</v>
      </c>
      <c r="F156" s="13">
        <f>SUM(IFERROR(VLOOKUP($C:$C,Structure!$A:$AJ,F$1,0)*15,0),IFERROR(VLOOKUP($D:$D,Structure!$A:$AJ,F$1,0)*15,0),IFERROR(VLOOKUP($E:$E,Structure!$A:$AJ,F$1,0)*15,0))</f>
        <v>0</v>
      </c>
      <c r="G156" s="13">
        <f>SUM(IFERROR(VLOOKUP($C:$C,Structure!$A:$AJ,G$1,0)*15,0),IFERROR(VLOOKUP($D:$D,Structure!$A:$AJ,G$1,0)*15,0),IFERROR(VLOOKUP($E:$E,Structure!$A:$AJ,G$1,0)*15,0))</f>
        <v>0</v>
      </c>
      <c r="H156" s="13">
        <f>SUM(IFERROR(VLOOKUP($C:$C,Structure!$A:$AJ,H$1,0)*15,0),IFERROR(VLOOKUP($D:$D,Structure!$A:$AJ,H$1,0)*15,0),IFERROR(VLOOKUP($E:$E,Structure!$A:$AJ,H$1,0)*15,0))</f>
        <v>0</v>
      </c>
      <c r="I156" s="13">
        <f>SUM(IFERROR(VLOOKUP($C:$C,Structure!$A:$AJ,I$1,0)*15,0),IFERROR(VLOOKUP($D:$D,Structure!$A:$AJ,I$1,0)*15,0),IFERROR(VLOOKUP($E:$E,Structure!$A:$AJ,I$1,0)*15,0))</f>
        <v>0</v>
      </c>
      <c r="J156" s="13">
        <f>SUM(IFERROR(VLOOKUP($C:$C,Structure!$A:$AJ,J$1,0)*15,0),IFERROR(VLOOKUP($D:$D,Structure!$A:$AJ,J$1,0)*15,0),IFERROR(VLOOKUP($E:$E,Structure!$A:$AJ,J$1,0)*15,0))</f>
        <v>0</v>
      </c>
      <c r="K156" s="13">
        <f>SUM(IFERROR(VLOOKUP($C:$C,Structure!$A:$AJ,K$1,0)*15,0),IFERROR(VLOOKUP($D:$D,Structure!$A:$AJ,K$1,0)*15,0),IFERROR(VLOOKUP($E:$E,Structure!$A:$AJ,K$1,0)*15,0))</f>
        <v>0</v>
      </c>
      <c r="L156" s="13">
        <f>SUM(IFERROR(VLOOKUP($C:$C,Structure!$A:$AJ,L$1,0)*15,0),IFERROR(VLOOKUP($D:$D,Structure!$A:$AJ,L$1,0)*15,0),IFERROR(VLOOKUP($E:$E,Structure!$A:$AJ,L$1,0)*15,0))</f>
        <v>0</v>
      </c>
      <c r="M156" s="13">
        <f>SUM(IFERROR(VLOOKUP($C:$C,Structure!$A:$AJ,M$1,0)*15,0),IFERROR(VLOOKUP($D:$D,Structure!$A:$AJ,M$1,0)*15,0),IFERROR(VLOOKUP($E:$E,Structure!$A:$AJ,M$1,0)*15,0))</f>
        <v>0</v>
      </c>
      <c r="N156" s="13">
        <f>SUM(IFERROR(VLOOKUP($C:$C,Structure!$A:$AJ,N$1,0)*15,0),IFERROR(VLOOKUP($D:$D,Structure!$A:$AJ,N$1,0)*15,0),IFERROR(VLOOKUP($E:$E,Structure!$A:$AJ,N$1,0)*15,0))</f>
        <v>0</v>
      </c>
      <c r="O156" s="13">
        <f>SUM(IFERROR(VLOOKUP($C:$C,Structure!$A:$AJ,O$1,0)*15,0),IFERROR(VLOOKUP($D:$D,Structure!$A:$AJ,O$1,0)*15,0),IFERROR(VLOOKUP($E:$E,Structure!$A:$AJ,O$1,0)*15,0))</f>
        <v>0</v>
      </c>
      <c r="P156" s="13">
        <f>SUM(IFERROR(VLOOKUP($C:$C,Structure!$A:$AJ,P$1,0)*15,0),IFERROR(VLOOKUP($D:$D,Structure!$A:$AJ,P$1,0)*15,0),IFERROR(VLOOKUP($E:$E,Structure!$A:$AJ,P$1,0)*15,0))</f>
        <v>0</v>
      </c>
      <c r="Q156" s="13">
        <f>SUM(IFERROR(VLOOKUP($C:$C,Structure!$A:$AJ,Q$1,0)*15,0),IFERROR(VLOOKUP($D:$D,Structure!$A:$AJ,Q$1,0)*15,0),IFERROR(VLOOKUP($E:$E,Structure!$A:$AJ,Q$1,0)*15,0))</f>
        <v>0</v>
      </c>
      <c r="R156" s="13">
        <f>SUM(IFERROR(VLOOKUP($C:$C,Structure!$A:$AJ,R$1,0)*15,0),IFERROR(VLOOKUP($D:$D,Structure!$A:$AJ,R$1,0)*15,0),IFERROR(VLOOKUP($E:$E,Structure!$A:$AJ,R$1,0)*15,0))</f>
        <v>0</v>
      </c>
      <c r="S156" s="13">
        <f>SUM(IFERROR(VLOOKUP($C:$C,Structure!$A:$AJ,S$1,0)*15,0),IFERROR(VLOOKUP($D:$D,Structure!$A:$AJ,S$1,0)*15,0),IFERROR(VLOOKUP($E:$E,Structure!$A:$AJ,S$1,0)*15,0))</f>
        <v>0</v>
      </c>
      <c r="T156" s="13">
        <f>SUM(IFERROR(VLOOKUP($C:$C,Structure!$A:$AJ,T$1,0)*15,0),IFERROR(VLOOKUP($D:$D,Structure!$A:$AJ,T$1,0)*15,0),IFERROR(VLOOKUP($E:$E,Structure!$A:$AJ,T$1,0)*15,0))</f>
        <v>0</v>
      </c>
      <c r="U156" s="13">
        <f>SUM(IFERROR(VLOOKUP($C:$C,Structure!$A:$AJ,U$1,0)*15,0),IFERROR(VLOOKUP($D:$D,Structure!$A:$AJ,U$1,0)*15,0),IFERROR(VLOOKUP($E:$E,Structure!$A:$AJ,U$1,0)*15,0))</f>
        <v>0</v>
      </c>
      <c r="V156" s="13">
        <f>SUM(IFERROR(VLOOKUP($C:$C,Structure!$A:$AJ,V$1,0)*15,0),IFERROR(VLOOKUP($D:$D,Structure!$A:$AJ,V$1,0)*15,0),IFERROR(VLOOKUP($E:$E,Structure!$A:$AJ,V$1,0)*15,0))</f>
        <v>0</v>
      </c>
      <c r="W156" s="13">
        <f>SUM(IFERROR(VLOOKUP($C:$C,Structure!$A:$AJ,W$1,0)*15,0),IFERROR(VLOOKUP($D:$D,Structure!$A:$AJ,W$1,0)*15,0),IFERROR(VLOOKUP($E:$E,Structure!$A:$AJ,W$1,0)*15,0))</f>
        <v>0</v>
      </c>
      <c r="X156" s="13">
        <f>SUM(IFERROR(VLOOKUP($C:$C,Structure!$A:$AJ,X$1,0)*15,0),IFERROR(VLOOKUP($D:$D,Structure!$A:$AJ,X$1,0)*15,0),IFERROR(VLOOKUP($E:$E,Structure!$A:$AJ,X$1,0)*15,0))</f>
        <v>0</v>
      </c>
      <c r="Y156" s="13">
        <f>SUM(IFERROR(VLOOKUP($C:$C,Structure!$A:$AJ,Y$1,0)*15,0),IFERROR(VLOOKUP($D:$D,Structure!$A:$AJ,Y$1,0)*15,0),IFERROR(VLOOKUP($E:$E,Structure!$A:$AJ,Y$1,0)*15,0))</f>
        <v>0</v>
      </c>
      <c r="Z156" s="13">
        <f>SUM(IFERROR(VLOOKUP($C:$C,Structure!$A:$AJ,Z$1,0)*15,0),IFERROR(VLOOKUP($D:$D,Structure!$A:$AJ,Z$1,0)*15,0),IFERROR(VLOOKUP($E:$E,Structure!$A:$AJ,Z$1,0)*15,0))</f>
        <v>0</v>
      </c>
      <c r="AA156" s="13">
        <f>SUM(IFERROR(VLOOKUP($C:$C,Structure!$A:$AJ,AA$1,0)*15,0),IFERROR(VLOOKUP($D:$D,Structure!$A:$AJ,AA$1,0)*15,0),IFERROR(VLOOKUP($E:$E,Structure!$A:$AJ,AA$1,0)*15,0))</f>
        <v>45</v>
      </c>
      <c r="AB156" s="13">
        <f>SUM(IFERROR(VLOOKUP($C:$C,Structure!$A:$AJ,AB$1,0)*15,0),IFERROR(VLOOKUP($D:$D,Structure!$A:$AJ,AB$1,0)*15,0),IFERROR(VLOOKUP($E:$E,Structure!$A:$AJ,AB$1,0)*15,0))</f>
        <v>0</v>
      </c>
      <c r="AC156" s="13">
        <f>SUM(IFERROR(VLOOKUP($C:$C,Structure!$A:$AJ,AC$1,0)*15,0),IFERROR(VLOOKUP($D:$D,Structure!$A:$AJ,AC$1,0)*15,0),IFERROR(VLOOKUP($E:$E,Structure!$A:$AJ,AC$1,0)*15,0))</f>
        <v>0</v>
      </c>
      <c r="AD156" s="13">
        <f>SUM(IFERROR(VLOOKUP($C:$C,Structure!$A:$AJ,AD$1,0)*15,0),IFERROR(VLOOKUP($D:$D,Structure!$A:$AJ,AD$1,0)*15,0),IFERROR(VLOOKUP($E:$E,Structure!$A:$AJ,AD$1,0)*15,0))</f>
        <v>0</v>
      </c>
      <c r="AE156" s="13">
        <f>SUM(IFERROR(VLOOKUP($C:$C,Structure!$A:$AJ,AE$1,0)*15,0),IFERROR(VLOOKUP($D:$D,Structure!$A:$AJ,AE$1,0)*15,0),IFERROR(VLOOKUP($E:$E,Structure!$A:$AJ,AE$1,0)*15,0))</f>
        <v>0</v>
      </c>
      <c r="AF156" s="13">
        <f>SUM(IFERROR(VLOOKUP($C:$C,Structure!$A:$AJ,AF$1,0)*15,0),IFERROR(VLOOKUP($D:$D,Structure!$A:$AJ,AF$1,0)*15,0),IFERROR(VLOOKUP($E:$E,Structure!$A:$AJ,AF$1,0)*15,0))</f>
        <v>0</v>
      </c>
      <c r="AG156" s="13">
        <f>SUM(IFERROR(VLOOKUP($C:$C,Structure!$A:$AJ,AG$1,0)*15,0),IFERROR(VLOOKUP($D:$D,Structure!$A:$AJ,AG$1,0)*15,0),IFERROR(VLOOKUP($E:$E,Structure!$A:$AJ,AG$1,0)*15,0))</f>
        <v>0</v>
      </c>
      <c r="AH156" s="13">
        <f>SUM(IFERROR(VLOOKUP($C:$C,Structure!$A:$AJ,AH$1,0)*15,0),IFERROR(VLOOKUP($D:$D,Structure!$A:$AJ,AH$1,0)*15,0),IFERROR(VLOOKUP($E:$E,Structure!$A:$AJ,AH$1,0)*15,0))</f>
        <v>0</v>
      </c>
      <c r="AI156" s="13">
        <f>SUM(IFERROR(VLOOKUP($C:$C,Structure!$A:$AJ,AI$1,0)*15,0),IFERROR(VLOOKUP($D:$D,Structure!$A:$AJ,AI$1,0)*15,0),IFERROR(VLOOKUP($E:$E,Structure!$A:$AJ,AI$1,0)*15,0))</f>
        <v>0</v>
      </c>
      <c r="AJ156" s="13">
        <f>SUM(IFERROR(VLOOKUP($C:$C,Structure!$A:$AJ,AJ$1,0)*15,0),IFERROR(VLOOKUP($D:$D,Structure!$A:$AJ,AJ$1,0)*15,0),IFERROR(VLOOKUP($E:$E,Structure!$A:$AJ,AJ$1,0)*15,0))</f>
        <v>45</v>
      </c>
      <c r="AK156" s="13">
        <f>SUM(IFERROR(VLOOKUP($C:$C,Structure!$A:$AJ,AK$1,0)*15,0),IFERROR(VLOOKUP($D:$D,Structure!$A:$AJ,AK$1,0)*15,0),IFERROR(VLOOKUP($E:$E,Structure!$A:$AJ,AK$1,0)*15,0))</f>
        <v>0</v>
      </c>
      <c r="AL156" s="13">
        <f>SUM(IFERROR(VLOOKUP($C:$C,Structure!$A:$AJ,AL$1,0)*15,0),IFERROR(VLOOKUP($D:$D,Structure!$A:$AJ,AL$1,0)*15,0),IFERROR(VLOOKUP($E:$E,Structure!$A:$AJ,AL$1,0)*15,0))</f>
        <v>0</v>
      </c>
      <c r="AM156" s="13">
        <f>SUM(IFERROR(VLOOKUP($C:$C,Structure!$A:$AJ,AM$1,0)*15,0),IFERROR(VLOOKUP($D:$D,Structure!$A:$AJ,AM$1,0)*15,0),IFERROR(VLOOKUP($E:$E,Structure!$A:$AJ,AM$1,0)*15,0))</f>
        <v>0</v>
      </c>
      <c r="AN156" s="13">
        <f>SUM(IFERROR(VLOOKUP($C:$C,Structure!$A:$AJ,AN$1,0)*15,0),IFERROR(VLOOKUP($D:$D,Structure!$A:$AJ,AN$1,0)*15,0),IFERROR(VLOOKUP($E:$E,Structure!$A:$AJ,AN$1,0)*15,0))</f>
        <v>0</v>
      </c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3"/>
      <c r="BZ156" s="4">
        <f>BZ155+AQ156-F156</f>
        <v>0</v>
      </c>
      <c r="CA156" s="4">
        <f>CA155+AR156-G156</f>
        <v>0</v>
      </c>
      <c r="CB156" s="4">
        <f>CB155+AS156-H156</f>
        <v>0</v>
      </c>
      <c r="CC156" s="4">
        <f>CC155+AT156-I156</f>
        <v>0</v>
      </c>
      <c r="CD156" s="4">
        <f>CD155+AU156-J156</f>
        <v>0</v>
      </c>
      <c r="CE156" s="4">
        <f>CE155+AV156-K156</f>
        <v>0</v>
      </c>
      <c r="CF156" s="4">
        <f>CF155+AW156-L156</f>
        <v>0</v>
      </c>
      <c r="CG156" s="4">
        <f>CG155+AX156-M156</f>
        <v>0</v>
      </c>
      <c r="CH156" s="4">
        <f>CH155+AY156-N156</f>
        <v>0</v>
      </c>
      <c r="CI156" s="4">
        <f>CI155+AZ156-O156</f>
        <v>0</v>
      </c>
      <c r="CJ156" s="4">
        <f>CJ155+BA156-P156</f>
        <v>0</v>
      </c>
      <c r="CK156" s="4">
        <f>CK155+BB156-Q156</f>
        <v>0</v>
      </c>
      <c r="CL156" s="4">
        <f>CL155+BC156-R156</f>
        <v>0</v>
      </c>
      <c r="CM156" s="4">
        <f>CM155+BD156-S156</f>
        <v>0</v>
      </c>
      <c r="CN156" s="4">
        <f>CN155+BE156-T156</f>
        <v>0</v>
      </c>
      <c r="CO156" s="4">
        <f>CO155+BF156-U156</f>
        <v>0</v>
      </c>
      <c r="CP156" s="4">
        <f>CP155+BG156-V156</f>
        <v>-60</v>
      </c>
      <c r="CQ156" s="4">
        <f>CQ155+BH156-W156</f>
        <v>0</v>
      </c>
      <c r="CR156" s="4">
        <f>CR155+BI156-X156</f>
        <v>-60</v>
      </c>
      <c r="CS156" s="4">
        <f>CS155+BJ156-Y156</f>
        <v>0</v>
      </c>
      <c r="CT156" s="4">
        <f>CT155+BK156-Z156</f>
        <v>0</v>
      </c>
      <c r="CU156" s="4">
        <f>CU155+BL156-AA156</f>
        <v>-6215</v>
      </c>
      <c r="CV156" s="4">
        <f>CV155+BM156-AB156</f>
        <v>-240</v>
      </c>
      <c r="CW156" s="4">
        <f>CW155+BN156-AC156</f>
        <v>-255</v>
      </c>
      <c r="CX156" s="4">
        <f>CX155+BO156-AD156</f>
        <v>0</v>
      </c>
      <c r="CY156" s="4">
        <f>CY155+BP156-AE156</f>
        <v>-60</v>
      </c>
      <c r="CZ156" s="4">
        <f>CZ155+BQ156-AF156</f>
        <v>-160</v>
      </c>
      <c r="DA156" s="4">
        <f>DA155+BR156-AG156</f>
        <v>0</v>
      </c>
      <c r="DB156" s="4">
        <f>DB155+BS156-AH156</f>
        <v>-60</v>
      </c>
      <c r="DC156" s="4">
        <f>DC155+BT156-AI156</f>
        <v>0</v>
      </c>
      <c r="DD156" s="4">
        <f>DD155+BU156-AJ156</f>
        <v>-4855</v>
      </c>
      <c r="DE156" s="4">
        <f>DE155+BV156-AK156</f>
        <v>-1380</v>
      </c>
      <c r="DF156" s="4">
        <f>DF155+BW156-AL156</f>
        <v>0</v>
      </c>
      <c r="DG156" s="4">
        <f>DG155+BX156-AM156</f>
        <v>-235</v>
      </c>
      <c r="DH156" s="4">
        <f>DH155+BY156-AN156</f>
        <v>0</v>
      </c>
    </row>
    <row r="157" spans="1:112" x14ac:dyDescent="0.25">
      <c r="A157" s="6">
        <v>46185</v>
      </c>
      <c r="B157" s="7">
        <v>0.74999999962892616</v>
      </c>
      <c r="C157" s="3" t="s">
        <v>2</v>
      </c>
      <c r="D157" s="3" t="s">
        <v>6</v>
      </c>
      <c r="E157" s="3" t="s">
        <v>2</v>
      </c>
      <c r="F157" s="13">
        <f>SUM(IFERROR(VLOOKUP($C:$C,Structure!$A:$AJ,F$1,0)*15,0),IFERROR(VLOOKUP($D:$D,Structure!$A:$AJ,F$1,0)*15,0),IFERROR(VLOOKUP($E:$E,Structure!$A:$AJ,F$1,0)*15,0))</f>
        <v>0</v>
      </c>
      <c r="G157" s="13">
        <f>SUM(IFERROR(VLOOKUP($C:$C,Structure!$A:$AJ,G$1,0)*15,0),IFERROR(VLOOKUP($D:$D,Structure!$A:$AJ,G$1,0)*15,0),IFERROR(VLOOKUP($E:$E,Structure!$A:$AJ,G$1,0)*15,0))</f>
        <v>0</v>
      </c>
      <c r="H157" s="13">
        <f>SUM(IFERROR(VLOOKUP($C:$C,Structure!$A:$AJ,H$1,0)*15,0),IFERROR(VLOOKUP($D:$D,Structure!$A:$AJ,H$1,0)*15,0),IFERROR(VLOOKUP($E:$E,Structure!$A:$AJ,H$1,0)*15,0))</f>
        <v>0</v>
      </c>
      <c r="I157" s="13">
        <f>SUM(IFERROR(VLOOKUP($C:$C,Structure!$A:$AJ,I$1,0)*15,0),IFERROR(VLOOKUP($D:$D,Structure!$A:$AJ,I$1,0)*15,0),IFERROR(VLOOKUP($E:$E,Structure!$A:$AJ,I$1,0)*15,0))</f>
        <v>0</v>
      </c>
      <c r="J157" s="13">
        <f>SUM(IFERROR(VLOOKUP($C:$C,Structure!$A:$AJ,J$1,0)*15,0),IFERROR(VLOOKUP($D:$D,Structure!$A:$AJ,J$1,0)*15,0),IFERROR(VLOOKUP($E:$E,Structure!$A:$AJ,J$1,0)*15,0))</f>
        <v>0</v>
      </c>
      <c r="K157" s="13">
        <f>SUM(IFERROR(VLOOKUP($C:$C,Structure!$A:$AJ,K$1,0)*15,0),IFERROR(VLOOKUP($D:$D,Structure!$A:$AJ,K$1,0)*15,0),IFERROR(VLOOKUP($E:$E,Structure!$A:$AJ,K$1,0)*15,0))</f>
        <v>0</v>
      </c>
      <c r="L157" s="13">
        <f>SUM(IFERROR(VLOOKUP($C:$C,Structure!$A:$AJ,L$1,0)*15,0),IFERROR(VLOOKUP($D:$D,Structure!$A:$AJ,L$1,0)*15,0),IFERROR(VLOOKUP($E:$E,Structure!$A:$AJ,L$1,0)*15,0))</f>
        <v>0</v>
      </c>
      <c r="M157" s="13">
        <f>SUM(IFERROR(VLOOKUP($C:$C,Structure!$A:$AJ,M$1,0)*15,0),IFERROR(VLOOKUP($D:$D,Structure!$A:$AJ,M$1,0)*15,0),IFERROR(VLOOKUP($E:$E,Structure!$A:$AJ,M$1,0)*15,0))</f>
        <v>0</v>
      </c>
      <c r="N157" s="13">
        <f>SUM(IFERROR(VLOOKUP($C:$C,Structure!$A:$AJ,N$1,0)*15,0),IFERROR(VLOOKUP($D:$D,Structure!$A:$AJ,N$1,0)*15,0),IFERROR(VLOOKUP($E:$E,Structure!$A:$AJ,N$1,0)*15,0))</f>
        <v>0</v>
      </c>
      <c r="O157" s="13">
        <f>SUM(IFERROR(VLOOKUP($C:$C,Structure!$A:$AJ,O$1,0)*15,0),IFERROR(VLOOKUP($D:$D,Structure!$A:$AJ,O$1,0)*15,0),IFERROR(VLOOKUP($E:$E,Structure!$A:$AJ,O$1,0)*15,0))</f>
        <v>0</v>
      </c>
      <c r="P157" s="13">
        <f>SUM(IFERROR(VLOOKUP($C:$C,Structure!$A:$AJ,P$1,0)*15,0),IFERROR(VLOOKUP($D:$D,Structure!$A:$AJ,P$1,0)*15,0),IFERROR(VLOOKUP($E:$E,Structure!$A:$AJ,P$1,0)*15,0))</f>
        <v>0</v>
      </c>
      <c r="Q157" s="13">
        <f>SUM(IFERROR(VLOOKUP($C:$C,Structure!$A:$AJ,Q$1,0)*15,0),IFERROR(VLOOKUP($D:$D,Structure!$A:$AJ,Q$1,0)*15,0),IFERROR(VLOOKUP($E:$E,Structure!$A:$AJ,Q$1,0)*15,0))</f>
        <v>0</v>
      </c>
      <c r="R157" s="13">
        <f>SUM(IFERROR(VLOOKUP($C:$C,Structure!$A:$AJ,R$1,0)*15,0),IFERROR(VLOOKUP($D:$D,Structure!$A:$AJ,R$1,0)*15,0),IFERROR(VLOOKUP($E:$E,Structure!$A:$AJ,R$1,0)*15,0))</f>
        <v>0</v>
      </c>
      <c r="S157" s="13">
        <f>SUM(IFERROR(VLOOKUP($C:$C,Structure!$A:$AJ,S$1,0)*15,0),IFERROR(VLOOKUP($D:$D,Structure!$A:$AJ,S$1,0)*15,0),IFERROR(VLOOKUP($E:$E,Structure!$A:$AJ,S$1,0)*15,0))</f>
        <v>0</v>
      </c>
      <c r="T157" s="13">
        <f>SUM(IFERROR(VLOOKUP($C:$C,Structure!$A:$AJ,T$1,0)*15,0),IFERROR(VLOOKUP($D:$D,Structure!$A:$AJ,T$1,0)*15,0),IFERROR(VLOOKUP($E:$E,Structure!$A:$AJ,T$1,0)*15,0))</f>
        <v>0</v>
      </c>
      <c r="U157" s="13">
        <f>SUM(IFERROR(VLOOKUP($C:$C,Structure!$A:$AJ,U$1,0)*15,0),IFERROR(VLOOKUP($D:$D,Structure!$A:$AJ,U$1,0)*15,0),IFERROR(VLOOKUP($E:$E,Structure!$A:$AJ,U$1,0)*15,0))</f>
        <v>0</v>
      </c>
      <c r="V157" s="13">
        <f>SUM(IFERROR(VLOOKUP($C:$C,Structure!$A:$AJ,V$1,0)*15,0),IFERROR(VLOOKUP($D:$D,Structure!$A:$AJ,V$1,0)*15,0),IFERROR(VLOOKUP($E:$E,Structure!$A:$AJ,V$1,0)*15,0))</f>
        <v>0</v>
      </c>
      <c r="W157" s="13">
        <f>SUM(IFERROR(VLOOKUP($C:$C,Structure!$A:$AJ,W$1,0)*15,0),IFERROR(VLOOKUP($D:$D,Structure!$A:$AJ,W$1,0)*15,0),IFERROR(VLOOKUP($E:$E,Structure!$A:$AJ,W$1,0)*15,0))</f>
        <v>0</v>
      </c>
      <c r="X157" s="13">
        <f>SUM(IFERROR(VLOOKUP($C:$C,Structure!$A:$AJ,X$1,0)*15,0),IFERROR(VLOOKUP($D:$D,Structure!$A:$AJ,X$1,0)*15,0),IFERROR(VLOOKUP($E:$E,Structure!$A:$AJ,X$1,0)*15,0))</f>
        <v>0</v>
      </c>
      <c r="Y157" s="13">
        <f>SUM(IFERROR(VLOOKUP($C:$C,Structure!$A:$AJ,Y$1,0)*15,0),IFERROR(VLOOKUP($D:$D,Structure!$A:$AJ,Y$1,0)*15,0),IFERROR(VLOOKUP($E:$E,Structure!$A:$AJ,Y$1,0)*15,0))</f>
        <v>0</v>
      </c>
      <c r="Z157" s="13">
        <f>SUM(IFERROR(VLOOKUP($C:$C,Structure!$A:$AJ,Z$1,0)*15,0),IFERROR(VLOOKUP($D:$D,Structure!$A:$AJ,Z$1,0)*15,0),IFERROR(VLOOKUP($E:$E,Structure!$A:$AJ,Z$1,0)*15,0))</f>
        <v>0</v>
      </c>
      <c r="AA157" s="13">
        <f>SUM(IFERROR(VLOOKUP($C:$C,Structure!$A:$AJ,AA$1,0)*15,0),IFERROR(VLOOKUP($D:$D,Structure!$A:$AJ,AA$1,0)*15,0),IFERROR(VLOOKUP($E:$E,Structure!$A:$AJ,AA$1,0)*15,0))</f>
        <v>45</v>
      </c>
      <c r="AB157" s="13">
        <f>SUM(IFERROR(VLOOKUP($C:$C,Structure!$A:$AJ,AB$1,0)*15,0),IFERROR(VLOOKUP($D:$D,Structure!$A:$AJ,AB$1,0)*15,0),IFERROR(VLOOKUP($E:$E,Structure!$A:$AJ,AB$1,0)*15,0))</f>
        <v>0</v>
      </c>
      <c r="AC157" s="13">
        <f>SUM(IFERROR(VLOOKUP($C:$C,Structure!$A:$AJ,AC$1,0)*15,0),IFERROR(VLOOKUP($D:$D,Structure!$A:$AJ,AC$1,0)*15,0),IFERROR(VLOOKUP($E:$E,Structure!$A:$AJ,AC$1,0)*15,0))</f>
        <v>0</v>
      </c>
      <c r="AD157" s="13">
        <f>SUM(IFERROR(VLOOKUP($C:$C,Structure!$A:$AJ,AD$1,0)*15,0),IFERROR(VLOOKUP($D:$D,Structure!$A:$AJ,AD$1,0)*15,0),IFERROR(VLOOKUP($E:$E,Structure!$A:$AJ,AD$1,0)*15,0))</f>
        <v>0</v>
      </c>
      <c r="AE157" s="13">
        <f>SUM(IFERROR(VLOOKUP($C:$C,Structure!$A:$AJ,AE$1,0)*15,0),IFERROR(VLOOKUP($D:$D,Structure!$A:$AJ,AE$1,0)*15,0),IFERROR(VLOOKUP($E:$E,Structure!$A:$AJ,AE$1,0)*15,0))</f>
        <v>0</v>
      </c>
      <c r="AF157" s="13">
        <f>SUM(IFERROR(VLOOKUP($C:$C,Structure!$A:$AJ,AF$1,0)*15,0),IFERROR(VLOOKUP($D:$D,Structure!$A:$AJ,AF$1,0)*15,0),IFERROR(VLOOKUP($E:$E,Structure!$A:$AJ,AF$1,0)*15,0))</f>
        <v>0</v>
      </c>
      <c r="AG157" s="13">
        <f>SUM(IFERROR(VLOOKUP($C:$C,Structure!$A:$AJ,AG$1,0)*15,0),IFERROR(VLOOKUP($D:$D,Structure!$A:$AJ,AG$1,0)*15,0),IFERROR(VLOOKUP($E:$E,Structure!$A:$AJ,AG$1,0)*15,0))</f>
        <v>0</v>
      </c>
      <c r="AH157" s="13">
        <f>SUM(IFERROR(VLOOKUP($C:$C,Structure!$A:$AJ,AH$1,0)*15,0),IFERROR(VLOOKUP($D:$D,Structure!$A:$AJ,AH$1,0)*15,0),IFERROR(VLOOKUP($E:$E,Structure!$A:$AJ,AH$1,0)*15,0))</f>
        <v>0</v>
      </c>
      <c r="AI157" s="13">
        <f>SUM(IFERROR(VLOOKUP($C:$C,Structure!$A:$AJ,AI$1,0)*15,0),IFERROR(VLOOKUP($D:$D,Structure!$A:$AJ,AI$1,0)*15,0),IFERROR(VLOOKUP($E:$E,Structure!$A:$AJ,AI$1,0)*15,0))</f>
        <v>0</v>
      </c>
      <c r="AJ157" s="13">
        <f>SUM(IFERROR(VLOOKUP($C:$C,Structure!$A:$AJ,AJ$1,0)*15,0),IFERROR(VLOOKUP($D:$D,Structure!$A:$AJ,AJ$1,0)*15,0),IFERROR(VLOOKUP($E:$E,Structure!$A:$AJ,AJ$1,0)*15,0))</f>
        <v>45</v>
      </c>
      <c r="AK157" s="13">
        <f>SUM(IFERROR(VLOOKUP($C:$C,Structure!$A:$AJ,AK$1,0)*15,0),IFERROR(VLOOKUP($D:$D,Structure!$A:$AJ,AK$1,0)*15,0),IFERROR(VLOOKUP($E:$E,Structure!$A:$AJ,AK$1,0)*15,0))</f>
        <v>0</v>
      </c>
      <c r="AL157" s="13">
        <f>SUM(IFERROR(VLOOKUP($C:$C,Structure!$A:$AJ,AL$1,0)*15,0),IFERROR(VLOOKUP($D:$D,Structure!$A:$AJ,AL$1,0)*15,0),IFERROR(VLOOKUP($E:$E,Structure!$A:$AJ,AL$1,0)*15,0))</f>
        <v>0</v>
      </c>
      <c r="AM157" s="13">
        <f>SUM(IFERROR(VLOOKUP($C:$C,Structure!$A:$AJ,AM$1,0)*15,0),IFERROR(VLOOKUP($D:$D,Structure!$A:$AJ,AM$1,0)*15,0),IFERROR(VLOOKUP($E:$E,Structure!$A:$AJ,AM$1,0)*15,0))</f>
        <v>0</v>
      </c>
      <c r="AN157" s="13">
        <f>SUM(IFERROR(VLOOKUP($C:$C,Structure!$A:$AJ,AN$1,0)*15,0),IFERROR(VLOOKUP($D:$D,Structure!$A:$AJ,AN$1,0)*15,0),IFERROR(VLOOKUP($E:$E,Structure!$A:$AJ,AN$1,0)*15,0))</f>
        <v>0</v>
      </c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3"/>
      <c r="BZ157" s="4">
        <f>BZ156+AQ157-F157</f>
        <v>0</v>
      </c>
      <c r="CA157" s="4">
        <f>CA156+AR157-G157</f>
        <v>0</v>
      </c>
      <c r="CB157" s="4">
        <f>CB156+AS157-H157</f>
        <v>0</v>
      </c>
      <c r="CC157" s="4">
        <f>CC156+AT157-I157</f>
        <v>0</v>
      </c>
      <c r="CD157" s="4">
        <f>CD156+AU157-J157</f>
        <v>0</v>
      </c>
      <c r="CE157" s="4">
        <f>CE156+AV157-K157</f>
        <v>0</v>
      </c>
      <c r="CF157" s="4">
        <f>CF156+AW157-L157</f>
        <v>0</v>
      </c>
      <c r="CG157" s="4">
        <f>CG156+AX157-M157</f>
        <v>0</v>
      </c>
      <c r="CH157" s="4">
        <f>CH156+AY157-N157</f>
        <v>0</v>
      </c>
      <c r="CI157" s="4">
        <f>CI156+AZ157-O157</f>
        <v>0</v>
      </c>
      <c r="CJ157" s="4">
        <f>CJ156+BA157-P157</f>
        <v>0</v>
      </c>
      <c r="CK157" s="4">
        <f>CK156+BB157-Q157</f>
        <v>0</v>
      </c>
      <c r="CL157" s="4">
        <f>CL156+BC157-R157</f>
        <v>0</v>
      </c>
      <c r="CM157" s="4">
        <f>CM156+BD157-S157</f>
        <v>0</v>
      </c>
      <c r="CN157" s="4">
        <f>CN156+BE157-T157</f>
        <v>0</v>
      </c>
      <c r="CO157" s="4">
        <f>CO156+BF157-U157</f>
        <v>0</v>
      </c>
      <c r="CP157" s="4">
        <f>CP156+BG157-V157</f>
        <v>-60</v>
      </c>
      <c r="CQ157" s="4">
        <f>CQ156+BH157-W157</f>
        <v>0</v>
      </c>
      <c r="CR157" s="4">
        <f>CR156+BI157-X157</f>
        <v>-60</v>
      </c>
      <c r="CS157" s="4">
        <f>CS156+BJ157-Y157</f>
        <v>0</v>
      </c>
      <c r="CT157" s="4">
        <f>CT156+BK157-Z157</f>
        <v>0</v>
      </c>
      <c r="CU157" s="4">
        <f>CU156+BL157-AA157</f>
        <v>-6260</v>
      </c>
      <c r="CV157" s="4">
        <f>CV156+BM157-AB157</f>
        <v>-240</v>
      </c>
      <c r="CW157" s="4">
        <f>CW156+BN157-AC157</f>
        <v>-255</v>
      </c>
      <c r="CX157" s="4">
        <f>CX156+BO157-AD157</f>
        <v>0</v>
      </c>
      <c r="CY157" s="4">
        <f>CY156+BP157-AE157</f>
        <v>-60</v>
      </c>
      <c r="CZ157" s="4">
        <f>CZ156+BQ157-AF157</f>
        <v>-160</v>
      </c>
      <c r="DA157" s="4">
        <f>DA156+BR157-AG157</f>
        <v>0</v>
      </c>
      <c r="DB157" s="4">
        <f>DB156+BS157-AH157</f>
        <v>-60</v>
      </c>
      <c r="DC157" s="4">
        <f>DC156+BT157-AI157</f>
        <v>0</v>
      </c>
      <c r="DD157" s="4">
        <f>DD156+BU157-AJ157</f>
        <v>-4900</v>
      </c>
      <c r="DE157" s="4">
        <f>DE156+BV157-AK157</f>
        <v>-1380</v>
      </c>
      <c r="DF157" s="4">
        <f>DF156+BW157-AL157</f>
        <v>0</v>
      </c>
      <c r="DG157" s="4">
        <f>DG156+BX157-AM157</f>
        <v>-235</v>
      </c>
      <c r="DH157" s="4">
        <f>DH156+BY157-AN157</f>
        <v>0</v>
      </c>
    </row>
    <row r="158" spans="1:112" x14ac:dyDescent="0.25">
      <c r="A158" s="6">
        <v>46185</v>
      </c>
      <c r="B158" s="7">
        <v>0.79166666629316751</v>
      </c>
      <c r="C158" s="3" t="s">
        <v>2</v>
      </c>
      <c r="D158" s="3" t="s">
        <v>6</v>
      </c>
      <c r="E158" s="3" t="s">
        <v>2</v>
      </c>
      <c r="F158" s="13">
        <f>SUM(IFERROR(VLOOKUP($C:$C,Structure!$A:$AJ,F$1,0)*15,0),IFERROR(VLOOKUP($D:$D,Structure!$A:$AJ,F$1,0)*15,0),IFERROR(VLOOKUP($E:$E,Structure!$A:$AJ,F$1,0)*15,0))</f>
        <v>0</v>
      </c>
      <c r="G158" s="13">
        <f>SUM(IFERROR(VLOOKUP($C:$C,Structure!$A:$AJ,G$1,0)*15,0),IFERROR(VLOOKUP($D:$D,Structure!$A:$AJ,G$1,0)*15,0),IFERROR(VLOOKUP($E:$E,Structure!$A:$AJ,G$1,0)*15,0))</f>
        <v>0</v>
      </c>
      <c r="H158" s="13">
        <f>SUM(IFERROR(VLOOKUP($C:$C,Structure!$A:$AJ,H$1,0)*15,0),IFERROR(VLOOKUP($D:$D,Structure!$A:$AJ,H$1,0)*15,0),IFERROR(VLOOKUP($E:$E,Structure!$A:$AJ,H$1,0)*15,0))</f>
        <v>0</v>
      </c>
      <c r="I158" s="13">
        <f>SUM(IFERROR(VLOOKUP($C:$C,Structure!$A:$AJ,I$1,0)*15,0),IFERROR(VLOOKUP($D:$D,Structure!$A:$AJ,I$1,0)*15,0),IFERROR(VLOOKUP($E:$E,Structure!$A:$AJ,I$1,0)*15,0))</f>
        <v>0</v>
      </c>
      <c r="J158" s="13">
        <f>SUM(IFERROR(VLOOKUP($C:$C,Structure!$A:$AJ,J$1,0)*15,0),IFERROR(VLOOKUP($D:$D,Structure!$A:$AJ,J$1,0)*15,0),IFERROR(VLOOKUP($E:$E,Structure!$A:$AJ,J$1,0)*15,0))</f>
        <v>0</v>
      </c>
      <c r="K158" s="13">
        <f>SUM(IFERROR(VLOOKUP($C:$C,Structure!$A:$AJ,K$1,0)*15,0),IFERROR(VLOOKUP($D:$D,Structure!$A:$AJ,K$1,0)*15,0),IFERROR(VLOOKUP($E:$E,Structure!$A:$AJ,K$1,0)*15,0))</f>
        <v>0</v>
      </c>
      <c r="L158" s="13">
        <f>SUM(IFERROR(VLOOKUP($C:$C,Structure!$A:$AJ,L$1,0)*15,0),IFERROR(VLOOKUP($D:$D,Structure!$A:$AJ,L$1,0)*15,0),IFERROR(VLOOKUP($E:$E,Structure!$A:$AJ,L$1,0)*15,0))</f>
        <v>0</v>
      </c>
      <c r="M158" s="13">
        <f>SUM(IFERROR(VLOOKUP($C:$C,Structure!$A:$AJ,M$1,0)*15,0),IFERROR(VLOOKUP($D:$D,Structure!$A:$AJ,M$1,0)*15,0),IFERROR(VLOOKUP($E:$E,Structure!$A:$AJ,M$1,0)*15,0))</f>
        <v>0</v>
      </c>
      <c r="N158" s="13">
        <f>SUM(IFERROR(VLOOKUP($C:$C,Structure!$A:$AJ,N$1,0)*15,0),IFERROR(VLOOKUP($D:$D,Structure!$A:$AJ,N$1,0)*15,0),IFERROR(VLOOKUP($E:$E,Structure!$A:$AJ,N$1,0)*15,0))</f>
        <v>0</v>
      </c>
      <c r="O158" s="13">
        <f>SUM(IFERROR(VLOOKUP($C:$C,Structure!$A:$AJ,O$1,0)*15,0),IFERROR(VLOOKUP($D:$D,Structure!$A:$AJ,O$1,0)*15,0),IFERROR(VLOOKUP($E:$E,Structure!$A:$AJ,O$1,0)*15,0))</f>
        <v>0</v>
      </c>
      <c r="P158" s="13">
        <f>SUM(IFERROR(VLOOKUP($C:$C,Structure!$A:$AJ,P$1,0)*15,0),IFERROR(VLOOKUP($D:$D,Structure!$A:$AJ,P$1,0)*15,0),IFERROR(VLOOKUP($E:$E,Structure!$A:$AJ,P$1,0)*15,0))</f>
        <v>0</v>
      </c>
      <c r="Q158" s="13">
        <f>SUM(IFERROR(VLOOKUP($C:$C,Structure!$A:$AJ,Q$1,0)*15,0),IFERROR(VLOOKUP($D:$D,Structure!$A:$AJ,Q$1,0)*15,0),IFERROR(VLOOKUP($E:$E,Structure!$A:$AJ,Q$1,0)*15,0))</f>
        <v>0</v>
      </c>
      <c r="R158" s="13">
        <f>SUM(IFERROR(VLOOKUP($C:$C,Structure!$A:$AJ,R$1,0)*15,0),IFERROR(VLOOKUP($D:$D,Structure!$A:$AJ,R$1,0)*15,0),IFERROR(VLOOKUP($E:$E,Structure!$A:$AJ,R$1,0)*15,0))</f>
        <v>0</v>
      </c>
      <c r="S158" s="13">
        <f>SUM(IFERROR(VLOOKUP($C:$C,Structure!$A:$AJ,S$1,0)*15,0),IFERROR(VLOOKUP($D:$D,Structure!$A:$AJ,S$1,0)*15,0),IFERROR(VLOOKUP($E:$E,Structure!$A:$AJ,S$1,0)*15,0))</f>
        <v>0</v>
      </c>
      <c r="T158" s="13">
        <f>SUM(IFERROR(VLOOKUP($C:$C,Structure!$A:$AJ,T$1,0)*15,0),IFERROR(VLOOKUP($D:$D,Structure!$A:$AJ,T$1,0)*15,0),IFERROR(VLOOKUP($E:$E,Structure!$A:$AJ,T$1,0)*15,0))</f>
        <v>0</v>
      </c>
      <c r="U158" s="13">
        <f>SUM(IFERROR(VLOOKUP($C:$C,Structure!$A:$AJ,U$1,0)*15,0),IFERROR(VLOOKUP($D:$D,Structure!$A:$AJ,U$1,0)*15,0),IFERROR(VLOOKUP($E:$E,Structure!$A:$AJ,U$1,0)*15,0))</f>
        <v>0</v>
      </c>
      <c r="V158" s="13">
        <f>SUM(IFERROR(VLOOKUP($C:$C,Structure!$A:$AJ,V$1,0)*15,0),IFERROR(VLOOKUP($D:$D,Structure!$A:$AJ,V$1,0)*15,0),IFERROR(VLOOKUP($E:$E,Structure!$A:$AJ,V$1,0)*15,0))</f>
        <v>0</v>
      </c>
      <c r="W158" s="13">
        <f>SUM(IFERROR(VLOOKUP($C:$C,Structure!$A:$AJ,W$1,0)*15,0),IFERROR(VLOOKUP($D:$D,Structure!$A:$AJ,W$1,0)*15,0),IFERROR(VLOOKUP($E:$E,Structure!$A:$AJ,W$1,0)*15,0))</f>
        <v>0</v>
      </c>
      <c r="X158" s="13">
        <f>SUM(IFERROR(VLOOKUP($C:$C,Structure!$A:$AJ,X$1,0)*15,0),IFERROR(VLOOKUP($D:$D,Structure!$A:$AJ,X$1,0)*15,0),IFERROR(VLOOKUP($E:$E,Structure!$A:$AJ,X$1,0)*15,0))</f>
        <v>0</v>
      </c>
      <c r="Y158" s="13">
        <f>SUM(IFERROR(VLOOKUP($C:$C,Structure!$A:$AJ,Y$1,0)*15,0),IFERROR(VLOOKUP($D:$D,Structure!$A:$AJ,Y$1,0)*15,0),IFERROR(VLOOKUP($E:$E,Structure!$A:$AJ,Y$1,0)*15,0))</f>
        <v>0</v>
      </c>
      <c r="Z158" s="13">
        <f>SUM(IFERROR(VLOOKUP($C:$C,Structure!$A:$AJ,Z$1,0)*15,0),IFERROR(VLOOKUP($D:$D,Structure!$A:$AJ,Z$1,0)*15,0),IFERROR(VLOOKUP($E:$E,Structure!$A:$AJ,Z$1,0)*15,0))</f>
        <v>0</v>
      </c>
      <c r="AA158" s="13">
        <f>SUM(IFERROR(VLOOKUP($C:$C,Structure!$A:$AJ,AA$1,0)*15,0),IFERROR(VLOOKUP($D:$D,Structure!$A:$AJ,AA$1,0)*15,0),IFERROR(VLOOKUP($E:$E,Structure!$A:$AJ,AA$1,0)*15,0))</f>
        <v>45</v>
      </c>
      <c r="AB158" s="13">
        <f>SUM(IFERROR(VLOOKUP($C:$C,Structure!$A:$AJ,AB$1,0)*15,0),IFERROR(VLOOKUP($D:$D,Structure!$A:$AJ,AB$1,0)*15,0),IFERROR(VLOOKUP($E:$E,Structure!$A:$AJ,AB$1,0)*15,0))</f>
        <v>0</v>
      </c>
      <c r="AC158" s="13">
        <f>SUM(IFERROR(VLOOKUP($C:$C,Structure!$A:$AJ,AC$1,0)*15,0),IFERROR(VLOOKUP($D:$D,Structure!$A:$AJ,AC$1,0)*15,0),IFERROR(VLOOKUP($E:$E,Structure!$A:$AJ,AC$1,0)*15,0))</f>
        <v>0</v>
      </c>
      <c r="AD158" s="13">
        <f>SUM(IFERROR(VLOOKUP($C:$C,Structure!$A:$AJ,AD$1,0)*15,0),IFERROR(VLOOKUP($D:$D,Structure!$A:$AJ,AD$1,0)*15,0),IFERROR(VLOOKUP($E:$E,Structure!$A:$AJ,AD$1,0)*15,0))</f>
        <v>0</v>
      </c>
      <c r="AE158" s="13">
        <f>SUM(IFERROR(VLOOKUP($C:$C,Structure!$A:$AJ,AE$1,0)*15,0),IFERROR(VLOOKUP($D:$D,Structure!$A:$AJ,AE$1,0)*15,0),IFERROR(VLOOKUP($E:$E,Structure!$A:$AJ,AE$1,0)*15,0))</f>
        <v>0</v>
      </c>
      <c r="AF158" s="13">
        <f>SUM(IFERROR(VLOOKUP($C:$C,Structure!$A:$AJ,AF$1,0)*15,0),IFERROR(VLOOKUP($D:$D,Structure!$A:$AJ,AF$1,0)*15,0),IFERROR(VLOOKUP($E:$E,Structure!$A:$AJ,AF$1,0)*15,0))</f>
        <v>0</v>
      </c>
      <c r="AG158" s="13">
        <f>SUM(IFERROR(VLOOKUP($C:$C,Structure!$A:$AJ,AG$1,0)*15,0),IFERROR(VLOOKUP($D:$D,Structure!$A:$AJ,AG$1,0)*15,0),IFERROR(VLOOKUP($E:$E,Structure!$A:$AJ,AG$1,0)*15,0))</f>
        <v>0</v>
      </c>
      <c r="AH158" s="13">
        <f>SUM(IFERROR(VLOOKUP($C:$C,Structure!$A:$AJ,AH$1,0)*15,0),IFERROR(VLOOKUP($D:$D,Structure!$A:$AJ,AH$1,0)*15,0),IFERROR(VLOOKUP($E:$E,Structure!$A:$AJ,AH$1,0)*15,0))</f>
        <v>0</v>
      </c>
      <c r="AI158" s="13">
        <f>SUM(IFERROR(VLOOKUP($C:$C,Structure!$A:$AJ,AI$1,0)*15,0),IFERROR(VLOOKUP($D:$D,Structure!$A:$AJ,AI$1,0)*15,0),IFERROR(VLOOKUP($E:$E,Structure!$A:$AJ,AI$1,0)*15,0))</f>
        <v>0</v>
      </c>
      <c r="AJ158" s="13">
        <f>SUM(IFERROR(VLOOKUP($C:$C,Structure!$A:$AJ,AJ$1,0)*15,0),IFERROR(VLOOKUP($D:$D,Structure!$A:$AJ,AJ$1,0)*15,0),IFERROR(VLOOKUP($E:$E,Structure!$A:$AJ,AJ$1,0)*15,0))</f>
        <v>45</v>
      </c>
      <c r="AK158" s="13">
        <f>SUM(IFERROR(VLOOKUP($C:$C,Structure!$A:$AJ,AK$1,0)*15,0),IFERROR(VLOOKUP($D:$D,Structure!$A:$AJ,AK$1,0)*15,0),IFERROR(VLOOKUP($E:$E,Structure!$A:$AJ,AK$1,0)*15,0))</f>
        <v>0</v>
      </c>
      <c r="AL158" s="13">
        <f>SUM(IFERROR(VLOOKUP($C:$C,Structure!$A:$AJ,AL$1,0)*15,0),IFERROR(VLOOKUP($D:$D,Structure!$A:$AJ,AL$1,0)*15,0),IFERROR(VLOOKUP($E:$E,Structure!$A:$AJ,AL$1,0)*15,0))</f>
        <v>0</v>
      </c>
      <c r="AM158" s="13">
        <f>SUM(IFERROR(VLOOKUP($C:$C,Structure!$A:$AJ,AM$1,0)*15,0),IFERROR(VLOOKUP($D:$D,Structure!$A:$AJ,AM$1,0)*15,0),IFERROR(VLOOKUP($E:$E,Structure!$A:$AJ,AM$1,0)*15,0))</f>
        <v>0</v>
      </c>
      <c r="AN158" s="13">
        <f>SUM(IFERROR(VLOOKUP($C:$C,Structure!$A:$AJ,AN$1,0)*15,0),IFERROR(VLOOKUP($D:$D,Structure!$A:$AJ,AN$1,0)*15,0),IFERROR(VLOOKUP($E:$E,Structure!$A:$AJ,AN$1,0)*15,0))</f>
        <v>0</v>
      </c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3"/>
      <c r="BZ158" s="4">
        <f>BZ157+AQ158-F158</f>
        <v>0</v>
      </c>
      <c r="CA158" s="4">
        <f>CA157+AR158-G158</f>
        <v>0</v>
      </c>
      <c r="CB158" s="4">
        <f>CB157+AS158-H158</f>
        <v>0</v>
      </c>
      <c r="CC158" s="4">
        <f>CC157+AT158-I158</f>
        <v>0</v>
      </c>
      <c r="CD158" s="4">
        <f>CD157+AU158-J158</f>
        <v>0</v>
      </c>
      <c r="CE158" s="4">
        <f>CE157+AV158-K158</f>
        <v>0</v>
      </c>
      <c r="CF158" s="4">
        <f>CF157+AW158-L158</f>
        <v>0</v>
      </c>
      <c r="CG158" s="4">
        <f>CG157+AX158-M158</f>
        <v>0</v>
      </c>
      <c r="CH158" s="4">
        <f>CH157+AY158-N158</f>
        <v>0</v>
      </c>
      <c r="CI158" s="4">
        <f>CI157+AZ158-O158</f>
        <v>0</v>
      </c>
      <c r="CJ158" s="4">
        <f>CJ157+BA158-P158</f>
        <v>0</v>
      </c>
      <c r="CK158" s="4">
        <f>CK157+BB158-Q158</f>
        <v>0</v>
      </c>
      <c r="CL158" s="4">
        <f>CL157+BC158-R158</f>
        <v>0</v>
      </c>
      <c r="CM158" s="4">
        <f>CM157+BD158-S158</f>
        <v>0</v>
      </c>
      <c r="CN158" s="4">
        <f>CN157+BE158-T158</f>
        <v>0</v>
      </c>
      <c r="CO158" s="4">
        <f>CO157+BF158-U158</f>
        <v>0</v>
      </c>
      <c r="CP158" s="4">
        <f>CP157+BG158-V158</f>
        <v>-60</v>
      </c>
      <c r="CQ158" s="4">
        <f>CQ157+BH158-W158</f>
        <v>0</v>
      </c>
      <c r="CR158" s="4">
        <f>CR157+BI158-X158</f>
        <v>-60</v>
      </c>
      <c r="CS158" s="4">
        <f>CS157+BJ158-Y158</f>
        <v>0</v>
      </c>
      <c r="CT158" s="4">
        <f>CT157+BK158-Z158</f>
        <v>0</v>
      </c>
      <c r="CU158" s="4">
        <f>CU157+BL158-AA158</f>
        <v>-6305</v>
      </c>
      <c r="CV158" s="4">
        <f>CV157+BM158-AB158</f>
        <v>-240</v>
      </c>
      <c r="CW158" s="4">
        <f>CW157+BN158-AC158</f>
        <v>-255</v>
      </c>
      <c r="CX158" s="4">
        <f>CX157+BO158-AD158</f>
        <v>0</v>
      </c>
      <c r="CY158" s="4">
        <f>CY157+BP158-AE158</f>
        <v>-60</v>
      </c>
      <c r="CZ158" s="4">
        <f>CZ157+BQ158-AF158</f>
        <v>-160</v>
      </c>
      <c r="DA158" s="4">
        <f>DA157+BR158-AG158</f>
        <v>0</v>
      </c>
      <c r="DB158" s="4">
        <f>DB157+BS158-AH158</f>
        <v>-60</v>
      </c>
      <c r="DC158" s="4">
        <f>DC157+BT158-AI158</f>
        <v>0</v>
      </c>
      <c r="DD158" s="4">
        <f>DD157+BU158-AJ158</f>
        <v>-4945</v>
      </c>
      <c r="DE158" s="4">
        <f>DE157+BV158-AK158</f>
        <v>-1380</v>
      </c>
      <c r="DF158" s="4">
        <f>DF157+BW158-AL158</f>
        <v>0</v>
      </c>
      <c r="DG158" s="4">
        <f>DG157+BX158-AM158</f>
        <v>-235</v>
      </c>
      <c r="DH158" s="4">
        <f>DH157+BY158-AN158</f>
        <v>0</v>
      </c>
    </row>
    <row r="159" spans="1:112" x14ac:dyDescent="0.25">
      <c r="A159" s="6">
        <v>46185</v>
      </c>
      <c r="B159" s="7">
        <v>0.83333333295740886</v>
      </c>
      <c r="C159" s="3" t="s">
        <v>2</v>
      </c>
      <c r="D159" s="3" t="s">
        <v>6</v>
      </c>
      <c r="E159" s="3" t="s">
        <v>2</v>
      </c>
      <c r="F159" s="13">
        <f>SUM(IFERROR(VLOOKUP($C:$C,Structure!$A:$AJ,F$1,0)*15,0),IFERROR(VLOOKUP($D:$D,Structure!$A:$AJ,F$1,0)*15,0),IFERROR(VLOOKUP($E:$E,Structure!$A:$AJ,F$1,0)*15,0))</f>
        <v>0</v>
      </c>
      <c r="G159" s="13">
        <f>SUM(IFERROR(VLOOKUP($C:$C,Structure!$A:$AJ,G$1,0)*15,0),IFERROR(VLOOKUP($D:$D,Structure!$A:$AJ,G$1,0)*15,0),IFERROR(VLOOKUP($E:$E,Structure!$A:$AJ,G$1,0)*15,0))</f>
        <v>0</v>
      </c>
      <c r="H159" s="13">
        <f>SUM(IFERROR(VLOOKUP($C:$C,Structure!$A:$AJ,H$1,0)*15,0),IFERROR(VLOOKUP($D:$D,Structure!$A:$AJ,H$1,0)*15,0),IFERROR(VLOOKUP($E:$E,Structure!$A:$AJ,H$1,0)*15,0))</f>
        <v>0</v>
      </c>
      <c r="I159" s="13">
        <f>SUM(IFERROR(VLOOKUP($C:$C,Structure!$A:$AJ,I$1,0)*15,0),IFERROR(VLOOKUP($D:$D,Structure!$A:$AJ,I$1,0)*15,0),IFERROR(VLOOKUP($E:$E,Structure!$A:$AJ,I$1,0)*15,0))</f>
        <v>0</v>
      </c>
      <c r="J159" s="13">
        <f>SUM(IFERROR(VLOOKUP($C:$C,Structure!$A:$AJ,J$1,0)*15,0),IFERROR(VLOOKUP($D:$D,Structure!$A:$AJ,J$1,0)*15,0),IFERROR(VLOOKUP($E:$E,Structure!$A:$AJ,J$1,0)*15,0))</f>
        <v>0</v>
      </c>
      <c r="K159" s="13">
        <f>SUM(IFERROR(VLOOKUP($C:$C,Structure!$A:$AJ,K$1,0)*15,0),IFERROR(VLOOKUP($D:$D,Structure!$A:$AJ,K$1,0)*15,0),IFERROR(VLOOKUP($E:$E,Structure!$A:$AJ,K$1,0)*15,0))</f>
        <v>0</v>
      </c>
      <c r="L159" s="13">
        <f>SUM(IFERROR(VLOOKUP($C:$C,Structure!$A:$AJ,L$1,0)*15,0),IFERROR(VLOOKUP($D:$D,Structure!$A:$AJ,L$1,0)*15,0),IFERROR(VLOOKUP($E:$E,Structure!$A:$AJ,L$1,0)*15,0))</f>
        <v>0</v>
      </c>
      <c r="M159" s="13">
        <f>SUM(IFERROR(VLOOKUP($C:$C,Structure!$A:$AJ,M$1,0)*15,0),IFERROR(VLOOKUP($D:$D,Structure!$A:$AJ,M$1,0)*15,0),IFERROR(VLOOKUP($E:$E,Structure!$A:$AJ,M$1,0)*15,0))</f>
        <v>0</v>
      </c>
      <c r="N159" s="13">
        <f>SUM(IFERROR(VLOOKUP($C:$C,Structure!$A:$AJ,N$1,0)*15,0),IFERROR(VLOOKUP($D:$D,Structure!$A:$AJ,N$1,0)*15,0),IFERROR(VLOOKUP($E:$E,Structure!$A:$AJ,N$1,0)*15,0))</f>
        <v>0</v>
      </c>
      <c r="O159" s="13">
        <f>SUM(IFERROR(VLOOKUP($C:$C,Structure!$A:$AJ,O$1,0)*15,0),IFERROR(VLOOKUP($D:$D,Structure!$A:$AJ,O$1,0)*15,0),IFERROR(VLOOKUP($E:$E,Structure!$A:$AJ,O$1,0)*15,0))</f>
        <v>0</v>
      </c>
      <c r="P159" s="13">
        <f>SUM(IFERROR(VLOOKUP($C:$C,Structure!$A:$AJ,P$1,0)*15,0),IFERROR(VLOOKUP($D:$D,Structure!$A:$AJ,P$1,0)*15,0),IFERROR(VLOOKUP($E:$E,Structure!$A:$AJ,P$1,0)*15,0))</f>
        <v>0</v>
      </c>
      <c r="Q159" s="13">
        <f>SUM(IFERROR(VLOOKUP($C:$C,Structure!$A:$AJ,Q$1,0)*15,0),IFERROR(VLOOKUP($D:$D,Structure!$A:$AJ,Q$1,0)*15,0),IFERROR(VLOOKUP($E:$E,Structure!$A:$AJ,Q$1,0)*15,0))</f>
        <v>0</v>
      </c>
      <c r="R159" s="13">
        <f>SUM(IFERROR(VLOOKUP($C:$C,Structure!$A:$AJ,R$1,0)*15,0),IFERROR(VLOOKUP($D:$D,Structure!$A:$AJ,R$1,0)*15,0),IFERROR(VLOOKUP($E:$E,Structure!$A:$AJ,R$1,0)*15,0))</f>
        <v>0</v>
      </c>
      <c r="S159" s="13">
        <f>SUM(IFERROR(VLOOKUP($C:$C,Structure!$A:$AJ,S$1,0)*15,0),IFERROR(VLOOKUP($D:$D,Structure!$A:$AJ,S$1,0)*15,0),IFERROR(VLOOKUP($E:$E,Structure!$A:$AJ,S$1,0)*15,0))</f>
        <v>0</v>
      </c>
      <c r="T159" s="13">
        <f>SUM(IFERROR(VLOOKUP($C:$C,Structure!$A:$AJ,T$1,0)*15,0),IFERROR(VLOOKUP($D:$D,Structure!$A:$AJ,T$1,0)*15,0),IFERROR(VLOOKUP($E:$E,Structure!$A:$AJ,T$1,0)*15,0))</f>
        <v>0</v>
      </c>
      <c r="U159" s="13">
        <f>SUM(IFERROR(VLOOKUP($C:$C,Structure!$A:$AJ,U$1,0)*15,0),IFERROR(VLOOKUP($D:$D,Structure!$A:$AJ,U$1,0)*15,0),IFERROR(VLOOKUP($E:$E,Structure!$A:$AJ,U$1,0)*15,0))</f>
        <v>0</v>
      </c>
      <c r="V159" s="13">
        <f>SUM(IFERROR(VLOOKUP($C:$C,Structure!$A:$AJ,V$1,0)*15,0),IFERROR(VLOOKUP($D:$D,Structure!$A:$AJ,V$1,0)*15,0),IFERROR(VLOOKUP($E:$E,Structure!$A:$AJ,V$1,0)*15,0))</f>
        <v>0</v>
      </c>
      <c r="W159" s="13">
        <f>SUM(IFERROR(VLOOKUP($C:$C,Structure!$A:$AJ,W$1,0)*15,0),IFERROR(VLOOKUP($D:$D,Structure!$A:$AJ,W$1,0)*15,0),IFERROR(VLOOKUP($E:$E,Structure!$A:$AJ,W$1,0)*15,0))</f>
        <v>0</v>
      </c>
      <c r="X159" s="13">
        <f>SUM(IFERROR(VLOOKUP($C:$C,Structure!$A:$AJ,X$1,0)*15,0),IFERROR(VLOOKUP($D:$D,Structure!$A:$AJ,X$1,0)*15,0),IFERROR(VLOOKUP($E:$E,Structure!$A:$AJ,X$1,0)*15,0))</f>
        <v>0</v>
      </c>
      <c r="Y159" s="13">
        <f>SUM(IFERROR(VLOOKUP($C:$C,Structure!$A:$AJ,Y$1,0)*15,0),IFERROR(VLOOKUP($D:$D,Structure!$A:$AJ,Y$1,0)*15,0),IFERROR(VLOOKUP($E:$E,Structure!$A:$AJ,Y$1,0)*15,0))</f>
        <v>0</v>
      </c>
      <c r="Z159" s="13">
        <f>SUM(IFERROR(VLOOKUP($C:$C,Structure!$A:$AJ,Z$1,0)*15,0),IFERROR(VLOOKUP($D:$D,Structure!$A:$AJ,Z$1,0)*15,0),IFERROR(VLOOKUP($E:$E,Structure!$A:$AJ,Z$1,0)*15,0))</f>
        <v>0</v>
      </c>
      <c r="AA159" s="13">
        <f>SUM(IFERROR(VLOOKUP($C:$C,Structure!$A:$AJ,AA$1,0)*15,0),IFERROR(VLOOKUP($D:$D,Structure!$A:$AJ,AA$1,0)*15,0),IFERROR(VLOOKUP($E:$E,Structure!$A:$AJ,AA$1,0)*15,0))</f>
        <v>45</v>
      </c>
      <c r="AB159" s="13">
        <f>SUM(IFERROR(VLOOKUP($C:$C,Structure!$A:$AJ,AB$1,0)*15,0),IFERROR(VLOOKUP($D:$D,Structure!$A:$AJ,AB$1,0)*15,0),IFERROR(VLOOKUP($E:$E,Structure!$A:$AJ,AB$1,0)*15,0))</f>
        <v>0</v>
      </c>
      <c r="AC159" s="13">
        <f>SUM(IFERROR(VLOOKUP($C:$C,Structure!$A:$AJ,AC$1,0)*15,0),IFERROR(VLOOKUP($D:$D,Structure!$A:$AJ,AC$1,0)*15,0),IFERROR(VLOOKUP($E:$E,Structure!$A:$AJ,AC$1,0)*15,0))</f>
        <v>0</v>
      </c>
      <c r="AD159" s="13">
        <f>SUM(IFERROR(VLOOKUP($C:$C,Structure!$A:$AJ,AD$1,0)*15,0),IFERROR(VLOOKUP($D:$D,Structure!$A:$AJ,AD$1,0)*15,0),IFERROR(VLOOKUP($E:$E,Structure!$A:$AJ,AD$1,0)*15,0))</f>
        <v>0</v>
      </c>
      <c r="AE159" s="13">
        <f>SUM(IFERROR(VLOOKUP($C:$C,Structure!$A:$AJ,AE$1,0)*15,0),IFERROR(VLOOKUP($D:$D,Structure!$A:$AJ,AE$1,0)*15,0),IFERROR(VLOOKUP($E:$E,Structure!$A:$AJ,AE$1,0)*15,0))</f>
        <v>0</v>
      </c>
      <c r="AF159" s="13">
        <f>SUM(IFERROR(VLOOKUP($C:$C,Structure!$A:$AJ,AF$1,0)*15,0),IFERROR(VLOOKUP($D:$D,Structure!$A:$AJ,AF$1,0)*15,0),IFERROR(VLOOKUP($E:$E,Structure!$A:$AJ,AF$1,0)*15,0))</f>
        <v>0</v>
      </c>
      <c r="AG159" s="13">
        <f>SUM(IFERROR(VLOOKUP($C:$C,Structure!$A:$AJ,AG$1,0)*15,0),IFERROR(VLOOKUP($D:$D,Structure!$A:$AJ,AG$1,0)*15,0),IFERROR(VLOOKUP($E:$E,Structure!$A:$AJ,AG$1,0)*15,0))</f>
        <v>0</v>
      </c>
      <c r="AH159" s="13">
        <f>SUM(IFERROR(VLOOKUP($C:$C,Structure!$A:$AJ,AH$1,0)*15,0),IFERROR(VLOOKUP($D:$D,Structure!$A:$AJ,AH$1,0)*15,0),IFERROR(VLOOKUP($E:$E,Structure!$A:$AJ,AH$1,0)*15,0))</f>
        <v>0</v>
      </c>
      <c r="AI159" s="13">
        <f>SUM(IFERROR(VLOOKUP($C:$C,Structure!$A:$AJ,AI$1,0)*15,0),IFERROR(VLOOKUP($D:$D,Structure!$A:$AJ,AI$1,0)*15,0),IFERROR(VLOOKUP($E:$E,Structure!$A:$AJ,AI$1,0)*15,0))</f>
        <v>0</v>
      </c>
      <c r="AJ159" s="13">
        <f>SUM(IFERROR(VLOOKUP($C:$C,Structure!$A:$AJ,AJ$1,0)*15,0),IFERROR(VLOOKUP($D:$D,Structure!$A:$AJ,AJ$1,0)*15,0),IFERROR(VLOOKUP($E:$E,Structure!$A:$AJ,AJ$1,0)*15,0))</f>
        <v>45</v>
      </c>
      <c r="AK159" s="13">
        <f>SUM(IFERROR(VLOOKUP($C:$C,Structure!$A:$AJ,AK$1,0)*15,0),IFERROR(VLOOKUP($D:$D,Structure!$A:$AJ,AK$1,0)*15,0),IFERROR(VLOOKUP($E:$E,Structure!$A:$AJ,AK$1,0)*15,0))</f>
        <v>0</v>
      </c>
      <c r="AL159" s="13">
        <f>SUM(IFERROR(VLOOKUP($C:$C,Structure!$A:$AJ,AL$1,0)*15,0),IFERROR(VLOOKUP($D:$D,Structure!$A:$AJ,AL$1,0)*15,0),IFERROR(VLOOKUP($E:$E,Structure!$A:$AJ,AL$1,0)*15,0))</f>
        <v>0</v>
      </c>
      <c r="AM159" s="13">
        <f>SUM(IFERROR(VLOOKUP($C:$C,Structure!$A:$AJ,AM$1,0)*15,0),IFERROR(VLOOKUP($D:$D,Structure!$A:$AJ,AM$1,0)*15,0),IFERROR(VLOOKUP($E:$E,Structure!$A:$AJ,AM$1,0)*15,0))</f>
        <v>0</v>
      </c>
      <c r="AN159" s="13">
        <f>SUM(IFERROR(VLOOKUP($C:$C,Structure!$A:$AJ,AN$1,0)*15,0),IFERROR(VLOOKUP($D:$D,Structure!$A:$AJ,AN$1,0)*15,0),IFERROR(VLOOKUP($E:$E,Structure!$A:$AJ,AN$1,0)*15,0))</f>
        <v>0</v>
      </c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3"/>
      <c r="BZ159" s="4">
        <f>BZ158+AQ159-F159</f>
        <v>0</v>
      </c>
      <c r="CA159" s="4">
        <f>CA158+AR159-G159</f>
        <v>0</v>
      </c>
      <c r="CB159" s="4">
        <f>CB158+AS159-H159</f>
        <v>0</v>
      </c>
      <c r="CC159" s="4">
        <f>CC158+AT159-I159</f>
        <v>0</v>
      </c>
      <c r="CD159" s="4">
        <f>CD158+AU159-J159</f>
        <v>0</v>
      </c>
      <c r="CE159" s="4">
        <f>CE158+AV159-K159</f>
        <v>0</v>
      </c>
      <c r="CF159" s="4">
        <f>CF158+AW159-L159</f>
        <v>0</v>
      </c>
      <c r="CG159" s="4">
        <f>CG158+AX159-M159</f>
        <v>0</v>
      </c>
      <c r="CH159" s="4">
        <f>CH158+AY159-N159</f>
        <v>0</v>
      </c>
      <c r="CI159" s="4">
        <f>CI158+AZ159-O159</f>
        <v>0</v>
      </c>
      <c r="CJ159" s="4">
        <f>CJ158+BA159-P159</f>
        <v>0</v>
      </c>
      <c r="CK159" s="4">
        <f>CK158+BB159-Q159</f>
        <v>0</v>
      </c>
      <c r="CL159" s="4">
        <f>CL158+BC159-R159</f>
        <v>0</v>
      </c>
      <c r="CM159" s="4">
        <f>CM158+BD159-S159</f>
        <v>0</v>
      </c>
      <c r="CN159" s="4">
        <f>CN158+BE159-T159</f>
        <v>0</v>
      </c>
      <c r="CO159" s="4">
        <f>CO158+BF159-U159</f>
        <v>0</v>
      </c>
      <c r="CP159" s="4">
        <f>CP158+BG159-V159</f>
        <v>-60</v>
      </c>
      <c r="CQ159" s="4">
        <f>CQ158+BH159-W159</f>
        <v>0</v>
      </c>
      <c r="CR159" s="4">
        <f>CR158+BI159-X159</f>
        <v>-60</v>
      </c>
      <c r="CS159" s="4">
        <f>CS158+BJ159-Y159</f>
        <v>0</v>
      </c>
      <c r="CT159" s="4">
        <f>CT158+BK159-Z159</f>
        <v>0</v>
      </c>
      <c r="CU159" s="4">
        <f>CU158+BL159-AA159</f>
        <v>-6350</v>
      </c>
      <c r="CV159" s="4">
        <f>CV158+BM159-AB159</f>
        <v>-240</v>
      </c>
      <c r="CW159" s="4">
        <f>CW158+BN159-AC159</f>
        <v>-255</v>
      </c>
      <c r="CX159" s="4">
        <f>CX158+BO159-AD159</f>
        <v>0</v>
      </c>
      <c r="CY159" s="4">
        <f>CY158+BP159-AE159</f>
        <v>-60</v>
      </c>
      <c r="CZ159" s="4">
        <f>CZ158+BQ159-AF159</f>
        <v>-160</v>
      </c>
      <c r="DA159" s="4">
        <f>DA158+BR159-AG159</f>
        <v>0</v>
      </c>
      <c r="DB159" s="4">
        <f>DB158+BS159-AH159</f>
        <v>-60</v>
      </c>
      <c r="DC159" s="4">
        <f>DC158+BT159-AI159</f>
        <v>0</v>
      </c>
      <c r="DD159" s="4">
        <f>DD158+BU159-AJ159</f>
        <v>-4990</v>
      </c>
      <c r="DE159" s="4">
        <f>DE158+BV159-AK159</f>
        <v>-1380</v>
      </c>
      <c r="DF159" s="4">
        <f>DF158+BW159-AL159</f>
        <v>0</v>
      </c>
      <c r="DG159" s="4">
        <f>DG158+BX159-AM159</f>
        <v>-235</v>
      </c>
      <c r="DH159" s="4">
        <f>DH158+BY159-AN159</f>
        <v>0</v>
      </c>
    </row>
    <row r="160" spans="1:112" x14ac:dyDescent="0.25">
      <c r="A160" s="6">
        <v>46185</v>
      </c>
      <c r="B160" s="7">
        <v>0.8749999996216502</v>
      </c>
      <c r="C160" s="3" t="s">
        <v>2</v>
      </c>
      <c r="D160" s="3" t="s">
        <v>6</v>
      </c>
      <c r="E160" s="3" t="s">
        <v>2</v>
      </c>
      <c r="F160" s="13">
        <f>SUM(IFERROR(VLOOKUP($C:$C,Structure!$A:$AJ,F$1,0)*15,0),IFERROR(VLOOKUP($D:$D,Structure!$A:$AJ,F$1,0)*15,0),IFERROR(VLOOKUP($E:$E,Structure!$A:$AJ,F$1,0)*15,0))</f>
        <v>0</v>
      </c>
      <c r="G160" s="13">
        <f>SUM(IFERROR(VLOOKUP($C:$C,Structure!$A:$AJ,G$1,0)*15,0),IFERROR(VLOOKUP($D:$D,Structure!$A:$AJ,G$1,0)*15,0),IFERROR(VLOOKUP($E:$E,Structure!$A:$AJ,G$1,0)*15,0))</f>
        <v>0</v>
      </c>
      <c r="H160" s="13">
        <f>SUM(IFERROR(VLOOKUP($C:$C,Structure!$A:$AJ,H$1,0)*15,0),IFERROR(VLOOKUP($D:$D,Structure!$A:$AJ,H$1,0)*15,0),IFERROR(VLOOKUP($E:$E,Structure!$A:$AJ,H$1,0)*15,0))</f>
        <v>0</v>
      </c>
      <c r="I160" s="13">
        <f>SUM(IFERROR(VLOOKUP($C:$C,Structure!$A:$AJ,I$1,0)*15,0),IFERROR(VLOOKUP($D:$D,Structure!$A:$AJ,I$1,0)*15,0),IFERROR(VLOOKUP($E:$E,Structure!$A:$AJ,I$1,0)*15,0))</f>
        <v>0</v>
      </c>
      <c r="J160" s="13">
        <f>SUM(IFERROR(VLOOKUP($C:$C,Structure!$A:$AJ,J$1,0)*15,0),IFERROR(VLOOKUP($D:$D,Structure!$A:$AJ,J$1,0)*15,0),IFERROR(VLOOKUP($E:$E,Structure!$A:$AJ,J$1,0)*15,0))</f>
        <v>0</v>
      </c>
      <c r="K160" s="13">
        <f>SUM(IFERROR(VLOOKUP($C:$C,Structure!$A:$AJ,K$1,0)*15,0),IFERROR(VLOOKUP($D:$D,Structure!$A:$AJ,K$1,0)*15,0),IFERROR(VLOOKUP($E:$E,Structure!$A:$AJ,K$1,0)*15,0))</f>
        <v>0</v>
      </c>
      <c r="L160" s="13">
        <f>SUM(IFERROR(VLOOKUP($C:$C,Structure!$A:$AJ,L$1,0)*15,0),IFERROR(VLOOKUP($D:$D,Structure!$A:$AJ,L$1,0)*15,0),IFERROR(VLOOKUP($E:$E,Structure!$A:$AJ,L$1,0)*15,0))</f>
        <v>0</v>
      </c>
      <c r="M160" s="13">
        <f>SUM(IFERROR(VLOOKUP($C:$C,Structure!$A:$AJ,M$1,0)*15,0),IFERROR(VLOOKUP($D:$D,Structure!$A:$AJ,M$1,0)*15,0),IFERROR(VLOOKUP($E:$E,Structure!$A:$AJ,M$1,0)*15,0))</f>
        <v>0</v>
      </c>
      <c r="N160" s="13">
        <f>SUM(IFERROR(VLOOKUP($C:$C,Structure!$A:$AJ,N$1,0)*15,0),IFERROR(VLOOKUP($D:$D,Structure!$A:$AJ,N$1,0)*15,0),IFERROR(VLOOKUP($E:$E,Structure!$A:$AJ,N$1,0)*15,0))</f>
        <v>0</v>
      </c>
      <c r="O160" s="13">
        <f>SUM(IFERROR(VLOOKUP($C:$C,Structure!$A:$AJ,O$1,0)*15,0),IFERROR(VLOOKUP($D:$D,Structure!$A:$AJ,O$1,0)*15,0),IFERROR(VLOOKUP($E:$E,Structure!$A:$AJ,O$1,0)*15,0))</f>
        <v>0</v>
      </c>
      <c r="P160" s="13">
        <f>SUM(IFERROR(VLOOKUP($C:$C,Structure!$A:$AJ,P$1,0)*15,0),IFERROR(VLOOKUP($D:$D,Structure!$A:$AJ,P$1,0)*15,0),IFERROR(VLOOKUP($E:$E,Structure!$A:$AJ,P$1,0)*15,0))</f>
        <v>0</v>
      </c>
      <c r="Q160" s="13">
        <f>SUM(IFERROR(VLOOKUP($C:$C,Structure!$A:$AJ,Q$1,0)*15,0),IFERROR(VLOOKUP($D:$D,Structure!$A:$AJ,Q$1,0)*15,0),IFERROR(VLOOKUP($E:$E,Structure!$A:$AJ,Q$1,0)*15,0))</f>
        <v>0</v>
      </c>
      <c r="R160" s="13">
        <f>SUM(IFERROR(VLOOKUP($C:$C,Structure!$A:$AJ,R$1,0)*15,0),IFERROR(VLOOKUP($D:$D,Structure!$A:$AJ,R$1,0)*15,0),IFERROR(VLOOKUP($E:$E,Structure!$A:$AJ,R$1,0)*15,0))</f>
        <v>0</v>
      </c>
      <c r="S160" s="13">
        <f>SUM(IFERROR(VLOOKUP($C:$C,Structure!$A:$AJ,S$1,0)*15,0),IFERROR(VLOOKUP($D:$D,Structure!$A:$AJ,S$1,0)*15,0),IFERROR(VLOOKUP($E:$E,Structure!$A:$AJ,S$1,0)*15,0))</f>
        <v>0</v>
      </c>
      <c r="T160" s="13">
        <f>SUM(IFERROR(VLOOKUP($C:$C,Structure!$A:$AJ,T$1,0)*15,0),IFERROR(VLOOKUP($D:$D,Structure!$A:$AJ,T$1,0)*15,0),IFERROR(VLOOKUP($E:$E,Structure!$A:$AJ,T$1,0)*15,0))</f>
        <v>0</v>
      </c>
      <c r="U160" s="13">
        <f>SUM(IFERROR(VLOOKUP($C:$C,Structure!$A:$AJ,U$1,0)*15,0),IFERROR(VLOOKUP($D:$D,Structure!$A:$AJ,U$1,0)*15,0),IFERROR(VLOOKUP($E:$E,Structure!$A:$AJ,U$1,0)*15,0))</f>
        <v>0</v>
      </c>
      <c r="V160" s="13">
        <f>SUM(IFERROR(VLOOKUP($C:$C,Structure!$A:$AJ,V$1,0)*15,0),IFERROR(VLOOKUP($D:$D,Structure!$A:$AJ,V$1,0)*15,0),IFERROR(VLOOKUP($E:$E,Structure!$A:$AJ,V$1,0)*15,0))</f>
        <v>0</v>
      </c>
      <c r="W160" s="13">
        <f>SUM(IFERROR(VLOOKUP($C:$C,Structure!$A:$AJ,W$1,0)*15,0),IFERROR(VLOOKUP($D:$D,Structure!$A:$AJ,W$1,0)*15,0),IFERROR(VLOOKUP($E:$E,Structure!$A:$AJ,W$1,0)*15,0))</f>
        <v>0</v>
      </c>
      <c r="X160" s="13">
        <f>SUM(IFERROR(VLOOKUP($C:$C,Structure!$A:$AJ,X$1,0)*15,0),IFERROR(VLOOKUP($D:$D,Structure!$A:$AJ,X$1,0)*15,0),IFERROR(VLOOKUP($E:$E,Structure!$A:$AJ,X$1,0)*15,0))</f>
        <v>0</v>
      </c>
      <c r="Y160" s="13">
        <f>SUM(IFERROR(VLOOKUP($C:$C,Structure!$A:$AJ,Y$1,0)*15,0),IFERROR(VLOOKUP($D:$D,Structure!$A:$AJ,Y$1,0)*15,0),IFERROR(VLOOKUP($E:$E,Structure!$A:$AJ,Y$1,0)*15,0))</f>
        <v>0</v>
      </c>
      <c r="Z160" s="13">
        <f>SUM(IFERROR(VLOOKUP($C:$C,Structure!$A:$AJ,Z$1,0)*15,0),IFERROR(VLOOKUP($D:$D,Structure!$A:$AJ,Z$1,0)*15,0),IFERROR(VLOOKUP($E:$E,Structure!$A:$AJ,Z$1,0)*15,0))</f>
        <v>0</v>
      </c>
      <c r="AA160" s="13">
        <f>SUM(IFERROR(VLOOKUP($C:$C,Structure!$A:$AJ,AA$1,0)*15,0),IFERROR(VLOOKUP($D:$D,Structure!$A:$AJ,AA$1,0)*15,0),IFERROR(VLOOKUP($E:$E,Structure!$A:$AJ,AA$1,0)*15,0))</f>
        <v>45</v>
      </c>
      <c r="AB160" s="13">
        <f>SUM(IFERROR(VLOOKUP($C:$C,Structure!$A:$AJ,AB$1,0)*15,0),IFERROR(VLOOKUP($D:$D,Structure!$A:$AJ,AB$1,0)*15,0),IFERROR(VLOOKUP($E:$E,Structure!$A:$AJ,AB$1,0)*15,0))</f>
        <v>0</v>
      </c>
      <c r="AC160" s="13">
        <f>SUM(IFERROR(VLOOKUP($C:$C,Structure!$A:$AJ,AC$1,0)*15,0),IFERROR(VLOOKUP($D:$D,Structure!$A:$AJ,AC$1,0)*15,0),IFERROR(VLOOKUP($E:$E,Structure!$A:$AJ,AC$1,0)*15,0))</f>
        <v>0</v>
      </c>
      <c r="AD160" s="13">
        <f>SUM(IFERROR(VLOOKUP($C:$C,Structure!$A:$AJ,AD$1,0)*15,0),IFERROR(VLOOKUP($D:$D,Structure!$A:$AJ,AD$1,0)*15,0),IFERROR(VLOOKUP($E:$E,Structure!$A:$AJ,AD$1,0)*15,0))</f>
        <v>0</v>
      </c>
      <c r="AE160" s="13">
        <f>SUM(IFERROR(VLOOKUP($C:$C,Structure!$A:$AJ,AE$1,0)*15,0),IFERROR(VLOOKUP($D:$D,Structure!$A:$AJ,AE$1,0)*15,0),IFERROR(VLOOKUP($E:$E,Structure!$A:$AJ,AE$1,0)*15,0))</f>
        <v>0</v>
      </c>
      <c r="AF160" s="13">
        <f>SUM(IFERROR(VLOOKUP($C:$C,Structure!$A:$AJ,AF$1,0)*15,0),IFERROR(VLOOKUP($D:$D,Structure!$A:$AJ,AF$1,0)*15,0),IFERROR(VLOOKUP($E:$E,Structure!$A:$AJ,AF$1,0)*15,0))</f>
        <v>0</v>
      </c>
      <c r="AG160" s="13">
        <f>SUM(IFERROR(VLOOKUP($C:$C,Structure!$A:$AJ,AG$1,0)*15,0),IFERROR(VLOOKUP($D:$D,Structure!$A:$AJ,AG$1,0)*15,0),IFERROR(VLOOKUP($E:$E,Structure!$A:$AJ,AG$1,0)*15,0))</f>
        <v>0</v>
      </c>
      <c r="AH160" s="13">
        <f>SUM(IFERROR(VLOOKUP($C:$C,Structure!$A:$AJ,AH$1,0)*15,0),IFERROR(VLOOKUP($D:$D,Structure!$A:$AJ,AH$1,0)*15,0),IFERROR(VLOOKUP($E:$E,Structure!$A:$AJ,AH$1,0)*15,0))</f>
        <v>0</v>
      </c>
      <c r="AI160" s="13">
        <f>SUM(IFERROR(VLOOKUP($C:$C,Structure!$A:$AJ,AI$1,0)*15,0),IFERROR(VLOOKUP($D:$D,Structure!$A:$AJ,AI$1,0)*15,0),IFERROR(VLOOKUP($E:$E,Structure!$A:$AJ,AI$1,0)*15,0))</f>
        <v>0</v>
      </c>
      <c r="AJ160" s="13">
        <f>SUM(IFERROR(VLOOKUP($C:$C,Structure!$A:$AJ,AJ$1,0)*15,0),IFERROR(VLOOKUP($D:$D,Structure!$A:$AJ,AJ$1,0)*15,0),IFERROR(VLOOKUP($E:$E,Structure!$A:$AJ,AJ$1,0)*15,0))</f>
        <v>45</v>
      </c>
      <c r="AK160" s="13">
        <f>SUM(IFERROR(VLOOKUP($C:$C,Structure!$A:$AJ,AK$1,0)*15,0),IFERROR(VLOOKUP($D:$D,Structure!$A:$AJ,AK$1,0)*15,0),IFERROR(VLOOKUP($E:$E,Structure!$A:$AJ,AK$1,0)*15,0))</f>
        <v>0</v>
      </c>
      <c r="AL160" s="13">
        <f>SUM(IFERROR(VLOOKUP($C:$C,Structure!$A:$AJ,AL$1,0)*15,0),IFERROR(VLOOKUP($D:$D,Structure!$A:$AJ,AL$1,0)*15,0),IFERROR(VLOOKUP($E:$E,Structure!$A:$AJ,AL$1,0)*15,0))</f>
        <v>0</v>
      </c>
      <c r="AM160" s="13">
        <f>SUM(IFERROR(VLOOKUP($C:$C,Structure!$A:$AJ,AM$1,0)*15,0),IFERROR(VLOOKUP($D:$D,Structure!$A:$AJ,AM$1,0)*15,0),IFERROR(VLOOKUP($E:$E,Structure!$A:$AJ,AM$1,0)*15,0))</f>
        <v>0</v>
      </c>
      <c r="AN160" s="13">
        <f>SUM(IFERROR(VLOOKUP($C:$C,Structure!$A:$AJ,AN$1,0)*15,0),IFERROR(VLOOKUP($D:$D,Structure!$A:$AJ,AN$1,0)*15,0),IFERROR(VLOOKUP($E:$E,Structure!$A:$AJ,AN$1,0)*15,0))</f>
        <v>0</v>
      </c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3"/>
      <c r="BZ160" s="4">
        <f>BZ159+AQ160-F160</f>
        <v>0</v>
      </c>
      <c r="CA160" s="4">
        <f>CA159+AR160-G160</f>
        <v>0</v>
      </c>
      <c r="CB160" s="4">
        <f>CB159+AS160-H160</f>
        <v>0</v>
      </c>
      <c r="CC160" s="4">
        <f>CC159+AT160-I160</f>
        <v>0</v>
      </c>
      <c r="CD160" s="4">
        <f>CD159+AU160-J160</f>
        <v>0</v>
      </c>
      <c r="CE160" s="4">
        <f>CE159+AV160-K160</f>
        <v>0</v>
      </c>
      <c r="CF160" s="4">
        <f>CF159+AW160-L160</f>
        <v>0</v>
      </c>
      <c r="CG160" s="4">
        <f>CG159+AX160-M160</f>
        <v>0</v>
      </c>
      <c r="CH160" s="4">
        <f>CH159+AY160-N160</f>
        <v>0</v>
      </c>
      <c r="CI160" s="4">
        <f>CI159+AZ160-O160</f>
        <v>0</v>
      </c>
      <c r="CJ160" s="4">
        <f>CJ159+BA160-P160</f>
        <v>0</v>
      </c>
      <c r="CK160" s="4">
        <f>CK159+BB160-Q160</f>
        <v>0</v>
      </c>
      <c r="CL160" s="4">
        <f>CL159+BC160-R160</f>
        <v>0</v>
      </c>
      <c r="CM160" s="4">
        <f>CM159+BD160-S160</f>
        <v>0</v>
      </c>
      <c r="CN160" s="4">
        <f>CN159+BE160-T160</f>
        <v>0</v>
      </c>
      <c r="CO160" s="4">
        <f>CO159+BF160-U160</f>
        <v>0</v>
      </c>
      <c r="CP160" s="4">
        <f>CP159+BG160-V160</f>
        <v>-60</v>
      </c>
      <c r="CQ160" s="4">
        <f>CQ159+BH160-W160</f>
        <v>0</v>
      </c>
      <c r="CR160" s="4">
        <f>CR159+BI160-X160</f>
        <v>-60</v>
      </c>
      <c r="CS160" s="4">
        <f>CS159+BJ160-Y160</f>
        <v>0</v>
      </c>
      <c r="CT160" s="4">
        <f>CT159+BK160-Z160</f>
        <v>0</v>
      </c>
      <c r="CU160" s="4">
        <f>CU159+BL160-AA160</f>
        <v>-6395</v>
      </c>
      <c r="CV160" s="4">
        <f>CV159+BM160-AB160</f>
        <v>-240</v>
      </c>
      <c r="CW160" s="4">
        <f>CW159+BN160-AC160</f>
        <v>-255</v>
      </c>
      <c r="CX160" s="4">
        <f>CX159+BO160-AD160</f>
        <v>0</v>
      </c>
      <c r="CY160" s="4">
        <f>CY159+BP160-AE160</f>
        <v>-60</v>
      </c>
      <c r="CZ160" s="4">
        <f>CZ159+BQ160-AF160</f>
        <v>-160</v>
      </c>
      <c r="DA160" s="4">
        <f>DA159+BR160-AG160</f>
        <v>0</v>
      </c>
      <c r="DB160" s="4">
        <f>DB159+BS160-AH160</f>
        <v>-60</v>
      </c>
      <c r="DC160" s="4">
        <f>DC159+BT160-AI160</f>
        <v>0</v>
      </c>
      <c r="DD160" s="4">
        <f>DD159+BU160-AJ160</f>
        <v>-5035</v>
      </c>
      <c r="DE160" s="4">
        <f>DE159+BV160-AK160</f>
        <v>-1380</v>
      </c>
      <c r="DF160" s="4">
        <f>DF159+BW160-AL160</f>
        <v>0</v>
      </c>
      <c r="DG160" s="4">
        <f>DG159+BX160-AM160</f>
        <v>-235</v>
      </c>
      <c r="DH160" s="4">
        <f>DH159+BY160-AN160</f>
        <v>0</v>
      </c>
    </row>
    <row r="161" spans="1:112" x14ac:dyDescent="0.25">
      <c r="A161" s="6">
        <v>46185</v>
      </c>
      <c r="B161" s="7">
        <v>0.91666666628589155</v>
      </c>
      <c r="C161" s="3" t="s">
        <v>2</v>
      </c>
      <c r="D161" s="3" t="s">
        <v>6</v>
      </c>
      <c r="E161" s="3" t="s">
        <v>2</v>
      </c>
      <c r="F161" s="13">
        <f>SUM(IFERROR(VLOOKUP($C:$C,Structure!$A:$AJ,F$1,0)*15,0),IFERROR(VLOOKUP($D:$D,Structure!$A:$AJ,F$1,0)*15,0),IFERROR(VLOOKUP($E:$E,Structure!$A:$AJ,F$1,0)*15,0))</f>
        <v>0</v>
      </c>
      <c r="G161" s="13">
        <f>SUM(IFERROR(VLOOKUP($C:$C,Structure!$A:$AJ,G$1,0)*15,0),IFERROR(VLOOKUP($D:$D,Structure!$A:$AJ,G$1,0)*15,0),IFERROR(VLOOKUP($E:$E,Structure!$A:$AJ,G$1,0)*15,0))</f>
        <v>0</v>
      </c>
      <c r="H161" s="13">
        <f>SUM(IFERROR(VLOOKUP($C:$C,Structure!$A:$AJ,H$1,0)*15,0),IFERROR(VLOOKUP($D:$D,Structure!$A:$AJ,H$1,0)*15,0),IFERROR(VLOOKUP($E:$E,Structure!$A:$AJ,H$1,0)*15,0))</f>
        <v>0</v>
      </c>
      <c r="I161" s="13">
        <f>SUM(IFERROR(VLOOKUP($C:$C,Structure!$A:$AJ,I$1,0)*15,0),IFERROR(VLOOKUP($D:$D,Structure!$A:$AJ,I$1,0)*15,0),IFERROR(VLOOKUP($E:$E,Structure!$A:$AJ,I$1,0)*15,0))</f>
        <v>0</v>
      </c>
      <c r="J161" s="13">
        <f>SUM(IFERROR(VLOOKUP($C:$C,Structure!$A:$AJ,J$1,0)*15,0),IFERROR(VLOOKUP($D:$D,Structure!$A:$AJ,J$1,0)*15,0),IFERROR(VLOOKUP($E:$E,Structure!$A:$AJ,J$1,0)*15,0))</f>
        <v>0</v>
      </c>
      <c r="K161" s="13">
        <f>SUM(IFERROR(VLOOKUP($C:$C,Structure!$A:$AJ,K$1,0)*15,0),IFERROR(VLOOKUP($D:$D,Structure!$A:$AJ,K$1,0)*15,0),IFERROR(VLOOKUP($E:$E,Structure!$A:$AJ,K$1,0)*15,0))</f>
        <v>0</v>
      </c>
      <c r="L161" s="13">
        <f>SUM(IFERROR(VLOOKUP($C:$C,Structure!$A:$AJ,L$1,0)*15,0),IFERROR(VLOOKUP($D:$D,Structure!$A:$AJ,L$1,0)*15,0),IFERROR(VLOOKUP($E:$E,Structure!$A:$AJ,L$1,0)*15,0))</f>
        <v>0</v>
      </c>
      <c r="M161" s="13">
        <f>SUM(IFERROR(VLOOKUP($C:$C,Structure!$A:$AJ,M$1,0)*15,0),IFERROR(VLOOKUP($D:$D,Structure!$A:$AJ,M$1,0)*15,0),IFERROR(VLOOKUP($E:$E,Structure!$A:$AJ,M$1,0)*15,0))</f>
        <v>0</v>
      </c>
      <c r="N161" s="13">
        <f>SUM(IFERROR(VLOOKUP($C:$C,Structure!$A:$AJ,N$1,0)*15,0),IFERROR(VLOOKUP($D:$D,Structure!$A:$AJ,N$1,0)*15,0),IFERROR(VLOOKUP($E:$E,Structure!$A:$AJ,N$1,0)*15,0))</f>
        <v>0</v>
      </c>
      <c r="O161" s="13">
        <f>SUM(IFERROR(VLOOKUP($C:$C,Structure!$A:$AJ,O$1,0)*15,0),IFERROR(VLOOKUP($D:$D,Structure!$A:$AJ,O$1,0)*15,0),IFERROR(VLOOKUP($E:$E,Structure!$A:$AJ,O$1,0)*15,0))</f>
        <v>0</v>
      </c>
      <c r="P161" s="13">
        <f>SUM(IFERROR(VLOOKUP($C:$C,Structure!$A:$AJ,P$1,0)*15,0),IFERROR(VLOOKUP($D:$D,Structure!$A:$AJ,P$1,0)*15,0),IFERROR(VLOOKUP($E:$E,Structure!$A:$AJ,P$1,0)*15,0))</f>
        <v>0</v>
      </c>
      <c r="Q161" s="13">
        <f>SUM(IFERROR(VLOOKUP($C:$C,Structure!$A:$AJ,Q$1,0)*15,0),IFERROR(VLOOKUP($D:$D,Structure!$A:$AJ,Q$1,0)*15,0),IFERROR(VLOOKUP($E:$E,Structure!$A:$AJ,Q$1,0)*15,0))</f>
        <v>0</v>
      </c>
      <c r="R161" s="13">
        <f>SUM(IFERROR(VLOOKUP($C:$C,Structure!$A:$AJ,R$1,0)*15,0),IFERROR(VLOOKUP($D:$D,Structure!$A:$AJ,R$1,0)*15,0),IFERROR(VLOOKUP($E:$E,Structure!$A:$AJ,R$1,0)*15,0))</f>
        <v>0</v>
      </c>
      <c r="S161" s="13">
        <f>SUM(IFERROR(VLOOKUP($C:$C,Structure!$A:$AJ,S$1,0)*15,0),IFERROR(VLOOKUP($D:$D,Structure!$A:$AJ,S$1,0)*15,0),IFERROR(VLOOKUP($E:$E,Structure!$A:$AJ,S$1,0)*15,0))</f>
        <v>0</v>
      </c>
      <c r="T161" s="13">
        <f>SUM(IFERROR(VLOOKUP($C:$C,Structure!$A:$AJ,T$1,0)*15,0),IFERROR(VLOOKUP($D:$D,Structure!$A:$AJ,T$1,0)*15,0),IFERROR(VLOOKUP($E:$E,Structure!$A:$AJ,T$1,0)*15,0))</f>
        <v>0</v>
      </c>
      <c r="U161" s="13">
        <f>SUM(IFERROR(VLOOKUP($C:$C,Structure!$A:$AJ,U$1,0)*15,0),IFERROR(VLOOKUP($D:$D,Structure!$A:$AJ,U$1,0)*15,0),IFERROR(VLOOKUP($E:$E,Structure!$A:$AJ,U$1,0)*15,0))</f>
        <v>0</v>
      </c>
      <c r="V161" s="13">
        <f>SUM(IFERROR(VLOOKUP($C:$C,Structure!$A:$AJ,V$1,0)*15,0),IFERROR(VLOOKUP($D:$D,Structure!$A:$AJ,V$1,0)*15,0),IFERROR(VLOOKUP($E:$E,Structure!$A:$AJ,V$1,0)*15,0))</f>
        <v>0</v>
      </c>
      <c r="W161" s="13">
        <f>SUM(IFERROR(VLOOKUP($C:$C,Structure!$A:$AJ,W$1,0)*15,0),IFERROR(VLOOKUP($D:$D,Structure!$A:$AJ,W$1,0)*15,0),IFERROR(VLOOKUP($E:$E,Structure!$A:$AJ,W$1,0)*15,0))</f>
        <v>0</v>
      </c>
      <c r="X161" s="13">
        <f>SUM(IFERROR(VLOOKUP($C:$C,Structure!$A:$AJ,X$1,0)*15,0),IFERROR(VLOOKUP($D:$D,Structure!$A:$AJ,X$1,0)*15,0),IFERROR(VLOOKUP($E:$E,Structure!$A:$AJ,X$1,0)*15,0))</f>
        <v>0</v>
      </c>
      <c r="Y161" s="13">
        <f>SUM(IFERROR(VLOOKUP($C:$C,Structure!$A:$AJ,Y$1,0)*15,0),IFERROR(VLOOKUP($D:$D,Structure!$A:$AJ,Y$1,0)*15,0),IFERROR(VLOOKUP($E:$E,Structure!$A:$AJ,Y$1,0)*15,0))</f>
        <v>0</v>
      </c>
      <c r="Z161" s="13">
        <f>SUM(IFERROR(VLOOKUP($C:$C,Structure!$A:$AJ,Z$1,0)*15,0),IFERROR(VLOOKUP($D:$D,Structure!$A:$AJ,Z$1,0)*15,0),IFERROR(VLOOKUP($E:$E,Structure!$A:$AJ,Z$1,0)*15,0))</f>
        <v>0</v>
      </c>
      <c r="AA161" s="13">
        <f>SUM(IFERROR(VLOOKUP($C:$C,Structure!$A:$AJ,AA$1,0)*15,0),IFERROR(VLOOKUP($D:$D,Structure!$A:$AJ,AA$1,0)*15,0),IFERROR(VLOOKUP($E:$E,Structure!$A:$AJ,AA$1,0)*15,0))</f>
        <v>45</v>
      </c>
      <c r="AB161" s="13">
        <f>SUM(IFERROR(VLOOKUP($C:$C,Structure!$A:$AJ,AB$1,0)*15,0),IFERROR(VLOOKUP($D:$D,Structure!$A:$AJ,AB$1,0)*15,0),IFERROR(VLOOKUP($E:$E,Structure!$A:$AJ,AB$1,0)*15,0))</f>
        <v>0</v>
      </c>
      <c r="AC161" s="13">
        <f>SUM(IFERROR(VLOOKUP($C:$C,Structure!$A:$AJ,AC$1,0)*15,0),IFERROR(VLOOKUP($D:$D,Structure!$A:$AJ,AC$1,0)*15,0),IFERROR(VLOOKUP($E:$E,Structure!$A:$AJ,AC$1,0)*15,0))</f>
        <v>0</v>
      </c>
      <c r="AD161" s="13">
        <f>SUM(IFERROR(VLOOKUP($C:$C,Structure!$A:$AJ,AD$1,0)*15,0),IFERROR(VLOOKUP($D:$D,Structure!$A:$AJ,AD$1,0)*15,0),IFERROR(VLOOKUP($E:$E,Structure!$A:$AJ,AD$1,0)*15,0))</f>
        <v>0</v>
      </c>
      <c r="AE161" s="13">
        <f>SUM(IFERROR(VLOOKUP($C:$C,Structure!$A:$AJ,AE$1,0)*15,0),IFERROR(VLOOKUP($D:$D,Structure!$A:$AJ,AE$1,0)*15,0),IFERROR(VLOOKUP($E:$E,Structure!$A:$AJ,AE$1,0)*15,0))</f>
        <v>0</v>
      </c>
      <c r="AF161" s="13">
        <f>SUM(IFERROR(VLOOKUP($C:$C,Structure!$A:$AJ,AF$1,0)*15,0),IFERROR(VLOOKUP($D:$D,Structure!$A:$AJ,AF$1,0)*15,0),IFERROR(VLOOKUP($E:$E,Structure!$A:$AJ,AF$1,0)*15,0))</f>
        <v>0</v>
      </c>
      <c r="AG161" s="13">
        <f>SUM(IFERROR(VLOOKUP($C:$C,Structure!$A:$AJ,AG$1,0)*15,0),IFERROR(VLOOKUP($D:$D,Structure!$A:$AJ,AG$1,0)*15,0),IFERROR(VLOOKUP($E:$E,Structure!$A:$AJ,AG$1,0)*15,0))</f>
        <v>0</v>
      </c>
      <c r="AH161" s="13">
        <f>SUM(IFERROR(VLOOKUP($C:$C,Structure!$A:$AJ,AH$1,0)*15,0),IFERROR(VLOOKUP($D:$D,Structure!$A:$AJ,AH$1,0)*15,0),IFERROR(VLOOKUP($E:$E,Structure!$A:$AJ,AH$1,0)*15,0))</f>
        <v>0</v>
      </c>
      <c r="AI161" s="13">
        <f>SUM(IFERROR(VLOOKUP($C:$C,Structure!$A:$AJ,AI$1,0)*15,0),IFERROR(VLOOKUP($D:$D,Structure!$A:$AJ,AI$1,0)*15,0),IFERROR(VLOOKUP($E:$E,Structure!$A:$AJ,AI$1,0)*15,0))</f>
        <v>0</v>
      </c>
      <c r="AJ161" s="13">
        <f>SUM(IFERROR(VLOOKUP($C:$C,Structure!$A:$AJ,AJ$1,0)*15,0),IFERROR(VLOOKUP($D:$D,Structure!$A:$AJ,AJ$1,0)*15,0),IFERROR(VLOOKUP($E:$E,Structure!$A:$AJ,AJ$1,0)*15,0))</f>
        <v>45</v>
      </c>
      <c r="AK161" s="13">
        <f>SUM(IFERROR(VLOOKUP($C:$C,Structure!$A:$AJ,AK$1,0)*15,0),IFERROR(VLOOKUP($D:$D,Structure!$A:$AJ,AK$1,0)*15,0),IFERROR(VLOOKUP($E:$E,Structure!$A:$AJ,AK$1,0)*15,0))</f>
        <v>0</v>
      </c>
      <c r="AL161" s="13">
        <f>SUM(IFERROR(VLOOKUP($C:$C,Structure!$A:$AJ,AL$1,0)*15,0),IFERROR(VLOOKUP($D:$D,Structure!$A:$AJ,AL$1,0)*15,0),IFERROR(VLOOKUP($E:$E,Structure!$A:$AJ,AL$1,0)*15,0))</f>
        <v>0</v>
      </c>
      <c r="AM161" s="13">
        <f>SUM(IFERROR(VLOOKUP($C:$C,Structure!$A:$AJ,AM$1,0)*15,0),IFERROR(VLOOKUP($D:$D,Structure!$A:$AJ,AM$1,0)*15,0),IFERROR(VLOOKUP($E:$E,Structure!$A:$AJ,AM$1,0)*15,0))</f>
        <v>0</v>
      </c>
      <c r="AN161" s="13">
        <f>SUM(IFERROR(VLOOKUP($C:$C,Structure!$A:$AJ,AN$1,0)*15,0),IFERROR(VLOOKUP($D:$D,Structure!$A:$AJ,AN$1,0)*15,0),IFERROR(VLOOKUP($E:$E,Structure!$A:$AJ,AN$1,0)*15,0))</f>
        <v>0</v>
      </c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3"/>
      <c r="BZ161" s="4">
        <f>BZ160+AQ161-F161</f>
        <v>0</v>
      </c>
      <c r="CA161" s="4">
        <f>CA160+AR161-G161</f>
        <v>0</v>
      </c>
      <c r="CB161" s="4">
        <f>CB160+AS161-H161</f>
        <v>0</v>
      </c>
      <c r="CC161" s="4">
        <f>CC160+AT161-I161</f>
        <v>0</v>
      </c>
      <c r="CD161" s="4">
        <f>CD160+AU161-J161</f>
        <v>0</v>
      </c>
      <c r="CE161" s="4">
        <f>CE160+AV161-K161</f>
        <v>0</v>
      </c>
      <c r="CF161" s="4">
        <f>CF160+AW161-L161</f>
        <v>0</v>
      </c>
      <c r="CG161" s="4">
        <f>CG160+AX161-M161</f>
        <v>0</v>
      </c>
      <c r="CH161" s="4">
        <f>CH160+AY161-N161</f>
        <v>0</v>
      </c>
      <c r="CI161" s="4">
        <f>CI160+AZ161-O161</f>
        <v>0</v>
      </c>
      <c r="CJ161" s="4">
        <f>CJ160+BA161-P161</f>
        <v>0</v>
      </c>
      <c r="CK161" s="4">
        <f>CK160+BB161-Q161</f>
        <v>0</v>
      </c>
      <c r="CL161" s="4">
        <f>CL160+BC161-R161</f>
        <v>0</v>
      </c>
      <c r="CM161" s="4">
        <f>CM160+BD161-S161</f>
        <v>0</v>
      </c>
      <c r="CN161" s="4">
        <f>CN160+BE161-T161</f>
        <v>0</v>
      </c>
      <c r="CO161" s="4">
        <f>CO160+BF161-U161</f>
        <v>0</v>
      </c>
      <c r="CP161" s="4">
        <f>CP160+BG161-V161</f>
        <v>-60</v>
      </c>
      <c r="CQ161" s="4">
        <f>CQ160+BH161-W161</f>
        <v>0</v>
      </c>
      <c r="CR161" s="4">
        <f>CR160+BI161-X161</f>
        <v>-60</v>
      </c>
      <c r="CS161" s="4">
        <f>CS160+BJ161-Y161</f>
        <v>0</v>
      </c>
      <c r="CT161" s="4">
        <f>CT160+BK161-Z161</f>
        <v>0</v>
      </c>
      <c r="CU161" s="4">
        <f>CU160+BL161-AA161</f>
        <v>-6440</v>
      </c>
      <c r="CV161" s="4">
        <f>CV160+BM161-AB161</f>
        <v>-240</v>
      </c>
      <c r="CW161" s="4">
        <f>CW160+BN161-AC161</f>
        <v>-255</v>
      </c>
      <c r="CX161" s="4">
        <f>CX160+BO161-AD161</f>
        <v>0</v>
      </c>
      <c r="CY161" s="4">
        <f>CY160+BP161-AE161</f>
        <v>-60</v>
      </c>
      <c r="CZ161" s="4">
        <f>CZ160+BQ161-AF161</f>
        <v>-160</v>
      </c>
      <c r="DA161" s="4">
        <f>DA160+BR161-AG161</f>
        <v>0</v>
      </c>
      <c r="DB161" s="4">
        <f>DB160+BS161-AH161</f>
        <v>-60</v>
      </c>
      <c r="DC161" s="4">
        <f>DC160+BT161-AI161</f>
        <v>0</v>
      </c>
      <c r="DD161" s="4">
        <f>DD160+BU161-AJ161</f>
        <v>-5080</v>
      </c>
      <c r="DE161" s="4">
        <f>DE160+BV161-AK161</f>
        <v>-1380</v>
      </c>
      <c r="DF161" s="4">
        <f>DF160+BW161-AL161</f>
        <v>0</v>
      </c>
      <c r="DG161" s="4">
        <f>DG160+BX161-AM161</f>
        <v>-235</v>
      </c>
      <c r="DH161" s="4">
        <f>DH160+BY161-AN161</f>
        <v>0</v>
      </c>
    </row>
    <row r="162" spans="1:112" x14ac:dyDescent="0.25">
      <c r="A162" s="6">
        <v>46185</v>
      </c>
      <c r="B162" s="7">
        <v>0.9583333329501329</v>
      </c>
      <c r="C162" s="3" t="s">
        <v>2</v>
      </c>
      <c r="D162" s="3" t="s">
        <v>6</v>
      </c>
      <c r="E162" s="3" t="s">
        <v>2</v>
      </c>
      <c r="F162" s="13">
        <f>SUM(IFERROR(VLOOKUP($C:$C,Structure!$A:$AJ,F$1,0)*15,0),IFERROR(VLOOKUP($D:$D,Structure!$A:$AJ,F$1,0)*15,0),IFERROR(VLOOKUP($E:$E,Structure!$A:$AJ,F$1,0)*15,0))</f>
        <v>0</v>
      </c>
      <c r="G162" s="13">
        <f>SUM(IFERROR(VLOOKUP($C:$C,Structure!$A:$AJ,G$1,0)*15,0),IFERROR(VLOOKUP($D:$D,Structure!$A:$AJ,G$1,0)*15,0),IFERROR(VLOOKUP($E:$E,Structure!$A:$AJ,G$1,0)*15,0))</f>
        <v>0</v>
      </c>
      <c r="H162" s="13">
        <f>SUM(IFERROR(VLOOKUP($C:$C,Structure!$A:$AJ,H$1,0)*15,0),IFERROR(VLOOKUP($D:$D,Structure!$A:$AJ,H$1,0)*15,0),IFERROR(VLOOKUP($E:$E,Structure!$A:$AJ,H$1,0)*15,0))</f>
        <v>0</v>
      </c>
      <c r="I162" s="13">
        <f>SUM(IFERROR(VLOOKUP($C:$C,Structure!$A:$AJ,I$1,0)*15,0),IFERROR(VLOOKUP($D:$D,Structure!$A:$AJ,I$1,0)*15,0),IFERROR(VLOOKUP($E:$E,Structure!$A:$AJ,I$1,0)*15,0))</f>
        <v>0</v>
      </c>
      <c r="J162" s="13">
        <f>SUM(IFERROR(VLOOKUP($C:$C,Structure!$A:$AJ,J$1,0)*15,0),IFERROR(VLOOKUP($D:$D,Structure!$A:$AJ,J$1,0)*15,0),IFERROR(VLOOKUP($E:$E,Structure!$A:$AJ,J$1,0)*15,0))</f>
        <v>0</v>
      </c>
      <c r="K162" s="13">
        <f>SUM(IFERROR(VLOOKUP($C:$C,Structure!$A:$AJ,K$1,0)*15,0),IFERROR(VLOOKUP($D:$D,Structure!$A:$AJ,K$1,0)*15,0),IFERROR(VLOOKUP($E:$E,Structure!$A:$AJ,K$1,0)*15,0))</f>
        <v>0</v>
      </c>
      <c r="L162" s="13">
        <f>SUM(IFERROR(VLOOKUP($C:$C,Structure!$A:$AJ,L$1,0)*15,0),IFERROR(VLOOKUP($D:$D,Structure!$A:$AJ,L$1,0)*15,0),IFERROR(VLOOKUP($E:$E,Structure!$A:$AJ,L$1,0)*15,0))</f>
        <v>0</v>
      </c>
      <c r="M162" s="13">
        <f>SUM(IFERROR(VLOOKUP($C:$C,Structure!$A:$AJ,M$1,0)*15,0),IFERROR(VLOOKUP($D:$D,Structure!$A:$AJ,M$1,0)*15,0),IFERROR(VLOOKUP($E:$E,Structure!$A:$AJ,M$1,0)*15,0))</f>
        <v>0</v>
      </c>
      <c r="N162" s="13">
        <f>SUM(IFERROR(VLOOKUP($C:$C,Structure!$A:$AJ,N$1,0)*15,0),IFERROR(VLOOKUP($D:$D,Structure!$A:$AJ,N$1,0)*15,0),IFERROR(VLOOKUP($E:$E,Structure!$A:$AJ,N$1,0)*15,0))</f>
        <v>0</v>
      </c>
      <c r="O162" s="13">
        <f>SUM(IFERROR(VLOOKUP($C:$C,Structure!$A:$AJ,O$1,0)*15,0),IFERROR(VLOOKUP($D:$D,Structure!$A:$AJ,O$1,0)*15,0),IFERROR(VLOOKUP($E:$E,Structure!$A:$AJ,O$1,0)*15,0))</f>
        <v>0</v>
      </c>
      <c r="P162" s="13">
        <f>SUM(IFERROR(VLOOKUP($C:$C,Structure!$A:$AJ,P$1,0)*15,0),IFERROR(VLOOKUP($D:$D,Structure!$A:$AJ,P$1,0)*15,0),IFERROR(VLOOKUP($E:$E,Structure!$A:$AJ,P$1,0)*15,0))</f>
        <v>0</v>
      </c>
      <c r="Q162" s="13">
        <f>SUM(IFERROR(VLOOKUP($C:$C,Structure!$A:$AJ,Q$1,0)*15,0),IFERROR(VLOOKUP($D:$D,Structure!$A:$AJ,Q$1,0)*15,0),IFERROR(VLOOKUP($E:$E,Structure!$A:$AJ,Q$1,0)*15,0))</f>
        <v>0</v>
      </c>
      <c r="R162" s="13">
        <f>SUM(IFERROR(VLOOKUP($C:$C,Structure!$A:$AJ,R$1,0)*15,0),IFERROR(VLOOKUP($D:$D,Structure!$A:$AJ,R$1,0)*15,0),IFERROR(VLOOKUP($E:$E,Structure!$A:$AJ,R$1,0)*15,0))</f>
        <v>0</v>
      </c>
      <c r="S162" s="13">
        <f>SUM(IFERROR(VLOOKUP($C:$C,Structure!$A:$AJ,S$1,0)*15,0),IFERROR(VLOOKUP($D:$D,Structure!$A:$AJ,S$1,0)*15,0),IFERROR(VLOOKUP($E:$E,Structure!$A:$AJ,S$1,0)*15,0))</f>
        <v>0</v>
      </c>
      <c r="T162" s="13">
        <f>SUM(IFERROR(VLOOKUP($C:$C,Structure!$A:$AJ,T$1,0)*15,0),IFERROR(VLOOKUP($D:$D,Structure!$A:$AJ,T$1,0)*15,0),IFERROR(VLOOKUP($E:$E,Structure!$A:$AJ,T$1,0)*15,0))</f>
        <v>0</v>
      </c>
      <c r="U162" s="13">
        <f>SUM(IFERROR(VLOOKUP($C:$C,Structure!$A:$AJ,U$1,0)*15,0),IFERROR(VLOOKUP($D:$D,Structure!$A:$AJ,U$1,0)*15,0),IFERROR(VLOOKUP($E:$E,Structure!$A:$AJ,U$1,0)*15,0))</f>
        <v>0</v>
      </c>
      <c r="V162" s="13">
        <f>SUM(IFERROR(VLOOKUP($C:$C,Structure!$A:$AJ,V$1,0)*15,0),IFERROR(VLOOKUP($D:$D,Structure!$A:$AJ,V$1,0)*15,0),IFERROR(VLOOKUP($E:$E,Structure!$A:$AJ,V$1,0)*15,0))</f>
        <v>0</v>
      </c>
      <c r="W162" s="13">
        <f>SUM(IFERROR(VLOOKUP($C:$C,Structure!$A:$AJ,W$1,0)*15,0),IFERROR(VLOOKUP($D:$D,Structure!$A:$AJ,W$1,0)*15,0),IFERROR(VLOOKUP($E:$E,Structure!$A:$AJ,W$1,0)*15,0))</f>
        <v>0</v>
      </c>
      <c r="X162" s="13">
        <f>SUM(IFERROR(VLOOKUP($C:$C,Structure!$A:$AJ,X$1,0)*15,0),IFERROR(VLOOKUP($D:$D,Structure!$A:$AJ,X$1,0)*15,0),IFERROR(VLOOKUP($E:$E,Structure!$A:$AJ,X$1,0)*15,0))</f>
        <v>0</v>
      </c>
      <c r="Y162" s="13">
        <f>SUM(IFERROR(VLOOKUP($C:$C,Structure!$A:$AJ,Y$1,0)*15,0),IFERROR(VLOOKUP($D:$D,Structure!$A:$AJ,Y$1,0)*15,0),IFERROR(VLOOKUP($E:$E,Structure!$A:$AJ,Y$1,0)*15,0))</f>
        <v>0</v>
      </c>
      <c r="Z162" s="13">
        <f>SUM(IFERROR(VLOOKUP($C:$C,Structure!$A:$AJ,Z$1,0)*15,0),IFERROR(VLOOKUP($D:$D,Structure!$A:$AJ,Z$1,0)*15,0),IFERROR(VLOOKUP($E:$E,Structure!$A:$AJ,Z$1,0)*15,0))</f>
        <v>0</v>
      </c>
      <c r="AA162" s="13">
        <f>SUM(IFERROR(VLOOKUP($C:$C,Structure!$A:$AJ,AA$1,0)*15,0),IFERROR(VLOOKUP($D:$D,Structure!$A:$AJ,AA$1,0)*15,0),IFERROR(VLOOKUP($E:$E,Structure!$A:$AJ,AA$1,0)*15,0))</f>
        <v>45</v>
      </c>
      <c r="AB162" s="13">
        <f>SUM(IFERROR(VLOOKUP($C:$C,Structure!$A:$AJ,AB$1,0)*15,0),IFERROR(VLOOKUP($D:$D,Structure!$A:$AJ,AB$1,0)*15,0),IFERROR(VLOOKUP($E:$E,Structure!$A:$AJ,AB$1,0)*15,0))</f>
        <v>0</v>
      </c>
      <c r="AC162" s="13">
        <f>SUM(IFERROR(VLOOKUP($C:$C,Structure!$A:$AJ,AC$1,0)*15,0),IFERROR(VLOOKUP($D:$D,Structure!$A:$AJ,AC$1,0)*15,0),IFERROR(VLOOKUP($E:$E,Structure!$A:$AJ,AC$1,0)*15,0))</f>
        <v>0</v>
      </c>
      <c r="AD162" s="13">
        <f>SUM(IFERROR(VLOOKUP($C:$C,Structure!$A:$AJ,AD$1,0)*15,0),IFERROR(VLOOKUP($D:$D,Structure!$A:$AJ,AD$1,0)*15,0),IFERROR(VLOOKUP($E:$E,Structure!$A:$AJ,AD$1,0)*15,0))</f>
        <v>0</v>
      </c>
      <c r="AE162" s="13">
        <f>SUM(IFERROR(VLOOKUP($C:$C,Structure!$A:$AJ,AE$1,0)*15,0),IFERROR(VLOOKUP($D:$D,Structure!$A:$AJ,AE$1,0)*15,0),IFERROR(VLOOKUP($E:$E,Structure!$A:$AJ,AE$1,0)*15,0))</f>
        <v>0</v>
      </c>
      <c r="AF162" s="13">
        <f>SUM(IFERROR(VLOOKUP($C:$C,Structure!$A:$AJ,AF$1,0)*15,0),IFERROR(VLOOKUP($D:$D,Structure!$A:$AJ,AF$1,0)*15,0),IFERROR(VLOOKUP($E:$E,Structure!$A:$AJ,AF$1,0)*15,0))</f>
        <v>0</v>
      </c>
      <c r="AG162" s="13">
        <f>SUM(IFERROR(VLOOKUP($C:$C,Structure!$A:$AJ,AG$1,0)*15,0),IFERROR(VLOOKUP($D:$D,Structure!$A:$AJ,AG$1,0)*15,0),IFERROR(VLOOKUP($E:$E,Structure!$A:$AJ,AG$1,0)*15,0))</f>
        <v>0</v>
      </c>
      <c r="AH162" s="13">
        <f>SUM(IFERROR(VLOOKUP($C:$C,Structure!$A:$AJ,AH$1,0)*15,0),IFERROR(VLOOKUP($D:$D,Structure!$A:$AJ,AH$1,0)*15,0),IFERROR(VLOOKUP($E:$E,Structure!$A:$AJ,AH$1,0)*15,0))</f>
        <v>0</v>
      </c>
      <c r="AI162" s="13">
        <f>SUM(IFERROR(VLOOKUP($C:$C,Structure!$A:$AJ,AI$1,0)*15,0),IFERROR(VLOOKUP($D:$D,Structure!$A:$AJ,AI$1,0)*15,0),IFERROR(VLOOKUP($E:$E,Structure!$A:$AJ,AI$1,0)*15,0))</f>
        <v>0</v>
      </c>
      <c r="AJ162" s="13">
        <f>SUM(IFERROR(VLOOKUP($C:$C,Structure!$A:$AJ,AJ$1,0)*15,0),IFERROR(VLOOKUP($D:$D,Structure!$A:$AJ,AJ$1,0)*15,0),IFERROR(VLOOKUP($E:$E,Structure!$A:$AJ,AJ$1,0)*15,0))</f>
        <v>45</v>
      </c>
      <c r="AK162" s="13">
        <f>SUM(IFERROR(VLOOKUP($C:$C,Structure!$A:$AJ,AK$1,0)*15,0),IFERROR(VLOOKUP($D:$D,Structure!$A:$AJ,AK$1,0)*15,0),IFERROR(VLOOKUP($E:$E,Structure!$A:$AJ,AK$1,0)*15,0))</f>
        <v>0</v>
      </c>
      <c r="AL162" s="13">
        <f>SUM(IFERROR(VLOOKUP($C:$C,Structure!$A:$AJ,AL$1,0)*15,0),IFERROR(VLOOKUP($D:$D,Structure!$A:$AJ,AL$1,0)*15,0),IFERROR(VLOOKUP($E:$E,Structure!$A:$AJ,AL$1,0)*15,0))</f>
        <v>0</v>
      </c>
      <c r="AM162" s="13">
        <f>SUM(IFERROR(VLOOKUP($C:$C,Structure!$A:$AJ,AM$1,0)*15,0),IFERROR(VLOOKUP($D:$D,Structure!$A:$AJ,AM$1,0)*15,0),IFERROR(VLOOKUP($E:$E,Structure!$A:$AJ,AM$1,0)*15,0))</f>
        <v>0</v>
      </c>
      <c r="AN162" s="13">
        <f>SUM(IFERROR(VLOOKUP($C:$C,Structure!$A:$AJ,AN$1,0)*15,0),IFERROR(VLOOKUP($D:$D,Structure!$A:$AJ,AN$1,0)*15,0),IFERROR(VLOOKUP($E:$E,Structure!$A:$AJ,AN$1,0)*15,0))</f>
        <v>0</v>
      </c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3"/>
      <c r="BZ162" s="4">
        <f>BZ161+AQ162-F162</f>
        <v>0</v>
      </c>
      <c r="CA162" s="4">
        <f>CA161+AR162-G162</f>
        <v>0</v>
      </c>
      <c r="CB162" s="4">
        <f>CB161+AS162-H162</f>
        <v>0</v>
      </c>
      <c r="CC162" s="4">
        <f>CC161+AT162-I162</f>
        <v>0</v>
      </c>
      <c r="CD162" s="4">
        <f>CD161+AU162-J162</f>
        <v>0</v>
      </c>
      <c r="CE162" s="4">
        <f>CE161+AV162-K162</f>
        <v>0</v>
      </c>
      <c r="CF162" s="4">
        <f>CF161+AW162-L162</f>
        <v>0</v>
      </c>
      <c r="CG162" s="4">
        <f>CG161+AX162-M162</f>
        <v>0</v>
      </c>
      <c r="CH162" s="4">
        <f>CH161+AY162-N162</f>
        <v>0</v>
      </c>
      <c r="CI162" s="4">
        <f>CI161+AZ162-O162</f>
        <v>0</v>
      </c>
      <c r="CJ162" s="4">
        <f>CJ161+BA162-P162</f>
        <v>0</v>
      </c>
      <c r="CK162" s="4">
        <f>CK161+BB162-Q162</f>
        <v>0</v>
      </c>
      <c r="CL162" s="4">
        <f>CL161+BC162-R162</f>
        <v>0</v>
      </c>
      <c r="CM162" s="4">
        <f>CM161+BD162-S162</f>
        <v>0</v>
      </c>
      <c r="CN162" s="4">
        <f>CN161+BE162-T162</f>
        <v>0</v>
      </c>
      <c r="CO162" s="4">
        <f>CO161+BF162-U162</f>
        <v>0</v>
      </c>
      <c r="CP162" s="4">
        <f>CP161+BG162-V162</f>
        <v>-60</v>
      </c>
      <c r="CQ162" s="4">
        <f>CQ161+BH162-W162</f>
        <v>0</v>
      </c>
      <c r="CR162" s="4">
        <f>CR161+BI162-X162</f>
        <v>-60</v>
      </c>
      <c r="CS162" s="4">
        <f>CS161+BJ162-Y162</f>
        <v>0</v>
      </c>
      <c r="CT162" s="4">
        <f>CT161+BK162-Z162</f>
        <v>0</v>
      </c>
      <c r="CU162" s="4">
        <f>CU161+BL162-AA162</f>
        <v>-6485</v>
      </c>
      <c r="CV162" s="4">
        <f>CV161+BM162-AB162</f>
        <v>-240</v>
      </c>
      <c r="CW162" s="4">
        <f>CW161+BN162-AC162</f>
        <v>-255</v>
      </c>
      <c r="CX162" s="4">
        <f>CX161+BO162-AD162</f>
        <v>0</v>
      </c>
      <c r="CY162" s="4">
        <f>CY161+BP162-AE162</f>
        <v>-60</v>
      </c>
      <c r="CZ162" s="4">
        <f>CZ161+BQ162-AF162</f>
        <v>-160</v>
      </c>
      <c r="DA162" s="4">
        <f>DA161+BR162-AG162</f>
        <v>0</v>
      </c>
      <c r="DB162" s="4">
        <f>DB161+BS162-AH162</f>
        <v>-60</v>
      </c>
      <c r="DC162" s="4">
        <f>DC161+BT162-AI162</f>
        <v>0</v>
      </c>
      <c r="DD162" s="4">
        <f>DD161+BU162-AJ162</f>
        <v>-5125</v>
      </c>
      <c r="DE162" s="4">
        <f>DE161+BV162-AK162</f>
        <v>-1380</v>
      </c>
      <c r="DF162" s="4">
        <f>DF161+BW162-AL162</f>
        <v>0</v>
      </c>
      <c r="DG162" s="4">
        <f>DG161+BX162-AM162</f>
        <v>-235</v>
      </c>
      <c r="DH162" s="4">
        <f>DH161+BY162-AN162</f>
        <v>0</v>
      </c>
    </row>
    <row r="163" spans="1:112" x14ac:dyDescent="0.25">
      <c r="A163" s="6">
        <v>46185</v>
      </c>
      <c r="B163" s="7">
        <v>0.99999999961437425</v>
      </c>
      <c r="C163" s="3" t="s">
        <v>2</v>
      </c>
      <c r="D163" s="3" t="s">
        <v>6</v>
      </c>
      <c r="E163" s="3" t="s">
        <v>2</v>
      </c>
      <c r="F163" s="13">
        <f>SUM(IFERROR(VLOOKUP($C:$C,Structure!$A:$AJ,F$1,0)*15,0),IFERROR(VLOOKUP($D:$D,Structure!$A:$AJ,F$1,0)*15,0),IFERROR(VLOOKUP($E:$E,Structure!$A:$AJ,F$1,0)*15,0))</f>
        <v>0</v>
      </c>
      <c r="G163" s="13">
        <f>SUM(IFERROR(VLOOKUP($C:$C,Structure!$A:$AJ,G$1,0)*15,0),IFERROR(VLOOKUP($D:$D,Structure!$A:$AJ,G$1,0)*15,0),IFERROR(VLOOKUP($E:$E,Structure!$A:$AJ,G$1,0)*15,0))</f>
        <v>0</v>
      </c>
      <c r="H163" s="13">
        <f>SUM(IFERROR(VLOOKUP($C:$C,Structure!$A:$AJ,H$1,0)*15,0),IFERROR(VLOOKUP($D:$D,Structure!$A:$AJ,H$1,0)*15,0),IFERROR(VLOOKUP($E:$E,Structure!$A:$AJ,H$1,0)*15,0))</f>
        <v>0</v>
      </c>
      <c r="I163" s="13">
        <f>SUM(IFERROR(VLOOKUP($C:$C,Structure!$A:$AJ,I$1,0)*15,0),IFERROR(VLOOKUP($D:$D,Structure!$A:$AJ,I$1,0)*15,0),IFERROR(VLOOKUP($E:$E,Structure!$A:$AJ,I$1,0)*15,0))</f>
        <v>0</v>
      </c>
      <c r="J163" s="13">
        <f>SUM(IFERROR(VLOOKUP($C:$C,Structure!$A:$AJ,J$1,0)*15,0),IFERROR(VLOOKUP($D:$D,Structure!$A:$AJ,J$1,0)*15,0),IFERROR(VLOOKUP($E:$E,Structure!$A:$AJ,J$1,0)*15,0))</f>
        <v>0</v>
      </c>
      <c r="K163" s="13">
        <f>SUM(IFERROR(VLOOKUP($C:$C,Structure!$A:$AJ,K$1,0)*15,0),IFERROR(VLOOKUP($D:$D,Structure!$A:$AJ,K$1,0)*15,0),IFERROR(VLOOKUP($E:$E,Structure!$A:$AJ,K$1,0)*15,0))</f>
        <v>0</v>
      </c>
      <c r="L163" s="13">
        <f>SUM(IFERROR(VLOOKUP($C:$C,Structure!$A:$AJ,L$1,0)*15,0),IFERROR(VLOOKUP($D:$D,Structure!$A:$AJ,L$1,0)*15,0),IFERROR(VLOOKUP($E:$E,Structure!$A:$AJ,L$1,0)*15,0))</f>
        <v>0</v>
      </c>
      <c r="M163" s="13">
        <f>SUM(IFERROR(VLOOKUP($C:$C,Structure!$A:$AJ,M$1,0)*15,0),IFERROR(VLOOKUP($D:$D,Structure!$A:$AJ,M$1,0)*15,0),IFERROR(VLOOKUP($E:$E,Structure!$A:$AJ,M$1,0)*15,0))</f>
        <v>0</v>
      </c>
      <c r="N163" s="13">
        <f>SUM(IFERROR(VLOOKUP($C:$C,Structure!$A:$AJ,N$1,0)*15,0),IFERROR(VLOOKUP($D:$D,Structure!$A:$AJ,N$1,0)*15,0),IFERROR(VLOOKUP($E:$E,Structure!$A:$AJ,N$1,0)*15,0))</f>
        <v>0</v>
      </c>
      <c r="O163" s="13">
        <f>SUM(IFERROR(VLOOKUP($C:$C,Structure!$A:$AJ,O$1,0)*15,0),IFERROR(VLOOKUP($D:$D,Structure!$A:$AJ,O$1,0)*15,0),IFERROR(VLOOKUP($E:$E,Structure!$A:$AJ,O$1,0)*15,0))</f>
        <v>0</v>
      </c>
      <c r="P163" s="13">
        <f>SUM(IFERROR(VLOOKUP($C:$C,Structure!$A:$AJ,P$1,0)*15,0),IFERROR(VLOOKUP($D:$D,Structure!$A:$AJ,P$1,0)*15,0),IFERROR(VLOOKUP($E:$E,Structure!$A:$AJ,P$1,0)*15,0))</f>
        <v>0</v>
      </c>
      <c r="Q163" s="13">
        <f>SUM(IFERROR(VLOOKUP($C:$C,Structure!$A:$AJ,Q$1,0)*15,0),IFERROR(VLOOKUP($D:$D,Structure!$A:$AJ,Q$1,0)*15,0),IFERROR(VLOOKUP($E:$E,Structure!$A:$AJ,Q$1,0)*15,0))</f>
        <v>0</v>
      </c>
      <c r="R163" s="13">
        <f>SUM(IFERROR(VLOOKUP($C:$C,Structure!$A:$AJ,R$1,0)*15,0),IFERROR(VLOOKUP($D:$D,Structure!$A:$AJ,R$1,0)*15,0),IFERROR(VLOOKUP($E:$E,Structure!$A:$AJ,R$1,0)*15,0))</f>
        <v>0</v>
      </c>
      <c r="S163" s="13">
        <f>SUM(IFERROR(VLOOKUP($C:$C,Structure!$A:$AJ,S$1,0)*15,0),IFERROR(VLOOKUP($D:$D,Structure!$A:$AJ,S$1,0)*15,0),IFERROR(VLOOKUP($E:$E,Structure!$A:$AJ,S$1,0)*15,0))</f>
        <v>0</v>
      </c>
      <c r="T163" s="13">
        <f>SUM(IFERROR(VLOOKUP($C:$C,Structure!$A:$AJ,T$1,0)*15,0),IFERROR(VLOOKUP($D:$D,Structure!$A:$AJ,T$1,0)*15,0),IFERROR(VLOOKUP($E:$E,Structure!$A:$AJ,T$1,0)*15,0))</f>
        <v>0</v>
      </c>
      <c r="U163" s="13">
        <f>SUM(IFERROR(VLOOKUP($C:$C,Structure!$A:$AJ,U$1,0)*15,0),IFERROR(VLOOKUP($D:$D,Structure!$A:$AJ,U$1,0)*15,0),IFERROR(VLOOKUP($E:$E,Structure!$A:$AJ,U$1,0)*15,0))</f>
        <v>0</v>
      </c>
      <c r="V163" s="13">
        <f>SUM(IFERROR(VLOOKUP($C:$C,Structure!$A:$AJ,V$1,0)*15,0),IFERROR(VLOOKUP($D:$D,Structure!$A:$AJ,V$1,0)*15,0),IFERROR(VLOOKUP($E:$E,Structure!$A:$AJ,V$1,0)*15,0))</f>
        <v>0</v>
      </c>
      <c r="W163" s="13">
        <f>SUM(IFERROR(VLOOKUP($C:$C,Structure!$A:$AJ,W$1,0)*15,0),IFERROR(VLOOKUP($D:$D,Structure!$A:$AJ,W$1,0)*15,0),IFERROR(VLOOKUP($E:$E,Structure!$A:$AJ,W$1,0)*15,0))</f>
        <v>0</v>
      </c>
      <c r="X163" s="13">
        <f>SUM(IFERROR(VLOOKUP($C:$C,Structure!$A:$AJ,X$1,0)*15,0),IFERROR(VLOOKUP($D:$D,Structure!$A:$AJ,X$1,0)*15,0),IFERROR(VLOOKUP($E:$E,Structure!$A:$AJ,X$1,0)*15,0))</f>
        <v>0</v>
      </c>
      <c r="Y163" s="13">
        <f>SUM(IFERROR(VLOOKUP($C:$C,Structure!$A:$AJ,Y$1,0)*15,0),IFERROR(VLOOKUP($D:$D,Structure!$A:$AJ,Y$1,0)*15,0),IFERROR(VLOOKUP($E:$E,Structure!$A:$AJ,Y$1,0)*15,0))</f>
        <v>0</v>
      </c>
      <c r="Z163" s="13">
        <f>SUM(IFERROR(VLOOKUP($C:$C,Structure!$A:$AJ,Z$1,0)*15,0),IFERROR(VLOOKUP($D:$D,Structure!$A:$AJ,Z$1,0)*15,0),IFERROR(VLOOKUP($E:$E,Structure!$A:$AJ,Z$1,0)*15,0))</f>
        <v>0</v>
      </c>
      <c r="AA163" s="13">
        <f>SUM(IFERROR(VLOOKUP($C:$C,Structure!$A:$AJ,AA$1,0)*15,0),IFERROR(VLOOKUP($D:$D,Structure!$A:$AJ,AA$1,0)*15,0),IFERROR(VLOOKUP($E:$E,Structure!$A:$AJ,AA$1,0)*15,0))</f>
        <v>45</v>
      </c>
      <c r="AB163" s="13">
        <f>SUM(IFERROR(VLOOKUP($C:$C,Structure!$A:$AJ,AB$1,0)*15,0),IFERROR(VLOOKUP($D:$D,Structure!$A:$AJ,AB$1,0)*15,0),IFERROR(VLOOKUP($E:$E,Structure!$A:$AJ,AB$1,0)*15,0))</f>
        <v>0</v>
      </c>
      <c r="AC163" s="13">
        <f>SUM(IFERROR(VLOOKUP($C:$C,Structure!$A:$AJ,AC$1,0)*15,0),IFERROR(VLOOKUP($D:$D,Structure!$A:$AJ,AC$1,0)*15,0),IFERROR(VLOOKUP($E:$E,Structure!$A:$AJ,AC$1,0)*15,0))</f>
        <v>0</v>
      </c>
      <c r="AD163" s="13">
        <f>SUM(IFERROR(VLOOKUP($C:$C,Structure!$A:$AJ,AD$1,0)*15,0),IFERROR(VLOOKUP($D:$D,Structure!$A:$AJ,AD$1,0)*15,0),IFERROR(VLOOKUP($E:$E,Structure!$A:$AJ,AD$1,0)*15,0))</f>
        <v>0</v>
      </c>
      <c r="AE163" s="13">
        <f>SUM(IFERROR(VLOOKUP($C:$C,Structure!$A:$AJ,AE$1,0)*15,0),IFERROR(VLOOKUP($D:$D,Structure!$A:$AJ,AE$1,0)*15,0),IFERROR(VLOOKUP($E:$E,Structure!$A:$AJ,AE$1,0)*15,0))</f>
        <v>0</v>
      </c>
      <c r="AF163" s="13">
        <f>SUM(IFERROR(VLOOKUP($C:$C,Structure!$A:$AJ,AF$1,0)*15,0),IFERROR(VLOOKUP($D:$D,Structure!$A:$AJ,AF$1,0)*15,0),IFERROR(VLOOKUP($E:$E,Structure!$A:$AJ,AF$1,0)*15,0))</f>
        <v>0</v>
      </c>
      <c r="AG163" s="13">
        <f>SUM(IFERROR(VLOOKUP($C:$C,Structure!$A:$AJ,AG$1,0)*15,0),IFERROR(VLOOKUP($D:$D,Structure!$A:$AJ,AG$1,0)*15,0),IFERROR(VLOOKUP($E:$E,Structure!$A:$AJ,AG$1,0)*15,0))</f>
        <v>0</v>
      </c>
      <c r="AH163" s="13">
        <f>SUM(IFERROR(VLOOKUP($C:$C,Structure!$A:$AJ,AH$1,0)*15,0),IFERROR(VLOOKUP($D:$D,Structure!$A:$AJ,AH$1,0)*15,0),IFERROR(VLOOKUP($E:$E,Structure!$A:$AJ,AH$1,0)*15,0))</f>
        <v>0</v>
      </c>
      <c r="AI163" s="13">
        <f>SUM(IFERROR(VLOOKUP($C:$C,Structure!$A:$AJ,AI$1,0)*15,0),IFERROR(VLOOKUP($D:$D,Structure!$A:$AJ,AI$1,0)*15,0),IFERROR(VLOOKUP($E:$E,Structure!$A:$AJ,AI$1,0)*15,0))</f>
        <v>0</v>
      </c>
      <c r="AJ163" s="13">
        <f>SUM(IFERROR(VLOOKUP($C:$C,Structure!$A:$AJ,AJ$1,0)*15,0),IFERROR(VLOOKUP($D:$D,Structure!$A:$AJ,AJ$1,0)*15,0),IFERROR(VLOOKUP($E:$E,Structure!$A:$AJ,AJ$1,0)*15,0))</f>
        <v>45</v>
      </c>
      <c r="AK163" s="13">
        <f>SUM(IFERROR(VLOOKUP($C:$C,Structure!$A:$AJ,AK$1,0)*15,0),IFERROR(VLOOKUP($D:$D,Structure!$A:$AJ,AK$1,0)*15,0),IFERROR(VLOOKUP($E:$E,Structure!$A:$AJ,AK$1,0)*15,0))</f>
        <v>0</v>
      </c>
      <c r="AL163" s="13">
        <f>SUM(IFERROR(VLOOKUP($C:$C,Structure!$A:$AJ,AL$1,0)*15,0),IFERROR(VLOOKUP($D:$D,Structure!$A:$AJ,AL$1,0)*15,0),IFERROR(VLOOKUP($E:$E,Structure!$A:$AJ,AL$1,0)*15,0))</f>
        <v>0</v>
      </c>
      <c r="AM163" s="13">
        <f>SUM(IFERROR(VLOOKUP($C:$C,Structure!$A:$AJ,AM$1,0)*15,0),IFERROR(VLOOKUP($D:$D,Structure!$A:$AJ,AM$1,0)*15,0),IFERROR(VLOOKUP($E:$E,Structure!$A:$AJ,AM$1,0)*15,0))</f>
        <v>0</v>
      </c>
      <c r="AN163" s="13">
        <f>SUM(IFERROR(VLOOKUP($C:$C,Structure!$A:$AJ,AN$1,0)*15,0),IFERROR(VLOOKUP($D:$D,Structure!$A:$AJ,AN$1,0)*15,0),IFERROR(VLOOKUP($E:$E,Structure!$A:$AJ,AN$1,0)*15,0))</f>
        <v>0</v>
      </c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3"/>
      <c r="BZ163" s="4">
        <f>BZ162+AQ163-F163</f>
        <v>0</v>
      </c>
      <c r="CA163" s="4">
        <f>CA162+AR163-G163</f>
        <v>0</v>
      </c>
      <c r="CB163" s="4">
        <f>CB162+AS163-H163</f>
        <v>0</v>
      </c>
      <c r="CC163" s="4">
        <f>CC162+AT163-I163</f>
        <v>0</v>
      </c>
      <c r="CD163" s="4">
        <f>CD162+AU163-J163</f>
        <v>0</v>
      </c>
      <c r="CE163" s="4">
        <f>CE162+AV163-K163</f>
        <v>0</v>
      </c>
      <c r="CF163" s="4">
        <f>CF162+AW163-L163</f>
        <v>0</v>
      </c>
      <c r="CG163" s="4">
        <f>CG162+AX163-M163</f>
        <v>0</v>
      </c>
      <c r="CH163" s="4">
        <f>CH162+AY163-N163</f>
        <v>0</v>
      </c>
      <c r="CI163" s="4">
        <f>CI162+AZ163-O163</f>
        <v>0</v>
      </c>
      <c r="CJ163" s="4">
        <f>CJ162+BA163-P163</f>
        <v>0</v>
      </c>
      <c r="CK163" s="4">
        <f>CK162+BB163-Q163</f>
        <v>0</v>
      </c>
      <c r="CL163" s="4">
        <f>CL162+BC163-R163</f>
        <v>0</v>
      </c>
      <c r="CM163" s="4">
        <f>CM162+BD163-S163</f>
        <v>0</v>
      </c>
      <c r="CN163" s="4">
        <f>CN162+BE163-T163</f>
        <v>0</v>
      </c>
      <c r="CO163" s="4">
        <f>CO162+BF163-U163</f>
        <v>0</v>
      </c>
      <c r="CP163" s="4">
        <f>CP162+BG163-V163</f>
        <v>-60</v>
      </c>
      <c r="CQ163" s="4">
        <f>CQ162+BH163-W163</f>
        <v>0</v>
      </c>
      <c r="CR163" s="4">
        <f>CR162+BI163-X163</f>
        <v>-60</v>
      </c>
      <c r="CS163" s="4">
        <f>CS162+BJ163-Y163</f>
        <v>0</v>
      </c>
      <c r="CT163" s="4">
        <f>CT162+BK163-Z163</f>
        <v>0</v>
      </c>
      <c r="CU163" s="4">
        <f>CU162+BL163-AA163</f>
        <v>-6530</v>
      </c>
      <c r="CV163" s="4">
        <f>CV162+BM163-AB163</f>
        <v>-240</v>
      </c>
      <c r="CW163" s="4">
        <f>CW162+BN163-AC163</f>
        <v>-255</v>
      </c>
      <c r="CX163" s="4">
        <f>CX162+BO163-AD163</f>
        <v>0</v>
      </c>
      <c r="CY163" s="4">
        <f>CY162+BP163-AE163</f>
        <v>-60</v>
      </c>
      <c r="CZ163" s="4">
        <f>CZ162+BQ163-AF163</f>
        <v>-160</v>
      </c>
      <c r="DA163" s="4">
        <f>DA162+BR163-AG163</f>
        <v>0</v>
      </c>
      <c r="DB163" s="4">
        <f>DB162+BS163-AH163</f>
        <v>-60</v>
      </c>
      <c r="DC163" s="4">
        <f>DC162+BT163-AI163</f>
        <v>0</v>
      </c>
      <c r="DD163" s="4">
        <f>DD162+BU163-AJ163</f>
        <v>-5170</v>
      </c>
      <c r="DE163" s="4">
        <f>DE162+BV163-AK163</f>
        <v>-1380</v>
      </c>
      <c r="DF163" s="4">
        <f>DF162+BW163-AL163</f>
        <v>0</v>
      </c>
      <c r="DG163" s="4">
        <f>DG162+BX163-AM163</f>
        <v>-235</v>
      </c>
      <c r="DH163" s="4">
        <f>DH162+BY163-AN163</f>
        <v>0</v>
      </c>
    </row>
    <row r="164" spans="1:112" x14ac:dyDescent="0.25">
      <c r="A164" s="6">
        <v>46186</v>
      </c>
      <c r="B164" s="7">
        <v>4.1666666278615594E-2</v>
      </c>
      <c r="C164" s="3" t="s">
        <v>2</v>
      </c>
      <c r="D164" s="3" t="s">
        <v>6</v>
      </c>
      <c r="E164" s="3" t="s">
        <v>2</v>
      </c>
      <c r="F164" s="13">
        <f>SUM(IFERROR(VLOOKUP($C:$C,Structure!$A:$AJ,F$1,0)*15,0),IFERROR(VLOOKUP($D:$D,Structure!$A:$AJ,F$1,0)*15,0),IFERROR(VLOOKUP($E:$E,Structure!$A:$AJ,F$1,0)*15,0))</f>
        <v>0</v>
      </c>
      <c r="G164" s="13">
        <f>SUM(IFERROR(VLOOKUP($C:$C,Structure!$A:$AJ,G$1,0)*15,0),IFERROR(VLOOKUP($D:$D,Structure!$A:$AJ,G$1,0)*15,0),IFERROR(VLOOKUP($E:$E,Structure!$A:$AJ,G$1,0)*15,0))</f>
        <v>0</v>
      </c>
      <c r="H164" s="13">
        <f>SUM(IFERROR(VLOOKUP($C:$C,Structure!$A:$AJ,H$1,0)*15,0),IFERROR(VLOOKUP($D:$D,Structure!$A:$AJ,H$1,0)*15,0),IFERROR(VLOOKUP($E:$E,Structure!$A:$AJ,H$1,0)*15,0))</f>
        <v>0</v>
      </c>
      <c r="I164" s="13">
        <f>SUM(IFERROR(VLOOKUP($C:$C,Structure!$A:$AJ,I$1,0)*15,0),IFERROR(VLOOKUP($D:$D,Structure!$A:$AJ,I$1,0)*15,0),IFERROR(VLOOKUP($E:$E,Structure!$A:$AJ,I$1,0)*15,0))</f>
        <v>0</v>
      </c>
      <c r="J164" s="13">
        <f>SUM(IFERROR(VLOOKUP($C:$C,Structure!$A:$AJ,J$1,0)*15,0),IFERROR(VLOOKUP($D:$D,Structure!$A:$AJ,J$1,0)*15,0),IFERROR(VLOOKUP($E:$E,Structure!$A:$AJ,J$1,0)*15,0))</f>
        <v>0</v>
      </c>
      <c r="K164" s="13">
        <f>SUM(IFERROR(VLOOKUP($C:$C,Structure!$A:$AJ,K$1,0)*15,0),IFERROR(VLOOKUP($D:$D,Structure!$A:$AJ,K$1,0)*15,0),IFERROR(VLOOKUP($E:$E,Structure!$A:$AJ,K$1,0)*15,0))</f>
        <v>0</v>
      </c>
      <c r="L164" s="13">
        <f>SUM(IFERROR(VLOOKUP($C:$C,Structure!$A:$AJ,L$1,0)*15,0),IFERROR(VLOOKUP($D:$D,Structure!$A:$AJ,L$1,0)*15,0),IFERROR(VLOOKUP($E:$E,Structure!$A:$AJ,L$1,0)*15,0))</f>
        <v>0</v>
      </c>
      <c r="M164" s="13">
        <f>SUM(IFERROR(VLOOKUP($C:$C,Structure!$A:$AJ,M$1,0)*15,0),IFERROR(VLOOKUP($D:$D,Structure!$A:$AJ,M$1,0)*15,0),IFERROR(VLOOKUP($E:$E,Structure!$A:$AJ,M$1,0)*15,0))</f>
        <v>0</v>
      </c>
      <c r="N164" s="13">
        <f>SUM(IFERROR(VLOOKUP($C:$C,Structure!$A:$AJ,N$1,0)*15,0),IFERROR(VLOOKUP($D:$D,Structure!$A:$AJ,N$1,0)*15,0),IFERROR(VLOOKUP($E:$E,Structure!$A:$AJ,N$1,0)*15,0))</f>
        <v>0</v>
      </c>
      <c r="O164" s="13">
        <f>SUM(IFERROR(VLOOKUP($C:$C,Structure!$A:$AJ,O$1,0)*15,0),IFERROR(VLOOKUP($D:$D,Structure!$A:$AJ,O$1,0)*15,0),IFERROR(VLOOKUP($E:$E,Structure!$A:$AJ,O$1,0)*15,0))</f>
        <v>0</v>
      </c>
      <c r="P164" s="13">
        <f>SUM(IFERROR(VLOOKUP($C:$C,Structure!$A:$AJ,P$1,0)*15,0),IFERROR(VLOOKUP($D:$D,Structure!$A:$AJ,P$1,0)*15,0),IFERROR(VLOOKUP($E:$E,Structure!$A:$AJ,P$1,0)*15,0))</f>
        <v>0</v>
      </c>
      <c r="Q164" s="13">
        <f>SUM(IFERROR(VLOOKUP($C:$C,Structure!$A:$AJ,Q$1,0)*15,0),IFERROR(VLOOKUP($D:$D,Structure!$A:$AJ,Q$1,0)*15,0),IFERROR(VLOOKUP($E:$E,Structure!$A:$AJ,Q$1,0)*15,0))</f>
        <v>0</v>
      </c>
      <c r="R164" s="13">
        <f>SUM(IFERROR(VLOOKUP($C:$C,Structure!$A:$AJ,R$1,0)*15,0),IFERROR(VLOOKUP($D:$D,Structure!$A:$AJ,R$1,0)*15,0),IFERROR(VLOOKUP($E:$E,Structure!$A:$AJ,R$1,0)*15,0))</f>
        <v>0</v>
      </c>
      <c r="S164" s="13">
        <f>SUM(IFERROR(VLOOKUP($C:$C,Structure!$A:$AJ,S$1,0)*15,0),IFERROR(VLOOKUP($D:$D,Structure!$A:$AJ,S$1,0)*15,0),IFERROR(VLOOKUP($E:$E,Structure!$A:$AJ,S$1,0)*15,0))</f>
        <v>0</v>
      </c>
      <c r="T164" s="13">
        <f>SUM(IFERROR(VLOOKUP($C:$C,Structure!$A:$AJ,T$1,0)*15,0),IFERROR(VLOOKUP($D:$D,Structure!$A:$AJ,T$1,0)*15,0),IFERROR(VLOOKUP($E:$E,Structure!$A:$AJ,T$1,0)*15,0))</f>
        <v>0</v>
      </c>
      <c r="U164" s="13">
        <f>SUM(IFERROR(VLOOKUP($C:$C,Structure!$A:$AJ,U$1,0)*15,0),IFERROR(VLOOKUP($D:$D,Structure!$A:$AJ,U$1,0)*15,0),IFERROR(VLOOKUP($E:$E,Structure!$A:$AJ,U$1,0)*15,0))</f>
        <v>0</v>
      </c>
      <c r="V164" s="13">
        <f>SUM(IFERROR(VLOOKUP($C:$C,Structure!$A:$AJ,V$1,0)*15,0),IFERROR(VLOOKUP($D:$D,Structure!$A:$AJ,V$1,0)*15,0),IFERROR(VLOOKUP($E:$E,Structure!$A:$AJ,V$1,0)*15,0))</f>
        <v>0</v>
      </c>
      <c r="W164" s="13">
        <f>SUM(IFERROR(VLOOKUP($C:$C,Structure!$A:$AJ,W$1,0)*15,0),IFERROR(VLOOKUP($D:$D,Structure!$A:$AJ,W$1,0)*15,0),IFERROR(VLOOKUP($E:$E,Structure!$A:$AJ,W$1,0)*15,0))</f>
        <v>0</v>
      </c>
      <c r="X164" s="13">
        <f>SUM(IFERROR(VLOOKUP($C:$C,Structure!$A:$AJ,X$1,0)*15,0),IFERROR(VLOOKUP($D:$D,Structure!$A:$AJ,X$1,0)*15,0),IFERROR(VLOOKUP($E:$E,Structure!$A:$AJ,X$1,0)*15,0))</f>
        <v>0</v>
      </c>
      <c r="Y164" s="13">
        <f>SUM(IFERROR(VLOOKUP($C:$C,Structure!$A:$AJ,Y$1,0)*15,0),IFERROR(VLOOKUP($D:$D,Structure!$A:$AJ,Y$1,0)*15,0),IFERROR(VLOOKUP($E:$E,Structure!$A:$AJ,Y$1,0)*15,0))</f>
        <v>0</v>
      </c>
      <c r="Z164" s="13">
        <f>SUM(IFERROR(VLOOKUP($C:$C,Structure!$A:$AJ,Z$1,0)*15,0),IFERROR(VLOOKUP($D:$D,Structure!$A:$AJ,Z$1,0)*15,0),IFERROR(VLOOKUP($E:$E,Structure!$A:$AJ,Z$1,0)*15,0))</f>
        <v>0</v>
      </c>
      <c r="AA164" s="13">
        <f>SUM(IFERROR(VLOOKUP($C:$C,Structure!$A:$AJ,AA$1,0)*15,0),IFERROR(VLOOKUP($D:$D,Structure!$A:$AJ,AA$1,0)*15,0),IFERROR(VLOOKUP($E:$E,Structure!$A:$AJ,AA$1,0)*15,0))</f>
        <v>45</v>
      </c>
      <c r="AB164" s="13">
        <f>SUM(IFERROR(VLOOKUP($C:$C,Structure!$A:$AJ,AB$1,0)*15,0),IFERROR(VLOOKUP($D:$D,Structure!$A:$AJ,AB$1,0)*15,0),IFERROR(VLOOKUP($E:$E,Structure!$A:$AJ,AB$1,0)*15,0))</f>
        <v>0</v>
      </c>
      <c r="AC164" s="13">
        <f>SUM(IFERROR(VLOOKUP($C:$C,Structure!$A:$AJ,AC$1,0)*15,0),IFERROR(VLOOKUP($D:$D,Structure!$A:$AJ,AC$1,0)*15,0),IFERROR(VLOOKUP($E:$E,Structure!$A:$AJ,AC$1,0)*15,0))</f>
        <v>0</v>
      </c>
      <c r="AD164" s="13">
        <f>SUM(IFERROR(VLOOKUP($C:$C,Structure!$A:$AJ,AD$1,0)*15,0),IFERROR(VLOOKUP($D:$D,Structure!$A:$AJ,AD$1,0)*15,0),IFERROR(VLOOKUP($E:$E,Structure!$A:$AJ,AD$1,0)*15,0))</f>
        <v>0</v>
      </c>
      <c r="AE164" s="13">
        <f>SUM(IFERROR(VLOOKUP($C:$C,Structure!$A:$AJ,AE$1,0)*15,0),IFERROR(VLOOKUP($D:$D,Structure!$A:$AJ,AE$1,0)*15,0),IFERROR(VLOOKUP($E:$E,Structure!$A:$AJ,AE$1,0)*15,0))</f>
        <v>0</v>
      </c>
      <c r="AF164" s="13">
        <f>SUM(IFERROR(VLOOKUP($C:$C,Structure!$A:$AJ,AF$1,0)*15,0),IFERROR(VLOOKUP($D:$D,Structure!$A:$AJ,AF$1,0)*15,0),IFERROR(VLOOKUP($E:$E,Structure!$A:$AJ,AF$1,0)*15,0))</f>
        <v>0</v>
      </c>
      <c r="AG164" s="13">
        <f>SUM(IFERROR(VLOOKUP($C:$C,Structure!$A:$AJ,AG$1,0)*15,0),IFERROR(VLOOKUP($D:$D,Structure!$A:$AJ,AG$1,0)*15,0),IFERROR(VLOOKUP($E:$E,Structure!$A:$AJ,AG$1,0)*15,0))</f>
        <v>0</v>
      </c>
      <c r="AH164" s="13">
        <f>SUM(IFERROR(VLOOKUP($C:$C,Structure!$A:$AJ,AH$1,0)*15,0),IFERROR(VLOOKUP($D:$D,Structure!$A:$AJ,AH$1,0)*15,0),IFERROR(VLOOKUP($E:$E,Structure!$A:$AJ,AH$1,0)*15,0))</f>
        <v>0</v>
      </c>
      <c r="AI164" s="13">
        <f>SUM(IFERROR(VLOOKUP($C:$C,Structure!$A:$AJ,AI$1,0)*15,0),IFERROR(VLOOKUP($D:$D,Structure!$A:$AJ,AI$1,0)*15,0),IFERROR(VLOOKUP($E:$E,Structure!$A:$AJ,AI$1,0)*15,0))</f>
        <v>0</v>
      </c>
      <c r="AJ164" s="13">
        <f>SUM(IFERROR(VLOOKUP($C:$C,Structure!$A:$AJ,AJ$1,0)*15,0),IFERROR(VLOOKUP($D:$D,Structure!$A:$AJ,AJ$1,0)*15,0),IFERROR(VLOOKUP($E:$E,Structure!$A:$AJ,AJ$1,0)*15,0))</f>
        <v>45</v>
      </c>
      <c r="AK164" s="13">
        <f>SUM(IFERROR(VLOOKUP($C:$C,Structure!$A:$AJ,AK$1,0)*15,0),IFERROR(VLOOKUP($D:$D,Structure!$A:$AJ,AK$1,0)*15,0),IFERROR(VLOOKUP($E:$E,Structure!$A:$AJ,AK$1,0)*15,0))</f>
        <v>0</v>
      </c>
      <c r="AL164" s="13">
        <f>SUM(IFERROR(VLOOKUP($C:$C,Structure!$A:$AJ,AL$1,0)*15,0),IFERROR(VLOOKUP($D:$D,Structure!$A:$AJ,AL$1,0)*15,0),IFERROR(VLOOKUP($E:$E,Structure!$A:$AJ,AL$1,0)*15,0))</f>
        <v>0</v>
      </c>
      <c r="AM164" s="13">
        <f>SUM(IFERROR(VLOOKUP($C:$C,Structure!$A:$AJ,AM$1,0)*15,0),IFERROR(VLOOKUP($D:$D,Structure!$A:$AJ,AM$1,0)*15,0),IFERROR(VLOOKUP($E:$E,Structure!$A:$AJ,AM$1,0)*15,0))</f>
        <v>0</v>
      </c>
      <c r="AN164" s="13">
        <f>SUM(IFERROR(VLOOKUP($C:$C,Structure!$A:$AJ,AN$1,0)*15,0),IFERROR(VLOOKUP($D:$D,Structure!$A:$AJ,AN$1,0)*15,0),IFERROR(VLOOKUP($E:$E,Structure!$A:$AJ,AN$1,0)*15,0))</f>
        <v>0</v>
      </c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3"/>
      <c r="BZ164" s="4">
        <f>BZ163+AQ164-F164</f>
        <v>0</v>
      </c>
      <c r="CA164" s="4">
        <f>CA163+AR164-G164</f>
        <v>0</v>
      </c>
      <c r="CB164" s="4">
        <f>CB163+AS164-H164</f>
        <v>0</v>
      </c>
      <c r="CC164" s="4">
        <f>CC163+AT164-I164</f>
        <v>0</v>
      </c>
      <c r="CD164" s="4">
        <f>CD163+AU164-J164</f>
        <v>0</v>
      </c>
      <c r="CE164" s="4">
        <f>CE163+AV164-K164</f>
        <v>0</v>
      </c>
      <c r="CF164" s="4">
        <f>CF163+AW164-L164</f>
        <v>0</v>
      </c>
      <c r="CG164" s="4">
        <f>CG163+AX164-M164</f>
        <v>0</v>
      </c>
      <c r="CH164" s="4">
        <f>CH163+AY164-N164</f>
        <v>0</v>
      </c>
      <c r="CI164" s="4">
        <f>CI163+AZ164-O164</f>
        <v>0</v>
      </c>
      <c r="CJ164" s="4">
        <f>CJ163+BA164-P164</f>
        <v>0</v>
      </c>
      <c r="CK164" s="4">
        <f>CK163+BB164-Q164</f>
        <v>0</v>
      </c>
      <c r="CL164" s="4">
        <f>CL163+BC164-R164</f>
        <v>0</v>
      </c>
      <c r="CM164" s="4">
        <f>CM163+BD164-S164</f>
        <v>0</v>
      </c>
      <c r="CN164" s="4">
        <f>CN163+BE164-T164</f>
        <v>0</v>
      </c>
      <c r="CO164" s="4">
        <f>CO163+BF164-U164</f>
        <v>0</v>
      </c>
      <c r="CP164" s="4">
        <f>CP163+BG164-V164</f>
        <v>-60</v>
      </c>
      <c r="CQ164" s="4">
        <f>CQ163+BH164-W164</f>
        <v>0</v>
      </c>
      <c r="CR164" s="4">
        <f>CR163+BI164-X164</f>
        <v>-60</v>
      </c>
      <c r="CS164" s="4">
        <f>CS163+BJ164-Y164</f>
        <v>0</v>
      </c>
      <c r="CT164" s="4">
        <f>CT163+BK164-Z164</f>
        <v>0</v>
      </c>
      <c r="CU164" s="4">
        <f>CU163+BL164-AA164</f>
        <v>-6575</v>
      </c>
      <c r="CV164" s="4">
        <f>CV163+BM164-AB164</f>
        <v>-240</v>
      </c>
      <c r="CW164" s="4">
        <f>CW163+BN164-AC164</f>
        <v>-255</v>
      </c>
      <c r="CX164" s="4">
        <f>CX163+BO164-AD164</f>
        <v>0</v>
      </c>
      <c r="CY164" s="4">
        <f>CY163+BP164-AE164</f>
        <v>-60</v>
      </c>
      <c r="CZ164" s="4">
        <f>CZ163+BQ164-AF164</f>
        <v>-160</v>
      </c>
      <c r="DA164" s="4">
        <f>DA163+BR164-AG164</f>
        <v>0</v>
      </c>
      <c r="DB164" s="4">
        <f>DB163+BS164-AH164</f>
        <v>-60</v>
      </c>
      <c r="DC164" s="4">
        <f>DC163+BT164-AI164</f>
        <v>0</v>
      </c>
      <c r="DD164" s="4">
        <f>DD163+BU164-AJ164</f>
        <v>-5215</v>
      </c>
      <c r="DE164" s="4">
        <f>DE163+BV164-AK164</f>
        <v>-1380</v>
      </c>
      <c r="DF164" s="4">
        <f>DF163+BW164-AL164</f>
        <v>0</v>
      </c>
      <c r="DG164" s="4">
        <f>DG163+BX164-AM164</f>
        <v>-235</v>
      </c>
      <c r="DH164" s="4">
        <f>DH163+BY164-AN164</f>
        <v>0</v>
      </c>
    </row>
    <row r="165" spans="1:112" x14ac:dyDescent="0.25">
      <c r="A165" s="6">
        <v>46186</v>
      </c>
      <c r="B165" s="7">
        <v>8.3333332942856941E-2</v>
      </c>
      <c r="C165" s="3" t="s">
        <v>2</v>
      </c>
      <c r="D165" s="3" t="s">
        <v>6</v>
      </c>
      <c r="E165" s="3" t="s">
        <v>2</v>
      </c>
      <c r="F165" s="13">
        <f>SUM(IFERROR(VLOOKUP($C:$C,Structure!$A:$AJ,F$1,0)*15,0),IFERROR(VLOOKUP($D:$D,Structure!$A:$AJ,F$1,0)*15,0),IFERROR(VLOOKUP($E:$E,Structure!$A:$AJ,F$1,0)*15,0))</f>
        <v>0</v>
      </c>
      <c r="G165" s="13">
        <f>SUM(IFERROR(VLOOKUP($C:$C,Structure!$A:$AJ,G$1,0)*15,0),IFERROR(VLOOKUP($D:$D,Structure!$A:$AJ,G$1,0)*15,0),IFERROR(VLOOKUP($E:$E,Structure!$A:$AJ,G$1,0)*15,0))</f>
        <v>0</v>
      </c>
      <c r="H165" s="13">
        <f>SUM(IFERROR(VLOOKUP($C:$C,Structure!$A:$AJ,H$1,0)*15,0),IFERROR(VLOOKUP($D:$D,Structure!$A:$AJ,H$1,0)*15,0),IFERROR(VLOOKUP($E:$E,Structure!$A:$AJ,H$1,0)*15,0))</f>
        <v>0</v>
      </c>
      <c r="I165" s="13">
        <f>SUM(IFERROR(VLOOKUP($C:$C,Structure!$A:$AJ,I$1,0)*15,0),IFERROR(VLOOKUP($D:$D,Structure!$A:$AJ,I$1,0)*15,0),IFERROR(VLOOKUP($E:$E,Structure!$A:$AJ,I$1,0)*15,0))</f>
        <v>0</v>
      </c>
      <c r="J165" s="13">
        <f>SUM(IFERROR(VLOOKUP($C:$C,Structure!$A:$AJ,J$1,0)*15,0),IFERROR(VLOOKUP($D:$D,Structure!$A:$AJ,J$1,0)*15,0),IFERROR(VLOOKUP($E:$E,Structure!$A:$AJ,J$1,0)*15,0))</f>
        <v>0</v>
      </c>
      <c r="K165" s="13">
        <f>SUM(IFERROR(VLOOKUP($C:$C,Structure!$A:$AJ,K$1,0)*15,0),IFERROR(VLOOKUP($D:$D,Structure!$A:$AJ,K$1,0)*15,0),IFERROR(VLOOKUP($E:$E,Structure!$A:$AJ,K$1,0)*15,0))</f>
        <v>0</v>
      </c>
      <c r="L165" s="13">
        <f>SUM(IFERROR(VLOOKUP($C:$C,Structure!$A:$AJ,L$1,0)*15,0),IFERROR(VLOOKUP($D:$D,Structure!$A:$AJ,L$1,0)*15,0),IFERROR(VLOOKUP($E:$E,Structure!$A:$AJ,L$1,0)*15,0))</f>
        <v>0</v>
      </c>
      <c r="M165" s="13">
        <f>SUM(IFERROR(VLOOKUP($C:$C,Structure!$A:$AJ,M$1,0)*15,0),IFERROR(VLOOKUP($D:$D,Structure!$A:$AJ,M$1,0)*15,0),IFERROR(VLOOKUP($E:$E,Structure!$A:$AJ,M$1,0)*15,0))</f>
        <v>0</v>
      </c>
      <c r="N165" s="13">
        <f>SUM(IFERROR(VLOOKUP($C:$C,Structure!$A:$AJ,N$1,0)*15,0),IFERROR(VLOOKUP($D:$D,Structure!$A:$AJ,N$1,0)*15,0),IFERROR(VLOOKUP($E:$E,Structure!$A:$AJ,N$1,0)*15,0))</f>
        <v>0</v>
      </c>
      <c r="O165" s="13">
        <f>SUM(IFERROR(VLOOKUP($C:$C,Structure!$A:$AJ,O$1,0)*15,0),IFERROR(VLOOKUP($D:$D,Structure!$A:$AJ,O$1,0)*15,0),IFERROR(VLOOKUP($E:$E,Structure!$A:$AJ,O$1,0)*15,0))</f>
        <v>0</v>
      </c>
      <c r="P165" s="13">
        <f>SUM(IFERROR(VLOOKUP($C:$C,Structure!$A:$AJ,P$1,0)*15,0),IFERROR(VLOOKUP($D:$D,Structure!$A:$AJ,P$1,0)*15,0),IFERROR(VLOOKUP($E:$E,Structure!$A:$AJ,P$1,0)*15,0))</f>
        <v>0</v>
      </c>
      <c r="Q165" s="13">
        <f>SUM(IFERROR(VLOOKUP($C:$C,Structure!$A:$AJ,Q$1,0)*15,0),IFERROR(VLOOKUP($D:$D,Structure!$A:$AJ,Q$1,0)*15,0),IFERROR(VLOOKUP($E:$E,Structure!$A:$AJ,Q$1,0)*15,0))</f>
        <v>0</v>
      </c>
      <c r="R165" s="13">
        <f>SUM(IFERROR(VLOOKUP($C:$C,Structure!$A:$AJ,R$1,0)*15,0),IFERROR(VLOOKUP($D:$D,Structure!$A:$AJ,R$1,0)*15,0),IFERROR(VLOOKUP($E:$E,Structure!$A:$AJ,R$1,0)*15,0))</f>
        <v>0</v>
      </c>
      <c r="S165" s="13">
        <f>SUM(IFERROR(VLOOKUP($C:$C,Structure!$A:$AJ,S$1,0)*15,0),IFERROR(VLOOKUP($D:$D,Structure!$A:$AJ,S$1,0)*15,0),IFERROR(VLOOKUP($E:$E,Structure!$A:$AJ,S$1,0)*15,0))</f>
        <v>0</v>
      </c>
      <c r="T165" s="13">
        <f>SUM(IFERROR(VLOOKUP($C:$C,Structure!$A:$AJ,T$1,0)*15,0),IFERROR(VLOOKUP($D:$D,Structure!$A:$AJ,T$1,0)*15,0),IFERROR(VLOOKUP($E:$E,Structure!$A:$AJ,T$1,0)*15,0))</f>
        <v>0</v>
      </c>
      <c r="U165" s="13">
        <f>SUM(IFERROR(VLOOKUP($C:$C,Structure!$A:$AJ,U$1,0)*15,0),IFERROR(VLOOKUP($D:$D,Structure!$A:$AJ,U$1,0)*15,0),IFERROR(VLOOKUP($E:$E,Structure!$A:$AJ,U$1,0)*15,0))</f>
        <v>0</v>
      </c>
      <c r="V165" s="13">
        <f>SUM(IFERROR(VLOOKUP($C:$C,Structure!$A:$AJ,V$1,0)*15,0),IFERROR(VLOOKUP($D:$D,Structure!$A:$AJ,V$1,0)*15,0),IFERROR(VLOOKUP($E:$E,Structure!$A:$AJ,V$1,0)*15,0))</f>
        <v>0</v>
      </c>
      <c r="W165" s="13">
        <f>SUM(IFERROR(VLOOKUP($C:$C,Structure!$A:$AJ,W$1,0)*15,0),IFERROR(VLOOKUP($D:$D,Structure!$A:$AJ,W$1,0)*15,0),IFERROR(VLOOKUP($E:$E,Structure!$A:$AJ,W$1,0)*15,0))</f>
        <v>0</v>
      </c>
      <c r="X165" s="13">
        <f>SUM(IFERROR(VLOOKUP($C:$C,Structure!$A:$AJ,X$1,0)*15,0),IFERROR(VLOOKUP($D:$D,Structure!$A:$AJ,X$1,0)*15,0),IFERROR(VLOOKUP($E:$E,Structure!$A:$AJ,X$1,0)*15,0))</f>
        <v>0</v>
      </c>
      <c r="Y165" s="13">
        <f>SUM(IFERROR(VLOOKUP($C:$C,Structure!$A:$AJ,Y$1,0)*15,0),IFERROR(VLOOKUP($D:$D,Structure!$A:$AJ,Y$1,0)*15,0),IFERROR(VLOOKUP($E:$E,Structure!$A:$AJ,Y$1,0)*15,0))</f>
        <v>0</v>
      </c>
      <c r="Z165" s="13">
        <f>SUM(IFERROR(VLOOKUP($C:$C,Structure!$A:$AJ,Z$1,0)*15,0),IFERROR(VLOOKUP($D:$D,Structure!$A:$AJ,Z$1,0)*15,0),IFERROR(VLOOKUP($E:$E,Structure!$A:$AJ,Z$1,0)*15,0))</f>
        <v>0</v>
      </c>
      <c r="AA165" s="13">
        <f>SUM(IFERROR(VLOOKUP($C:$C,Structure!$A:$AJ,AA$1,0)*15,0),IFERROR(VLOOKUP($D:$D,Structure!$A:$AJ,AA$1,0)*15,0),IFERROR(VLOOKUP($E:$E,Structure!$A:$AJ,AA$1,0)*15,0))</f>
        <v>45</v>
      </c>
      <c r="AB165" s="13">
        <f>SUM(IFERROR(VLOOKUP($C:$C,Structure!$A:$AJ,AB$1,0)*15,0),IFERROR(VLOOKUP($D:$D,Structure!$A:$AJ,AB$1,0)*15,0),IFERROR(VLOOKUP($E:$E,Structure!$A:$AJ,AB$1,0)*15,0))</f>
        <v>0</v>
      </c>
      <c r="AC165" s="13">
        <f>SUM(IFERROR(VLOOKUP($C:$C,Structure!$A:$AJ,AC$1,0)*15,0),IFERROR(VLOOKUP($D:$D,Structure!$A:$AJ,AC$1,0)*15,0),IFERROR(VLOOKUP($E:$E,Structure!$A:$AJ,AC$1,0)*15,0))</f>
        <v>0</v>
      </c>
      <c r="AD165" s="13">
        <f>SUM(IFERROR(VLOOKUP($C:$C,Structure!$A:$AJ,AD$1,0)*15,0),IFERROR(VLOOKUP($D:$D,Structure!$A:$AJ,AD$1,0)*15,0),IFERROR(VLOOKUP($E:$E,Structure!$A:$AJ,AD$1,0)*15,0))</f>
        <v>0</v>
      </c>
      <c r="AE165" s="13">
        <f>SUM(IFERROR(VLOOKUP($C:$C,Structure!$A:$AJ,AE$1,0)*15,0),IFERROR(VLOOKUP($D:$D,Structure!$A:$AJ,AE$1,0)*15,0),IFERROR(VLOOKUP($E:$E,Structure!$A:$AJ,AE$1,0)*15,0))</f>
        <v>0</v>
      </c>
      <c r="AF165" s="13">
        <f>SUM(IFERROR(VLOOKUP($C:$C,Structure!$A:$AJ,AF$1,0)*15,0),IFERROR(VLOOKUP($D:$D,Structure!$A:$AJ,AF$1,0)*15,0),IFERROR(VLOOKUP($E:$E,Structure!$A:$AJ,AF$1,0)*15,0))</f>
        <v>0</v>
      </c>
      <c r="AG165" s="13">
        <f>SUM(IFERROR(VLOOKUP($C:$C,Structure!$A:$AJ,AG$1,0)*15,0),IFERROR(VLOOKUP($D:$D,Structure!$A:$AJ,AG$1,0)*15,0),IFERROR(VLOOKUP($E:$E,Structure!$A:$AJ,AG$1,0)*15,0))</f>
        <v>0</v>
      </c>
      <c r="AH165" s="13">
        <f>SUM(IFERROR(VLOOKUP($C:$C,Structure!$A:$AJ,AH$1,0)*15,0),IFERROR(VLOOKUP($D:$D,Structure!$A:$AJ,AH$1,0)*15,0),IFERROR(VLOOKUP($E:$E,Structure!$A:$AJ,AH$1,0)*15,0))</f>
        <v>0</v>
      </c>
      <c r="AI165" s="13">
        <f>SUM(IFERROR(VLOOKUP($C:$C,Structure!$A:$AJ,AI$1,0)*15,0),IFERROR(VLOOKUP($D:$D,Structure!$A:$AJ,AI$1,0)*15,0),IFERROR(VLOOKUP($E:$E,Structure!$A:$AJ,AI$1,0)*15,0))</f>
        <v>0</v>
      </c>
      <c r="AJ165" s="13">
        <f>SUM(IFERROR(VLOOKUP($C:$C,Structure!$A:$AJ,AJ$1,0)*15,0),IFERROR(VLOOKUP($D:$D,Structure!$A:$AJ,AJ$1,0)*15,0),IFERROR(VLOOKUP($E:$E,Structure!$A:$AJ,AJ$1,0)*15,0))</f>
        <v>45</v>
      </c>
      <c r="AK165" s="13">
        <f>SUM(IFERROR(VLOOKUP($C:$C,Structure!$A:$AJ,AK$1,0)*15,0),IFERROR(VLOOKUP($D:$D,Structure!$A:$AJ,AK$1,0)*15,0),IFERROR(VLOOKUP($E:$E,Structure!$A:$AJ,AK$1,0)*15,0))</f>
        <v>0</v>
      </c>
      <c r="AL165" s="13">
        <f>SUM(IFERROR(VLOOKUP($C:$C,Structure!$A:$AJ,AL$1,0)*15,0),IFERROR(VLOOKUP($D:$D,Structure!$A:$AJ,AL$1,0)*15,0),IFERROR(VLOOKUP($E:$E,Structure!$A:$AJ,AL$1,0)*15,0))</f>
        <v>0</v>
      </c>
      <c r="AM165" s="13">
        <f>SUM(IFERROR(VLOOKUP($C:$C,Structure!$A:$AJ,AM$1,0)*15,0),IFERROR(VLOOKUP($D:$D,Structure!$A:$AJ,AM$1,0)*15,0),IFERROR(VLOOKUP($E:$E,Structure!$A:$AJ,AM$1,0)*15,0))</f>
        <v>0</v>
      </c>
      <c r="AN165" s="13">
        <f>SUM(IFERROR(VLOOKUP($C:$C,Structure!$A:$AJ,AN$1,0)*15,0),IFERROR(VLOOKUP($D:$D,Structure!$A:$AJ,AN$1,0)*15,0),IFERROR(VLOOKUP($E:$E,Structure!$A:$AJ,AN$1,0)*15,0))</f>
        <v>0</v>
      </c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3"/>
      <c r="BZ165" s="4">
        <f>BZ164+AQ165-F165</f>
        <v>0</v>
      </c>
      <c r="CA165" s="4">
        <f>CA164+AR165-G165</f>
        <v>0</v>
      </c>
      <c r="CB165" s="4">
        <f>CB164+AS165-H165</f>
        <v>0</v>
      </c>
      <c r="CC165" s="4">
        <f>CC164+AT165-I165</f>
        <v>0</v>
      </c>
      <c r="CD165" s="4">
        <f>CD164+AU165-J165</f>
        <v>0</v>
      </c>
      <c r="CE165" s="4">
        <f>CE164+AV165-K165</f>
        <v>0</v>
      </c>
      <c r="CF165" s="4">
        <f>CF164+AW165-L165</f>
        <v>0</v>
      </c>
      <c r="CG165" s="4">
        <f>CG164+AX165-M165</f>
        <v>0</v>
      </c>
      <c r="CH165" s="4">
        <f>CH164+AY165-N165</f>
        <v>0</v>
      </c>
      <c r="CI165" s="4">
        <f>CI164+AZ165-O165</f>
        <v>0</v>
      </c>
      <c r="CJ165" s="4">
        <f>CJ164+BA165-P165</f>
        <v>0</v>
      </c>
      <c r="CK165" s="4">
        <f>CK164+BB165-Q165</f>
        <v>0</v>
      </c>
      <c r="CL165" s="4">
        <f>CL164+BC165-R165</f>
        <v>0</v>
      </c>
      <c r="CM165" s="4">
        <f>CM164+BD165-S165</f>
        <v>0</v>
      </c>
      <c r="CN165" s="4">
        <f>CN164+BE165-T165</f>
        <v>0</v>
      </c>
      <c r="CO165" s="4">
        <f>CO164+BF165-U165</f>
        <v>0</v>
      </c>
      <c r="CP165" s="4">
        <f>CP164+BG165-V165</f>
        <v>-60</v>
      </c>
      <c r="CQ165" s="4">
        <f>CQ164+BH165-W165</f>
        <v>0</v>
      </c>
      <c r="CR165" s="4">
        <f>CR164+BI165-X165</f>
        <v>-60</v>
      </c>
      <c r="CS165" s="4">
        <f>CS164+BJ165-Y165</f>
        <v>0</v>
      </c>
      <c r="CT165" s="4">
        <f>CT164+BK165-Z165</f>
        <v>0</v>
      </c>
      <c r="CU165" s="4">
        <f>CU164+BL165-AA165</f>
        <v>-6620</v>
      </c>
      <c r="CV165" s="4">
        <f>CV164+BM165-AB165</f>
        <v>-240</v>
      </c>
      <c r="CW165" s="4">
        <f>CW164+BN165-AC165</f>
        <v>-255</v>
      </c>
      <c r="CX165" s="4">
        <f>CX164+BO165-AD165</f>
        <v>0</v>
      </c>
      <c r="CY165" s="4">
        <f>CY164+BP165-AE165</f>
        <v>-60</v>
      </c>
      <c r="CZ165" s="4">
        <f>CZ164+BQ165-AF165</f>
        <v>-160</v>
      </c>
      <c r="DA165" s="4">
        <f>DA164+BR165-AG165</f>
        <v>0</v>
      </c>
      <c r="DB165" s="4">
        <f>DB164+BS165-AH165</f>
        <v>-60</v>
      </c>
      <c r="DC165" s="4">
        <f>DC164+BT165-AI165</f>
        <v>0</v>
      </c>
      <c r="DD165" s="4">
        <f>DD164+BU165-AJ165</f>
        <v>-5260</v>
      </c>
      <c r="DE165" s="4">
        <f>DE164+BV165-AK165</f>
        <v>-1380</v>
      </c>
      <c r="DF165" s="4">
        <f>DF164+BW165-AL165</f>
        <v>0</v>
      </c>
      <c r="DG165" s="4">
        <f>DG164+BX165-AM165</f>
        <v>-235</v>
      </c>
      <c r="DH165" s="4">
        <f>DH164+BY165-AN165</f>
        <v>0</v>
      </c>
    </row>
    <row r="166" spans="1:112" x14ac:dyDescent="0.25">
      <c r="A166" s="6">
        <v>46186</v>
      </c>
      <c r="B166" s="7">
        <v>0.12499999960709829</v>
      </c>
      <c r="C166" s="3" t="s">
        <v>2</v>
      </c>
      <c r="D166" s="3" t="s">
        <v>6</v>
      </c>
      <c r="E166" s="3" t="s">
        <v>2</v>
      </c>
      <c r="F166" s="13">
        <f>SUM(IFERROR(VLOOKUP($C:$C,Structure!$A:$AJ,F$1,0)*15,0),IFERROR(VLOOKUP($D:$D,Structure!$A:$AJ,F$1,0)*15,0),IFERROR(VLOOKUP($E:$E,Structure!$A:$AJ,F$1,0)*15,0))</f>
        <v>0</v>
      </c>
      <c r="G166" s="13">
        <f>SUM(IFERROR(VLOOKUP($C:$C,Structure!$A:$AJ,G$1,0)*15,0),IFERROR(VLOOKUP($D:$D,Structure!$A:$AJ,G$1,0)*15,0),IFERROR(VLOOKUP($E:$E,Structure!$A:$AJ,G$1,0)*15,0))</f>
        <v>0</v>
      </c>
      <c r="H166" s="13">
        <f>SUM(IFERROR(VLOOKUP($C:$C,Structure!$A:$AJ,H$1,0)*15,0),IFERROR(VLOOKUP($D:$D,Structure!$A:$AJ,H$1,0)*15,0),IFERROR(VLOOKUP($E:$E,Structure!$A:$AJ,H$1,0)*15,0))</f>
        <v>0</v>
      </c>
      <c r="I166" s="13">
        <f>SUM(IFERROR(VLOOKUP($C:$C,Structure!$A:$AJ,I$1,0)*15,0),IFERROR(VLOOKUP($D:$D,Structure!$A:$AJ,I$1,0)*15,0),IFERROR(VLOOKUP($E:$E,Structure!$A:$AJ,I$1,0)*15,0))</f>
        <v>0</v>
      </c>
      <c r="J166" s="13">
        <f>SUM(IFERROR(VLOOKUP($C:$C,Structure!$A:$AJ,J$1,0)*15,0),IFERROR(VLOOKUP($D:$D,Structure!$A:$AJ,J$1,0)*15,0),IFERROR(VLOOKUP($E:$E,Structure!$A:$AJ,J$1,0)*15,0))</f>
        <v>0</v>
      </c>
      <c r="K166" s="13">
        <f>SUM(IFERROR(VLOOKUP($C:$C,Structure!$A:$AJ,K$1,0)*15,0),IFERROR(VLOOKUP($D:$D,Structure!$A:$AJ,K$1,0)*15,0),IFERROR(VLOOKUP($E:$E,Structure!$A:$AJ,K$1,0)*15,0))</f>
        <v>0</v>
      </c>
      <c r="L166" s="13">
        <f>SUM(IFERROR(VLOOKUP($C:$C,Structure!$A:$AJ,L$1,0)*15,0),IFERROR(VLOOKUP($D:$D,Structure!$A:$AJ,L$1,0)*15,0),IFERROR(VLOOKUP($E:$E,Structure!$A:$AJ,L$1,0)*15,0))</f>
        <v>0</v>
      </c>
      <c r="M166" s="13">
        <f>SUM(IFERROR(VLOOKUP($C:$C,Structure!$A:$AJ,M$1,0)*15,0),IFERROR(VLOOKUP($D:$D,Structure!$A:$AJ,M$1,0)*15,0),IFERROR(VLOOKUP($E:$E,Structure!$A:$AJ,M$1,0)*15,0))</f>
        <v>0</v>
      </c>
      <c r="N166" s="13">
        <f>SUM(IFERROR(VLOOKUP($C:$C,Structure!$A:$AJ,N$1,0)*15,0),IFERROR(VLOOKUP($D:$D,Structure!$A:$AJ,N$1,0)*15,0),IFERROR(VLOOKUP($E:$E,Structure!$A:$AJ,N$1,0)*15,0))</f>
        <v>0</v>
      </c>
      <c r="O166" s="13">
        <f>SUM(IFERROR(VLOOKUP($C:$C,Structure!$A:$AJ,O$1,0)*15,0),IFERROR(VLOOKUP($D:$D,Structure!$A:$AJ,O$1,0)*15,0),IFERROR(VLOOKUP($E:$E,Structure!$A:$AJ,O$1,0)*15,0))</f>
        <v>0</v>
      </c>
      <c r="P166" s="13">
        <f>SUM(IFERROR(VLOOKUP($C:$C,Structure!$A:$AJ,P$1,0)*15,0),IFERROR(VLOOKUP($D:$D,Structure!$A:$AJ,P$1,0)*15,0),IFERROR(VLOOKUP($E:$E,Structure!$A:$AJ,P$1,0)*15,0))</f>
        <v>0</v>
      </c>
      <c r="Q166" s="13">
        <f>SUM(IFERROR(VLOOKUP($C:$C,Structure!$A:$AJ,Q$1,0)*15,0),IFERROR(VLOOKUP($D:$D,Structure!$A:$AJ,Q$1,0)*15,0),IFERROR(VLOOKUP($E:$E,Structure!$A:$AJ,Q$1,0)*15,0))</f>
        <v>0</v>
      </c>
      <c r="R166" s="13">
        <f>SUM(IFERROR(VLOOKUP($C:$C,Structure!$A:$AJ,R$1,0)*15,0),IFERROR(VLOOKUP($D:$D,Structure!$A:$AJ,R$1,0)*15,0),IFERROR(VLOOKUP($E:$E,Structure!$A:$AJ,R$1,0)*15,0))</f>
        <v>0</v>
      </c>
      <c r="S166" s="13">
        <f>SUM(IFERROR(VLOOKUP($C:$C,Structure!$A:$AJ,S$1,0)*15,0),IFERROR(VLOOKUP($D:$D,Structure!$A:$AJ,S$1,0)*15,0),IFERROR(VLOOKUP($E:$E,Structure!$A:$AJ,S$1,0)*15,0))</f>
        <v>0</v>
      </c>
      <c r="T166" s="13">
        <f>SUM(IFERROR(VLOOKUP($C:$C,Structure!$A:$AJ,T$1,0)*15,0),IFERROR(VLOOKUP($D:$D,Structure!$A:$AJ,T$1,0)*15,0),IFERROR(VLOOKUP($E:$E,Structure!$A:$AJ,T$1,0)*15,0))</f>
        <v>0</v>
      </c>
      <c r="U166" s="13">
        <f>SUM(IFERROR(VLOOKUP($C:$C,Structure!$A:$AJ,U$1,0)*15,0),IFERROR(VLOOKUP($D:$D,Structure!$A:$AJ,U$1,0)*15,0),IFERROR(VLOOKUP($E:$E,Structure!$A:$AJ,U$1,0)*15,0))</f>
        <v>0</v>
      </c>
      <c r="V166" s="13">
        <f>SUM(IFERROR(VLOOKUP($C:$C,Structure!$A:$AJ,V$1,0)*15,0),IFERROR(VLOOKUP($D:$D,Structure!$A:$AJ,V$1,0)*15,0),IFERROR(VLOOKUP($E:$E,Structure!$A:$AJ,V$1,0)*15,0))</f>
        <v>0</v>
      </c>
      <c r="W166" s="13">
        <f>SUM(IFERROR(VLOOKUP($C:$C,Structure!$A:$AJ,W$1,0)*15,0),IFERROR(VLOOKUP($D:$D,Structure!$A:$AJ,W$1,0)*15,0),IFERROR(VLOOKUP($E:$E,Structure!$A:$AJ,W$1,0)*15,0))</f>
        <v>0</v>
      </c>
      <c r="X166" s="13">
        <f>SUM(IFERROR(VLOOKUP($C:$C,Structure!$A:$AJ,X$1,0)*15,0),IFERROR(VLOOKUP($D:$D,Structure!$A:$AJ,X$1,0)*15,0),IFERROR(VLOOKUP($E:$E,Structure!$A:$AJ,X$1,0)*15,0))</f>
        <v>0</v>
      </c>
      <c r="Y166" s="13">
        <f>SUM(IFERROR(VLOOKUP($C:$C,Structure!$A:$AJ,Y$1,0)*15,0),IFERROR(VLOOKUP($D:$D,Structure!$A:$AJ,Y$1,0)*15,0),IFERROR(VLOOKUP($E:$E,Structure!$A:$AJ,Y$1,0)*15,0))</f>
        <v>0</v>
      </c>
      <c r="Z166" s="13">
        <f>SUM(IFERROR(VLOOKUP($C:$C,Structure!$A:$AJ,Z$1,0)*15,0),IFERROR(VLOOKUP($D:$D,Structure!$A:$AJ,Z$1,0)*15,0),IFERROR(VLOOKUP($E:$E,Structure!$A:$AJ,Z$1,0)*15,0))</f>
        <v>0</v>
      </c>
      <c r="AA166" s="13">
        <f>SUM(IFERROR(VLOOKUP($C:$C,Structure!$A:$AJ,AA$1,0)*15,0),IFERROR(VLOOKUP($D:$D,Structure!$A:$AJ,AA$1,0)*15,0),IFERROR(VLOOKUP($E:$E,Structure!$A:$AJ,AA$1,0)*15,0))</f>
        <v>45</v>
      </c>
      <c r="AB166" s="13">
        <f>SUM(IFERROR(VLOOKUP($C:$C,Structure!$A:$AJ,AB$1,0)*15,0),IFERROR(VLOOKUP($D:$D,Structure!$A:$AJ,AB$1,0)*15,0),IFERROR(VLOOKUP($E:$E,Structure!$A:$AJ,AB$1,0)*15,0))</f>
        <v>0</v>
      </c>
      <c r="AC166" s="13">
        <f>SUM(IFERROR(VLOOKUP($C:$C,Structure!$A:$AJ,AC$1,0)*15,0),IFERROR(VLOOKUP($D:$D,Structure!$A:$AJ,AC$1,0)*15,0),IFERROR(VLOOKUP($E:$E,Structure!$A:$AJ,AC$1,0)*15,0))</f>
        <v>0</v>
      </c>
      <c r="AD166" s="13">
        <f>SUM(IFERROR(VLOOKUP($C:$C,Structure!$A:$AJ,AD$1,0)*15,0),IFERROR(VLOOKUP($D:$D,Structure!$A:$AJ,AD$1,0)*15,0),IFERROR(VLOOKUP($E:$E,Structure!$A:$AJ,AD$1,0)*15,0))</f>
        <v>0</v>
      </c>
      <c r="AE166" s="13">
        <f>SUM(IFERROR(VLOOKUP($C:$C,Structure!$A:$AJ,AE$1,0)*15,0),IFERROR(VLOOKUP($D:$D,Structure!$A:$AJ,AE$1,0)*15,0),IFERROR(VLOOKUP($E:$E,Structure!$A:$AJ,AE$1,0)*15,0))</f>
        <v>0</v>
      </c>
      <c r="AF166" s="13">
        <f>SUM(IFERROR(VLOOKUP($C:$C,Structure!$A:$AJ,AF$1,0)*15,0),IFERROR(VLOOKUP($D:$D,Structure!$A:$AJ,AF$1,0)*15,0),IFERROR(VLOOKUP($E:$E,Structure!$A:$AJ,AF$1,0)*15,0))</f>
        <v>0</v>
      </c>
      <c r="AG166" s="13">
        <f>SUM(IFERROR(VLOOKUP($C:$C,Structure!$A:$AJ,AG$1,0)*15,0),IFERROR(VLOOKUP($D:$D,Structure!$A:$AJ,AG$1,0)*15,0),IFERROR(VLOOKUP($E:$E,Structure!$A:$AJ,AG$1,0)*15,0))</f>
        <v>0</v>
      </c>
      <c r="AH166" s="13">
        <f>SUM(IFERROR(VLOOKUP($C:$C,Structure!$A:$AJ,AH$1,0)*15,0),IFERROR(VLOOKUP($D:$D,Structure!$A:$AJ,AH$1,0)*15,0),IFERROR(VLOOKUP($E:$E,Structure!$A:$AJ,AH$1,0)*15,0))</f>
        <v>0</v>
      </c>
      <c r="AI166" s="13">
        <f>SUM(IFERROR(VLOOKUP($C:$C,Structure!$A:$AJ,AI$1,0)*15,0),IFERROR(VLOOKUP($D:$D,Structure!$A:$AJ,AI$1,0)*15,0),IFERROR(VLOOKUP($E:$E,Structure!$A:$AJ,AI$1,0)*15,0))</f>
        <v>0</v>
      </c>
      <c r="AJ166" s="13">
        <f>SUM(IFERROR(VLOOKUP($C:$C,Structure!$A:$AJ,AJ$1,0)*15,0),IFERROR(VLOOKUP($D:$D,Structure!$A:$AJ,AJ$1,0)*15,0),IFERROR(VLOOKUP($E:$E,Structure!$A:$AJ,AJ$1,0)*15,0))</f>
        <v>45</v>
      </c>
      <c r="AK166" s="13">
        <f>SUM(IFERROR(VLOOKUP($C:$C,Structure!$A:$AJ,AK$1,0)*15,0),IFERROR(VLOOKUP($D:$D,Structure!$A:$AJ,AK$1,0)*15,0),IFERROR(VLOOKUP($E:$E,Structure!$A:$AJ,AK$1,0)*15,0))</f>
        <v>0</v>
      </c>
      <c r="AL166" s="13">
        <f>SUM(IFERROR(VLOOKUP($C:$C,Structure!$A:$AJ,AL$1,0)*15,0),IFERROR(VLOOKUP($D:$D,Structure!$A:$AJ,AL$1,0)*15,0),IFERROR(VLOOKUP($E:$E,Structure!$A:$AJ,AL$1,0)*15,0))</f>
        <v>0</v>
      </c>
      <c r="AM166" s="13">
        <f>SUM(IFERROR(VLOOKUP($C:$C,Structure!$A:$AJ,AM$1,0)*15,0),IFERROR(VLOOKUP($D:$D,Structure!$A:$AJ,AM$1,0)*15,0),IFERROR(VLOOKUP($E:$E,Structure!$A:$AJ,AM$1,0)*15,0))</f>
        <v>0</v>
      </c>
      <c r="AN166" s="13">
        <f>SUM(IFERROR(VLOOKUP($C:$C,Structure!$A:$AJ,AN$1,0)*15,0),IFERROR(VLOOKUP($D:$D,Structure!$A:$AJ,AN$1,0)*15,0),IFERROR(VLOOKUP($E:$E,Structure!$A:$AJ,AN$1,0)*15,0))</f>
        <v>0</v>
      </c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3"/>
      <c r="BZ166" s="4">
        <f>BZ165+AQ166-F166</f>
        <v>0</v>
      </c>
      <c r="CA166" s="4">
        <f>CA165+AR166-G166</f>
        <v>0</v>
      </c>
      <c r="CB166" s="4">
        <f>CB165+AS166-H166</f>
        <v>0</v>
      </c>
      <c r="CC166" s="4">
        <f>CC165+AT166-I166</f>
        <v>0</v>
      </c>
      <c r="CD166" s="4">
        <f>CD165+AU166-J166</f>
        <v>0</v>
      </c>
      <c r="CE166" s="4">
        <f>CE165+AV166-K166</f>
        <v>0</v>
      </c>
      <c r="CF166" s="4">
        <f>CF165+AW166-L166</f>
        <v>0</v>
      </c>
      <c r="CG166" s="4">
        <f>CG165+AX166-M166</f>
        <v>0</v>
      </c>
      <c r="CH166" s="4">
        <f>CH165+AY166-N166</f>
        <v>0</v>
      </c>
      <c r="CI166" s="4">
        <f>CI165+AZ166-O166</f>
        <v>0</v>
      </c>
      <c r="CJ166" s="4">
        <f>CJ165+BA166-P166</f>
        <v>0</v>
      </c>
      <c r="CK166" s="4">
        <f>CK165+BB166-Q166</f>
        <v>0</v>
      </c>
      <c r="CL166" s="4">
        <f>CL165+BC166-R166</f>
        <v>0</v>
      </c>
      <c r="CM166" s="4">
        <f>CM165+BD166-S166</f>
        <v>0</v>
      </c>
      <c r="CN166" s="4">
        <f>CN165+BE166-T166</f>
        <v>0</v>
      </c>
      <c r="CO166" s="4">
        <f>CO165+BF166-U166</f>
        <v>0</v>
      </c>
      <c r="CP166" s="4">
        <f>CP165+BG166-V166</f>
        <v>-60</v>
      </c>
      <c r="CQ166" s="4">
        <f>CQ165+BH166-W166</f>
        <v>0</v>
      </c>
      <c r="CR166" s="4">
        <f>CR165+BI166-X166</f>
        <v>-60</v>
      </c>
      <c r="CS166" s="4">
        <f>CS165+BJ166-Y166</f>
        <v>0</v>
      </c>
      <c r="CT166" s="4">
        <f>CT165+BK166-Z166</f>
        <v>0</v>
      </c>
      <c r="CU166" s="4">
        <f>CU165+BL166-AA166</f>
        <v>-6665</v>
      </c>
      <c r="CV166" s="4">
        <f>CV165+BM166-AB166</f>
        <v>-240</v>
      </c>
      <c r="CW166" s="4">
        <f>CW165+BN166-AC166</f>
        <v>-255</v>
      </c>
      <c r="CX166" s="4">
        <f>CX165+BO166-AD166</f>
        <v>0</v>
      </c>
      <c r="CY166" s="4">
        <f>CY165+BP166-AE166</f>
        <v>-60</v>
      </c>
      <c r="CZ166" s="4">
        <f>CZ165+BQ166-AF166</f>
        <v>-160</v>
      </c>
      <c r="DA166" s="4">
        <f>DA165+BR166-AG166</f>
        <v>0</v>
      </c>
      <c r="DB166" s="4">
        <f>DB165+BS166-AH166</f>
        <v>-60</v>
      </c>
      <c r="DC166" s="4">
        <f>DC165+BT166-AI166</f>
        <v>0</v>
      </c>
      <c r="DD166" s="4">
        <f>DD165+BU166-AJ166</f>
        <v>-5305</v>
      </c>
      <c r="DE166" s="4">
        <f>DE165+BV166-AK166</f>
        <v>-1380</v>
      </c>
      <c r="DF166" s="4">
        <f>DF165+BW166-AL166</f>
        <v>0</v>
      </c>
      <c r="DG166" s="4">
        <f>DG165+BX166-AM166</f>
        <v>-235</v>
      </c>
      <c r="DH166" s="4">
        <f>DH165+BY166-AN166</f>
        <v>0</v>
      </c>
    </row>
    <row r="167" spans="1:112" x14ac:dyDescent="0.25">
      <c r="A167" s="6">
        <v>46186</v>
      </c>
      <c r="B167" s="7">
        <v>0.16666666627133964</v>
      </c>
      <c r="C167" s="3" t="s">
        <v>2</v>
      </c>
      <c r="D167" s="3" t="s">
        <v>6</v>
      </c>
      <c r="E167" s="3" t="s">
        <v>2</v>
      </c>
      <c r="F167" s="13">
        <f>SUM(IFERROR(VLOOKUP($C:$C,Structure!$A:$AJ,F$1,0)*15,0),IFERROR(VLOOKUP($D:$D,Structure!$A:$AJ,F$1,0)*15,0),IFERROR(VLOOKUP($E:$E,Structure!$A:$AJ,F$1,0)*15,0))</f>
        <v>0</v>
      </c>
      <c r="G167" s="13">
        <f>SUM(IFERROR(VLOOKUP($C:$C,Structure!$A:$AJ,G$1,0)*15,0),IFERROR(VLOOKUP($D:$D,Structure!$A:$AJ,G$1,0)*15,0),IFERROR(VLOOKUP($E:$E,Structure!$A:$AJ,G$1,0)*15,0))</f>
        <v>0</v>
      </c>
      <c r="H167" s="13">
        <f>SUM(IFERROR(VLOOKUP($C:$C,Structure!$A:$AJ,H$1,0)*15,0),IFERROR(VLOOKUP($D:$D,Structure!$A:$AJ,H$1,0)*15,0),IFERROR(VLOOKUP($E:$E,Structure!$A:$AJ,H$1,0)*15,0))</f>
        <v>0</v>
      </c>
      <c r="I167" s="13">
        <f>SUM(IFERROR(VLOOKUP($C:$C,Structure!$A:$AJ,I$1,0)*15,0),IFERROR(VLOOKUP($D:$D,Structure!$A:$AJ,I$1,0)*15,0),IFERROR(VLOOKUP($E:$E,Structure!$A:$AJ,I$1,0)*15,0))</f>
        <v>0</v>
      </c>
      <c r="J167" s="13">
        <f>SUM(IFERROR(VLOOKUP($C:$C,Structure!$A:$AJ,J$1,0)*15,0),IFERROR(VLOOKUP($D:$D,Structure!$A:$AJ,J$1,0)*15,0),IFERROR(VLOOKUP($E:$E,Structure!$A:$AJ,J$1,0)*15,0))</f>
        <v>0</v>
      </c>
      <c r="K167" s="13">
        <f>SUM(IFERROR(VLOOKUP($C:$C,Structure!$A:$AJ,K$1,0)*15,0),IFERROR(VLOOKUP($D:$D,Structure!$A:$AJ,K$1,0)*15,0),IFERROR(VLOOKUP($E:$E,Structure!$A:$AJ,K$1,0)*15,0))</f>
        <v>0</v>
      </c>
      <c r="L167" s="13">
        <f>SUM(IFERROR(VLOOKUP($C:$C,Structure!$A:$AJ,L$1,0)*15,0),IFERROR(VLOOKUP($D:$D,Structure!$A:$AJ,L$1,0)*15,0),IFERROR(VLOOKUP($E:$E,Structure!$A:$AJ,L$1,0)*15,0))</f>
        <v>0</v>
      </c>
      <c r="M167" s="13">
        <f>SUM(IFERROR(VLOOKUP($C:$C,Structure!$A:$AJ,M$1,0)*15,0),IFERROR(VLOOKUP($D:$D,Structure!$A:$AJ,M$1,0)*15,0),IFERROR(VLOOKUP($E:$E,Structure!$A:$AJ,M$1,0)*15,0))</f>
        <v>0</v>
      </c>
      <c r="N167" s="13">
        <f>SUM(IFERROR(VLOOKUP($C:$C,Structure!$A:$AJ,N$1,0)*15,0),IFERROR(VLOOKUP($D:$D,Structure!$A:$AJ,N$1,0)*15,0),IFERROR(VLOOKUP($E:$E,Structure!$A:$AJ,N$1,0)*15,0))</f>
        <v>0</v>
      </c>
      <c r="O167" s="13">
        <f>SUM(IFERROR(VLOOKUP($C:$C,Structure!$A:$AJ,O$1,0)*15,0),IFERROR(VLOOKUP($D:$D,Structure!$A:$AJ,O$1,0)*15,0),IFERROR(VLOOKUP($E:$E,Structure!$A:$AJ,O$1,0)*15,0))</f>
        <v>0</v>
      </c>
      <c r="P167" s="13">
        <f>SUM(IFERROR(VLOOKUP($C:$C,Structure!$A:$AJ,P$1,0)*15,0),IFERROR(VLOOKUP($D:$D,Structure!$A:$AJ,P$1,0)*15,0),IFERROR(VLOOKUP($E:$E,Structure!$A:$AJ,P$1,0)*15,0))</f>
        <v>0</v>
      </c>
      <c r="Q167" s="13">
        <f>SUM(IFERROR(VLOOKUP($C:$C,Structure!$A:$AJ,Q$1,0)*15,0),IFERROR(VLOOKUP($D:$D,Structure!$A:$AJ,Q$1,0)*15,0),IFERROR(VLOOKUP($E:$E,Structure!$A:$AJ,Q$1,0)*15,0))</f>
        <v>0</v>
      </c>
      <c r="R167" s="13">
        <f>SUM(IFERROR(VLOOKUP($C:$C,Structure!$A:$AJ,R$1,0)*15,0),IFERROR(VLOOKUP($D:$D,Structure!$A:$AJ,R$1,0)*15,0),IFERROR(VLOOKUP($E:$E,Structure!$A:$AJ,R$1,0)*15,0))</f>
        <v>0</v>
      </c>
      <c r="S167" s="13">
        <f>SUM(IFERROR(VLOOKUP($C:$C,Structure!$A:$AJ,S$1,0)*15,0),IFERROR(VLOOKUP($D:$D,Structure!$A:$AJ,S$1,0)*15,0),IFERROR(VLOOKUP($E:$E,Structure!$A:$AJ,S$1,0)*15,0))</f>
        <v>0</v>
      </c>
      <c r="T167" s="13">
        <f>SUM(IFERROR(VLOOKUP($C:$C,Structure!$A:$AJ,T$1,0)*15,0),IFERROR(VLOOKUP($D:$D,Structure!$A:$AJ,T$1,0)*15,0),IFERROR(VLOOKUP($E:$E,Structure!$A:$AJ,T$1,0)*15,0))</f>
        <v>0</v>
      </c>
      <c r="U167" s="13">
        <f>SUM(IFERROR(VLOOKUP($C:$C,Structure!$A:$AJ,U$1,0)*15,0),IFERROR(VLOOKUP($D:$D,Structure!$A:$AJ,U$1,0)*15,0),IFERROR(VLOOKUP($E:$E,Structure!$A:$AJ,U$1,0)*15,0))</f>
        <v>0</v>
      </c>
      <c r="V167" s="13">
        <f>SUM(IFERROR(VLOOKUP($C:$C,Structure!$A:$AJ,V$1,0)*15,0),IFERROR(VLOOKUP($D:$D,Structure!$A:$AJ,V$1,0)*15,0),IFERROR(VLOOKUP($E:$E,Structure!$A:$AJ,V$1,0)*15,0))</f>
        <v>0</v>
      </c>
      <c r="W167" s="13">
        <f>SUM(IFERROR(VLOOKUP($C:$C,Structure!$A:$AJ,W$1,0)*15,0),IFERROR(VLOOKUP($D:$D,Structure!$A:$AJ,W$1,0)*15,0),IFERROR(VLOOKUP($E:$E,Structure!$A:$AJ,W$1,0)*15,0))</f>
        <v>0</v>
      </c>
      <c r="X167" s="13">
        <f>SUM(IFERROR(VLOOKUP($C:$C,Structure!$A:$AJ,X$1,0)*15,0),IFERROR(VLOOKUP($D:$D,Structure!$A:$AJ,X$1,0)*15,0),IFERROR(VLOOKUP($E:$E,Structure!$A:$AJ,X$1,0)*15,0))</f>
        <v>0</v>
      </c>
      <c r="Y167" s="13">
        <f>SUM(IFERROR(VLOOKUP($C:$C,Structure!$A:$AJ,Y$1,0)*15,0),IFERROR(VLOOKUP($D:$D,Structure!$A:$AJ,Y$1,0)*15,0),IFERROR(VLOOKUP($E:$E,Structure!$A:$AJ,Y$1,0)*15,0))</f>
        <v>0</v>
      </c>
      <c r="Z167" s="13">
        <f>SUM(IFERROR(VLOOKUP($C:$C,Structure!$A:$AJ,Z$1,0)*15,0),IFERROR(VLOOKUP($D:$D,Structure!$A:$AJ,Z$1,0)*15,0),IFERROR(VLOOKUP($E:$E,Structure!$A:$AJ,Z$1,0)*15,0))</f>
        <v>0</v>
      </c>
      <c r="AA167" s="13">
        <f>SUM(IFERROR(VLOOKUP($C:$C,Structure!$A:$AJ,AA$1,0)*15,0),IFERROR(VLOOKUP($D:$D,Structure!$A:$AJ,AA$1,0)*15,0),IFERROR(VLOOKUP($E:$E,Structure!$A:$AJ,AA$1,0)*15,0))</f>
        <v>45</v>
      </c>
      <c r="AB167" s="13">
        <f>SUM(IFERROR(VLOOKUP($C:$C,Structure!$A:$AJ,AB$1,0)*15,0),IFERROR(VLOOKUP($D:$D,Structure!$A:$AJ,AB$1,0)*15,0),IFERROR(VLOOKUP($E:$E,Structure!$A:$AJ,AB$1,0)*15,0))</f>
        <v>0</v>
      </c>
      <c r="AC167" s="13">
        <f>SUM(IFERROR(VLOOKUP($C:$C,Structure!$A:$AJ,AC$1,0)*15,0),IFERROR(VLOOKUP($D:$D,Structure!$A:$AJ,AC$1,0)*15,0),IFERROR(VLOOKUP($E:$E,Structure!$A:$AJ,AC$1,0)*15,0))</f>
        <v>0</v>
      </c>
      <c r="AD167" s="13">
        <f>SUM(IFERROR(VLOOKUP($C:$C,Structure!$A:$AJ,AD$1,0)*15,0),IFERROR(VLOOKUP($D:$D,Structure!$A:$AJ,AD$1,0)*15,0),IFERROR(VLOOKUP($E:$E,Structure!$A:$AJ,AD$1,0)*15,0))</f>
        <v>0</v>
      </c>
      <c r="AE167" s="13">
        <f>SUM(IFERROR(VLOOKUP($C:$C,Structure!$A:$AJ,AE$1,0)*15,0),IFERROR(VLOOKUP($D:$D,Structure!$A:$AJ,AE$1,0)*15,0),IFERROR(VLOOKUP($E:$E,Structure!$A:$AJ,AE$1,0)*15,0))</f>
        <v>0</v>
      </c>
      <c r="AF167" s="13">
        <f>SUM(IFERROR(VLOOKUP($C:$C,Structure!$A:$AJ,AF$1,0)*15,0),IFERROR(VLOOKUP($D:$D,Structure!$A:$AJ,AF$1,0)*15,0),IFERROR(VLOOKUP($E:$E,Structure!$A:$AJ,AF$1,0)*15,0))</f>
        <v>0</v>
      </c>
      <c r="AG167" s="13">
        <f>SUM(IFERROR(VLOOKUP($C:$C,Structure!$A:$AJ,AG$1,0)*15,0),IFERROR(VLOOKUP($D:$D,Structure!$A:$AJ,AG$1,0)*15,0),IFERROR(VLOOKUP($E:$E,Structure!$A:$AJ,AG$1,0)*15,0))</f>
        <v>0</v>
      </c>
      <c r="AH167" s="13">
        <f>SUM(IFERROR(VLOOKUP($C:$C,Structure!$A:$AJ,AH$1,0)*15,0),IFERROR(VLOOKUP($D:$D,Structure!$A:$AJ,AH$1,0)*15,0),IFERROR(VLOOKUP($E:$E,Structure!$A:$AJ,AH$1,0)*15,0))</f>
        <v>0</v>
      </c>
      <c r="AI167" s="13">
        <f>SUM(IFERROR(VLOOKUP($C:$C,Structure!$A:$AJ,AI$1,0)*15,0),IFERROR(VLOOKUP($D:$D,Structure!$A:$AJ,AI$1,0)*15,0),IFERROR(VLOOKUP($E:$E,Structure!$A:$AJ,AI$1,0)*15,0))</f>
        <v>0</v>
      </c>
      <c r="AJ167" s="13">
        <f>SUM(IFERROR(VLOOKUP($C:$C,Structure!$A:$AJ,AJ$1,0)*15,0),IFERROR(VLOOKUP($D:$D,Structure!$A:$AJ,AJ$1,0)*15,0),IFERROR(VLOOKUP($E:$E,Structure!$A:$AJ,AJ$1,0)*15,0))</f>
        <v>45</v>
      </c>
      <c r="AK167" s="13">
        <f>SUM(IFERROR(VLOOKUP($C:$C,Structure!$A:$AJ,AK$1,0)*15,0),IFERROR(VLOOKUP($D:$D,Structure!$A:$AJ,AK$1,0)*15,0),IFERROR(VLOOKUP($E:$E,Structure!$A:$AJ,AK$1,0)*15,0))</f>
        <v>0</v>
      </c>
      <c r="AL167" s="13">
        <f>SUM(IFERROR(VLOOKUP($C:$C,Structure!$A:$AJ,AL$1,0)*15,0),IFERROR(VLOOKUP($D:$D,Structure!$A:$AJ,AL$1,0)*15,0),IFERROR(VLOOKUP($E:$E,Structure!$A:$AJ,AL$1,0)*15,0))</f>
        <v>0</v>
      </c>
      <c r="AM167" s="13">
        <f>SUM(IFERROR(VLOOKUP($C:$C,Structure!$A:$AJ,AM$1,0)*15,0),IFERROR(VLOOKUP($D:$D,Structure!$A:$AJ,AM$1,0)*15,0),IFERROR(VLOOKUP($E:$E,Structure!$A:$AJ,AM$1,0)*15,0))</f>
        <v>0</v>
      </c>
      <c r="AN167" s="13">
        <f>SUM(IFERROR(VLOOKUP($C:$C,Structure!$A:$AJ,AN$1,0)*15,0),IFERROR(VLOOKUP($D:$D,Structure!$A:$AJ,AN$1,0)*15,0),IFERROR(VLOOKUP($E:$E,Structure!$A:$AJ,AN$1,0)*15,0))</f>
        <v>0</v>
      </c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3"/>
      <c r="BZ167" s="4">
        <f>BZ166+AQ167-F167</f>
        <v>0</v>
      </c>
      <c r="CA167" s="4">
        <f>CA166+AR167-G167</f>
        <v>0</v>
      </c>
      <c r="CB167" s="4">
        <f>CB166+AS167-H167</f>
        <v>0</v>
      </c>
      <c r="CC167" s="4">
        <f>CC166+AT167-I167</f>
        <v>0</v>
      </c>
      <c r="CD167" s="4">
        <f>CD166+AU167-J167</f>
        <v>0</v>
      </c>
      <c r="CE167" s="4">
        <f>CE166+AV167-K167</f>
        <v>0</v>
      </c>
      <c r="CF167" s="4">
        <f>CF166+AW167-L167</f>
        <v>0</v>
      </c>
      <c r="CG167" s="4">
        <f>CG166+AX167-M167</f>
        <v>0</v>
      </c>
      <c r="CH167" s="4">
        <f>CH166+AY167-N167</f>
        <v>0</v>
      </c>
      <c r="CI167" s="4">
        <f>CI166+AZ167-O167</f>
        <v>0</v>
      </c>
      <c r="CJ167" s="4">
        <f>CJ166+BA167-P167</f>
        <v>0</v>
      </c>
      <c r="CK167" s="4">
        <f>CK166+BB167-Q167</f>
        <v>0</v>
      </c>
      <c r="CL167" s="4">
        <f>CL166+BC167-R167</f>
        <v>0</v>
      </c>
      <c r="CM167" s="4">
        <f>CM166+BD167-S167</f>
        <v>0</v>
      </c>
      <c r="CN167" s="4">
        <f>CN166+BE167-T167</f>
        <v>0</v>
      </c>
      <c r="CO167" s="4">
        <f>CO166+BF167-U167</f>
        <v>0</v>
      </c>
      <c r="CP167" s="4">
        <f>CP166+BG167-V167</f>
        <v>-60</v>
      </c>
      <c r="CQ167" s="4">
        <f>CQ166+BH167-W167</f>
        <v>0</v>
      </c>
      <c r="CR167" s="4">
        <f>CR166+BI167-X167</f>
        <v>-60</v>
      </c>
      <c r="CS167" s="4">
        <f>CS166+BJ167-Y167</f>
        <v>0</v>
      </c>
      <c r="CT167" s="4">
        <f>CT166+BK167-Z167</f>
        <v>0</v>
      </c>
      <c r="CU167" s="4">
        <f>CU166+BL167-AA167</f>
        <v>-6710</v>
      </c>
      <c r="CV167" s="4">
        <f>CV166+BM167-AB167</f>
        <v>-240</v>
      </c>
      <c r="CW167" s="4">
        <f>CW166+BN167-AC167</f>
        <v>-255</v>
      </c>
      <c r="CX167" s="4">
        <f>CX166+BO167-AD167</f>
        <v>0</v>
      </c>
      <c r="CY167" s="4">
        <f>CY166+BP167-AE167</f>
        <v>-60</v>
      </c>
      <c r="CZ167" s="4">
        <f>CZ166+BQ167-AF167</f>
        <v>-160</v>
      </c>
      <c r="DA167" s="4">
        <f>DA166+BR167-AG167</f>
        <v>0</v>
      </c>
      <c r="DB167" s="4">
        <f>DB166+BS167-AH167</f>
        <v>-60</v>
      </c>
      <c r="DC167" s="4">
        <f>DC166+BT167-AI167</f>
        <v>0</v>
      </c>
      <c r="DD167" s="4">
        <f>DD166+BU167-AJ167</f>
        <v>-5350</v>
      </c>
      <c r="DE167" s="4">
        <f>DE166+BV167-AK167</f>
        <v>-1380</v>
      </c>
      <c r="DF167" s="4">
        <f>DF166+BW167-AL167</f>
        <v>0</v>
      </c>
      <c r="DG167" s="4">
        <f>DG166+BX167-AM167</f>
        <v>-235</v>
      </c>
      <c r="DH167" s="4">
        <f>DH166+BY167-AN167</f>
        <v>0</v>
      </c>
    </row>
    <row r="168" spans="1:112" x14ac:dyDescent="0.25">
      <c r="A168" s="6">
        <v>46186</v>
      </c>
      <c r="B168" s="7">
        <v>0.20833333293558098</v>
      </c>
      <c r="C168" s="3" t="s">
        <v>2</v>
      </c>
      <c r="D168" s="3" t="s">
        <v>76</v>
      </c>
      <c r="E168" s="3" t="s">
        <v>2</v>
      </c>
      <c r="F168" s="13">
        <f>SUM(IFERROR(VLOOKUP($C:$C,Structure!$A:$AJ,F$1,0)*15,0),IFERROR(VLOOKUP($D:$D,Structure!$A:$AJ,F$1,0)*15,0),IFERROR(VLOOKUP($E:$E,Structure!$A:$AJ,F$1,0)*15,0))</f>
        <v>0</v>
      </c>
      <c r="G168" s="13">
        <f>SUM(IFERROR(VLOOKUP($C:$C,Structure!$A:$AJ,G$1,0)*15,0),IFERROR(VLOOKUP($D:$D,Structure!$A:$AJ,G$1,0)*15,0),IFERROR(VLOOKUP($E:$E,Structure!$A:$AJ,G$1,0)*15,0))</f>
        <v>0</v>
      </c>
      <c r="H168" s="13">
        <f>SUM(IFERROR(VLOOKUP($C:$C,Structure!$A:$AJ,H$1,0)*15,0),IFERROR(VLOOKUP($D:$D,Structure!$A:$AJ,H$1,0)*15,0),IFERROR(VLOOKUP($E:$E,Structure!$A:$AJ,H$1,0)*15,0))</f>
        <v>0</v>
      </c>
      <c r="I168" s="13">
        <f>SUM(IFERROR(VLOOKUP($C:$C,Structure!$A:$AJ,I$1,0)*15,0),IFERROR(VLOOKUP($D:$D,Structure!$A:$AJ,I$1,0)*15,0),IFERROR(VLOOKUP($E:$E,Structure!$A:$AJ,I$1,0)*15,0))</f>
        <v>0</v>
      </c>
      <c r="J168" s="13">
        <f>SUM(IFERROR(VLOOKUP($C:$C,Structure!$A:$AJ,J$1,0)*15,0),IFERROR(VLOOKUP($D:$D,Structure!$A:$AJ,J$1,0)*15,0),IFERROR(VLOOKUP($E:$E,Structure!$A:$AJ,J$1,0)*15,0))</f>
        <v>0</v>
      </c>
      <c r="K168" s="13">
        <f>SUM(IFERROR(VLOOKUP($C:$C,Structure!$A:$AJ,K$1,0)*15,0),IFERROR(VLOOKUP($D:$D,Structure!$A:$AJ,K$1,0)*15,0),IFERROR(VLOOKUP($E:$E,Structure!$A:$AJ,K$1,0)*15,0))</f>
        <v>0</v>
      </c>
      <c r="L168" s="13">
        <f>SUM(IFERROR(VLOOKUP($C:$C,Structure!$A:$AJ,L$1,0)*15,0),IFERROR(VLOOKUP($D:$D,Structure!$A:$AJ,L$1,0)*15,0),IFERROR(VLOOKUP($E:$E,Structure!$A:$AJ,L$1,0)*15,0))</f>
        <v>0</v>
      </c>
      <c r="M168" s="13">
        <f>SUM(IFERROR(VLOOKUP($C:$C,Structure!$A:$AJ,M$1,0)*15,0),IFERROR(VLOOKUP($D:$D,Structure!$A:$AJ,M$1,0)*15,0),IFERROR(VLOOKUP($E:$E,Structure!$A:$AJ,M$1,0)*15,0))</f>
        <v>0</v>
      </c>
      <c r="N168" s="13">
        <f>SUM(IFERROR(VLOOKUP($C:$C,Structure!$A:$AJ,N$1,0)*15,0),IFERROR(VLOOKUP($D:$D,Structure!$A:$AJ,N$1,0)*15,0),IFERROR(VLOOKUP($E:$E,Structure!$A:$AJ,N$1,0)*15,0))</f>
        <v>0</v>
      </c>
      <c r="O168" s="13">
        <f>SUM(IFERROR(VLOOKUP($C:$C,Structure!$A:$AJ,O$1,0)*15,0),IFERROR(VLOOKUP($D:$D,Structure!$A:$AJ,O$1,0)*15,0),IFERROR(VLOOKUP($E:$E,Structure!$A:$AJ,O$1,0)*15,0))</f>
        <v>0</v>
      </c>
      <c r="P168" s="13">
        <f>SUM(IFERROR(VLOOKUP($C:$C,Structure!$A:$AJ,P$1,0)*15,0),IFERROR(VLOOKUP($D:$D,Structure!$A:$AJ,P$1,0)*15,0),IFERROR(VLOOKUP($E:$E,Structure!$A:$AJ,P$1,0)*15,0))</f>
        <v>0</v>
      </c>
      <c r="Q168" s="13">
        <f>SUM(IFERROR(VLOOKUP($C:$C,Structure!$A:$AJ,Q$1,0)*15,0),IFERROR(VLOOKUP($D:$D,Structure!$A:$AJ,Q$1,0)*15,0),IFERROR(VLOOKUP($E:$E,Structure!$A:$AJ,Q$1,0)*15,0))</f>
        <v>0</v>
      </c>
      <c r="R168" s="13">
        <f>SUM(IFERROR(VLOOKUP($C:$C,Structure!$A:$AJ,R$1,0)*15,0),IFERROR(VLOOKUP($D:$D,Structure!$A:$AJ,R$1,0)*15,0),IFERROR(VLOOKUP($E:$E,Structure!$A:$AJ,R$1,0)*15,0))</f>
        <v>0</v>
      </c>
      <c r="S168" s="13">
        <f>SUM(IFERROR(VLOOKUP($C:$C,Structure!$A:$AJ,S$1,0)*15,0),IFERROR(VLOOKUP($D:$D,Structure!$A:$AJ,S$1,0)*15,0),IFERROR(VLOOKUP($E:$E,Structure!$A:$AJ,S$1,0)*15,0))</f>
        <v>0</v>
      </c>
      <c r="T168" s="13">
        <f>SUM(IFERROR(VLOOKUP($C:$C,Structure!$A:$AJ,T$1,0)*15,0),IFERROR(VLOOKUP($D:$D,Structure!$A:$AJ,T$1,0)*15,0),IFERROR(VLOOKUP($E:$E,Structure!$A:$AJ,T$1,0)*15,0))</f>
        <v>0</v>
      </c>
      <c r="U168" s="13">
        <f>SUM(IFERROR(VLOOKUP($C:$C,Structure!$A:$AJ,U$1,0)*15,0),IFERROR(VLOOKUP($D:$D,Structure!$A:$AJ,U$1,0)*15,0),IFERROR(VLOOKUP($E:$E,Structure!$A:$AJ,U$1,0)*15,0))</f>
        <v>0</v>
      </c>
      <c r="V168" s="13">
        <f>SUM(IFERROR(VLOOKUP($C:$C,Structure!$A:$AJ,V$1,0)*15,0),IFERROR(VLOOKUP($D:$D,Structure!$A:$AJ,V$1,0)*15,0),IFERROR(VLOOKUP($E:$E,Structure!$A:$AJ,V$1,0)*15,0))</f>
        <v>0</v>
      </c>
      <c r="W168" s="13">
        <f>SUM(IFERROR(VLOOKUP($C:$C,Structure!$A:$AJ,W$1,0)*15,0),IFERROR(VLOOKUP($D:$D,Structure!$A:$AJ,W$1,0)*15,0),IFERROR(VLOOKUP($E:$E,Structure!$A:$AJ,W$1,0)*15,0))</f>
        <v>0</v>
      </c>
      <c r="X168" s="13">
        <f>SUM(IFERROR(VLOOKUP($C:$C,Structure!$A:$AJ,X$1,0)*15,0),IFERROR(VLOOKUP($D:$D,Structure!$A:$AJ,X$1,0)*15,0),IFERROR(VLOOKUP($E:$E,Structure!$A:$AJ,X$1,0)*15,0))</f>
        <v>0</v>
      </c>
      <c r="Y168" s="13">
        <f>SUM(IFERROR(VLOOKUP($C:$C,Structure!$A:$AJ,Y$1,0)*15,0),IFERROR(VLOOKUP($D:$D,Structure!$A:$AJ,Y$1,0)*15,0),IFERROR(VLOOKUP($E:$E,Structure!$A:$AJ,Y$1,0)*15,0))</f>
        <v>0</v>
      </c>
      <c r="Z168" s="13">
        <f>SUM(IFERROR(VLOOKUP($C:$C,Structure!$A:$AJ,Z$1,0)*15,0),IFERROR(VLOOKUP($D:$D,Structure!$A:$AJ,Z$1,0)*15,0),IFERROR(VLOOKUP($E:$E,Structure!$A:$AJ,Z$1,0)*15,0))</f>
        <v>0</v>
      </c>
      <c r="AA168" s="13">
        <f>SUM(IFERROR(VLOOKUP($C:$C,Structure!$A:$AJ,AA$1,0)*15,0),IFERROR(VLOOKUP($D:$D,Structure!$A:$AJ,AA$1,0)*15,0),IFERROR(VLOOKUP($E:$E,Structure!$A:$AJ,AA$1,0)*15,0))</f>
        <v>45</v>
      </c>
      <c r="AB168" s="13">
        <f>SUM(IFERROR(VLOOKUP($C:$C,Structure!$A:$AJ,AB$1,0)*15,0),IFERROR(VLOOKUP($D:$D,Structure!$A:$AJ,AB$1,0)*15,0),IFERROR(VLOOKUP($E:$E,Structure!$A:$AJ,AB$1,0)*15,0))</f>
        <v>0</v>
      </c>
      <c r="AC168" s="13">
        <f>SUM(IFERROR(VLOOKUP($C:$C,Structure!$A:$AJ,AC$1,0)*15,0),IFERROR(VLOOKUP($D:$D,Structure!$A:$AJ,AC$1,0)*15,0),IFERROR(VLOOKUP($E:$E,Structure!$A:$AJ,AC$1,0)*15,0))</f>
        <v>0</v>
      </c>
      <c r="AD168" s="13">
        <f>SUM(IFERROR(VLOOKUP($C:$C,Structure!$A:$AJ,AD$1,0)*15,0),IFERROR(VLOOKUP($D:$D,Structure!$A:$AJ,AD$1,0)*15,0),IFERROR(VLOOKUP($E:$E,Structure!$A:$AJ,AD$1,0)*15,0))</f>
        <v>0</v>
      </c>
      <c r="AE168" s="13">
        <f>SUM(IFERROR(VLOOKUP($C:$C,Structure!$A:$AJ,AE$1,0)*15,0),IFERROR(VLOOKUP($D:$D,Structure!$A:$AJ,AE$1,0)*15,0),IFERROR(VLOOKUP($E:$E,Structure!$A:$AJ,AE$1,0)*15,0))</f>
        <v>0</v>
      </c>
      <c r="AF168" s="13">
        <f>SUM(IFERROR(VLOOKUP($C:$C,Structure!$A:$AJ,AF$1,0)*15,0),IFERROR(VLOOKUP($D:$D,Structure!$A:$AJ,AF$1,0)*15,0),IFERROR(VLOOKUP($E:$E,Structure!$A:$AJ,AF$1,0)*15,0))</f>
        <v>0</v>
      </c>
      <c r="AG168" s="13">
        <f>SUM(IFERROR(VLOOKUP($C:$C,Structure!$A:$AJ,AG$1,0)*15,0),IFERROR(VLOOKUP($D:$D,Structure!$A:$AJ,AG$1,0)*15,0),IFERROR(VLOOKUP($E:$E,Structure!$A:$AJ,AG$1,0)*15,0))</f>
        <v>0</v>
      </c>
      <c r="AH168" s="13">
        <f>SUM(IFERROR(VLOOKUP($C:$C,Structure!$A:$AJ,AH$1,0)*15,0),IFERROR(VLOOKUP($D:$D,Structure!$A:$AJ,AH$1,0)*15,0),IFERROR(VLOOKUP($E:$E,Structure!$A:$AJ,AH$1,0)*15,0))</f>
        <v>0</v>
      </c>
      <c r="AI168" s="13">
        <f>SUM(IFERROR(VLOOKUP($C:$C,Structure!$A:$AJ,AI$1,0)*15,0),IFERROR(VLOOKUP($D:$D,Structure!$A:$AJ,AI$1,0)*15,0),IFERROR(VLOOKUP($E:$E,Structure!$A:$AJ,AI$1,0)*15,0))</f>
        <v>0</v>
      </c>
      <c r="AJ168" s="13">
        <f>SUM(IFERROR(VLOOKUP($C:$C,Structure!$A:$AJ,AJ$1,0)*15,0),IFERROR(VLOOKUP($D:$D,Structure!$A:$AJ,AJ$1,0)*15,0),IFERROR(VLOOKUP($E:$E,Structure!$A:$AJ,AJ$1,0)*15,0))</f>
        <v>30</v>
      </c>
      <c r="AK168" s="13">
        <f>SUM(IFERROR(VLOOKUP($C:$C,Structure!$A:$AJ,AK$1,0)*15,0),IFERROR(VLOOKUP($D:$D,Structure!$A:$AJ,AK$1,0)*15,0),IFERROR(VLOOKUP($E:$E,Structure!$A:$AJ,AK$1,0)*15,0))</f>
        <v>15</v>
      </c>
      <c r="AL168" s="13">
        <f>SUM(IFERROR(VLOOKUP($C:$C,Structure!$A:$AJ,AL$1,0)*15,0),IFERROR(VLOOKUP($D:$D,Structure!$A:$AJ,AL$1,0)*15,0),IFERROR(VLOOKUP($E:$E,Structure!$A:$AJ,AL$1,0)*15,0))</f>
        <v>0</v>
      </c>
      <c r="AM168" s="13">
        <f>SUM(IFERROR(VLOOKUP($C:$C,Structure!$A:$AJ,AM$1,0)*15,0),IFERROR(VLOOKUP($D:$D,Structure!$A:$AJ,AM$1,0)*15,0),IFERROR(VLOOKUP($E:$E,Structure!$A:$AJ,AM$1,0)*15,0))</f>
        <v>0</v>
      </c>
      <c r="AN168" s="13">
        <f>SUM(IFERROR(VLOOKUP($C:$C,Structure!$A:$AJ,AN$1,0)*15,0),IFERROR(VLOOKUP($D:$D,Structure!$A:$AJ,AN$1,0)*15,0),IFERROR(VLOOKUP($E:$E,Structure!$A:$AJ,AN$1,0)*15,0))</f>
        <v>0</v>
      </c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3"/>
      <c r="BZ168" s="4">
        <f>BZ167+AQ168-F168</f>
        <v>0</v>
      </c>
      <c r="CA168" s="4">
        <f>CA167+AR168-G168</f>
        <v>0</v>
      </c>
      <c r="CB168" s="4">
        <f>CB167+AS168-H168</f>
        <v>0</v>
      </c>
      <c r="CC168" s="4">
        <f>CC167+AT168-I168</f>
        <v>0</v>
      </c>
      <c r="CD168" s="4">
        <f>CD167+AU168-J168</f>
        <v>0</v>
      </c>
      <c r="CE168" s="4">
        <f>CE167+AV168-K168</f>
        <v>0</v>
      </c>
      <c r="CF168" s="4">
        <f>CF167+AW168-L168</f>
        <v>0</v>
      </c>
      <c r="CG168" s="4">
        <f>CG167+AX168-M168</f>
        <v>0</v>
      </c>
      <c r="CH168" s="4">
        <f>CH167+AY168-N168</f>
        <v>0</v>
      </c>
      <c r="CI168" s="4">
        <f>CI167+AZ168-O168</f>
        <v>0</v>
      </c>
      <c r="CJ168" s="4">
        <f>CJ167+BA168-P168</f>
        <v>0</v>
      </c>
      <c r="CK168" s="4">
        <f>CK167+BB168-Q168</f>
        <v>0</v>
      </c>
      <c r="CL168" s="4">
        <f>CL167+BC168-R168</f>
        <v>0</v>
      </c>
      <c r="CM168" s="4">
        <f>CM167+BD168-S168</f>
        <v>0</v>
      </c>
      <c r="CN168" s="4">
        <f>CN167+BE168-T168</f>
        <v>0</v>
      </c>
      <c r="CO168" s="4">
        <f>CO167+BF168-U168</f>
        <v>0</v>
      </c>
      <c r="CP168" s="4">
        <f>CP167+BG168-V168</f>
        <v>-60</v>
      </c>
      <c r="CQ168" s="4">
        <f>CQ167+BH168-W168</f>
        <v>0</v>
      </c>
      <c r="CR168" s="4">
        <f>CR167+BI168-X168</f>
        <v>-60</v>
      </c>
      <c r="CS168" s="4">
        <f>CS167+BJ168-Y168</f>
        <v>0</v>
      </c>
      <c r="CT168" s="4">
        <f>CT167+BK168-Z168</f>
        <v>0</v>
      </c>
      <c r="CU168" s="4">
        <f>CU167+BL168-AA168</f>
        <v>-6755</v>
      </c>
      <c r="CV168" s="4">
        <f>CV167+BM168-AB168</f>
        <v>-240</v>
      </c>
      <c r="CW168" s="4">
        <f>CW167+BN168-AC168</f>
        <v>-255</v>
      </c>
      <c r="CX168" s="4">
        <f>CX167+BO168-AD168</f>
        <v>0</v>
      </c>
      <c r="CY168" s="4">
        <f>CY167+BP168-AE168</f>
        <v>-60</v>
      </c>
      <c r="CZ168" s="4">
        <f>CZ167+BQ168-AF168</f>
        <v>-160</v>
      </c>
      <c r="DA168" s="4">
        <f>DA167+BR168-AG168</f>
        <v>0</v>
      </c>
      <c r="DB168" s="4">
        <f>DB167+BS168-AH168</f>
        <v>-60</v>
      </c>
      <c r="DC168" s="4">
        <f>DC167+BT168-AI168</f>
        <v>0</v>
      </c>
      <c r="DD168" s="4">
        <f>DD167+BU168-AJ168</f>
        <v>-5380</v>
      </c>
      <c r="DE168" s="4">
        <f>DE167+BV168-AK168</f>
        <v>-1395</v>
      </c>
      <c r="DF168" s="4">
        <f>DF167+BW168-AL168</f>
        <v>0</v>
      </c>
      <c r="DG168" s="4">
        <f>DG167+BX168-AM168</f>
        <v>-235</v>
      </c>
      <c r="DH168" s="4">
        <f>DH167+BY168-AN168</f>
        <v>0</v>
      </c>
    </row>
    <row r="169" spans="1:112" x14ac:dyDescent="0.25">
      <c r="A169" s="6">
        <v>46186</v>
      </c>
      <c r="B169" s="7">
        <v>0.24999999959982233</v>
      </c>
      <c r="C169" s="3" t="s">
        <v>2</v>
      </c>
      <c r="D169" s="3" t="s">
        <v>6</v>
      </c>
      <c r="E169" s="3" t="s">
        <v>2</v>
      </c>
      <c r="F169" s="13">
        <f>SUM(IFERROR(VLOOKUP($C:$C,Structure!$A:$AJ,F$1,0)*15,0),IFERROR(VLOOKUP($D:$D,Structure!$A:$AJ,F$1,0)*15,0),IFERROR(VLOOKUP($E:$E,Structure!$A:$AJ,F$1,0)*15,0))</f>
        <v>0</v>
      </c>
      <c r="G169" s="13">
        <f>SUM(IFERROR(VLOOKUP($C:$C,Structure!$A:$AJ,G$1,0)*15,0),IFERROR(VLOOKUP($D:$D,Structure!$A:$AJ,G$1,0)*15,0),IFERROR(VLOOKUP($E:$E,Structure!$A:$AJ,G$1,0)*15,0))</f>
        <v>0</v>
      </c>
      <c r="H169" s="13">
        <f>SUM(IFERROR(VLOOKUP($C:$C,Structure!$A:$AJ,H$1,0)*15,0),IFERROR(VLOOKUP($D:$D,Structure!$A:$AJ,H$1,0)*15,0),IFERROR(VLOOKUP($E:$E,Structure!$A:$AJ,H$1,0)*15,0))</f>
        <v>0</v>
      </c>
      <c r="I169" s="13">
        <f>SUM(IFERROR(VLOOKUP($C:$C,Structure!$A:$AJ,I$1,0)*15,0),IFERROR(VLOOKUP($D:$D,Structure!$A:$AJ,I$1,0)*15,0),IFERROR(VLOOKUP($E:$E,Structure!$A:$AJ,I$1,0)*15,0))</f>
        <v>0</v>
      </c>
      <c r="J169" s="13">
        <f>SUM(IFERROR(VLOOKUP($C:$C,Structure!$A:$AJ,J$1,0)*15,0),IFERROR(VLOOKUP($D:$D,Structure!$A:$AJ,J$1,0)*15,0),IFERROR(VLOOKUP($E:$E,Structure!$A:$AJ,J$1,0)*15,0))</f>
        <v>0</v>
      </c>
      <c r="K169" s="13">
        <f>SUM(IFERROR(VLOOKUP($C:$C,Structure!$A:$AJ,K$1,0)*15,0),IFERROR(VLOOKUP($D:$D,Structure!$A:$AJ,K$1,0)*15,0),IFERROR(VLOOKUP($E:$E,Structure!$A:$AJ,K$1,0)*15,0))</f>
        <v>0</v>
      </c>
      <c r="L169" s="13">
        <f>SUM(IFERROR(VLOOKUP($C:$C,Structure!$A:$AJ,L$1,0)*15,0),IFERROR(VLOOKUP($D:$D,Structure!$A:$AJ,L$1,0)*15,0),IFERROR(VLOOKUP($E:$E,Structure!$A:$AJ,L$1,0)*15,0))</f>
        <v>0</v>
      </c>
      <c r="M169" s="13">
        <f>SUM(IFERROR(VLOOKUP($C:$C,Structure!$A:$AJ,M$1,0)*15,0),IFERROR(VLOOKUP($D:$D,Structure!$A:$AJ,M$1,0)*15,0),IFERROR(VLOOKUP($E:$E,Structure!$A:$AJ,M$1,0)*15,0))</f>
        <v>0</v>
      </c>
      <c r="N169" s="13">
        <f>SUM(IFERROR(VLOOKUP($C:$C,Structure!$A:$AJ,N$1,0)*15,0),IFERROR(VLOOKUP($D:$D,Structure!$A:$AJ,N$1,0)*15,0),IFERROR(VLOOKUP($E:$E,Structure!$A:$AJ,N$1,0)*15,0))</f>
        <v>0</v>
      </c>
      <c r="O169" s="13">
        <f>SUM(IFERROR(VLOOKUP($C:$C,Structure!$A:$AJ,O$1,0)*15,0),IFERROR(VLOOKUP($D:$D,Structure!$A:$AJ,O$1,0)*15,0),IFERROR(VLOOKUP($E:$E,Structure!$A:$AJ,O$1,0)*15,0))</f>
        <v>0</v>
      </c>
      <c r="P169" s="13">
        <f>SUM(IFERROR(VLOOKUP($C:$C,Structure!$A:$AJ,P$1,0)*15,0),IFERROR(VLOOKUP($D:$D,Structure!$A:$AJ,P$1,0)*15,0),IFERROR(VLOOKUP($E:$E,Structure!$A:$AJ,P$1,0)*15,0))</f>
        <v>0</v>
      </c>
      <c r="Q169" s="13">
        <f>SUM(IFERROR(VLOOKUP($C:$C,Structure!$A:$AJ,Q$1,0)*15,0),IFERROR(VLOOKUP($D:$D,Structure!$A:$AJ,Q$1,0)*15,0),IFERROR(VLOOKUP($E:$E,Structure!$A:$AJ,Q$1,0)*15,0))</f>
        <v>0</v>
      </c>
      <c r="R169" s="13">
        <f>SUM(IFERROR(VLOOKUP($C:$C,Structure!$A:$AJ,R$1,0)*15,0),IFERROR(VLOOKUP($D:$D,Structure!$A:$AJ,R$1,0)*15,0),IFERROR(VLOOKUP($E:$E,Structure!$A:$AJ,R$1,0)*15,0))</f>
        <v>0</v>
      </c>
      <c r="S169" s="13">
        <f>SUM(IFERROR(VLOOKUP($C:$C,Structure!$A:$AJ,S$1,0)*15,0),IFERROR(VLOOKUP($D:$D,Structure!$A:$AJ,S$1,0)*15,0),IFERROR(VLOOKUP($E:$E,Structure!$A:$AJ,S$1,0)*15,0))</f>
        <v>0</v>
      </c>
      <c r="T169" s="13">
        <f>SUM(IFERROR(VLOOKUP($C:$C,Structure!$A:$AJ,T$1,0)*15,0),IFERROR(VLOOKUP($D:$D,Structure!$A:$AJ,T$1,0)*15,0),IFERROR(VLOOKUP($E:$E,Structure!$A:$AJ,T$1,0)*15,0))</f>
        <v>0</v>
      </c>
      <c r="U169" s="13">
        <f>SUM(IFERROR(VLOOKUP($C:$C,Structure!$A:$AJ,U$1,0)*15,0),IFERROR(VLOOKUP($D:$D,Structure!$A:$AJ,U$1,0)*15,0),IFERROR(VLOOKUP($E:$E,Structure!$A:$AJ,U$1,0)*15,0))</f>
        <v>0</v>
      </c>
      <c r="V169" s="13">
        <f>SUM(IFERROR(VLOOKUP($C:$C,Structure!$A:$AJ,V$1,0)*15,0),IFERROR(VLOOKUP($D:$D,Structure!$A:$AJ,V$1,0)*15,0),IFERROR(VLOOKUP($E:$E,Structure!$A:$AJ,V$1,0)*15,0))</f>
        <v>0</v>
      </c>
      <c r="W169" s="13">
        <f>SUM(IFERROR(VLOOKUP($C:$C,Structure!$A:$AJ,W$1,0)*15,0),IFERROR(VLOOKUP($D:$D,Structure!$A:$AJ,W$1,0)*15,0),IFERROR(VLOOKUP($E:$E,Structure!$A:$AJ,W$1,0)*15,0))</f>
        <v>0</v>
      </c>
      <c r="X169" s="13">
        <f>SUM(IFERROR(VLOOKUP($C:$C,Structure!$A:$AJ,X$1,0)*15,0),IFERROR(VLOOKUP($D:$D,Structure!$A:$AJ,X$1,0)*15,0),IFERROR(VLOOKUP($E:$E,Structure!$A:$AJ,X$1,0)*15,0))</f>
        <v>0</v>
      </c>
      <c r="Y169" s="13">
        <f>SUM(IFERROR(VLOOKUP($C:$C,Structure!$A:$AJ,Y$1,0)*15,0),IFERROR(VLOOKUP($D:$D,Structure!$A:$AJ,Y$1,0)*15,0),IFERROR(VLOOKUP($E:$E,Structure!$A:$AJ,Y$1,0)*15,0))</f>
        <v>0</v>
      </c>
      <c r="Z169" s="13">
        <f>SUM(IFERROR(VLOOKUP($C:$C,Structure!$A:$AJ,Z$1,0)*15,0),IFERROR(VLOOKUP($D:$D,Structure!$A:$AJ,Z$1,0)*15,0),IFERROR(VLOOKUP($E:$E,Structure!$A:$AJ,Z$1,0)*15,0))</f>
        <v>0</v>
      </c>
      <c r="AA169" s="13">
        <f>SUM(IFERROR(VLOOKUP($C:$C,Structure!$A:$AJ,AA$1,0)*15,0),IFERROR(VLOOKUP($D:$D,Structure!$A:$AJ,AA$1,0)*15,0),IFERROR(VLOOKUP($E:$E,Structure!$A:$AJ,AA$1,0)*15,0))</f>
        <v>45</v>
      </c>
      <c r="AB169" s="13">
        <f>SUM(IFERROR(VLOOKUP($C:$C,Structure!$A:$AJ,AB$1,0)*15,0),IFERROR(VLOOKUP($D:$D,Structure!$A:$AJ,AB$1,0)*15,0),IFERROR(VLOOKUP($E:$E,Structure!$A:$AJ,AB$1,0)*15,0))</f>
        <v>0</v>
      </c>
      <c r="AC169" s="13">
        <f>SUM(IFERROR(VLOOKUP($C:$C,Structure!$A:$AJ,AC$1,0)*15,0),IFERROR(VLOOKUP($D:$D,Structure!$A:$AJ,AC$1,0)*15,0),IFERROR(VLOOKUP($E:$E,Structure!$A:$AJ,AC$1,0)*15,0))</f>
        <v>0</v>
      </c>
      <c r="AD169" s="13">
        <f>SUM(IFERROR(VLOOKUP($C:$C,Structure!$A:$AJ,AD$1,0)*15,0),IFERROR(VLOOKUP($D:$D,Structure!$A:$AJ,AD$1,0)*15,0),IFERROR(VLOOKUP($E:$E,Structure!$A:$AJ,AD$1,0)*15,0))</f>
        <v>0</v>
      </c>
      <c r="AE169" s="13">
        <f>SUM(IFERROR(VLOOKUP($C:$C,Structure!$A:$AJ,AE$1,0)*15,0),IFERROR(VLOOKUP($D:$D,Structure!$A:$AJ,AE$1,0)*15,0),IFERROR(VLOOKUP($E:$E,Structure!$A:$AJ,AE$1,0)*15,0))</f>
        <v>0</v>
      </c>
      <c r="AF169" s="13">
        <f>SUM(IFERROR(VLOOKUP($C:$C,Structure!$A:$AJ,AF$1,0)*15,0),IFERROR(VLOOKUP($D:$D,Structure!$A:$AJ,AF$1,0)*15,0),IFERROR(VLOOKUP($E:$E,Structure!$A:$AJ,AF$1,0)*15,0))</f>
        <v>0</v>
      </c>
      <c r="AG169" s="13">
        <f>SUM(IFERROR(VLOOKUP($C:$C,Structure!$A:$AJ,AG$1,0)*15,0),IFERROR(VLOOKUP($D:$D,Structure!$A:$AJ,AG$1,0)*15,0),IFERROR(VLOOKUP($E:$E,Structure!$A:$AJ,AG$1,0)*15,0))</f>
        <v>0</v>
      </c>
      <c r="AH169" s="13">
        <f>SUM(IFERROR(VLOOKUP($C:$C,Structure!$A:$AJ,AH$1,0)*15,0),IFERROR(VLOOKUP($D:$D,Structure!$A:$AJ,AH$1,0)*15,0),IFERROR(VLOOKUP($E:$E,Structure!$A:$AJ,AH$1,0)*15,0))</f>
        <v>0</v>
      </c>
      <c r="AI169" s="13">
        <f>SUM(IFERROR(VLOOKUP($C:$C,Structure!$A:$AJ,AI$1,0)*15,0),IFERROR(VLOOKUP($D:$D,Structure!$A:$AJ,AI$1,0)*15,0),IFERROR(VLOOKUP($E:$E,Structure!$A:$AJ,AI$1,0)*15,0))</f>
        <v>0</v>
      </c>
      <c r="AJ169" s="13">
        <f>SUM(IFERROR(VLOOKUP($C:$C,Structure!$A:$AJ,AJ$1,0)*15,0),IFERROR(VLOOKUP($D:$D,Structure!$A:$AJ,AJ$1,0)*15,0),IFERROR(VLOOKUP($E:$E,Structure!$A:$AJ,AJ$1,0)*15,0))</f>
        <v>45</v>
      </c>
      <c r="AK169" s="13">
        <f>SUM(IFERROR(VLOOKUP($C:$C,Structure!$A:$AJ,AK$1,0)*15,0),IFERROR(VLOOKUP($D:$D,Structure!$A:$AJ,AK$1,0)*15,0),IFERROR(VLOOKUP($E:$E,Structure!$A:$AJ,AK$1,0)*15,0))</f>
        <v>0</v>
      </c>
      <c r="AL169" s="13">
        <f>SUM(IFERROR(VLOOKUP($C:$C,Structure!$A:$AJ,AL$1,0)*15,0),IFERROR(VLOOKUP($D:$D,Structure!$A:$AJ,AL$1,0)*15,0),IFERROR(VLOOKUP($E:$E,Structure!$A:$AJ,AL$1,0)*15,0))</f>
        <v>0</v>
      </c>
      <c r="AM169" s="13">
        <f>SUM(IFERROR(VLOOKUP($C:$C,Structure!$A:$AJ,AM$1,0)*15,0),IFERROR(VLOOKUP($D:$D,Structure!$A:$AJ,AM$1,0)*15,0),IFERROR(VLOOKUP($E:$E,Structure!$A:$AJ,AM$1,0)*15,0))</f>
        <v>0</v>
      </c>
      <c r="AN169" s="13">
        <f>SUM(IFERROR(VLOOKUP($C:$C,Structure!$A:$AJ,AN$1,0)*15,0),IFERROR(VLOOKUP($D:$D,Structure!$A:$AJ,AN$1,0)*15,0),IFERROR(VLOOKUP($E:$E,Structure!$A:$AJ,AN$1,0)*15,0))</f>
        <v>0</v>
      </c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3"/>
      <c r="BZ169" s="4">
        <f>BZ168+AQ169-F169</f>
        <v>0</v>
      </c>
      <c r="CA169" s="4">
        <f>CA168+AR169-G169</f>
        <v>0</v>
      </c>
      <c r="CB169" s="4">
        <f>CB168+AS169-H169</f>
        <v>0</v>
      </c>
      <c r="CC169" s="4">
        <f>CC168+AT169-I169</f>
        <v>0</v>
      </c>
      <c r="CD169" s="4">
        <f>CD168+AU169-J169</f>
        <v>0</v>
      </c>
      <c r="CE169" s="4">
        <f>CE168+AV169-K169</f>
        <v>0</v>
      </c>
      <c r="CF169" s="4">
        <f>CF168+AW169-L169</f>
        <v>0</v>
      </c>
      <c r="CG169" s="4">
        <f>CG168+AX169-M169</f>
        <v>0</v>
      </c>
      <c r="CH169" s="4">
        <f>CH168+AY169-N169</f>
        <v>0</v>
      </c>
      <c r="CI169" s="4">
        <f>CI168+AZ169-O169</f>
        <v>0</v>
      </c>
      <c r="CJ169" s="4">
        <f>CJ168+BA169-P169</f>
        <v>0</v>
      </c>
      <c r="CK169" s="4">
        <f>CK168+BB169-Q169</f>
        <v>0</v>
      </c>
      <c r="CL169" s="4">
        <f>CL168+BC169-R169</f>
        <v>0</v>
      </c>
      <c r="CM169" s="4">
        <f>CM168+BD169-S169</f>
        <v>0</v>
      </c>
      <c r="CN169" s="4">
        <f>CN168+BE169-T169</f>
        <v>0</v>
      </c>
      <c r="CO169" s="4">
        <f>CO168+BF169-U169</f>
        <v>0</v>
      </c>
      <c r="CP169" s="4">
        <f>CP168+BG169-V169</f>
        <v>-60</v>
      </c>
      <c r="CQ169" s="4">
        <f>CQ168+BH169-W169</f>
        <v>0</v>
      </c>
      <c r="CR169" s="4">
        <f>CR168+BI169-X169</f>
        <v>-60</v>
      </c>
      <c r="CS169" s="4">
        <f>CS168+BJ169-Y169</f>
        <v>0</v>
      </c>
      <c r="CT169" s="4">
        <f>CT168+BK169-Z169</f>
        <v>0</v>
      </c>
      <c r="CU169" s="4">
        <f>CU168+BL169-AA169</f>
        <v>-6800</v>
      </c>
      <c r="CV169" s="4">
        <f>CV168+BM169-AB169</f>
        <v>-240</v>
      </c>
      <c r="CW169" s="4">
        <f>CW168+BN169-AC169</f>
        <v>-255</v>
      </c>
      <c r="CX169" s="4">
        <f>CX168+BO169-AD169</f>
        <v>0</v>
      </c>
      <c r="CY169" s="4">
        <f>CY168+BP169-AE169</f>
        <v>-60</v>
      </c>
      <c r="CZ169" s="4">
        <f>CZ168+BQ169-AF169</f>
        <v>-160</v>
      </c>
      <c r="DA169" s="4">
        <f>DA168+BR169-AG169</f>
        <v>0</v>
      </c>
      <c r="DB169" s="4">
        <f>DB168+BS169-AH169</f>
        <v>-60</v>
      </c>
      <c r="DC169" s="4">
        <f>DC168+BT169-AI169</f>
        <v>0</v>
      </c>
      <c r="DD169" s="4">
        <f>DD168+BU169-AJ169</f>
        <v>-5425</v>
      </c>
      <c r="DE169" s="4">
        <f>DE168+BV169-AK169</f>
        <v>-1395</v>
      </c>
      <c r="DF169" s="4">
        <f>DF168+BW169-AL169</f>
        <v>0</v>
      </c>
      <c r="DG169" s="4">
        <f>DG168+BX169-AM169</f>
        <v>-235</v>
      </c>
      <c r="DH169" s="4">
        <f>DH168+BY169-AN169</f>
        <v>0</v>
      </c>
    </row>
    <row r="170" spans="1:112" x14ac:dyDescent="0.25">
      <c r="A170" s="6">
        <v>46186</v>
      </c>
      <c r="B170" s="7">
        <v>0.29166666626406368</v>
      </c>
      <c r="C170" s="3" t="s">
        <v>2</v>
      </c>
      <c r="D170" s="3" t="s">
        <v>6</v>
      </c>
      <c r="E170" s="3" t="s">
        <v>2</v>
      </c>
      <c r="F170" s="13">
        <f>SUM(IFERROR(VLOOKUP($C:$C,Structure!$A:$AJ,F$1,0)*15,0),IFERROR(VLOOKUP($D:$D,Structure!$A:$AJ,F$1,0)*15,0),IFERROR(VLOOKUP($E:$E,Structure!$A:$AJ,F$1,0)*15,0))</f>
        <v>0</v>
      </c>
      <c r="G170" s="13">
        <f>SUM(IFERROR(VLOOKUP($C:$C,Structure!$A:$AJ,G$1,0)*15,0),IFERROR(VLOOKUP($D:$D,Structure!$A:$AJ,G$1,0)*15,0),IFERROR(VLOOKUP($E:$E,Structure!$A:$AJ,G$1,0)*15,0))</f>
        <v>0</v>
      </c>
      <c r="H170" s="13">
        <f>SUM(IFERROR(VLOOKUP($C:$C,Structure!$A:$AJ,H$1,0)*15,0),IFERROR(VLOOKUP($D:$D,Structure!$A:$AJ,H$1,0)*15,0),IFERROR(VLOOKUP($E:$E,Structure!$A:$AJ,H$1,0)*15,0))</f>
        <v>0</v>
      </c>
      <c r="I170" s="13">
        <f>SUM(IFERROR(VLOOKUP($C:$C,Structure!$A:$AJ,I$1,0)*15,0),IFERROR(VLOOKUP($D:$D,Structure!$A:$AJ,I$1,0)*15,0),IFERROR(VLOOKUP($E:$E,Structure!$A:$AJ,I$1,0)*15,0))</f>
        <v>0</v>
      </c>
      <c r="J170" s="13">
        <f>SUM(IFERROR(VLOOKUP($C:$C,Structure!$A:$AJ,J$1,0)*15,0),IFERROR(VLOOKUP($D:$D,Structure!$A:$AJ,J$1,0)*15,0),IFERROR(VLOOKUP($E:$E,Structure!$A:$AJ,J$1,0)*15,0))</f>
        <v>0</v>
      </c>
      <c r="K170" s="13">
        <f>SUM(IFERROR(VLOOKUP($C:$C,Structure!$A:$AJ,K$1,0)*15,0),IFERROR(VLOOKUP($D:$D,Structure!$A:$AJ,K$1,0)*15,0),IFERROR(VLOOKUP($E:$E,Structure!$A:$AJ,K$1,0)*15,0))</f>
        <v>0</v>
      </c>
      <c r="L170" s="13">
        <f>SUM(IFERROR(VLOOKUP($C:$C,Structure!$A:$AJ,L$1,0)*15,0),IFERROR(VLOOKUP($D:$D,Structure!$A:$AJ,L$1,0)*15,0),IFERROR(VLOOKUP($E:$E,Structure!$A:$AJ,L$1,0)*15,0))</f>
        <v>0</v>
      </c>
      <c r="M170" s="13">
        <f>SUM(IFERROR(VLOOKUP($C:$C,Structure!$A:$AJ,M$1,0)*15,0),IFERROR(VLOOKUP($D:$D,Structure!$A:$AJ,M$1,0)*15,0),IFERROR(VLOOKUP($E:$E,Structure!$A:$AJ,M$1,0)*15,0))</f>
        <v>0</v>
      </c>
      <c r="N170" s="13">
        <f>SUM(IFERROR(VLOOKUP($C:$C,Structure!$A:$AJ,N$1,0)*15,0),IFERROR(VLOOKUP($D:$D,Structure!$A:$AJ,N$1,0)*15,0),IFERROR(VLOOKUP($E:$E,Structure!$A:$AJ,N$1,0)*15,0))</f>
        <v>0</v>
      </c>
      <c r="O170" s="13">
        <f>SUM(IFERROR(VLOOKUP($C:$C,Structure!$A:$AJ,O$1,0)*15,0),IFERROR(VLOOKUP($D:$D,Structure!$A:$AJ,O$1,0)*15,0),IFERROR(VLOOKUP($E:$E,Structure!$A:$AJ,O$1,0)*15,0))</f>
        <v>0</v>
      </c>
      <c r="P170" s="13">
        <f>SUM(IFERROR(VLOOKUP($C:$C,Structure!$A:$AJ,P$1,0)*15,0),IFERROR(VLOOKUP($D:$D,Structure!$A:$AJ,P$1,0)*15,0),IFERROR(VLOOKUP($E:$E,Structure!$A:$AJ,P$1,0)*15,0))</f>
        <v>0</v>
      </c>
      <c r="Q170" s="13">
        <f>SUM(IFERROR(VLOOKUP($C:$C,Structure!$A:$AJ,Q$1,0)*15,0),IFERROR(VLOOKUP($D:$D,Structure!$A:$AJ,Q$1,0)*15,0),IFERROR(VLOOKUP($E:$E,Structure!$A:$AJ,Q$1,0)*15,0))</f>
        <v>0</v>
      </c>
      <c r="R170" s="13">
        <f>SUM(IFERROR(VLOOKUP($C:$C,Structure!$A:$AJ,R$1,0)*15,0),IFERROR(VLOOKUP($D:$D,Structure!$A:$AJ,R$1,0)*15,0),IFERROR(VLOOKUP($E:$E,Structure!$A:$AJ,R$1,0)*15,0))</f>
        <v>0</v>
      </c>
      <c r="S170" s="13">
        <f>SUM(IFERROR(VLOOKUP($C:$C,Structure!$A:$AJ,S$1,0)*15,0),IFERROR(VLOOKUP($D:$D,Structure!$A:$AJ,S$1,0)*15,0),IFERROR(VLOOKUP($E:$E,Structure!$A:$AJ,S$1,0)*15,0))</f>
        <v>0</v>
      </c>
      <c r="T170" s="13">
        <f>SUM(IFERROR(VLOOKUP($C:$C,Structure!$A:$AJ,T$1,0)*15,0),IFERROR(VLOOKUP($D:$D,Structure!$A:$AJ,T$1,0)*15,0),IFERROR(VLOOKUP($E:$E,Structure!$A:$AJ,T$1,0)*15,0))</f>
        <v>0</v>
      </c>
      <c r="U170" s="13">
        <f>SUM(IFERROR(VLOOKUP($C:$C,Structure!$A:$AJ,U$1,0)*15,0),IFERROR(VLOOKUP($D:$D,Structure!$A:$AJ,U$1,0)*15,0),IFERROR(VLOOKUP($E:$E,Structure!$A:$AJ,U$1,0)*15,0))</f>
        <v>0</v>
      </c>
      <c r="V170" s="13">
        <f>SUM(IFERROR(VLOOKUP($C:$C,Structure!$A:$AJ,V$1,0)*15,0),IFERROR(VLOOKUP($D:$D,Structure!$A:$AJ,V$1,0)*15,0),IFERROR(VLOOKUP($E:$E,Structure!$A:$AJ,V$1,0)*15,0))</f>
        <v>0</v>
      </c>
      <c r="W170" s="13">
        <f>SUM(IFERROR(VLOOKUP($C:$C,Structure!$A:$AJ,W$1,0)*15,0),IFERROR(VLOOKUP($D:$D,Structure!$A:$AJ,W$1,0)*15,0),IFERROR(VLOOKUP($E:$E,Structure!$A:$AJ,W$1,0)*15,0))</f>
        <v>0</v>
      </c>
      <c r="X170" s="13">
        <f>SUM(IFERROR(VLOOKUP($C:$C,Structure!$A:$AJ,X$1,0)*15,0),IFERROR(VLOOKUP($D:$D,Structure!$A:$AJ,X$1,0)*15,0),IFERROR(VLOOKUP($E:$E,Structure!$A:$AJ,X$1,0)*15,0))</f>
        <v>0</v>
      </c>
      <c r="Y170" s="13">
        <f>SUM(IFERROR(VLOOKUP($C:$C,Structure!$A:$AJ,Y$1,0)*15,0),IFERROR(VLOOKUP($D:$D,Structure!$A:$AJ,Y$1,0)*15,0),IFERROR(VLOOKUP($E:$E,Structure!$A:$AJ,Y$1,0)*15,0))</f>
        <v>0</v>
      </c>
      <c r="Z170" s="13">
        <f>SUM(IFERROR(VLOOKUP($C:$C,Structure!$A:$AJ,Z$1,0)*15,0),IFERROR(VLOOKUP($D:$D,Structure!$A:$AJ,Z$1,0)*15,0),IFERROR(VLOOKUP($E:$E,Structure!$A:$AJ,Z$1,0)*15,0))</f>
        <v>0</v>
      </c>
      <c r="AA170" s="13">
        <f>SUM(IFERROR(VLOOKUP($C:$C,Structure!$A:$AJ,AA$1,0)*15,0),IFERROR(VLOOKUP($D:$D,Structure!$A:$AJ,AA$1,0)*15,0),IFERROR(VLOOKUP($E:$E,Structure!$A:$AJ,AA$1,0)*15,0))</f>
        <v>45</v>
      </c>
      <c r="AB170" s="13">
        <f>SUM(IFERROR(VLOOKUP($C:$C,Structure!$A:$AJ,AB$1,0)*15,0),IFERROR(VLOOKUP($D:$D,Structure!$A:$AJ,AB$1,0)*15,0),IFERROR(VLOOKUP($E:$E,Structure!$A:$AJ,AB$1,0)*15,0))</f>
        <v>0</v>
      </c>
      <c r="AC170" s="13">
        <f>SUM(IFERROR(VLOOKUP($C:$C,Structure!$A:$AJ,AC$1,0)*15,0),IFERROR(VLOOKUP($D:$D,Structure!$A:$AJ,AC$1,0)*15,0),IFERROR(VLOOKUP($E:$E,Structure!$A:$AJ,AC$1,0)*15,0))</f>
        <v>0</v>
      </c>
      <c r="AD170" s="13">
        <f>SUM(IFERROR(VLOOKUP($C:$C,Structure!$A:$AJ,AD$1,0)*15,0),IFERROR(VLOOKUP($D:$D,Structure!$A:$AJ,AD$1,0)*15,0),IFERROR(VLOOKUP($E:$E,Structure!$A:$AJ,AD$1,0)*15,0))</f>
        <v>0</v>
      </c>
      <c r="AE170" s="13">
        <f>SUM(IFERROR(VLOOKUP($C:$C,Structure!$A:$AJ,AE$1,0)*15,0),IFERROR(VLOOKUP($D:$D,Structure!$A:$AJ,AE$1,0)*15,0),IFERROR(VLOOKUP($E:$E,Structure!$A:$AJ,AE$1,0)*15,0))</f>
        <v>0</v>
      </c>
      <c r="AF170" s="13">
        <f>SUM(IFERROR(VLOOKUP($C:$C,Structure!$A:$AJ,AF$1,0)*15,0),IFERROR(VLOOKUP($D:$D,Structure!$A:$AJ,AF$1,0)*15,0),IFERROR(VLOOKUP($E:$E,Structure!$A:$AJ,AF$1,0)*15,0))</f>
        <v>0</v>
      </c>
      <c r="AG170" s="13">
        <f>SUM(IFERROR(VLOOKUP($C:$C,Structure!$A:$AJ,AG$1,0)*15,0),IFERROR(VLOOKUP($D:$D,Structure!$A:$AJ,AG$1,0)*15,0),IFERROR(VLOOKUP($E:$E,Structure!$A:$AJ,AG$1,0)*15,0))</f>
        <v>0</v>
      </c>
      <c r="AH170" s="13">
        <f>SUM(IFERROR(VLOOKUP($C:$C,Structure!$A:$AJ,AH$1,0)*15,0),IFERROR(VLOOKUP($D:$D,Structure!$A:$AJ,AH$1,0)*15,0),IFERROR(VLOOKUP($E:$E,Structure!$A:$AJ,AH$1,0)*15,0))</f>
        <v>0</v>
      </c>
      <c r="AI170" s="13">
        <f>SUM(IFERROR(VLOOKUP($C:$C,Structure!$A:$AJ,AI$1,0)*15,0),IFERROR(VLOOKUP($D:$D,Structure!$A:$AJ,AI$1,0)*15,0),IFERROR(VLOOKUP($E:$E,Structure!$A:$AJ,AI$1,0)*15,0))</f>
        <v>0</v>
      </c>
      <c r="AJ170" s="13">
        <f>SUM(IFERROR(VLOOKUP($C:$C,Structure!$A:$AJ,AJ$1,0)*15,0),IFERROR(VLOOKUP($D:$D,Structure!$A:$AJ,AJ$1,0)*15,0),IFERROR(VLOOKUP($E:$E,Structure!$A:$AJ,AJ$1,0)*15,0))</f>
        <v>45</v>
      </c>
      <c r="AK170" s="13">
        <f>SUM(IFERROR(VLOOKUP($C:$C,Structure!$A:$AJ,AK$1,0)*15,0),IFERROR(VLOOKUP($D:$D,Structure!$A:$AJ,AK$1,0)*15,0),IFERROR(VLOOKUP($E:$E,Structure!$A:$AJ,AK$1,0)*15,0))</f>
        <v>0</v>
      </c>
      <c r="AL170" s="13">
        <f>SUM(IFERROR(VLOOKUP($C:$C,Structure!$A:$AJ,AL$1,0)*15,0),IFERROR(VLOOKUP($D:$D,Structure!$A:$AJ,AL$1,0)*15,0),IFERROR(VLOOKUP($E:$E,Structure!$A:$AJ,AL$1,0)*15,0))</f>
        <v>0</v>
      </c>
      <c r="AM170" s="13">
        <f>SUM(IFERROR(VLOOKUP($C:$C,Structure!$A:$AJ,AM$1,0)*15,0),IFERROR(VLOOKUP($D:$D,Structure!$A:$AJ,AM$1,0)*15,0),IFERROR(VLOOKUP($E:$E,Structure!$A:$AJ,AM$1,0)*15,0))</f>
        <v>0</v>
      </c>
      <c r="AN170" s="13">
        <f>SUM(IFERROR(VLOOKUP($C:$C,Structure!$A:$AJ,AN$1,0)*15,0),IFERROR(VLOOKUP($D:$D,Structure!$A:$AJ,AN$1,0)*15,0),IFERROR(VLOOKUP($E:$E,Structure!$A:$AJ,AN$1,0)*15,0))</f>
        <v>0</v>
      </c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3"/>
      <c r="BZ170" s="4">
        <f>BZ169+AQ170-F170</f>
        <v>0</v>
      </c>
      <c r="CA170" s="4">
        <f>CA169+AR170-G170</f>
        <v>0</v>
      </c>
      <c r="CB170" s="4">
        <f>CB169+AS170-H170</f>
        <v>0</v>
      </c>
      <c r="CC170" s="4">
        <f>CC169+AT170-I170</f>
        <v>0</v>
      </c>
      <c r="CD170" s="4">
        <f>CD169+AU170-J170</f>
        <v>0</v>
      </c>
      <c r="CE170" s="4">
        <f>CE169+AV170-K170</f>
        <v>0</v>
      </c>
      <c r="CF170" s="4">
        <f>CF169+AW170-L170</f>
        <v>0</v>
      </c>
      <c r="CG170" s="4">
        <f>CG169+AX170-M170</f>
        <v>0</v>
      </c>
      <c r="CH170" s="4">
        <f>CH169+AY170-N170</f>
        <v>0</v>
      </c>
      <c r="CI170" s="4">
        <f>CI169+AZ170-O170</f>
        <v>0</v>
      </c>
      <c r="CJ170" s="4">
        <f>CJ169+BA170-P170</f>
        <v>0</v>
      </c>
      <c r="CK170" s="4">
        <f>CK169+BB170-Q170</f>
        <v>0</v>
      </c>
      <c r="CL170" s="4">
        <f>CL169+BC170-R170</f>
        <v>0</v>
      </c>
      <c r="CM170" s="4">
        <f>CM169+BD170-S170</f>
        <v>0</v>
      </c>
      <c r="CN170" s="4">
        <f>CN169+BE170-T170</f>
        <v>0</v>
      </c>
      <c r="CO170" s="4">
        <f>CO169+BF170-U170</f>
        <v>0</v>
      </c>
      <c r="CP170" s="4">
        <f>CP169+BG170-V170</f>
        <v>-60</v>
      </c>
      <c r="CQ170" s="4">
        <f>CQ169+BH170-W170</f>
        <v>0</v>
      </c>
      <c r="CR170" s="4">
        <f>CR169+BI170-X170</f>
        <v>-60</v>
      </c>
      <c r="CS170" s="4">
        <f>CS169+BJ170-Y170</f>
        <v>0</v>
      </c>
      <c r="CT170" s="4">
        <f>CT169+BK170-Z170</f>
        <v>0</v>
      </c>
      <c r="CU170" s="4">
        <f>CU169+BL170-AA170</f>
        <v>-6845</v>
      </c>
      <c r="CV170" s="4">
        <f>CV169+BM170-AB170</f>
        <v>-240</v>
      </c>
      <c r="CW170" s="4">
        <f>CW169+BN170-AC170</f>
        <v>-255</v>
      </c>
      <c r="CX170" s="4">
        <f>CX169+BO170-AD170</f>
        <v>0</v>
      </c>
      <c r="CY170" s="4">
        <f>CY169+BP170-AE170</f>
        <v>-60</v>
      </c>
      <c r="CZ170" s="4">
        <f>CZ169+BQ170-AF170</f>
        <v>-160</v>
      </c>
      <c r="DA170" s="4">
        <f>DA169+BR170-AG170</f>
        <v>0</v>
      </c>
      <c r="DB170" s="4">
        <f>DB169+BS170-AH170</f>
        <v>-60</v>
      </c>
      <c r="DC170" s="4">
        <f>DC169+BT170-AI170</f>
        <v>0</v>
      </c>
      <c r="DD170" s="4">
        <f>DD169+BU170-AJ170</f>
        <v>-5470</v>
      </c>
      <c r="DE170" s="4">
        <f>DE169+BV170-AK170</f>
        <v>-1395</v>
      </c>
      <c r="DF170" s="4">
        <f>DF169+BW170-AL170</f>
        <v>0</v>
      </c>
      <c r="DG170" s="4">
        <f>DG169+BX170-AM170</f>
        <v>-235</v>
      </c>
      <c r="DH170" s="4">
        <f>DH169+BY170-AN170</f>
        <v>0</v>
      </c>
    </row>
    <row r="171" spans="1:112" x14ac:dyDescent="0.25">
      <c r="A171" s="6">
        <v>46186</v>
      </c>
      <c r="B171" s="7">
        <v>0.33333333292830503</v>
      </c>
      <c r="C171" s="3" t="s">
        <v>2</v>
      </c>
      <c r="D171" s="3" t="s">
        <v>6</v>
      </c>
      <c r="E171" s="3" t="s">
        <v>2</v>
      </c>
      <c r="F171" s="13">
        <f>SUM(IFERROR(VLOOKUP($C:$C,Structure!$A:$AJ,F$1,0)*15,0),IFERROR(VLOOKUP($D:$D,Structure!$A:$AJ,F$1,0)*15,0),IFERROR(VLOOKUP($E:$E,Structure!$A:$AJ,F$1,0)*15,0))</f>
        <v>0</v>
      </c>
      <c r="G171" s="13">
        <f>SUM(IFERROR(VLOOKUP($C:$C,Structure!$A:$AJ,G$1,0)*15,0),IFERROR(VLOOKUP($D:$D,Structure!$A:$AJ,G$1,0)*15,0),IFERROR(VLOOKUP($E:$E,Structure!$A:$AJ,G$1,0)*15,0))</f>
        <v>0</v>
      </c>
      <c r="H171" s="13">
        <f>SUM(IFERROR(VLOOKUP($C:$C,Structure!$A:$AJ,H$1,0)*15,0),IFERROR(VLOOKUP($D:$D,Structure!$A:$AJ,H$1,0)*15,0),IFERROR(VLOOKUP($E:$E,Structure!$A:$AJ,H$1,0)*15,0))</f>
        <v>0</v>
      </c>
      <c r="I171" s="13">
        <f>SUM(IFERROR(VLOOKUP($C:$C,Structure!$A:$AJ,I$1,0)*15,0),IFERROR(VLOOKUP($D:$D,Structure!$A:$AJ,I$1,0)*15,0),IFERROR(VLOOKUP($E:$E,Structure!$A:$AJ,I$1,0)*15,0))</f>
        <v>0</v>
      </c>
      <c r="J171" s="13">
        <f>SUM(IFERROR(VLOOKUP($C:$C,Structure!$A:$AJ,J$1,0)*15,0),IFERROR(VLOOKUP($D:$D,Structure!$A:$AJ,J$1,0)*15,0),IFERROR(VLOOKUP($E:$E,Structure!$A:$AJ,J$1,0)*15,0))</f>
        <v>0</v>
      </c>
      <c r="K171" s="13">
        <f>SUM(IFERROR(VLOOKUP($C:$C,Structure!$A:$AJ,K$1,0)*15,0),IFERROR(VLOOKUP($D:$D,Structure!$A:$AJ,K$1,0)*15,0),IFERROR(VLOOKUP($E:$E,Structure!$A:$AJ,K$1,0)*15,0))</f>
        <v>0</v>
      </c>
      <c r="L171" s="13">
        <f>SUM(IFERROR(VLOOKUP($C:$C,Structure!$A:$AJ,L$1,0)*15,0),IFERROR(VLOOKUP($D:$D,Structure!$A:$AJ,L$1,0)*15,0),IFERROR(VLOOKUP($E:$E,Structure!$A:$AJ,L$1,0)*15,0))</f>
        <v>0</v>
      </c>
      <c r="M171" s="13">
        <f>SUM(IFERROR(VLOOKUP($C:$C,Structure!$A:$AJ,M$1,0)*15,0),IFERROR(VLOOKUP($D:$D,Structure!$A:$AJ,M$1,0)*15,0),IFERROR(VLOOKUP($E:$E,Structure!$A:$AJ,M$1,0)*15,0))</f>
        <v>0</v>
      </c>
      <c r="N171" s="13">
        <f>SUM(IFERROR(VLOOKUP($C:$C,Structure!$A:$AJ,N$1,0)*15,0),IFERROR(VLOOKUP($D:$D,Structure!$A:$AJ,N$1,0)*15,0),IFERROR(VLOOKUP($E:$E,Structure!$A:$AJ,N$1,0)*15,0))</f>
        <v>0</v>
      </c>
      <c r="O171" s="13">
        <f>SUM(IFERROR(VLOOKUP($C:$C,Structure!$A:$AJ,O$1,0)*15,0),IFERROR(VLOOKUP($D:$D,Structure!$A:$AJ,O$1,0)*15,0),IFERROR(VLOOKUP($E:$E,Structure!$A:$AJ,O$1,0)*15,0))</f>
        <v>0</v>
      </c>
      <c r="P171" s="13">
        <f>SUM(IFERROR(VLOOKUP($C:$C,Structure!$A:$AJ,P$1,0)*15,0),IFERROR(VLOOKUP($D:$D,Structure!$A:$AJ,P$1,0)*15,0),IFERROR(VLOOKUP($E:$E,Structure!$A:$AJ,P$1,0)*15,0))</f>
        <v>0</v>
      </c>
      <c r="Q171" s="13">
        <f>SUM(IFERROR(VLOOKUP($C:$C,Structure!$A:$AJ,Q$1,0)*15,0),IFERROR(VLOOKUP($D:$D,Structure!$A:$AJ,Q$1,0)*15,0),IFERROR(VLOOKUP($E:$E,Structure!$A:$AJ,Q$1,0)*15,0))</f>
        <v>0</v>
      </c>
      <c r="R171" s="13">
        <f>SUM(IFERROR(VLOOKUP($C:$C,Structure!$A:$AJ,R$1,0)*15,0),IFERROR(VLOOKUP($D:$D,Structure!$A:$AJ,R$1,0)*15,0),IFERROR(VLOOKUP($E:$E,Structure!$A:$AJ,R$1,0)*15,0))</f>
        <v>0</v>
      </c>
      <c r="S171" s="13">
        <f>SUM(IFERROR(VLOOKUP($C:$C,Structure!$A:$AJ,S$1,0)*15,0),IFERROR(VLOOKUP($D:$D,Structure!$A:$AJ,S$1,0)*15,0),IFERROR(VLOOKUP($E:$E,Structure!$A:$AJ,S$1,0)*15,0))</f>
        <v>0</v>
      </c>
      <c r="T171" s="13">
        <f>SUM(IFERROR(VLOOKUP($C:$C,Structure!$A:$AJ,T$1,0)*15,0),IFERROR(VLOOKUP($D:$D,Structure!$A:$AJ,T$1,0)*15,0),IFERROR(VLOOKUP($E:$E,Structure!$A:$AJ,T$1,0)*15,0))</f>
        <v>0</v>
      </c>
      <c r="U171" s="13">
        <f>SUM(IFERROR(VLOOKUP($C:$C,Structure!$A:$AJ,U$1,0)*15,0),IFERROR(VLOOKUP($D:$D,Structure!$A:$AJ,U$1,0)*15,0),IFERROR(VLOOKUP($E:$E,Structure!$A:$AJ,U$1,0)*15,0))</f>
        <v>0</v>
      </c>
      <c r="V171" s="13">
        <f>SUM(IFERROR(VLOOKUP($C:$C,Structure!$A:$AJ,V$1,0)*15,0),IFERROR(VLOOKUP($D:$D,Structure!$A:$AJ,V$1,0)*15,0),IFERROR(VLOOKUP($E:$E,Structure!$A:$AJ,V$1,0)*15,0))</f>
        <v>0</v>
      </c>
      <c r="W171" s="13">
        <f>SUM(IFERROR(VLOOKUP($C:$C,Structure!$A:$AJ,W$1,0)*15,0),IFERROR(VLOOKUP($D:$D,Structure!$A:$AJ,W$1,0)*15,0),IFERROR(VLOOKUP($E:$E,Structure!$A:$AJ,W$1,0)*15,0))</f>
        <v>0</v>
      </c>
      <c r="X171" s="13">
        <f>SUM(IFERROR(VLOOKUP($C:$C,Structure!$A:$AJ,X$1,0)*15,0),IFERROR(VLOOKUP($D:$D,Structure!$A:$AJ,X$1,0)*15,0),IFERROR(VLOOKUP($E:$E,Structure!$A:$AJ,X$1,0)*15,0))</f>
        <v>0</v>
      </c>
      <c r="Y171" s="13">
        <f>SUM(IFERROR(VLOOKUP($C:$C,Structure!$A:$AJ,Y$1,0)*15,0),IFERROR(VLOOKUP($D:$D,Structure!$A:$AJ,Y$1,0)*15,0),IFERROR(VLOOKUP($E:$E,Structure!$A:$AJ,Y$1,0)*15,0))</f>
        <v>0</v>
      </c>
      <c r="Z171" s="13">
        <f>SUM(IFERROR(VLOOKUP($C:$C,Structure!$A:$AJ,Z$1,0)*15,0),IFERROR(VLOOKUP($D:$D,Structure!$A:$AJ,Z$1,0)*15,0),IFERROR(VLOOKUP($E:$E,Structure!$A:$AJ,Z$1,0)*15,0))</f>
        <v>0</v>
      </c>
      <c r="AA171" s="13">
        <f>SUM(IFERROR(VLOOKUP($C:$C,Structure!$A:$AJ,AA$1,0)*15,0),IFERROR(VLOOKUP($D:$D,Structure!$A:$AJ,AA$1,0)*15,0),IFERROR(VLOOKUP($E:$E,Structure!$A:$AJ,AA$1,0)*15,0))</f>
        <v>45</v>
      </c>
      <c r="AB171" s="13">
        <f>SUM(IFERROR(VLOOKUP($C:$C,Structure!$A:$AJ,AB$1,0)*15,0),IFERROR(VLOOKUP($D:$D,Structure!$A:$AJ,AB$1,0)*15,0),IFERROR(VLOOKUP($E:$E,Structure!$A:$AJ,AB$1,0)*15,0))</f>
        <v>0</v>
      </c>
      <c r="AC171" s="13">
        <f>SUM(IFERROR(VLOOKUP($C:$C,Structure!$A:$AJ,AC$1,0)*15,0),IFERROR(VLOOKUP($D:$D,Structure!$A:$AJ,AC$1,0)*15,0),IFERROR(VLOOKUP($E:$E,Structure!$A:$AJ,AC$1,0)*15,0))</f>
        <v>0</v>
      </c>
      <c r="AD171" s="13">
        <f>SUM(IFERROR(VLOOKUP($C:$C,Structure!$A:$AJ,AD$1,0)*15,0),IFERROR(VLOOKUP($D:$D,Structure!$A:$AJ,AD$1,0)*15,0),IFERROR(VLOOKUP($E:$E,Structure!$A:$AJ,AD$1,0)*15,0))</f>
        <v>0</v>
      </c>
      <c r="AE171" s="13">
        <f>SUM(IFERROR(VLOOKUP($C:$C,Structure!$A:$AJ,AE$1,0)*15,0),IFERROR(VLOOKUP($D:$D,Structure!$A:$AJ,AE$1,0)*15,0),IFERROR(VLOOKUP($E:$E,Structure!$A:$AJ,AE$1,0)*15,0))</f>
        <v>0</v>
      </c>
      <c r="AF171" s="13">
        <f>SUM(IFERROR(VLOOKUP($C:$C,Structure!$A:$AJ,AF$1,0)*15,0),IFERROR(VLOOKUP($D:$D,Structure!$A:$AJ,AF$1,0)*15,0),IFERROR(VLOOKUP($E:$E,Structure!$A:$AJ,AF$1,0)*15,0))</f>
        <v>0</v>
      </c>
      <c r="AG171" s="13">
        <f>SUM(IFERROR(VLOOKUP($C:$C,Structure!$A:$AJ,AG$1,0)*15,0),IFERROR(VLOOKUP($D:$D,Structure!$A:$AJ,AG$1,0)*15,0),IFERROR(VLOOKUP($E:$E,Structure!$A:$AJ,AG$1,0)*15,0))</f>
        <v>0</v>
      </c>
      <c r="AH171" s="13">
        <f>SUM(IFERROR(VLOOKUP($C:$C,Structure!$A:$AJ,AH$1,0)*15,0),IFERROR(VLOOKUP($D:$D,Structure!$A:$AJ,AH$1,0)*15,0),IFERROR(VLOOKUP($E:$E,Structure!$A:$AJ,AH$1,0)*15,0))</f>
        <v>0</v>
      </c>
      <c r="AI171" s="13">
        <f>SUM(IFERROR(VLOOKUP($C:$C,Structure!$A:$AJ,AI$1,0)*15,0),IFERROR(VLOOKUP($D:$D,Structure!$A:$AJ,AI$1,0)*15,0),IFERROR(VLOOKUP($E:$E,Structure!$A:$AJ,AI$1,0)*15,0))</f>
        <v>0</v>
      </c>
      <c r="AJ171" s="13">
        <f>SUM(IFERROR(VLOOKUP($C:$C,Structure!$A:$AJ,AJ$1,0)*15,0),IFERROR(VLOOKUP($D:$D,Structure!$A:$AJ,AJ$1,0)*15,0),IFERROR(VLOOKUP($E:$E,Structure!$A:$AJ,AJ$1,0)*15,0))</f>
        <v>45</v>
      </c>
      <c r="AK171" s="13">
        <f>SUM(IFERROR(VLOOKUP($C:$C,Structure!$A:$AJ,AK$1,0)*15,0),IFERROR(VLOOKUP($D:$D,Structure!$A:$AJ,AK$1,0)*15,0),IFERROR(VLOOKUP($E:$E,Structure!$A:$AJ,AK$1,0)*15,0))</f>
        <v>0</v>
      </c>
      <c r="AL171" s="13">
        <f>SUM(IFERROR(VLOOKUP($C:$C,Structure!$A:$AJ,AL$1,0)*15,0),IFERROR(VLOOKUP($D:$D,Structure!$A:$AJ,AL$1,0)*15,0),IFERROR(VLOOKUP($E:$E,Structure!$A:$AJ,AL$1,0)*15,0))</f>
        <v>0</v>
      </c>
      <c r="AM171" s="13">
        <f>SUM(IFERROR(VLOOKUP($C:$C,Structure!$A:$AJ,AM$1,0)*15,0),IFERROR(VLOOKUP($D:$D,Structure!$A:$AJ,AM$1,0)*15,0),IFERROR(VLOOKUP($E:$E,Structure!$A:$AJ,AM$1,0)*15,0))</f>
        <v>0</v>
      </c>
      <c r="AN171" s="13">
        <f>SUM(IFERROR(VLOOKUP($C:$C,Structure!$A:$AJ,AN$1,0)*15,0),IFERROR(VLOOKUP($D:$D,Structure!$A:$AJ,AN$1,0)*15,0),IFERROR(VLOOKUP($E:$E,Structure!$A:$AJ,AN$1,0)*15,0))</f>
        <v>0</v>
      </c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3"/>
      <c r="BZ171" s="4">
        <f>BZ170+AQ171-F171</f>
        <v>0</v>
      </c>
      <c r="CA171" s="4">
        <f>CA170+AR171-G171</f>
        <v>0</v>
      </c>
      <c r="CB171" s="4">
        <f>CB170+AS171-H171</f>
        <v>0</v>
      </c>
      <c r="CC171" s="4">
        <f>CC170+AT171-I171</f>
        <v>0</v>
      </c>
      <c r="CD171" s="4">
        <f>CD170+AU171-J171</f>
        <v>0</v>
      </c>
      <c r="CE171" s="4">
        <f>CE170+AV171-K171</f>
        <v>0</v>
      </c>
      <c r="CF171" s="4">
        <f>CF170+AW171-L171</f>
        <v>0</v>
      </c>
      <c r="CG171" s="4">
        <f>CG170+AX171-M171</f>
        <v>0</v>
      </c>
      <c r="CH171" s="4">
        <f>CH170+AY171-N171</f>
        <v>0</v>
      </c>
      <c r="CI171" s="4">
        <f>CI170+AZ171-O171</f>
        <v>0</v>
      </c>
      <c r="CJ171" s="4">
        <f>CJ170+BA171-P171</f>
        <v>0</v>
      </c>
      <c r="CK171" s="4">
        <f>CK170+BB171-Q171</f>
        <v>0</v>
      </c>
      <c r="CL171" s="4">
        <f>CL170+BC171-R171</f>
        <v>0</v>
      </c>
      <c r="CM171" s="4">
        <f>CM170+BD171-S171</f>
        <v>0</v>
      </c>
      <c r="CN171" s="4">
        <f>CN170+BE171-T171</f>
        <v>0</v>
      </c>
      <c r="CO171" s="4">
        <f>CO170+BF171-U171</f>
        <v>0</v>
      </c>
      <c r="CP171" s="4">
        <f>CP170+BG171-V171</f>
        <v>-60</v>
      </c>
      <c r="CQ171" s="4">
        <f>CQ170+BH171-W171</f>
        <v>0</v>
      </c>
      <c r="CR171" s="4">
        <f>CR170+BI171-X171</f>
        <v>-60</v>
      </c>
      <c r="CS171" s="4">
        <f>CS170+BJ171-Y171</f>
        <v>0</v>
      </c>
      <c r="CT171" s="4">
        <f>CT170+BK171-Z171</f>
        <v>0</v>
      </c>
      <c r="CU171" s="4">
        <f>CU170+BL171-AA171</f>
        <v>-6890</v>
      </c>
      <c r="CV171" s="4">
        <f>CV170+BM171-AB171</f>
        <v>-240</v>
      </c>
      <c r="CW171" s="4">
        <f>CW170+BN171-AC171</f>
        <v>-255</v>
      </c>
      <c r="CX171" s="4">
        <f>CX170+BO171-AD171</f>
        <v>0</v>
      </c>
      <c r="CY171" s="4">
        <f>CY170+BP171-AE171</f>
        <v>-60</v>
      </c>
      <c r="CZ171" s="4">
        <f>CZ170+BQ171-AF171</f>
        <v>-160</v>
      </c>
      <c r="DA171" s="4">
        <f>DA170+BR171-AG171</f>
        <v>0</v>
      </c>
      <c r="DB171" s="4">
        <f>DB170+BS171-AH171</f>
        <v>-60</v>
      </c>
      <c r="DC171" s="4">
        <f>DC170+BT171-AI171</f>
        <v>0</v>
      </c>
      <c r="DD171" s="4">
        <f>DD170+BU171-AJ171</f>
        <v>-5515</v>
      </c>
      <c r="DE171" s="4">
        <f>DE170+BV171-AK171</f>
        <v>-1395</v>
      </c>
      <c r="DF171" s="4">
        <f>DF170+BW171-AL171</f>
        <v>0</v>
      </c>
      <c r="DG171" s="4">
        <f>DG170+BX171-AM171</f>
        <v>-235</v>
      </c>
      <c r="DH171" s="4">
        <f>DH170+BY171-AN171</f>
        <v>0</v>
      </c>
    </row>
    <row r="172" spans="1:112" x14ac:dyDescent="0.25">
      <c r="C172" t="s">
        <v>2</v>
      </c>
      <c r="D172" t="s">
        <v>6</v>
      </c>
      <c r="E172" t="s">
        <v>2</v>
      </c>
    </row>
    <row r="173" spans="1:112" x14ac:dyDescent="0.25">
      <c r="C173" t="s">
        <v>2</v>
      </c>
      <c r="D173" t="s">
        <v>6</v>
      </c>
      <c r="E173" t="s">
        <v>2</v>
      </c>
    </row>
    <row r="174" spans="1:112" x14ac:dyDescent="0.25">
      <c r="C174" t="s">
        <v>2</v>
      </c>
      <c r="D174" t="s">
        <v>6</v>
      </c>
      <c r="E174" t="s">
        <v>2</v>
      </c>
    </row>
    <row r="175" spans="1:112" x14ac:dyDescent="0.25">
      <c r="C175" t="s">
        <v>2</v>
      </c>
      <c r="D175" t="s">
        <v>6</v>
      </c>
      <c r="E175" t="s">
        <v>2</v>
      </c>
    </row>
    <row r="176" spans="1:112" x14ac:dyDescent="0.25">
      <c r="C176" t="s">
        <v>2</v>
      </c>
      <c r="D176" t="s">
        <v>94</v>
      </c>
      <c r="E176" t="s">
        <v>2</v>
      </c>
    </row>
    <row r="177" spans="3:5" x14ac:dyDescent="0.25">
      <c r="C177" t="s">
        <v>2</v>
      </c>
      <c r="D177" t="s">
        <v>94</v>
      </c>
      <c r="E177" t="s">
        <v>2</v>
      </c>
    </row>
    <row r="178" spans="3:5" x14ac:dyDescent="0.25">
      <c r="C178" t="s">
        <v>2</v>
      </c>
      <c r="D178" t="s">
        <v>10</v>
      </c>
      <c r="E178" t="s">
        <v>2</v>
      </c>
    </row>
    <row r="179" spans="3:5" x14ac:dyDescent="0.25">
      <c r="C179" t="s">
        <v>3</v>
      </c>
      <c r="D179" t="s">
        <v>10</v>
      </c>
      <c r="E179" t="s">
        <v>2</v>
      </c>
    </row>
    <row r="180" spans="3:5" x14ac:dyDescent="0.25">
      <c r="C180" t="s">
        <v>3</v>
      </c>
      <c r="D180" t="s">
        <v>2</v>
      </c>
      <c r="E180" t="s">
        <v>2</v>
      </c>
    </row>
    <row r="181" spans="3:5" x14ac:dyDescent="0.25">
      <c r="C181" t="s">
        <v>3</v>
      </c>
      <c r="D181" t="s">
        <v>2</v>
      </c>
      <c r="E181" t="s">
        <v>2</v>
      </c>
    </row>
    <row r="182" spans="3:5" x14ac:dyDescent="0.25">
      <c r="C182" t="s">
        <v>3</v>
      </c>
      <c r="D182" t="s">
        <v>2</v>
      </c>
      <c r="E182" t="s">
        <v>2</v>
      </c>
    </row>
    <row r="183" spans="3:5" x14ac:dyDescent="0.25">
      <c r="C183" t="s">
        <v>3</v>
      </c>
      <c r="D183" t="s">
        <v>2</v>
      </c>
      <c r="E183" t="s">
        <v>2</v>
      </c>
    </row>
    <row r="184" spans="3:5" x14ac:dyDescent="0.25">
      <c r="C184" t="s">
        <v>3</v>
      </c>
      <c r="D184" t="s">
        <v>2</v>
      </c>
      <c r="E184" t="s">
        <v>10</v>
      </c>
    </row>
    <row r="185" spans="3:5" x14ac:dyDescent="0.25">
      <c r="C185" t="s">
        <v>3</v>
      </c>
      <c r="D185" t="s">
        <v>2</v>
      </c>
      <c r="E185" t="s">
        <v>10</v>
      </c>
    </row>
    <row r="186" spans="3:5" x14ac:dyDescent="0.25">
      <c r="C186" t="s">
        <v>3</v>
      </c>
      <c r="D186" t="s">
        <v>2</v>
      </c>
      <c r="E186" t="s">
        <v>10</v>
      </c>
    </row>
    <row r="187" spans="3:5" x14ac:dyDescent="0.25">
      <c r="C187" t="s">
        <v>6</v>
      </c>
      <c r="D187" t="s">
        <v>2</v>
      </c>
      <c r="E187" t="s">
        <v>2</v>
      </c>
    </row>
    <row r="188" spans="3:5" x14ac:dyDescent="0.25">
      <c r="C188" t="s">
        <v>6</v>
      </c>
      <c r="D188" t="s">
        <v>2</v>
      </c>
      <c r="E188" t="s">
        <v>2</v>
      </c>
    </row>
    <row r="189" spans="3:5" x14ac:dyDescent="0.25">
      <c r="C189" t="s">
        <v>6</v>
      </c>
      <c r="D189" t="s">
        <v>2</v>
      </c>
      <c r="E189" t="s">
        <v>2</v>
      </c>
    </row>
    <row r="190" spans="3:5" x14ac:dyDescent="0.25">
      <c r="C190" t="s">
        <v>6</v>
      </c>
      <c r="D190" t="s">
        <v>3</v>
      </c>
      <c r="E190" t="s">
        <v>2</v>
      </c>
    </row>
    <row r="191" spans="3:5" x14ac:dyDescent="0.25">
      <c r="C191" t="s">
        <v>6</v>
      </c>
      <c r="D191" t="s">
        <v>3</v>
      </c>
      <c r="E191" t="s">
        <v>2</v>
      </c>
    </row>
    <row r="192" spans="3:5" x14ac:dyDescent="0.25">
      <c r="C192" t="s">
        <v>6</v>
      </c>
      <c r="D192" t="s">
        <v>3</v>
      </c>
      <c r="E192" t="s">
        <v>2</v>
      </c>
    </row>
    <row r="193" spans="3:5" x14ac:dyDescent="0.25">
      <c r="C193" t="s">
        <v>6</v>
      </c>
      <c r="D193" t="s">
        <v>3</v>
      </c>
      <c r="E193" t="s">
        <v>2</v>
      </c>
    </row>
    <row r="194" spans="3:5" x14ac:dyDescent="0.25">
      <c r="C194" t="s">
        <v>6</v>
      </c>
      <c r="D194" t="s">
        <v>3</v>
      </c>
      <c r="E194" t="s">
        <v>2</v>
      </c>
    </row>
    <row r="195" spans="3:5" x14ac:dyDescent="0.25">
      <c r="C195" t="s">
        <v>6</v>
      </c>
      <c r="D195" t="s">
        <v>9</v>
      </c>
      <c r="E195" t="s">
        <v>2</v>
      </c>
    </row>
    <row r="196" spans="3:5" x14ac:dyDescent="0.25">
      <c r="C196" t="s">
        <v>6</v>
      </c>
      <c r="D196" t="s">
        <v>76</v>
      </c>
      <c r="E196" t="s">
        <v>2</v>
      </c>
    </row>
    <row r="197" spans="3:5" x14ac:dyDescent="0.25">
      <c r="C197" t="s">
        <v>6</v>
      </c>
      <c r="D197" t="s">
        <v>76</v>
      </c>
      <c r="E197" t="s">
        <v>2</v>
      </c>
    </row>
    <row r="198" spans="3:5" x14ac:dyDescent="0.25">
      <c r="C198" t="s">
        <v>6</v>
      </c>
      <c r="D198" t="s">
        <v>2</v>
      </c>
      <c r="E198" t="s">
        <v>2</v>
      </c>
    </row>
    <row r="199" spans="3:5" x14ac:dyDescent="0.25">
      <c r="C199" t="s">
        <v>6</v>
      </c>
      <c r="D199" t="s">
        <v>2</v>
      </c>
      <c r="E199" t="s">
        <v>2</v>
      </c>
    </row>
    <row r="200" spans="3:5" x14ac:dyDescent="0.25">
      <c r="C200" t="s">
        <v>6</v>
      </c>
      <c r="D200" t="s">
        <v>2</v>
      </c>
      <c r="E200" t="s">
        <v>2</v>
      </c>
    </row>
    <row r="201" spans="3:5" x14ac:dyDescent="0.25">
      <c r="C201" t="s">
        <v>6</v>
      </c>
      <c r="D201" t="s">
        <v>2</v>
      </c>
      <c r="E201" t="s">
        <v>2</v>
      </c>
    </row>
    <row r="202" spans="3:5" x14ac:dyDescent="0.25">
      <c r="C202" t="s">
        <v>6</v>
      </c>
      <c r="D202" t="s">
        <v>2</v>
      </c>
      <c r="E202" t="s">
        <v>2</v>
      </c>
    </row>
    <row r="203" spans="3:5" x14ac:dyDescent="0.25">
      <c r="C203" t="s">
        <v>6</v>
      </c>
      <c r="D203" t="s">
        <v>2</v>
      </c>
      <c r="E203" t="s">
        <v>2</v>
      </c>
    </row>
    <row r="204" spans="3:5" x14ac:dyDescent="0.25">
      <c r="C204" t="s">
        <v>6</v>
      </c>
      <c r="D204" t="s">
        <v>2</v>
      </c>
      <c r="E204" t="s">
        <v>2</v>
      </c>
    </row>
    <row r="205" spans="3:5" x14ac:dyDescent="0.25">
      <c r="C205" t="s">
        <v>6</v>
      </c>
      <c r="D205" t="s">
        <v>2</v>
      </c>
      <c r="E205" t="s">
        <v>2</v>
      </c>
    </row>
    <row r="206" spans="3:5" x14ac:dyDescent="0.25">
      <c r="C206" t="s">
        <v>6</v>
      </c>
      <c r="D206" t="s">
        <v>2</v>
      </c>
      <c r="E206" t="s">
        <v>2</v>
      </c>
    </row>
    <row r="207" spans="3:5" x14ac:dyDescent="0.25">
      <c r="C207" t="s">
        <v>6</v>
      </c>
      <c r="D207" t="s">
        <v>2</v>
      </c>
      <c r="E207" t="s">
        <v>2</v>
      </c>
    </row>
    <row r="208" spans="3:5" x14ac:dyDescent="0.25">
      <c r="C208" t="s">
        <v>3</v>
      </c>
      <c r="D208" t="s">
        <v>2</v>
      </c>
      <c r="E208" t="s">
        <v>2</v>
      </c>
    </row>
    <row r="209" spans="3:5" x14ac:dyDescent="0.25">
      <c r="C209" t="s">
        <v>3</v>
      </c>
      <c r="D209" t="s">
        <v>3</v>
      </c>
      <c r="E209" t="s">
        <v>2</v>
      </c>
    </row>
    <row r="210" spans="3:5" x14ac:dyDescent="0.25">
      <c r="C210" t="s">
        <v>3</v>
      </c>
      <c r="D210" t="s">
        <v>3</v>
      </c>
      <c r="E210" t="s">
        <v>2</v>
      </c>
    </row>
    <row r="211" spans="3:5" x14ac:dyDescent="0.25">
      <c r="C211" t="s">
        <v>3</v>
      </c>
      <c r="D211" t="s">
        <v>3</v>
      </c>
      <c r="E211" t="s">
        <v>2</v>
      </c>
    </row>
    <row r="212" spans="3:5" x14ac:dyDescent="0.25">
      <c r="C212" t="s">
        <v>74</v>
      </c>
      <c r="D212" t="s">
        <v>3</v>
      </c>
      <c r="E212" t="s">
        <v>77</v>
      </c>
    </row>
    <row r="213" spans="3:5" x14ac:dyDescent="0.25">
      <c r="C213" t="s">
        <v>74</v>
      </c>
      <c r="D213" t="s">
        <v>3</v>
      </c>
      <c r="E213" t="s">
        <v>77</v>
      </c>
    </row>
    <row r="214" spans="3:5" x14ac:dyDescent="0.25">
      <c r="C214" t="s">
        <v>74</v>
      </c>
      <c r="D214" t="s">
        <v>9</v>
      </c>
      <c r="E214" t="s">
        <v>77</v>
      </c>
    </row>
    <row r="215" spans="3:5" x14ac:dyDescent="0.25">
      <c r="C215" t="s">
        <v>74</v>
      </c>
      <c r="D215" t="s">
        <v>98</v>
      </c>
      <c r="E215" t="s">
        <v>77</v>
      </c>
    </row>
    <row r="216" spans="3:5" x14ac:dyDescent="0.25">
      <c r="C216" t="s">
        <v>6</v>
      </c>
      <c r="D216" t="s">
        <v>2</v>
      </c>
      <c r="E216" t="s">
        <v>77</v>
      </c>
    </row>
    <row r="217" spans="3:5" x14ac:dyDescent="0.25">
      <c r="C217" t="s">
        <v>6</v>
      </c>
      <c r="D217" t="s">
        <v>2</v>
      </c>
      <c r="E217" t="s">
        <v>77</v>
      </c>
    </row>
    <row r="218" spans="3:5" x14ac:dyDescent="0.25">
      <c r="C218" t="s">
        <v>6</v>
      </c>
      <c r="D218" t="s">
        <v>2</v>
      </c>
      <c r="E218" t="s">
        <v>77</v>
      </c>
    </row>
    <row r="219" spans="3:5" x14ac:dyDescent="0.25">
      <c r="C219" t="s">
        <v>6</v>
      </c>
      <c r="D219" t="s">
        <v>2</v>
      </c>
      <c r="E219" t="s">
        <v>77</v>
      </c>
    </row>
    <row r="220" spans="3:5" x14ac:dyDescent="0.25">
      <c r="C220" t="s">
        <v>6</v>
      </c>
      <c r="D220" t="s">
        <v>2</v>
      </c>
      <c r="E220" t="s">
        <v>77</v>
      </c>
    </row>
    <row r="221" spans="3:5" x14ac:dyDescent="0.25">
      <c r="C221" t="s">
        <v>6</v>
      </c>
      <c r="D221" t="s">
        <v>2</v>
      </c>
      <c r="E221" t="s">
        <v>77</v>
      </c>
    </row>
    <row r="222" spans="3:5" x14ac:dyDescent="0.25">
      <c r="C222" t="s">
        <v>6</v>
      </c>
      <c r="D222" t="s">
        <v>2</v>
      </c>
      <c r="E222" t="s">
        <v>77</v>
      </c>
    </row>
    <row r="223" spans="3:5" x14ac:dyDescent="0.25">
      <c r="C223" t="s">
        <v>6</v>
      </c>
      <c r="D223" t="s">
        <v>2</v>
      </c>
      <c r="E223" t="s">
        <v>77</v>
      </c>
    </row>
    <row r="224" spans="3:5" x14ac:dyDescent="0.25">
      <c r="C224" t="s">
        <v>6</v>
      </c>
      <c r="D224" t="s">
        <v>2</v>
      </c>
      <c r="E224" t="s">
        <v>77</v>
      </c>
    </row>
    <row r="225" spans="3:5" x14ac:dyDescent="0.25">
      <c r="C225" t="s">
        <v>6</v>
      </c>
      <c r="D225" t="s">
        <v>2</v>
      </c>
      <c r="E225" t="s">
        <v>77</v>
      </c>
    </row>
    <row r="226" spans="3:5" x14ac:dyDescent="0.25">
      <c r="C226" t="s">
        <v>6</v>
      </c>
      <c r="D226" t="s">
        <v>9</v>
      </c>
      <c r="E226" t="s">
        <v>77</v>
      </c>
    </row>
    <row r="227" spans="3:5" x14ac:dyDescent="0.25">
      <c r="C227" t="s">
        <v>6</v>
      </c>
      <c r="D227" t="s">
        <v>76</v>
      </c>
      <c r="E227" t="s">
        <v>77</v>
      </c>
    </row>
    <row r="228" spans="3:5" x14ac:dyDescent="0.25">
      <c r="C228" t="s">
        <v>6</v>
      </c>
      <c r="D228" t="s">
        <v>3</v>
      </c>
      <c r="E228" t="s">
        <v>77</v>
      </c>
    </row>
    <row r="229" spans="3:5" x14ac:dyDescent="0.25">
      <c r="C229" t="s">
        <v>3</v>
      </c>
      <c r="D229" t="s">
        <v>3</v>
      </c>
      <c r="E229" t="s">
        <v>77</v>
      </c>
    </row>
    <row r="230" spans="3:5" x14ac:dyDescent="0.25">
      <c r="C230" t="s">
        <v>3</v>
      </c>
      <c r="D230" t="s">
        <v>3</v>
      </c>
      <c r="E230" t="s">
        <v>77</v>
      </c>
    </row>
    <row r="231" spans="3:5" x14ac:dyDescent="0.25">
      <c r="C231" t="s">
        <v>3</v>
      </c>
      <c r="D231" t="s">
        <v>3</v>
      </c>
      <c r="E231" t="s">
        <v>77</v>
      </c>
    </row>
    <row r="232" spans="3:5" x14ac:dyDescent="0.25">
      <c r="C232" t="s">
        <v>3</v>
      </c>
      <c r="D232" t="s">
        <v>3</v>
      </c>
      <c r="E232" t="s">
        <v>77</v>
      </c>
    </row>
    <row r="233" spans="3:5" x14ac:dyDescent="0.25">
      <c r="C233" t="s">
        <v>3</v>
      </c>
      <c r="D233" t="s">
        <v>3</v>
      </c>
      <c r="E233" t="s">
        <v>2</v>
      </c>
    </row>
    <row r="234" spans="3:5" x14ac:dyDescent="0.25">
      <c r="C234" t="s">
        <v>3</v>
      </c>
      <c r="D234" t="s">
        <v>3</v>
      </c>
      <c r="E234" t="s">
        <v>2</v>
      </c>
    </row>
    <row r="235" spans="3:5" x14ac:dyDescent="0.25">
      <c r="C235" t="s">
        <v>3</v>
      </c>
      <c r="D235" t="s">
        <v>3</v>
      </c>
      <c r="E235" t="s">
        <v>2</v>
      </c>
    </row>
    <row r="236" spans="3:5" x14ac:dyDescent="0.25">
      <c r="C236" t="s">
        <v>3</v>
      </c>
      <c r="D236" t="s">
        <v>3</v>
      </c>
      <c r="E236" t="s">
        <v>2</v>
      </c>
    </row>
    <row r="237" spans="3:5" x14ac:dyDescent="0.25">
      <c r="C237" t="s">
        <v>6</v>
      </c>
      <c r="D237" t="s">
        <v>3</v>
      </c>
      <c r="E237" t="s">
        <v>2</v>
      </c>
    </row>
    <row r="238" spans="3:5" x14ac:dyDescent="0.25">
      <c r="C238" t="s">
        <v>6</v>
      </c>
      <c r="D238" t="s">
        <v>2</v>
      </c>
      <c r="E238" t="s">
        <v>2</v>
      </c>
    </row>
    <row r="239" spans="3:5" x14ac:dyDescent="0.25">
      <c r="C239" t="s">
        <v>6</v>
      </c>
      <c r="D239" t="s">
        <v>2</v>
      </c>
      <c r="E239" t="s">
        <v>2</v>
      </c>
    </row>
    <row r="240" spans="3:5" x14ac:dyDescent="0.25">
      <c r="C240" t="s">
        <v>6</v>
      </c>
      <c r="D240" t="s">
        <v>2</v>
      </c>
      <c r="E240" t="s">
        <v>77</v>
      </c>
    </row>
    <row r="241" spans="3:5" x14ac:dyDescent="0.25">
      <c r="C241" t="s">
        <v>6</v>
      </c>
      <c r="D241" t="s">
        <v>2</v>
      </c>
      <c r="E241" t="s">
        <v>77</v>
      </c>
    </row>
    <row r="242" spans="3:5" x14ac:dyDescent="0.25">
      <c r="C242" t="s">
        <v>6</v>
      </c>
      <c r="D242" t="s">
        <v>2</v>
      </c>
      <c r="E242" t="s">
        <v>77</v>
      </c>
    </row>
    <row r="243" spans="3:5" x14ac:dyDescent="0.25">
      <c r="C243" t="s">
        <v>6</v>
      </c>
      <c r="D243" t="s">
        <v>2</v>
      </c>
      <c r="E243" t="s">
        <v>77</v>
      </c>
    </row>
    <row r="244" spans="3:5" x14ac:dyDescent="0.25">
      <c r="C244" t="s">
        <v>6</v>
      </c>
      <c r="D244" t="s">
        <v>76</v>
      </c>
      <c r="E244" t="s">
        <v>77</v>
      </c>
    </row>
    <row r="245" spans="3:5" x14ac:dyDescent="0.25">
      <c r="C245" t="s">
        <v>6</v>
      </c>
      <c r="D245" t="s">
        <v>7</v>
      </c>
      <c r="E245" t="s">
        <v>77</v>
      </c>
    </row>
    <row r="246" spans="3:5" x14ac:dyDescent="0.25">
      <c r="C246" t="s">
        <v>6</v>
      </c>
      <c r="D246" t="s">
        <v>9</v>
      </c>
      <c r="E246" t="s">
        <v>77</v>
      </c>
    </row>
    <row r="247" spans="3:5" x14ac:dyDescent="0.25">
      <c r="C247" t="s">
        <v>6</v>
      </c>
      <c r="D247" t="s">
        <v>9</v>
      </c>
      <c r="E247" t="s">
        <v>77</v>
      </c>
    </row>
    <row r="248" spans="3:5" x14ac:dyDescent="0.25">
      <c r="C248" t="s">
        <v>6</v>
      </c>
      <c r="D248" t="s">
        <v>2</v>
      </c>
      <c r="E248" t="s">
        <v>86</v>
      </c>
    </row>
    <row r="249" spans="3:5" x14ac:dyDescent="0.25">
      <c r="C249" t="s">
        <v>6</v>
      </c>
      <c r="D249" t="s">
        <v>2</v>
      </c>
      <c r="E249" t="s">
        <v>86</v>
      </c>
    </row>
    <row r="250" spans="3:5" x14ac:dyDescent="0.25">
      <c r="C250" t="s">
        <v>6</v>
      </c>
      <c r="D250" t="s">
        <v>2</v>
      </c>
      <c r="E250" t="s">
        <v>86</v>
      </c>
    </row>
    <row r="251" spans="3:5" x14ac:dyDescent="0.25">
      <c r="C251" t="s">
        <v>6</v>
      </c>
      <c r="D251" t="s">
        <v>2</v>
      </c>
      <c r="E251" t="s">
        <v>86</v>
      </c>
    </row>
    <row r="252" spans="3:5" x14ac:dyDescent="0.25">
      <c r="C252" t="s">
        <v>6</v>
      </c>
      <c r="D252" t="s">
        <v>94</v>
      </c>
      <c r="E252" t="s">
        <v>86</v>
      </c>
    </row>
    <row r="253" spans="3:5" x14ac:dyDescent="0.25">
      <c r="C253" t="s">
        <v>6</v>
      </c>
      <c r="D253" t="s">
        <v>94</v>
      </c>
      <c r="E253" t="s">
        <v>86</v>
      </c>
    </row>
    <row r="254" spans="3:5" x14ac:dyDescent="0.25">
      <c r="C254" t="s">
        <v>6</v>
      </c>
      <c r="D254" t="s">
        <v>3</v>
      </c>
      <c r="E254" t="s">
        <v>93</v>
      </c>
    </row>
    <row r="255" spans="3:5" x14ac:dyDescent="0.25">
      <c r="C255" t="s">
        <v>6</v>
      </c>
      <c r="D255" t="s">
        <v>3</v>
      </c>
      <c r="E255" t="s">
        <v>12</v>
      </c>
    </row>
    <row r="256" spans="3:5" x14ac:dyDescent="0.25">
      <c r="C256" t="s">
        <v>6</v>
      </c>
      <c r="D256" t="s">
        <v>3</v>
      </c>
      <c r="E256" t="s">
        <v>2</v>
      </c>
    </row>
    <row r="257" spans="3:5" x14ac:dyDescent="0.25">
      <c r="C257" t="s">
        <v>3</v>
      </c>
      <c r="D257" t="s">
        <v>3</v>
      </c>
      <c r="E257" t="s">
        <v>2</v>
      </c>
    </row>
    <row r="258" spans="3:5" x14ac:dyDescent="0.25">
      <c r="C258" t="s">
        <v>3</v>
      </c>
      <c r="D258" t="s">
        <v>3</v>
      </c>
      <c r="E258" t="s">
        <v>2</v>
      </c>
    </row>
    <row r="259" spans="3:5" x14ac:dyDescent="0.25">
      <c r="C259" t="s">
        <v>3</v>
      </c>
      <c r="D259" t="s">
        <v>12</v>
      </c>
      <c r="E259" t="s">
        <v>2</v>
      </c>
    </row>
    <row r="260" spans="3:5" x14ac:dyDescent="0.25">
      <c r="C260" t="s">
        <v>3</v>
      </c>
      <c r="D260" t="s">
        <v>76</v>
      </c>
      <c r="E260" t="s">
        <v>2</v>
      </c>
    </row>
    <row r="261" spans="3:5" x14ac:dyDescent="0.25">
      <c r="C261" t="s">
        <v>3</v>
      </c>
      <c r="D261" t="s">
        <v>76</v>
      </c>
      <c r="E261" t="s">
        <v>2</v>
      </c>
    </row>
    <row r="262" spans="3:5" x14ac:dyDescent="0.25">
      <c r="C262" t="s">
        <v>3</v>
      </c>
      <c r="D262" t="s">
        <v>76</v>
      </c>
      <c r="E262" t="s">
        <v>2</v>
      </c>
    </row>
    <row r="263" spans="3:5" x14ac:dyDescent="0.25">
      <c r="C263" t="s">
        <v>3</v>
      </c>
      <c r="D263" t="s">
        <v>76</v>
      </c>
      <c r="E263" t="s">
        <v>2</v>
      </c>
    </row>
    <row r="264" spans="3:5" x14ac:dyDescent="0.25">
      <c r="C264" t="s">
        <v>3</v>
      </c>
      <c r="D264" t="s">
        <v>3</v>
      </c>
      <c r="E264" t="s">
        <v>2</v>
      </c>
    </row>
    <row r="265" spans="3:5" x14ac:dyDescent="0.25">
      <c r="C265" t="s">
        <v>3</v>
      </c>
      <c r="D265" t="s">
        <v>3</v>
      </c>
      <c r="E265" t="s">
        <v>2</v>
      </c>
    </row>
    <row r="266" spans="3:5" x14ac:dyDescent="0.25">
      <c r="C266" t="s">
        <v>3</v>
      </c>
      <c r="D266" t="s">
        <v>3</v>
      </c>
      <c r="E266" t="s">
        <v>2</v>
      </c>
    </row>
    <row r="267" spans="3:5" x14ac:dyDescent="0.25">
      <c r="C267" t="s">
        <v>74</v>
      </c>
      <c r="D267" t="s">
        <v>3</v>
      </c>
      <c r="E267" t="s">
        <v>2</v>
      </c>
    </row>
    <row r="268" spans="3:5" x14ac:dyDescent="0.25">
      <c r="C268" t="s">
        <v>74</v>
      </c>
      <c r="D268" t="s">
        <v>98</v>
      </c>
      <c r="E268" t="s">
        <v>2</v>
      </c>
    </row>
    <row r="269" spans="3:5" x14ac:dyDescent="0.25">
      <c r="C269" t="s">
        <v>74</v>
      </c>
      <c r="D269" t="s">
        <v>9</v>
      </c>
      <c r="E269" t="s">
        <v>2</v>
      </c>
    </row>
    <row r="270" spans="3:5" x14ac:dyDescent="0.25">
      <c r="C270" t="s">
        <v>74</v>
      </c>
      <c r="D270" t="s">
        <v>9</v>
      </c>
      <c r="E270" t="s">
        <v>2</v>
      </c>
    </row>
    <row r="271" spans="3:5" x14ac:dyDescent="0.25">
      <c r="C271" t="s">
        <v>74</v>
      </c>
      <c r="D271" t="s">
        <v>9</v>
      </c>
      <c r="E271" t="s">
        <v>2</v>
      </c>
    </row>
    <row r="272" spans="3:5" x14ac:dyDescent="0.25">
      <c r="C272" t="s">
        <v>74</v>
      </c>
      <c r="D272" t="s">
        <v>85</v>
      </c>
      <c r="E272" t="s">
        <v>2</v>
      </c>
    </row>
    <row r="273" spans="3:5" x14ac:dyDescent="0.25">
      <c r="C273" t="s">
        <v>6</v>
      </c>
      <c r="D273" t="s">
        <v>2</v>
      </c>
      <c r="E273" t="s">
        <v>2</v>
      </c>
    </row>
    <row r="274" spans="3:5" x14ac:dyDescent="0.25">
      <c r="C274" t="s">
        <v>6</v>
      </c>
      <c r="D274" t="s">
        <v>2</v>
      </c>
      <c r="E274" t="s">
        <v>2</v>
      </c>
    </row>
    <row r="275" spans="3:5" x14ac:dyDescent="0.25">
      <c r="C275" t="s">
        <v>6</v>
      </c>
      <c r="D275" t="s">
        <v>2</v>
      </c>
      <c r="E275" t="s">
        <v>2</v>
      </c>
    </row>
    <row r="276" spans="3:5" x14ac:dyDescent="0.25">
      <c r="C276" t="s">
        <v>6</v>
      </c>
      <c r="D276" t="s">
        <v>2</v>
      </c>
      <c r="E276" t="s">
        <v>10</v>
      </c>
    </row>
    <row r="277" spans="3:5" x14ac:dyDescent="0.25">
      <c r="C277" t="s">
        <v>6</v>
      </c>
      <c r="D277" t="s">
        <v>2</v>
      </c>
      <c r="E277" t="s">
        <v>2</v>
      </c>
    </row>
    <row r="278" spans="3:5" x14ac:dyDescent="0.25">
      <c r="C278" t="s">
        <v>6</v>
      </c>
      <c r="D278" t="s">
        <v>2</v>
      </c>
      <c r="E278" t="s">
        <v>2</v>
      </c>
    </row>
    <row r="279" spans="3:5" x14ac:dyDescent="0.25">
      <c r="C279" t="s">
        <v>6</v>
      </c>
      <c r="D279" t="s">
        <v>2</v>
      </c>
      <c r="E279" t="s">
        <v>2</v>
      </c>
    </row>
    <row r="280" spans="3:5" x14ac:dyDescent="0.25">
      <c r="C280" t="s">
        <v>6</v>
      </c>
      <c r="D280" t="s">
        <v>3</v>
      </c>
      <c r="E280" t="s">
        <v>2</v>
      </c>
    </row>
    <row r="281" spans="3:5" x14ac:dyDescent="0.25">
      <c r="C281" t="s">
        <v>6</v>
      </c>
      <c r="D281" t="s">
        <v>3</v>
      </c>
      <c r="E281" t="s">
        <v>2</v>
      </c>
    </row>
    <row r="282" spans="3:5" x14ac:dyDescent="0.25">
      <c r="C282" t="s">
        <v>6</v>
      </c>
      <c r="D282" t="s">
        <v>3</v>
      </c>
      <c r="E282" t="s">
        <v>2</v>
      </c>
    </row>
    <row r="283" spans="3:5" x14ac:dyDescent="0.25">
      <c r="C283" t="s">
        <v>6</v>
      </c>
      <c r="D283" t="s">
        <v>3</v>
      </c>
      <c r="E283" t="s">
        <v>2</v>
      </c>
    </row>
    <row r="284" spans="3:5" x14ac:dyDescent="0.25">
      <c r="C284" t="s">
        <v>6</v>
      </c>
      <c r="D284" t="s">
        <v>76</v>
      </c>
      <c r="E284" t="s">
        <v>2</v>
      </c>
    </row>
    <row r="285" spans="3:5" x14ac:dyDescent="0.25">
      <c r="C285" t="s">
        <v>6</v>
      </c>
      <c r="D285" t="s">
        <v>76</v>
      </c>
      <c r="E285" t="s">
        <v>2</v>
      </c>
    </row>
    <row r="286" spans="3:5" x14ac:dyDescent="0.25">
      <c r="C286" t="s">
        <v>3</v>
      </c>
      <c r="D286" t="s">
        <v>76</v>
      </c>
      <c r="E286" t="s">
        <v>2</v>
      </c>
    </row>
    <row r="287" spans="3:5" x14ac:dyDescent="0.25">
      <c r="C287" t="s">
        <v>3</v>
      </c>
      <c r="D287" t="s">
        <v>98</v>
      </c>
      <c r="E287" t="s">
        <v>2</v>
      </c>
    </row>
    <row r="288" spans="3:5" x14ac:dyDescent="0.25">
      <c r="C288" t="s">
        <v>3</v>
      </c>
      <c r="D288" t="s">
        <v>85</v>
      </c>
      <c r="E288" t="s">
        <v>2</v>
      </c>
    </row>
    <row r="289" spans="3:5" x14ac:dyDescent="0.25">
      <c r="C289" t="s">
        <v>3</v>
      </c>
      <c r="D289" t="s">
        <v>9</v>
      </c>
      <c r="E289" t="s">
        <v>2</v>
      </c>
    </row>
    <row r="290" spans="3:5" x14ac:dyDescent="0.25">
      <c r="C290" t="s">
        <v>3</v>
      </c>
      <c r="D290" t="s">
        <v>9</v>
      </c>
      <c r="E290" t="s">
        <v>2</v>
      </c>
    </row>
    <row r="291" spans="3:5" x14ac:dyDescent="0.25">
      <c r="C291" t="s">
        <v>3</v>
      </c>
      <c r="D291" t="s">
        <v>9</v>
      </c>
      <c r="E291" t="s">
        <v>2</v>
      </c>
    </row>
    <row r="292" spans="3:5" x14ac:dyDescent="0.25">
      <c r="C292" t="s">
        <v>3</v>
      </c>
      <c r="D292" t="s">
        <v>9</v>
      </c>
      <c r="E292" t="s">
        <v>2</v>
      </c>
    </row>
    <row r="293" spans="3:5" x14ac:dyDescent="0.25">
      <c r="C293" t="s">
        <v>3</v>
      </c>
      <c r="D293" t="s">
        <v>9</v>
      </c>
      <c r="E293" t="s">
        <v>2</v>
      </c>
    </row>
    <row r="294" spans="3:5" x14ac:dyDescent="0.25">
      <c r="C294" t="s">
        <v>3</v>
      </c>
      <c r="D294" t="s">
        <v>9</v>
      </c>
      <c r="E294" t="s">
        <v>2</v>
      </c>
    </row>
    <row r="295" spans="3:5" x14ac:dyDescent="0.25">
      <c r="C295" t="s">
        <v>3</v>
      </c>
      <c r="E295" t="s">
        <v>2</v>
      </c>
    </row>
    <row r="296" spans="3:5" x14ac:dyDescent="0.25">
      <c r="C296" t="s">
        <v>3</v>
      </c>
      <c r="E296" t="s">
        <v>2</v>
      </c>
    </row>
    <row r="297" spans="3:5" x14ac:dyDescent="0.25">
      <c r="C297" t="s">
        <v>3</v>
      </c>
      <c r="E297" t="s">
        <v>2</v>
      </c>
    </row>
    <row r="298" spans="3:5" x14ac:dyDescent="0.25">
      <c r="C298" t="s">
        <v>3</v>
      </c>
      <c r="E298" t="s">
        <v>2</v>
      </c>
    </row>
    <row r="299" spans="3:5" x14ac:dyDescent="0.25">
      <c r="C299" t="s">
        <v>6</v>
      </c>
      <c r="E299" t="s">
        <v>2</v>
      </c>
    </row>
    <row r="300" spans="3:5" x14ac:dyDescent="0.25">
      <c r="C300" t="s">
        <v>6</v>
      </c>
      <c r="E300" t="s">
        <v>2</v>
      </c>
    </row>
    <row r="301" spans="3:5" x14ac:dyDescent="0.25">
      <c r="C301" t="s">
        <v>6</v>
      </c>
      <c r="E301" t="s">
        <v>2</v>
      </c>
    </row>
    <row r="302" spans="3:5" x14ac:dyDescent="0.25">
      <c r="C302" t="s">
        <v>6</v>
      </c>
      <c r="E302" t="s">
        <v>2</v>
      </c>
    </row>
    <row r="303" spans="3:5" x14ac:dyDescent="0.25">
      <c r="C303" t="s">
        <v>6</v>
      </c>
      <c r="E303" t="s">
        <v>2</v>
      </c>
    </row>
    <row r="304" spans="3:5" x14ac:dyDescent="0.25">
      <c r="C304" t="s">
        <v>6</v>
      </c>
      <c r="E304" t="s">
        <v>2</v>
      </c>
    </row>
    <row r="305" spans="3:5" x14ac:dyDescent="0.25">
      <c r="C305" t="s">
        <v>6</v>
      </c>
      <c r="E305" t="s">
        <v>2</v>
      </c>
    </row>
    <row r="306" spans="3:5" x14ac:dyDescent="0.25">
      <c r="C306" t="s">
        <v>6</v>
      </c>
      <c r="E306" t="s">
        <v>2</v>
      </c>
    </row>
    <row r="307" spans="3:5" x14ac:dyDescent="0.25">
      <c r="C307" t="s">
        <v>6</v>
      </c>
      <c r="E307" t="s">
        <v>2</v>
      </c>
    </row>
    <row r="308" spans="3:5" x14ac:dyDescent="0.25">
      <c r="C308" t="s">
        <v>6</v>
      </c>
      <c r="E308" t="s">
        <v>2</v>
      </c>
    </row>
    <row r="309" spans="3:5" x14ac:dyDescent="0.25">
      <c r="C309" t="s">
        <v>6</v>
      </c>
      <c r="E309" t="s">
        <v>2</v>
      </c>
    </row>
    <row r="310" spans="3:5" x14ac:dyDescent="0.25">
      <c r="C310" t="s">
        <v>6</v>
      </c>
      <c r="E310" t="s">
        <v>2</v>
      </c>
    </row>
    <row r="311" spans="3:5" x14ac:dyDescent="0.25">
      <c r="C311" t="s">
        <v>6</v>
      </c>
      <c r="E311" t="s">
        <v>2</v>
      </c>
    </row>
    <row r="312" spans="3:5" x14ac:dyDescent="0.25">
      <c r="C312" t="s">
        <v>6</v>
      </c>
      <c r="E312" t="s">
        <v>2</v>
      </c>
    </row>
    <row r="313" spans="3:5" x14ac:dyDescent="0.25">
      <c r="C313" t="s">
        <v>6</v>
      </c>
      <c r="E313" t="s">
        <v>2</v>
      </c>
    </row>
    <row r="314" spans="3:5" x14ac:dyDescent="0.25">
      <c r="C314" t="s">
        <v>6</v>
      </c>
      <c r="E314" t="s">
        <v>2</v>
      </c>
    </row>
    <row r="315" spans="3:5" x14ac:dyDescent="0.25">
      <c r="C315" t="s">
        <v>6</v>
      </c>
      <c r="E315" t="s">
        <v>2</v>
      </c>
    </row>
    <row r="316" spans="3:5" x14ac:dyDescent="0.25">
      <c r="C316" t="s">
        <v>6</v>
      </c>
      <c r="E316" t="s">
        <v>2</v>
      </c>
    </row>
    <row r="317" spans="3:5" x14ac:dyDescent="0.25">
      <c r="C317" t="s">
        <v>6</v>
      </c>
      <c r="E317" t="s">
        <v>2</v>
      </c>
    </row>
    <row r="318" spans="3:5" x14ac:dyDescent="0.25">
      <c r="C318" t="s">
        <v>6</v>
      </c>
      <c r="E318" t="s">
        <v>2</v>
      </c>
    </row>
    <row r="319" spans="3:5" x14ac:dyDescent="0.25">
      <c r="C319" t="s">
        <v>6</v>
      </c>
      <c r="E319" t="s">
        <v>2</v>
      </c>
    </row>
    <row r="320" spans="3:5" x14ac:dyDescent="0.25">
      <c r="C320" t="s">
        <v>6</v>
      </c>
      <c r="E320" t="s">
        <v>2</v>
      </c>
    </row>
    <row r="321" spans="3:5" x14ac:dyDescent="0.25">
      <c r="C321" t="s">
        <v>3</v>
      </c>
      <c r="E321" t="s">
        <v>2</v>
      </c>
    </row>
    <row r="322" spans="3:5" x14ac:dyDescent="0.25">
      <c r="C322" t="s">
        <v>3</v>
      </c>
      <c r="E322" t="s">
        <v>2</v>
      </c>
    </row>
    <row r="323" spans="3:5" x14ac:dyDescent="0.25">
      <c r="C323" t="s">
        <v>3</v>
      </c>
      <c r="E323" t="s">
        <v>2</v>
      </c>
    </row>
    <row r="324" spans="3:5" x14ac:dyDescent="0.25">
      <c r="C324" t="s">
        <v>3</v>
      </c>
      <c r="E324" t="s">
        <v>2</v>
      </c>
    </row>
    <row r="325" spans="3:5" x14ac:dyDescent="0.25">
      <c r="C325" t="s">
        <v>3</v>
      </c>
      <c r="E325" t="s">
        <v>2</v>
      </c>
    </row>
    <row r="326" spans="3:5" x14ac:dyDescent="0.25">
      <c r="C326" t="s">
        <v>3</v>
      </c>
      <c r="E326" t="s">
        <v>86</v>
      </c>
    </row>
    <row r="327" spans="3:5" x14ac:dyDescent="0.25">
      <c r="C327" t="s">
        <v>3</v>
      </c>
      <c r="E327" t="s">
        <v>86</v>
      </c>
    </row>
    <row r="328" spans="3:5" x14ac:dyDescent="0.25">
      <c r="C328" t="s">
        <v>3</v>
      </c>
      <c r="E328" t="s">
        <v>86</v>
      </c>
    </row>
    <row r="329" spans="3:5" x14ac:dyDescent="0.25">
      <c r="C329" t="s">
        <v>3</v>
      </c>
      <c r="E329" t="s">
        <v>86</v>
      </c>
    </row>
    <row r="330" spans="3:5" x14ac:dyDescent="0.25">
      <c r="C330" t="s">
        <v>3</v>
      </c>
      <c r="E330" t="s">
        <v>86</v>
      </c>
    </row>
    <row r="331" spans="3:5" x14ac:dyDescent="0.25">
      <c r="C331" t="s">
        <v>3</v>
      </c>
      <c r="E331" t="s">
        <v>86</v>
      </c>
    </row>
    <row r="332" spans="3:5" x14ac:dyDescent="0.25">
      <c r="C332" t="s">
        <v>3</v>
      </c>
      <c r="E332" t="s">
        <v>86</v>
      </c>
    </row>
    <row r="333" spans="3:5" x14ac:dyDescent="0.25">
      <c r="C333" t="s">
        <v>6</v>
      </c>
      <c r="E333" t="s">
        <v>86</v>
      </c>
    </row>
    <row r="334" spans="3:5" x14ac:dyDescent="0.25">
      <c r="C334" t="s">
        <v>6</v>
      </c>
      <c r="E334" t="s">
        <v>86</v>
      </c>
    </row>
    <row r="335" spans="3:5" x14ac:dyDescent="0.25">
      <c r="C335" t="s">
        <v>6</v>
      </c>
      <c r="E335" t="s">
        <v>88</v>
      </c>
    </row>
    <row r="336" spans="3:5" x14ac:dyDescent="0.25">
      <c r="C336" t="s">
        <v>6</v>
      </c>
      <c r="E336" t="s">
        <v>88</v>
      </c>
    </row>
    <row r="337" spans="3:5" x14ac:dyDescent="0.25">
      <c r="C337" t="s">
        <v>6</v>
      </c>
      <c r="E337" t="s">
        <v>2</v>
      </c>
    </row>
    <row r="338" spans="3:5" x14ac:dyDescent="0.25">
      <c r="C338" t="s">
        <v>6</v>
      </c>
      <c r="E338" t="s">
        <v>2</v>
      </c>
    </row>
    <row r="339" spans="3:5" x14ac:dyDescent="0.25">
      <c r="C339" t="s">
        <v>6</v>
      </c>
      <c r="E339" t="s">
        <v>2</v>
      </c>
    </row>
    <row r="340" spans="3:5" x14ac:dyDescent="0.25">
      <c r="C340" t="s">
        <v>6</v>
      </c>
      <c r="E340" t="s">
        <v>2</v>
      </c>
    </row>
    <row r="341" spans="3:5" x14ac:dyDescent="0.25">
      <c r="C341" t="s">
        <v>69</v>
      </c>
      <c r="E341" t="s">
        <v>2</v>
      </c>
    </row>
    <row r="342" spans="3:5" x14ac:dyDescent="0.25">
      <c r="C342" t="s">
        <v>69</v>
      </c>
      <c r="E342" t="s">
        <v>2</v>
      </c>
    </row>
  </sheetData>
  <mergeCells count="2">
    <mergeCell ref="AQ1:BY1"/>
    <mergeCell ref="C1:E1"/>
  </mergeCells>
  <phoneticPr fontId="2" type="noConversion"/>
  <conditionalFormatting sqref="AO2:AO171">
    <cfRule type="duplicateValues" dxfId="8" priority="13"/>
  </conditionalFormatting>
  <conditionalFormatting sqref="BZ3:DH171">
    <cfRule type="cellIs" dxfId="5" priority="16" operator="lessThan">
      <formula>0</formula>
    </cfRule>
  </conditionalFormatting>
  <conditionalFormatting sqref="A1:C1 BZ1:DH1 F1:AQ1 A2:DH1048576">
    <cfRule type="expression" dxfId="7" priority="2">
      <formula>$AP1="Plan"</formula>
    </cfRule>
    <cfRule type="expression" dxfId="6" priority="15">
      <formula>$AP1="Actual"</formula>
    </cfRule>
  </conditionalFormatting>
  <conditionalFormatting sqref="F3:AN171">
    <cfRule type="cellIs" dxfId="4" priority="1" operator="greaterThan">
      <formula>0</formula>
    </cfRule>
  </conditionalFormatting>
  <dataValidations disablePrompts="1" count="1">
    <dataValidation type="list" allowBlank="1" showInputMessage="1" showErrorMessage="1" sqref="AP3:AP171" xr:uid="{F2406D23-E852-4423-B14E-C270FE7B1EBA}">
      <formula1>"Actual, Plan"</formula1>
    </dataValidation>
  </dataValidations>
  <pageMargins left="0.7" right="0.7" top="0.75" bottom="0.75" header="0.3" footer="0.3"/>
  <ignoredErrors>
    <ignoredError sqref="AA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9EDB-3DB4-464E-96B4-180B96F2DDC0}">
  <sheetPr codeName="Sheet3"/>
  <dimension ref="A1:U108"/>
  <sheetViews>
    <sheetView showGridLines="0" zoomScaleNormal="100" workbookViewId="0">
      <selection activeCell="F15" sqref="F15"/>
    </sheetView>
  </sheetViews>
  <sheetFormatPr defaultRowHeight="15" x14ac:dyDescent="0.25"/>
  <cols>
    <col min="2" max="2" width="12.42578125" bestFit="1" customWidth="1"/>
    <col min="3" max="3" width="18.140625" bestFit="1" customWidth="1"/>
    <col min="4" max="4" width="9.140625" style="8"/>
    <col min="7" max="7" width="11.5703125" bestFit="1" customWidth="1"/>
    <col min="8" max="8" width="6.42578125" bestFit="1" customWidth="1"/>
    <col min="9" max="9" width="12.42578125" style="1" bestFit="1" customWidth="1"/>
    <col min="10" max="10" width="18.140625" bestFit="1" customWidth="1"/>
    <col min="11" max="11" width="9.140625" style="8"/>
    <col min="16" max="16" width="12.42578125" style="1" bestFit="1" customWidth="1"/>
    <col min="17" max="17" width="13.28515625" bestFit="1" customWidth="1"/>
    <col min="18" max="18" width="9.140625" style="8"/>
    <col min="20" max="20" width="10.28515625" bestFit="1" customWidth="1"/>
    <col min="21" max="21" width="11.140625" bestFit="1" customWidth="1"/>
  </cols>
  <sheetData>
    <row r="1" spans="1:21" s="30" customFormat="1" x14ac:dyDescent="0.25">
      <c r="A1" s="43" t="s">
        <v>350</v>
      </c>
      <c r="B1" s="44"/>
      <c r="C1" s="44"/>
      <c r="D1" s="44"/>
      <c r="E1" s="44"/>
      <c r="F1" s="44"/>
      <c r="G1" s="45"/>
      <c r="H1" s="48" t="s">
        <v>351</v>
      </c>
      <c r="I1" s="49"/>
      <c r="J1" s="49"/>
      <c r="K1" s="49"/>
      <c r="L1" s="49"/>
      <c r="M1" s="49"/>
      <c r="N1" s="50"/>
      <c r="O1" s="54" t="s">
        <v>352</v>
      </c>
      <c r="P1" s="55"/>
      <c r="Q1" s="55"/>
      <c r="R1" s="55"/>
      <c r="S1" s="55"/>
      <c r="T1" s="55"/>
      <c r="U1" s="56"/>
    </row>
    <row r="2" spans="1:21" s="30" customFormat="1" x14ac:dyDescent="0.25">
      <c r="A2" s="46" t="s">
        <v>353</v>
      </c>
      <c r="B2" s="46" t="s">
        <v>14</v>
      </c>
      <c r="C2" s="46" t="s">
        <v>0</v>
      </c>
      <c r="D2" s="47" t="s">
        <v>354</v>
      </c>
      <c r="E2" s="46" t="s">
        <v>355</v>
      </c>
      <c r="F2" s="46" t="s">
        <v>356</v>
      </c>
      <c r="G2" s="46" t="s">
        <v>357</v>
      </c>
      <c r="H2" s="51" t="s">
        <v>353</v>
      </c>
      <c r="I2" s="52" t="s">
        <v>14</v>
      </c>
      <c r="J2" s="51" t="s">
        <v>0</v>
      </c>
      <c r="K2" s="53" t="s">
        <v>354</v>
      </c>
      <c r="L2" s="51" t="s">
        <v>355</v>
      </c>
      <c r="M2" s="51" t="s">
        <v>356</v>
      </c>
      <c r="N2" s="51" t="s">
        <v>357</v>
      </c>
      <c r="O2" s="38" t="s">
        <v>353</v>
      </c>
      <c r="P2" s="37" t="s">
        <v>14</v>
      </c>
      <c r="Q2" s="38" t="s">
        <v>0</v>
      </c>
      <c r="R2" s="39" t="s">
        <v>354</v>
      </c>
      <c r="S2" s="38" t="s">
        <v>355</v>
      </c>
      <c r="T2" s="38" t="s">
        <v>356</v>
      </c>
      <c r="U2" s="38" t="s">
        <v>357</v>
      </c>
    </row>
    <row r="3" spans="1:21" x14ac:dyDescent="0.25">
      <c r="A3" s="3"/>
      <c r="B3" s="31">
        <v>46178</v>
      </c>
      <c r="C3" s="32" t="s">
        <v>2</v>
      </c>
      <c r="D3" s="33">
        <v>36</v>
      </c>
      <c r="E3" s="32">
        <v>70</v>
      </c>
      <c r="F3" s="32" t="s">
        <v>358</v>
      </c>
      <c r="G3" s="32" t="s">
        <v>359</v>
      </c>
      <c r="H3" s="3"/>
      <c r="I3" s="34">
        <v>46178</v>
      </c>
      <c r="J3" s="35" t="s">
        <v>6</v>
      </c>
      <c r="K3" s="36">
        <v>76</v>
      </c>
      <c r="L3" s="35">
        <v>136</v>
      </c>
      <c r="M3" s="35" t="s">
        <v>360</v>
      </c>
      <c r="N3" s="35" t="s">
        <v>361</v>
      </c>
      <c r="O3" s="3"/>
      <c r="P3" s="40">
        <v>46178</v>
      </c>
      <c r="Q3" s="41" t="s">
        <v>2</v>
      </c>
      <c r="R3" s="42">
        <v>29</v>
      </c>
      <c r="S3" s="41">
        <v>192</v>
      </c>
      <c r="T3" s="41" t="s">
        <v>358</v>
      </c>
      <c r="U3" s="41" t="s">
        <v>359</v>
      </c>
    </row>
    <row r="4" spans="1:21" x14ac:dyDescent="0.25">
      <c r="A4" s="3"/>
      <c r="B4" s="6">
        <v>46178</v>
      </c>
      <c r="C4" s="3" t="s">
        <v>3</v>
      </c>
      <c r="D4" s="28">
        <v>100</v>
      </c>
      <c r="E4" s="3"/>
      <c r="F4" s="3" t="s">
        <v>360</v>
      </c>
      <c r="G4" s="3" t="s">
        <v>362</v>
      </c>
      <c r="H4" s="3"/>
      <c r="I4" s="6">
        <v>46178</v>
      </c>
      <c r="J4" s="3" t="s">
        <v>7</v>
      </c>
      <c r="K4" s="28">
        <v>25</v>
      </c>
      <c r="L4" s="3"/>
      <c r="M4" s="3" t="s">
        <v>363</v>
      </c>
      <c r="N4" s="3" t="s">
        <v>362</v>
      </c>
      <c r="O4" s="3"/>
      <c r="P4" s="6">
        <v>46178</v>
      </c>
      <c r="Q4" s="3" t="s">
        <v>12</v>
      </c>
      <c r="R4" s="28">
        <v>3</v>
      </c>
      <c r="S4" s="3"/>
      <c r="T4" s="3" t="s">
        <v>364</v>
      </c>
      <c r="U4" s="3" t="s">
        <v>362</v>
      </c>
    </row>
    <row r="5" spans="1:21" x14ac:dyDescent="0.25">
      <c r="A5" s="3"/>
      <c r="B5" s="6">
        <v>46178</v>
      </c>
      <c r="C5" s="3" t="s">
        <v>2</v>
      </c>
      <c r="D5" s="28">
        <v>23</v>
      </c>
      <c r="E5" s="3"/>
      <c r="F5" s="3" t="s">
        <v>358</v>
      </c>
      <c r="G5" s="3" t="s">
        <v>359</v>
      </c>
      <c r="H5" s="3"/>
      <c r="I5" s="6">
        <v>46178</v>
      </c>
      <c r="J5" s="3" t="s">
        <v>8</v>
      </c>
      <c r="K5" s="28">
        <v>5</v>
      </c>
      <c r="L5" s="3"/>
      <c r="M5" s="3" t="s">
        <v>363</v>
      </c>
      <c r="N5" s="3" t="s">
        <v>365</v>
      </c>
      <c r="O5" s="3"/>
      <c r="P5" s="6">
        <v>46178</v>
      </c>
      <c r="Q5" s="3" t="s">
        <v>2</v>
      </c>
      <c r="R5" s="28">
        <v>49</v>
      </c>
      <c r="S5" s="3"/>
      <c r="T5" s="3" t="s">
        <v>358</v>
      </c>
      <c r="U5" s="3" t="s">
        <v>359</v>
      </c>
    </row>
    <row r="6" spans="1:21" x14ac:dyDescent="0.25">
      <c r="A6" s="3"/>
      <c r="B6" s="6"/>
      <c r="C6" s="3"/>
      <c r="D6" s="28"/>
      <c r="E6" s="3"/>
      <c r="F6" s="3"/>
      <c r="G6" s="3"/>
      <c r="H6" s="3"/>
      <c r="I6" s="6">
        <v>46178</v>
      </c>
      <c r="J6" s="3" t="s">
        <v>9</v>
      </c>
      <c r="K6" s="28">
        <v>23</v>
      </c>
      <c r="L6" s="3"/>
      <c r="M6" s="3" t="s">
        <v>366</v>
      </c>
      <c r="N6" s="3" t="s">
        <v>361</v>
      </c>
      <c r="O6" s="3"/>
      <c r="P6" s="6"/>
      <c r="Q6" s="3"/>
      <c r="R6" s="28"/>
      <c r="S6" s="3"/>
      <c r="T6" s="3"/>
      <c r="U6" s="3"/>
    </row>
    <row r="7" spans="1:21" x14ac:dyDescent="0.25">
      <c r="A7" s="3"/>
      <c r="B7" s="6"/>
      <c r="C7" s="3"/>
      <c r="D7" s="28"/>
      <c r="E7" s="3"/>
      <c r="F7" s="3"/>
      <c r="G7" s="3"/>
      <c r="H7" s="3"/>
      <c r="I7" s="6">
        <v>46178</v>
      </c>
      <c r="J7" s="3" t="s">
        <v>10</v>
      </c>
      <c r="K7" s="28">
        <v>8</v>
      </c>
      <c r="L7" s="3"/>
      <c r="M7" s="3" t="s">
        <v>363</v>
      </c>
      <c r="N7" s="3" t="s">
        <v>367</v>
      </c>
      <c r="O7" s="3"/>
      <c r="P7" s="6"/>
      <c r="Q7" s="3"/>
      <c r="R7" s="28"/>
      <c r="S7" s="3"/>
      <c r="T7" s="3"/>
      <c r="U7" s="3"/>
    </row>
    <row r="8" spans="1:21" x14ac:dyDescent="0.25">
      <c r="A8" s="3"/>
      <c r="B8" s="6"/>
      <c r="C8" s="3"/>
      <c r="D8" s="28"/>
      <c r="E8" s="3"/>
      <c r="F8" s="3"/>
      <c r="G8" s="3"/>
      <c r="H8" s="3"/>
      <c r="I8" s="6">
        <v>46178</v>
      </c>
      <c r="J8" s="3" t="s">
        <v>3</v>
      </c>
      <c r="K8" s="28">
        <v>13</v>
      </c>
      <c r="L8" s="3"/>
      <c r="M8" s="3" t="s">
        <v>360</v>
      </c>
      <c r="N8" s="3" t="s">
        <v>362</v>
      </c>
      <c r="O8" s="3"/>
      <c r="P8" s="6"/>
      <c r="Q8" s="3"/>
      <c r="R8" s="28"/>
      <c r="S8" s="3"/>
      <c r="T8" s="3"/>
      <c r="U8" s="3"/>
    </row>
    <row r="9" spans="1:21" x14ac:dyDescent="0.25">
      <c r="A9" s="3"/>
      <c r="B9" s="6"/>
      <c r="C9" s="3"/>
      <c r="D9" s="28"/>
      <c r="E9" s="3"/>
      <c r="F9" s="3"/>
      <c r="G9" s="3"/>
      <c r="H9" s="3"/>
      <c r="I9" s="6">
        <v>46178</v>
      </c>
      <c r="J9" s="3" t="s">
        <v>11</v>
      </c>
      <c r="K9" s="29">
        <v>1</v>
      </c>
      <c r="L9" s="3"/>
      <c r="M9" s="3" t="s">
        <v>360</v>
      </c>
      <c r="N9" s="3" t="s">
        <v>365</v>
      </c>
      <c r="O9" s="3"/>
      <c r="P9" s="6"/>
      <c r="Q9" s="3"/>
      <c r="R9" s="28"/>
      <c r="S9" s="3"/>
      <c r="T9" s="3"/>
      <c r="U9" s="3"/>
    </row>
    <row r="10" spans="1:21" x14ac:dyDescent="0.25">
      <c r="A10" s="3"/>
      <c r="B10" s="6"/>
      <c r="C10" s="3"/>
      <c r="D10" s="28"/>
      <c r="E10" s="3"/>
      <c r="F10" s="3"/>
      <c r="G10" s="3"/>
      <c r="H10" s="3"/>
      <c r="I10" s="6">
        <v>46178</v>
      </c>
      <c r="J10" s="3" t="s">
        <v>9</v>
      </c>
      <c r="K10" s="28">
        <v>16</v>
      </c>
      <c r="L10" s="3"/>
      <c r="M10" s="3" t="s">
        <v>366</v>
      </c>
      <c r="N10" s="3" t="s">
        <v>361</v>
      </c>
      <c r="O10" s="3"/>
      <c r="P10" s="6"/>
      <c r="Q10" s="3"/>
      <c r="R10" s="28"/>
      <c r="S10" s="3"/>
      <c r="T10" s="3"/>
      <c r="U10" s="3"/>
    </row>
    <row r="11" spans="1:21" x14ac:dyDescent="0.25">
      <c r="A11" s="3"/>
      <c r="B11" s="31">
        <v>46179</v>
      </c>
      <c r="C11" s="32" t="s">
        <v>2</v>
      </c>
      <c r="D11" s="33">
        <v>86</v>
      </c>
      <c r="E11" s="32"/>
      <c r="F11" s="32" t="s">
        <v>358</v>
      </c>
      <c r="G11" s="32" t="s">
        <v>359</v>
      </c>
      <c r="H11" s="3"/>
      <c r="I11" s="34">
        <v>46179</v>
      </c>
      <c r="J11" s="35" t="s">
        <v>9</v>
      </c>
      <c r="K11" s="36">
        <v>53</v>
      </c>
      <c r="L11" s="35"/>
      <c r="M11" s="35" t="s">
        <v>366</v>
      </c>
      <c r="N11" s="35" t="s">
        <v>361</v>
      </c>
      <c r="O11" s="3"/>
      <c r="P11" s="40">
        <v>46179</v>
      </c>
      <c r="Q11" s="41" t="s">
        <v>2</v>
      </c>
      <c r="R11" s="42">
        <v>230</v>
      </c>
      <c r="S11" s="41"/>
      <c r="T11" s="41" t="s">
        <v>358</v>
      </c>
      <c r="U11" s="41" t="s">
        <v>359</v>
      </c>
    </row>
    <row r="12" spans="1:21" x14ac:dyDescent="0.25">
      <c r="A12" s="3"/>
      <c r="B12" s="6">
        <v>46179</v>
      </c>
      <c r="C12" s="3" t="s">
        <v>368</v>
      </c>
      <c r="D12" s="28">
        <v>1</v>
      </c>
      <c r="E12" s="3"/>
      <c r="F12" s="3" t="s">
        <v>369</v>
      </c>
      <c r="G12" s="3" t="s">
        <v>362</v>
      </c>
      <c r="H12" s="3"/>
      <c r="I12" s="6">
        <v>46179</v>
      </c>
      <c r="J12" s="3" t="s">
        <v>6</v>
      </c>
      <c r="K12" s="28">
        <v>73</v>
      </c>
      <c r="L12" s="3"/>
      <c r="M12" s="3" t="s">
        <v>360</v>
      </c>
      <c r="N12" s="3" t="s">
        <v>361</v>
      </c>
      <c r="O12" s="3"/>
      <c r="P12" s="6"/>
      <c r="Q12" s="3"/>
      <c r="R12" s="28"/>
      <c r="S12" s="3"/>
      <c r="T12" s="3"/>
      <c r="U12" s="3"/>
    </row>
    <row r="13" spans="1:21" x14ac:dyDescent="0.25">
      <c r="A13" s="3"/>
      <c r="B13" s="6">
        <v>46179</v>
      </c>
      <c r="C13" s="3" t="s">
        <v>3</v>
      </c>
      <c r="D13" s="28">
        <v>39</v>
      </c>
      <c r="E13" s="3"/>
      <c r="F13" s="3" t="s">
        <v>360</v>
      </c>
      <c r="G13" s="3" t="s">
        <v>362</v>
      </c>
      <c r="H13" s="3"/>
      <c r="I13" s="6"/>
      <c r="J13" s="3"/>
      <c r="K13" s="28"/>
      <c r="L13" s="3"/>
      <c r="M13" s="3"/>
      <c r="N13" s="3"/>
      <c r="O13" s="3"/>
      <c r="P13" s="6"/>
      <c r="Q13" s="3"/>
      <c r="R13" s="28"/>
      <c r="S13" s="3"/>
      <c r="T13" s="3"/>
      <c r="U13" s="3"/>
    </row>
    <row r="14" spans="1:21" x14ac:dyDescent="0.25">
      <c r="A14" s="3"/>
      <c r="B14" s="31">
        <v>46181</v>
      </c>
      <c r="C14" s="32" t="s">
        <v>3</v>
      </c>
      <c r="D14" s="33">
        <v>18</v>
      </c>
      <c r="E14" s="32"/>
      <c r="F14" s="32" t="s">
        <v>360</v>
      </c>
      <c r="G14" s="32" t="s">
        <v>362</v>
      </c>
      <c r="H14" s="3"/>
      <c r="I14" s="34">
        <v>46181</v>
      </c>
      <c r="J14" s="35" t="s">
        <v>6</v>
      </c>
      <c r="K14" s="36">
        <v>187</v>
      </c>
      <c r="L14" s="35"/>
      <c r="M14" s="35" t="s">
        <v>360</v>
      </c>
      <c r="N14" s="35" t="s">
        <v>361</v>
      </c>
      <c r="O14" s="3"/>
      <c r="P14" s="40">
        <v>46181</v>
      </c>
      <c r="Q14" s="41" t="s">
        <v>2</v>
      </c>
      <c r="R14" s="42">
        <v>169</v>
      </c>
      <c r="S14" s="41"/>
      <c r="T14" s="41" t="s">
        <v>358</v>
      </c>
      <c r="U14" s="41" t="s">
        <v>359</v>
      </c>
    </row>
    <row r="15" spans="1:21" x14ac:dyDescent="0.25">
      <c r="A15" s="3"/>
      <c r="B15" s="6">
        <v>46181</v>
      </c>
      <c r="C15" s="3" t="s">
        <v>75</v>
      </c>
      <c r="D15" s="28">
        <v>5</v>
      </c>
      <c r="E15" s="3"/>
      <c r="F15" s="3" t="s">
        <v>360</v>
      </c>
      <c r="G15" s="3" t="s">
        <v>361</v>
      </c>
      <c r="H15" s="3"/>
      <c r="I15" s="6">
        <v>46181</v>
      </c>
      <c r="J15" s="3" t="s">
        <v>2</v>
      </c>
      <c r="K15" s="28">
        <v>1</v>
      </c>
      <c r="L15" s="3"/>
      <c r="M15" s="3" t="s">
        <v>358</v>
      </c>
      <c r="N15" s="3" t="s">
        <v>359</v>
      </c>
      <c r="O15" s="3"/>
      <c r="P15" s="6">
        <v>46181</v>
      </c>
      <c r="Q15" s="3" t="s">
        <v>12</v>
      </c>
      <c r="R15" s="28">
        <v>5</v>
      </c>
      <c r="S15" s="3"/>
      <c r="T15" s="3" t="s">
        <v>364</v>
      </c>
      <c r="U15" s="3" t="s">
        <v>362</v>
      </c>
    </row>
    <row r="16" spans="1:21" x14ac:dyDescent="0.25">
      <c r="A16" s="3"/>
      <c r="B16" s="6">
        <v>46181</v>
      </c>
      <c r="C16" s="3" t="s">
        <v>3</v>
      </c>
      <c r="D16" s="28">
        <v>186</v>
      </c>
      <c r="E16" s="3"/>
      <c r="F16" s="3" t="s">
        <v>360</v>
      </c>
      <c r="G16" s="3" t="s">
        <v>362</v>
      </c>
      <c r="H16" s="3"/>
      <c r="I16" s="6">
        <v>46181</v>
      </c>
      <c r="J16" s="3" t="s">
        <v>6</v>
      </c>
      <c r="K16" s="28">
        <v>23</v>
      </c>
      <c r="L16" s="3"/>
      <c r="M16" s="3" t="s">
        <v>360</v>
      </c>
      <c r="N16" s="3" t="s">
        <v>361</v>
      </c>
      <c r="O16" s="3"/>
      <c r="P16" s="6">
        <v>46181</v>
      </c>
      <c r="Q16" s="3" t="s">
        <v>86</v>
      </c>
      <c r="R16" s="28">
        <v>40</v>
      </c>
      <c r="S16" s="3"/>
      <c r="T16" s="3" t="s">
        <v>370</v>
      </c>
      <c r="U16" s="3" t="s">
        <v>362</v>
      </c>
    </row>
    <row r="17" spans="1:21" x14ac:dyDescent="0.25">
      <c r="A17" s="3"/>
      <c r="B17" s="6">
        <v>46181</v>
      </c>
      <c r="C17" s="3" t="s">
        <v>2</v>
      </c>
      <c r="D17" s="28">
        <v>20</v>
      </c>
      <c r="E17" s="3"/>
      <c r="F17" s="3" t="s">
        <v>358</v>
      </c>
      <c r="G17" s="3" t="s">
        <v>359</v>
      </c>
      <c r="H17" s="3"/>
      <c r="I17" s="6">
        <v>46181</v>
      </c>
      <c r="J17" s="3" t="s">
        <v>7</v>
      </c>
      <c r="K17" s="28">
        <v>7</v>
      </c>
      <c r="L17" s="3"/>
      <c r="M17" s="3" t="s">
        <v>363</v>
      </c>
      <c r="N17" s="3" t="s">
        <v>362</v>
      </c>
      <c r="O17" s="3"/>
      <c r="P17" s="6">
        <v>46181</v>
      </c>
      <c r="Q17" s="3" t="s">
        <v>2</v>
      </c>
      <c r="R17" s="28">
        <v>15</v>
      </c>
      <c r="S17" s="3"/>
      <c r="T17" s="3" t="s">
        <v>358</v>
      </c>
      <c r="U17" s="3" t="s">
        <v>359</v>
      </c>
    </row>
    <row r="18" spans="1:21" x14ac:dyDescent="0.25">
      <c r="A18" s="3"/>
      <c r="B18" s="6"/>
      <c r="C18" s="3"/>
      <c r="D18" s="28"/>
      <c r="E18" s="3"/>
      <c r="F18" s="3"/>
      <c r="G18" s="3"/>
      <c r="H18" s="3"/>
      <c r="I18" s="6">
        <v>46181</v>
      </c>
      <c r="J18" s="3" t="s">
        <v>9</v>
      </c>
      <c r="K18" s="28">
        <v>12</v>
      </c>
      <c r="L18" s="3"/>
      <c r="M18" s="3" t="s">
        <v>366</v>
      </c>
      <c r="N18" s="3" t="s">
        <v>361</v>
      </c>
      <c r="O18" s="3"/>
      <c r="P18" s="6"/>
      <c r="Q18" s="3"/>
      <c r="R18" s="28"/>
      <c r="S18" s="3"/>
      <c r="T18" s="3"/>
      <c r="U18" s="3"/>
    </row>
    <row r="19" spans="1:21" x14ac:dyDescent="0.25">
      <c r="A19" s="3"/>
      <c r="B19" s="31">
        <v>46182</v>
      </c>
      <c r="C19" s="32" t="s">
        <v>2</v>
      </c>
      <c r="D19" s="33">
        <v>109</v>
      </c>
      <c r="E19" s="32"/>
      <c r="F19" s="32" t="s">
        <v>358</v>
      </c>
      <c r="G19" s="32" t="s">
        <v>359</v>
      </c>
      <c r="H19" s="3"/>
      <c r="I19" s="34">
        <v>46182</v>
      </c>
      <c r="J19" s="35" t="s">
        <v>9</v>
      </c>
      <c r="K19" s="36">
        <v>1</v>
      </c>
      <c r="L19" s="35"/>
      <c r="M19" s="35" t="s">
        <v>366</v>
      </c>
      <c r="N19" s="35" t="s">
        <v>361</v>
      </c>
      <c r="O19" s="3"/>
      <c r="P19" s="40">
        <v>46182</v>
      </c>
      <c r="Q19" s="41" t="s">
        <v>2</v>
      </c>
      <c r="R19" s="42">
        <v>45</v>
      </c>
      <c r="S19" s="41"/>
      <c r="T19" s="41" t="s">
        <v>358</v>
      </c>
      <c r="U19" s="41" t="s">
        <v>359</v>
      </c>
    </row>
    <row r="20" spans="1:21" x14ac:dyDescent="0.25">
      <c r="A20" s="3"/>
      <c r="B20" s="6">
        <v>46182</v>
      </c>
      <c r="C20" s="3" t="s">
        <v>3</v>
      </c>
      <c r="D20" s="28">
        <v>176</v>
      </c>
      <c r="E20" s="3"/>
      <c r="F20" s="3" t="s">
        <v>360</v>
      </c>
      <c r="G20" s="3" t="s">
        <v>362</v>
      </c>
      <c r="H20" s="3"/>
      <c r="I20" s="6">
        <v>46182</v>
      </c>
      <c r="J20" s="3" t="s">
        <v>76</v>
      </c>
      <c r="K20" s="28">
        <v>32</v>
      </c>
      <c r="L20" s="3"/>
      <c r="M20" s="3" t="s">
        <v>358</v>
      </c>
      <c r="N20" s="3" t="s">
        <v>371</v>
      </c>
      <c r="O20" s="3"/>
      <c r="P20" s="6">
        <v>46182</v>
      </c>
      <c r="Q20" s="3" t="s">
        <v>12</v>
      </c>
      <c r="R20" s="28">
        <v>5</v>
      </c>
      <c r="S20" s="3"/>
      <c r="T20" s="3" t="s">
        <v>364</v>
      </c>
      <c r="U20" s="3" t="s">
        <v>362</v>
      </c>
    </row>
    <row r="21" spans="1:21" x14ac:dyDescent="0.25">
      <c r="A21" s="3"/>
      <c r="B21" s="6"/>
      <c r="C21" s="3"/>
      <c r="D21" s="28"/>
      <c r="E21" s="3"/>
      <c r="F21" s="3"/>
      <c r="G21" s="3"/>
      <c r="H21" s="3"/>
      <c r="I21" s="6">
        <v>46182</v>
      </c>
      <c r="J21" s="3" t="s">
        <v>2</v>
      </c>
      <c r="K21" s="28">
        <v>26</v>
      </c>
      <c r="L21" s="3"/>
      <c r="M21" s="3" t="s">
        <v>358</v>
      </c>
      <c r="N21" s="3" t="s">
        <v>359</v>
      </c>
      <c r="O21" s="3"/>
      <c r="P21" s="6">
        <v>46182</v>
      </c>
      <c r="Q21" s="3" t="s">
        <v>2</v>
      </c>
      <c r="R21" s="28">
        <v>130</v>
      </c>
      <c r="S21" s="3"/>
      <c r="T21" s="3" t="s">
        <v>358</v>
      </c>
      <c r="U21" s="3" t="s">
        <v>359</v>
      </c>
    </row>
    <row r="22" spans="1:21" x14ac:dyDescent="0.25">
      <c r="A22" s="3"/>
      <c r="B22" s="6"/>
      <c r="C22" s="3"/>
      <c r="D22" s="28"/>
      <c r="E22" s="3"/>
      <c r="F22" s="3"/>
      <c r="G22" s="3"/>
      <c r="H22" s="3"/>
      <c r="I22" s="6">
        <v>46182</v>
      </c>
      <c r="J22" s="3" t="s">
        <v>7</v>
      </c>
      <c r="K22" s="28">
        <v>7</v>
      </c>
      <c r="L22" s="3"/>
      <c r="M22" s="3" t="s">
        <v>363</v>
      </c>
      <c r="N22" s="3" t="s">
        <v>362</v>
      </c>
      <c r="O22" s="3"/>
      <c r="P22" s="6">
        <v>46182</v>
      </c>
      <c r="Q22" s="3" t="s">
        <v>12</v>
      </c>
      <c r="R22" s="28">
        <v>5</v>
      </c>
      <c r="S22" s="3"/>
      <c r="T22" s="3" t="s">
        <v>364</v>
      </c>
      <c r="U22" s="3" t="s">
        <v>362</v>
      </c>
    </row>
    <row r="23" spans="1:21" x14ac:dyDescent="0.25">
      <c r="A23" s="3"/>
      <c r="B23" s="6"/>
      <c r="C23" s="3"/>
      <c r="D23" s="28"/>
      <c r="E23" s="3"/>
      <c r="F23" s="3"/>
      <c r="G23" s="3"/>
      <c r="H23" s="3"/>
      <c r="I23" s="6">
        <v>46182</v>
      </c>
      <c r="J23" s="3" t="s">
        <v>9</v>
      </c>
      <c r="K23" s="28">
        <v>13</v>
      </c>
      <c r="L23" s="3"/>
      <c r="M23" s="3" t="s">
        <v>366</v>
      </c>
      <c r="N23" s="3" t="s">
        <v>361</v>
      </c>
      <c r="O23" s="3"/>
      <c r="P23" s="6">
        <v>46182</v>
      </c>
      <c r="Q23" s="3" t="s">
        <v>86</v>
      </c>
      <c r="R23" s="28">
        <v>40</v>
      </c>
      <c r="S23" s="3"/>
      <c r="T23" s="3" t="s">
        <v>370</v>
      </c>
      <c r="U23" s="3" t="s">
        <v>362</v>
      </c>
    </row>
    <row r="24" spans="1:21" x14ac:dyDescent="0.25">
      <c r="A24" s="3"/>
      <c r="B24" s="6"/>
      <c r="C24" s="3"/>
      <c r="D24" s="28"/>
      <c r="E24" s="3"/>
      <c r="F24" s="3"/>
      <c r="G24" s="3"/>
      <c r="H24" s="3"/>
      <c r="I24" s="6">
        <v>46182</v>
      </c>
      <c r="J24" s="3" t="s">
        <v>6</v>
      </c>
      <c r="K24" s="28">
        <v>207</v>
      </c>
      <c r="L24" s="3"/>
      <c r="M24" s="3" t="s">
        <v>360</v>
      </c>
      <c r="N24" s="3" t="s">
        <v>361</v>
      </c>
      <c r="O24" s="3"/>
      <c r="P24" s="6">
        <v>46182</v>
      </c>
      <c r="Q24" s="3" t="s">
        <v>2</v>
      </c>
      <c r="R24" s="28">
        <v>60</v>
      </c>
      <c r="S24" s="3"/>
      <c r="T24" s="3" t="s">
        <v>358</v>
      </c>
      <c r="U24" s="3" t="s">
        <v>359</v>
      </c>
    </row>
    <row r="25" spans="1:21" x14ac:dyDescent="0.25">
      <c r="A25" s="3"/>
      <c r="B25" s="31">
        <v>46183</v>
      </c>
      <c r="C25" s="32" t="s">
        <v>3</v>
      </c>
      <c r="D25" s="33">
        <v>193</v>
      </c>
      <c r="E25" s="32"/>
      <c r="F25" s="32" t="s">
        <v>360</v>
      </c>
      <c r="G25" s="32" t="s">
        <v>362</v>
      </c>
      <c r="H25" s="3"/>
      <c r="I25" s="34">
        <v>46183</v>
      </c>
      <c r="J25" s="35" t="s">
        <v>6</v>
      </c>
      <c r="K25" s="36">
        <v>182</v>
      </c>
      <c r="L25" s="35"/>
      <c r="M25" s="35" t="s">
        <v>360</v>
      </c>
      <c r="N25" s="35" t="s">
        <v>361</v>
      </c>
      <c r="O25" s="3"/>
      <c r="P25" s="40">
        <v>46183</v>
      </c>
      <c r="Q25" s="41" t="s">
        <v>2</v>
      </c>
      <c r="R25" s="42">
        <v>30</v>
      </c>
      <c r="S25" s="41"/>
      <c r="T25" s="41" t="s">
        <v>358</v>
      </c>
      <c r="U25" s="41" t="s">
        <v>359</v>
      </c>
    </row>
    <row r="26" spans="1:21" x14ac:dyDescent="0.25">
      <c r="A26" s="3"/>
      <c r="B26" s="6">
        <v>46183</v>
      </c>
      <c r="C26" s="3" t="s">
        <v>2</v>
      </c>
      <c r="D26" s="28">
        <v>33</v>
      </c>
      <c r="E26" s="3"/>
      <c r="F26" s="3" t="s">
        <v>358</v>
      </c>
      <c r="G26" s="3" t="s">
        <v>359</v>
      </c>
      <c r="H26" s="3"/>
      <c r="I26" s="6">
        <v>46183</v>
      </c>
      <c r="J26" s="3" t="s">
        <v>2</v>
      </c>
      <c r="K26" s="28">
        <v>8</v>
      </c>
      <c r="L26" s="3"/>
      <c r="M26" s="3" t="s">
        <v>358</v>
      </c>
      <c r="N26" s="3" t="s">
        <v>359</v>
      </c>
      <c r="O26" s="3"/>
      <c r="P26" s="6">
        <v>46183</v>
      </c>
      <c r="Q26" s="3" t="s">
        <v>12</v>
      </c>
      <c r="R26" s="28">
        <v>5</v>
      </c>
      <c r="S26" s="3"/>
      <c r="T26" s="3" t="s">
        <v>364</v>
      </c>
      <c r="U26" s="3" t="s">
        <v>362</v>
      </c>
    </row>
    <row r="27" spans="1:21" x14ac:dyDescent="0.25">
      <c r="A27" s="3"/>
      <c r="B27" s="6">
        <v>46183</v>
      </c>
      <c r="C27" s="3" t="s">
        <v>71</v>
      </c>
      <c r="D27" s="29">
        <v>1</v>
      </c>
      <c r="E27" s="3"/>
      <c r="F27" s="3" t="s">
        <v>372</v>
      </c>
      <c r="G27" s="3" t="s">
        <v>373</v>
      </c>
      <c r="H27" s="3"/>
      <c r="I27" s="6">
        <v>46183</v>
      </c>
      <c r="J27" s="3" t="s">
        <v>7</v>
      </c>
      <c r="K27" s="28">
        <v>7</v>
      </c>
      <c r="L27" s="3"/>
      <c r="M27" s="3" t="s">
        <v>363</v>
      </c>
      <c r="N27" s="3" t="s">
        <v>362</v>
      </c>
      <c r="O27" s="3"/>
      <c r="P27" s="6">
        <v>46183</v>
      </c>
      <c r="Q27" s="3" t="s">
        <v>86</v>
      </c>
      <c r="R27" s="28">
        <v>40</v>
      </c>
      <c r="S27" s="3"/>
      <c r="T27" s="3" t="s">
        <v>370</v>
      </c>
      <c r="U27" s="3" t="s">
        <v>362</v>
      </c>
    </row>
    <row r="28" spans="1:21" x14ac:dyDescent="0.25">
      <c r="A28" s="3"/>
      <c r="B28" s="6">
        <v>46183</v>
      </c>
      <c r="C28" s="3" t="s">
        <v>2</v>
      </c>
      <c r="D28" s="28">
        <v>33</v>
      </c>
      <c r="E28" s="3"/>
      <c r="F28" s="3" t="s">
        <v>358</v>
      </c>
      <c r="G28" s="3" t="s">
        <v>359</v>
      </c>
      <c r="H28" s="3"/>
      <c r="I28" s="6">
        <v>46183</v>
      </c>
      <c r="J28" s="3" t="s">
        <v>9</v>
      </c>
      <c r="K28" s="28">
        <v>13</v>
      </c>
      <c r="L28" s="3"/>
      <c r="M28" s="3" t="s">
        <v>366</v>
      </c>
      <c r="N28" s="3" t="s">
        <v>361</v>
      </c>
      <c r="O28" s="3"/>
      <c r="P28" s="6">
        <v>46183</v>
      </c>
      <c r="Q28" s="3" t="s">
        <v>2</v>
      </c>
      <c r="R28" s="28">
        <v>90</v>
      </c>
      <c r="S28" s="3"/>
      <c r="T28" s="3" t="s">
        <v>358</v>
      </c>
      <c r="U28" s="3" t="s">
        <v>359</v>
      </c>
    </row>
    <row r="29" spans="1:21" x14ac:dyDescent="0.25">
      <c r="A29" s="3"/>
      <c r="B29" s="6"/>
      <c r="C29" s="3"/>
      <c r="D29" s="28"/>
      <c r="E29" s="3"/>
      <c r="F29" s="3"/>
      <c r="G29" s="3"/>
      <c r="H29" s="3"/>
      <c r="I29" s="6">
        <v>46183</v>
      </c>
      <c r="J29" s="3" t="s">
        <v>11</v>
      </c>
      <c r="K29" s="28">
        <v>4</v>
      </c>
      <c r="L29" s="3"/>
      <c r="M29" s="3" t="s">
        <v>360</v>
      </c>
      <c r="N29" s="3" t="s">
        <v>365</v>
      </c>
      <c r="O29" s="3"/>
      <c r="P29" s="6">
        <v>46183</v>
      </c>
      <c r="Q29" s="3" t="s">
        <v>12</v>
      </c>
      <c r="R29" s="28">
        <v>4</v>
      </c>
      <c r="S29" s="3"/>
      <c r="T29" s="3" t="s">
        <v>364</v>
      </c>
      <c r="U29" s="3" t="s">
        <v>362</v>
      </c>
    </row>
    <row r="30" spans="1:21" x14ac:dyDescent="0.25">
      <c r="A30" s="3"/>
      <c r="B30" s="6"/>
      <c r="C30" s="3"/>
      <c r="D30" s="28"/>
      <c r="E30" s="3"/>
      <c r="F30" s="3"/>
      <c r="G30" s="3"/>
      <c r="H30" s="3"/>
      <c r="I30" s="6">
        <v>46183</v>
      </c>
      <c r="J30" s="3" t="s">
        <v>76</v>
      </c>
      <c r="K30" s="28">
        <v>32</v>
      </c>
      <c r="L30" s="3"/>
      <c r="M30" s="3" t="s">
        <v>358</v>
      </c>
      <c r="N30" s="3" t="s">
        <v>371</v>
      </c>
      <c r="O30" s="3"/>
      <c r="P30" s="6">
        <v>46183</v>
      </c>
      <c r="Q30" s="3" t="s">
        <v>86</v>
      </c>
      <c r="R30" s="28">
        <v>54</v>
      </c>
      <c r="S30" s="3"/>
      <c r="T30" s="3" t="s">
        <v>370</v>
      </c>
      <c r="U30" s="3" t="s">
        <v>362</v>
      </c>
    </row>
    <row r="31" spans="1:21" x14ac:dyDescent="0.25">
      <c r="A31" s="3"/>
      <c r="B31" s="6"/>
      <c r="C31" s="3"/>
      <c r="D31" s="28"/>
      <c r="E31" s="3"/>
      <c r="F31" s="3"/>
      <c r="G31" s="3"/>
      <c r="H31" s="3"/>
      <c r="I31" s="6">
        <v>46183</v>
      </c>
      <c r="J31" s="3" t="s">
        <v>10</v>
      </c>
      <c r="K31" s="28">
        <v>17</v>
      </c>
      <c r="L31" s="3"/>
      <c r="M31" s="3" t="s">
        <v>363</v>
      </c>
      <c r="N31" s="3" t="s">
        <v>367</v>
      </c>
      <c r="O31" s="3"/>
      <c r="P31" s="6">
        <v>46183</v>
      </c>
      <c r="Q31" s="3" t="s">
        <v>2</v>
      </c>
      <c r="R31" s="28">
        <v>35</v>
      </c>
      <c r="S31" s="3"/>
      <c r="T31" s="3" t="s">
        <v>358</v>
      </c>
      <c r="U31" s="3" t="s">
        <v>359</v>
      </c>
    </row>
    <row r="32" spans="1:21" x14ac:dyDescent="0.25">
      <c r="A32" s="3"/>
      <c r="B32" s="31">
        <v>46184</v>
      </c>
      <c r="C32" s="32" t="s">
        <v>2</v>
      </c>
      <c r="D32" s="33">
        <v>3</v>
      </c>
      <c r="E32" s="32"/>
      <c r="F32" s="32" t="s">
        <v>358</v>
      </c>
      <c r="G32" s="32" t="s">
        <v>359</v>
      </c>
      <c r="H32" s="3"/>
      <c r="I32" s="34">
        <v>46184</v>
      </c>
      <c r="J32" s="35" t="s">
        <v>10</v>
      </c>
      <c r="K32" s="36">
        <v>14</v>
      </c>
      <c r="L32" s="35"/>
      <c r="M32" s="35" t="s">
        <v>363</v>
      </c>
      <c r="N32" s="35" t="s">
        <v>367</v>
      </c>
      <c r="O32" s="3"/>
      <c r="P32" s="40">
        <v>46184</v>
      </c>
      <c r="Q32" s="41" t="s">
        <v>2</v>
      </c>
      <c r="R32" s="42">
        <v>155</v>
      </c>
      <c r="S32" s="41"/>
      <c r="T32" s="41" t="s">
        <v>358</v>
      </c>
      <c r="U32" s="41" t="s">
        <v>359</v>
      </c>
    </row>
    <row r="33" spans="1:21" x14ac:dyDescent="0.25">
      <c r="A33" s="3"/>
      <c r="B33" s="6">
        <v>46184</v>
      </c>
      <c r="C33" s="3" t="s">
        <v>3</v>
      </c>
      <c r="D33" s="28">
        <v>216</v>
      </c>
      <c r="E33" s="3"/>
      <c r="F33" s="3" t="s">
        <v>360</v>
      </c>
      <c r="G33" s="3" t="s">
        <v>362</v>
      </c>
      <c r="H33" s="3"/>
      <c r="I33" s="6">
        <v>46184</v>
      </c>
      <c r="J33" s="3" t="s">
        <v>9</v>
      </c>
      <c r="K33" s="28">
        <v>13</v>
      </c>
      <c r="L33" s="3"/>
      <c r="M33" s="3" t="s">
        <v>366</v>
      </c>
      <c r="N33" s="3" t="s">
        <v>361</v>
      </c>
      <c r="O33" s="3"/>
      <c r="P33" s="6">
        <v>46184</v>
      </c>
      <c r="Q33" s="3" t="s">
        <v>88</v>
      </c>
      <c r="R33" s="28">
        <v>53</v>
      </c>
      <c r="S33" s="3"/>
      <c r="T33" s="3" t="s">
        <v>370</v>
      </c>
      <c r="U33" s="3" t="s">
        <v>367</v>
      </c>
    </row>
    <row r="34" spans="1:21" x14ac:dyDescent="0.25">
      <c r="A34" s="3"/>
      <c r="B34" s="6"/>
      <c r="C34" s="3"/>
      <c r="D34" s="28"/>
      <c r="E34" s="3"/>
      <c r="F34" s="3"/>
      <c r="G34" s="3"/>
      <c r="H34" s="3"/>
      <c r="I34" s="6">
        <v>46184</v>
      </c>
      <c r="J34" s="3" t="s">
        <v>8</v>
      </c>
      <c r="K34" s="28">
        <v>3</v>
      </c>
      <c r="L34" s="3"/>
      <c r="M34" s="3" t="s">
        <v>363</v>
      </c>
      <c r="N34" s="3" t="s">
        <v>365</v>
      </c>
      <c r="O34" s="3"/>
      <c r="P34" s="6">
        <v>46184</v>
      </c>
      <c r="Q34" s="3" t="s">
        <v>2</v>
      </c>
      <c r="R34" s="28">
        <v>12</v>
      </c>
      <c r="S34" s="3"/>
      <c r="T34" s="3" t="s">
        <v>358</v>
      </c>
      <c r="U34" s="3" t="s">
        <v>359</v>
      </c>
    </row>
    <row r="35" spans="1:21" x14ac:dyDescent="0.25">
      <c r="A35" s="3"/>
      <c r="B35" s="6"/>
      <c r="C35" s="3"/>
      <c r="D35" s="28"/>
      <c r="E35" s="3"/>
      <c r="F35" s="3"/>
      <c r="G35" s="3"/>
      <c r="H35" s="3"/>
      <c r="I35" s="6">
        <v>46184</v>
      </c>
      <c r="J35" s="3" t="s">
        <v>7</v>
      </c>
      <c r="K35" s="28">
        <v>7</v>
      </c>
      <c r="L35" s="3"/>
      <c r="M35" s="3" t="s">
        <v>363</v>
      </c>
      <c r="N35" s="3" t="s">
        <v>362</v>
      </c>
      <c r="O35" s="3"/>
      <c r="P35" s="6"/>
      <c r="Q35" s="3"/>
      <c r="R35" s="28"/>
      <c r="S35" s="3"/>
      <c r="T35" s="3"/>
      <c r="U35" s="3"/>
    </row>
    <row r="36" spans="1:21" x14ac:dyDescent="0.25">
      <c r="A36" s="3"/>
      <c r="B36" s="6"/>
      <c r="C36" s="3"/>
      <c r="D36" s="28"/>
      <c r="E36" s="3"/>
      <c r="F36" s="3"/>
      <c r="G36" s="3"/>
      <c r="H36" s="3"/>
      <c r="I36" s="6">
        <v>46184</v>
      </c>
      <c r="J36" s="3" t="s">
        <v>6</v>
      </c>
      <c r="K36" s="28">
        <v>181</v>
      </c>
      <c r="L36" s="3"/>
      <c r="M36" s="3" t="s">
        <v>360</v>
      </c>
      <c r="N36" s="3" t="s">
        <v>361</v>
      </c>
      <c r="O36" s="3"/>
      <c r="P36" s="6"/>
      <c r="Q36" s="3"/>
      <c r="R36" s="28"/>
      <c r="S36" s="3"/>
      <c r="T36" s="3"/>
      <c r="U36" s="3"/>
    </row>
    <row r="37" spans="1:21" x14ac:dyDescent="0.25">
      <c r="A37" s="3"/>
      <c r="B37" s="31">
        <v>46185</v>
      </c>
      <c r="C37" s="32" t="s">
        <v>3</v>
      </c>
      <c r="D37" s="33">
        <v>46</v>
      </c>
      <c r="E37" s="32"/>
      <c r="F37" s="32" t="s">
        <v>360</v>
      </c>
      <c r="G37" s="32" t="s">
        <v>362</v>
      </c>
      <c r="H37" s="3"/>
      <c r="I37" s="34">
        <v>46185</v>
      </c>
      <c r="J37" s="35" t="s">
        <v>6</v>
      </c>
      <c r="K37" s="36">
        <v>82</v>
      </c>
      <c r="L37" s="35"/>
      <c r="M37" s="35" t="s">
        <v>360</v>
      </c>
      <c r="N37" s="35" t="s">
        <v>361</v>
      </c>
      <c r="O37" s="3"/>
      <c r="P37" s="40">
        <v>46185</v>
      </c>
      <c r="Q37" s="41" t="s">
        <v>2</v>
      </c>
      <c r="R37" s="42">
        <v>186</v>
      </c>
      <c r="S37" s="41"/>
      <c r="T37" s="41" t="s">
        <v>358</v>
      </c>
      <c r="U37" s="41" t="s">
        <v>359</v>
      </c>
    </row>
    <row r="38" spans="1:21" x14ac:dyDescent="0.25">
      <c r="A38" s="3"/>
      <c r="B38" s="6">
        <v>46185</v>
      </c>
      <c r="C38" s="3" t="s">
        <v>368</v>
      </c>
      <c r="D38" s="28">
        <v>2</v>
      </c>
      <c r="E38" s="3"/>
      <c r="F38" s="3" t="s">
        <v>369</v>
      </c>
      <c r="G38" s="3" t="s">
        <v>362</v>
      </c>
      <c r="H38" s="3"/>
      <c r="I38" s="6">
        <v>46185</v>
      </c>
      <c r="J38" s="3" t="s">
        <v>7</v>
      </c>
      <c r="K38" s="28">
        <v>7</v>
      </c>
      <c r="L38" s="3"/>
      <c r="M38" s="3" t="s">
        <v>363</v>
      </c>
      <c r="N38" s="3" t="s">
        <v>362</v>
      </c>
      <c r="O38" s="3"/>
      <c r="P38" s="6">
        <v>46185</v>
      </c>
      <c r="Q38" s="3" t="s">
        <v>87</v>
      </c>
      <c r="R38" s="28">
        <v>3</v>
      </c>
      <c r="S38" s="3"/>
      <c r="T38" s="3" t="s">
        <v>370</v>
      </c>
      <c r="U38" s="3" t="s">
        <v>365</v>
      </c>
    </row>
    <row r="39" spans="1:21" x14ac:dyDescent="0.25">
      <c r="A39" s="3"/>
      <c r="B39" s="6">
        <v>46185</v>
      </c>
      <c r="C39" s="3" t="s">
        <v>374</v>
      </c>
      <c r="D39" s="28">
        <v>3</v>
      </c>
      <c r="E39" s="3"/>
      <c r="F39" s="3" t="s">
        <v>375</v>
      </c>
      <c r="G39" s="3" t="s">
        <v>362</v>
      </c>
      <c r="H39" s="3"/>
      <c r="I39" s="6">
        <v>46185</v>
      </c>
      <c r="J39" s="3" t="s">
        <v>9</v>
      </c>
      <c r="K39" s="28">
        <v>12</v>
      </c>
      <c r="L39" s="3"/>
      <c r="M39" s="3" t="s">
        <v>366</v>
      </c>
      <c r="N39" s="3" t="s">
        <v>361</v>
      </c>
      <c r="O39" s="3"/>
      <c r="P39" s="6">
        <v>46185</v>
      </c>
      <c r="Q39" s="3" t="s">
        <v>2</v>
      </c>
      <c r="R39" s="28">
        <v>33</v>
      </c>
      <c r="S39" s="3"/>
      <c r="T39" s="3" t="s">
        <v>358</v>
      </c>
      <c r="U39" s="3" t="s">
        <v>359</v>
      </c>
    </row>
    <row r="40" spans="1:21" x14ac:dyDescent="0.25">
      <c r="A40" s="3"/>
      <c r="B40" s="6">
        <v>46185</v>
      </c>
      <c r="C40" s="3" t="s">
        <v>3</v>
      </c>
      <c r="D40" s="28">
        <v>105</v>
      </c>
      <c r="E40" s="3"/>
      <c r="F40" s="3" t="s">
        <v>360</v>
      </c>
      <c r="G40" s="3" t="s">
        <v>362</v>
      </c>
      <c r="H40" s="3"/>
      <c r="I40" s="6">
        <v>46185</v>
      </c>
      <c r="J40" s="3" t="s">
        <v>93</v>
      </c>
      <c r="K40" s="28">
        <v>7</v>
      </c>
      <c r="L40" s="3"/>
      <c r="M40" s="3" t="s">
        <v>376</v>
      </c>
      <c r="N40" s="3" t="s">
        <v>367</v>
      </c>
      <c r="O40" s="3"/>
      <c r="P40" s="6"/>
      <c r="Q40" s="3"/>
      <c r="R40" s="28"/>
      <c r="S40" s="3"/>
      <c r="T40" s="3"/>
      <c r="U40" s="3"/>
    </row>
    <row r="41" spans="1:21" x14ac:dyDescent="0.25">
      <c r="A41" s="3"/>
      <c r="B41" s="6">
        <v>46185</v>
      </c>
      <c r="C41" s="3" t="s">
        <v>2</v>
      </c>
      <c r="D41" s="28">
        <v>25</v>
      </c>
      <c r="E41" s="3"/>
      <c r="F41" s="3" t="s">
        <v>358</v>
      </c>
      <c r="G41" s="3" t="s">
        <v>359</v>
      </c>
      <c r="H41" s="3"/>
      <c r="I41" s="6">
        <v>46185</v>
      </c>
      <c r="J41" s="3" t="s">
        <v>94</v>
      </c>
      <c r="K41" s="28">
        <v>56</v>
      </c>
      <c r="L41" s="3"/>
      <c r="M41" s="3" t="s">
        <v>377</v>
      </c>
      <c r="N41" s="3" t="s">
        <v>367</v>
      </c>
      <c r="O41" s="3"/>
      <c r="P41" s="6"/>
      <c r="Q41" s="3"/>
      <c r="R41" s="28"/>
      <c r="S41" s="3"/>
      <c r="T41" s="3"/>
      <c r="U41" s="3"/>
    </row>
    <row r="42" spans="1:21" x14ac:dyDescent="0.25">
      <c r="A42" s="3"/>
      <c r="B42" s="6">
        <v>46185</v>
      </c>
      <c r="C42" s="3" t="s">
        <v>374</v>
      </c>
      <c r="D42" s="28">
        <v>5</v>
      </c>
      <c r="E42" s="3"/>
      <c r="F42" s="3" t="s">
        <v>375</v>
      </c>
      <c r="G42" s="3" t="s">
        <v>362</v>
      </c>
      <c r="H42" s="3"/>
      <c r="I42" s="6">
        <v>46185</v>
      </c>
      <c r="J42" s="3" t="s">
        <v>76</v>
      </c>
      <c r="K42" s="28">
        <v>24</v>
      </c>
      <c r="L42" s="3"/>
      <c r="M42" s="3" t="s">
        <v>358</v>
      </c>
      <c r="N42" s="3" t="s">
        <v>371</v>
      </c>
      <c r="O42" s="3"/>
      <c r="P42" s="6"/>
      <c r="Q42" s="3"/>
      <c r="R42" s="28"/>
      <c r="S42" s="3"/>
      <c r="T42" s="3"/>
      <c r="U42" s="3"/>
    </row>
    <row r="43" spans="1:21" x14ac:dyDescent="0.25">
      <c r="A43" s="3"/>
      <c r="B43" s="6">
        <v>46185</v>
      </c>
      <c r="C43" s="3" t="s">
        <v>2</v>
      </c>
      <c r="D43" s="28">
        <v>33</v>
      </c>
      <c r="E43" s="3"/>
      <c r="F43" s="3" t="s">
        <v>358</v>
      </c>
      <c r="G43" s="3" t="s">
        <v>359</v>
      </c>
      <c r="H43" s="3"/>
      <c r="I43" s="6">
        <v>46185</v>
      </c>
      <c r="J43" s="3" t="s">
        <v>11</v>
      </c>
      <c r="K43" s="28">
        <v>3</v>
      </c>
      <c r="L43" s="3"/>
      <c r="M43" s="3" t="s">
        <v>360</v>
      </c>
      <c r="N43" s="3" t="s">
        <v>365</v>
      </c>
      <c r="O43" s="3"/>
      <c r="P43" s="6"/>
      <c r="Q43" s="3"/>
      <c r="R43" s="28"/>
      <c r="S43" s="3"/>
      <c r="T43" s="3"/>
      <c r="U43" s="3"/>
    </row>
    <row r="44" spans="1:21" x14ac:dyDescent="0.25">
      <c r="A44" s="3"/>
      <c r="B44" s="6"/>
      <c r="C44" s="3"/>
      <c r="D44" s="28"/>
      <c r="E44" s="3"/>
      <c r="F44" s="3"/>
      <c r="G44" s="3"/>
      <c r="H44" s="3"/>
      <c r="I44" s="6">
        <v>46185</v>
      </c>
      <c r="J44" s="3" t="s">
        <v>6</v>
      </c>
      <c r="K44" s="28">
        <v>22</v>
      </c>
      <c r="L44" s="3"/>
      <c r="M44" s="3" t="s">
        <v>360</v>
      </c>
      <c r="N44" s="3" t="s">
        <v>361</v>
      </c>
      <c r="O44" s="3"/>
      <c r="P44" s="6"/>
      <c r="Q44" s="3"/>
      <c r="R44" s="28"/>
      <c r="S44" s="3"/>
      <c r="T44" s="3"/>
      <c r="U44" s="3"/>
    </row>
    <row r="45" spans="1:21" x14ac:dyDescent="0.25">
      <c r="A45" s="3"/>
      <c r="B45" s="31">
        <v>46188</v>
      </c>
      <c r="C45" s="32" t="s">
        <v>2</v>
      </c>
      <c r="D45" s="33">
        <v>67</v>
      </c>
      <c r="E45" s="32"/>
      <c r="F45" s="32" t="s">
        <v>358</v>
      </c>
      <c r="G45" s="32" t="s">
        <v>359</v>
      </c>
      <c r="H45" s="3"/>
      <c r="I45" s="34">
        <v>46188</v>
      </c>
      <c r="J45" s="35" t="s">
        <v>6</v>
      </c>
      <c r="K45" s="36">
        <v>227</v>
      </c>
      <c r="L45" s="35"/>
      <c r="M45" s="35" t="s">
        <v>360</v>
      </c>
      <c r="N45" s="35" t="s">
        <v>361</v>
      </c>
      <c r="O45" s="3"/>
      <c r="P45" s="40">
        <v>46188</v>
      </c>
      <c r="Q45" s="41" t="s">
        <v>2</v>
      </c>
      <c r="R45" s="42">
        <v>227</v>
      </c>
      <c r="S45" s="41"/>
      <c r="T45" s="41" t="s">
        <v>358</v>
      </c>
      <c r="U45" s="41" t="s">
        <v>359</v>
      </c>
    </row>
    <row r="46" spans="1:21" x14ac:dyDescent="0.25">
      <c r="A46" s="3"/>
      <c r="B46" s="6">
        <v>46188</v>
      </c>
      <c r="C46" s="3" t="s">
        <v>74</v>
      </c>
      <c r="D46" s="28">
        <v>67</v>
      </c>
      <c r="E46" s="3"/>
      <c r="F46" s="3" t="s">
        <v>372</v>
      </c>
      <c r="G46" s="3" t="s">
        <v>378</v>
      </c>
      <c r="H46" s="3"/>
      <c r="I46" s="6"/>
      <c r="J46" s="3"/>
      <c r="K46" s="28"/>
      <c r="L46" s="3"/>
      <c r="M46" s="3"/>
      <c r="N46" s="3"/>
      <c r="O46" s="3"/>
      <c r="P46" s="6"/>
      <c r="Q46" s="3"/>
      <c r="R46" s="28"/>
      <c r="S46" s="3"/>
      <c r="T46" s="3"/>
      <c r="U46" s="3"/>
    </row>
    <row r="47" spans="1:21" x14ac:dyDescent="0.25">
      <c r="A47" s="3"/>
      <c r="B47" s="6">
        <v>46188</v>
      </c>
      <c r="C47" s="3" t="s">
        <v>73</v>
      </c>
      <c r="D47" s="28">
        <v>2</v>
      </c>
      <c r="E47" s="3"/>
      <c r="F47" s="3" t="s">
        <v>372</v>
      </c>
      <c r="G47" s="3" t="s">
        <v>379</v>
      </c>
      <c r="H47" s="3"/>
      <c r="I47" s="6"/>
      <c r="J47" s="3"/>
      <c r="K47" s="28"/>
      <c r="L47" s="3"/>
      <c r="M47" s="3"/>
      <c r="N47" s="3"/>
      <c r="O47" s="3"/>
      <c r="P47" s="6"/>
      <c r="Q47" s="3"/>
      <c r="R47" s="28"/>
      <c r="S47" s="3"/>
      <c r="T47" s="3"/>
      <c r="U47" s="3"/>
    </row>
    <row r="48" spans="1:21" x14ac:dyDescent="0.25">
      <c r="A48" s="3"/>
      <c r="B48" s="6">
        <v>46188</v>
      </c>
      <c r="C48" s="3" t="s">
        <v>3</v>
      </c>
      <c r="D48" s="28">
        <v>92</v>
      </c>
      <c r="E48" s="3"/>
      <c r="F48" s="3" t="s">
        <v>360</v>
      </c>
      <c r="G48" s="3" t="s">
        <v>362</v>
      </c>
      <c r="H48" s="3"/>
      <c r="I48" s="6"/>
      <c r="J48" s="3"/>
      <c r="K48" s="28"/>
      <c r="L48" s="3"/>
      <c r="M48" s="3"/>
      <c r="N48" s="3"/>
      <c r="O48" s="3"/>
      <c r="P48" s="6"/>
      <c r="Q48" s="3"/>
      <c r="R48" s="28"/>
      <c r="S48" s="3"/>
      <c r="T48" s="3"/>
      <c r="U48" s="3"/>
    </row>
    <row r="49" spans="1:21" x14ac:dyDescent="0.25">
      <c r="A49" s="3"/>
      <c r="B49" s="31">
        <v>46189</v>
      </c>
      <c r="C49" s="32" t="s">
        <v>3</v>
      </c>
      <c r="D49" s="33">
        <v>9</v>
      </c>
      <c r="E49" s="32"/>
      <c r="F49" s="32" t="s">
        <v>360</v>
      </c>
      <c r="G49" s="32" t="s">
        <v>362</v>
      </c>
      <c r="H49" s="3"/>
      <c r="I49" s="34">
        <v>46189</v>
      </c>
      <c r="J49" s="35" t="s">
        <v>6</v>
      </c>
      <c r="K49" s="36">
        <v>225</v>
      </c>
      <c r="L49" s="35"/>
      <c r="M49" s="35" t="s">
        <v>360</v>
      </c>
      <c r="N49" s="35" t="s">
        <v>361</v>
      </c>
      <c r="O49" s="3"/>
      <c r="P49" s="40">
        <v>46189</v>
      </c>
      <c r="Q49" s="41" t="s">
        <v>2</v>
      </c>
      <c r="R49" s="42">
        <v>274</v>
      </c>
      <c r="S49" s="41"/>
      <c r="T49" s="41" t="s">
        <v>358</v>
      </c>
      <c r="U49" s="41" t="s">
        <v>359</v>
      </c>
    </row>
    <row r="50" spans="1:21" x14ac:dyDescent="0.25">
      <c r="A50" s="3"/>
      <c r="B50" s="6">
        <v>46189</v>
      </c>
      <c r="C50" s="3" t="s">
        <v>368</v>
      </c>
      <c r="D50" s="28">
        <v>1</v>
      </c>
      <c r="E50" s="3"/>
      <c r="F50" s="3" t="s">
        <v>369</v>
      </c>
      <c r="G50" s="3" t="s">
        <v>362</v>
      </c>
      <c r="H50" s="3"/>
      <c r="I50" s="6">
        <v>46189</v>
      </c>
      <c r="J50" s="3" t="s">
        <v>7</v>
      </c>
      <c r="K50" s="28">
        <v>1</v>
      </c>
      <c r="L50" s="3"/>
      <c r="M50" s="3" t="s">
        <v>363</v>
      </c>
      <c r="N50" s="3" t="s">
        <v>362</v>
      </c>
      <c r="O50" s="3"/>
      <c r="P50" s="6">
        <v>46189</v>
      </c>
      <c r="Q50" s="3" t="s">
        <v>2</v>
      </c>
      <c r="R50" s="28">
        <v>274</v>
      </c>
      <c r="S50" s="3"/>
      <c r="T50" s="3" t="s">
        <v>358</v>
      </c>
      <c r="U50" s="3" t="s">
        <v>359</v>
      </c>
    </row>
    <row r="51" spans="1:21" x14ac:dyDescent="0.25">
      <c r="A51" s="3"/>
      <c r="B51" s="6">
        <v>46189</v>
      </c>
      <c r="C51" s="3" t="s">
        <v>2</v>
      </c>
      <c r="D51" s="28">
        <v>264</v>
      </c>
      <c r="E51" s="3"/>
      <c r="F51" s="3" t="s">
        <v>358</v>
      </c>
      <c r="G51" s="3" t="s">
        <v>359</v>
      </c>
      <c r="H51" s="3"/>
      <c r="I51" s="6">
        <v>46189</v>
      </c>
      <c r="J51" s="3" t="s">
        <v>76</v>
      </c>
      <c r="K51" s="28">
        <v>16</v>
      </c>
      <c r="L51" s="3"/>
      <c r="M51" s="3" t="s">
        <v>358</v>
      </c>
      <c r="N51" s="3" t="s">
        <v>371</v>
      </c>
      <c r="O51" s="3"/>
      <c r="P51" s="6">
        <v>46189</v>
      </c>
      <c r="Q51" s="3" t="s">
        <v>2</v>
      </c>
      <c r="R51" s="28">
        <v>266</v>
      </c>
      <c r="S51" s="3"/>
      <c r="T51" s="3" t="s">
        <v>358</v>
      </c>
      <c r="U51" s="3" t="s">
        <v>359</v>
      </c>
    </row>
    <row r="52" spans="1:21" x14ac:dyDescent="0.25">
      <c r="A52" s="3"/>
      <c r="B52" s="31">
        <v>46190</v>
      </c>
      <c r="C52" s="32" t="s">
        <v>2</v>
      </c>
      <c r="D52" s="33">
        <v>184</v>
      </c>
      <c r="E52" s="32"/>
      <c r="F52" s="32" t="s">
        <v>358</v>
      </c>
      <c r="G52" s="32" t="s">
        <v>359</v>
      </c>
      <c r="H52" s="3"/>
      <c r="I52" s="6">
        <v>46189</v>
      </c>
      <c r="J52" s="3" t="s">
        <v>6</v>
      </c>
      <c r="K52" s="28">
        <v>32</v>
      </c>
      <c r="L52" s="3"/>
      <c r="M52" s="3" t="s">
        <v>360</v>
      </c>
      <c r="N52" s="3" t="s">
        <v>361</v>
      </c>
      <c r="O52" s="3"/>
      <c r="P52" s="6">
        <v>46189</v>
      </c>
      <c r="Q52" s="3" t="s">
        <v>2</v>
      </c>
      <c r="R52" s="28">
        <v>183</v>
      </c>
      <c r="S52" s="3"/>
      <c r="T52" s="3" t="s">
        <v>358</v>
      </c>
      <c r="U52" s="3" t="s">
        <v>359</v>
      </c>
    </row>
    <row r="53" spans="1:21" x14ac:dyDescent="0.25">
      <c r="A53" s="3"/>
      <c r="B53" s="6">
        <v>46190</v>
      </c>
      <c r="C53" s="3" t="s">
        <v>3</v>
      </c>
      <c r="D53" s="28">
        <v>90</v>
      </c>
      <c r="E53" s="3"/>
      <c r="F53" s="3" t="s">
        <v>360</v>
      </c>
      <c r="G53" s="3" t="s">
        <v>362</v>
      </c>
      <c r="H53" s="3"/>
      <c r="I53" s="34">
        <v>46190</v>
      </c>
      <c r="J53" s="35" t="s">
        <v>6</v>
      </c>
      <c r="K53" s="36">
        <v>274</v>
      </c>
      <c r="L53" s="35"/>
      <c r="M53" s="35" t="s">
        <v>360</v>
      </c>
      <c r="N53" s="35" t="s">
        <v>361</v>
      </c>
      <c r="O53" s="3"/>
      <c r="P53" s="6">
        <v>46189</v>
      </c>
      <c r="Q53" s="3" t="s">
        <v>12</v>
      </c>
      <c r="R53" s="28">
        <v>2</v>
      </c>
      <c r="S53" s="3"/>
      <c r="T53" s="3" t="s">
        <v>364</v>
      </c>
      <c r="U53" s="3" t="s">
        <v>362</v>
      </c>
    </row>
    <row r="54" spans="1:21" x14ac:dyDescent="0.25">
      <c r="A54" s="3"/>
      <c r="B54" s="31">
        <v>46191</v>
      </c>
      <c r="C54" s="32" t="s">
        <v>3</v>
      </c>
      <c r="D54" s="33">
        <v>9</v>
      </c>
      <c r="E54" s="32"/>
      <c r="F54" s="32" t="s">
        <v>360</v>
      </c>
      <c r="G54" s="32" t="s">
        <v>362</v>
      </c>
      <c r="H54" s="3"/>
      <c r="I54" s="34">
        <v>46191</v>
      </c>
      <c r="J54" s="35" t="s">
        <v>6</v>
      </c>
      <c r="K54" s="36">
        <v>225</v>
      </c>
      <c r="L54" s="35"/>
      <c r="M54" s="35" t="s">
        <v>360</v>
      </c>
      <c r="N54" s="35" t="s">
        <v>361</v>
      </c>
      <c r="O54" s="3"/>
      <c r="P54" s="6">
        <v>46189</v>
      </c>
      <c r="Q54" s="3" t="s">
        <v>10</v>
      </c>
      <c r="R54" s="28">
        <v>33</v>
      </c>
      <c r="S54" s="3"/>
      <c r="T54" s="3" t="s">
        <v>363</v>
      </c>
      <c r="U54" s="3" t="s">
        <v>367</v>
      </c>
    </row>
    <row r="55" spans="1:21" x14ac:dyDescent="0.25">
      <c r="A55" s="3"/>
      <c r="B55" s="6">
        <v>46191</v>
      </c>
      <c r="C55" s="3" t="s">
        <v>2</v>
      </c>
      <c r="D55" s="28">
        <v>257</v>
      </c>
      <c r="E55" s="3"/>
      <c r="F55" s="3" t="s">
        <v>358</v>
      </c>
      <c r="G55" s="3" t="s">
        <v>359</v>
      </c>
      <c r="H55" s="3"/>
      <c r="I55" s="6">
        <v>46191</v>
      </c>
      <c r="J55" s="3" t="s">
        <v>8</v>
      </c>
      <c r="K55" s="28">
        <v>1</v>
      </c>
      <c r="L55" s="3"/>
      <c r="M55" s="3" t="s">
        <v>363</v>
      </c>
      <c r="N55" s="3" t="s">
        <v>365</v>
      </c>
      <c r="O55" s="3"/>
      <c r="P55" s="6">
        <v>46189</v>
      </c>
      <c r="Q55" s="3" t="s">
        <v>10</v>
      </c>
      <c r="R55" s="28">
        <v>19</v>
      </c>
      <c r="S55" s="3"/>
      <c r="T55" s="3" t="s">
        <v>363</v>
      </c>
      <c r="U55" s="3" t="s">
        <v>367</v>
      </c>
    </row>
    <row r="56" spans="1:21" x14ac:dyDescent="0.25">
      <c r="A56" s="3"/>
      <c r="B56" s="31">
        <v>46192</v>
      </c>
      <c r="C56" s="32" t="s">
        <v>2</v>
      </c>
      <c r="D56" s="33">
        <v>129</v>
      </c>
      <c r="E56" s="32"/>
      <c r="F56" s="32" t="s">
        <v>358</v>
      </c>
      <c r="G56" s="32" t="s">
        <v>359</v>
      </c>
      <c r="H56" s="3"/>
      <c r="I56" s="6">
        <v>46191</v>
      </c>
      <c r="J56" s="3" t="s">
        <v>76</v>
      </c>
      <c r="K56" s="28">
        <v>16</v>
      </c>
      <c r="L56" s="3"/>
      <c r="M56" s="3" t="s">
        <v>358</v>
      </c>
      <c r="N56" s="3" t="s">
        <v>371</v>
      </c>
      <c r="O56" s="3"/>
      <c r="P56" s="6">
        <v>46189</v>
      </c>
      <c r="Q56" s="3" t="s">
        <v>2</v>
      </c>
      <c r="R56" s="28">
        <v>210</v>
      </c>
      <c r="S56" s="3"/>
      <c r="T56" s="3" t="s">
        <v>358</v>
      </c>
      <c r="U56" s="3" t="s">
        <v>359</v>
      </c>
    </row>
    <row r="57" spans="1:21" x14ac:dyDescent="0.25">
      <c r="A57" s="3"/>
      <c r="B57" s="6">
        <v>46192</v>
      </c>
      <c r="C57" s="3" t="s">
        <v>374</v>
      </c>
      <c r="D57" s="28">
        <v>8</v>
      </c>
      <c r="E57" s="3"/>
      <c r="F57" s="3" t="s">
        <v>375</v>
      </c>
      <c r="G57" s="3" t="s">
        <v>362</v>
      </c>
      <c r="H57" s="3"/>
      <c r="I57" s="6">
        <v>46191</v>
      </c>
      <c r="J57" s="3" t="s">
        <v>85</v>
      </c>
      <c r="K57" s="28">
        <v>2</v>
      </c>
      <c r="L57" s="3"/>
      <c r="M57" s="3" t="s">
        <v>370</v>
      </c>
      <c r="N57" s="3" t="s">
        <v>361</v>
      </c>
      <c r="O57" s="3"/>
      <c r="P57" s="6">
        <v>46189</v>
      </c>
      <c r="Q57" s="3" t="s">
        <v>2</v>
      </c>
      <c r="R57" s="28">
        <v>171</v>
      </c>
      <c r="S57" s="3"/>
      <c r="T57" s="3" t="s">
        <v>358</v>
      </c>
      <c r="U57" s="3" t="s">
        <v>359</v>
      </c>
    </row>
    <row r="58" spans="1:21" x14ac:dyDescent="0.25">
      <c r="A58" s="3"/>
      <c r="B58" s="6">
        <v>46192</v>
      </c>
      <c r="C58" s="3" t="s">
        <v>3</v>
      </c>
      <c r="D58" s="28">
        <v>83</v>
      </c>
      <c r="E58" s="3"/>
      <c r="F58" s="3" t="s">
        <v>360</v>
      </c>
      <c r="G58" s="3" t="s">
        <v>362</v>
      </c>
      <c r="H58" s="3"/>
      <c r="I58" s="6">
        <v>46191</v>
      </c>
      <c r="J58" s="3" t="s">
        <v>6</v>
      </c>
      <c r="K58" s="28">
        <v>23</v>
      </c>
      <c r="L58" s="3"/>
      <c r="M58" s="3" t="s">
        <v>360</v>
      </c>
      <c r="N58" s="3" t="s">
        <v>361</v>
      </c>
      <c r="O58" s="3"/>
      <c r="P58" s="6">
        <v>46189</v>
      </c>
      <c r="Q58" s="3" t="s">
        <v>77</v>
      </c>
      <c r="R58" s="28">
        <v>108</v>
      </c>
      <c r="S58" s="3"/>
      <c r="T58" s="3" t="s">
        <v>358</v>
      </c>
      <c r="U58" s="3" t="s">
        <v>367</v>
      </c>
    </row>
    <row r="59" spans="1:21" x14ac:dyDescent="0.25">
      <c r="A59" s="3"/>
      <c r="B59" s="31">
        <v>46195</v>
      </c>
      <c r="C59" s="32" t="s">
        <v>3</v>
      </c>
      <c r="D59" s="33">
        <v>33</v>
      </c>
      <c r="E59" s="32"/>
      <c r="F59" s="32" t="s">
        <v>360</v>
      </c>
      <c r="G59" s="32" t="s">
        <v>362</v>
      </c>
      <c r="H59" s="3"/>
      <c r="I59" s="34">
        <v>46192</v>
      </c>
      <c r="J59" s="35" t="s">
        <v>6</v>
      </c>
      <c r="K59" s="36">
        <v>70</v>
      </c>
      <c r="L59" s="35"/>
      <c r="M59" s="35" t="s">
        <v>360</v>
      </c>
      <c r="N59" s="35" t="s">
        <v>361</v>
      </c>
      <c r="O59" s="3"/>
      <c r="P59" s="40">
        <v>46197</v>
      </c>
      <c r="Q59" s="41" t="s">
        <v>77</v>
      </c>
      <c r="R59" s="42">
        <v>217</v>
      </c>
      <c r="S59" s="41"/>
      <c r="T59" s="41" t="s">
        <v>358</v>
      </c>
      <c r="U59" s="41" t="s">
        <v>367</v>
      </c>
    </row>
    <row r="60" spans="1:21" x14ac:dyDescent="0.25">
      <c r="A60" s="3"/>
      <c r="B60" s="6">
        <v>46195</v>
      </c>
      <c r="C60" s="3" t="s">
        <v>75</v>
      </c>
      <c r="D60" s="28">
        <v>3</v>
      </c>
      <c r="E60" s="3"/>
      <c r="F60" s="3" t="s">
        <v>360</v>
      </c>
      <c r="G60" s="3" t="s">
        <v>361</v>
      </c>
      <c r="H60" s="3"/>
      <c r="I60" s="6">
        <v>46192</v>
      </c>
      <c r="J60" s="3" t="s">
        <v>94</v>
      </c>
      <c r="K60" s="28">
        <v>36</v>
      </c>
      <c r="L60" s="3"/>
      <c r="M60" s="3" t="s">
        <v>377</v>
      </c>
      <c r="N60" s="3" t="s">
        <v>367</v>
      </c>
      <c r="O60" s="3"/>
      <c r="P60" s="6">
        <v>46197</v>
      </c>
      <c r="Q60" s="3" t="s">
        <v>2</v>
      </c>
      <c r="R60" s="28">
        <v>50</v>
      </c>
      <c r="S60" s="3"/>
      <c r="T60" s="3" t="s">
        <v>358</v>
      </c>
      <c r="U60" s="3" t="s">
        <v>359</v>
      </c>
    </row>
    <row r="61" spans="1:21" x14ac:dyDescent="0.25">
      <c r="A61" s="3"/>
      <c r="B61" s="6">
        <v>46195</v>
      </c>
      <c r="C61" s="3" t="s">
        <v>73</v>
      </c>
      <c r="D61" s="28">
        <v>4</v>
      </c>
      <c r="E61" s="3"/>
      <c r="F61" s="3" t="s">
        <v>372</v>
      </c>
      <c r="G61" s="3" t="s">
        <v>379</v>
      </c>
      <c r="H61" s="3"/>
      <c r="I61" s="6">
        <v>46192</v>
      </c>
      <c r="J61" s="3" t="s">
        <v>93</v>
      </c>
      <c r="K61" s="28">
        <v>7</v>
      </c>
      <c r="L61" s="3"/>
      <c r="M61" s="3" t="s">
        <v>376</v>
      </c>
      <c r="N61" s="3" t="s">
        <v>367</v>
      </c>
      <c r="O61" s="3"/>
      <c r="P61" s="6">
        <v>46197</v>
      </c>
      <c r="Q61" s="3" t="s">
        <v>2</v>
      </c>
      <c r="R61" s="28">
        <v>63</v>
      </c>
      <c r="S61" s="3"/>
      <c r="T61" s="3" t="s">
        <v>358</v>
      </c>
      <c r="U61" s="3" t="s">
        <v>359</v>
      </c>
    </row>
    <row r="62" spans="1:21" x14ac:dyDescent="0.25">
      <c r="A62" s="3"/>
      <c r="B62" s="6">
        <v>46195</v>
      </c>
      <c r="C62" s="3" t="s">
        <v>368</v>
      </c>
      <c r="D62" s="28">
        <v>2</v>
      </c>
      <c r="E62" s="3"/>
      <c r="F62" s="3" t="s">
        <v>369</v>
      </c>
      <c r="G62" s="3" t="s">
        <v>362</v>
      </c>
      <c r="H62" s="3"/>
      <c r="I62" s="6">
        <v>46192</v>
      </c>
      <c r="J62" s="3" t="s">
        <v>10</v>
      </c>
      <c r="K62" s="28">
        <v>28</v>
      </c>
      <c r="L62" s="3"/>
      <c r="M62" s="3" t="s">
        <v>363</v>
      </c>
      <c r="N62" s="3" t="s">
        <v>367</v>
      </c>
      <c r="O62" s="3"/>
      <c r="P62" s="6">
        <v>46197</v>
      </c>
      <c r="Q62" s="3" t="s">
        <v>77</v>
      </c>
      <c r="R62" s="28">
        <v>124</v>
      </c>
      <c r="S62" s="3"/>
      <c r="T62" s="3" t="s">
        <v>358</v>
      </c>
      <c r="U62" s="3" t="s">
        <v>367</v>
      </c>
    </row>
    <row r="63" spans="1:21" x14ac:dyDescent="0.25">
      <c r="A63" s="3"/>
      <c r="B63" s="6">
        <v>46195</v>
      </c>
      <c r="C63" s="3" t="s">
        <v>6</v>
      </c>
      <c r="D63" s="28">
        <v>189</v>
      </c>
      <c r="E63" s="3"/>
      <c r="F63" s="3" t="s">
        <v>360</v>
      </c>
      <c r="G63" s="3" t="s">
        <v>361</v>
      </c>
      <c r="H63" s="3"/>
      <c r="I63" s="6">
        <v>46192</v>
      </c>
      <c r="J63" s="3" t="s">
        <v>12</v>
      </c>
      <c r="K63" s="28">
        <v>2</v>
      </c>
      <c r="L63" s="3"/>
      <c r="M63" s="3" t="s">
        <v>364</v>
      </c>
      <c r="N63" s="3" t="s">
        <v>362</v>
      </c>
      <c r="O63" s="3"/>
      <c r="P63" s="6">
        <v>46197</v>
      </c>
      <c r="Q63" s="3" t="s">
        <v>86</v>
      </c>
      <c r="R63" s="28">
        <v>31</v>
      </c>
      <c r="S63" s="3"/>
      <c r="T63" s="3" t="s">
        <v>370</v>
      </c>
      <c r="U63" s="3" t="s">
        <v>362</v>
      </c>
    </row>
    <row r="64" spans="1:21" x14ac:dyDescent="0.25">
      <c r="A64" s="3"/>
      <c r="B64" s="31">
        <v>46196</v>
      </c>
      <c r="C64" s="32" t="s">
        <v>6</v>
      </c>
      <c r="D64" s="33">
        <v>121</v>
      </c>
      <c r="E64" s="32"/>
      <c r="F64" s="32" t="s">
        <v>360</v>
      </c>
      <c r="G64" s="32" t="s">
        <v>361</v>
      </c>
      <c r="H64" s="3"/>
      <c r="I64" s="6">
        <v>46192</v>
      </c>
      <c r="J64" s="3" t="s">
        <v>2</v>
      </c>
      <c r="K64" s="28">
        <v>78</v>
      </c>
      <c r="L64" s="3"/>
      <c r="M64" s="3" t="s">
        <v>358</v>
      </c>
      <c r="N64" s="3" t="s">
        <v>359</v>
      </c>
      <c r="O64" s="3"/>
      <c r="P64" s="6">
        <v>46197</v>
      </c>
      <c r="Q64" s="3" t="s">
        <v>86</v>
      </c>
      <c r="R64" s="28">
        <v>58</v>
      </c>
      <c r="S64" s="3"/>
      <c r="T64" s="3" t="s">
        <v>370</v>
      </c>
      <c r="U64" s="3" t="s">
        <v>362</v>
      </c>
    </row>
    <row r="65" spans="1:21" x14ac:dyDescent="0.25">
      <c r="A65" s="3"/>
      <c r="B65" s="6">
        <v>46196</v>
      </c>
      <c r="C65" s="3" t="s">
        <v>3</v>
      </c>
      <c r="D65" s="28">
        <v>65</v>
      </c>
      <c r="E65" s="3"/>
      <c r="F65" s="3" t="s">
        <v>360</v>
      </c>
      <c r="G65" s="3" t="s">
        <v>362</v>
      </c>
      <c r="H65" s="3"/>
      <c r="I65" s="34">
        <v>46195</v>
      </c>
      <c r="J65" s="35" t="s">
        <v>2</v>
      </c>
      <c r="K65" s="36">
        <v>74</v>
      </c>
      <c r="L65" s="35"/>
      <c r="M65" s="35" t="s">
        <v>358</v>
      </c>
      <c r="N65" s="35" t="s">
        <v>359</v>
      </c>
      <c r="O65" s="3"/>
      <c r="P65" s="6">
        <v>46197</v>
      </c>
      <c r="Q65" s="3" t="s">
        <v>93</v>
      </c>
      <c r="R65" s="28">
        <v>10</v>
      </c>
      <c r="S65" s="3"/>
      <c r="T65" s="3" t="s">
        <v>376</v>
      </c>
      <c r="U65" s="3" t="s">
        <v>367</v>
      </c>
    </row>
    <row r="66" spans="1:21" x14ac:dyDescent="0.25">
      <c r="A66" s="3"/>
      <c r="B66" s="6">
        <v>46196</v>
      </c>
      <c r="C66" s="3" t="s">
        <v>74</v>
      </c>
      <c r="D66" s="28">
        <v>59</v>
      </c>
      <c r="E66" s="3"/>
      <c r="F66" s="3" t="s">
        <v>372</v>
      </c>
      <c r="G66" s="3" t="s">
        <v>378</v>
      </c>
      <c r="H66" s="3"/>
      <c r="I66" s="6">
        <v>46195</v>
      </c>
      <c r="J66" s="3" t="s">
        <v>3</v>
      </c>
      <c r="K66" s="28">
        <v>76</v>
      </c>
      <c r="L66" s="3"/>
      <c r="M66" s="3" t="s">
        <v>360</v>
      </c>
      <c r="N66" s="3" t="s">
        <v>362</v>
      </c>
      <c r="O66" s="3"/>
      <c r="P66" s="6">
        <v>46197</v>
      </c>
      <c r="Q66" s="3" t="s">
        <v>12</v>
      </c>
      <c r="R66" s="28">
        <v>10</v>
      </c>
      <c r="S66" s="3"/>
      <c r="T66" s="3" t="s">
        <v>364</v>
      </c>
      <c r="U66" s="3" t="s">
        <v>362</v>
      </c>
    </row>
    <row r="67" spans="1:21" x14ac:dyDescent="0.25">
      <c r="A67" s="3"/>
      <c r="B67" s="6">
        <v>46196</v>
      </c>
      <c r="C67" s="3" t="s">
        <v>6</v>
      </c>
      <c r="D67" s="28">
        <v>34</v>
      </c>
      <c r="E67" s="3"/>
      <c r="F67" s="3" t="s">
        <v>360</v>
      </c>
      <c r="G67" s="3" t="s">
        <v>361</v>
      </c>
      <c r="H67" s="3"/>
      <c r="I67" s="6">
        <v>46195</v>
      </c>
      <c r="J67" s="3" t="s">
        <v>98</v>
      </c>
      <c r="K67" s="28">
        <v>6</v>
      </c>
      <c r="L67" s="3"/>
      <c r="M67" s="3" t="s">
        <v>380</v>
      </c>
      <c r="N67" s="3" t="s">
        <v>361</v>
      </c>
      <c r="O67" s="3"/>
      <c r="P67" s="6">
        <v>46197</v>
      </c>
      <c r="Q67" s="3" t="s">
        <v>2</v>
      </c>
      <c r="R67" s="28">
        <v>135</v>
      </c>
      <c r="S67" s="3"/>
      <c r="T67" s="3" t="s">
        <v>358</v>
      </c>
      <c r="U67" s="3" t="s">
        <v>359</v>
      </c>
    </row>
    <row r="68" spans="1:21" x14ac:dyDescent="0.25">
      <c r="A68" s="3"/>
      <c r="B68" s="31">
        <v>46197</v>
      </c>
      <c r="C68" s="32" t="s">
        <v>6</v>
      </c>
      <c r="D68" s="33">
        <v>168</v>
      </c>
      <c r="E68" s="32"/>
      <c r="F68" s="32" t="s">
        <v>360</v>
      </c>
      <c r="G68" s="32" t="s">
        <v>361</v>
      </c>
      <c r="H68" s="3"/>
      <c r="I68" s="6">
        <v>46195</v>
      </c>
      <c r="J68" s="3" t="s">
        <v>9</v>
      </c>
      <c r="K68" s="28">
        <v>15</v>
      </c>
      <c r="L68" s="3"/>
      <c r="M68" s="3" t="s">
        <v>366</v>
      </c>
      <c r="N68" s="3" t="s">
        <v>361</v>
      </c>
      <c r="O68" s="3"/>
      <c r="P68" s="6">
        <v>46197</v>
      </c>
      <c r="Q68" s="3" t="s">
        <v>2</v>
      </c>
      <c r="R68" s="28">
        <v>168</v>
      </c>
      <c r="S68" s="3"/>
      <c r="T68" s="3" t="s">
        <v>358</v>
      </c>
      <c r="U68" s="3" t="s">
        <v>359</v>
      </c>
    </row>
    <row r="69" spans="1:21" x14ac:dyDescent="0.25">
      <c r="A69" s="3"/>
      <c r="B69" s="6">
        <v>46197</v>
      </c>
      <c r="C69" s="3" t="s">
        <v>374</v>
      </c>
      <c r="D69" s="28">
        <v>1</v>
      </c>
      <c r="E69" s="3"/>
      <c r="F69" s="3" t="s">
        <v>375</v>
      </c>
      <c r="G69" s="3" t="s">
        <v>362</v>
      </c>
      <c r="H69" s="3"/>
      <c r="I69" s="6">
        <v>46195</v>
      </c>
      <c r="J69" s="3" t="s">
        <v>76</v>
      </c>
      <c r="K69" s="28">
        <v>32</v>
      </c>
      <c r="L69" s="3"/>
      <c r="M69" s="3" t="s">
        <v>358</v>
      </c>
      <c r="N69" s="3" t="s">
        <v>371</v>
      </c>
      <c r="O69" s="3"/>
      <c r="P69" s="6">
        <v>46197</v>
      </c>
      <c r="Q69" s="3" t="s">
        <v>10</v>
      </c>
      <c r="R69" s="28">
        <v>19</v>
      </c>
      <c r="S69" s="3"/>
      <c r="T69" s="3" t="s">
        <v>363</v>
      </c>
      <c r="U69" s="3" t="s">
        <v>367</v>
      </c>
    </row>
    <row r="70" spans="1:21" x14ac:dyDescent="0.25">
      <c r="A70" s="3"/>
      <c r="B70" s="6">
        <v>46197</v>
      </c>
      <c r="C70" s="3" t="s">
        <v>3</v>
      </c>
      <c r="D70" s="28">
        <v>98</v>
      </c>
      <c r="E70" s="3"/>
      <c r="F70" s="3" t="s">
        <v>360</v>
      </c>
      <c r="G70" s="3" t="s">
        <v>362</v>
      </c>
      <c r="H70" s="3"/>
      <c r="I70" s="6">
        <v>46195</v>
      </c>
      <c r="J70" s="3" t="s">
        <v>2</v>
      </c>
      <c r="K70" s="28">
        <v>26</v>
      </c>
      <c r="L70" s="3"/>
      <c r="M70" s="3" t="s">
        <v>358</v>
      </c>
      <c r="N70" s="3" t="s">
        <v>359</v>
      </c>
      <c r="O70" s="3"/>
      <c r="P70" s="6">
        <v>46197</v>
      </c>
      <c r="Q70" s="3" t="s">
        <v>2</v>
      </c>
      <c r="R70" s="28">
        <v>38</v>
      </c>
      <c r="S70" s="3"/>
      <c r="T70" s="3" t="s">
        <v>358</v>
      </c>
      <c r="U70" s="3" t="s">
        <v>359</v>
      </c>
    </row>
    <row r="71" spans="1:21" x14ac:dyDescent="0.25">
      <c r="A71" s="3"/>
      <c r="B71" s="31">
        <v>46198</v>
      </c>
      <c r="C71" s="32" t="s">
        <v>3</v>
      </c>
      <c r="D71" s="33">
        <v>32</v>
      </c>
      <c r="E71" s="32"/>
      <c r="F71" s="32" t="s">
        <v>360</v>
      </c>
      <c r="G71" s="32" t="s">
        <v>362</v>
      </c>
      <c r="H71" s="3"/>
      <c r="I71" s="34">
        <v>46196</v>
      </c>
      <c r="J71" s="35" t="s">
        <v>2</v>
      </c>
      <c r="K71" s="36">
        <v>137</v>
      </c>
      <c r="L71" s="35"/>
      <c r="M71" s="35" t="s">
        <v>358</v>
      </c>
      <c r="N71" s="35" t="s">
        <v>359</v>
      </c>
      <c r="O71" s="3"/>
      <c r="P71" s="40">
        <v>46203</v>
      </c>
      <c r="Q71" s="41" t="s">
        <v>2</v>
      </c>
      <c r="R71" s="42">
        <v>256</v>
      </c>
      <c r="S71" s="41"/>
      <c r="T71" s="41" t="s">
        <v>358</v>
      </c>
      <c r="U71" s="41" t="s">
        <v>359</v>
      </c>
    </row>
    <row r="72" spans="1:21" x14ac:dyDescent="0.25">
      <c r="A72" s="3"/>
      <c r="B72" s="6">
        <v>46198</v>
      </c>
      <c r="C72" s="3" t="s">
        <v>6</v>
      </c>
      <c r="D72" s="28">
        <v>187</v>
      </c>
      <c r="E72" s="3"/>
      <c r="F72" s="3" t="s">
        <v>360</v>
      </c>
      <c r="G72" s="3" t="s">
        <v>361</v>
      </c>
      <c r="H72" s="3"/>
      <c r="I72" s="6">
        <v>46196</v>
      </c>
      <c r="J72" s="3" t="s">
        <v>3</v>
      </c>
      <c r="K72" s="28">
        <v>76</v>
      </c>
      <c r="L72" s="3"/>
      <c r="M72" s="3" t="s">
        <v>360</v>
      </c>
      <c r="N72" s="3" t="s">
        <v>362</v>
      </c>
      <c r="O72" s="3"/>
      <c r="P72" s="6">
        <v>46203</v>
      </c>
      <c r="Q72" s="3" t="s">
        <v>2</v>
      </c>
      <c r="R72" s="28">
        <v>265</v>
      </c>
      <c r="S72" s="3"/>
      <c r="T72" s="3" t="s">
        <v>358</v>
      </c>
      <c r="U72" s="3" t="s">
        <v>359</v>
      </c>
    </row>
    <row r="73" spans="1:21" x14ac:dyDescent="0.25">
      <c r="A73" s="3"/>
      <c r="B73" s="31">
        <v>46199</v>
      </c>
      <c r="C73" s="32" t="s">
        <v>6</v>
      </c>
      <c r="D73" s="33">
        <v>117</v>
      </c>
      <c r="E73" s="32"/>
      <c r="F73" s="32" t="s">
        <v>360</v>
      </c>
      <c r="G73" s="32" t="s">
        <v>361</v>
      </c>
      <c r="H73" s="3"/>
      <c r="I73" s="6">
        <v>46196</v>
      </c>
      <c r="J73" s="3" t="s">
        <v>11</v>
      </c>
      <c r="K73" s="28">
        <v>4</v>
      </c>
      <c r="L73" s="3"/>
      <c r="M73" s="3" t="s">
        <v>360</v>
      </c>
      <c r="N73" s="3" t="s">
        <v>365</v>
      </c>
      <c r="O73" s="3"/>
      <c r="P73" s="6">
        <v>46203</v>
      </c>
      <c r="Q73" s="3" t="s">
        <v>2</v>
      </c>
      <c r="R73" s="28">
        <v>182</v>
      </c>
      <c r="S73" s="3"/>
      <c r="T73" s="3" t="s">
        <v>358</v>
      </c>
      <c r="U73" s="3" t="s">
        <v>359</v>
      </c>
    </row>
    <row r="74" spans="1:21" x14ac:dyDescent="0.25">
      <c r="A74" s="3"/>
      <c r="B74" s="6">
        <v>46199</v>
      </c>
      <c r="C74" s="3" t="s">
        <v>3</v>
      </c>
      <c r="D74" s="28">
        <v>98</v>
      </c>
      <c r="E74" s="3"/>
      <c r="F74" s="3" t="s">
        <v>360</v>
      </c>
      <c r="G74" s="3" t="s">
        <v>362</v>
      </c>
      <c r="H74" s="3"/>
      <c r="I74" s="6">
        <v>46196</v>
      </c>
      <c r="J74" s="3" t="s">
        <v>9</v>
      </c>
      <c r="K74" s="28">
        <v>15</v>
      </c>
      <c r="L74" s="3"/>
      <c r="M74" s="3" t="s">
        <v>366</v>
      </c>
      <c r="N74" s="3" t="s">
        <v>361</v>
      </c>
      <c r="O74" s="3"/>
      <c r="P74" s="6">
        <v>46203</v>
      </c>
      <c r="Q74" s="3" t="s">
        <v>86</v>
      </c>
      <c r="R74" s="28">
        <v>60</v>
      </c>
      <c r="S74" s="3"/>
      <c r="T74" s="3" t="s">
        <v>370</v>
      </c>
      <c r="U74" s="3" t="s">
        <v>362</v>
      </c>
    </row>
    <row r="75" spans="1:21" x14ac:dyDescent="0.25">
      <c r="A75" s="3"/>
      <c r="B75" s="31">
        <v>46202</v>
      </c>
      <c r="C75" s="32" t="s">
        <v>3</v>
      </c>
      <c r="D75" s="33">
        <v>60</v>
      </c>
      <c r="E75" s="32"/>
      <c r="F75" s="32" t="s">
        <v>360</v>
      </c>
      <c r="G75" s="32" t="s">
        <v>362</v>
      </c>
      <c r="H75" s="3"/>
      <c r="I75" s="6">
        <v>46196</v>
      </c>
      <c r="J75" s="3" t="s">
        <v>98</v>
      </c>
      <c r="K75" s="28">
        <v>13</v>
      </c>
      <c r="L75" s="3"/>
      <c r="M75" s="3" t="s">
        <v>380</v>
      </c>
      <c r="N75" s="3" t="s">
        <v>361</v>
      </c>
      <c r="O75" s="3"/>
      <c r="P75" s="6">
        <v>46203</v>
      </c>
      <c r="Q75" s="3" t="s">
        <v>86</v>
      </c>
      <c r="R75" s="28">
        <v>80</v>
      </c>
      <c r="S75" s="3"/>
      <c r="T75" s="3" t="s">
        <v>370</v>
      </c>
      <c r="U75" s="3" t="s">
        <v>362</v>
      </c>
    </row>
    <row r="76" spans="1:21" x14ac:dyDescent="0.25">
      <c r="A76" s="3"/>
      <c r="B76" s="6">
        <v>46202</v>
      </c>
      <c r="C76" s="3" t="s">
        <v>75</v>
      </c>
      <c r="D76" s="28">
        <v>5</v>
      </c>
      <c r="E76" s="3"/>
      <c r="F76" s="3" t="s">
        <v>360</v>
      </c>
      <c r="G76" s="3" t="s">
        <v>361</v>
      </c>
      <c r="H76" s="3"/>
      <c r="I76" s="6">
        <v>46196</v>
      </c>
      <c r="J76" s="3" t="s">
        <v>2</v>
      </c>
      <c r="K76" s="28">
        <v>34</v>
      </c>
      <c r="L76" s="3"/>
      <c r="M76" s="3" t="s">
        <v>358</v>
      </c>
      <c r="N76" s="3" t="s">
        <v>359</v>
      </c>
      <c r="O76" s="3"/>
      <c r="P76" s="6">
        <v>46203</v>
      </c>
      <c r="Q76" s="3" t="s">
        <v>88</v>
      </c>
      <c r="R76" s="28">
        <v>36</v>
      </c>
      <c r="S76" s="3"/>
      <c r="T76" s="3" t="s">
        <v>370</v>
      </c>
      <c r="U76" s="3" t="s">
        <v>367</v>
      </c>
    </row>
    <row r="77" spans="1:21" x14ac:dyDescent="0.25">
      <c r="A77" s="3"/>
      <c r="B77" s="6">
        <v>46202</v>
      </c>
      <c r="C77" s="3" t="s">
        <v>73</v>
      </c>
      <c r="D77" s="28">
        <v>6</v>
      </c>
      <c r="E77" s="3"/>
      <c r="F77" s="3" t="s">
        <v>372</v>
      </c>
      <c r="G77" s="3" t="s">
        <v>379</v>
      </c>
      <c r="H77" s="3"/>
      <c r="I77" s="34">
        <v>46197</v>
      </c>
      <c r="J77" s="35" t="s">
        <v>2</v>
      </c>
      <c r="K77" s="36">
        <v>127</v>
      </c>
      <c r="L77" s="35"/>
      <c r="M77" s="35" t="s">
        <v>358</v>
      </c>
      <c r="N77" s="35" t="s">
        <v>359</v>
      </c>
      <c r="O77" s="3"/>
      <c r="P77" s="6">
        <v>46203</v>
      </c>
      <c r="Q77" s="3" t="s">
        <v>93</v>
      </c>
      <c r="R77" s="28">
        <v>5</v>
      </c>
      <c r="S77" s="3"/>
      <c r="T77" s="3" t="s">
        <v>376</v>
      </c>
      <c r="U77" s="3" t="s">
        <v>367</v>
      </c>
    </row>
    <row r="78" spans="1:21" x14ac:dyDescent="0.25">
      <c r="A78" s="3"/>
      <c r="B78" s="6">
        <v>46202</v>
      </c>
      <c r="C78" s="3" t="s">
        <v>74</v>
      </c>
      <c r="D78" s="28">
        <v>82</v>
      </c>
      <c r="E78" s="3"/>
      <c r="F78" s="3" t="s">
        <v>372</v>
      </c>
      <c r="G78" s="3" t="s">
        <v>378</v>
      </c>
      <c r="H78" s="3"/>
      <c r="I78" s="6">
        <v>46197</v>
      </c>
      <c r="J78" s="3" t="s">
        <v>9</v>
      </c>
      <c r="K78" s="28">
        <v>15</v>
      </c>
      <c r="L78" s="3"/>
      <c r="M78" s="3" t="s">
        <v>366</v>
      </c>
      <c r="N78" s="3" t="s">
        <v>361</v>
      </c>
      <c r="O78" s="3"/>
      <c r="P78" s="6">
        <v>46203</v>
      </c>
      <c r="Q78" s="3" t="s">
        <v>12</v>
      </c>
      <c r="R78" s="28">
        <v>4</v>
      </c>
      <c r="S78" s="3"/>
      <c r="T78" s="3" t="s">
        <v>364</v>
      </c>
      <c r="U78" s="3" t="s">
        <v>362</v>
      </c>
    </row>
    <row r="79" spans="1:21" x14ac:dyDescent="0.25">
      <c r="A79" s="3"/>
      <c r="B79" s="6">
        <v>46202</v>
      </c>
      <c r="C79" s="3" t="s">
        <v>69</v>
      </c>
      <c r="D79" s="28">
        <v>1</v>
      </c>
      <c r="E79" s="3"/>
      <c r="F79" s="3" t="s">
        <v>372</v>
      </c>
      <c r="G79" s="3" t="s">
        <v>367</v>
      </c>
      <c r="H79" s="3"/>
      <c r="I79" s="6">
        <v>46197</v>
      </c>
      <c r="J79" s="3" t="s">
        <v>76</v>
      </c>
      <c r="K79" s="28">
        <v>16</v>
      </c>
      <c r="L79" s="3"/>
      <c r="M79" s="3" t="s">
        <v>358</v>
      </c>
      <c r="N79" s="3" t="s">
        <v>371</v>
      </c>
      <c r="O79" s="3"/>
      <c r="P79" s="6">
        <v>46203</v>
      </c>
      <c r="Q79" s="3" t="s">
        <v>2</v>
      </c>
      <c r="R79" s="28">
        <v>90</v>
      </c>
      <c r="S79" s="3"/>
      <c r="T79" s="3" t="s">
        <v>358</v>
      </c>
      <c r="U79" s="3" t="s">
        <v>359</v>
      </c>
    </row>
    <row r="80" spans="1:21" x14ac:dyDescent="0.25">
      <c r="A80" s="3"/>
      <c r="B80" s="6">
        <v>46202</v>
      </c>
      <c r="C80" s="3" t="s">
        <v>368</v>
      </c>
      <c r="D80" s="28">
        <v>1</v>
      </c>
      <c r="E80" s="3"/>
      <c r="F80" s="3" t="s">
        <v>369</v>
      </c>
      <c r="G80" s="3" t="s">
        <v>362</v>
      </c>
      <c r="H80" s="3"/>
      <c r="I80" s="6">
        <v>46197</v>
      </c>
      <c r="J80" s="3" t="s">
        <v>3</v>
      </c>
      <c r="K80" s="28">
        <v>109</v>
      </c>
      <c r="L80" s="3"/>
      <c r="M80" s="3" t="s">
        <v>360</v>
      </c>
      <c r="N80" s="3" t="s">
        <v>362</v>
      </c>
      <c r="O80" s="3"/>
      <c r="P80" s="6"/>
      <c r="Q80" s="3"/>
      <c r="R80" s="28"/>
      <c r="S80" s="3"/>
      <c r="T80" s="3"/>
      <c r="U80" s="3"/>
    </row>
    <row r="81" spans="1:21" x14ac:dyDescent="0.25">
      <c r="A81" s="3"/>
      <c r="B81" s="6">
        <v>46202</v>
      </c>
      <c r="C81" s="3" t="s">
        <v>6</v>
      </c>
      <c r="D81" s="28">
        <v>71</v>
      </c>
      <c r="E81" s="3"/>
      <c r="F81" s="3" t="s">
        <v>360</v>
      </c>
      <c r="G81" s="3" t="s">
        <v>361</v>
      </c>
      <c r="H81" s="3"/>
      <c r="I81" s="34">
        <v>46198</v>
      </c>
      <c r="J81" s="35" t="s">
        <v>3</v>
      </c>
      <c r="K81" s="36">
        <v>43</v>
      </c>
      <c r="L81" s="35"/>
      <c r="M81" s="35" t="s">
        <v>360</v>
      </c>
      <c r="N81" s="35" t="s">
        <v>362</v>
      </c>
      <c r="O81" s="3"/>
      <c r="P81" s="6"/>
      <c r="Q81" s="3"/>
      <c r="R81" s="28"/>
      <c r="S81" s="3"/>
      <c r="T81" s="3"/>
      <c r="U81" s="3"/>
    </row>
    <row r="82" spans="1:21" x14ac:dyDescent="0.25">
      <c r="A82" s="3"/>
      <c r="B82" s="31">
        <v>46203</v>
      </c>
      <c r="C82" s="32" t="s">
        <v>6</v>
      </c>
      <c r="D82" s="33">
        <v>118</v>
      </c>
      <c r="E82" s="32"/>
      <c r="F82" s="32" t="s">
        <v>360</v>
      </c>
      <c r="G82" s="32" t="s">
        <v>361</v>
      </c>
      <c r="H82" s="3"/>
      <c r="I82" s="6">
        <v>46198</v>
      </c>
      <c r="J82" s="3" t="s">
        <v>2</v>
      </c>
      <c r="K82" s="28">
        <v>84</v>
      </c>
      <c r="L82" s="3"/>
      <c r="M82" s="3" t="s">
        <v>358</v>
      </c>
      <c r="N82" s="3" t="s">
        <v>359</v>
      </c>
      <c r="O82" s="3"/>
      <c r="P82" s="6"/>
      <c r="Q82" s="3"/>
      <c r="R82" s="28"/>
      <c r="S82" s="3"/>
      <c r="T82" s="3"/>
      <c r="U82" s="3"/>
    </row>
    <row r="83" spans="1:21" x14ac:dyDescent="0.25">
      <c r="A83" s="3"/>
      <c r="B83" s="6">
        <v>46203</v>
      </c>
      <c r="C83" s="3" t="s">
        <v>374</v>
      </c>
      <c r="D83" s="28">
        <v>5</v>
      </c>
      <c r="E83" s="3"/>
      <c r="F83" s="3" t="s">
        <v>375</v>
      </c>
      <c r="G83" s="3" t="s">
        <v>362</v>
      </c>
      <c r="H83" s="3"/>
      <c r="I83" s="6">
        <v>46198</v>
      </c>
      <c r="J83" s="3" t="s">
        <v>76</v>
      </c>
      <c r="K83" s="28">
        <v>16</v>
      </c>
      <c r="L83" s="3"/>
      <c r="M83" s="3" t="s">
        <v>358</v>
      </c>
      <c r="N83" s="3" t="s">
        <v>371</v>
      </c>
      <c r="O83" s="3"/>
      <c r="P83" s="6"/>
      <c r="Q83" s="3"/>
      <c r="R83" s="28"/>
      <c r="S83" s="3"/>
      <c r="T83" s="3"/>
      <c r="U83" s="3"/>
    </row>
    <row r="84" spans="1:21" x14ac:dyDescent="0.25">
      <c r="A84" s="3"/>
      <c r="B84" s="6">
        <v>46203</v>
      </c>
      <c r="C84" s="3" t="s">
        <v>3</v>
      </c>
      <c r="D84" s="28">
        <v>133</v>
      </c>
      <c r="E84" s="3"/>
      <c r="F84" s="3" t="s">
        <v>360</v>
      </c>
      <c r="G84" s="3" t="s">
        <v>362</v>
      </c>
      <c r="H84" s="3"/>
      <c r="I84" s="6">
        <v>46198</v>
      </c>
      <c r="J84" s="3" t="s">
        <v>8</v>
      </c>
      <c r="K84" s="28">
        <v>2</v>
      </c>
      <c r="L84" s="3"/>
      <c r="M84" s="3" t="s">
        <v>363</v>
      </c>
      <c r="N84" s="3" t="s">
        <v>365</v>
      </c>
      <c r="O84" s="3"/>
      <c r="P84" s="6"/>
      <c r="Q84" s="3"/>
      <c r="R84" s="28"/>
      <c r="S84" s="3"/>
      <c r="T84" s="3"/>
      <c r="U84" s="3"/>
    </row>
    <row r="85" spans="1:21" x14ac:dyDescent="0.25">
      <c r="A85" s="3"/>
      <c r="B85" s="31">
        <v>46204</v>
      </c>
      <c r="C85" s="32" t="s">
        <v>3</v>
      </c>
      <c r="D85" s="33">
        <v>53</v>
      </c>
      <c r="E85" s="32"/>
      <c r="F85" s="32" t="s">
        <v>360</v>
      </c>
      <c r="G85" s="32" t="s">
        <v>362</v>
      </c>
      <c r="H85" s="3"/>
      <c r="I85" s="6">
        <v>46198</v>
      </c>
      <c r="J85" s="3" t="s">
        <v>7</v>
      </c>
      <c r="K85" s="28">
        <v>21</v>
      </c>
      <c r="L85" s="3"/>
      <c r="M85" s="3" t="s">
        <v>363</v>
      </c>
      <c r="N85" s="3" t="s">
        <v>362</v>
      </c>
      <c r="O85" s="3"/>
      <c r="P85" s="6"/>
      <c r="Q85" s="3"/>
      <c r="R85" s="28"/>
      <c r="S85" s="3"/>
      <c r="T85" s="3"/>
      <c r="U85" s="3"/>
    </row>
    <row r="86" spans="1:21" x14ac:dyDescent="0.25">
      <c r="A86" s="3"/>
      <c r="B86" s="6">
        <v>46204</v>
      </c>
      <c r="C86" s="3" t="s">
        <v>6</v>
      </c>
      <c r="D86" s="28">
        <v>212</v>
      </c>
      <c r="E86" s="3"/>
      <c r="F86" s="3" t="s">
        <v>360</v>
      </c>
      <c r="G86" s="3" t="s">
        <v>361</v>
      </c>
      <c r="H86" s="3"/>
      <c r="I86" s="6">
        <v>46198</v>
      </c>
      <c r="J86" s="3" t="s">
        <v>98</v>
      </c>
      <c r="K86" s="28">
        <v>6</v>
      </c>
      <c r="L86" s="3"/>
      <c r="M86" s="3" t="s">
        <v>380</v>
      </c>
      <c r="N86" s="3" t="s">
        <v>361</v>
      </c>
      <c r="O86" s="3"/>
      <c r="P86" s="6"/>
      <c r="Q86" s="3"/>
      <c r="R86" s="28"/>
      <c r="S86" s="3"/>
      <c r="T86" s="3"/>
      <c r="U86" s="3"/>
    </row>
    <row r="87" spans="1:21" x14ac:dyDescent="0.25">
      <c r="A87" s="3"/>
      <c r="B87" s="31">
        <v>46205</v>
      </c>
      <c r="C87" s="32" t="s">
        <v>6</v>
      </c>
      <c r="D87" s="33">
        <v>117</v>
      </c>
      <c r="E87" s="32"/>
      <c r="F87" s="32" t="s">
        <v>360</v>
      </c>
      <c r="G87" s="32" t="s">
        <v>361</v>
      </c>
      <c r="H87" s="3"/>
      <c r="I87" s="6">
        <v>46198</v>
      </c>
      <c r="J87" s="3" t="s">
        <v>9</v>
      </c>
      <c r="K87" s="28">
        <v>30</v>
      </c>
      <c r="L87" s="3"/>
      <c r="M87" s="3" t="s">
        <v>366</v>
      </c>
      <c r="N87" s="3" t="s">
        <v>361</v>
      </c>
      <c r="O87" s="3"/>
      <c r="P87" s="6"/>
      <c r="Q87" s="3"/>
      <c r="R87" s="28"/>
      <c r="S87" s="3"/>
      <c r="T87" s="3"/>
      <c r="U87" s="3"/>
    </row>
    <row r="88" spans="1:21" x14ac:dyDescent="0.25">
      <c r="A88" s="3"/>
      <c r="B88" s="6">
        <v>46205</v>
      </c>
      <c r="C88" s="3" t="s">
        <v>3</v>
      </c>
      <c r="D88" s="28">
        <v>125</v>
      </c>
      <c r="E88" s="3"/>
      <c r="F88" s="3" t="s">
        <v>360</v>
      </c>
      <c r="G88" s="3" t="s">
        <v>362</v>
      </c>
      <c r="H88" s="3"/>
      <c r="I88" s="6">
        <v>46198</v>
      </c>
      <c r="J88" s="3" t="s">
        <v>2</v>
      </c>
      <c r="K88" s="28">
        <v>18</v>
      </c>
      <c r="L88" s="3"/>
      <c r="M88" s="3" t="s">
        <v>358</v>
      </c>
      <c r="N88" s="3" t="s">
        <v>359</v>
      </c>
      <c r="O88" s="3"/>
      <c r="P88" s="6"/>
      <c r="Q88" s="3"/>
      <c r="R88" s="28"/>
      <c r="S88" s="3"/>
      <c r="T88" s="3"/>
      <c r="U88" s="3"/>
    </row>
    <row r="89" spans="1:21" x14ac:dyDescent="0.25">
      <c r="A89" s="3"/>
      <c r="B89" s="31">
        <v>46206</v>
      </c>
      <c r="C89" s="32" t="s">
        <v>3</v>
      </c>
      <c r="D89" s="33">
        <v>60</v>
      </c>
      <c r="E89" s="32"/>
      <c r="F89" s="32" t="s">
        <v>360</v>
      </c>
      <c r="G89" s="32" t="s">
        <v>362</v>
      </c>
      <c r="H89" s="3"/>
      <c r="I89" s="34">
        <v>46199</v>
      </c>
      <c r="J89" s="35" t="s">
        <v>2</v>
      </c>
      <c r="K89" s="36">
        <v>48</v>
      </c>
      <c r="L89" s="35"/>
      <c r="M89" s="35" t="s">
        <v>358</v>
      </c>
      <c r="N89" s="35" t="s">
        <v>359</v>
      </c>
      <c r="O89" s="3"/>
      <c r="P89" s="6"/>
      <c r="Q89" s="3"/>
      <c r="R89" s="28"/>
      <c r="S89" s="3"/>
      <c r="T89" s="3"/>
      <c r="U89" s="3"/>
    </row>
    <row r="90" spans="1:21" x14ac:dyDescent="0.25">
      <c r="A90" s="3"/>
      <c r="B90" s="6">
        <v>46206</v>
      </c>
      <c r="C90" s="3" t="s">
        <v>6</v>
      </c>
      <c r="D90" s="28">
        <v>123</v>
      </c>
      <c r="E90" s="3"/>
      <c r="F90" s="3" t="s">
        <v>360</v>
      </c>
      <c r="G90" s="3" t="s">
        <v>361</v>
      </c>
      <c r="H90" s="3"/>
      <c r="I90" s="6">
        <v>46199</v>
      </c>
      <c r="J90" s="3" t="s">
        <v>94</v>
      </c>
      <c r="K90" s="28">
        <v>35</v>
      </c>
      <c r="L90" s="3"/>
      <c r="M90" s="3" t="s">
        <v>377</v>
      </c>
      <c r="N90" s="3" t="s">
        <v>367</v>
      </c>
      <c r="O90" s="3"/>
      <c r="P90" s="6"/>
      <c r="Q90" s="3"/>
      <c r="R90" s="28"/>
      <c r="S90" s="3"/>
      <c r="T90" s="3"/>
      <c r="U90" s="3"/>
    </row>
    <row r="91" spans="1:21" x14ac:dyDescent="0.25">
      <c r="A91" s="3"/>
      <c r="B91" s="6">
        <v>46206</v>
      </c>
      <c r="C91" s="3" t="s">
        <v>69</v>
      </c>
      <c r="D91" s="28">
        <v>33</v>
      </c>
      <c r="E91" s="3"/>
      <c r="F91" s="3" t="s">
        <v>372</v>
      </c>
      <c r="G91" s="3" t="s">
        <v>367</v>
      </c>
      <c r="H91" s="3"/>
      <c r="I91" s="6">
        <v>46199</v>
      </c>
      <c r="J91" s="3" t="s">
        <v>98</v>
      </c>
      <c r="K91" s="28">
        <v>6</v>
      </c>
      <c r="L91" s="3"/>
      <c r="M91" s="3" t="s">
        <v>380</v>
      </c>
      <c r="N91" s="3" t="s">
        <v>361</v>
      </c>
      <c r="O91" s="3"/>
      <c r="P91" s="6"/>
      <c r="Q91" s="3"/>
      <c r="R91" s="28"/>
      <c r="S91" s="3"/>
      <c r="T91" s="3"/>
      <c r="U91" s="3"/>
    </row>
    <row r="92" spans="1:21" x14ac:dyDescent="0.25">
      <c r="A92" s="3"/>
      <c r="B92" s="6"/>
      <c r="C92" s="3"/>
      <c r="D92" s="28"/>
      <c r="E92" s="3"/>
      <c r="F92" s="3"/>
      <c r="G92" s="3"/>
      <c r="H92" s="3"/>
      <c r="I92" s="6">
        <v>46199</v>
      </c>
      <c r="J92" s="3" t="s">
        <v>3</v>
      </c>
      <c r="K92" s="28">
        <v>76</v>
      </c>
      <c r="L92" s="3"/>
      <c r="M92" s="3" t="s">
        <v>360</v>
      </c>
      <c r="N92" s="3" t="s">
        <v>362</v>
      </c>
      <c r="O92" s="3"/>
      <c r="P92" s="6"/>
      <c r="Q92" s="3"/>
      <c r="R92" s="28"/>
      <c r="S92" s="3"/>
      <c r="T92" s="3"/>
      <c r="U92" s="3"/>
    </row>
    <row r="93" spans="1:21" x14ac:dyDescent="0.25">
      <c r="A93" s="3"/>
      <c r="B93" s="6"/>
      <c r="C93" s="3"/>
      <c r="D93" s="28"/>
      <c r="E93" s="3"/>
      <c r="F93" s="3"/>
      <c r="G93" s="3"/>
      <c r="H93" s="3"/>
      <c r="I93" s="6">
        <v>46199</v>
      </c>
      <c r="J93" s="3" t="s">
        <v>12</v>
      </c>
      <c r="K93" s="28">
        <v>10</v>
      </c>
      <c r="L93" s="3"/>
      <c r="M93" s="3" t="s">
        <v>364</v>
      </c>
      <c r="N93" s="3" t="s">
        <v>362</v>
      </c>
      <c r="O93" s="3"/>
      <c r="P93" s="6"/>
      <c r="Q93" s="3"/>
      <c r="R93" s="28"/>
      <c r="S93" s="3"/>
      <c r="T93" s="3"/>
      <c r="U93" s="3"/>
    </row>
    <row r="94" spans="1:21" x14ac:dyDescent="0.25">
      <c r="A94" s="3"/>
      <c r="B94" s="6"/>
      <c r="C94" s="3"/>
      <c r="D94" s="28"/>
      <c r="E94" s="3"/>
      <c r="F94" s="3"/>
      <c r="G94" s="3"/>
      <c r="H94" s="3"/>
      <c r="I94" s="6">
        <v>46199</v>
      </c>
      <c r="J94" s="3" t="s">
        <v>76</v>
      </c>
      <c r="K94" s="28">
        <v>49</v>
      </c>
      <c r="L94" s="3"/>
      <c r="M94" s="3" t="s">
        <v>358</v>
      </c>
      <c r="N94" s="3" t="s">
        <v>371</v>
      </c>
      <c r="O94" s="3"/>
      <c r="P94" s="6"/>
      <c r="Q94" s="3"/>
      <c r="R94" s="28"/>
      <c r="S94" s="3"/>
      <c r="T94" s="3"/>
      <c r="U94" s="3"/>
    </row>
    <row r="95" spans="1:21" x14ac:dyDescent="0.25">
      <c r="A95" s="3"/>
      <c r="B95" s="6"/>
      <c r="C95" s="3"/>
      <c r="D95" s="28"/>
      <c r="E95" s="3"/>
      <c r="F95" s="3"/>
      <c r="G95" s="3"/>
      <c r="H95" s="3"/>
      <c r="I95" s="34">
        <v>46202</v>
      </c>
      <c r="J95" s="35" t="s">
        <v>76</v>
      </c>
      <c r="K95" s="36">
        <v>12</v>
      </c>
      <c r="L95" s="35"/>
      <c r="M95" s="35" t="s">
        <v>358</v>
      </c>
      <c r="N95" s="35" t="s">
        <v>371</v>
      </c>
      <c r="O95" s="3"/>
      <c r="P95" s="6"/>
      <c r="Q95" s="3"/>
      <c r="R95" s="28"/>
      <c r="S95" s="3"/>
      <c r="T95" s="3"/>
      <c r="U95" s="3"/>
    </row>
    <row r="96" spans="1:21" x14ac:dyDescent="0.25">
      <c r="A96" s="3"/>
      <c r="B96" s="6"/>
      <c r="C96" s="3"/>
      <c r="D96" s="28"/>
      <c r="E96" s="3"/>
      <c r="F96" s="3"/>
      <c r="G96" s="3"/>
      <c r="H96" s="3"/>
      <c r="I96" s="6">
        <v>46202</v>
      </c>
      <c r="J96" s="3" t="s">
        <v>3</v>
      </c>
      <c r="K96" s="28">
        <v>61</v>
      </c>
      <c r="L96" s="3"/>
      <c r="M96" s="3" t="s">
        <v>360</v>
      </c>
      <c r="N96" s="3" t="s">
        <v>362</v>
      </c>
      <c r="O96" s="3"/>
      <c r="P96" s="6"/>
      <c r="Q96" s="3"/>
      <c r="R96" s="28"/>
      <c r="S96" s="3"/>
      <c r="T96" s="3"/>
      <c r="U96" s="3"/>
    </row>
    <row r="97" spans="1:21" x14ac:dyDescent="0.25">
      <c r="A97" s="3"/>
      <c r="B97" s="6"/>
      <c r="C97" s="3"/>
      <c r="D97" s="28"/>
      <c r="E97" s="3"/>
      <c r="F97" s="3"/>
      <c r="G97" s="3"/>
      <c r="H97" s="3"/>
      <c r="I97" s="6">
        <v>46202</v>
      </c>
      <c r="J97" s="3" t="s">
        <v>98</v>
      </c>
      <c r="K97" s="28">
        <v>11</v>
      </c>
      <c r="L97" s="3"/>
      <c r="M97" s="3" t="s">
        <v>380</v>
      </c>
      <c r="N97" s="3" t="s">
        <v>361</v>
      </c>
      <c r="O97" s="3"/>
      <c r="P97" s="6"/>
      <c r="Q97" s="3"/>
      <c r="R97" s="28"/>
      <c r="S97" s="3"/>
      <c r="T97" s="3"/>
      <c r="U97" s="3"/>
    </row>
    <row r="98" spans="1:21" x14ac:dyDescent="0.25">
      <c r="A98" s="3"/>
      <c r="B98" s="6"/>
      <c r="C98" s="3"/>
      <c r="D98" s="28"/>
      <c r="E98" s="3"/>
      <c r="F98" s="3"/>
      <c r="G98" s="3"/>
      <c r="H98" s="3"/>
      <c r="I98" s="6">
        <v>46202</v>
      </c>
      <c r="J98" s="3" t="s">
        <v>9</v>
      </c>
      <c r="K98" s="28">
        <v>43</v>
      </c>
      <c r="L98" s="3"/>
      <c r="M98" s="3" t="s">
        <v>366</v>
      </c>
      <c r="N98" s="3" t="s">
        <v>361</v>
      </c>
      <c r="O98" s="3"/>
      <c r="P98" s="6"/>
      <c r="Q98" s="3"/>
      <c r="R98" s="28"/>
      <c r="S98" s="3"/>
      <c r="T98" s="3"/>
      <c r="U98" s="3"/>
    </row>
    <row r="99" spans="1:21" x14ac:dyDescent="0.25">
      <c r="A99" s="3"/>
      <c r="B99" s="6"/>
      <c r="C99" s="3"/>
      <c r="D99" s="28"/>
      <c r="E99" s="3"/>
      <c r="F99" s="3"/>
      <c r="G99" s="3"/>
      <c r="H99" s="3"/>
      <c r="I99" s="6">
        <v>46202</v>
      </c>
      <c r="J99" s="3" t="s">
        <v>85</v>
      </c>
      <c r="K99" s="28">
        <v>17</v>
      </c>
      <c r="L99" s="3"/>
      <c r="M99" s="3" t="s">
        <v>370</v>
      </c>
      <c r="N99" s="3" t="s">
        <v>361</v>
      </c>
      <c r="O99" s="3"/>
      <c r="P99" s="6"/>
      <c r="Q99" s="3"/>
      <c r="R99" s="28"/>
      <c r="S99" s="3"/>
      <c r="T99" s="3"/>
      <c r="U99" s="3"/>
    </row>
    <row r="100" spans="1:21" x14ac:dyDescent="0.25">
      <c r="A100" s="3"/>
      <c r="B100" s="6"/>
      <c r="C100" s="3"/>
      <c r="D100" s="28"/>
      <c r="E100" s="3"/>
      <c r="F100" s="3"/>
      <c r="G100" s="3"/>
      <c r="H100" s="3"/>
      <c r="I100" s="6">
        <v>46202</v>
      </c>
      <c r="J100" s="3" t="s">
        <v>2</v>
      </c>
      <c r="K100" s="28">
        <v>81</v>
      </c>
      <c r="L100" s="3"/>
      <c r="M100" s="3" t="s">
        <v>358</v>
      </c>
      <c r="N100" s="3" t="s">
        <v>359</v>
      </c>
      <c r="O100" s="3"/>
      <c r="P100" s="6"/>
      <c r="Q100" s="3"/>
      <c r="R100" s="28"/>
      <c r="S100" s="3"/>
      <c r="T100" s="3"/>
      <c r="U100" s="3"/>
    </row>
    <row r="101" spans="1:21" x14ac:dyDescent="0.25">
      <c r="A101" s="3"/>
      <c r="B101" s="6"/>
      <c r="C101" s="3"/>
      <c r="D101" s="28"/>
      <c r="E101" s="3"/>
      <c r="F101" s="3"/>
      <c r="G101" s="3"/>
      <c r="H101" s="3"/>
      <c r="I101" s="34">
        <v>46203</v>
      </c>
      <c r="J101" s="35" t="s">
        <v>2</v>
      </c>
      <c r="K101" s="36">
        <v>34</v>
      </c>
      <c r="L101" s="35"/>
      <c r="M101" s="35" t="s">
        <v>358</v>
      </c>
      <c r="N101" s="35" t="s">
        <v>359</v>
      </c>
      <c r="O101" s="3"/>
      <c r="P101" s="6"/>
      <c r="Q101" s="3"/>
      <c r="R101" s="28"/>
      <c r="S101" s="3"/>
      <c r="T101" s="3"/>
      <c r="U101" s="3"/>
    </row>
    <row r="102" spans="1:21" x14ac:dyDescent="0.25">
      <c r="A102" s="3"/>
      <c r="B102" s="6"/>
      <c r="C102" s="3"/>
      <c r="D102" s="28"/>
      <c r="E102" s="3"/>
      <c r="F102" s="3"/>
      <c r="G102" s="3"/>
      <c r="H102" s="3"/>
      <c r="I102" s="6">
        <v>46203</v>
      </c>
      <c r="J102" s="3" t="s">
        <v>3</v>
      </c>
      <c r="K102" s="28">
        <v>61</v>
      </c>
      <c r="L102" s="3"/>
      <c r="M102" s="3" t="s">
        <v>360</v>
      </c>
      <c r="N102" s="3" t="s">
        <v>362</v>
      </c>
      <c r="O102" s="3"/>
      <c r="P102" s="6"/>
      <c r="Q102" s="3"/>
      <c r="R102" s="28"/>
      <c r="S102" s="3"/>
      <c r="T102" s="3"/>
      <c r="U102" s="3"/>
    </row>
    <row r="103" spans="1:21" x14ac:dyDescent="0.25">
      <c r="A103" s="3"/>
      <c r="B103" s="6"/>
      <c r="C103" s="3"/>
      <c r="D103" s="28"/>
      <c r="E103" s="3"/>
      <c r="F103" s="3"/>
      <c r="G103" s="3"/>
      <c r="H103" s="3"/>
      <c r="I103" s="6">
        <v>46203</v>
      </c>
      <c r="J103" s="3" t="s">
        <v>11</v>
      </c>
      <c r="K103" s="28">
        <v>5</v>
      </c>
      <c r="L103" s="3"/>
      <c r="M103" s="3" t="s">
        <v>360</v>
      </c>
      <c r="N103" s="3" t="s">
        <v>365</v>
      </c>
      <c r="O103" s="3"/>
      <c r="P103" s="6"/>
      <c r="Q103" s="3"/>
      <c r="R103" s="28"/>
      <c r="S103" s="3"/>
      <c r="T103" s="3"/>
      <c r="U103" s="3"/>
    </row>
    <row r="104" spans="1:21" x14ac:dyDescent="0.25">
      <c r="A104" s="3"/>
      <c r="B104" s="6"/>
      <c r="C104" s="3"/>
      <c r="D104" s="28"/>
      <c r="E104" s="3"/>
      <c r="F104" s="3"/>
      <c r="G104" s="3"/>
      <c r="H104" s="3"/>
      <c r="I104" s="6">
        <v>46203</v>
      </c>
      <c r="J104" s="3" t="s">
        <v>76</v>
      </c>
      <c r="K104" s="28">
        <v>45</v>
      </c>
      <c r="L104" s="3"/>
      <c r="M104" s="3" t="s">
        <v>358</v>
      </c>
      <c r="N104" s="3" t="s">
        <v>371</v>
      </c>
      <c r="O104" s="3"/>
      <c r="P104" s="6"/>
      <c r="Q104" s="3"/>
      <c r="R104" s="28"/>
      <c r="S104" s="3"/>
      <c r="T104" s="3"/>
      <c r="U104" s="3"/>
    </row>
    <row r="105" spans="1:21" x14ac:dyDescent="0.25">
      <c r="A105" s="3"/>
      <c r="B105" s="6"/>
      <c r="C105" s="3"/>
      <c r="D105" s="28"/>
      <c r="E105" s="3"/>
      <c r="F105" s="3"/>
      <c r="G105" s="3"/>
      <c r="H105" s="3"/>
      <c r="I105" s="6">
        <v>46203</v>
      </c>
      <c r="J105" s="3" t="s">
        <v>98</v>
      </c>
      <c r="K105" s="28">
        <v>11</v>
      </c>
      <c r="L105" s="3"/>
      <c r="M105" s="3" t="s">
        <v>380</v>
      </c>
      <c r="N105" s="3" t="s">
        <v>361</v>
      </c>
      <c r="O105" s="3"/>
      <c r="P105" s="6"/>
      <c r="Q105" s="3"/>
      <c r="R105" s="28"/>
      <c r="S105" s="3"/>
      <c r="T105" s="3"/>
      <c r="U105" s="3"/>
    </row>
    <row r="106" spans="1:21" x14ac:dyDescent="0.25">
      <c r="A106" s="3"/>
      <c r="B106" s="6"/>
      <c r="C106" s="3"/>
      <c r="D106" s="28"/>
      <c r="E106" s="3"/>
      <c r="F106" s="3"/>
      <c r="G106" s="3"/>
      <c r="H106" s="3"/>
      <c r="I106" s="6">
        <v>46203</v>
      </c>
      <c r="J106" s="3" t="s">
        <v>85</v>
      </c>
      <c r="K106" s="28">
        <v>17</v>
      </c>
      <c r="L106" s="3"/>
      <c r="M106" s="3" t="s">
        <v>370</v>
      </c>
      <c r="N106" s="3" t="s">
        <v>361</v>
      </c>
      <c r="O106" s="3"/>
      <c r="P106" s="6"/>
      <c r="Q106" s="3"/>
      <c r="R106" s="28"/>
      <c r="S106" s="3"/>
      <c r="T106" s="3"/>
      <c r="U106" s="3"/>
    </row>
    <row r="107" spans="1:21" x14ac:dyDescent="0.25">
      <c r="A107" s="3"/>
      <c r="B107" s="6"/>
      <c r="C107" s="3"/>
      <c r="D107" s="28"/>
      <c r="E107" s="3"/>
      <c r="F107" s="3"/>
      <c r="G107" s="3"/>
      <c r="H107" s="3"/>
      <c r="I107" s="6">
        <v>46203</v>
      </c>
      <c r="J107" s="3" t="s">
        <v>9</v>
      </c>
      <c r="K107" s="28">
        <v>83</v>
      </c>
      <c r="L107" s="3"/>
      <c r="M107" s="3" t="s">
        <v>366</v>
      </c>
      <c r="N107" s="3" t="s">
        <v>361</v>
      </c>
      <c r="O107" s="3"/>
      <c r="P107" s="6"/>
      <c r="Q107" s="3"/>
      <c r="R107" s="28"/>
      <c r="S107" s="3"/>
      <c r="T107" s="3"/>
      <c r="U107" s="3"/>
    </row>
    <row r="108" spans="1:21" x14ac:dyDescent="0.25">
      <c r="I108"/>
      <c r="P108"/>
    </row>
  </sheetData>
  <autoFilter ref="A2:U108" xr:uid="{397F9EDB-3DB4-464E-96B4-180B96F2DDC0}"/>
  <mergeCells count="3">
    <mergeCell ref="A1:G1"/>
    <mergeCell ref="H1:N1"/>
    <mergeCell ref="O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atefillup">
                <anchor moveWithCells="1" sizeWithCells="1">
                  <from>
                    <xdr:col>21</xdr:col>
                    <xdr:colOff>142875</xdr:colOff>
                    <xdr:row>0</xdr:row>
                    <xdr:rowOff>104775</xdr:rowOff>
                  </from>
                  <to>
                    <xdr:col>22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Structure</vt:lpstr>
      <vt:lpstr>Sheet1</vt:lpstr>
      <vt:lpstr>Simulator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Nattachai Rungchate</cp:lastModifiedBy>
  <dcterms:created xsi:type="dcterms:W3CDTF">2026-06-06T04:21:11Z</dcterms:created>
  <dcterms:modified xsi:type="dcterms:W3CDTF">2026-06-06T15:22:20Z</dcterms:modified>
</cp:coreProperties>
</file>