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00022\Desktop\260610\"/>
    </mc:Choice>
  </mc:AlternateContent>
  <xr:revisionPtr revIDLastSave="0" documentId="13_ncr:1_{B3ECEC70-33D7-4CDD-9214-E9B5027A1840}" xr6:coauthVersionLast="47" xr6:coauthVersionMax="47" xr10:uidLastSave="{00000000-0000-0000-0000-000000000000}"/>
  <bookViews>
    <workbookView xWindow="-120" yWindow="-120" windowWidth="29040" windowHeight="15720" activeTab="6" xr2:uid="{CBFFEFB1-F3AA-47B9-8D58-B00F34FBC083}"/>
  </bookViews>
  <sheets>
    <sheet name="Structure" sheetId="4" r:id="rId1"/>
    <sheet name="SMT_FG_UnitNo" sheetId="20" r:id="rId2"/>
    <sheet name="Mercury" sheetId="24" r:id="rId3"/>
    <sheet name="Listup" sheetId="1" r:id="rId4"/>
    <sheet name="Result_20260607_100821" sheetId="18" state="hidden" r:id="rId5"/>
    <sheet name="Progress" sheetId="23" r:id="rId6"/>
    <sheet name="Simulator" sheetId="2" r:id="rId7"/>
  </sheets>
  <externalReferences>
    <externalReference r:id="rId8"/>
  </externalReferences>
  <definedNames>
    <definedName name="_DATE">#REF!</definedName>
    <definedName name="_DBNAME">#REF!</definedName>
    <definedName name="_DBPATH">#REF!</definedName>
    <definedName name="_xlnm._FilterDatabase" localSheetId="3" hidden="1">Listup!$A$1:$D$928</definedName>
    <definedName name="_xlnm._FilterDatabase" localSheetId="2" hidden="1">Mercury!$A$4:$AE$272</definedName>
    <definedName name="_xlnm._FilterDatabase" localSheetId="1" hidden="1">SMT_FG_UnitNo!$A$1:$D$55</definedName>
    <definedName name="_MERCURY">#REF!</definedName>
    <definedName name="_NAME">#REF!</definedName>
    <definedName name="_OUTPUT">#REF!</definedName>
    <definedName name="_PRIORITY">#REF!</definedName>
    <definedName name="_QTY">#REF!</definedName>
    <definedName name="CalendarYear">[1]January!$K$3</definedName>
    <definedName name="ColumnTitleRegion1..H12.1">#REF!</definedName>
    <definedName name="ColumnTitleRegion1..H12.10">#REF!</definedName>
    <definedName name="ColumnTitleRegion1..H12.11">#REF!</definedName>
    <definedName name="ColumnTitleRegion1..H12.12">#REF!</definedName>
    <definedName name="ColumnTitleRegion1..H12.2">#REF!</definedName>
    <definedName name="ColumnTitleRegion1..H12.3">#REF!</definedName>
    <definedName name="ColumnTitleRegion1..H12.5">#REF!</definedName>
    <definedName name="ColumnTitleRegion1..H12.6">#REF!</definedName>
    <definedName name="ColumnTitleRegion1..H12.7">#REF!</definedName>
    <definedName name="ColumnTitleRegion1..H12.8">#REF!</definedName>
    <definedName name="ColumnTitleRegion1..H12.9">#REF!</definedName>
    <definedName name="ColumnTitleRegion2..C14.1">#REF!</definedName>
    <definedName name="ColumnTitleRegion2..C14.10">#REF!</definedName>
    <definedName name="ColumnTitleRegion2..C14.11">#REF!</definedName>
    <definedName name="ColumnTitleRegion2..C14.12">#REF!</definedName>
    <definedName name="ColumnTitleRegion2..C14.2">#REF!</definedName>
    <definedName name="ColumnTitleRegion2..C14.3">#REF!</definedName>
    <definedName name="ColumnTitleRegion2..C14.5">#REF!</definedName>
    <definedName name="ColumnTitleRegion2..C14.6">#REF!</definedName>
    <definedName name="ColumnTitleRegion2..C14.7">#REF!</definedName>
    <definedName name="ColumnTitleRegion2..C14.8">#REF!</definedName>
    <definedName name="ColumnTitleRegion2..C14.9">#REF!</definedName>
    <definedName name="DaysAndWeeks">{0,1,2,3,4,5,6} + {0;1;2;3;4;5}*7</definedName>
    <definedName name="WeekStart">[1]January!$K$4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X4" i="2" l="1"/>
  <c r="CD1" i="2" l="1"/>
  <c r="CE1" i="2"/>
  <c r="CF1" i="2"/>
  <c r="CF4" i="2" s="1"/>
  <c r="CG1" i="2"/>
  <c r="CH1" i="2"/>
  <c r="CH4" i="2" s="1"/>
  <c r="CI1" i="2"/>
  <c r="CJ1" i="2"/>
  <c r="CK1" i="2"/>
  <c r="CL1" i="2"/>
  <c r="CL4" i="2" s="1"/>
  <c r="CM1" i="2"/>
  <c r="CM4" i="2" s="1"/>
  <c r="CN1" i="2"/>
  <c r="CN4" i="2" s="1"/>
  <c r="CO1" i="2"/>
  <c r="CP1" i="2"/>
  <c r="CQ1" i="2"/>
  <c r="CR1" i="2"/>
  <c r="CR4" i="2" s="1"/>
  <c r="CS1" i="2"/>
  <c r="CS4" i="2" s="1"/>
  <c r="CT1" i="2"/>
  <c r="CT4" i="2" s="1"/>
  <c r="CU1" i="2"/>
  <c r="CV1" i="2"/>
  <c r="CW1" i="2"/>
  <c r="CX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BP1" i="2"/>
  <c r="AO44" i="2"/>
  <c r="AP44" i="2"/>
  <c r="AQ44" i="2"/>
  <c r="AO45" i="2"/>
  <c r="AP45" i="2"/>
  <c r="AQ45" i="2"/>
  <c r="AO46" i="2"/>
  <c r="AP46" i="2"/>
  <c r="AQ46" i="2"/>
  <c r="AO47" i="2"/>
  <c r="AP47" i="2"/>
  <c r="AQ47" i="2"/>
  <c r="AO48" i="2"/>
  <c r="AP48" i="2"/>
  <c r="AQ48" i="2"/>
  <c r="AO49" i="2"/>
  <c r="AP49" i="2"/>
  <c r="AQ49" i="2"/>
  <c r="AO50" i="2"/>
  <c r="AP50" i="2"/>
  <c r="AQ50" i="2"/>
  <c r="AO51" i="2"/>
  <c r="AP51" i="2"/>
  <c r="AQ51" i="2"/>
  <c r="AO52" i="2"/>
  <c r="AP52" i="2"/>
  <c r="AQ52" i="2"/>
  <c r="AO53" i="2"/>
  <c r="AP53" i="2"/>
  <c r="AQ53" i="2"/>
  <c r="AO54" i="2"/>
  <c r="AP54" i="2"/>
  <c r="AQ54" i="2"/>
  <c r="AO55" i="2"/>
  <c r="AP55" i="2"/>
  <c r="AQ55" i="2"/>
  <c r="AO56" i="2"/>
  <c r="AP56" i="2"/>
  <c r="AQ56" i="2"/>
  <c r="AO57" i="2"/>
  <c r="AP57" i="2"/>
  <c r="AQ57" i="2"/>
  <c r="AO58" i="2"/>
  <c r="AP58" i="2"/>
  <c r="AQ58" i="2"/>
  <c r="AO59" i="2"/>
  <c r="AP59" i="2"/>
  <c r="AQ59" i="2"/>
  <c r="AO60" i="2"/>
  <c r="AP60" i="2"/>
  <c r="AQ60" i="2"/>
  <c r="AO61" i="2"/>
  <c r="AP61" i="2"/>
  <c r="AQ61" i="2"/>
  <c r="AO62" i="2"/>
  <c r="AP62" i="2"/>
  <c r="AQ62" i="2"/>
  <c r="AO63" i="2"/>
  <c r="AP63" i="2"/>
  <c r="AQ63" i="2"/>
  <c r="AO64" i="2"/>
  <c r="AP64" i="2"/>
  <c r="AQ64" i="2"/>
  <c r="AO65" i="2"/>
  <c r="AP65" i="2"/>
  <c r="AQ65" i="2"/>
  <c r="AO66" i="2"/>
  <c r="AP66" i="2"/>
  <c r="AQ66" i="2"/>
  <c r="AO67" i="2"/>
  <c r="AP67" i="2"/>
  <c r="AQ67" i="2"/>
  <c r="AO68" i="2"/>
  <c r="AP68" i="2"/>
  <c r="AQ68" i="2"/>
  <c r="AO69" i="2"/>
  <c r="AP69" i="2"/>
  <c r="AQ69" i="2"/>
  <c r="AO70" i="2"/>
  <c r="AP70" i="2"/>
  <c r="AQ70" i="2"/>
  <c r="AO71" i="2"/>
  <c r="AP71" i="2"/>
  <c r="AQ71" i="2"/>
  <c r="AO72" i="2"/>
  <c r="AP72" i="2"/>
  <c r="AQ72" i="2"/>
  <c r="AO73" i="2"/>
  <c r="AP73" i="2"/>
  <c r="AQ73" i="2"/>
  <c r="AO74" i="2"/>
  <c r="AP74" i="2"/>
  <c r="AQ74" i="2"/>
  <c r="AO75" i="2"/>
  <c r="AP75" i="2"/>
  <c r="AQ75" i="2"/>
  <c r="AO76" i="2"/>
  <c r="AP76" i="2"/>
  <c r="AQ76" i="2"/>
  <c r="AO77" i="2"/>
  <c r="AP77" i="2"/>
  <c r="AQ77" i="2"/>
  <c r="AO78" i="2"/>
  <c r="AP78" i="2"/>
  <c r="AQ78" i="2"/>
  <c r="AO79" i="2"/>
  <c r="AP79" i="2"/>
  <c r="AQ79" i="2"/>
  <c r="AO80" i="2"/>
  <c r="AP80" i="2"/>
  <c r="AQ80" i="2"/>
  <c r="AO81" i="2"/>
  <c r="AP81" i="2"/>
  <c r="AQ81" i="2"/>
  <c r="AO82" i="2"/>
  <c r="AP82" i="2"/>
  <c r="AQ82" i="2"/>
  <c r="AO83" i="2"/>
  <c r="AP83" i="2"/>
  <c r="AQ83" i="2"/>
  <c r="AO84" i="2"/>
  <c r="AP84" i="2"/>
  <c r="AQ84" i="2"/>
  <c r="AO85" i="2"/>
  <c r="AP85" i="2"/>
  <c r="AQ85" i="2"/>
  <c r="AO86" i="2"/>
  <c r="AP86" i="2"/>
  <c r="AQ86" i="2"/>
  <c r="AO87" i="2"/>
  <c r="AP87" i="2"/>
  <c r="AQ87" i="2"/>
  <c r="AO88" i="2"/>
  <c r="AP88" i="2"/>
  <c r="AQ88" i="2"/>
  <c r="AO89" i="2"/>
  <c r="AP89" i="2"/>
  <c r="AQ89" i="2"/>
  <c r="AO90" i="2"/>
  <c r="AP90" i="2"/>
  <c r="AQ90" i="2"/>
  <c r="AO91" i="2"/>
  <c r="AP91" i="2"/>
  <c r="AQ91" i="2"/>
  <c r="AO92" i="2"/>
  <c r="AP92" i="2"/>
  <c r="AQ92" i="2"/>
  <c r="AO93" i="2"/>
  <c r="AP93" i="2"/>
  <c r="AQ93" i="2"/>
  <c r="AO94" i="2"/>
  <c r="AP94" i="2"/>
  <c r="AQ94" i="2"/>
  <c r="AO95" i="2"/>
  <c r="AP95" i="2"/>
  <c r="AQ95" i="2"/>
  <c r="AO96" i="2"/>
  <c r="AP96" i="2"/>
  <c r="AQ96" i="2"/>
  <c r="AO97" i="2"/>
  <c r="AP97" i="2"/>
  <c r="AQ97" i="2"/>
  <c r="AO98" i="2"/>
  <c r="AP98" i="2"/>
  <c r="AQ98" i="2"/>
  <c r="AO99" i="2"/>
  <c r="AP99" i="2"/>
  <c r="AQ99" i="2"/>
  <c r="AO100" i="2"/>
  <c r="AP100" i="2"/>
  <c r="AQ100" i="2"/>
  <c r="AO101" i="2"/>
  <c r="AP101" i="2"/>
  <c r="AQ101" i="2"/>
  <c r="AO102" i="2"/>
  <c r="AP102" i="2"/>
  <c r="AQ102" i="2"/>
  <c r="AO103" i="2"/>
  <c r="AP103" i="2"/>
  <c r="AQ103" i="2"/>
  <c r="AO104" i="2"/>
  <c r="AP104" i="2"/>
  <c r="AQ104" i="2"/>
  <c r="AO105" i="2"/>
  <c r="AP105" i="2"/>
  <c r="AQ105" i="2"/>
  <c r="AO106" i="2"/>
  <c r="AP106" i="2"/>
  <c r="AQ106" i="2"/>
  <c r="AO107" i="2"/>
  <c r="AP107" i="2"/>
  <c r="AQ107" i="2"/>
  <c r="AO108" i="2"/>
  <c r="AP108" i="2"/>
  <c r="AQ108" i="2"/>
  <c r="AO109" i="2"/>
  <c r="AP109" i="2"/>
  <c r="AQ109" i="2"/>
  <c r="AO110" i="2"/>
  <c r="AP110" i="2"/>
  <c r="AQ110" i="2"/>
  <c r="AO111" i="2"/>
  <c r="AP111" i="2"/>
  <c r="AQ111" i="2"/>
  <c r="AO112" i="2"/>
  <c r="AP112" i="2"/>
  <c r="AQ112" i="2"/>
  <c r="AO113" i="2"/>
  <c r="AP113" i="2"/>
  <c r="AQ113" i="2"/>
  <c r="AO114" i="2"/>
  <c r="AP114" i="2"/>
  <c r="AQ114" i="2"/>
  <c r="AO115" i="2"/>
  <c r="AP115" i="2"/>
  <c r="AQ115" i="2"/>
  <c r="AO116" i="2"/>
  <c r="AP116" i="2"/>
  <c r="AQ116" i="2"/>
  <c r="AO117" i="2"/>
  <c r="AP117" i="2"/>
  <c r="AQ117" i="2"/>
  <c r="AO118" i="2"/>
  <c r="AP118" i="2"/>
  <c r="AQ118" i="2"/>
  <c r="AO119" i="2"/>
  <c r="AP119" i="2"/>
  <c r="AQ119" i="2"/>
  <c r="AO120" i="2"/>
  <c r="AP120" i="2"/>
  <c r="AQ120" i="2"/>
  <c r="AO121" i="2"/>
  <c r="AP121" i="2"/>
  <c r="AQ121" i="2"/>
  <c r="AO122" i="2"/>
  <c r="AP122" i="2"/>
  <c r="AQ122" i="2"/>
  <c r="AO123" i="2"/>
  <c r="AP123" i="2"/>
  <c r="AQ123" i="2"/>
  <c r="AO124" i="2"/>
  <c r="AP124" i="2"/>
  <c r="AQ124" i="2"/>
  <c r="AO125" i="2"/>
  <c r="AP125" i="2"/>
  <c r="AQ125" i="2"/>
  <c r="AO126" i="2"/>
  <c r="AP126" i="2"/>
  <c r="AQ126" i="2"/>
  <c r="AO127" i="2"/>
  <c r="AP127" i="2"/>
  <c r="AQ127" i="2"/>
  <c r="AO128" i="2"/>
  <c r="AP128" i="2"/>
  <c r="AQ128" i="2"/>
  <c r="AO129" i="2"/>
  <c r="AP129" i="2"/>
  <c r="AQ129" i="2"/>
  <c r="AO130" i="2"/>
  <c r="AP130" i="2"/>
  <c r="AQ130" i="2"/>
  <c r="AO131" i="2"/>
  <c r="AP131" i="2"/>
  <c r="AQ131" i="2"/>
  <c r="AO132" i="2"/>
  <c r="AP132" i="2"/>
  <c r="AQ132" i="2"/>
  <c r="AO133" i="2"/>
  <c r="AP133" i="2"/>
  <c r="AQ133" i="2"/>
  <c r="AO134" i="2"/>
  <c r="AP134" i="2"/>
  <c r="AQ134" i="2"/>
  <c r="AO135" i="2"/>
  <c r="AP135" i="2"/>
  <c r="AQ135" i="2"/>
  <c r="AO136" i="2"/>
  <c r="AP136" i="2"/>
  <c r="AQ136" i="2"/>
  <c r="AO137" i="2"/>
  <c r="AP137" i="2"/>
  <c r="AQ137" i="2"/>
  <c r="AO138" i="2"/>
  <c r="AP138" i="2"/>
  <c r="AQ138" i="2"/>
  <c r="AO139" i="2"/>
  <c r="AP139" i="2"/>
  <c r="AQ139" i="2"/>
  <c r="AO140" i="2"/>
  <c r="AP140" i="2"/>
  <c r="AQ140" i="2"/>
  <c r="AO141" i="2"/>
  <c r="AP141" i="2"/>
  <c r="AQ141" i="2"/>
  <c r="AO142" i="2"/>
  <c r="AP142" i="2"/>
  <c r="AQ142" i="2"/>
  <c r="AO143" i="2"/>
  <c r="AP143" i="2"/>
  <c r="AQ143" i="2"/>
  <c r="AO144" i="2"/>
  <c r="AP144" i="2"/>
  <c r="AQ144" i="2"/>
  <c r="AO145" i="2"/>
  <c r="AP145" i="2"/>
  <c r="AQ145" i="2"/>
  <c r="AO146" i="2"/>
  <c r="AP146" i="2"/>
  <c r="AQ146" i="2"/>
  <c r="AO147" i="2"/>
  <c r="AP147" i="2"/>
  <c r="AQ147" i="2"/>
  <c r="AO148" i="2"/>
  <c r="AP148" i="2"/>
  <c r="AQ148" i="2"/>
  <c r="AO149" i="2"/>
  <c r="AP149" i="2"/>
  <c r="AQ149" i="2"/>
  <c r="AO150" i="2"/>
  <c r="AP150" i="2"/>
  <c r="AQ150" i="2"/>
  <c r="AO151" i="2"/>
  <c r="AP151" i="2"/>
  <c r="AQ151" i="2"/>
  <c r="AO152" i="2"/>
  <c r="AP152" i="2"/>
  <c r="AQ152" i="2"/>
  <c r="AO153" i="2"/>
  <c r="AP153" i="2"/>
  <c r="AQ153" i="2"/>
  <c r="AO154" i="2"/>
  <c r="AP154" i="2"/>
  <c r="AQ154" i="2"/>
  <c r="AO155" i="2"/>
  <c r="AP155" i="2"/>
  <c r="AQ155" i="2"/>
  <c r="AO156" i="2"/>
  <c r="AP156" i="2"/>
  <c r="AQ156" i="2"/>
  <c r="AO157" i="2"/>
  <c r="AP157" i="2"/>
  <c r="AQ157" i="2"/>
  <c r="AO158" i="2"/>
  <c r="AP158" i="2"/>
  <c r="AQ158" i="2"/>
  <c r="AO159" i="2"/>
  <c r="AP159" i="2"/>
  <c r="AQ159" i="2"/>
  <c r="AO160" i="2"/>
  <c r="AP160" i="2"/>
  <c r="AQ160" i="2"/>
  <c r="AO161" i="2"/>
  <c r="AP161" i="2"/>
  <c r="AQ161" i="2"/>
  <c r="AO162" i="2"/>
  <c r="AP162" i="2"/>
  <c r="AQ162" i="2"/>
  <c r="AO163" i="2"/>
  <c r="AP163" i="2"/>
  <c r="AQ163" i="2"/>
  <c r="AO164" i="2"/>
  <c r="AP164" i="2"/>
  <c r="AQ164" i="2"/>
  <c r="AO165" i="2"/>
  <c r="AP165" i="2"/>
  <c r="AQ165" i="2"/>
  <c r="AO166" i="2"/>
  <c r="AP166" i="2"/>
  <c r="AQ166" i="2"/>
  <c r="AO167" i="2"/>
  <c r="AP167" i="2"/>
  <c r="AQ167" i="2"/>
  <c r="AO168" i="2"/>
  <c r="AP168" i="2"/>
  <c r="AQ168" i="2"/>
  <c r="AO169" i="2"/>
  <c r="AP169" i="2"/>
  <c r="AQ169" i="2"/>
  <c r="AO170" i="2"/>
  <c r="AP170" i="2"/>
  <c r="AQ170" i="2"/>
  <c r="AO171" i="2"/>
  <c r="AP171" i="2"/>
  <c r="AQ171" i="2"/>
  <c r="AO172" i="2"/>
  <c r="AP172" i="2"/>
  <c r="AQ172" i="2"/>
  <c r="AO173" i="2"/>
  <c r="AP173" i="2"/>
  <c r="AQ173" i="2"/>
  <c r="AO174" i="2"/>
  <c r="AP174" i="2"/>
  <c r="AQ174" i="2"/>
  <c r="AO175" i="2"/>
  <c r="AP175" i="2"/>
  <c r="AQ175" i="2"/>
  <c r="AO176" i="2"/>
  <c r="AP176" i="2"/>
  <c r="AQ176" i="2"/>
  <c r="AO177" i="2"/>
  <c r="AP177" i="2"/>
  <c r="AQ177" i="2"/>
  <c r="AO178" i="2"/>
  <c r="AP178" i="2"/>
  <c r="AQ178" i="2"/>
  <c r="AO179" i="2"/>
  <c r="AP179" i="2"/>
  <c r="AQ179" i="2"/>
  <c r="AO180" i="2"/>
  <c r="AP180" i="2"/>
  <c r="AQ180" i="2"/>
  <c r="AO181" i="2"/>
  <c r="AP181" i="2"/>
  <c r="AQ181" i="2"/>
  <c r="AO182" i="2"/>
  <c r="AP182" i="2"/>
  <c r="AQ182" i="2"/>
  <c r="AO183" i="2"/>
  <c r="AP183" i="2"/>
  <c r="AQ183" i="2"/>
  <c r="AO184" i="2"/>
  <c r="AP184" i="2"/>
  <c r="AQ184" i="2"/>
  <c r="AO185" i="2"/>
  <c r="AP185" i="2"/>
  <c r="AQ185" i="2"/>
  <c r="AO186" i="2"/>
  <c r="AP186" i="2"/>
  <c r="AQ186" i="2"/>
  <c r="AO187" i="2"/>
  <c r="AP187" i="2"/>
  <c r="AQ187" i="2"/>
  <c r="AO188" i="2"/>
  <c r="AP188" i="2"/>
  <c r="AQ188" i="2"/>
  <c r="AO189" i="2"/>
  <c r="AP189" i="2"/>
  <c r="AQ189" i="2"/>
  <c r="AO190" i="2"/>
  <c r="AP190" i="2"/>
  <c r="AQ190" i="2"/>
  <c r="AO191" i="2"/>
  <c r="AP191" i="2"/>
  <c r="AQ191" i="2"/>
  <c r="AO192" i="2"/>
  <c r="AP192" i="2"/>
  <c r="AQ192" i="2"/>
  <c r="AO193" i="2"/>
  <c r="AP193" i="2"/>
  <c r="AQ193" i="2"/>
  <c r="AO194" i="2"/>
  <c r="AP194" i="2"/>
  <c r="AQ194" i="2"/>
  <c r="AO195" i="2"/>
  <c r="AP195" i="2"/>
  <c r="AQ195" i="2"/>
  <c r="AO196" i="2"/>
  <c r="AP196" i="2"/>
  <c r="AQ196" i="2"/>
  <c r="AO197" i="2"/>
  <c r="AP197" i="2"/>
  <c r="AQ197" i="2"/>
  <c r="AO198" i="2"/>
  <c r="AP198" i="2"/>
  <c r="AQ198" i="2"/>
  <c r="AO199" i="2"/>
  <c r="AP199" i="2"/>
  <c r="AQ199" i="2"/>
  <c r="AO200" i="2"/>
  <c r="AP200" i="2"/>
  <c r="AQ200" i="2"/>
  <c r="AO201" i="2"/>
  <c r="AP201" i="2"/>
  <c r="AQ201" i="2"/>
  <c r="AO202" i="2"/>
  <c r="AP202" i="2"/>
  <c r="AQ202" i="2"/>
  <c r="AO203" i="2"/>
  <c r="AP203" i="2"/>
  <c r="AQ203" i="2"/>
  <c r="AO204" i="2"/>
  <c r="AP204" i="2"/>
  <c r="AQ204" i="2"/>
  <c r="AO205" i="2"/>
  <c r="AP205" i="2"/>
  <c r="AQ205" i="2"/>
  <c r="AO206" i="2"/>
  <c r="AP206" i="2"/>
  <c r="AQ206" i="2"/>
  <c r="AO207" i="2"/>
  <c r="AP207" i="2"/>
  <c r="AQ207" i="2"/>
  <c r="AO208" i="2"/>
  <c r="AP208" i="2"/>
  <c r="AQ208" i="2"/>
  <c r="AO209" i="2"/>
  <c r="AP209" i="2"/>
  <c r="AQ209" i="2"/>
  <c r="AO210" i="2"/>
  <c r="AP210" i="2"/>
  <c r="AQ210" i="2"/>
  <c r="AO211" i="2"/>
  <c r="AP211" i="2"/>
  <c r="AQ211" i="2"/>
  <c r="AO212" i="2"/>
  <c r="AP212" i="2"/>
  <c r="AQ212" i="2"/>
  <c r="AO213" i="2"/>
  <c r="AP213" i="2"/>
  <c r="AQ213" i="2"/>
  <c r="AO214" i="2"/>
  <c r="AP214" i="2"/>
  <c r="AQ214" i="2"/>
  <c r="AO215" i="2"/>
  <c r="AP215" i="2"/>
  <c r="AQ215" i="2"/>
  <c r="AO216" i="2"/>
  <c r="AP216" i="2"/>
  <c r="AQ216" i="2"/>
  <c r="AO217" i="2"/>
  <c r="AP217" i="2"/>
  <c r="AQ217" i="2"/>
  <c r="AO218" i="2"/>
  <c r="AP218" i="2"/>
  <c r="AQ218" i="2"/>
  <c r="AO219" i="2"/>
  <c r="AP219" i="2"/>
  <c r="AQ219" i="2"/>
  <c r="AO220" i="2"/>
  <c r="AP220" i="2"/>
  <c r="AQ220" i="2"/>
  <c r="AO221" i="2"/>
  <c r="AP221" i="2"/>
  <c r="AQ221" i="2"/>
  <c r="AO222" i="2"/>
  <c r="AP222" i="2"/>
  <c r="AQ222" i="2"/>
  <c r="AO223" i="2"/>
  <c r="AP223" i="2"/>
  <c r="AQ223" i="2"/>
  <c r="AO224" i="2"/>
  <c r="AP224" i="2"/>
  <c r="AQ224" i="2"/>
  <c r="AO225" i="2"/>
  <c r="AP225" i="2"/>
  <c r="AQ225" i="2"/>
  <c r="AO226" i="2"/>
  <c r="AP226" i="2"/>
  <c r="AQ226" i="2"/>
  <c r="AO227" i="2"/>
  <c r="AP227" i="2"/>
  <c r="AQ227" i="2"/>
  <c r="AO228" i="2"/>
  <c r="AP228" i="2"/>
  <c r="AQ228" i="2"/>
  <c r="AO229" i="2"/>
  <c r="AP229" i="2"/>
  <c r="AQ229" i="2"/>
  <c r="AO230" i="2"/>
  <c r="AP230" i="2"/>
  <c r="AQ230" i="2"/>
  <c r="AO231" i="2"/>
  <c r="AP231" i="2"/>
  <c r="AQ231" i="2"/>
  <c r="AO232" i="2"/>
  <c r="AP232" i="2"/>
  <c r="AQ232" i="2"/>
  <c r="AO233" i="2"/>
  <c r="AP233" i="2"/>
  <c r="AQ233" i="2"/>
  <c r="AO234" i="2"/>
  <c r="AP234" i="2"/>
  <c r="AQ234" i="2"/>
  <c r="AO235" i="2"/>
  <c r="AP235" i="2"/>
  <c r="AQ235" i="2"/>
  <c r="AO236" i="2"/>
  <c r="AP236" i="2"/>
  <c r="AQ236" i="2"/>
  <c r="AO237" i="2"/>
  <c r="AP237" i="2"/>
  <c r="AQ237" i="2"/>
  <c r="AO238" i="2"/>
  <c r="AP238" i="2"/>
  <c r="AQ238" i="2"/>
  <c r="AO239" i="2"/>
  <c r="AP239" i="2"/>
  <c r="AQ239" i="2"/>
  <c r="AO240" i="2"/>
  <c r="AP240" i="2"/>
  <c r="AQ240" i="2"/>
  <c r="AO241" i="2"/>
  <c r="AP241" i="2"/>
  <c r="AQ241" i="2"/>
  <c r="AO242" i="2"/>
  <c r="AP242" i="2"/>
  <c r="AQ242" i="2"/>
  <c r="AO243" i="2"/>
  <c r="AP243" i="2"/>
  <c r="AQ243" i="2"/>
  <c r="AO244" i="2"/>
  <c r="AP244" i="2"/>
  <c r="AQ244" i="2"/>
  <c r="AO245" i="2"/>
  <c r="AP245" i="2"/>
  <c r="AQ245" i="2"/>
  <c r="AO246" i="2"/>
  <c r="AP246" i="2"/>
  <c r="AQ246" i="2"/>
  <c r="AO247" i="2"/>
  <c r="AP247" i="2"/>
  <c r="AQ247" i="2"/>
  <c r="AO248" i="2"/>
  <c r="AP248" i="2"/>
  <c r="AQ248" i="2"/>
  <c r="AO249" i="2"/>
  <c r="AP249" i="2"/>
  <c r="AQ249" i="2"/>
  <c r="AO250" i="2"/>
  <c r="AP250" i="2"/>
  <c r="AQ250" i="2"/>
  <c r="AO251" i="2"/>
  <c r="AP251" i="2"/>
  <c r="AQ251" i="2"/>
  <c r="AO252" i="2"/>
  <c r="AP252" i="2"/>
  <c r="AQ252" i="2"/>
  <c r="AO253" i="2"/>
  <c r="AP253" i="2"/>
  <c r="AQ253" i="2"/>
  <c r="AO254" i="2"/>
  <c r="AP254" i="2"/>
  <c r="AQ254" i="2"/>
  <c r="AO255" i="2"/>
  <c r="AP255" i="2"/>
  <c r="AQ255" i="2"/>
  <c r="AO256" i="2"/>
  <c r="AP256" i="2"/>
  <c r="AQ256" i="2"/>
  <c r="AO257" i="2"/>
  <c r="AP257" i="2"/>
  <c r="AQ257" i="2"/>
  <c r="AO258" i="2"/>
  <c r="AP258" i="2"/>
  <c r="AQ258" i="2"/>
  <c r="AO259" i="2"/>
  <c r="AP259" i="2"/>
  <c r="AQ259" i="2"/>
  <c r="AO260" i="2"/>
  <c r="AP260" i="2"/>
  <c r="AQ260" i="2"/>
  <c r="AO261" i="2"/>
  <c r="AP261" i="2"/>
  <c r="AQ261" i="2"/>
  <c r="AO262" i="2"/>
  <c r="AP262" i="2"/>
  <c r="AQ262" i="2"/>
  <c r="AO263" i="2"/>
  <c r="AP263" i="2"/>
  <c r="AQ263" i="2"/>
  <c r="AO264" i="2"/>
  <c r="AP264" i="2"/>
  <c r="AQ264" i="2"/>
  <c r="AO265" i="2"/>
  <c r="AP265" i="2"/>
  <c r="AQ265" i="2"/>
  <c r="AO266" i="2"/>
  <c r="AP266" i="2"/>
  <c r="AQ266" i="2"/>
  <c r="AO267" i="2"/>
  <c r="AP267" i="2"/>
  <c r="AQ267" i="2"/>
  <c r="AO268" i="2"/>
  <c r="AP268" i="2"/>
  <c r="AQ268" i="2"/>
  <c r="AO269" i="2"/>
  <c r="AP269" i="2"/>
  <c r="AQ269" i="2"/>
  <c r="AO270" i="2"/>
  <c r="AP270" i="2"/>
  <c r="AQ270" i="2"/>
  <c r="AO271" i="2"/>
  <c r="AP271" i="2"/>
  <c r="AQ271" i="2"/>
  <c r="AO272" i="2"/>
  <c r="AP272" i="2"/>
  <c r="AQ272" i="2"/>
  <c r="AO273" i="2"/>
  <c r="AP273" i="2"/>
  <c r="AQ273" i="2"/>
  <c r="AO274" i="2"/>
  <c r="AP274" i="2"/>
  <c r="AQ274" i="2"/>
  <c r="AO275" i="2"/>
  <c r="AP275" i="2"/>
  <c r="AQ275" i="2"/>
  <c r="AO276" i="2"/>
  <c r="AP276" i="2"/>
  <c r="AQ276" i="2"/>
  <c r="AO277" i="2"/>
  <c r="AP277" i="2"/>
  <c r="AQ277" i="2"/>
  <c r="AO278" i="2"/>
  <c r="AP278" i="2"/>
  <c r="AQ278" i="2"/>
  <c r="AO279" i="2"/>
  <c r="AP279" i="2"/>
  <c r="AQ279" i="2"/>
  <c r="AO280" i="2"/>
  <c r="AP280" i="2"/>
  <c r="AQ280" i="2"/>
  <c r="AO281" i="2"/>
  <c r="AP281" i="2"/>
  <c r="AQ281" i="2"/>
  <c r="AO282" i="2"/>
  <c r="AP282" i="2"/>
  <c r="AQ282" i="2"/>
  <c r="AO283" i="2"/>
  <c r="AP283" i="2"/>
  <c r="AQ283" i="2"/>
  <c r="AO284" i="2"/>
  <c r="AP284" i="2"/>
  <c r="AQ284" i="2"/>
  <c r="AO285" i="2"/>
  <c r="AP285" i="2"/>
  <c r="AQ285" i="2"/>
  <c r="AO286" i="2"/>
  <c r="AP286" i="2"/>
  <c r="AQ286" i="2"/>
  <c r="AO287" i="2"/>
  <c r="AP287" i="2"/>
  <c r="AQ287" i="2"/>
  <c r="AO288" i="2"/>
  <c r="AP288" i="2"/>
  <c r="AQ288" i="2"/>
  <c r="AO289" i="2"/>
  <c r="AP289" i="2"/>
  <c r="AQ289" i="2"/>
  <c r="AO290" i="2"/>
  <c r="AP290" i="2"/>
  <c r="AQ290" i="2"/>
  <c r="AO291" i="2"/>
  <c r="AP291" i="2"/>
  <c r="AQ291" i="2"/>
  <c r="AO292" i="2"/>
  <c r="AP292" i="2"/>
  <c r="AQ292" i="2"/>
  <c r="AO293" i="2"/>
  <c r="AP293" i="2"/>
  <c r="AQ293" i="2"/>
  <c r="AO294" i="2"/>
  <c r="AP294" i="2"/>
  <c r="AQ294" i="2"/>
  <c r="AO295" i="2"/>
  <c r="AP295" i="2"/>
  <c r="AQ295" i="2"/>
  <c r="AO296" i="2"/>
  <c r="AP296" i="2"/>
  <c r="AQ296" i="2"/>
  <c r="AO297" i="2"/>
  <c r="AP297" i="2"/>
  <c r="AQ297" i="2"/>
  <c r="AO298" i="2"/>
  <c r="AP298" i="2"/>
  <c r="AQ298" i="2"/>
  <c r="AO299" i="2"/>
  <c r="AP299" i="2"/>
  <c r="AQ299" i="2"/>
  <c r="AO300" i="2"/>
  <c r="AP300" i="2"/>
  <c r="AQ300" i="2"/>
  <c r="AO301" i="2"/>
  <c r="AP301" i="2"/>
  <c r="AQ301" i="2"/>
  <c r="AO302" i="2"/>
  <c r="AP302" i="2"/>
  <c r="AQ302" i="2"/>
  <c r="AO303" i="2"/>
  <c r="AP303" i="2"/>
  <c r="AQ303" i="2"/>
  <c r="AO304" i="2"/>
  <c r="AP304" i="2"/>
  <c r="AQ304" i="2"/>
  <c r="AO305" i="2"/>
  <c r="AP305" i="2"/>
  <c r="AQ305" i="2"/>
  <c r="AO306" i="2"/>
  <c r="AP306" i="2"/>
  <c r="AQ306" i="2"/>
  <c r="AO307" i="2"/>
  <c r="AP307" i="2"/>
  <c r="AQ307" i="2"/>
  <c r="AO308" i="2"/>
  <c r="AP308" i="2"/>
  <c r="AQ308" i="2"/>
  <c r="AO309" i="2"/>
  <c r="AP309" i="2"/>
  <c r="AQ309" i="2"/>
  <c r="AO310" i="2"/>
  <c r="AP310" i="2"/>
  <c r="AQ310" i="2"/>
  <c r="AO311" i="2"/>
  <c r="AP311" i="2"/>
  <c r="AQ311" i="2"/>
  <c r="AO312" i="2"/>
  <c r="AP312" i="2"/>
  <c r="AQ312" i="2"/>
  <c r="AO313" i="2"/>
  <c r="AP313" i="2"/>
  <c r="AQ313" i="2"/>
  <c r="AO314" i="2"/>
  <c r="AP314" i="2"/>
  <c r="AQ314" i="2"/>
  <c r="AO315" i="2"/>
  <c r="AP315" i="2"/>
  <c r="AQ315" i="2"/>
  <c r="AO316" i="2"/>
  <c r="AP316" i="2"/>
  <c r="AQ316" i="2"/>
  <c r="AO317" i="2"/>
  <c r="AP317" i="2"/>
  <c r="AQ317" i="2"/>
  <c r="AO318" i="2"/>
  <c r="AP318" i="2"/>
  <c r="AQ318" i="2"/>
  <c r="AO319" i="2"/>
  <c r="AP319" i="2"/>
  <c r="AQ319" i="2"/>
  <c r="AO320" i="2"/>
  <c r="AP320" i="2"/>
  <c r="AQ320" i="2"/>
  <c r="AO321" i="2"/>
  <c r="AP321" i="2"/>
  <c r="AQ321" i="2"/>
  <c r="AO322" i="2"/>
  <c r="AP322" i="2"/>
  <c r="AQ322" i="2"/>
  <c r="AO323" i="2"/>
  <c r="AP323" i="2"/>
  <c r="AQ323" i="2"/>
  <c r="AO324" i="2"/>
  <c r="AP324" i="2"/>
  <c r="AQ324" i="2"/>
  <c r="AO325" i="2"/>
  <c r="AP325" i="2"/>
  <c r="AQ325" i="2"/>
  <c r="AO326" i="2"/>
  <c r="AP326" i="2"/>
  <c r="AQ326" i="2"/>
  <c r="AO327" i="2"/>
  <c r="AP327" i="2"/>
  <c r="AQ327" i="2"/>
  <c r="AO328" i="2"/>
  <c r="AP328" i="2"/>
  <c r="AQ328" i="2"/>
  <c r="AO329" i="2"/>
  <c r="AP329" i="2"/>
  <c r="AQ329" i="2"/>
  <c r="AO330" i="2"/>
  <c r="AP330" i="2"/>
  <c r="AQ330" i="2"/>
  <c r="AO331" i="2"/>
  <c r="AP331" i="2"/>
  <c r="AQ331" i="2"/>
  <c r="AO332" i="2"/>
  <c r="AP332" i="2"/>
  <c r="AQ332" i="2"/>
  <c r="AO333" i="2"/>
  <c r="AP333" i="2"/>
  <c r="AQ333" i="2"/>
  <c r="AO334" i="2"/>
  <c r="AP334" i="2"/>
  <c r="AQ334" i="2"/>
  <c r="AO335" i="2"/>
  <c r="AP335" i="2"/>
  <c r="AQ335" i="2"/>
  <c r="AO336" i="2"/>
  <c r="AP336" i="2"/>
  <c r="AQ336" i="2"/>
  <c r="AO337" i="2"/>
  <c r="AP337" i="2"/>
  <c r="AQ337" i="2"/>
  <c r="AO338" i="2"/>
  <c r="AP338" i="2"/>
  <c r="AQ338" i="2"/>
  <c r="AO339" i="2"/>
  <c r="AP339" i="2"/>
  <c r="AQ339" i="2"/>
  <c r="AO340" i="2"/>
  <c r="AP340" i="2"/>
  <c r="AQ340" i="2"/>
  <c r="AO341" i="2"/>
  <c r="AP341" i="2"/>
  <c r="AQ341" i="2"/>
  <c r="CU4" i="2" l="1"/>
  <c r="CO4" i="2"/>
  <c r="CI4" i="2"/>
  <c r="CG4" i="2"/>
  <c r="CW4" i="2"/>
  <c r="CQ4" i="2"/>
  <c r="CK4" i="2"/>
  <c r="CE4" i="2"/>
  <c r="CV4" i="2"/>
  <c r="CP4" i="2"/>
  <c r="CJ4" i="2"/>
  <c r="CD4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CY1" i="2"/>
  <c r="CY4" i="2" s="1"/>
  <c r="I5" i="2" l="1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M151" i="2"/>
  <c r="AN151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AM152" i="2"/>
  <c r="AN152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H203" i="2"/>
  <c r="AI203" i="2"/>
  <c r="AJ203" i="2"/>
  <c r="AK203" i="2"/>
  <c r="AL203" i="2"/>
  <c r="AM203" i="2"/>
  <c r="AN203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G204" i="2"/>
  <c r="AH204" i="2"/>
  <c r="AI204" i="2"/>
  <c r="AJ204" i="2"/>
  <c r="AK204" i="2"/>
  <c r="AL204" i="2"/>
  <c r="AM204" i="2"/>
  <c r="AN204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H205" i="2"/>
  <c r="AI205" i="2"/>
  <c r="AJ205" i="2"/>
  <c r="AK205" i="2"/>
  <c r="AL205" i="2"/>
  <c r="AM205" i="2"/>
  <c r="AN205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G206" i="2"/>
  <c r="AH206" i="2"/>
  <c r="AI206" i="2"/>
  <c r="AJ206" i="2"/>
  <c r="AK206" i="2"/>
  <c r="AL206" i="2"/>
  <c r="AM206" i="2"/>
  <c r="AN206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G257" i="2"/>
  <c r="AH257" i="2"/>
  <c r="AI257" i="2"/>
  <c r="AJ257" i="2"/>
  <c r="AK257" i="2"/>
  <c r="AL257" i="2"/>
  <c r="AM257" i="2"/>
  <c r="AN257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G258" i="2"/>
  <c r="AH258" i="2"/>
  <c r="AI258" i="2"/>
  <c r="AJ258" i="2"/>
  <c r="AK258" i="2"/>
  <c r="AL258" i="2"/>
  <c r="AM258" i="2"/>
  <c r="AN258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G259" i="2"/>
  <c r="AH259" i="2"/>
  <c r="AI259" i="2"/>
  <c r="AJ259" i="2"/>
  <c r="AK259" i="2"/>
  <c r="AL259" i="2"/>
  <c r="AM259" i="2"/>
  <c r="AN259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AI260" i="2"/>
  <c r="AJ260" i="2"/>
  <c r="AK260" i="2"/>
  <c r="AL260" i="2"/>
  <c r="AM260" i="2"/>
  <c r="AN260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G311" i="2"/>
  <c r="AH311" i="2"/>
  <c r="AI311" i="2"/>
  <c r="AJ311" i="2"/>
  <c r="AK311" i="2"/>
  <c r="AL311" i="2"/>
  <c r="AM311" i="2"/>
  <c r="AN311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G312" i="2"/>
  <c r="AH312" i="2"/>
  <c r="AI312" i="2"/>
  <c r="AJ312" i="2"/>
  <c r="AK312" i="2"/>
  <c r="AL312" i="2"/>
  <c r="AM312" i="2"/>
  <c r="AN312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G313" i="2"/>
  <c r="AH313" i="2"/>
  <c r="AI313" i="2"/>
  <c r="AJ313" i="2"/>
  <c r="AK313" i="2"/>
  <c r="AL313" i="2"/>
  <c r="AM313" i="2"/>
  <c r="AN313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G314" i="2"/>
  <c r="AH314" i="2"/>
  <c r="AI314" i="2"/>
  <c r="AJ314" i="2"/>
  <c r="AK314" i="2"/>
  <c r="AL314" i="2"/>
  <c r="AM314" i="2"/>
  <c r="AN314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G315" i="2"/>
  <c r="AH315" i="2"/>
  <c r="AI315" i="2"/>
  <c r="AJ315" i="2"/>
  <c r="AK315" i="2"/>
  <c r="AL315" i="2"/>
  <c r="AM315" i="2"/>
  <c r="AN315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G316" i="2"/>
  <c r="AH316" i="2"/>
  <c r="AI316" i="2"/>
  <c r="AJ316" i="2"/>
  <c r="AK316" i="2"/>
  <c r="AL316" i="2"/>
  <c r="AM316" i="2"/>
  <c r="AN316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G317" i="2"/>
  <c r="AH317" i="2"/>
  <c r="AI317" i="2"/>
  <c r="AJ317" i="2"/>
  <c r="AK317" i="2"/>
  <c r="AL317" i="2"/>
  <c r="AM317" i="2"/>
  <c r="AN317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G318" i="2"/>
  <c r="AH318" i="2"/>
  <c r="AI318" i="2"/>
  <c r="AJ318" i="2"/>
  <c r="AK318" i="2"/>
  <c r="AL318" i="2"/>
  <c r="AM318" i="2"/>
  <c r="AN318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G319" i="2"/>
  <c r="AH319" i="2"/>
  <c r="AI319" i="2"/>
  <c r="AJ319" i="2"/>
  <c r="AK319" i="2"/>
  <c r="AL319" i="2"/>
  <c r="AM319" i="2"/>
  <c r="AN319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G320" i="2"/>
  <c r="AH320" i="2"/>
  <c r="AI320" i="2"/>
  <c r="AJ320" i="2"/>
  <c r="AK320" i="2"/>
  <c r="AL320" i="2"/>
  <c r="AM320" i="2"/>
  <c r="AN320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G321" i="2"/>
  <c r="AH321" i="2"/>
  <c r="AI321" i="2"/>
  <c r="AJ321" i="2"/>
  <c r="AK321" i="2"/>
  <c r="AL321" i="2"/>
  <c r="AM321" i="2"/>
  <c r="AN321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AI322" i="2"/>
  <c r="AJ322" i="2"/>
  <c r="AK322" i="2"/>
  <c r="AL322" i="2"/>
  <c r="AM322" i="2"/>
  <c r="AN322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G323" i="2"/>
  <c r="AH323" i="2"/>
  <c r="AI323" i="2"/>
  <c r="AJ323" i="2"/>
  <c r="AK323" i="2"/>
  <c r="AL323" i="2"/>
  <c r="AM323" i="2"/>
  <c r="AN323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G324" i="2"/>
  <c r="AH324" i="2"/>
  <c r="AI324" i="2"/>
  <c r="AJ324" i="2"/>
  <c r="AK324" i="2"/>
  <c r="AL324" i="2"/>
  <c r="AM324" i="2"/>
  <c r="AN324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G325" i="2"/>
  <c r="AH325" i="2"/>
  <c r="AI325" i="2"/>
  <c r="AJ325" i="2"/>
  <c r="AK325" i="2"/>
  <c r="AL325" i="2"/>
  <c r="AM325" i="2"/>
  <c r="AN325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G326" i="2"/>
  <c r="AH326" i="2"/>
  <c r="AI326" i="2"/>
  <c r="AJ326" i="2"/>
  <c r="AK326" i="2"/>
  <c r="AL326" i="2"/>
  <c r="AM326" i="2"/>
  <c r="AN326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G327" i="2"/>
  <c r="AH327" i="2"/>
  <c r="AI327" i="2"/>
  <c r="AJ327" i="2"/>
  <c r="AK327" i="2"/>
  <c r="AL327" i="2"/>
  <c r="AM327" i="2"/>
  <c r="AN327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G328" i="2"/>
  <c r="AH328" i="2"/>
  <c r="AI328" i="2"/>
  <c r="AJ328" i="2"/>
  <c r="AK328" i="2"/>
  <c r="AL328" i="2"/>
  <c r="AM328" i="2"/>
  <c r="AN328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G329" i="2"/>
  <c r="AH329" i="2"/>
  <c r="AI329" i="2"/>
  <c r="AJ329" i="2"/>
  <c r="AK329" i="2"/>
  <c r="AL329" i="2"/>
  <c r="AM329" i="2"/>
  <c r="AN329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G330" i="2"/>
  <c r="AH330" i="2"/>
  <c r="AI330" i="2"/>
  <c r="AJ330" i="2"/>
  <c r="AK330" i="2"/>
  <c r="AL330" i="2"/>
  <c r="AM330" i="2"/>
  <c r="AN330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G331" i="2"/>
  <c r="AH331" i="2"/>
  <c r="AI331" i="2"/>
  <c r="AJ331" i="2"/>
  <c r="AK331" i="2"/>
  <c r="AL331" i="2"/>
  <c r="AM331" i="2"/>
  <c r="AN331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G332" i="2"/>
  <c r="AH332" i="2"/>
  <c r="AI332" i="2"/>
  <c r="AJ332" i="2"/>
  <c r="AK332" i="2"/>
  <c r="AL332" i="2"/>
  <c r="AM332" i="2"/>
  <c r="AN332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G333" i="2"/>
  <c r="AH333" i="2"/>
  <c r="AI333" i="2"/>
  <c r="AJ333" i="2"/>
  <c r="AK333" i="2"/>
  <c r="AL333" i="2"/>
  <c r="AM333" i="2"/>
  <c r="AN333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G334" i="2"/>
  <c r="AH334" i="2"/>
  <c r="AI334" i="2"/>
  <c r="AJ334" i="2"/>
  <c r="AK334" i="2"/>
  <c r="AL334" i="2"/>
  <c r="AM334" i="2"/>
  <c r="AN334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G335" i="2"/>
  <c r="AH335" i="2"/>
  <c r="AI335" i="2"/>
  <c r="AJ335" i="2"/>
  <c r="AK335" i="2"/>
  <c r="AL335" i="2"/>
  <c r="AM335" i="2"/>
  <c r="AN335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G336" i="2"/>
  <c r="AH336" i="2"/>
  <c r="AI336" i="2"/>
  <c r="AJ336" i="2"/>
  <c r="AK336" i="2"/>
  <c r="AL336" i="2"/>
  <c r="AM336" i="2"/>
  <c r="AN336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G337" i="2"/>
  <c r="AH337" i="2"/>
  <c r="AI337" i="2"/>
  <c r="AJ337" i="2"/>
  <c r="AK337" i="2"/>
  <c r="AL337" i="2"/>
  <c r="AM337" i="2"/>
  <c r="AN337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G338" i="2"/>
  <c r="AH338" i="2"/>
  <c r="AI338" i="2"/>
  <c r="AJ338" i="2"/>
  <c r="AK338" i="2"/>
  <c r="AL338" i="2"/>
  <c r="AM338" i="2"/>
  <c r="AN338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G339" i="2"/>
  <c r="AH339" i="2"/>
  <c r="AI339" i="2"/>
  <c r="AJ339" i="2"/>
  <c r="AK339" i="2"/>
  <c r="AL339" i="2"/>
  <c r="AM339" i="2"/>
  <c r="AN339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G340" i="2"/>
  <c r="AH340" i="2"/>
  <c r="AI340" i="2"/>
  <c r="AJ340" i="2"/>
  <c r="AK340" i="2"/>
  <c r="AL340" i="2"/>
  <c r="AM340" i="2"/>
  <c r="AN340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G341" i="2"/>
  <c r="AH341" i="2"/>
  <c r="AI341" i="2"/>
  <c r="AJ341" i="2"/>
  <c r="AK341" i="2"/>
  <c r="AL341" i="2"/>
  <c r="AM341" i="2"/>
  <c r="AN341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CZ4" i="2" s="1"/>
  <c r="AF4" i="2"/>
  <c r="DA4" i="2" s="1"/>
  <c r="AG4" i="2"/>
  <c r="DB4" i="2" s="1"/>
  <c r="AH4" i="2"/>
  <c r="DC4" i="2" s="1"/>
  <c r="AI4" i="2"/>
  <c r="DD4" i="2" s="1"/>
  <c r="AJ4" i="2"/>
  <c r="DE4" i="2" s="1"/>
  <c r="AK4" i="2"/>
  <c r="DF4" i="2" s="1"/>
  <c r="AL4" i="2"/>
  <c r="DG4" i="2" s="1"/>
  <c r="AM4" i="2"/>
  <c r="DH4" i="2" s="1"/>
  <c r="AN4" i="2"/>
  <c r="DI4" i="2" s="1"/>
  <c r="AO4" i="2"/>
  <c r="DJ4" i="2" s="1"/>
  <c r="AP4" i="2"/>
  <c r="DK4" i="2" s="1"/>
  <c r="AQ4" i="2"/>
  <c r="DL4" i="2" s="1"/>
  <c r="I4" i="2"/>
  <c r="AT1" i="2" l="1"/>
  <c r="K3" i="18" l="1" a="1"/>
  <c r="K3" i="18" s="1"/>
  <c r="K4" i="18" a="1"/>
  <c r="K4" i="18" s="1"/>
  <c r="K5" i="18" a="1"/>
  <c r="K5" i="18" s="1"/>
  <c r="K6" i="18" a="1"/>
  <c r="K6" i="18" s="1"/>
  <c r="K7" i="18" a="1"/>
  <c r="K7" i="18" s="1"/>
  <c r="K8" i="18" a="1"/>
  <c r="K8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2" i="18" a="1"/>
  <c r="K2" i="18" s="1"/>
  <c r="I35" i="18"/>
  <c r="N35" i="18" s="1"/>
  <c r="O35" i="18" s="1"/>
  <c r="I34" i="18"/>
  <c r="N34" i="18" s="1"/>
  <c r="O34" i="18" s="1"/>
  <c r="I33" i="18"/>
  <c r="N33" i="18" s="1"/>
  <c r="O33" i="18" s="1"/>
  <c r="I32" i="18"/>
  <c r="N32" i="18" s="1"/>
  <c r="O32" i="18" s="1"/>
  <c r="N31" i="18"/>
  <c r="O31" i="18" s="1"/>
  <c r="I31" i="18"/>
  <c r="I30" i="18"/>
  <c r="N30" i="18" s="1"/>
  <c r="O30" i="18" s="1"/>
  <c r="I29" i="18"/>
  <c r="N29" i="18" s="1"/>
  <c r="O29" i="18" s="1"/>
  <c r="I28" i="18"/>
  <c r="N28" i="18" s="1"/>
  <c r="O28" i="18" s="1"/>
  <c r="I27" i="18"/>
  <c r="N27" i="18" s="1"/>
  <c r="O27" i="18" s="1"/>
  <c r="I26" i="18"/>
  <c r="N26" i="18" s="1"/>
  <c r="O26" i="18" s="1"/>
  <c r="I25" i="18"/>
  <c r="N25" i="18" s="1"/>
  <c r="O25" i="18" s="1"/>
  <c r="N24" i="18"/>
  <c r="O24" i="18" s="1"/>
  <c r="I24" i="18"/>
  <c r="I23" i="18"/>
  <c r="N23" i="18" s="1"/>
  <c r="O23" i="18" s="1"/>
  <c r="I22" i="18"/>
  <c r="N22" i="18" s="1"/>
  <c r="O22" i="18" s="1"/>
  <c r="I21" i="18"/>
  <c r="N21" i="18" s="1"/>
  <c r="O21" i="18" s="1"/>
  <c r="I20" i="18"/>
  <c r="N20" i="18" s="1"/>
  <c r="O20" i="18" s="1"/>
  <c r="I19" i="18"/>
  <c r="N19" i="18" s="1"/>
  <c r="O19" i="18" s="1"/>
  <c r="I18" i="18"/>
  <c r="N18" i="18" s="1"/>
  <c r="O18" i="18" s="1"/>
  <c r="I17" i="18"/>
  <c r="N17" i="18" s="1"/>
  <c r="O17" i="18" s="1"/>
  <c r="I16" i="18"/>
  <c r="N16" i="18" s="1"/>
  <c r="O16" i="18" s="1"/>
  <c r="I15" i="18"/>
  <c r="N15" i="18" s="1"/>
  <c r="O15" i="18" s="1"/>
  <c r="I14" i="18"/>
  <c r="N14" i="18" s="1"/>
  <c r="O14" i="18" s="1"/>
  <c r="I13" i="18"/>
  <c r="N13" i="18" s="1"/>
  <c r="O13" i="18" s="1"/>
  <c r="I12" i="18"/>
  <c r="N12" i="18" s="1"/>
  <c r="O12" i="18" s="1"/>
  <c r="I11" i="18"/>
  <c r="N11" i="18" s="1"/>
  <c r="O11" i="18" s="1"/>
  <c r="I10" i="18"/>
  <c r="N10" i="18" s="1"/>
  <c r="O10" i="18" s="1"/>
  <c r="I9" i="18"/>
  <c r="N9" i="18" s="1"/>
  <c r="O9" i="18" s="1"/>
  <c r="I8" i="18"/>
  <c r="N8" i="18" s="1"/>
  <c r="O8" i="18" s="1"/>
  <c r="I7" i="18"/>
  <c r="N7" i="18" s="1"/>
  <c r="O7" i="18" s="1"/>
  <c r="I6" i="18"/>
  <c r="N6" i="18" s="1"/>
  <c r="O6" i="18" s="1"/>
  <c r="I5" i="18"/>
  <c r="N5" i="18" s="1"/>
  <c r="O5" i="18" s="1"/>
  <c r="I4" i="18"/>
  <c r="N4" i="18" s="1"/>
  <c r="O4" i="18" s="1"/>
  <c r="I3" i="18"/>
  <c r="N3" i="18" s="1"/>
  <c r="O3" i="18" s="1"/>
  <c r="I2" i="18"/>
  <c r="N2" i="18" s="1"/>
  <c r="O2" i="18" s="1"/>
  <c r="CE5" i="2" l="1"/>
  <c r="CF5" i="2"/>
  <c r="CH5" i="2"/>
  <c r="CH6" i="2" s="1"/>
  <c r="CH7" i="2" s="1"/>
  <c r="CJ5" i="2"/>
  <c r="CJ6" i="2" s="1"/>
  <c r="CJ7" i="2" s="1"/>
  <c r="CJ8" i="2" s="1"/>
  <c r="CJ9" i="2" s="1"/>
  <c r="CL5" i="2"/>
  <c r="CL6" i="2" s="1"/>
  <c r="CL7" i="2" s="1"/>
  <c r="CM5" i="2"/>
  <c r="CM6" i="2" s="1"/>
  <c r="CM7" i="2" s="1"/>
  <c r="CQ5" i="2"/>
  <c r="CR5" i="2"/>
  <c r="CT5" i="2"/>
  <c r="CT6" i="2" s="1"/>
  <c r="CT7" i="2" s="1"/>
  <c r="CU5" i="2"/>
  <c r="CU6" i="2" s="1"/>
  <c r="CU7" i="2" s="1"/>
  <c r="CU8" i="2" s="1"/>
  <c r="CV5" i="2"/>
  <c r="CV6" i="2" s="1"/>
  <c r="CV7" i="2" s="1"/>
  <c r="CV8" i="2" s="1"/>
  <c r="CV9" i="2" s="1"/>
  <c r="CW5" i="2"/>
  <c r="CX5" i="2"/>
  <c r="CX6" i="2" s="1"/>
  <c r="CZ5" i="2"/>
  <c r="CZ6" i="2" s="1"/>
  <c r="DB5" i="2"/>
  <c r="DC5" i="2"/>
  <c r="DD5" i="2"/>
  <c r="DE5" i="2"/>
  <c r="DE6" i="2" s="1"/>
  <c r="DE7" i="2" s="1"/>
  <c r="DF5" i="2"/>
  <c r="DF6" i="2" s="1"/>
  <c r="DF7" i="2" s="1"/>
  <c r="DG5" i="2"/>
  <c r="DG6" i="2" s="1"/>
  <c r="DH5" i="2"/>
  <c r="DI5" i="2"/>
  <c r="DJ5" i="2"/>
  <c r="DJ6" i="2" s="1"/>
  <c r="DK5" i="2"/>
  <c r="DK6" i="2" s="1"/>
  <c r="CD5" i="2"/>
  <c r="CG5" i="2"/>
  <c r="CG6" i="2" s="1"/>
  <c r="CG7" i="2" s="1"/>
  <c r="CG8" i="2" s="1"/>
  <c r="CG9" i="2" s="1"/>
  <c r="CG10" i="2" s="1"/>
  <c r="CG11" i="2" s="1"/>
  <c r="CS5" i="2"/>
  <c r="CS6" i="2" s="1"/>
  <c r="CS7" i="2" s="1"/>
  <c r="CS8" i="2" s="1"/>
  <c r="CS9" i="2" s="1"/>
  <c r="DF8" i="2" l="1"/>
  <c r="DF9" i="2" s="1"/>
  <c r="DF10" i="2" s="1"/>
  <c r="DF11" i="2" s="1"/>
  <c r="DF12" i="2" s="1"/>
  <c r="DF13" i="2" s="1"/>
  <c r="DF14" i="2" s="1"/>
  <c r="DF15" i="2" s="1"/>
  <c r="DF16" i="2" s="1"/>
  <c r="DF17" i="2" s="1"/>
  <c r="DF18" i="2" s="1"/>
  <c r="DF19" i="2" s="1"/>
  <c r="DF20" i="2" s="1"/>
  <c r="DF21" i="2" s="1"/>
  <c r="DF22" i="2" s="1"/>
  <c r="DF23" i="2" s="1"/>
  <c r="DF24" i="2" s="1"/>
  <c r="DF25" i="2" s="1"/>
  <c r="DF26" i="2" s="1"/>
  <c r="DF27" i="2" s="1"/>
  <c r="DF28" i="2" s="1"/>
  <c r="DF29" i="2" s="1"/>
  <c r="DF30" i="2" s="1"/>
  <c r="DF31" i="2" s="1"/>
  <c r="DF32" i="2" s="1"/>
  <c r="DF33" i="2" s="1"/>
  <c r="DF34" i="2" s="1"/>
  <c r="DF35" i="2" s="1"/>
  <c r="DF36" i="2" s="1"/>
  <c r="DF37" i="2" s="1"/>
  <c r="DF38" i="2" s="1"/>
  <c r="DF39" i="2" s="1"/>
  <c r="DF40" i="2" s="1"/>
  <c r="DF41" i="2" s="1"/>
  <c r="DF42" i="2" s="1"/>
  <c r="DF43" i="2" s="1"/>
  <c r="DF44" i="2" s="1"/>
  <c r="DF45" i="2" s="1"/>
  <c r="DF46" i="2" s="1"/>
  <c r="DF47" i="2" s="1"/>
  <c r="DF48" i="2" s="1"/>
  <c r="DF49" i="2" s="1"/>
  <c r="DF50" i="2" s="1"/>
  <c r="DF51" i="2" s="1"/>
  <c r="DF52" i="2" s="1"/>
  <c r="DF53" i="2" s="1"/>
  <c r="DF54" i="2" s="1"/>
  <c r="DF55" i="2" s="1"/>
  <c r="DF56" i="2" s="1"/>
  <c r="DF57" i="2" s="1"/>
  <c r="DF58" i="2" s="1"/>
  <c r="DF59" i="2" s="1"/>
  <c r="DF60" i="2" s="1"/>
  <c r="DF61" i="2" s="1"/>
  <c r="DF62" i="2" s="1"/>
  <c r="DF63" i="2" s="1"/>
  <c r="DF64" i="2" s="1"/>
  <c r="DF65" i="2" s="1"/>
  <c r="DF66" i="2" s="1"/>
  <c r="DF67" i="2" s="1"/>
  <c r="DF68" i="2" s="1"/>
  <c r="DF69" i="2" s="1"/>
  <c r="DF70" i="2" s="1"/>
  <c r="DF71" i="2" s="1"/>
  <c r="DF72" i="2" s="1"/>
  <c r="DF73" i="2" s="1"/>
  <c r="DF74" i="2" s="1"/>
  <c r="DF75" i="2" s="1"/>
  <c r="DF76" i="2" s="1"/>
  <c r="DF77" i="2" s="1"/>
  <c r="DF78" i="2" s="1"/>
  <c r="DF79" i="2" s="1"/>
  <c r="DF80" i="2" s="1"/>
  <c r="DF81" i="2" s="1"/>
  <c r="DF82" i="2" s="1"/>
  <c r="DF83" i="2" s="1"/>
  <c r="DF84" i="2" s="1"/>
  <c r="DF85" i="2" s="1"/>
  <c r="DF86" i="2" s="1"/>
  <c r="DF87" i="2" s="1"/>
  <c r="DF88" i="2" s="1"/>
  <c r="DF89" i="2" s="1"/>
  <c r="DF90" i="2" s="1"/>
  <c r="DF91" i="2" s="1"/>
  <c r="DF92" i="2" s="1"/>
  <c r="DF93" i="2" s="1"/>
  <c r="DF94" i="2" s="1"/>
  <c r="DF95" i="2" s="1"/>
  <c r="DF96" i="2" s="1"/>
  <c r="DF97" i="2" s="1"/>
  <c r="DF98" i="2" s="1"/>
  <c r="DF99" i="2" s="1"/>
  <c r="DF100" i="2" s="1"/>
  <c r="DF101" i="2" s="1"/>
  <c r="DF102" i="2" s="1"/>
  <c r="DF103" i="2" s="1"/>
  <c r="DF104" i="2" s="1"/>
  <c r="DF105" i="2" s="1"/>
  <c r="DF106" i="2" s="1"/>
  <c r="DF107" i="2" s="1"/>
  <c r="DF108" i="2" s="1"/>
  <c r="DF109" i="2" s="1"/>
  <c r="DF110" i="2" s="1"/>
  <c r="DF111" i="2" s="1"/>
  <c r="DF112" i="2" s="1"/>
  <c r="DF113" i="2" s="1"/>
  <c r="DF114" i="2" s="1"/>
  <c r="DF115" i="2" s="1"/>
  <c r="DF116" i="2" s="1"/>
  <c r="DF117" i="2" s="1"/>
  <c r="DF118" i="2" s="1"/>
  <c r="DF119" i="2" s="1"/>
  <c r="DF120" i="2" s="1"/>
  <c r="DF121" i="2" s="1"/>
  <c r="DF122" i="2" s="1"/>
  <c r="DF123" i="2" s="1"/>
  <c r="DF124" i="2" s="1"/>
  <c r="DF125" i="2" s="1"/>
  <c r="DF126" i="2" s="1"/>
  <c r="DF127" i="2" s="1"/>
  <c r="DF128" i="2" s="1"/>
  <c r="DF129" i="2" s="1"/>
  <c r="DF130" i="2" s="1"/>
  <c r="DF131" i="2" s="1"/>
  <c r="DF132" i="2" s="1"/>
  <c r="DF133" i="2" s="1"/>
  <c r="DF134" i="2" s="1"/>
  <c r="DF135" i="2" s="1"/>
  <c r="DF136" i="2" s="1"/>
  <c r="DF137" i="2" s="1"/>
  <c r="DF138" i="2" s="1"/>
  <c r="DF139" i="2" s="1"/>
  <c r="DF140" i="2" s="1"/>
  <c r="DF141" i="2" s="1"/>
  <c r="DF142" i="2" s="1"/>
  <c r="DF143" i="2" s="1"/>
  <c r="DF144" i="2" s="1"/>
  <c r="DF145" i="2" s="1"/>
  <c r="DF146" i="2" s="1"/>
  <c r="DF147" i="2" s="1"/>
  <c r="DF148" i="2" s="1"/>
  <c r="DF149" i="2" s="1"/>
  <c r="DF150" i="2" s="1"/>
  <c r="DF151" i="2" s="1"/>
  <c r="DF152" i="2" s="1"/>
  <c r="DF153" i="2" s="1"/>
  <c r="DF154" i="2" s="1"/>
  <c r="DF155" i="2" s="1"/>
  <c r="DF156" i="2" s="1"/>
  <c r="DF157" i="2" s="1"/>
  <c r="DF158" i="2" s="1"/>
  <c r="DF159" i="2" s="1"/>
  <c r="DF160" i="2" s="1"/>
  <c r="DF161" i="2" s="1"/>
  <c r="DF162" i="2" s="1"/>
  <c r="DF163" i="2" s="1"/>
  <c r="DF164" i="2" s="1"/>
  <c r="DF165" i="2" s="1"/>
  <c r="DF166" i="2" s="1"/>
  <c r="DF167" i="2" s="1"/>
  <c r="DF168" i="2" s="1"/>
  <c r="DF169" i="2" s="1"/>
  <c r="DF170" i="2" s="1"/>
  <c r="DF171" i="2" s="1"/>
  <c r="DF172" i="2" s="1"/>
  <c r="DF173" i="2" s="1"/>
  <c r="DF174" i="2" s="1"/>
  <c r="DF175" i="2" s="1"/>
  <c r="DF176" i="2" s="1"/>
  <c r="DF177" i="2" s="1"/>
  <c r="DF178" i="2" s="1"/>
  <c r="DF179" i="2" s="1"/>
  <c r="DF180" i="2" s="1"/>
  <c r="DF181" i="2" s="1"/>
  <c r="DF182" i="2" s="1"/>
  <c r="DF183" i="2" s="1"/>
  <c r="DF184" i="2" s="1"/>
  <c r="DF185" i="2" s="1"/>
  <c r="DF186" i="2" s="1"/>
  <c r="DF187" i="2" s="1"/>
  <c r="DF188" i="2" s="1"/>
  <c r="DF189" i="2" s="1"/>
  <c r="DF190" i="2" s="1"/>
  <c r="DF191" i="2" s="1"/>
  <c r="DF192" i="2" s="1"/>
  <c r="DF193" i="2" s="1"/>
  <c r="DF194" i="2" s="1"/>
  <c r="DF195" i="2" s="1"/>
  <c r="DF196" i="2" s="1"/>
  <c r="DF197" i="2" s="1"/>
  <c r="DF198" i="2" s="1"/>
  <c r="DF199" i="2" s="1"/>
  <c r="DF200" i="2" s="1"/>
  <c r="DF201" i="2" s="1"/>
  <c r="DF202" i="2" s="1"/>
  <c r="DF203" i="2" s="1"/>
  <c r="DF204" i="2" s="1"/>
  <c r="DF205" i="2" s="1"/>
  <c r="DF206" i="2" s="1"/>
  <c r="DF207" i="2" s="1"/>
  <c r="DF208" i="2" s="1"/>
  <c r="DF209" i="2" s="1"/>
  <c r="DF210" i="2" s="1"/>
  <c r="DF211" i="2" s="1"/>
  <c r="DF212" i="2" s="1"/>
  <c r="DF213" i="2" s="1"/>
  <c r="DF214" i="2" s="1"/>
  <c r="DF215" i="2" s="1"/>
  <c r="DF216" i="2" s="1"/>
  <c r="DF217" i="2" s="1"/>
  <c r="DF218" i="2" s="1"/>
  <c r="DF219" i="2" s="1"/>
  <c r="DF220" i="2" s="1"/>
  <c r="DF221" i="2" s="1"/>
  <c r="DF222" i="2" s="1"/>
  <c r="DF223" i="2" s="1"/>
  <c r="DF224" i="2" s="1"/>
  <c r="DF225" i="2" s="1"/>
  <c r="DF226" i="2" s="1"/>
  <c r="DF227" i="2" s="1"/>
  <c r="DF228" i="2" s="1"/>
  <c r="DF229" i="2" s="1"/>
  <c r="DF230" i="2" s="1"/>
  <c r="DF231" i="2" s="1"/>
  <c r="DF232" i="2" s="1"/>
  <c r="DF233" i="2" s="1"/>
  <c r="DF234" i="2" s="1"/>
  <c r="DF235" i="2" s="1"/>
  <c r="DF236" i="2" s="1"/>
  <c r="DF237" i="2" s="1"/>
  <c r="DF238" i="2" s="1"/>
  <c r="DF239" i="2" s="1"/>
  <c r="DF240" i="2" s="1"/>
  <c r="DF241" i="2" s="1"/>
  <c r="DF242" i="2" s="1"/>
  <c r="DF243" i="2" s="1"/>
  <c r="DF244" i="2" s="1"/>
  <c r="DF245" i="2" s="1"/>
  <c r="DF246" i="2" s="1"/>
  <c r="DF247" i="2" s="1"/>
  <c r="DF248" i="2" s="1"/>
  <c r="DF249" i="2" s="1"/>
  <c r="DF250" i="2" s="1"/>
  <c r="DF251" i="2" s="1"/>
  <c r="DF252" i="2" s="1"/>
  <c r="DF253" i="2" s="1"/>
  <c r="DF254" i="2" s="1"/>
  <c r="DF255" i="2" s="1"/>
  <c r="DF256" i="2" s="1"/>
  <c r="DF257" i="2" s="1"/>
  <c r="DF258" i="2" s="1"/>
  <c r="DF259" i="2" s="1"/>
  <c r="DF260" i="2" s="1"/>
  <c r="DF261" i="2" s="1"/>
  <c r="DF262" i="2" s="1"/>
  <c r="DF263" i="2" s="1"/>
  <c r="DF264" i="2" s="1"/>
  <c r="DF265" i="2" s="1"/>
  <c r="DF266" i="2" s="1"/>
  <c r="DF267" i="2" s="1"/>
  <c r="DF268" i="2" s="1"/>
  <c r="DF269" i="2" s="1"/>
  <c r="DF270" i="2" s="1"/>
  <c r="DF271" i="2" s="1"/>
  <c r="DF272" i="2" s="1"/>
  <c r="DF273" i="2" s="1"/>
  <c r="DF274" i="2" s="1"/>
  <c r="DF275" i="2" s="1"/>
  <c r="DF276" i="2" s="1"/>
  <c r="DF277" i="2" s="1"/>
  <c r="DF278" i="2" s="1"/>
  <c r="DF279" i="2" s="1"/>
  <c r="DF280" i="2" s="1"/>
  <c r="DF281" i="2" s="1"/>
  <c r="DF282" i="2" s="1"/>
  <c r="DF283" i="2" s="1"/>
  <c r="DF284" i="2" s="1"/>
  <c r="DF285" i="2" s="1"/>
  <c r="DF286" i="2" s="1"/>
  <c r="DF287" i="2" s="1"/>
  <c r="DF288" i="2" s="1"/>
  <c r="DF289" i="2" s="1"/>
  <c r="DF290" i="2" s="1"/>
  <c r="DF291" i="2" s="1"/>
  <c r="DF292" i="2" s="1"/>
  <c r="DF293" i="2" s="1"/>
  <c r="DF294" i="2" s="1"/>
  <c r="DF295" i="2" s="1"/>
  <c r="DF296" i="2" s="1"/>
  <c r="DF297" i="2" s="1"/>
  <c r="DF298" i="2" s="1"/>
  <c r="DF299" i="2" s="1"/>
  <c r="DF300" i="2" s="1"/>
  <c r="DF301" i="2" s="1"/>
  <c r="DF302" i="2" s="1"/>
  <c r="DF303" i="2" s="1"/>
  <c r="DF304" i="2" s="1"/>
  <c r="DF305" i="2" s="1"/>
  <c r="DF306" i="2" s="1"/>
  <c r="DF307" i="2" s="1"/>
  <c r="DF308" i="2" s="1"/>
  <c r="DF309" i="2" s="1"/>
  <c r="DF310" i="2" s="1"/>
  <c r="DF311" i="2" s="1"/>
  <c r="DF312" i="2" s="1"/>
  <c r="DF313" i="2" s="1"/>
  <c r="DF314" i="2" s="1"/>
  <c r="DF315" i="2" s="1"/>
  <c r="DF316" i="2" s="1"/>
  <c r="DF317" i="2" s="1"/>
  <c r="DF318" i="2" s="1"/>
  <c r="DF319" i="2" s="1"/>
  <c r="DF320" i="2" s="1"/>
  <c r="DF321" i="2" s="1"/>
  <c r="DF322" i="2" s="1"/>
  <c r="DF323" i="2" s="1"/>
  <c r="DF324" i="2" s="1"/>
  <c r="DF325" i="2" s="1"/>
  <c r="DF326" i="2" s="1"/>
  <c r="DF327" i="2" s="1"/>
  <c r="DF328" i="2" s="1"/>
  <c r="DF329" i="2" s="1"/>
  <c r="DF330" i="2" s="1"/>
  <c r="DF331" i="2" s="1"/>
  <c r="DF332" i="2" s="1"/>
  <c r="DF333" i="2" s="1"/>
  <c r="DF334" i="2" s="1"/>
  <c r="DF335" i="2" s="1"/>
  <c r="DF336" i="2" s="1"/>
  <c r="DF337" i="2" s="1"/>
  <c r="DF338" i="2" s="1"/>
  <c r="DF339" i="2" s="1"/>
  <c r="DF340" i="2" s="1"/>
  <c r="DF341" i="2" s="1"/>
  <c r="CT8" i="2"/>
  <c r="CT9" i="2" s="1"/>
  <c r="CT10" i="2" s="1"/>
  <c r="CT11" i="2" s="1"/>
  <c r="CT12" i="2" s="1"/>
  <c r="CT13" i="2" s="1"/>
  <c r="CT14" i="2" s="1"/>
  <c r="CT15" i="2" s="1"/>
  <c r="CT16" i="2" s="1"/>
  <c r="CT17" i="2" s="1"/>
  <c r="CT18" i="2" s="1"/>
  <c r="CT19" i="2" s="1"/>
  <c r="CT20" i="2" s="1"/>
  <c r="CT21" i="2" s="1"/>
  <c r="CT22" i="2" s="1"/>
  <c r="CT23" i="2" s="1"/>
  <c r="CT24" i="2" s="1"/>
  <c r="CT25" i="2" s="1"/>
  <c r="CT26" i="2" s="1"/>
  <c r="CT27" i="2" s="1"/>
  <c r="CT28" i="2" s="1"/>
  <c r="CT29" i="2" s="1"/>
  <c r="CT30" i="2" s="1"/>
  <c r="CT31" i="2" s="1"/>
  <c r="CT32" i="2" s="1"/>
  <c r="CT33" i="2" s="1"/>
  <c r="CT34" i="2" s="1"/>
  <c r="CT35" i="2" s="1"/>
  <c r="CT36" i="2" s="1"/>
  <c r="CT37" i="2" s="1"/>
  <c r="CT38" i="2" s="1"/>
  <c r="CT39" i="2" s="1"/>
  <c r="CT40" i="2" s="1"/>
  <c r="CT41" i="2" s="1"/>
  <c r="CT42" i="2" s="1"/>
  <c r="CT43" i="2" s="1"/>
  <c r="CT44" i="2" s="1"/>
  <c r="CT45" i="2" s="1"/>
  <c r="CT46" i="2" s="1"/>
  <c r="CT47" i="2" s="1"/>
  <c r="CT48" i="2" s="1"/>
  <c r="CT49" i="2" s="1"/>
  <c r="CT50" i="2" s="1"/>
  <c r="CT51" i="2" s="1"/>
  <c r="CT52" i="2" s="1"/>
  <c r="CT53" i="2" s="1"/>
  <c r="CT54" i="2" s="1"/>
  <c r="CT55" i="2" s="1"/>
  <c r="CT56" i="2" s="1"/>
  <c r="CT57" i="2" s="1"/>
  <c r="CT58" i="2" s="1"/>
  <c r="CT59" i="2" s="1"/>
  <c r="CT60" i="2" s="1"/>
  <c r="CT61" i="2" s="1"/>
  <c r="CT62" i="2" s="1"/>
  <c r="CT63" i="2" s="1"/>
  <c r="CT64" i="2" s="1"/>
  <c r="CT65" i="2" s="1"/>
  <c r="CT66" i="2" s="1"/>
  <c r="CT67" i="2" s="1"/>
  <c r="CT68" i="2" s="1"/>
  <c r="CT69" i="2" s="1"/>
  <c r="CT70" i="2" s="1"/>
  <c r="CT71" i="2" s="1"/>
  <c r="CT72" i="2" s="1"/>
  <c r="CT73" i="2" s="1"/>
  <c r="CT74" i="2" s="1"/>
  <c r="CT75" i="2" s="1"/>
  <c r="CT76" i="2" s="1"/>
  <c r="CT77" i="2" s="1"/>
  <c r="CT78" i="2" s="1"/>
  <c r="CT79" i="2" s="1"/>
  <c r="CT80" i="2" s="1"/>
  <c r="CT81" i="2" s="1"/>
  <c r="CT82" i="2" s="1"/>
  <c r="CT83" i="2" s="1"/>
  <c r="CT84" i="2" s="1"/>
  <c r="CT85" i="2" s="1"/>
  <c r="CT86" i="2" s="1"/>
  <c r="CT87" i="2" s="1"/>
  <c r="CT88" i="2" s="1"/>
  <c r="CT89" i="2" s="1"/>
  <c r="CT90" i="2" s="1"/>
  <c r="CT91" i="2" s="1"/>
  <c r="CT92" i="2" s="1"/>
  <c r="CT93" i="2" s="1"/>
  <c r="CT94" i="2" s="1"/>
  <c r="CT95" i="2" s="1"/>
  <c r="CT96" i="2" s="1"/>
  <c r="CT97" i="2" s="1"/>
  <c r="CT98" i="2" s="1"/>
  <c r="CT99" i="2" s="1"/>
  <c r="CT100" i="2" s="1"/>
  <c r="CT101" i="2" s="1"/>
  <c r="CT102" i="2" s="1"/>
  <c r="CT103" i="2" s="1"/>
  <c r="CT104" i="2" s="1"/>
  <c r="CT105" i="2" s="1"/>
  <c r="CT106" i="2" s="1"/>
  <c r="CT107" i="2" s="1"/>
  <c r="CT108" i="2" s="1"/>
  <c r="CT109" i="2" s="1"/>
  <c r="CT110" i="2" s="1"/>
  <c r="CT111" i="2" s="1"/>
  <c r="CT112" i="2" s="1"/>
  <c r="CT113" i="2" s="1"/>
  <c r="CT114" i="2" s="1"/>
  <c r="CT115" i="2" s="1"/>
  <c r="CT116" i="2" s="1"/>
  <c r="CT117" i="2" s="1"/>
  <c r="CT118" i="2" s="1"/>
  <c r="CT119" i="2" s="1"/>
  <c r="CT120" i="2" s="1"/>
  <c r="CT121" i="2" s="1"/>
  <c r="CT122" i="2" s="1"/>
  <c r="CT123" i="2" s="1"/>
  <c r="CT124" i="2" s="1"/>
  <c r="CT125" i="2" s="1"/>
  <c r="CT126" i="2" s="1"/>
  <c r="CT127" i="2" s="1"/>
  <c r="CT128" i="2" s="1"/>
  <c r="CT129" i="2" s="1"/>
  <c r="CT130" i="2" s="1"/>
  <c r="CT131" i="2" s="1"/>
  <c r="CT132" i="2" s="1"/>
  <c r="CT133" i="2" s="1"/>
  <c r="CT134" i="2" s="1"/>
  <c r="CT135" i="2" s="1"/>
  <c r="CT136" i="2" s="1"/>
  <c r="CT137" i="2" s="1"/>
  <c r="CT138" i="2" s="1"/>
  <c r="CT139" i="2" s="1"/>
  <c r="CT140" i="2" s="1"/>
  <c r="CT141" i="2" s="1"/>
  <c r="CT142" i="2" s="1"/>
  <c r="CT143" i="2" s="1"/>
  <c r="CT144" i="2" s="1"/>
  <c r="CT145" i="2" s="1"/>
  <c r="CT146" i="2" s="1"/>
  <c r="CT147" i="2" s="1"/>
  <c r="CT148" i="2" s="1"/>
  <c r="CT149" i="2" s="1"/>
  <c r="CT150" i="2" s="1"/>
  <c r="CT151" i="2" s="1"/>
  <c r="CT152" i="2" s="1"/>
  <c r="CT153" i="2" s="1"/>
  <c r="CT154" i="2" s="1"/>
  <c r="CT155" i="2" s="1"/>
  <c r="CT156" i="2" s="1"/>
  <c r="CT157" i="2" s="1"/>
  <c r="CT158" i="2" s="1"/>
  <c r="CT159" i="2" s="1"/>
  <c r="CT160" i="2" s="1"/>
  <c r="CT161" i="2" s="1"/>
  <c r="CT162" i="2" s="1"/>
  <c r="CT163" i="2" s="1"/>
  <c r="CT164" i="2" s="1"/>
  <c r="CT165" i="2" s="1"/>
  <c r="CT166" i="2" s="1"/>
  <c r="CT167" i="2" s="1"/>
  <c r="CT168" i="2" s="1"/>
  <c r="CT169" i="2" s="1"/>
  <c r="CT170" i="2" s="1"/>
  <c r="CT171" i="2" s="1"/>
  <c r="CT172" i="2" s="1"/>
  <c r="CT173" i="2" s="1"/>
  <c r="CT174" i="2" s="1"/>
  <c r="CT175" i="2" s="1"/>
  <c r="CT176" i="2" s="1"/>
  <c r="CT177" i="2" s="1"/>
  <c r="CT178" i="2" s="1"/>
  <c r="CT179" i="2" s="1"/>
  <c r="CT180" i="2" s="1"/>
  <c r="CT181" i="2" s="1"/>
  <c r="CT182" i="2" s="1"/>
  <c r="CT183" i="2" s="1"/>
  <c r="CT184" i="2" s="1"/>
  <c r="CT185" i="2" s="1"/>
  <c r="CT186" i="2" s="1"/>
  <c r="CT187" i="2" s="1"/>
  <c r="CT188" i="2" s="1"/>
  <c r="CT189" i="2" s="1"/>
  <c r="CT190" i="2" s="1"/>
  <c r="CT191" i="2" s="1"/>
  <c r="CT192" i="2" s="1"/>
  <c r="CT193" i="2" s="1"/>
  <c r="CT194" i="2" s="1"/>
  <c r="CT195" i="2" s="1"/>
  <c r="CT196" i="2" s="1"/>
  <c r="CT197" i="2" s="1"/>
  <c r="CT198" i="2" s="1"/>
  <c r="CT199" i="2" s="1"/>
  <c r="CT200" i="2" s="1"/>
  <c r="CT201" i="2" s="1"/>
  <c r="CT202" i="2" s="1"/>
  <c r="CT203" i="2" s="1"/>
  <c r="CT204" i="2" s="1"/>
  <c r="CT205" i="2" s="1"/>
  <c r="CT206" i="2" s="1"/>
  <c r="CT207" i="2" s="1"/>
  <c r="CT208" i="2" s="1"/>
  <c r="CT209" i="2" s="1"/>
  <c r="CT210" i="2" s="1"/>
  <c r="CT211" i="2" s="1"/>
  <c r="CT212" i="2" s="1"/>
  <c r="CT213" i="2" s="1"/>
  <c r="CT214" i="2" s="1"/>
  <c r="CT215" i="2" s="1"/>
  <c r="CT216" i="2" s="1"/>
  <c r="CT217" i="2" s="1"/>
  <c r="CT218" i="2" s="1"/>
  <c r="CT219" i="2" s="1"/>
  <c r="CT220" i="2" s="1"/>
  <c r="CT221" i="2" s="1"/>
  <c r="CT222" i="2" s="1"/>
  <c r="CT223" i="2" s="1"/>
  <c r="CT224" i="2" s="1"/>
  <c r="CT225" i="2" s="1"/>
  <c r="CT226" i="2" s="1"/>
  <c r="CT227" i="2" s="1"/>
  <c r="CT228" i="2" s="1"/>
  <c r="CT229" i="2" s="1"/>
  <c r="CT230" i="2" s="1"/>
  <c r="CT231" i="2" s="1"/>
  <c r="CT232" i="2" s="1"/>
  <c r="CT233" i="2" s="1"/>
  <c r="CT234" i="2" s="1"/>
  <c r="CT235" i="2" s="1"/>
  <c r="CT236" i="2" s="1"/>
  <c r="CT237" i="2" s="1"/>
  <c r="CT238" i="2" s="1"/>
  <c r="CT239" i="2" s="1"/>
  <c r="CT240" i="2" s="1"/>
  <c r="CT241" i="2" s="1"/>
  <c r="CT242" i="2" s="1"/>
  <c r="CT243" i="2" s="1"/>
  <c r="CT244" i="2" s="1"/>
  <c r="CT245" i="2" s="1"/>
  <c r="CT246" i="2" s="1"/>
  <c r="CT247" i="2" s="1"/>
  <c r="CT248" i="2" s="1"/>
  <c r="CT249" i="2" s="1"/>
  <c r="CT250" i="2" s="1"/>
  <c r="CT251" i="2" s="1"/>
  <c r="CT252" i="2" s="1"/>
  <c r="CT253" i="2" s="1"/>
  <c r="CT254" i="2" s="1"/>
  <c r="CT255" i="2" s="1"/>
  <c r="CT256" i="2" s="1"/>
  <c r="CT257" i="2" s="1"/>
  <c r="CT258" i="2" s="1"/>
  <c r="CT259" i="2" s="1"/>
  <c r="CT260" i="2" s="1"/>
  <c r="CT261" i="2" s="1"/>
  <c r="CT262" i="2" s="1"/>
  <c r="CT263" i="2" s="1"/>
  <c r="CT264" i="2" s="1"/>
  <c r="CT265" i="2" s="1"/>
  <c r="CT266" i="2" s="1"/>
  <c r="CT267" i="2" s="1"/>
  <c r="CT268" i="2" s="1"/>
  <c r="CT269" i="2" s="1"/>
  <c r="CT270" i="2" s="1"/>
  <c r="CT271" i="2" s="1"/>
  <c r="CT272" i="2" s="1"/>
  <c r="CT273" i="2" s="1"/>
  <c r="CT274" i="2" s="1"/>
  <c r="CT275" i="2" s="1"/>
  <c r="CT276" i="2" s="1"/>
  <c r="CT277" i="2" s="1"/>
  <c r="CT278" i="2" s="1"/>
  <c r="CT279" i="2" s="1"/>
  <c r="CT280" i="2" s="1"/>
  <c r="CT281" i="2" s="1"/>
  <c r="CT282" i="2" s="1"/>
  <c r="CT283" i="2" s="1"/>
  <c r="CT284" i="2" s="1"/>
  <c r="CT285" i="2" s="1"/>
  <c r="CT286" i="2" s="1"/>
  <c r="CT287" i="2" s="1"/>
  <c r="CT288" i="2" s="1"/>
  <c r="CT289" i="2" s="1"/>
  <c r="CT290" i="2" s="1"/>
  <c r="CT291" i="2" s="1"/>
  <c r="CT292" i="2" s="1"/>
  <c r="CT293" i="2" s="1"/>
  <c r="CT294" i="2" s="1"/>
  <c r="CT295" i="2" s="1"/>
  <c r="CT296" i="2" s="1"/>
  <c r="CT297" i="2" s="1"/>
  <c r="CT298" i="2" s="1"/>
  <c r="CT299" i="2" s="1"/>
  <c r="CT300" i="2" s="1"/>
  <c r="CT301" i="2" s="1"/>
  <c r="CT302" i="2" s="1"/>
  <c r="CT303" i="2" s="1"/>
  <c r="CT304" i="2" s="1"/>
  <c r="CT305" i="2" s="1"/>
  <c r="CT306" i="2" s="1"/>
  <c r="CT307" i="2" s="1"/>
  <c r="CT308" i="2" s="1"/>
  <c r="CT309" i="2" s="1"/>
  <c r="CT310" i="2" s="1"/>
  <c r="CT311" i="2" s="1"/>
  <c r="CT312" i="2" s="1"/>
  <c r="CT313" i="2" s="1"/>
  <c r="CT314" i="2" s="1"/>
  <c r="CT315" i="2" s="1"/>
  <c r="CT316" i="2" s="1"/>
  <c r="CT317" i="2" s="1"/>
  <c r="CT318" i="2" s="1"/>
  <c r="CT319" i="2" s="1"/>
  <c r="CT320" i="2" s="1"/>
  <c r="CT321" i="2" s="1"/>
  <c r="CT322" i="2" s="1"/>
  <c r="CT323" i="2" s="1"/>
  <c r="CT324" i="2" s="1"/>
  <c r="CT325" i="2" s="1"/>
  <c r="CT326" i="2" s="1"/>
  <c r="CT327" i="2" s="1"/>
  <c r="CT328" i="2" s="1"/>
  <c r="CT329" i="2" s="1"/>
  <c r="CT330" i="2" s="1"/>
  <c r="CT331" i="2" s="1"/>
  <c r="CT332" i="2" s="1"/>
  <c r="CT333" i="2" s="1"/>
  <c r="CT334" i="2" s="1"/>
  <c r="CT335" i="2" s="1"/>
  <c r="CT336" i="2" s="1"/>
  <c r="CT337" i="2" s="1"/>
  <c r="CT338" i="2" s="1"/>
  <c r="CT339" i="2" s="1"/>
  <c r="CT340" i="2" s="1"/>
  <c r="CT341" i="2" s="1"/>
  <c r="CH8" i="2"/>
  <c r="CH9" i="2" s="1"/>
  <c r="CH10" i="2" s="1"/>
  <c r="CH11" i="2" s="1"/>
  <c r="CH12" i="2" s="1"/>
  <c r="CH13" i="2" s="1"/>
  <c r="CH14" i="2" s="1"/>
  <c r="CH15" i="2" s="1"/>
  <c r="CH16" i="2" s="1"/>
  <c r="CH17" i="2" s="1"/>
  <c r="CH18" i="2" s="1"/>
  <c r="CH19" i="2" s="1"/>
  <c r="CH20" i="2" s="1"/>
  <c r="CH21" i="2" s="1"/>
  <c r="CH22" i="2" s="1"/>
  <c r="CH23" i="2" s="1"/>
  <c r="CH24" i="2" s="1"/>
  <c r="CH25" i="2" s="1"/>
  <c r="CH26" i="2" s="1"/>
  <c r="CH27" i="2" s="1"/>
  <c r="CH28" i="2" s="1"/>
  <c r="CH29" i="2" s="1"/>
  <c r="CH30" i="2" s="1"/>
  <c r="CH31" i="2" s="1"/>
  <c r="CH32" i="2" s="1"/>
  <c r="CH33" i="2" s="1"/>
  <c r="CH34" i="2" s="1"/>
  <c r="CH35" i="2" s="1"/>
  <c r="CH36" i="2" s="1"/>
  <c r="CH37" i="2" s="1"/>
  <c r="CH38" i="2" s="1"/>
  <c r="CH39" i="2" s="1"/>
  <c r="CH40" i="2" s="1"/>
  <c r="CH41" i="2" s="1"/>
  <c r="CH42" i="2" s="1"/>
  <c r="CH43" i="2" s="1"/>
  <c r="CH44" i="2" s="1"/>
  <c r="CH45" i="2" s="1"/>
  <c r="CH46" i="2" s="1"/>
  <c r="CH47" i="2" s="1"/>
  <c r="CH48" i="2" s="1"/>
  <c r="CH49" i="2" s="1"/>
  <c r="CH50" i="2" s="1"/>
  <c r="CH51" i="2" s="1"/>
  <c r="CH52" i="2" s="1"/>
  <c r="CH53" i="2" s="1"/>
  <c r="CH54" i="2" s="1"/>
  <c r="CH55" i="2" s="1"/>
  <c r="CH56" i="2" s="1"/>
  <c r="CH57" i="2" s="1"/>
  <c r="CH58" i="2" s="1"/>
  <c r="CH59" i="2" s="1"/>
  <c r="CH60" i="2" s="1"/>
  <c r="CH61" i="2" s="1"/>
  <c r="CH62" i="2" s="1"/>
  <c r="CH63" i="2" s="1"/>
  <c r="CH64" i="2" s="1"/>
  <c r="CH65" i="2" s="1"/>
  <c r="CH66" i="2" s="1"/>
  <c r="CH67" i="2" s="1"/>
  <c r="CH68" i="2" s="1"/>
  <c r="CH69" i="2" s="1"/>
  <c r="CH70" i="2" s="1"/>
  <c r="CH71" i="2" s="1"/>
  <c r="CH72" i="2" s="1"/>
  <c r="CH73" i="2" s="1"/>
  <c r="CH74" i="2" s="1"/>
  <c r="CH75" i="2" s="1"/>
  <c r="CH76" i="2" s="1"/>
  <c r="CH77" i="2" s="1"/>
  <c r="CH78" i="2" s="1"/>
  <c r="CH79" i="2" s="1"/>
  <c r="CH80" i="2" s="1"/>
  <c r="CH81" i="2" s="1"/>
  <c r="CH82" i="2" s="1"/>
  <c r="CH83" i="2" s="1"/>
  <c r="CH84" i="2" s="1"/>
  <c r="CH85" i="2" s="1"/>
  <c r="CH86" i="2" s="1"/>
  <c r="CH87" i="2" s="1"/>
  <c r="CH88" i="2" s="1"/>
  <c r="CH89" i="2" s="1"/>
  <c r="CH90" i="2" s="1"/>
  <c r="CH91" i="2" s="1"/>
  <c r="CH92" i="2" s="1"/>
  <c r="CH93" i="2" s="1"/>
  <c r="CH94" i="2" s="1"/>
  <c r="CH95" i="2" s="1"/>
  <c r="CH96" i="2" s="1"/>
  <c r="CH97" i="2" s="1"/>
  <c r="CH98" i="2" s="1"/>
  <c r="CH99" i="2" s="1"/>
  <c r="CH100" i="2" s="1"/>
  <c r="CH101" i="2" s="1"/>
  <c r="CH102" i="2" s="1"/>
  <c r="CH103" i="2" s="1"/>
  <c r="CH104" i="2" s="1"/>
  <c r="CH105" i="2" s="1"/>
  <c r="CH106" i="2" s="1"/>
  <c r="CH107" i="2" s="1"/>
  <c r="CH108" i="2" s="1"/>
  <c r="CH109" i="2" s="1"/>
  <c r="CH110" i="2" s="1"/>
  <c r="CH111" i="2" s="1"/>
  <c r="CH112" i="2" s="1"/>
  <c r="CH113" i="2" s="1"/>
  <c r="CH114" i="2" s="1"/>
  <c r="CH115" i="2" s="1"/>
  <c r="CH116" i="2" s="1"/>
  <c r="CH117" i="2" s="1"/>
  <c r="CH118" i="2" s="1"/>
  <c r="CH119" i="2" s="1"/>
  <c r="CH120" i="2" s="1"/>
  <c r="CH121" i="2" s="1"/>
  <c r="CH122" i="2" s="1"/>
  <c r="CH123" i="2" s="1"/>
  <c r="CH124" i="2" s="1"/>
  <c r="CH125" i="2" s="1"/>
  <c r="CH126" i="2" s="1"/>
  <c r="CH127" i="2" s="1"/>
  <c r="CH128" i="2" s="1"/>
  <c r="CH129" i="2" s="1"/>
  <c r="CH130" i="2" s="1"/>
  <c r="CH131" i="2" s="1"/>
  <c r="CH132" i="2" s="1"/>
  <c r="CH133" i="2" s="1"/>
  <c r="CH134" i="2" s="1"/>
  <c r="CH135" i="2" s="1"/>
  <c r="CH136" i="2" s="1"/>
  <c r="CH137" i="2" s="1"/>
  <c r="CH138" i="2" s="1"/>
  <c r="CH139" i="2" s="1"/>
  <c r="CH140" i="2" s="1"/>
  <c r="CH141" i="2" s="1"/>
  <c r="CH142" i="2" s="1"/>
  <c r="CH143" i="2" s="1"/>
  <c r="CH144" i="2" s="1"/>
  <c r="CH145" i="2" s="1"/>
  <c r="CH146" i="2" s="1"/>
  <c r="CH147" i="2" s="1"/>
  <c r="CH148" i="2" s="1"/>
  <c r="CH149" i="2" s="1"/>
  <c r="CH150" i="2" s="1"/>
  <c r="CH151" i="2" s="1"/>
  <c r="CH152" i="2" s="1"/>
  <c r="CH153" i="2" s="1"/>
  <c r="CH154" i="2" s="1"/>
  <c r="CH155" i="2" s="1"/>
  <c r="CH156" i="2" s="1"/>
  <c r="CH157" i="2" s="1"/>
  <c r="CH158" i="2" s="1"/>
  <c r="CH159" i="2" s="1"/>
  <c r="CH160" i="2" s="1"/>
  <c r="CH161" i="2" s="1"/>
  <c r="CH162" i="2" s="1"/>
  <c r="CH163" i="2" s="1"/>
  <c r="CH164" i="2" s="1"/>
  <c r="CH165" i="2" s="1"/>
  <c r="CH166" i="2" s="1"/>
  <c r="CH167" i="2" s="1"/>
  <c r="CH168" i="2" s="1"/>
  <c r="CH169" i="2" s="1"/>
  <c r="CH170" i="2" s="1"/>
  <c r="CH171" i="2" s="1"/>
  <c r="CH172" i="2" s="1"/>
  <c r="CH173" i="2" s="1"/>
  <c r="CH174" i="2" s="1"/>
  <c r="CH175" i="2" s="1"/>
  <c r="CH176" i="2" s="1"/>
  <c r="CH177" i="2" s="1"/>
  <c r="CH178" i="2" s="1"/>
  <c r="CH179" i="2" s="1"/>
  <c r="CH180" i="2" s="1"/>
  <c r="CH181" i="2" s="1"/>
  <c r="CH182" i="2" s="1"/>
  <c r="CH183" i="2" s="1"/>
  <c r="CH184" i="2" s="1"/>
  <c r="CH185" i="2" s="1"/>
  <c r="CH186" i="2" s="1"/>
  <c r="CH187" i="2" s="1"/>
  <c r="CH188" i="2" s="1"/>
  <c r="CH189" i="2" s="1"/>
  <c r="CH190" i="2" s="1"/>
  <c r="CH191" i="2" s="1"/>
  <c r="CH192" i="2" s="1"/>
  <c r="CH193" i="2" s="1"/>
  <c r="CH194" i="2" s="1"/>
  <c r="CH195" i="2" s="1"/>
  <c r="CH196" i="2" s="1"/>
  <c r="CH197" i="2" s="1"/>
  <c r="CH198" i="2" s="1"/>
  <c r="CH199" i="2" s="1"/>
  <c r="CH200" i="2" s="1"/>
  <c r="CH201" i="2" s="1"/>
  <c r="CH202" i="2" s="1"/>
  <c r="CH203" i="2" s="1"/>
  <c r="CH204" i="2" s="1"/>
  <c r="CH205" i="2" s="1"/>
  <c r="CH206" i="2" s="1"/>
  <c r="CH207" i="2" s="1"/>
  <c r="CH208" i="2" s="1"/>
  <c r="CH209" i="2" s="1"/>
  <c r="CH210" i="2" s="1"/>
  <c r="CH211" i="2" s="1"/>
  <c r="CH212" i="2" s="1"/>
  <c r="CH213" i="2" s="1"/>
  <c r="CH214" i="2" s="1"/>
  <c r="CH215" i="2" s="1"/>
  <c r="CH216" i="2" s="1"/>
  <c r="CH217" i="2" s="1"/>
  <c r="CH218" i="2" s="1"/>
  <c r="CH219" i="2" s="1"/>
  <c r="CH220" i="2" s="1"/>
  <c r="CH221" i="2" s="1"/>
  <c r="CH222" i="2" s="1"/>
  <c r="CH223" i="2" s="1"/>
  <c r="CH224" i="2" s="1"/>
  <c r="CH225" i="2" s="1"/>
  <c r="CH226" i="2" s="1"/>
  <c r="CH227" i="2" s="1"/>
  <c r="CH228" i="2" s="1"/>
  <c r="CH229" i="2" s="1"/>
  <c r="CH230" i="2" s="1"/>
  <c r="CH231" i="2" s="1"/>
  <c r="CH232" i="2" s="1"/>
  <c r="CH233" i="2" s="1"/>
  <c r="CH234" i="2" s="1"/>
  <c r="CH235" i="2" s="1"/>
  <c r="CH236" i="2" s="1"/>
  <c r="CH237" i="2" s="1"/>
  <c r="CH238" i="2" s="1"/>
  <c r="CH239" i="2" s="1"/>
  <c r="CH240" i="2" s="1"/>
  <c r="CH241" i="2" s="1"/>
  <c r="CH242" i="2" s="1"/>
  <c r="CH243" i="2" s="1"/>
  <c r="CH244" i="2" s="1"/>
  <c r="CH245" i="2" s="1"/>
  <c r="CH246" i="2" s="1"/>
  <c r="CH247" i="2" s="1"/>
  <c r="CH248" i="2" s="1"/>
  <c r="CH249" i="2" s="1"/>
  <c r="CH250" i="2" s="1"/>
  <c r="CH251" i="2" s="1"/>
  <c r="CH252" i="2" s="1"/>
  <c r="CH253" i="2" s="1"/>
  <c r="CH254" i="2" s="1"/>
  <c r="CH255" i="2" s="1"/>
  <c r="CH256" i="2" s="1"/>
  <c r="CH257" i="2" s="1"/>
  <c r="CH258" i="2" s="1"/>
  <c r="CH259" i="2" s="1"/>
  <c r="CH260" i="2" s="1"/>
  <c r="CH261" i="2" s="1"/>
  <c r="CH262" i="2" s="1"/>
  <c r="CH263" i="2" s="1"/>
  <c r="CH264" i="2" s="1"/>
  <c r="CH265" i="2" s="1"/>
  <c r="CH266" i="2" s="1"/>
  <c r="CH267" i="2" s="1"/>
  <c r="CH268" i="2" s="1"/>
  <c r="CH269" i="2" s="1"/>
  <c r="CH270" i="2" s="1"/>
  <c r="CH271" i="2" s="1"/>
  <c r="CH272" i="2" s="1"/>
  <c r="CH273" i="2" s="1"/>
  <c r="CH274" i="2" s="1"/>
  <c r="CH275" i="2" s="1"/>
  <c r="CH276" i="2" s="1"/>
  <c r="CH277" i="2" s="1"/>
  <c r="CH278" i="2" s="1"/>
  <c r="CH279" i="2" s="1"/>
  <c r="CH280" i="2" s="1"/>
  <c r="CH281" i="2" s="1"/>
  <c r="CH282" i="2" s="1"/>
  <c r="CH283" i="2" s="1"/>
  <c r="CH284" i="2" s="1"/>
  <c r="CH285" i="2" s="1"/>
  <c r="CH286" i="2" s="1"/>
  <c r="CH287" i="2" s="1"/>
  <c r="CH288" i="2" s="1"/>
  <c r="CH289" i="2" s="1"/>
  <c r="CH290" i="2" s="1"/>
  <c r="CH291" i="2" s="1"/>
  <c r="CH292" i="2" s="1"/>
  <c r="CH293" i="2" s="1"/>
  <c r="CH294" i="2" s="1"/>
  <c r="CH295" i="2" s="1"/>
  <c r="CH296" i="2" s="1"/>
  <c r="CH297" i="2" s="1"/>
  <c r="CH298" i="2" s="1"/>
  <c r="CH299" i="2" s="1"/>
  <c r="CH300" i="2" s="1"/>
  <c r="CH301" i="2" s="1"/>
  <c r="CH302" i="2" s="1"/>
  <c r="CH303" i="2" s="1"/>
  <c r="CH304" i="2" s="1"/>
  <c r="CH305" i="2" s="1"/>
  <c r="CH306" i="2" s="1"/>
  <c r="CH307" i="2" s="1"/>
  <c r="CH308" i="2" s="1"/>
  <c r="CH309" i="2" s="1"/>
  <c r="CH310" i="2" s="1"/>
  <c r="CH311" i="2" s="1"/>
  <c r="CH312" i="2" s="1"/>
  <c r="CH313" i="2" s="1"/>
  <c r="CH314" i="2" s="1"/>
  <c r="CH315" i="2" s="1"/>
  <c r="CH316" i="2" s="1"/>
  <c r="CH317" i="2" s="1"/>
  <c r="CH318" i="2" s="1"/>
  <c r="CH319" i="2" s="1"/>
  <c r="CH320" i="2" s="1"/>
  <c r="CH321" i="2" s="1"/>
  <c r="CH322" i="2" s="1"/>
  <c r="CH323" i="2" s="1"/>
  <c r="CH324" i="2" s="1"/>
  <c r="CH325" i="2" s="1"/>
  <c r="CH326" i="2" s="1"/>
  <c r="CH327" i="2" s="1"/>
  <c r="CH328" i="2" s="1"/>
  <c r="CH329" i="2" s="1"/>
  <c r="CH330" i="2" s="1"/>
  <c r="CH331" i="2" s="1"/>
  <c r="CH332" i="2" s="1"/>
  <c r="CH333" i="2" s="1"/>
  <c r="CH334" i="2" s="1"/>
  <c r="CH335" i="2" s="1"/>
  <c r="CH336" i="2" s="1"/>
  <c r="CH337" i="2" s="1"/>
  <c r="CH338" i="2" s="1"/>
  <c r="CH339" i="2" s="1"/>
  <c r="CH340" i="2" s="1"/>
  <c r="CH341" i="2" s="1"/>
  <c r="DC6" i="2"/>
  <c r="DC7" i="2" s="1"/>
  <c r="DC8" i="2" s="1"/>
  <c r="DC9" i="2" s="1"/>
  <c r="DC10" i="2" s="1"/>
  <c r="DC11" i="2" s="1"/>
  <c r="DC12" i="2" s="1"/>
  <c r="DC13" i="2" s="1"/>
  <c r="DC14" i="2" s="1"/>
  <c r="DC15" i="2" s="1"/>
  <c r="DC16" i="2" s="1"/>
  <c r="DC17" i="2" s="1"/>
  <c r="DC18" i="2" s="1"/>
  <c r="DC19" i="2" s="1"/>
  <c r="DC20" i="2" s="1"/>
  <c r="DC21" i="2" s="1"/>
  <c r="DC22" i="2" s="1"/>
  <c r="DC23" i="2" s="1"/>
  <c r="DC24" i="2" s="1"/>
  <c r="DC25" i="2" s="1"/>
  <c r="DC26" i="2" s="1"/>
  <c r="DC27" i="2" s="1"/>
  <c r="DC28" i="2" s="1"/>
  <c r="DC29" i="2" s="1"/>
  <c r="DC30" i="2" s="1"/>
  <c r="DC31" i="2" s="1"/>
  <c r="DC32" i="2" s="1"/>
  <c r="DC33" i="2" s="1"/>
  <c r="DC34" i="2" s="1"/>
  <c r="DC35" i="2" s="1"/>
  <c r="DC36" i="2" s="1"/>
  <c r="DC37" i="2" s="1"/>
  <c r="DC38" i="2" s="1"/>
  <c r="DC39" i="2" s="1"/>
  <c r="DC40" i="2" s="1"/>
  <c r="DC41" i="2" s="1"/>
  <c r="DC42" i="2" s="1"/>
  <c r="DC43" i="2" s="1"/>
  <c r="DC44" i="2" s="1"/>
  <c r="DC45" i="2" s="1"/>
  <c r="DC46" i="2" s="1"/>
  <c r="DC47" i="2" s="1"/>
  <c r="DC48" i="2" s="1"/>
  <c r="DC49" i="2" s="1"/>
  <c r="DC50" i="2" s="1"/>
  <c r="DC51" i="2" s="1"/>
  <c r="DC52" i="2" s="1"/>
  <c r="DC53" i="2" s="1"/>
  <c r="DC54" i="2" s="1"/>
  <c r="DC55" i="2" s="1"/>
  <c r="DC56" i="2" s="1"/>
  <c r="DC57" i="2" s="1"/>
  <c r="DC58" i="2" s="1"/>
  <c r="DC59" i="2" s="1"/>
  <c r="DC60" i="2" s="1"/>
  <c r="DC61" i="2" s="1"/>
  <c r="DC62" i="2" s="1"/>
  <c r="DC63" i="2" s="1"/>
  <c r="DC64" i="2" s="1"/>
  <c r="DC65" i="2" s="1"/>
  <c r="DC66" i="2" s="1"/>
  <c r="DC67" i="2" s="1"/>
  <c r="DC68" i="2" s="1"/>
  <c r="DC69" i="2" s="1"/>
  <c r="DC70" i="2" s="1"/>
  <c r="DC71" i="2" s="1"/>
  <c r="DC72" i="2" s="1"/>
  <c r="DC73" i="2" s="1"/>
  <c r="DC74" i="2" s="1"/>
  <c r="DC75" i="2" s="1"/>
  <c r="DC76" i="2" s="1"/>
  <c r="DC77" i="2" s="1"/>
  <c r="DC78" i="2" s="1"/>
  <c r="DC79" i="2" s="1"/>
  <c r="DC80" i="2" s="1"/>
  <c r="DC81" i="2" s="1"/>
  <c r="DC82" i="2" s="1"/>
  <c r="DC83" i="2" s="1"/>
  <c r="DC84" i="2" s="1"/>
  <c r="DC85" i="2" s="1"/>
  <c r="DC86" i="2" s="1"/>
  <c r="DC87" i="2" s="1"/>
  <c r="DC88" i="2" s="1"/>
  <c r="DC89" i="2" s="1"/>
  <c r="DC90" i="2" s="1"/>
  <c r="DC91" i="2" s="1"/>
  <c r="DC92" i="2" s="1"/>
  <c r="DC93" i="2" s="1"/>
  <c r="DC94" i="2" s="1"/>
  <c r="DC95" i="2" s="1"/>
  <c r="DC96" i="2" s="1"/>
  <c r="DC97" i="2" s="1"/>
  <c r="DC98" i="2" s="1"/>
  <c r="DC99" i="2" s="1"/>
  <c r="DC100" i="2" s="1"/>
  <c r="DC101" i="2" s="1"/>
  <c r="DC102" i="2" s="1"/>
  <c r="DC103" i="2" s="1"/>
  <c r="DC104" i="2" s="1"/>
  <c r="DC105" i="2" s="1"/>
  <c r="DC106" i="2" s="1"/>
  <c r="DC107" i="2" s="1"/>
  <c r="DC108" i="2" s="1"/>
  <c r="DC109" i="2" s="1"/>
  <c r="DC110" i="2" s="1"/>
  <c r="DC111" i="2" s="1"/>
  <c r="DC112" i="2" s="1"/>
  <c r="DC113" i="2" s="1"/>
  <c r="DC114" i="2" s="1"/>
  <c r="DC115" i="2" s="1"/>
  <c r="DC116" i="2" s="1"/>
  <c r="DC117" i="2" s="1"/>
  <c r="DC118" i="2" s="1"/>
  <c r="DC119" i="2" s="1"/>
  <c r="DC120" i="2" s="1"/>
  <c r="DC121" i="2" s="1"/>
  <c r="DC122" i="2" s="1"/>
  <c r="DC123" i="2" s="1"/>
  <c r="DC124" i="2" s="1"/>
  <c r="DC125" i="2" s="1"/>
  <c r="DC126" i="2" s="1"/>
  <c r="DC127" i="2" s="1"/>
  <c r="DC128" i="2" s="1"/>
  <c r="DC129" i="2" s="1"/>
  <c r="DC130" i="2" s="1"/>
  <c r="DC131" i="2" s="1"/>
  <c r="DC132" i="2" s="1"/>
  <c r="DC133" i="2" s="1"/>
  <c r="DC134" i="2" s="1"/>
  <c r="DC135" i="2" s="1"/>
  <c r="DC136" i="2" s="1"/>
  <c r="DC137" i="2" s="1"/>
  <c r="DC138" i="2" s="1"/>
  <c r="DC139" i="2" s="1"/>
  <c r="DC140" i="2" s="1"/>
  <c r="DC141" i="2" s="1"/>
  <c r="DC142" i="2" s="1"/>
  <c r="DC143" i="2" s="1"/>
  <c r="DC144" i="2" s="1"/>
  <c r="DC145" i="2" s="1"/>
  <c r="DC146" i="2" s="1"/>
  <c r="DC147" i="2" s="1"/>
  <c r="DC148" i="2" s="1"/>
  <c r="DC149" i="2" s="1"/>
  <c r="DC150" i="2" s="1"/>
  <c r="DC151" i="2" s="1"/>
  <c r="DC152" i="2" s="1"/>
  <c r="DC153" i="2" s="1"/>
  <c r="DC154" i="2" s="1"/>
  <c r="DC155" i="2" s="1"/>
  <c r="DC156" i="2" s="1"/>
  <c r="DC157" i="2" s="1"/>
  <c r="DC158" i="2" s="1"/>
  <c r="DC159" i="2" s="1"/>
  <c r="DC160" i="2" s="1"/>
  <c r="DC161" i="2" s="1"/>
  <c r="DC162" i="2" s="1"/>
  <c r="DC163" i="2" s="1"/>
  <c r="DC164" i="2" s="1"/>
  <c r="DC165" i="2" s="1"/>
  <c r="DC166" i="2" s="1"/>
  <c r="DC167" i="2" s="1"/>
  <c r="DC168" i="2" s="1"/>
  <c r="DC169" i="2" s="1"/>
  <c r="DC170" i="2" s="1"/>
  <c r="DC171" i="2" s="1"/>
  <c r="DC172" i="2" s="1"/>
  <c r="DC173" i="2" s="1"/>
  <c r="DC174" i="2" s="1"/>
  <c r="DC175" i="2" s="1"/>
  <c r="DC176" i="2" s="1"/>
  <c r="DC177" i="2" s="1"/>
  <c r="DC178" i="2" s="1"/>
  <c r="DC179" i="2" s="1"/>
  <c r="DC180" i="2" s="1"/>
  <c r="DC181" i="2" s="1"/>
  <c r="DC182" i="2" s="1"/>
  <c r="DC183" i="2" s="1"/>
  <c r="DC184" i="2" s="1"/>
  <c r="DC185" i="2" s="1"/>
  <c r="DC186" i="2" s="1"/>
  <c r="DC187" i="2" s="1"/>
  <c r="DC188" i="2" s="1"/>
  <c r="DC189" i="2" s="1"/>
  <c r="DC190" i="2" s="1"/>
  <c r="DC191" i="2" s="1"/>
  <c r="DC192" i="2" s="1"/>
  <c r="DC193" i="2" s="1"/>
  <c r="DC194" i="2" s="1"/>
  <c r="DC195" i="2" s="1"/>
  <c r="DC196" i="2" s="1"/>
  <c r="DC197" i="2" s="1"/>
  <c r="DC198" i="2" s="1"/>
  <c r="DC199" i="2" s="1"/>
  <c r="DC200" i="2" s="1"/>
  <c r="DC201" i="2" s="1"/>
  <c r="DC202" i="2" s="1"/>
  <c r="DC203" i="2" s="1"/>
  <c r="DC204" i="2" s="1"/>
  <c r="DC205" i="2" s="1"/>
  <c r="DC206" i="2" s="1"/>
  <c r="DC207" i="2" s="1"/>
  <c r="DC208" i="2" s="1"/>
  <c r="DC209" i="2" s="1"/>
  <c r="DC210" i="2" s="1"/>
  <c r="DC211" i="2" s="1"/>
  <c r="DC212" i="2" s="1"/>
  <c r="DC213" i="2" s="1"/>
  <c r="DC214" i="2" s="1"/>
  <c r="DC215" i="2" s="1"/>
  <c r="DC216" i="2" s="1"/>
  <c r="DC217" i="2" s="1"/>
  <c r="DC218" i="2" s="1"/>
  <c r="DC219" i="2" s="1"/>
  <c r="DC220" i="2" s="1"/>
  <c r="DC221" i="2" s="1"/>
  <c r="DC222" i="2" s="1"/>
  <c r="DC223" i="2" s="1"/>
  <c r="DC224" i="2" s="1"/>
  <c r="DC225" i="2" s="1"/>
  <c r="DC226" i="2" s="1"/>
  <c r="DC227" i="2" s="1"/>
  <c r="DC228" i="2" s="1"/>
  <c r="DC229" i="2" s="1"/>
  <c r="DC230" i="2" s="1"/>
  <c r="DC231" i="2" s="1"/>
  <c r="DC232" i="2" s="1"/>
  <c r="DC233" i="2" s="1"/>
  <c r="DC234" i="2" s="1"/>
  <c r="DC235" i="2" s="1"/>
  <c r="DC236" i="2" s="1"/>
  <c r="DC237" i="2" s="1"/>
  <c r="DC238" i="2" s="1"/>
  <c r="DC239" i="2" s="1"/>
  <c r="DC240" i="2" s="1"/>
  <c r="DC241" i="2" s="1"/>
  <c r="DC242" i="2" s="1"/>
  <c r="DC243" i="2" s="1"/>
  <c r="DC244" i="2" s="1"/>
  <c r="DC245" i="2" s="1"/>
  <c r="DC246" i="2" s="1"/>
  <c r="DC247" i="2" s="1"/>
  <c r="DC248" i="2" s="1"/>
  <c r="DC249" i="2" s="1"/>
  <c r="DC250" i="2" s="1"/>
  <c r="DC251" i="2" s="1"/>
  <c r="DC252" i="2" s="1"/>
  <c r="DC253" i="2" s="1"/>
  <c r="DC254" i="2" s="1"/>
  <c r="DC255" i="2" s="1"/>
  <c r="DC256" i="2" s="1"/>
  <c r="DC257" i="2" s="1"/>
  <c r="DC258" i="2" s="1"/>
  <c r="DC259" i="2" s="1"/>
  <c r="DC260" i="2" s="1"/>
  <c r="DC261" i="2" s="1"/>
  <c r="DC262" i="2" s="1"/>
  <c r="DC263" i="2" s="1"/>
  <c r="DC264" i="2" s="1"/>
  <c r="DC265" i="2" s="1"/>
  <c r="DC266" i="2" s="1"/>
  <c r="DC267" i="2" s="1"/>
  <c r="DC268" i="2" s="1"/>
  <c r="DC269" i="2" s="1"/>
  <c r="DC270" i="2" s="1"/>
  <c r="DC271" i="2" s="1"/>
  <c r="DC272" i="2" s="1"/>
  <c r="DC273" i="2" s="1"/>
  <c r="DC274" i="2" s="1"/>
  <c r="DC275" i="2" s="1"/>
  <c r="DC276" i="2" s="1"/>
  <c r="DC277" i="2" s="1"/>
  <c r="DC278" i="2" s="1"/>
  <c r="DC279" i="2" s="1"/>
  <c r="DC280" i="2" s="1"/>
  <c r="DC281" i="2" s="1"/>
  <c r="DC282" i="2" s="1"/>
  <c r="DC283" i="2" s="1"/>
  <c r="DC284" i="2" s="1"/>
  <c r="DC285" i="2" s="1"/>
  <c r="DC286" i="2" s="1"/>
  <c r="DC287" i="2" s="1"/>
  <c r="DC288" i="2" s="1"/>
  <c r="DC289" i="2" s="1"/>
  <c r="DC290" i="2" s="1"/>
  <c r="DC291" i="2" s="1"/>
  <c r="DC292" i="2" s="1"/>
  <c r="DC293" i="2" s="1"/>
  <c r="DC294" i="2" s="1"/>
  <c r="DC295" i="2" s="1"/>
  <c r="DC296" i="2" s="1"/>
  <c r="DC297" i="2" s="1"/>
  <c r="DC298" i="2" s="1"/>
  <c r="DC299" i="2" s="1"/>
  <c r="DC300" i="2" s="1"/>
  <c r="DC301" i="2" s="1"/>
  <c r="DC302" i="2" s="1"/>
  <c r="DC303" i="2" s="1"/>
  <c r="DC304" i="2" s="1"/>
  <c r="DC305" i="2" s="1"/>
  <c r="DC306" i="2" s="1"/>
  <c r="DC307" i="2" s="1"/>
  <c r="DC308" i="2" s="1"/>
  <c r="DC309" i="2" s="1"/>
  <c r="DC310" i="2" s="1"/>
  <c r="DC311" i="2" s="1"/>
  <c r="DC312" i="2" s="1"/>
  <c r="DC313" i="2" s="1"/>
  <c r="DC314" i="2" s="1"/>
  <c r="DC315" i="2" s="1"/>
  <c r="DC316" i="2" s="1"/>
  <c r="DC317" i="2" s="1"/>
  <c r="DC318" i="2" s="1"/>
  <c r="DC319" i="2" s="1"/>
  <c r="DC320" i="2" s="1"/>
  <c r="DC321" i="2" s="1"/>
  <c r="DC322" i="2" s="1"/>
  <c r="DC323" i="2" s="1"/>
  <c r="DC324" i="2" s="1"/>
  <c r="DC325" i="2" s="1"/>
  <c r="DC326" i="2" s="1"/>
  <c r="DC327" i="2" s="1"/>
  <c r="DC328" i="2" s="1"/>
  <c r="DC329" i="2" s="1"/>
  <c r="DC330" i="2" s="1"/>
  <c r="DC331" i="2" s="1"/>
  <c r="DC332" i="2" s="1"/>
  <c r="DC333" i="2" s="1"/>
  <c r="DC334" i="2" s="1"/>
  <c r="DC335" i="2" s="1"/>
  <c r="DC336" i="2" s="1"/>
  <c r="DC337" i="2" s="1"/>
  <c r="DC338" i="2" s="1"/>
  <c r="DC339" i="2" s="1"/>
  <c r="DC340" i="2" s="1"/>
  <c r="DC341" i="2" s="1"/>
  <c r="CQ6" i="2"/>
  <c r="CQ7" i="2" s="1"/>
  <c r="CQ8" i="2" s="1"/>
  <c r="CQ9" i="2" s="1"/>
  <c r="CQ10" i="2" s="1"/>
  <c r="CQ11" i="2" s="1"/>
  <c r="CQ12" i="2" s="1"/>
  <c r="CQ13" i="2" s="1"/>
  <c r="CQ14" i="2" s="1"/>
  <c r="CQ15" i="2" s="1"/>
  <c r="CQ16" i="2" s="1"/>
  <c r="CQ17" i="2" s="1"/>
  <c r="CQ18" i="2" s="1"/>
  <c r="CQ19" i="2" s="1"/>
  <c r="CQ20" i="2" s="1"/>
  <c r="CQ21" i="2" s="1"/>
  <c r="CQ22" i="2" s="1"/>
  <c r="CQ23" i="2" s="1"/>
  <c r="CQ24" i="2" s="1"/>
  <c r="CQ25" i="2" s="1"/>
  <c r="CQ26" i="2" s="1"/>
  <c r="CQ27" i="2" s="1"/>
  <c r="CQ28" i="2" s="1"/>
  <c r="CQ29" i="2" s="1"/>
  <c r="CQ30" i="2" s="1"/>
  <c r="CQ31" i="2" s="1"/>
  <c r="CQ32" i="2" s="1"/>
  <c r="CQ33" i="2" s="1"/>
  <c r="CQ34" i="2" s="1"/>
  <c r="CQ35" i="2" s="1"/>
  <c r="CQ36" i="2" s="1"/>
  <c r="CQ37" i="2" s="1"/>
  <c r="CQ38" i="2" s="1"/>
  <c r="CQ39" i="2" s="1"/>
  <c r="CQ40" i="2" s="1"/>
  <c r="CQ41" i="2" s="1"/>
  <c r="CQ42" i="2" s="1"/>
  <c r="CQ43" i="2" s="1"/>
  <c r="CQ44" i="2" s="1"/>
  <c r="CQ45" i="2" s="1"/>
  <c r="CQ46" i="2" s="1"/>
  <c r="CQ47" i="2" s="1"/>
  <c r="CQ48" i="2" s="1"/>
  <c r="CQ49" i="2" s="1"/>
  <c r="CQ50" i="2" s="1"/>
  <c r="CQ51" i="2" s="1"/>
  <c r="CQ52" i="2" s="1"/>
  <c r="CQ53" i="2" s="1"/>
  <c r="CQ54" i="2" s="1"/>
  <c r="CQ55" i="2" s="1"/>
  <c r="CQ56" i="2" s="1"/>
  <c r="CQ57" i="2" s="1"/>
  <c r="CQ58" i="2" s="1"/>
  <c r="CQ59" i="2" s="1"/>
  <c r="CQ60" i="2" s="1"/>
  <c r="CQ61" i="2" s="1"/>
  <c r="CQ62" i="2" s="1"/>
  <c r="CQ63" i="2" s="1"/>
  <c r="CQ64" i="2" s="1"/>
  <c r="CQ65" i="2" s="1"/>
  <c r="CQ66" i="2" s="1"/>
  <c r="CQ67" i="2" s="1"/>
  <c r="CQ68" i="2" s="1"/>
  <c r="CQ69" i="2" s="1"/>
  <c r="CQ70" i="2" s="1"/>
  <c r="CQ71" i="2" s="1"/>
  <c r="CQ72" i="2" s="1"/>
  <c r="CQ73" i="2" s="1"/>
  <c r="CQ74" i="2" s="1"/>
  <c r="CQ75" i="2" s="1"/>
  <c r="CQ76" i="2" s="1"/>
  <c r="CQ77" i="2" s="1"/>
  <c r="CQ78" i="2" s="1"/>
  <c r="CQ79" i="2" s="1"/>
  <c r="CQ80" i="2" s="1"/>
  <c r="CQ81" i="2" s="1"/>
  <c r="CQ82" i="2" s="1"/>
  <c r="CQ83" i="2" s="1"/>
  <c r="CQ84" i="2" s="1"/>
  <c r="CQ85" i="2" s="1"/>
  <c r="CQ86" i="2" s="1"/>
  <c r="CQ87" i="2" s="1"/>
  <c r="CQ88" i="2" s="1"/>
  <c r="CQ89" i="2" s="1"/>
  <c r="CQ90" i="2" s="1"/>
  <c r="CQ91" i="2" s="1"/>
  <c r="CQ92" i="2" s="1"/>
  <c r="CQ93" i="2" s="1"/>
  <c r="CQ94" i="2" s="1"/>
  <c r="CQ95" i="2" s="1"/>
  <c r="CQ96" i="2" s="1"/>
  <c r="CQ97" i="2" s="1"/>
  <c r="CQ98" i="2" s="1"/>
  <c r="CQ99" i="2" s="1"/>
  <c r="CQ100" i="2" s="1"/>
  <c r="CQ101" i="2" s="1"/>
  <c r="CQ102" i="2" s="1"/>
  <c r="CQ103" i="2" s="1"/>
  <c r="CQ104" i="2" s="1"/>
  <c r="CQ105" i="2" s="1"/>
  <c r="CQ106" i="2" s="1"/>
  <c r="CQ107" i="2" s="1"/>
  <c r="CQ108" i="2" s="1"/>
  <c r="CQ109" i="2" s="1"/>
  <c r="CQ110" i="2" s="1"/>
  <c r="CQ111" i="2" s="1"/>
  <c r="CQ112" i="2" s="1"/>
  <c r="CQ113" i="2" s="1"/>
  <c r="CQ114" i="2" s="1"/>
  <c r="CQ115" i="2" s="1"/>
  <c r="CQ116" i="2" s="1"/>
  <c r="CQ117" i="2" s="1"/>
  <c r="CQ118" i="2" s="1"/>
  <c r="CQ119" i="2" s="1"/>
  <c r="CQ120" i="2" s="1"/>
  <c r="CQ121" i="2" s="1"/>
  <c r="CQ122" i="2" s="1"/>
  <c r="CQ123" i="2" s="1"/>
  <c r="CQ124" i="2" s="1"/>
  <c r="CQ125" i="2" s="1"/>
  <c r="CQ126" i="2" s="1"/>
  <c r="CQ127" i="2" s="1"/>
  <c r="CQ128" i="2" s="1"/>
  <c r="CQ129" i="2" s="1"/>
  <c r="CQ130" i="2" s="1"/>
  <c r="CQ131" i="2" s="1"/>
  <c r="CQ132" i="2" s="1"/>
  <c r="CQ133" i="2" s="1"/>
  <c r="CQ134" i="2" s="1"/>
  <c r="CQ135" i="2" s="1"/>
  <c r="CQ136" i="2" s="1"/>
  <c r="CQ137" i="2" s="1"/>
  <c r="CQ138" i="2" s="1"/>
  <c r="CQ139" i="2" s="1"/>
  <c r="CQ140" i="2" s="1"/>
  <c r="CQ141" i="2" s="1"/>
  <c r="CQ142" i="2" s="1"/>
  <c r="CQ143" i="2" s="1"/>
  <c r="CQ144" i="2" s="1"/>
  <c r="CQ145" i="2" s="1"/>
  <c r="CQ146" i="2" s="1"/>
  <c r="CQ147" i="2" s="1"/>
  <c r="CQ148" i="2" s="1"/>
  <c r="CQ149" i="2" s="1"/>
  <c r="CQ150" i="2" s="1"/>
  <c r="CQ151" i="2" s="1"/>
  <c r="CQ152" i="2" s="1"/>
  <c r="CQ153" i="2" s="1"/>
  <c r="CQ154" i="2" s="1"/>
  <c r="CQ155" i="2" s="1"/>
  <c r="CQ156" i="2" s="1"/>
  <c r="CQ157" i="2" s="1"/>
  <c r="CQ158" i="2" s="1"/>
  <c r="CQ159" i="2" s="1"/>
  <c r="CQ160" i="2" s="1"/>
  <c r="CQ161" i="2" s="1"/>
  <c r="CQ162" i="2" s="1"/>
  <c r="CQ163" i="2" s="1"/>
  <c r="CQ164" i="2" s="1"/>
  <c r="CQ165" i="2" s="1"/>
  <c r="CQ166" i="2" s="1"/>
  <c r="CQ167" i="2" s="1"/>
  <c r="CQ168" i="2" s="1"/>
  <c r="CQ169" i="2" s="1"/>
  <c r="CQ170" i="2" s="1"/>
  <c r="CQ171" i="2" s="1"/>
  <c r="CQ172" i="2" s="1"/>
  <c r="CQ173" i="2" s="1"/>
  <c r="CQ174" i="2" s="1"/>
  <c r="CQ175" i="2" s="1"/>
  <c r="CQ176" i="2" s="1"/>
  <c r="CQ177" i="2" s="1"/>
  <c r="CQ178" i="2" s="1"/>
  <c r="CQ179" i="2" s="1"/>
  <c r="CQ180" i="2" s="1"/>
  <c r="CQ181" i="2" s="1"/>
  <c r="CQ182" i="2" s="1"/>
  <c r="CQ183" i="2" s="1"/>
  <c r="CQ184" i="2" s="1"/>
  <c r="CQ185" i="2" s="1"/>
  <c r="CQ186" i="2" s="1"/>
  <c r="CQ187" i="2" s="1"/>
  <c r="CQ188" i="2" s="1"/>
  <c r="CQ189" i="2" s="1"/>
  <c r="CQ190" i="2" s="1"/>
  <c r="CQ191" i="2" s="1"/>
  <c r="CQ192" i="2" s="1"/>
  <c r="CQ193" i="2" s="1"/>
  <c r="CQ194" i="2" s="1"/>
  <c r="CQ195" i="2" s="1"/>
  <c r="CQ196" i="2" s="1"/>
  <c r="CQ197" i="2" s="1"/>
  <c r="CQ198" i="2" s="1"/>
  <c r="CQ199" i="2" s="1"/>
  <c r="CQ200" i="2" s="1"/>
  <c r="CQ201" i="2" s="1"/>
  <c r="CQ202" i="2" s="1"/>
  <c r="CQ203" i="2" s="1"/>
  <c r="CQ204" i="2" s="1"/>
  <c r="CQ205" i="2" s="1"/>
  <c r="CQ206" i="2" s="1"/>
  <c r="CQ207" i="2" s="1"/>
  <c r="CQ208" i="2" s="1"/>
  <c r="CQ209" i="2" s="1"/>
  <c r="CQ210" i="2" s="1"/>
  <c r="CQ211" i="2" s="1"/>
  <c r="CQ212" i="2" s="1"/>
  <c r="CQ213" i="2" s="1"/>
  <c r="CQ214" i="2" s="1"/>
  <c r="CQ215" i="2" s="1"/>
  <c r="CQ216" i="2" s="1"/>
  <c r="CQ217" i="2" s="1"/>
  <c r="CQ218" i="2" s="1"/>
  <c r="CQ219" i="2" s="1"/>
  <c r="CQ220" i="2" s="1"/>
  <c r="CQ221" i="2" s="1"/>
  <c r="CQ222" i="2" s="1"/>
  <c r="CQ223" i="2" s="1"/>
  <c r="CQ224" i="2" s="1"/>
  <c r="CQ225" i="2" s="1"/>
  <c r="CQ226" i="2" s="1"/>
  <c r="CQ227" i="2" s="1"/>
  <c r="CQ228" i="2" s="1"/>
  <c r="CQ229" i="2" s="1"/>
  <c r="CQ230" i="2" s="1"/>
  <c r="CQ231" i="2" s="1"/>
  <c r="CQ232" i="2" s="1"/>
  <c r="CQ233" i="2" s="1"/>
  <c r="CQ234" i="2" s="1"/>
  <c r="CQ235" i="2" s="1"/>
  <c r="CQ236" i="2" s="1"/>
  <c r="CQ237" i="2" s="1"/>
  <c r="CQ238" i="2" s="1"/>
  <c r="CQ239" i="2" s="1"/>
  <c r="CQ240" i="2" s="1"/>
  <c r="CQ241" i="2" s="1"/>
  <c r="CQ242" i="2" s="1"/>
  <c r="CQ243" i="2" s="1"/>
  <c r="CQ244" i="2" s="1"/>
  <c r="CQ245" i="2" s="1"/>
  <c r="CQ246" i="2" s="1"/>
  <c r="CQ247" i="2" s="1"/>
  <c r="CQ248" i="2" s="1"/>
  <c r="CQ249" i="2" s="1"/>
  <c r="CQ250" i="2" s="1"/>
  <c r="CQ251" i="2" s="1"/>
  <c r="CQ252" i="2" s="1"/>
  <c r="CQ253" i="2" s="1"/>
  <c r="CQ254" i="2" s="1"/>
  <c r="CQ255" i="2" s="1"/>
  <c r="CQ256" i="2" s="1"/>
  <c r="CQ257" i="2" s="1"/>
  <c r="CQ258" i="2" s="1"/>
  <c r="CQ259" i="2" s="1"/>
  <c r="CQ260" i="2" s="1"/>
  <c r="CQ261" i="2" s="1"/>
  <c r="CQ262" i="2" s="1"/>
  <c r="CQ263" i="2" s="1"/>
  <c r="CQ264" i="2" s="1"/>
  <c r="CQ265" i="2" s="1"/>
  <c r="CQ266" i="2" s="1"/>
  <c r="CQ267" i="2" s="1"/>
  <c r="CQ268" i="2" s="1"/>
  <c r="CQ269" i="2" s="1"/>
  <c r="CQ270" i="2" s="1"/>
  <c r="CQ271" i="2" s="1"/>
  <c r="CQ272" i="2" s="1"/>
  <c r="CQ273" i="2" s="1"/>
  <c r="CQ274" i="2" s="1"/>
  <c r="CQ275" i="2" s="1"/>
  <c r="CQ276" i="2" s="1"/>
  <c r="CQ277" i="2" s="1"/>
  <c r="CQ278" i="2" s="1"/>
  <c r="CQ279" i="2" s="1"/>
  <c r="CQ280" i="2" s="1"/>
  <c r="CQ281" i="2" s="1"/>
  <c r="CQ282" i="2" s="1"/>
  <c r="CQ283" i="2" s="1"/>
  <c r="CQ284" i="2" s="1"/>
  <c r="CQ285" i="2" s="1"/>
  <c r="CQ286" i="2" s="1"/>
  <c r="CQ287" i="2" s="1"/>
  <c r="CQ288" i="2" s="1"/>
  <c r="CQ289" i="2" s="1"/>
  <c r="CQ290" i="2" s="1"/>
  <c r="CQ291" i="2" s="1"/>
  <c r="CQ292" i="2" s="1"/>
  <c r="CQ293" i="2" s="1"/>
  <c r="CQ294" i="2" s="1"/>
  <c r="CQ295" i="2" s="1"/>
  <c r="CQ296" i="2" s="1"/>
  <c r="CQ297" i="2" s="1"/>
  <c r="CQ298" i="2" s="1"/>
  <c r="CQ299" i="2" s="1"/>
  <c r="CQ300" i="2" s="1"/>
  <c r="CQ301" i="2" s="1"/>
  <c r="CQ302" i="2" s="1"/>
  <c r="CQ303" i="2" s="1"/>
  <c r="CQ304" i="2" s="1"/>
  <c r="CQ305" i="2" s="1"/>
  <c r="CQ306" i="2" s="1"/>
  <c r="CQ307" i="2" s="1"/>
  <c r="CQ308" i="2" s="1"/>
  <c r="CQ309" i="2" s="1"/>
  <c r="CQ310" i="2" s="1"/>
  <c r="CQ311" i="2" s="1"/>
  <c r="CQ312" i="2" s="1"/>
  <c r="CQ313" i="2" s="1"/>
  <c r="CQ314" i="2" s="1"/>
  <c r="CQ315" i="2" s="1"/>
  <c r="CQ316" i="2" s="1"/>
  <c r="CQ317" i="2" s="1"/>
  <c r="CQ318" i="2" s="1"/>
  <c r="CQ319" i="2" s="1"/>
  <c r="CQ320" i="2" s="1"/>
  <c r="CQ321" i="2" s="1"/>
  <c r="CQ322" i="2" s="1"/>
  <c r="CQ323" i="2" s="1"/>
  <c r="CQ324" i="2" s="1"/>
  <c r="CQ325" i="2" s="1"/>
  <c r="CQ326" i="2" s="1"/>
  <c r="CQ327" i="2" s="1"/>
  <c r="CQ328" i="2" s="1"/>
  <c r="CQ329" i="2" s="1"/>
  <c r="CQ330" i="2" s="1"/>
  <c r="CQ331" i="2" s="1"/>
  <c r="CQ332" i="2" s="1"/>
  <c r="CQ333" i="2" s="1"/>
  <c r="CQ334" i="2" s="1"/>
  <c r="CQ335" i="2" s="1"/>
  <c r="CQ336" i="2" s="1"/>
  <c r="CQ337" i="2" s="1"/>
  <c r="CQ338" i="2" s="1"/>
  <c r="CQ339" i="2" s="1"/>
  <c r="CQ340" i="2" s="1"/>
  <c r="CQ341" i="2" s="1"/>
  <c r="DJ7" i="2"/>
  <c r="DJ8" i="2" s="1"/>
  <c r="DJ9" i="2" s="1"/>
  <c r="DJ10" i="2" s="1"/>
  <c r="DJ11" i="2" s="1"/>
  <c r="DJ12" i="2" s="1"/>
  <c r="DJ13" i="2" s="1"/>
  <c r="DJ14" i="2" s="1"/>
  <c r="DJ15" i="2" s="1"/>
  <c r="DJ16" i="2" s="1"/>
  <c r="DJ17" i="2" s="1"/>
  <c r="DJ18" i="2" s="1"/>
  <c r="DJ19" i="2" s="1"/>
  <c r="DJ20" i="2" s="1"/>
  <c r="DJ21" i="2" s="1"/>
  <c r="DJ22" i="2" s="1"/>
  <c r="DJ23" i="2" s="1"/>
  <c r="DJ24" i="2" s="1"/>
  <c r="DJ25" i="2" s="1"/>
  <c r="DJ26" i="2" s="1"/>
  <c r="DJ27" i="2" s="1"/>
  <c r="DJ28" i="2" s="1"/>
  <c r="DJ29" i="2" s="1"/>
  <c r="DJ30" i="2" s="1"/>
  <c r="DJ31" i="2" s="1"/>
  <c r="DJ32" i="2" s="1"/>
  <c r="DJ33" i="2" s="1"/>
  <c r="DJ34" i="2" s="1"/>
  <c r="DJ35" i="2" s="1"/>
  <c r="DJ36" i="2" s="1"/>
  <c r="DJ37" i="2" s="1"/>
  <c r="DJ38" i="2" s="1"/>
  <c r="DJ39" i="2" s="1"/>
  <c r="DJ40" i="2" s="1"/>
  <c r="DJ41" i="2" s="1"/>
  <c r="DJ42" i="2" s="1"/>
  <c r="DJ43" i="2" s="1"/>
  <c r="DJ44" i="2" s="1"/>
  <c r="DJ45" i="2" s="1"/>
  <c r="DJ46" i="2" s="1"/>
  <c r="DJ47" i="2" s="1"/>
  <c r="DJ48" i="2" s="1"/>
  <c r="DJ49" i="2" s="1"/>
  <c r="DJ50" i="2" s="1"/>
  <c r="DJ51" i="2" s="1"/>
  <c r="DJ52" i="2" s="1"/>
  <c r="DJ53" i="2" s="1"/>
  <c r="DJ54" i="2" s="1"/>
  <c r="DJ55" i="2" s="1"/>
  <c r="DJ56" i="2" s="1"/>
  <c r="DJ57" i="2" s="1"/>
  <c r="DJ58" i="2" s="1"/>
  <c r="DJ59" i="2" s="1"/>
  <c r="DJ60" i="2" s="1"/>
  <c r="DJ61" i="2" s="1"/>
  <c r="DJ62" i="2" s="1"/>
  <c r="DJ63" i="2" s="1"/>
  <c r="DJ64" i="2" s="1"/>
  <c r="DJ65" i="2" s="1"/>
  <c r="DJ66" i="2" s="1"/>
  <c r="DJ67" i="2" s="1"/>
  <c r="DJ68" i="2" s="1"/>
  <c r="DJ69" i="2" s="1"/>
  <c r="DJ70" i="2" s="1"/>
  <c r="DJ71" i="2" s="1"/>
  <c r="DJ72" i="2" s="1"/>
  <c r="DJ73" i="2" s="1"/>
  <c r="DJ74" i="2" s="1"/>
  <c r="DJ75" i="2" s="1"/>
  <c r="DJ76" i="2" s="1"/>
  <c r="DJ77" i="2" s="1"/>
  <c r="DJ78" i="2" s="1"/>
  <c r="DJ79" i="2" s="1"/>
  <c r="DJ80" i="2" s="1"/>
  <c r="DJ81" i="2" s="1"/>
  <c r="DJ82" i="2" s="1"/>
  <c r="DJ83" i="2" s="1"/>
  <c r="DJ84" i="2" s="1"/>
  <c r="DJ85" i="2" s="1"/>
  <c r="DJ86" i="2" s="1"/>
  <c r="DJ87" i="2" s="1"/>
  <c r="DJ88" i="2" s="1"/>
  <c r="DJ89" i="2" s="1"/>
  <c r="DJ90" i="2" s="1"/>
  <c r="DJ91" i="2" s="1"/>
  <c r="DJ92" i="2" s="1"/>
  <c r="DJ93" i="2" s="1"/>
  <c r="DJ94" i="2" s="1"/>
  <c r="DJ95" i="2" s="1"/>
  <c r="DJ96" i="2" s="1"/>
  <c r="DJ97" i="2" s="1"/>
  <c r="DJ98" i="2" s="1"/>
  <c r="DJ99" i="2" s="1"/>
  <c r="DJ100" i="2" s="1"/>
  <c r="DJ101" i="2" s="1"/>
  <c r="DJ102" i="2" s="1"/>
  <c r="DJ103" i="2" s="1"/>
  <c r="DJ104" i="2" s="1"/>
  <c r="DJ105" i="2" s="1"/>
  <c r="DJ106" i="2" s="1"/>
  <c r="DJ107" i="2" s="1"/>
  <c r="DJ108" i="2" s="1"/>
  <c r="DJ109" i="2" s="1"/>
  <c r="DJ110" i="2" s="1"/>
  <c r="DJ111" i="2" s="1"/>
  <c r="DJ112" i="2" s="1"/>
  <c r="DJ113" i="2" s="1"/>
  <c r="DJ114" i="2" s="1"/>
  <c r="DJ115" i="2" s="1"/>
  <c r="DJ116" i="2" s="1"/>
  <c r="DJ117" i="2" s="1"/>
  <c r="DJ118" i="2" s="1"/>
  <c r="DJ119" i="2" s="1"/>
  <c r="DJ120" i="2" s="1"/>
  <c r="DJ121" i="2" s="1"/>
  <c r="DJ122" i="2" s="1"/>
  <c r="DJ123" i="2" s="1"/>
  <c r="DJ124" i="2" s="1"/>
  <c r="DJ125" i="2" s="1"/>
  <c r="DJ126" i="2" s="1"/>
  <c r="DJ127" i="2" s="1"/>
  <c r="DJ128" i="2" s="1"/>
  <c r="DJ129" i="2" s="1"/>
  <c r="DJ130" i="2" s="1"/>
  <c r="DJ131" i="2" s="1"/>
  <c r="DJ132" i="2" s="1"/>
  <c r="DJ133" i="2" s="1"/>
  <c r="DJ134" i="2" s="1"/>
  <c r="DJ135" i="2" s="1"/>
  <c r="DJ136" i="2" s="1"/>
  <c r="DJ137" i="2" s="1"/>
  <c r="DJ138" i="2" s="1"/>
  <c r="DJ139" i="2" s="1"/>
  <c r="DJ140" i="2" s="1"/>
  <c r="DJ141" i="2" s="1"/>
  <c r="DJ142" i="2" s="1"/>
  <c r="DJ143" i="2" s="1"/>
  <c r="DJ144" i="2" s="1"/>
  <c r="DJ145" i="2" s="1"/>
  <c r="DJ146" i="2" s="1"/>
  <c r="DJ147" i="2" s="1"/>
  <c r="DJ148" i="2" s="1"/>
  <c r="DJ149" i="2" s="1"/>
  <c r="DJ150" i="2" s="1"/>
  <c r="DJ151" i="2" s="1"/>
  <c r="DJ152" i="2" s="1"/>
  <c r="DJ153" i="2" s="1"/>
  <c r="DJ154" i="2" s="1"/>
  <c r="DJ155" i="2" s="1"/>
  <c r="DJ156" i="2" s="1"/>
  <c r="DJ157" i="2" s="1"/>
  <c r="DJ158" i="2" s="1"/>
  <c r="DJ159" i="2" s="1"/>
  <c r="DJ160" i="2" s="1"/>
  <c r="DJ161" i="2" s="1"/>
  <c r="DJ162" i="2" s="1"/>
  <c r="DJ163" i="2" s="1"/>
  <c r="DJ164" i="2" s="1"/>
  <c r="DJ165" i="2" s="1"/>
  <c r="DJ166" i="2" s="1"/>
  <c r="DJ167" i="2" s="1"/>
  <c r="DJ168" i="2" s="1"/>
  <c r="DJ169" i="2" s="1"/>
  <c r="DJ170" i="2" s="1"/>
  <c r="DJ171" i="2" s="1"/>
  <c r="DJ172" i="2" s="1"/>
  <c r="DJ173" i="2" s="1"/>
  <c r="DJ174" i="2" s="1"/>
  <c r="DJ175" i="2" s="1"/>
  <c r="DJ176" i="2" s="1"/>
  <c r="DJ177" i="2" s="1"/>
  <c r="DJ178" i="2" s="1"/>
  <c r="DJ179" i="2" s="1"/>
  <c r="DJ180" i="2" s="1"/>
  <c r="DJ181" i="2" s="1"/>
  <c r="DJ182" i="2" s="1"/>
  <c r="DJ183" i="2" s="1"/>
  <c r="DJ184" i="2" s="1"/>
  <c r="DJ185" i="2" s="1"/>
  <c r="DJ186" i="2" s="1"/>
  <c r="DJ187" i="2" s="1"/>
  <c r="DJ188" i="2" s="1"/>
  <c r="DJ189" i="2" s="1"/>
  <c r="DJ190" i="2" s="1"/>
  <c r="DJ191" i="2" s="1"/>
  <c r="DJ192" i="2" s="1"/>
  <c r="DJ193" i="2" s="1"/>
  <c r="DJ194" i="2" s="1"/>
  <c r="DJ195" i="2" s="1"/>
  <c r="DJ196" i="2" s="1"/>
  <c r="DJ197" i="2" s="1"/>
  <c r="DJ198" i="2" s="1"/>
  <c r="DJ199" i="2" s="1"/>
  <c r="DJ200" i="2" s="1"/>
  <c r="DJ201" i="2" s="1"/>
  <c r="DJ202" i="2" s="1"/>
  <c r="DJ203" i="2" s="1"/>
  <c r="DJ204" i="2" s="1"/>
  <c r="DJ205" i="2" s="1"/>
  <c r="DJ206" i="2" s="1"/>
  <c r="DJ207" i="2" s="1"/>
  <c r="DJ208" i="2" s="1"/>
  <c r="DJ209" i="2" s="1"/>
  <c r="DJ210" i="2" s="1"/>
  <c r="DJ211" i="2" s="1"/>
  <c r="DJ212" i="2" s="1"/>
  <c r="DJ213" i="2" s="1"/>
  <c r="DJ214" i="2" s="1"/>
  <c r="DJ215" i="2" s="1"/>
  <c r="DJ216" i="2" s="1"/>
  <c r="DJ217" i="2" s="1"/>
  <c r="DJ218" i="2" s="1"/>
  <c r="DJ219" i="2" s="1"/>
  <c r="DJ220" i="2" s="1"/>
  <c r="DJ221" i="2" s="1"/>
  <c r="DJ222" i="2" s="1"/>
  <c r="DJ223" i="2" s="1"/>
  <c r="DJ224" i="2" s="1"/>
  <c r="DJ225" i="2" s="1"/>
  <c r="DJ226" i="2" s="1"/>
  <c r="DJ227" i="2" s="1"/>
  <c r="DJ228" i="2" s="1"/>
  <c r="DJ229" i="2" s="1"/>
  <c r="DJ230" i="2" s="1"/>
  <c r="DJ231" i="2" s="1"/>
  <c r="DJ232" i="2" s="1"/>
  <c r="DJ233" i="2" s="1"/>
  <c r="DJ234" i="2" s="1"/>
  <c r="DJ235" i="2" s="1"/>
  <c r="DJ236" i="2" s="1"/>
  <c r="DJ237" i="2" s="1"/>
  <c r="DJ238" i="2" s="1"/>
  <c r="DJ239" i="2" s="1"/>
  <c r="DJ240" i="2" s="1"/>
  <c r="DJ241" i="2" s="1"/>
  <c r="DJ242" i="2" s="1"/>
  <c r="DJ243" i="2" s="1"/>
  <c r="DJ244" i="2" s="1"/>
  <c r="DJ245" i="2" s="1"/>
  <c r="DJ246" i="2" s="1"/>
  <c r="DJ247" i="2" s="1"/>
  <c r="DJ248" i="2" s="1"/>
  <c r="DJ249" i="2" s="1"/>
  <c r="DJ250" i="2" s="1"/>
  <c r="DJ251" i="2" s="1"/>
  <c r="DJ252" i="2" s="1"/>
  <c r="DJ253" i="2" s="1"/>
  <c r="DJ254" i="2" s="1"/>
  <c r="DJ255" i="2" s="1"/>
  <c r="DJ256" i="2" s="1"/>
  <c r="DJ257" i="2" s="1"/>
  <c r="DJ258" i="2" s="1"/>
  <c r="DJ259" i="2" s="1"/>
  <c r="DJ260" i="2" s="1"/>
  <c r="DJ261" i="2" s="1"/>
  <c r="DJ262" i="2" s="1"/>
  <c r="DJ263" i="2" s="1"/>
  <c r="DJ264" i="2" s="1"/>
  <c r="DJ265" i="2" s="1"/>
  <c r="DJ266" i="2" s="1"/>
  <c r="DJ267" i="2" s="1"/>
  <c r="DJ268" i="2" s="1"/>
  <c r="DJ269" i="2" s="1"/>
  <c r="DJ270" i="2" s="1"/>
  <c r="DJ271" i="2" s="1"/>
  <c r="DJ272" i="2" s="1"/>
  <c r="DJ273" i="2" s="1"/>
  <c r="DJ274" i="2" s="1"/>
  <c r="DJ275" i="2" s="1"/>
  <c r="DJ276" i="2" s="1"/>
  <c r="DJ277" i="2" s="1"/>
  <c r="DJ278" i="2" s="1"/>
  <c r="DJ279" i="2" s="1"/>
  <c r="DJ280" i="2" s="1"/>
  <c r="DJ281" i="2" s="1"/>
  <c r="DJ282" i="2" s="1"/>
  <c r="DJ283" i="2" s="1"/>
  <c r="DJ284" i="2" s="1"/>
  <c r="DJ285" i="2" s="1"/>
  <c r="DJ286" i="2" s="1"/>
  <c r="DJ287" i="2" s="1"/>
  <c r="DJ288" i="2" s="1"/>
  <c r="DJ289" i="2" s="1"/>
  <c r="DJ290" i="2" s="1"/>
  <c r="DJ291" i="2" s="1"/>
  <c r="DJ292" i="2" s="1"/>
  <c r="DJ293" i="2" s="1"/>
  <c r="DJ294" i="2" s="1"/>
  <c r="DJ295" i="2" s="1"/>
  <c r="DJ296" i="2" s="1"/>
  <c r="DJ297" i="2" s="1"/>
  <c r="DJ298" i="2" s="1"/>
  <c r="DJ299" i="2" s="1"/>
  <c r="DJ300" i="2" s="1"/>
  <c r="DJ301" i="2" s="1"/>
  <c r="DJ302" i="2" s="1"/>
  <c r="DJ303" i="2" s="1"/>
  <c r="DJ304" i="2" s="1"/>
  <c r="DJ305" i="2" s="1"/>
  <c r="DJ306" i="2" s="1"/>
  <c r="DJ307" i="2" s="1"/>
  <c r="DJ308" i="2" s="1"/>
  <c r="DJ309" i="2" s="1"/>
  <c r="DJ310" i="2" s="1"/>
  <c r="DJ311" i="2" s="1"/>
  <c r="DJ312" i="2" s="1"/>
  <c r="DJ313" i="2" s="1"/>
  <c r="DJ314" i="2" s="1"/>
  <c r="DJ315" i="2" s="1"/>
  <c r="DJ316" i="2" s="1"/>
  <c r="DJ317" i="2" s="1"/>
  <c r="DJ318" i="2" s="1"/>
  <c r="DJ319" i="2" s="1"/>
  <c r="DJ320" i="2" s="1"/>
  <c r="DJ321" i="2" s="1"/>
  <c r="DJ322" i="2" s="1"/>
  <c r="DJ323" i="2" s="1"/>
  <c r="DJ324" i="2" s="1"/>
  <c r="DJ325" i="2" s="1"/>
  <c r="DJ326" i="2" s="1"/>
  <c r="DJ327" i="2" s="1"/>
  <c r="DJ328" i="2" s="1"/>
  <c r="DJ329" i="2" s="1"/>
  <c r="DJ330" i="2" s="1"/>
  <c r="DJ331" i="2" s="1"/>
  <c r="DJ332" i="2" s="1"/>
  <c r="DJ333" i="2" s="1"/>
  <c r="DJ334" i="2" s="1"/>
  <c r="DJ335" i="2" s="1"/>
  <c r="DJ336" i="2" s="1"/>
  <c r="DJ337" i="2" s="1"/>
  <c r="DJ338" i="2" s="1"/>
  <c r="DJ339" i="2" s="1"/>
  <c r="DJ340" i="2" s="1"/>
  <c r="DJ341" i="2" s="1"/>
  <c r="CX7" i="2"/>
  <c r="CX8" i="2" s="1"/>
  <c r="CX9" i="2" s="1"/>
  <c r="CX10" i="2" s="1"/>
  <c r="CX11" i="2" s="1"/>
  <c r="CX12" i="2" s="1"/>
  <c r="CX13" i="2" s="1"/>
  <c r="CX14" i="2" s="1"/>
  <c r="CX15" i="2" s="1"/>
  <c r="CX16" i="2" s="1"/>
  <c r="CX17" i="2" s="1"/>
  <c r="CX18" i="2" s="1"/>
  <c r="CX19" i="2" s="1"/>
  <c r="CX20" i="2" s="1"/>
  <c r="CX21" i="2" s="1"/>
  <c r="CX22" i="2" s="1"/>
  <c r="CX23" i="2" s="1"/>
  <c r="CX24" i="2" s="1"/>
  <c r="CX25" i="2" s="1"/>
  <c r="CX26" i="2" s="1"/>
  <c r="CX27" i="2" s="1"/>
  <c r="CX28" i="2" s="1"/>
  <c r="CX29" i="2" s="1"/>
  <c r="CX30" i="2" s="1"/>
  <c r="CX31" i="2" s="1"/>
  <c r="CX32" i="2" s="1"/>
  <c r="CX33" i="2" s="1"/>
  <c r="CX34" i="2" s="1"/>
  <c r="CX35" i="2" s="1"/>
  <c r="CX36" i="2" s="1"/>
  <c r="CX37" i="2" s="1"/>
  <c r="CX38" i="2" s="1"/>
  <c r="CX39" i="2" s="1"/>
  <c r="CX40" i="2" s="1"/>
  <c r="CX41" i="2" s="1"/>
  <c r="CX42" i="2" s="1"/>
  <c r="CX43" i="2" s="1"/>
  <c r="CX44" i="2" s="1"/>
  <c r="CX45" i="2" s="1"/>
  <c r="CX46" i="2" s="1"/>
  <c r="CX47" i="2" s="1"/>
  <c r="CX48" i="2" s="1"/>
  <c r="CX49" i="2" s="1"/>
  <c r="CX50" i="2" s="1"/>
  <c r="CX51" i="2" s="1"/>
  <c r="CX52" i="2" s="1"/>
  <c r="CX53" i="2" s="1"/>
  <c r="CX54" i="2" s="1"/>
  <c r="CX55" i="2" s="1"/>
  <c r="CX56" i="2" s="1"/>
  <c r="CX57" i="2" s="1"/>
  <c r="CX58" i="2" s="1"/>
  <c r="CX59" i="2" s="1"/>
  <c r="CX60" i="2" s="1"/>
  <c r="CX61" i="2" s="1"/>
  <c r="CX62" i="2" s="1"/>
  <c r="CX63" i="2" s="1"/>
  <c r="CX64" i="2" s="1"/>
  <c r="CX65" i="2" s="1"/>
  <c r="CX66" i="2" s="1"/>
  <c r="CX67" i="2" s="1"/>
  <c r="CX68" i="2" s="1"/>
  <c r="CX69" i="2" s="1"/>
  <c r="CX70" i="2" s="1"/>
  <c r="CX71" i="2" s="1"/>
  <c r="CX72" i="2" s="1"/>
  <c r="CX73" i="2" s="1"/>
  <c r="CX74" i="2" s="1"/>
  <c r="CX75" i="2" s="1"/>
  <c r="CX76" i="2" s="1"/>
  <c r="CX77" i="2" s="1"/>
  <c r="CX78" i="2" s="1"/>
  <c r="CX79" i="2" s="1"/>
  <c r="CX80" i="2" s="1"/>
  <c r="CX81" i="2" s="1"/>
  <c r="CX82" i="2" s="1"/>
  <c r="CX83" i="2" s="1"/>
  <c r="CX84" i="2" s="1"/>
  <c r="CX85" i="2" s="1"/>
  <c r="CX86" i="2" s="1"/>
  <c r="CX87" i="2" s="1"/>
  <c r="CX88" i="2" s="1"/>
  <c r="CX89" i="2" s="1"/>
  <c r="CX90" i="2" s="1"/>
  <c r="CX91" i="2" s="1"/>
  <c r="CX92" i="2" s="1"/>
  <c r="CX93" i="2" s="1"/>
  <c r="CX94" i="2" s="1"/>
  <c r="CX95" i="2" s="1"/>
  <c r="CX96" i="2" s="1"/>
  <c r="CX97" i="2" s="1"/>
  <c r="CX98" i="2" s="1"/>
  <c r="CX99" i="2" s="1"/>
  <c r="CX100" i="2" s="1"/>
  <c r="CX101" i="2" s="1"/>
  <c r="CX102" i="2" s="1"/>
  <c r="CX103" i="2" s="1"/>
  <c r="CX104" i="2" s="1"/>
  <c r="CX105" i="2" s="1"/>
  <c r="CX106" i="2" s="1"/>
  <c r="CX107" i="2" s="1"/>
  <c r="CX108" i="2" s="1"/>
  <c r="CX109" i="2" s="1"/>
  <c r="CX110" i="2" s="1"/>
  <c r="CX111" i="2" s="1"/>
  <c r="CX112" i="2" s="1"/>
  <c r="CX113" i="2" s="1"/>
  <c r="CX114" i="2" s="1"/>
  <c r="CX115" i="2" s="1"/>
  <c r="CX116" i="2" s="1"/>
  <c r="CX117" i="2" s="1"/>
  <c r="CX118" i="2" s="1"/>
  <c r="CX119" i="2" s="1"/>
  <c r="CX120" i="2" s="1"/>
  <c r="CX121" i="2" s="1"/>
  <c r="CX122" i="2" s="1"/>
  <c r="CX123" i="2" s="1"/>
  <c r="CX124" i="2" s="1"/>
  <c r="CX125" i="2" s="1"/>
  <c r="CX126" i="2" s="1"/>
  <c r="CX127" i="2" s="1"/>
  <c r="CX128" i="2" s="1"/>
  <c r="CX129" i="2" s="1"/>
  <c r="CX130" i="2" s="1"/>
  <c r="CX131" i="2" s="1"/>
  <c r="CX132" i="2" s="1"/>
  <c r="CX133" i="2" s="1"/>
  <c r="CX134" i="2" s="1"/>
  <c r="CX135" i="2" s="1"/>
  <c r="CX136" i="2" s="1"/>
  <c r="CX137" i="2" s="1"/>
  <c r="CX138" i="2" s="1"/>
  <c r="CX139" i="2" s="1"/>
  <c r="CX140" i="2" s="1"/>
  <c r="CX141" i="2" s="1"/>
  <c r="CX142" i="2" s="1"/>
  <c r="CX143" i="2" s="1"/>
  <c r="CX144" i="2" s="1"/>
  <c r="CX145" i="2" s="1"/>
  <c r="CX146" i="2" s="1"/>
  <c r="CX147" i="2" s="1"/>
  <c r="CX148" i="2" s="1"/>
  <c r="CX149" i="2" s="1"/>
  <c r="CX150" i="2" s="1"/>
  <c r="CX151" i="2" s="1"/>
  <c r="CX152" i="2" s="1"/>
  <c r="CX153" i="2" s="1"/>
  <c r="CX154" i="2" s="1"/>
  <c r="CX155" i="2" s="1"/>
  <c r="CX156" i="2" s="1"/>
  <c r="CX157" i="2" s="1"/>
  <c r="CX158" i="2" s="1"/>
  <c r="CX159" i="2" s="1"/>
  <c r="CX160" i="2" s="1"/>
  <c r="CX161" i="2" s="1"/>
  <c r="CX162" i="2" s="1"/>
  <c r="CX163" i="2" s="1"/>
  <c r="CX164" i="2" s="1"/>
  <c r="CX165" i="2" s="1"/>
  <c r="CX166" i="2" s="1"/>
  <c r="CX167" i="2" s="1"/>
  <c r="CX168" i="2" s="1"/>
  <c r="CX169" i="2" s="1"/>
  <c r="CX170" i="2" s="1"/>
  <c r="CX171" i="2" s="1"/>
  <c r="CX172" i="2" s="1"/>
  <c r="CX173" i="2" s="1"/>
  <c r="CX174" i="2" s="1"/>
  <c r="CX175" i="2" s="1"/>
  <c r="CX176" i="2" s="1"/>
  <c r="CX177" i="2" s="1"/>
  <c r="CX178" i="2" s="1"/>
  <c r="CX179" i="2" s="1"/>
  <c r="CX180" i="2" s="1"/>
  <c r="CX181" i="2" s="1"/>
  <c r="CX182" i="2" s="1"/>
  <c r="CX183" i="2" s="1"/>
  <c r="CX184" i="2" s="1"/>
  <c r="CX185" i="2" s="1"/>
  <c r="CX186" i="2" s="1"/>
  <c r="CX187" i="2" s="1"/>
  <c r="CX188" i="2" s="1"/>
  <c r="CX189" i="2" s="1"/>
  <c r="CX190" i="2" s="1"/>
  <c r="CX191" i="2" s="1"/>
  <c r="CX192" i="2" s="1"/>
  <c r="CX193" i="2" s="1"/>
  <c r="CX194" i="2" s="1"/>
  <c r="CX195" i="2" s="1"/>
  <c r="CX196" i="2" s="1"/>
  <c r="CX197" i="2" s="1"/>
  <c r="CX198" i="2" s="1"/>
  <c r="CX199" i="2" s="1"/>
  <c r="CX200" i="2" s="1"/>
  <c r="CX201" i="2" s="1"/>
  <c r="CX202" i="2" s="1"/>
  <c r="CX203" i="2" s="1"/>
  <c r="CX204" i="2" s="1"/>
  <c r="CX205" i="2" s="1"/>
  <c r="CX206" i="2" s="1"/>
  <c r="CX207" i="2" s="1"/>
  <c r="CX208" i="2" s="1"/>
  <c r="CX209" i="2" s="1"/>
  <c r="CX210" i="2" s="1"/>
  <c r="CX211" i="2" s="1"/>
  <c r="CX212" i="2" s="1"/>
  <c r="CX213" i="2" s="1"/>
  <c r="CX214" i="2" s="1"/>
  <c r="CX215" i="2" s="1"/>
  <c r="CX216" i="2" s="1"/>
  <c r="CX217" i="2" s="1"/>
  <c r="CX218" i="2" s="1"/>
  <c r="CX219" i="2" s="1"/>
  <c r="CX220" i="2" s="1"/>
  <c r="CX221" i="2" s="1"/>
  <c r="CX222" i="2" s="1"/>
  <c r="CX223" i="2" s="1"/>
  <c r="CX224" i="2" s="1"/>
  <c r="CX225" i="2" s="1"/>
  <c r="CX226" i="2" s="1"/>
  <c r="CX227" i="2" s="1"/>
  <c r="CX228" i="2" s="1"/>
  <c r="CX229" i="2" s="1"/>
  <c r="CX230" i="2" s="1"/>
  <c r="CX231" i="2" s="1"/>
  <c r="CX232" i="2" s="1"/>
  <c r="CX233" i="2" s="1"/>
  <c r="CX234" i="2" s="1"/>
  <c r="CX235" i="2" s="1"/>
  <c r="CX236" i="2" s="1"/>
  <c r="CX237" i="2" s="1"/>
  <c r="CX238" i="2" s="1"/>
  <c r="CX239" i="2" s="1"/>
  <c r="CX240" i="2" s="1"/>
  <c r="CX241" i="2" s="1"/>
  <c r="CX242" i="2" s="1"/>
  <c r="CX243" i="2" s="1"/>
  <c r="CX244" i="2" s="1"/>
  <c r="CX245" i="2" s="1"/>
  <c r="CX246" i="2" s="1"/>
  <c r="CX247" i="2" s="1"/>
  <c r="CX248" i="2" s="1"/>
  <c r="CX249" i="2" s="1"/>
  <c r="CX250" i="2" s="1"/>
  <c r="CX251" i="2" s="1"/>
  <c r="CX252" i="2" s="1"/>
  <c r="CX253" i="2" s="1"/>
  <c r="CX254" i="2" s="1"/>
  <c r="CX255" i="2" s="1"/>
  <c r="CX256" i="2" s="1"/>
  <c r="CX257" i="2" s="1"/>
  <c r="CX258" i="2" s="1"/>
  <c r="CX259" i="2" s="1"/>
  <c r="CX260" i="2" s="1"/>
  <c r="CX261" i="2" s="1"/>
  <c r="CX262" i="2" s="1"/>
  <c r="CX263" i="2" s="1"/>
  <c r="CX264" i="2" s="1"/>
  <c r="CX265" i="2" s="1"/>
  <c r="CX266" i="2" s="1"/>
  <c r="CX267" i="2" s="1"/>
  <c r="CX268" i="2" s="1"/>
  <c r="CX269" i="2" s="1"/>
  <c r="CX270" i="2" s="1"/>
  <c r="CX271" i="2" s="1"/>
  <c r="CX272" i="2" s="1"/>
  <c r="CX273" i="2" s="1"/>
  <c r="CX274" i="2" s="1"/>
  <c r="CX275" i="2" s="1"/>
  <c r="CX276" i="2" s="1"/>
  <c r="CX277" i="2" s="1"/>
  <c r="CX278" i="2" s="1"/>
  <c r="CX279" i="2" s="1"/>
  <c r="CX280" i="2" s="1"/>
  <c r="CX281" i="2" s="1"/>
  <c r="CX282" i="2" s="1"/>
  <c r="CX283" i="2" s="1"/>
  <c r="CX284" i="2" s="1"/>
  <c r="CX285" i="2" s="1"/>
  <c r="CX286" i="2" s="1"/>
  <c r="CX287" i="2" s="1"/>
  <c r="CX288" i="2" s="1"/>
  <c r="CX289" i="2" s="1"/>
  <c r="CX290" i="2" s="1"/>
  <c r="CX291" i="2" s="1"/>
  <c r="CX292" i="2" s="1"/>
  <c r="CX293" i="2" s="1"/>
  <c r="CX294" i="2" s="1"/>
  <c r="CX295" i="2" s="1"/>
  <c r="CX296" i="2" s="1"/>
  <c r="CX297" i="2" s="1"/>
  <c r="CX298" i="2" s="1"/>
  <c r="CX299" i="2" s="1"/>
  <c r="CX300" i="2" s="1"/>
  <c r="CX301" i="2" s="1"/>
  <c r="CX302" i="2" s="1"/>
  <c r="CX303" i="2" s="1"/>
  <c r="CX304" i="2" s="1"/>
  <c r="CX305" i="2" s="1"/>
  <c r="CX306" i="2" s="1"/>
  <c r="CX307" i="2" s="1"/>
  <c r="CX308" i="2" s="1"/>
  <c r="CX309" i="2" s="1"/>
  <c r="CX310" i="2" s="1"/>
  <c r="CX311" i="2" s="1"/>
  <c r="CX312" i="2" s="1"/>
  <c r="CX313" i="2" s="1"/>
  <c r="CX314" i="2" s="1"/>
  <c r="CX315" i="2" s="1"/>
  <c r="CX316" i="2" s="1"/>
  <c r="CX317" i="2" s="1"/>
  <c r="CX318" i="2" s="1"/>
  <c r="CX319" i="2" s="1"/>
  <c r="CX320" i="2" s="1"/>
  <c r="CX321" i="2" s="1"/>
  <c r="CX322" i="2" s="1"/>
  <c r="CX323" i="2" s="1"/>
  <c r="CX324" i="2" s="1"/>
  <c r="CX325" i="2" s="1"/>
  <c r="CX326" i="2" s="1"/>
  <c r="CX327" i="2" s="1"/>
  <c r="CX328" i="2" s="1"/>
  <c r="CX329" i="2" s="1"/>
  <c r="CX330" i="2" s="1"/>
  <c r="CX331" i="2" s="1"/>
  <c r="CX332" i="2" s="1"/>
  <c r="CX333" i="2" s="1"/>
  <c r="CX334" i="2" s="1"/>
  <c r="CX335" i="2" s="1"/>
  <c r="CX336" i="2" s="1"/>
  <c r="CX337" i="2" s="1"/>
  <c r="CX338" i="2" s="1"/>
  <c r="CX339" i="2" s="1"/>
  <c r="CX340" i="2" s="1"/>
  <c r="CX341" i="2" s="1"/>
  <c r="CO5" i="2"/>
  <c r="CO6" i="2" s="1"/>
  <c r="CO7" i="2" s="1"/>
  <c r="CO8" i="2" s="1"/>
  <c r="CO9" i="2" s="1"/>
  <c r="CO10" i="2" s="1"/>
  <c r="CO11" i="2" s="1"/>
  <c r="CO12" i="2" s="1"/>
  <c r="CO13" i="2" s="1"/>
  <c r="CO14" i="2" s="1"/>
  <c r="CO15" i="2" s="1"/>
  <c r="CO16" i="2" s="1"/>
  <c r="CO17" i="2" s="1"/>
  <c r="CO18" i="2" s="1"/>
  <c r="CO19" i="2" s="1"/>
  <c r="CO20" i="2" s="1"/>
  <c r="CO21" i="2" s="1"/>
  <c r="CO22" i="2" s="1"/>
  <c r="CO23" i="2" s="1"/>
  <c r="CO24" i="2" s="1"/>
  <c r="CO25" i="2" s="1"/>
  <c r="CO26" i="2" s="1"/>
  <c r="CO27" i="2" s="1"/>
  <c r="CO28" i="2" s="1"/>
  <c r="CO29" i="2" s="1"/>
  <c r="CO30" i="2" s="1"/>
  <c r="CO31" i="2" s="1"/>
  <c r="CO32" i="2" s="1"/>
  <c r="CO33" i="2" s="1"/>
  <c r="CO34" i="2" s="1"/>
  <c r="CO35" i="2" s="1"/>
  <c r="CO36" i="2" s="1"/>
  <c r="CO37" i="2" s="1"/>
  <c r="CO38" i="2" s="1"/>
  <c r="CO39" i="2" s="1"/>
  <c r="CO40" i="2" s="1"/>
  <c r="CO41" i="2" s="1"/>
  <c r="CO42" i="2" s="1"/>
  <c r="CO43" i="2" s="1"/>
  <c r="CO44" i="2" s="1"/>
  <c r="CO45" i="2" s="1"/>
  <c r="CO46" i="2" s="1"/>
  <c r="CO47" i="2" s="1"/>
  <c r="CO48" i="2" s="1"/>
  <c r="CO49" i="2" s="1"/>
  <c r="CO50" i="2" s="1"/>
  <c r="CO51" i="2" s="1"/>
  <c r="CO52" i="2" s="1"/>
  <c r="CO53" i="2" s="1"/>
  <c r="CO54" i="2" s="1"/>
  <c r="CO55" i="2" s="1"/>
  <c r="CO56" i="2" s="1"/>
  <c r="CO57" i="2" s="1"/>
  <c r="CO58" i="2" s="1"/>
  <c r="CO59" i="2" s="1"/>
  <c r="CO60" i="2" s="1"/>
  <c r="CO61" i="2" s="1"/>
  <c r="CO62" i="2" s="1"/>
  <c r="CO63" i="2" s="1"/>
  <c r="CO64" i="2" s="1"/>
  <c r="CO65" i="2" s="1"/>
  <c r="CO66" i="2" s="1"/>
  <c r="CO67" i="2" s="1"/>
  <c r="CO68" i="2" s="1"/>
  <c r="CO69" i="2" s="1"/>
  <c r="CO70" i="2" s="1"/>
  <c r="CO71" i="2" s="1"/>
  <c r="CO72" i="2" s="1"/>
  <c r="CO73" i="2" s="1"/>
  <c r="CO74" i="2" s="1"/>
  <c r="CO75" i="2" s="1"/>
  <c r="CO76" i="2" s="1"/>
  <c r="CO77" i="2" s="1"/>
  <c r="CO78" i="2" s="1"/>
  <c r="CO79" i="2" s="1"/>
  <c r="CO80" i="2" s="1"/>
  <c r="CO81" i="2" s="1"/>
  <c r="CO82" i="2" s="1"/>
  <c r="CO83" i="2" s="1"/>
  <c r="CO84" i="2" s="1"/>
  <c r="CO85" i="2" s="1"/>
  <c r="CO86" i="2" s="1"/>
  <c r="CO87" i="2" s="1"/>
  <c r="CO88" i="2" s="1"/>
  <c r="CO89" i="2" s="1"/>
  <c r="CO90" i="2" s="1"/>
  <c r="CO91" i="2" s="1"/>
  <c r="CO92" i="2" s="1"/>
  <c r="CO93" i="2" s="1"/>
  <c r="CO94" i="2" s="1"/>
  <c r="CO95" i="2" s="1"/>
  <c r="CO96" i="2" s="1"/>
  <c r="CO97" i="2" s="1"/>
  <c r="CO98" i="2" s="1"/>
  <c r="CO99" i="2" s="1"/>
  <c r="CO100" i="2" s="1"/>
  <c r="CO101" i="2" s="1"/>
  <c r="CO102" i="2" s="1"/>
  <c r="CO103" i="2" s="1"/>
  <c r="CO104" i="2" s="1"/>
  <c r="CO105" i="2" s="1"/>
  <c r="CO106" i="2" s="1"/>
  <c r="CO107" i="2" s="1"/>
  <c r="CO108" i="2" s="1"/>
  <c r="CO109" i="2" s="1"/>
  <c r="CO110" i="2" s="1"/>
  <c r="CO111" i="2" s="1"/>
  <c r="CO112" i="2" s="1"/>
  <c r="CO113" i="2" s="1"/>
  <c r="CO114" i="2" s="1"/>
  <c r="CO115" i="2" s="1"/>
  <c r="CO116" i="2" s="1"/>
  <c r="CO117" i="2" s="1"/>
  <c r="CO118" i="2" s="1"/>
  <c r="CO119" i="2" s="1"/>
  <c r="CO120" i="2" s="1"/>
  <c r="CO121" i="2" s="1"/>
  <c r="CO122" i="2" s="1"/>
  <c r="CO123" i="2" s="1"/>
  <c r="CO124" i="2" s="1"/>
  <c r="CO125" i="2" s="1"/>
  <c r="CO126" i="2" s="1"/>
  <c r="CO127" i="2" s="1"/>
  <c r="CO128" i="2" s="1"/>
  <c r="CO129" i="2" s="1"/>
  <c r="CO130" i="2" s="1"/>
  <c r="CO131" i="2" s="1"/>
  <c r="CO132" i="2" s="1"/>
  <c r="CO133" i="2" s="1"/>
  <c r="CO134" i="2" s="1"/>
  <c r="CO135" i="2" s="1"/>
  <c r="CO136" i="2" s="1"/>
  <c r="CO137" i="2" s="1"/>
  <c r="CO138" i="2" s="1"/>
  <c r="CO139" i="2" s="1"/>
  <c r="CO140" i="2" s="1"/>
  <c r="CO141" i="2" s="1"/>
  <c r="CO142" i="2" s="1"/>
  <c r="CO143" i="2" s="1"/>
  <c r="CO144" i="2" s="1"/>
  <c r="CO145" i="2" s="1"/>
  <c r="CO146" i="2" s="1"/>
  <c r="CO147" i="2" s="1"/>
  <c r="CO148" i="2" s="1"/>
  <c r="CO149" i="2" s="1"/>
  <c r="CO150" i="2" s="1"/>
  <c r="CO151" i="2" s="1"/>
  <c r="CO152" i="2" s="1"/>
  <c r="CO153" i="2" s="1"/>
  <c r="CO154" i="2" s="1"/>
  <c r="CO155" i="2" s="1"/>
  <c r="CO156" i="2" s="1"/>
  <c r="CO157" i="2" s="1"/>
  <c r="CO158" i="2" s="1"/>
  <c r="CO159" i="2" s="1"/>
  <c r="CO160" i="2" s="1"/>
  <c r="CO161" i="2" s="1"/>
  <c r="CO162" i="2" s="1"/>
  <c r="CO163" i="2" s="1"/>
  <c r="CO164" i="2" s="1"/>
  <c r="CO165" i="2" s="1"/>
  <c r="CO166" i="2" s="1"/>
  <c r="CO167" i="2" s="1"/>
  <c r="CO168" i="2" s="1"/>
  <c r="CO169" i="2" s="1"/>
  <c r="CO170" i="2" s="1"/>
  <c r="CO171" i="2" s="1"/>
  <c r="CO172" i="2" s="1"/>
  <c r="CO173" i="2" s="1"/>
  <c r="CO174" i="2" s="1"/>
  <c r="CO175" i="2" s="1"/>
  <c r="CO176" i="2" s="1"/>
  <c r="CO177" i="2" s="1"/>
  <c r="CO178" i="2" s="1"/>
  <c r="CO179" i="2" s="1"/>
  <c r="CO180" i="2" s="1"/>
  <c r="CO181" i="2" s="1"/>
  <c r="CO182" i="2" s="1"/>
  <c r="CO183" i="2" s="1"/>
  <c r="CO184" i="2" s="1"/>
  <c r="CO185" i="2" s="1"/>
  <c r="CO186" i="2" s="1"/>
  <c r="CO187" i="2" s="1"/>
  <c r="CO188" i="2" s="1"/>
  <c r="CO189" i="2" s="1"/>
  <c r="CO190" i="2" s="1"/>
  <c r="CO191" i="2" s="1"/>
  <c r="CO192" i="2" s="1"/>
  <c r="CO193" i="2" s="1"/>
  <c r="CO194" i="2" s="1"/>
  <c r="CO195" i="2" s="1"/>
  <c r="CO196" i="2" s="1"/>
  <c r="CO197" i="2" s="1"/>
  <c r="CO198" i="2" s="1"/>
  <c r="CO199" i="2" s="1"/>
  <c r="CO200" i="2" s="1"/>
  <c r="CO201" i="2" s="1"/>
  <c r="CO202" i="2" s="1"/>
  <c r="CO203" i="2" s="1"/>
  <c r="CO204" i="2" s="1"/>
  <c r="CO205" i="2" s="1"/>
  <c r="CO206" i="2" s="1"/>
  <c r="CO207" i="2" s="1"/>
  <c r="CO208" i="2" s="1"/>
  <c r="CO209" i="2" s="1"/>
  <c r="CO210" i="2" s="1"/>
  <c r="CO211" i="2" s="1"/>
  <c r="CO212" i="2" s="1"/>
  <c r="CO213" i="2" s="1"/>
  <c r="CO214" i="2" s="1"/>
  <c r="CO215" i="2" s="1"/>
  <c r="CO216" i="2" s="1"/>
  <c r="CO217" i="2" s="1"/>
  <c r="CO218" i="2" s="1"/>
  <c r="CO219" i="2" s="1"/>
  <c r="CO220" i="2" s="1"/>
  <c r="CO221" i="2" s="1"/>
  <c r="CO222" i="2" s="1"/>
  <c r="CO223" i="2" s="1"/>
  <c r="CO224" i="2" s="1"/>
  <c r="CO225" i="2" s="1"/>
  <c r="CO226" i="2" s="1"/>
  <c r="CO227" i="2" s="1"/>
  <c r="CO228" i="2" s="1"/>
  <c r="CO229" i="2" s="1"/>
  <c r="CO230" i="2" s="1"/>
  <c r="CO231" i="2" s="1"/>
  <c r="CO232" i="2" s="1"/>
  <c r="CO233" i="2" s="1"/>
  <c r="CO234" i="2" s="1"/>
  <c r="CO235" i="2" s="1"/>
  <c r="CO236" i="2" s="1"/>
  <c r="CO237" i="2" s="1"/>
  <c r="CO238" i="2" s="1"/>
  <c r="CO239" i="2" s="1"/>
  <c r="CO240" i="2" s="1"/>
  <c r="CO241" i="2" s="1"/>
  <c r="CO242" i="2" s="1"/>
  <c r="CO243" i="2" s="1"/>
  <c r="CO244" i="2" s="1"/>
  <c r="CO245" i="2" s="1"/>
  <c r="CO246" i="2" s="1"/>
  <c r="CO247" i="2" s="1"/>
  <c r="CO248" i="2" s="1"/>
  <c r="CO249" i="2" s="1"/>
  <c r="CO250" i="2" s="1"/>
  <c r="CO251" i="2" s="1"/>
  <c r="CO252" i="2" s="1"/>
  <c r="CO253" i="2" s="1"/>
  <c r="CO254" i="2" s="1"/>
  <c r="CO255" i="2" s="1"/>
  <c r="CO256" i="2" s="1"/>
  <c r="CO257" i="2" s="1"/>
  <c r="CO258" i="2" s="1"/>
  <c r="CO259" i="2" s="1"/>
  <c r="CO260" i="2" s="1"/>
  <c r="CO261" i="2" s="1"/>
  <c r="CO262" i="2" s="1"/>
  <c r="CO263" i="2" s="1"/>
  <c r="CO264" i="2" s="1"/>
  <c r="CO265" i="2" s="1"/>
  <c r="CO266" i="2" s="1"/>
  <c r="CO267" i="2" s="1"/>
  <c r="CO268" i="2" s="1"/>
  <c r="CO269" i="2" s="1"/>
  <c r="CO270" i="2" s="1"/>
  <c r="CO271" i="2" s="1"/>
  <c r="CO272" i="2" s="1"/>
  <c r="CO273" i="2" s="1"/>
  <c r="CO274" i="2" s="1"/>
  <c r="CO275" i="2" s="1"/>
  <c r="CO276" i="2" s="1"/>
  <c r="CO277" i="2" s="1"/>
  <c r="CO278" i="2" s="1"/>
  <c r="CO279" i="2" s="1"/>
  <c r="CO280" i="2" s="1"/>
  <c r="CO281" i="2" s="1"/>
  <c r="CO282" i="2" s="1"/>
  <c r="CO283" i="2" s="1"/>
  <c r="CO284" i="2" s="1"/>
  <c r="CO285" i="2" s="1"/>
  <c r="CO286" i="2" s="1"/>
  <c r="CO287" i="2" s="1"/>
  <c r="CO288" i="2" s="1"/>
  <c r="CO289" i="2" s="1"/>
  <c r="CO290" i="2" s="1"/>
  <c r="CO291" i="2" s="1"/>
  <c r="CO292" i="2" s="1"/>
  <c r="CO293" i="2" s="1"/>
  <c r="CO294" i="2" s="1"/>
  <c r="CO295" i="2" s="1"/>
  <c r="CO296" i="2" s="1"/>
  <c r="CO297" i="2" s="1"/>
  <c r="CO298" i="2" s="1"/>
  <c r="CO299" i="2" s="1"/>
  <c r="CO300" i="2" s="1"/>
  <c r="CO301" i="2" s="1"/>
  <c r="CO302" i="2" s="1"/>
  <c r="CO303" i="2" s="1"/>
  <c r="CO304" i="2" s="1"/>
  <c r="CO305" i="2" s="1"/>
  <c r="CO306" i="2" s="1"/>
  <c r="CO307" i="2" s="1"/>
  <c r="CO308" i="2" s="1"/>
  <c r="CO309" i="2" s="1"/>
  <c r="CO310" i="2" s="1"/>
  <c r="CO311" i="2" s="1"/>
  <c r="CO312" i="2" s="1"/>
  <c r="CO313" i="2" s="1"/>
  <c r="CO314" i="2" s="1"/>
  <c r="CO315" i="2" s="1"/>
  <c r="CO316" i="2" s="1"/>
  <c r="CO317" i="2" s="1"/>
  <c r="CO318" i="2" s="1"/>
  <c r="CO319" i="2" s="1"/>
  <c r="CO320" i="2" s="1"/>
  <c r="CO321" i="2" s="1"/>
  <c r="CO322" i="2" s="1"/>
  <c r="CO323" i="2" s="1"/>
  <c r="CO324" i="2" s="1"/>
  <c r="CO325" i="2" s="1"/>
  <c r="CO326" i="2" s="1"/>
  <c r="CO327" i="2" s="1"/>
  <c r="CO328" i="2" s="1"/>
  <c r="CO329" i="2" s="1"/>
  <c r="CO330" i="2" s="1"/>
  <c r="CO331" i="2" s="1"/>
  <c r="CO332" i="2" s="1"/>
  <c r="CO333" i="2" s="1"/>
  <c r="CO334" i="2" s="1"/>
  <c r="CO335" i="2" s="1"/>
  <c r="CO336" i="2" s="1"/>
  <c r="CO337" i="2" s="1"/>
  <c r="CO338" i="2" s="1"/>
  <c r="CO339" i="2" s="1"/>
  <c r="CO340" i="2" s="1"/>
  <c r="CO341" i="2" s="1"/>
  <c r="DA5" i="2"/>
  <c r="DA6" i="2" s="1"/>
  <c r="DA7" i="2" s="1"/>
  <c r="DA8" i="2" s="1"/>
  <c r="DA9" i="2" s="1"/>
  <c r="DA10" i="2" s="1"/>
  <c r="DA11" i="2" s="1"/>
  <c r="DA12" i="2" s="1"/>
  <c r="DA13" i="2" s="1"/>
  <c r="DA14" i="2" s="1"/>
  <c r="DA15" i="2" s="1"/>
  <c r="DA16" i="2" s="1"/>
  <c r="DA17" i="2" s="1"/>
  <c r="DA18" i="2" s="1"/>
  <c r="DA19" i="2" s="1"/>
  <c r="DA20" i="2" s="1"/>
  <c r="DA21" i="2" s="1"/>
  <c r="DA22" i="2" s="1"/>
  <c r="DA23" i="2" s="1"/>
  <c r="DA24" i="2" s="1"/>
  <c r="DA25" i="2" s="1"/>
  <c r="DA26" i="2" s="1"/>
  <c r="DA27" i="2" s="1"/>
  <c r="DA28" i="2" s="1"/>
  <c r="DA29" i="2" s="1"/>
  <c r="DA30" i="2" s="1"/>
  <c r="DA31" i="2" s="1"/>
  <c r="DA32" i="2" s="1"/>
  <c r="DA33" i="2" s="1"/>
  <c r="DA34" i="2" s="1"/>
  <c r="DA35" i="2" s="1"/>
  <c r="DA36" i="2" s="1"/>
  <c r="DA37" i="2" s="1"/>
  <c r="DA38" i="2" s="1"/>
  <c r="DA39" i="2" s="1"/>
  <c r="DA40" i="2" s="1"/>
  <c r="DA41" i="2" s="1"/>
  <c r="DA42" i="2" s="1"/>
  <c r="DA43" i="2" s="1"/>
  <c r="DA44" i="2" s="1"/>
  <c r="DA45" i="2" s="1"/>
  <c r="DA46" i="2" s="1"/>
  <c r="DA47" i="2" s="1"/>
  <c r="DA48" i="2" s="1"/>
  <c r="DA49" i="2" s="1"/>
  <c r="DA50" i="2" s="1"/>
  <c r="DA51" i="2" s="1"/>
  <c r="DA52" i="2" s="1"/>
  <c r="DA53" i="2" s="1"/>
  <c r="DA54" i="2" s="1"/>
  <c r="DA55" i="2" s="1"/>
  <c r="DA56" i="2" s="1"/>
  <c r="DA57" i="2" s="1"/>
  <c r="DA58" i="2" s="1"/>
  <c r="DA59" i="2" s="1"/>
  <c r="DA60" i="2" s="1"/>
  <c r="DA61" i="2" s="1"/>
  <c r="DA62" i="2" s="1"/>
  <c r="DA63" i="2" s="1"/>
  <c r="DA64" i="2" s="1"/>
  <c r="DA65" i="2" s="1"/>
  <c r="DA66" i="2" s="1"/>
  <c r="DA67" i="2" s="1"/>
  <c r="DA68" i="2" s="1"/>
  <c r="DA69" i="2" s="1"/>
  <c r="DA70" i="2" s="1"/>
  <c r="DA71" i="2" s="1"/>
  <c r="DA72" i="2" s="1"/>
  <c r="DA73" i="2" s="1"/>
  <c r="DA74" i="2" s="1"/>
  <c r="DA75" i="2" s="1"/>
  <c r="DA76" i="2" s="1"/>
  <c r="DA77" i="2" s="1"/>
  <c r="DA78" i="2" s="1"/>
  <c r="DA79" i="2" s="1"/>
  <c r="DA80" i="2" s="1"/>
  <c r="DA81" i="2" s="1"/>
  <c r="DA82" i="2" s="1"/>
  <c r="DA83" i="2" s="1"/>
  <c r="DA84" i="2" s="1"/>
  <c r="DA85" i="2" s="1"/>
  <c r="DA86" i="2" s="1"/>
  <c r="DA87" i="2" s="1"/>
  <c r="DA88" i="2" s="1"/>
  <c r="DA89" i="2" s="1"/>
  <c r="DA90" i="2" s="1"/>
  <c r="DA91" i="2" s="1"/>
  <c r="DA92" i="2" s="1"/>
  <c r="DA93" i="2" s="1"/>
  <c r="DA94" i="2" s="1"/>
  <c r="DA95" i="2" s="1"/>
  <c r="DA96" i="2" s="1"/>
  <c r="DA97" i="2" s="1"/>
  <c r="DA98" i="2" s="1"/>
  <c r="DA99" i="2" s="1"/>
  <c r="DA100" i="2" s="1"/>
  <c r="DA101" i="2" s="1"/>
  <c r="DA102" i="2" s="1"/>
  <c r="DA103" i="2" s="1"/>
  <c r="DA104" i="2" s="1"/>
  <c r="DA105" i="2" s="1"/>
  <c r="DA106" i="2" s="1"/>
  <c r="DA107" i="2" s="1"/>
  <c r="DA108" i="2" s="1"/>
  <c r="DA109" i="2" s="1"/>
  <c r="DA110" i="2" s="1"/>
  <c r="DA111" i="2" s="1"/>
  <c r="DA112" i="2" s="1"/>
  <c r="DA113" i="2" s="1"/>
  <c r="DA114" i="2" s="1"/>
  <c r="DA115" i="2" s="1"/>
  <c r="DA116" i="2" s="1"/>
  <c r="DA117" i="2" s="1"/>
  <c r="DA118" i="2" s="1"/>
  <c r="DA119" i="2" s="1"/>
  <c r="DA120" i="2" s="1"/>
  <c r="DA121" i="2" s="1"/>
  <c r="DA122" i="2" s="1"/>
  <c r="DA123" i="2" s="1"/>
  <c r="DA124" i="2" s="1"/>
  <c r="DA125" i="2" s="1"/>
  <c r="DA126" i="2" s="1"/>
  <c r="DA127" i="2" s="1"/>
  <c r="DA128" i="2" s="1"/>
  <c r="DA129" i="2" s="1"/>
  <c r="DA130" i="2" s="1"/>
  <c r="DA131" i="2" s="1"/>
  <c r="DA132" i="2" s="1"/>
  <c r="DA133" i="2" s="1"/>
  <c r="DA134" i="2" s="1"/>
  <c r="DA135" i="2" s="1"/>
  <c r="DA136" i="2" s="1"/>
  <c r="DA137" i="2" s="1"/>
  <c r="DA138" i="2" s="1"/>
  <c r="DA139" i="2" s="1"/>
  <c r="DA140" i="2" s="1"/>
  <c r="DA141" i="2" s="1"/>
  <c r="DA142" i="2" s="1"/>
  <c r="DA143" i="2" s="1"/>
  <c r="DA144" i="2" s="1"/>
  <c r="DA145" i="2" s="1"/>
  <c r="DA146" i="2" s="1"/>
  <c r="DA147" i="2" s="1"/>
  <c r="DA148" i="2" s="1"/>
  <c r="DA149" i="2" s="1"/>
  <c r="DA150" i="2" s="1"/>
  <c r="DA151" i="2" s="1"/>
  <c r="DA152" i="2" s="1"/>
  <c r="DA153" i="2" s="1"/>
  <c r="DA154" i="2" s="1"/>
  <c r="DA155" i="2" s="1"/>
  <c r="DA156" i="2" s="1"/>
  <c r="DA157" i="2" s="1"/>
  <c r="DA158" i="2" s="1"/>
  <c r="DA159" i="2" s="1"/>
  <c r="DA160" i="2" s="1"/>
  <c r="DA161" i="2" s="1"/>
  <c r="DA162" i="2" s="1"/>
  <c r="DA163" i="2" s="1"/>
  <c r="DA164" i="2" s="1"/>
  <c r="DA165" i="2" s="1"/>
  <c r="DA166" i="2" s="1"/>
  <c r="DA167" i="2" s="1"/>
  <c r="DA168" i="2" s="1"/>
  <c r="DA169" i="2" s="1"/>
  <c r="DA170" i="2" s="1"/>
  <c r="DA171" i="2" s="1"/>
  <c r="DA172" i="2" s="1"/>
  <c r="DA173" i="2" s="1"/>
  <c r="DA174" i="2" s="1"/>
  <c r="DA175" i="2" s="1"/>
  <c r="DA176" i="2" s="1"/>
  <c r="DA177" i="2" s="1"/>
  <c r="DA178" i="2" s="1"/>
  <c r="DA179" i="2" s="1"/>
  <c r="DA180" i="2" s="1"/>
  <c r="DA181" i="2" s="1"/>
  <c r="DA182" i="2" s="1"/>
  <c r="DA183" i="2" s="1"/>
  <c r="DA184" i="2" s="1"/>
  <c r="DA185" i="2" s="1"/>
  <c r="DA186" i="2" s="1"/>
  <c r="DA187" i="2" s="1"/>
  <c r="DA188" i="2" s="1"/>
  <c r="DA189" i="2" s="1"/>
  <c r="DA190" i="2" s="1"/>
  <c r="DA191" i="2" s="1"/>
  <c r="DA192" i="2" s="1"/>
  <c r="DA193" i="2" s="1"/>
  <c r="DA194" i="2" s="1"/>
  <c r="DA195" i="2" s="1"/>
  <c r="DA196" i="2" s="1"/>
  <c r="DA197" i="2" s="1"/>
  <c r="DA198" i="2" s="1"/>
  <c r="DA199" i="2" s="1"/>
  <c r="DA200" i="2" s="1"/>
  <c r="DA201" i="2" s="1"/>
  <c r="DA202" i="2" s="1"/>
  <c r="DA203" i="2" s="1"/>
  <c r="DA204" i="2" s="1"/>
  <c r="DA205" i="2" s="1"/>
  <c r="DA206" i="2" s="1"/>
  <c r="DA207" i="2" s="1"/>
  <c r="DA208" i="2" s="1"/>
  <c r="DA209" i="2" s="1"/>
  <c r="DA210" i="2" s="1"/>
  <c r="DA211" i="2" s="1"/>
  <c r="DA212" i="2" s="1"/>
  <c r="DA213" i="2" s="1"/>
  <c r="DA214" i="2" s="1"/>
  <c r="DA215" i="2" s="1"/>
  <c r="DA216" i="2" s="1"/>
  <c r="DA217" i="2" s="1"/>
  <c r="DA218" i="2" s="1"/>
  <c r="DA219" i="2" s="1"/>
  <c r="DA220" i="2" s="1"/>
  <c r="DA221" i="2" s="1"/>
  <c r="DA222" i="2" s="1"/>
  <c r="DA223" i="2" s="1"/>
  <c r="DA224" i="2" s="1"/>
  <c r="DA225" i="2" s="1"/>
  <c r="DA226" i="2" s="1"/>
  <c r="DA227" i="2" s="1"/>
  <c r="DA228" i="2" s="1"/>
  <c r="DA229" i="2" s="1"/>
  <c r="DA230" i="2" s="1"/>
  <c r="DA231" i="2" s="1"/>
  <c r="DA232" i="2" s="1"/>
  <c r="DA233" i="2" s="1"/>
  <c r="DA234" i="2" s="1"/>
  <c r="DA235" i="2" s="1"/>
  <c r="DA236" i="2" s="1"/>
  <c r="DA237" i="2" s="1"/>
  <c r="DA238" i="2" s="1"/>
  <c r="DA239" i="2" s="1"/>
  <c r="DA240" i="2" s="1"/>
  <c r="DA241" i="2" s="1"/>
  <c r="DA242" i="2" s="1"/>
  <c r="DA243" i="2" s="1"/>
  <c r="DA244" i="2" s="1"/>
  <c r="DA245" i="2" s="1"/>
  <c r="DA246" i="2" s="1"/>
  <c r="DA247" i="2" s="1"/>
  <c r="DA248" i="2" s="1"/>
  <c r="DA249" i="2" s="1"/>
  <c r="DA250" i="2" s="1"/>
  <c r="DA251" i="2" s="1"/>
  <c r="DA252" i="2" s="1"/>
  <c r="DA253" i="2" s="1"/>
  <c r="DA254" i="2" s="1"/>
  <c r="DA255" i="2" s="1"/>
  <c r="DA256" i="2" s="1"/>
  <c r="DA257" i="2" s="1"/>
  <c r="DA258" i="2" s="1"/>
  <c r="DA259" i="2" s="1"/>
  <c r="DA260" i="2" s="1"/>
  <c r="DA261" i="2" s="1"/>
  <c r="DA262" i="2" s="1"/>
  <c r="DA263" i="2" s="1"/>
  <c r="DA264" i="2" s="1"/>
  <c r="DA265" i="2" s="1"/>
  <c r="DA266" i="2" s="1"/>
  <c r="DA267" i="2" s="1"/>
  <c r="DA268" i="2" s="1"/>
  <c r="DA269" i="2" s="1"/>
  <c r="DA270" i="2" s="1"/>
  <c r="DA271" i="2" s="1"/>
  <c r="DA272" i="2" s="1"/>
  <c r="DA273" i="2" s="1"/>
  <c r="DA274" i="2" s="1"/>
  <c r="DA275" i="2" s="1"/>
  <c r="DA276" i="2" s="1"/>
  <c r="DA277" i="2" s="1"/>
  <c r="DA278" i="2" s="1"/>
  <c r="DA279" i="2" s="1"/>
  <c r="DA280" i="2" s="1"/>
  <c r="DA281" i="2" s="1"/>
  <c r="DA282" i="2" s="1"/>
  <c r="DA283" i="2" s="1"/>
  <c r="DA284" i="2" s="1"/>
  <c r="DA285" i="2" s="1"/>
  <c r="DA286" i="2" s="1"/>
  <c r="DA287" i="2" s="1"/>
  <c r="DA288" i="2" s="1"/>
  <c r="DA289" i="2" s="1"/>
  <c r="DA290" i="2" s="1"/>
  <c r="DA291" i="2" s="1"/>
  <c r="DA292" i="2" s="1"/>
  <c r="DA293" i="2" s="1"/>
  <c r="DA294" i="2" s="1"/>
  <c r="DA295" i="2" s="1"/>
  <c r="DA296" i="2" s="1"/>
  <c r="DA297" i="2" s="1"/>
  <c r="DA298" i="2" s="1"/>
  <c r="DA299" i="2" s="1"/>
  <c r="DA300" i="2" s="1"/>
  <c r="DA301" i="2" s="1"/>
  <c r="DA302" i="2" s="1"/>
  <c r="DA303" i="2" s="1"/>
  <c r="DA304" i="2" s="1"/>
  <c r="DA305" i="2" s="1"/>
  <c r="DA306" i="2" s="1"/>
  <c r="DA307" i="2" s="1"/>
  <c r="DA308" i="2" s="1"/>
  <c r="DA309" i="2" s="1"/>
  <c r="DA310" i="2" s="1"/>
  <c r="DA311" i="2" s="1"/>
  <c r="DA312" i="2" s="1"/>
  <c r="DA313" i="2" s="1"/>
  <c r="DA314" i="2" s="1"/>
  <c r="DA315" i="2" s="1"/>
  <c r="DA316" i="2" s="1"/>
  <c r="DA317" i="2" s="1"/>
  <c r="DA318" i="2" s="1"/>
  <c r="DA319" i="2" s="1"/>
  <c r="DA320" i="2" s="1"/>
  <c r="DA321" i="2" s="1"/>
  <c r="DA322" i="2" s="1"/>
  <c r="DA323" i="2" s="1"/>
  <c r="DA324" i="2" s="1"/>
  <c r="DA325" i="2" s="1"/>
  <c r="DA326" i="2" s="1"/>
  <c r="DA327" i="2" s="1"/>
  <c r="DA328" i="2" s="1"/>
  <c r="DA329" i="2" s="1"/>
  <c r="DA330" i="2" s="1"/>
  <c r="DA331" i="2" s="1"/>
  <c r="DA332" i="2" s="1"/>
  <c r="DA333" i="2" s="1"/>
  <c r="DA334" i="2" s="1"/>
  <c r="DA335" i="2" s="1"/>
  <c r="DA336" i="2" s="1"/>
  <c r="DA337" i="2" s="1"/>
  <c r="DA338" i="2" s="1"/>
  <c r="DA339" i="2" s="1"/>
  <c r="DA340" i="2" s="1"/>
  <c r="DA341" i="2" s="1"/>
  <c r="DG7" i="2"/>
  <c r="DG8" i="2" s="1"/>
  <c r="DG9" i="2" s="1"/>
  <c r="DG10" i="2" s="1"/>
  <c r="DG11" i="2" s="1"/>
  <c r="DG12" i="2" s="1"/>
  <c r="DG13" i="2" s="1"/>
  <c r="DG14" i="2" s="1"/>
  <c r="DG15" i="2" s="1"/>
  <c r="DG16" i="2" s="1"/>
  <c r="DG17" i="2" s="1"/>
  <c r="DG18" i="2" s="1"/>
  <c r="DG19" i="2" s="1"/>
  <c r="DG20" i="2" s="1"/>
  <c r="DG21" i="2" s="1"/>
  <c r="DG22" i="2" s="1"/>
  <c r="DG23" i="2" s="1"/>
  <c r="DG24" i="2" s="1"/>
  <c r="DG25" i="2" s="1"/>
  <c r="DG26" i="2" s="1"/>
  <c r="DG27" i="2" s="1"/>
  <c r="DG28" i="2" s="1"/>
  <c r="DG29" i="2" s="1"/>
  <c r="DG30" i="2" s="1"/>
  <c r="DG31" i="2" s="1"/>
  <c r="DG32" i="2" s="1"/>
  <c r="DG33" i="2" s="1"/>
  <c r="DG34" i="2" s="1"/>
  <c r="DG35" i="2" s="1"/>
  <c r="DG36" i="2" s="1"/>
  <c r="DG37" i="2" s="1"/>
  <c r="DG38" i="2" s="1"/>
  <c r="DG39" i="2" s="1"/>
  <c r="DG40" i="2" s="1"/>
  <c r="DG41" i="2" s="1"/>
  <c r="DG42" i="2" s="1"/>
  <c r="DG43" i="2" s="1"/>
  <c r="DG44" i="2" s="1"/>
  <c r="DG45" i="2" s="1"/>
  <c r="DG46" i="2" s="1"/>
  <c r="DG47" i="2" s="1"/>
  <c r="DG48" i="2" s="1"/>
  <c r="DG49" i="2" s="1"/>
  <c r="DG50" i="2" s="1"/>
  <c r="DG51" i="2" s="1"/>
  <c r="DG52" i="2" s="1"/>
  <c r="DG53" i="2" s="1"/>
  <c r="DG54" i="2" s="1"/>
  <c r="DG55" i="2" s="1"/>
  <c r="DG56" i="2" s="1"/>
  <c r="DG57" i="2" s="1"/>
  <c r="DG58" i="2" s="1"/>
  <c r="DG59" i="2" s="1"/>
  <c r="DG60" i="2" s="1"/>
  <c r="DG61" i="2" s="1"/>
  <c r="DG62" i="2" s="1"/>
  <c r="DG63" i="2" s="1"/>
  <c r="DG64" i="2" s="1"/>
  <c r="DG65" i="2" s="1"/>
  <c r="DG66" i="2" s="1"/>
  <c r="DG67" i="2" s="1"/>
  <c r="DG68" i="2" s="1"/>
  <c r="DG69" i="2" s="1"/>
  <c r="DG70" i="2" s="1"/>
  <c r="DG71" i="2" s="1"/>
  <c r="DG72" i="2" s="1"/>
  <c r="DG73" i="2" s="1"/>
  <c r="DG74" i="2" s="1"/>
  <c r="DG75" i="2" s="1"/>
  <c r="DG76" i="2" s="1"/>
  <c r="DG77" i="2" s="1"/>
  <c r="DG78" i="2" s="1"/>
  <c r="DG79" i="2" s="1"/>
  <c r="DG80" i="2" s="1"/>
  <c r="DG81" i="2" s="1"/>
  <c r="DG82" i="2" s="1"/>
  <c r="DG83" i="2" s="1"/>
  <c r="DG84" i="2" s="1"/>
  <c r="DG85" i="2" s="1"/>
  <c r="DG86" i="2" s="1"/>
  <c r="DG87" i="2" s="1"/>
  <c r="DG88" i="2" s="1"/>
  <c r="DG89" i="2" s="1"/>
  <c r="DG90" i="2" s="1"/>
  <c r="DG91" i="2" s="1"/>
  <c r="DG92" i="2" s="1"/>
  <c r="DG93" i="2" s="1"/>
  <c r="DG94" i="2" s="1"/>
  <c r="DG95" i="2" s="1"/>
  <c r="DG96" i="2" s="1"/>
  <c r="DG97" i="2" s="1"/>
  <c r="DG98" i="2" s="1"/>
  <c r="DG99" i="2" s="1"/>
  <c r="DG100" i="2" s="1"/>
  <c r="DG101" i="2" s="1"/>
  <c r="DG102" i="2" s="1"/>
  <c r="DG103" i="2" s="1"/>
  <c r="DG104" i="2" s="1"/>
  <c r="DG105" i="2" s="1"/>
  <c r="DG106" i="2" s="1"/>
  <c r="DG107" i="2" s="1"/>
  <c r="DG108" i="2" s="1"/>
  <c r="DG109" i="2" s="1"/>
  <c r="DG110" i="2" s="1"/>
  <c r="DG111" i="2" s="1"/>
  <c r="DG112" i="2" s="1"/>
  <c r="DG113" i="2" s="1"/>
  <c r="DG114" i="2" s="1"/>
  <c r="DG115" i="2" s="1"/>
  <c r="DG116" i="2" s="1"/>
  <c r="DG117" i="2" s="1"/>
  <c r="DG118" i="2" s="1"/>
  <c r="DG119" i="2" s="1"/>
  <c r="DG120" i="2" s="1"/>
  <c r="DG121" i="2" s="1"/>
  <c r="DG122" i="2" s="1"/>
  <c r="DG123" i="2" s="1"/>
  <c r="DG124" i="2" s="1"/>
  <c r="DG125" i="2" s="1"/>
  <c r="DG126" i="2" s="1"/>
  <c r="DG127" i="2" s="1"/>
  <c r="DG128" i="2" s="1"/>
  <c r="DG129" i="2" s="1"/>
  <c r="DG130" i="2" s="1"/>
  <c r="DG131" i="2" s="1"/>
  <c r="DG132" i="2" s="1"/>
  <c r="DG133" i="2" s="1"/>
  <c r="DG134" i="2" s="1"/>
  <c r="DG135" i="2" s="1"/>
  <c r="DG136" i="2" s="1"/>
  <c r="DG137" i="2" s="1"/>
  <c r="DG138" i="2" s="1"/>
  <c r="DG139" i="2" s="1"/>
  <c r="DG140" i="2" s="1"/>
  <c r="DG141" i="2" s="1"/>
  <c r="DG142" i="2" s="1"/>
  <c r="DG143" i="2" s="1"/>
  <c r="DG144" i="2" s="1"/>
  <c r="DG145" i="2" s="1"/>
  <c r="DG146" i="2" s="1"/>
  <c r="DG147" i="2" s="1"/>
  <c r="DG148" i="2" s="1"/>
  <c r="DG149" i="2" s="1"/>
  <c r="DG150" i="2" s="1"/>
  <c r="DG151" i="2" s="1"/>
  <c r="DG152" i="2" s="1"/>
  <c r="DG153" i="2" s="1"/>
  <c r="DG154" i="2" s="1"/>
  <c r="DG155" i="2" s="1"/>
  <c r="DG156" i="2" s="1"/>
  <c r="DG157" i="2" s="1"/>
  <c r="DG158" i="2" s="1"/>
  <c r="DG159" i="2" s="1"/>
  <c r="DG160" i="2" s="1"/>
  <c r="DG161" i="2" s="1"/>
  <c r="DG162" i="2" s="1"/>
  <c r="DG163" i="2" s="1"/>
  <c r="DG164" i="2" s="1"/>
  <c r="DG165" i="2" s="1"/>
  <c r="DG166" i="2" s="1"/>
  <c r="DG167" i="2" s="1"/>
  <c r="DG168" i="2" s="1"/>
  <c r="DG169" i="2" s="1"/>
  <c r="DG170" i="2" s="1"/>
  <c r="DG171" i="2" s="1"/>
  <c r="DG172" i="2" s="1"/>
  <c r="DG173" i="2" s="1"/>
  <c r="DG174" i="2" s="1"/>
  <c r="DG175" i="2" s="1"/>
  <c r="DG176" i="2" s="1"/>
  <c r="DG177" i="2" s="1"/>
  <c r="DG178" i="2" s="1"/>
  <c r="DG179" i="2" s="1"/>
  <c r="DG180" i="2" s="1"/>
  <c r="DG181" i="2" s="1"/>
  <c r="DG182" i="2" s="1"/>
  <c r="DG183" i="2" s="1"/>
  <c r="DG184" i="2" s="1"/>
  <c r="DG185" i="2" s="1"/>
  <c r="DG186" i="2" s="1"/>
  <c r="DG187" i="2" s="1"/>
  <c r="DG188" i="2" s="1"/>
  <c r="DG189" i="2" s="1"/>
  <c r="DG190" i="2" s="1"/>
  <c r="DG191" i="2" s="1"/>
  <c r="DG192" i="2" s="1"/>
  <c r="DG193" i="2" s="1"/>
  <c r="DG194" i="2" s="1"/>
  <c r="DG195" i="2" s="1"/>
  <c r="DG196" i="2" s="1"/>
  <c r="DG197" i="2" s="1"/>
  <c r="DG198" i="2" s="1"/>
  <c r="DG199" i="2" s="1"/>
  <c r="DG200" i="2" s="1"/>
  <c r="DG201" i="2" s="1"/>
  <c r="DG202" i="2" s="1"/>
  <c r="DG203" i="2" s="1"/>
  <c r="DG204" i="2" s="1"/>
  <c r="DG205" i="2" s="1"/>
  <c r="DG206" i="2" s="1"/>
  <c r="DG207" i="2" s="1"/>
  <c r="DG208" i="2" s="1"/>
  <c r="DG209" i="2" s="1"/>
  <c r="DG210" i="2" s="1"/>
  <c r="DG211" i="2" s="1"/>
  <c r="DG212" i="2" s="1"/>
  <c r="DG213" i="2" s="1"/>
  <c r="DG214" i="2" s="1"/>
  <c r="DG215" i="2" s="1"/>
  <c r="DG216" i="2" s="1"/>
  <c r="DG217" i="2" s="1"/>
  <c r="DG218" i="2" s="1"/>
  <c r="DG219" i="2" s="1"/>
  <c r="DG220" i="2" s="1"/>
  <c r="DG221" i="2" s="1"/>
  <c r="DG222" i="2" s="1"/>
  <c r="DG223" i="2" s="1"/>
  <c r="DG224" i="2" s="1"/>
  <c r="DG225" i="2" s="1"/>
  <c r="DG226" i="2" s="1"/>
  <c r="DG227" i="2" s="1"/>
  <c r="DG228" i="2" s="1"/>
  <c r="DG229" i="2" s="1"/>
  <c r="DG230" i="2" s="1"/>
  <c r="DG231" i="2" s="1"/>
  <c r="DG232" i="2" s="1"/>
  <c r="DG233" i="2" s="1"/>
  <c r="DG234" i="2" s="1"/>
  <c r="DG235" i="2" s="1"/>
  <c r="DG236" i="2" s="1"/>
  <c r="DG237" i="2" s="1"/>
  <c r="DG238" i="2" s="1"/>
  <c r="DG239" i="2" s="1"/>
  <c r="DG240" i="2" s="1"/>
  <c r="DG241" i="2" s="1"/>
  <c r="DG242" i="2" s="1"/>
  <c r="DG243" i="2" s="1"/>
  <c r="DG244" i="2" s="1"/>
  <c r="DG245" i="2" s="1"/>
  <c r="DG246" i="2" s="1"/>
  <c r="DG247" i="2" s="1"/>
  <c r="DG248" i="2" s="1"/>
  <c r="DG249" i="2" s="1"/>
  <c r="DG250" i="2" s="1"/>
  <c r="DG251" i="2" s="1"/>
  <c r="DG252" i="2" s="1"/>
  <c r="DG253" i="2" s="1"/>
  <c r="DG254" i="2" s="1"/>
  <c r="DG255" i="2" s="1"/>
  <c r="DG256" i="2" s="1"/>
  <c r="DG257" i="2" s="1"/>
  <c r="DG258" i="2" s="1"/>
  <c r="DG259" i="2" s="1"/>
  <c r="DG260" i="2" s="1"/>
  <c r="DG261" i="2" s="1"/>
  <c r="DG262" i="2" s="1"/>
  <c r="DG263" i="2" s="1"/>
  <c r="DG264" i="2" s="1"/>
  <c r="DG265" i="2" s="1"/>
  <c r="DG266" i="2" s="1"/>
  <c r="DG267" i="2" s="1"/>
  <c r="DG268" i="2" s="1"/>
  <c r="DG269" i="2" s="1"/>
  <c r="DG270" i="2" s="1"/>
  <c r="DG271" i="2" s="1"/>
  <c r="DG272" i="2" s="1"/>
  <c r="DG273" i="2" s="1"/>
  <c r="DG274" i="2" s="1"/>
  <c r="DG275" i="2" s="1"/>
  <c r="DG276" i="2" s="1"/>
  <c r="DG277" i="2" s="1"/>
  <c r="DG278" i="2" s="1"/>
  <c r="DG279" i="2" s="1"/>
  <c r="DG280" i="2" s="1"/>
  <c r="DG281" i="2" s="1"/>
  <c r="DG282" i="2" s="1"/>
  <c r="DG283" i="2" s="1"/>
  <c r="DG284" i="2" s="1"/>
  <c r="DG285" i="2" s="1"/>
  <c r="DG286" i="2" s="1"/>
  <c r="DG287" i="2" s="1"/>
  <c r="DG288" i="2" s="1"/>
  <c r="DG289" i="2" s="1"/>
  <c r="DG290" i="2" s="1"/>
  <c r="DG291" i="2" s="1"/>
  <c r="DG292" i="2" s="1"/>
  <c r="DG293" i="2" s="1"/>
  <c r="DG294" i="2" s="1"/>
  <c r="DG295" i="2" s="1"/>
  <c r="DG296" i="2" s="1"/>
  <c r="DG297" i="2" s="1"/>
  <c r="DG298" i="2" s="1"/>
  <c r="DG299" i="2" s="1"/>
  <c r="DG300" i="2" s="1"/>
  <c r="DG301" i="2" s="1"/>
  <c r="DG302" i="2" s="1"/>
  <c r="DG303" i="2" s="1"/>
  <c r="DG304" i="2" s="1"/>
  <c r="DG305" i="2" s="1"/>
  <c r="DG306" i="2" s="1"/>
  <c r="DG307" i="2" s="1"/>
  <c r="DG308" i="2" s="1"/>
  <c r="DG309" i="2" s="1"/>
  <c r="DG310" i="2" s="1"/>
  <c r="DG311" i="2" s="1"/>
  <c r="DG312" i="2" s="1"/>
  <c r="DG313" i="2" s="1"/>
  <c r="DG314" i="2" s="1"/>
  <c r="DG315" i="2" s="1"/>
  <c r="DG316" i="2" s="1"/>
  <c r="DG317" i="2" s="1"/>
  <c r="DG318" i="2" s="1"/>
  <c r="DG319" i="2" s="1"/>
  <c r="DG320" i="2" s="1"/>
  <c r="DG321" i="2" s="1"/>
  <c r="DG322" i="2" s="1"/>
  <c r="DG323" i="2" s="1"/>
  <c r="DG324" i="2" s="1"/>
  <c r="DG325" i="2" s="1"/>
  <c r="DG326" i="2" s="1"/>
  <c r="DG327" i="2" s="1"/>
  <c r="DG328" i="2" s="1"/>
  <c r="DG329" i="2" s="1"/>
  <c r="DG330" i="2" s="1"/>
  <c r="DG331" i="2" s="1"/>
  <c r="DG332" i="2" s="1"/>
  <c r="DG333" i="2" s="1"/>
  <c r="DG334" i="2" s="1"/>
  <c r="DG335" i="2" s="1"/>
  <c r="DG336" i="2" s="1"/>
  <c r="DG337" i="2" s="1"/>
  <c r="DG338" i="2" s="1"/>
  <c r="DG339" i="2" s="1"/>
  <c r="DG340" i="2" s="1"/>
  <c r="DG341" i="2" s="1"/>
  <c r="DH6" i="2"/>
  <c r="DH7" i="2" s="1"/>
  <c r="DH8" i="2" s="1"/>
  <c r="DH9" i="2" s="1"/>
  <c r="DH10" i="2" s="1"/>
  <c r="DH11" i="2" s="1"/>
  <c r="DH12" i="2" s="1"/>
  <c r="DH13" i="2" s="1"/>
  <c r="DH14" i="2" s="1"/>
  <c r="DH15" i="2" s="1"/>
  <c r="DH16" i="2" s="1"/>
  <c r="DH17" i="2" s="1"/>
  <c r="DH18" i="2" s="1"/>
  <c r="DH19" i="2" s="1"/>
  <c r="DH20" i="2" s="1"/>
  <c r="DH21" i="2" s="1"/>
  <c r="DH22" i="2" s="1"/>
  <c r="DH23" i="2" s="1"/>
  <c r="DH24" i="2" s="1"/>
  <c r="DH25" i="2" s="1"/>
  <c r="DH26" i="2" s="1"/>
  <c r="DH27" i="2" s="1"/>
  <c r="DH28" i="2" s="1"/>
  <c r="DH29" i="2" s="1"/>
  <c r="DH30" i="2" s="1"/>
  <c r="DH31" i="2" s="1"/>
  <c r="DH32" i="2" s="1"/>
  <c r="DH33" i="2" s="1"/>
  <c r="DH34" i="2" s="1"/>
  <c r="DH35" i="2" s="1"/>
  <c r="DH36" i="2" s="1"/>
  <c r="DH37" i="2" s="1"/>
  <c r="DH38" i="2" s="1"/>
  <c r="DH39" i="2" s="1"/>
  <c r="DH40" i="2" s="1"/>
  <c r="DH41" i="2" s="1"/>
  <c r="DH42" i="2" s="1"/>
  <c r="DH43" i="2" s="1"/>
  <c r="DH44" i="2" s="1"/>
  <c r="DH45" i="2" s="1"/>
  <c r="DH46" i="2" s="1"/>
  <c r="DH47" i="2" s="1"/>
  <c r="DH48" i="2" s="1"/>
  <c r="DH49" i="2" s="1"/>
  <c r="DH50" i="2" s="1"/>
  <c r="DH51" i="2" s="1"/>
  <c r="DH52" i="2" s="1"/>
  <c r="DH53" i="2" s="1"/>
  <c r="DH54" i="2" s="1"/>
  <c r="DH55" i="2" s="1"/>
  <c r="DH56" i="2" s="1"/>
  <c r="DH57" i="2" s="1"/>
  <c r="DH58" i="2" s="1"/>
  <c r="DH59" i="2" s="1"/>
  <c r="DH60" i="2" s="1"/>
  <c r="DH61" i="2" s="1"/>
  <c r="DH62" i="2" s="1"/>
  <c r="DH63" i="2" s="1"/>
  <c r="DH64" i="2" s="1"/>
  <c r="DH65" i="2" s="1"/>
  <c r="DH66" i="2" s="1"/>
  <c r="DH67" i="2" s="1"/>
  <c r="DH68" i="2" s="1"/>
  <c r="DH69" i="2" s="1"/>
  <c r="DH70" i="2" s="1"/>
  <c r="DH71" i="2" s="1"/>
  <c r="DH72" i="2" s="1"/>
  <c r="DH73" i="2" s="1"/>
  <c r="DH74" i="2" s="1"/>
  <c r="DH75" i="2" s="1"/>
  <c r="DH76" i="2" s="1"/>
  <c r="DH77" i="2" s="1"/>
  <c r="DH78" i="2" s="1"/>
  <c r="DH79" i="2" s="1"/>
  <c r="DH80" i="2" s="1"/>
  <c r="DH81" i="2" s="1"/>
  <c r="DH82" i="2" s="1"/>
  <c r="DH83" i="2" s="1"/>
  <c r="DH84" i="2" s="1"/>
  <c r="DH85" i="2" s="1"/>
  <c r="DH86" i="2" s="1"/>
  <c r="DH87" i="2" s="1"/>
  <c r="DH88" i="2" s="1"/>
  <c r="DH89" i="2" s="1"/>
  <c r="DH90" i="2" s="1"/>
  <c r="DH91" i="2" s="1"/>
  <c r="DH92" i="2" s="1"/>
  <c r="DH93" i="2" s="1"/>
  <c r="DH94" i="2" s="1"/>
  <c r="DH95" i="2" s="1"/>
  <c r="DH96" i="2" s="1"/>
  <c r="DH97" i="2" s="1"/>
  <c r="DH98" i="2" s="1"/>
  <c r="DH99" i="2" s="1"/>
  <c r="DH100" i="2" s="1"/>
  <c r="DH101" i="2" s="1"/>
  <c r="DH102" i="2" s="1"/>
  <c r="DH103" i="2" s="1"/>
  <c r="DH104" i="2" s="1"/>
  <c r="DH105" i="2" s="1"/>
  <c r="DH106" i="2" s="1"/>
  <c r="DH107" i="2" s="1"/>
  <c r="DH108" i="2" s="1"/>
  <c r="DH109" i="2" s="1"/>
  <c r="DH110" i="2" s="1"/>
  <c r="DH111" i="2" s="1"/>
  <c r="DH112" i="2" s="1"/>
  <c r="DH113" i="2" s="1"/>
  <c r="DH114" i="2" s="1"/>
  <c r="DH115" i="2" s="1"/>
  <c r="DH116" i="2" s="1"/>
  <c r="DH117" i="2" s="1"/>
  <c r="DH118" i="2" s="1"/>
  <c r="DH119" i="2" s="1"/>
  <c r="DH120" i="2" s="1"/>
  <c r="DH121" i="2" s="1"/>
  <c r="DH122" i="2" s="1"/>
  <c r="DH123" i="2" s="1"/>
  <c r="DH124" i="2" s="1"/>
  <c r="DH125" i="2" s="1"/>
  <c r="DH126" i="2" s="1"/>
  <c r="DH127" i="2" s="1"/>
  <c r="DH128" i="2" s="1"/>
  <c r="DH129" i="2" s="1"/>
  <c r="DH130" i="2" s="1"/>
  <c r="DH131" i="2" s="1"/>
  <c r="DH132" i="2" s="1"/>
  <c r="DH133" i="2" s="1"/>
  <c r="DH134" i="2" s="1"/>
  <c r="DH135" i="2" s="1"/>
  <c r="DH136" i="2" s="1"/>
  <c r="DH137" i="2" s="1"/>
  <c r="DH138" i="2" s="1"/>
  <c r="DH139" i="2" s="1"/>
  <c r="DH140" i="2" s="1"/>
  <c r="DH141" i="2" s="1"/>
  <c r="DH142" i="2" s="1"/>
  <c r="DH143" i="2" s="1"/>
  <c r="DH144" i="2" s="1"/>
  <c r="DH145" i="2" s="1"/>
  <c r="DH146" i="2" s="1"/>
  <c r="DH147" i="2" s="1"/>
  <c r="DH148" i="2" s="1"/>
  <c r="DH149" i="2" s="1"/>
  <c r="DH150" i="2" s="1"/>
  <c r="DH151" i="2" s="1"/>
  <c r="DH152" i="2" s="1"/>
  <c r="DH153" i="2" s="1"/>
  <c r="DH154" i="2" s="1"/>
  <c r="DH155" i="2" s="1"/>
  <c r="DH156" i="2" s="1"/>
  <c r="DH157" i="2" s="1"/>
  <c r="DH158" i="2" s="1"/>
  <c r="DH159" i="2" s="1"/>
  <c r="DH160" i="2" s="1"/>
  <c r="DH161" i="2" s="1"/>
  <c r="DH162" i="2" s="1"/>
  <c r="DH163" i="2" s="1"/>
  <c r="DH164" i="2" s="1"/>
  <c r="DH165" i="2" s="1"/>
  <c r="DH166" i="2" s="1"/>
  <c r="DH167" i="2" s="1"/>
  <c r="DH168" i="2" s="1"/>
  <c r="DH169" i="2" s="1"/>
  <c r="DH170" i="2" s="1"/>
  <c r="DH171" i="2" s="1"/>
  <c r="DH172" i="2" s="1"/>
  <c r="DH173" i="2" s="1"/>
  <c r="DH174" i="2" s="1"/>
  <c r="DH175" i="2" s="1"/>
  <c r="DH176" i="2" s="1"/>
  <c r="DH177" i="2" s="1"/>
  <c r="DH178" i="2" s="1"/>
  <c r="DH179" i="2" s="1"/>
  <c r="DH180" i="2" s="1"/>
  <c r="DH181" i="2" s="1"/>
  <c r="DH182" i="2" s="1"/>
  <c r="DH183" i="2" s="1"/>
  <c r="DH184" i="2" s="1"/>
  <c r="DH185" i="2" s="1"/>
  <c r="DH186" i="2" s="1"/>
  <c r="DH187" i="2" s="1"/>
  <c r="DH188" i="2" s="1"/>
  <c r="DH189" i="2" s="1"/>
  <c r="DH190" i="2" s="1"/>
  <c r="DH191" i="2" s="1"/>
  <c r="DH192" i="2" s="1"/>
  <c r="DH193" i="2" s="1"/>
  <c r="DH194" i="2" s="1"/>
  <c r="DH195" i="2" s="1"/>
  <c r="DH196" i="2" s="1"/>
  <c r="DH197" i="2" s="1"/>
  <c r="DH198" i="2" s="1"/>
  <c r="DH199" i="2" s="1"/>
  <c r="DH200" i="2" s="1"/>
  <c r="DH201" i="2" s="1"/>
  <c r="DH202" i="2" s="1"/>
  <c r="DH203" i="2" s="1"/>
  <c r="DH204" i="2" s="1"/>
  <c r="DH205" i="2" s="1"/>
  <c r="DH206" i="2" s="1"/>
  <c r="DH207" i="2" s="1"/>
  <c r="DH208" i="2" s="1"/>
  <c r="DH209" i="2" s="1"/>
  <c r="DH210" i="2" s="1"/>
  <c r="DH211" i="2" s="1"/>
  <c r="DH212" i="2" s="1"/>
  <c r="DH213" i="2" s="1"/>
  <c r="DH214" i="2" s="1"/>
  <c r="DH215" i="2" s="1"/>
  <c r="DH216" i="2" s="1"/>
  <c r="DH217" i="2" s="1"/>
  <c r="DH218" i="2" s="1"/>
  <c r="DH219" i="2" s="1"/>
  <c r="DH220" i="2" s="1"/>
  <c r="DH221" i="2" s="1"/>
  <c r="DH222" i="2" s="1"/>
  <c r="DH223" i="2" s="1"/>
  <c r="DH224" i="2" s="1"/>
  <c r="DH225" i="2" s="1"/>
  <c r="DH226" i="2" s="1"/>
  <c r="DH227" i="2" s="1"/>
  <c r="DH228" i="2" s="1"/>
  <c r="DH229" i="2" s="1"/>
  <c r="DH230" i="2" s="1"/>
  <c r="DH231" i="2" s="1"/>
  <c r="DH232" i="2" s="1"/>
  <c r="DH233" i="2" s="1"/>
  <c r="DH234" i="2" s="1"/>
  <c r="DH235" i="2" s="1"/>
  <c r="DH236" i="2" s="1"/>
  <c r="DH237" i="2" s="1"/>
  <c r="DH238" i="2" s="1"/>
  <c r="DH239" i="2" s="1"/>
  <c r="DH240" i="2" s="1"/>
  <c r="DH241" i="2" s="1"/>
  <c r="DH242" i="2" s="1"/>
  <c r="DH243" i="2" s="1"/>
  <c r="DH244" i="2" s="1"/>
  <c r="DH245" i="2" s="1"/>
  <c r="DH246" i="2" s="1"/>
  <c r="DH247" i="2" s="1"/>
  <c r="DH248" i="2" s="1"/>
  <c r="DH249" i="2" s="1"/>
  <c r="DH250" i="2" s="1"/>
  <c r="DH251" i="2" s="1"/>
  <c r="DH252" i="2" s="1"/>
  <c r="DH253" i="2" s="1"/>
  <c r="DH254" i="2" s="1"/>
  <c r="DH255" i="2" s="1"/>
  <c r="DH256" i="2" s="1"/>
  <c r="DH257" i="2" s="1"/>
  <c r="DH258" i="2" s="1"/>
  <c r="DH259" i="2" s="1"/>
  <c r="DH260" i="2" s="1"/>
  <c r="DH261" i="2" s="1"/>
  <c r="DH262" i="2" s="1"/>
  <c r="DH263" i="2" s="1"/>
  <c r="DH264" i="2" s="1"/>
  <c r="DH265" i="2" s="1"/>
  <c r="DH266" i="2" s="1"/>
  <c r="DH267" i="2" s="1"/>
  <c r="DH268" i="2" s="1"/>
  <c r="DH269" i="2" s="1"/>
  <c r="DH270" i="2" s="1"/>
  <c r="DH271" i="2" s="1"/>
  <c r="DH272" i="2" s="1"/>
  <c r="DH273" i="2" s="1"/>
  <c r="DH274" i="2" s="1"/>
  <c r="DH275" i="2" s="1"/>
  <c r="DH276" i="2" s="1"/>
  <c r="DH277" i="2" s="1"/>
  <c r="DH278" i="2" s="1"/>
  <c r="DH279" i="2" s="1"/>
  <c r="DH280" i="2" s="1"/>
  <c r="DH281" i="2" s="1"/>
  <c r="DH282" i="2" s="1"/>
  <c r="DH283" i="2" s="1"/>
  <c r="DH284" i="2" s="1"/>
  <c r="DH285" i="2" s="1"/>
  <c r="DH286" i="2" s="1"/>
  <c r="DH287" i="2" s="1"/>
  <c r="DH288" i="2" s="1"/>
  <c r="DH289" i="2" s="1"/>
  <c r="DH290" i="2" s="1"/>
  <c r="DH291" i="2" s="1"/>
  <c r="DH292" i="2" s="1"/>
  <c r="DH293" i="2" s="1"/>
  <c r="DH294" i="2" s="1"/>
  <c r="DH295" i="2" s="1"/>
  <c r="DH296" i="2" s="1"/>
  <c r="DH297" i="2" s="1"/>
  <c r="DH298" i="2" s="1"/>
  <c r="DH299" i="2" s="1"/>
  <c r="DH300" i="2" s="1"/>
  <c r="DH301" i="2" s="1"/>
  <c r="DH302" i="2" s="1"/>
  <c r="DH303" i="2" s="1"/>
  <c r="DH304" i="2" s="1"/>
  <c r="DH305" i="2" s="1"/>
  <c r="DH306" i="2" s="1"/>
  <c r="DH307" i="2" s="1"/>
  <c r="DH308" i="2" s="1"/>
  <c r="DH309" i="2" s="1"/>
  <c r="DH310" i="2" s="1"/>
  <c r="DH311" i="2" s="1"/>
  <c r="DH312" i="2" s="1"/>
  <c r="DH313" i="2" s="1"/>
  <c r="DH314" i="2" s="1"/>
  <c r="DH315" i="2" s="1"/>
  <c r="DH316" i="2" s="1"/>
  <c r="DH317" i="2" s="1"/>
  <c r="DH318" i="2" s="1"/>
  <c r="DH319" i="2" s="1"/>
  <c r="DH320" i="2" s="1"/>
  <c r="DH321" i="2" s="1"/>
  <c r="DH322" i="2" s="1"/>
  <c r="DH323" i="2" s="1"/>
  <c r="DH324" i="2" s="1"/>
  <c r="DH325" i="2" s="1"/>
  <c r="DH326" i="2" s="1"/>
  <c r="DH327" i="2" s="1"/>
  <c r="DH328" i="2" s="1"/>
  <c r="DH329" i="2" s="1"/>
  <c r="DH330" i="2" s="1"/>
  <c r="DH331" i="2" s="1"/>
  <c r="DH332" i="2" s="1"/>
  <c r="DH333" i="2" s="1"/>
  <c r="DH334" i="2" s="1"/>
  <c r="DH335" i="2" s="1"/>
  <c r="DH336" i="2" s="1"/>
  <c r="DH337" i="2" s="1"/>
  <c r="DH338" i="2" s="1"/>
  <c r="DH339" i="2" s="1"/>
  <c r="DH340" i="2" s="1"/>
  <c r="DH341" i="2" s="1"/>
  <c r="DK7" i="2"/>
  <c r="DK8" i="2" s="1"/>
  <c r="DK9" i="2" s="1"/>
  <c r="DK10" i="2" s="1"/>
  <c r="DK11" i="2" s="1"/>
  <c r="DK12" i="2" s="1"/>
  <c r="DK13" i="2" s="1"/>
  <c r="DK14" i="2" s="1"/>
  <c r="DK15" i="2" s="1"/>
  <c r="DK16" i="2" s="1"/>
  <c r="DK17" i="2" s="1"/>
  <c r="DK18" i="2" s="1"/>
  <c r="DK19" i="2" s="1"/>
  <c r="DK20" i="2" s="1"/>
  <c r="DK21" i="2" s="1"/>
  <c r="DK22" i="2" s="1"/>
  <c r="DK23" i="2" s="1"/>
  <c r="DK24" i="2" s="1"/>
  <c r="DK25" i="2" s="1"/>
  <c r="DK26" i="2" s="1"/>
  <c r="DK27" i="2" s="1"/>
  <c r="DK28" i="2" s="1"/>
  <c r="DK29" i="2" s="1"/>
  <c r="DK30" i="2" s="1"/>
  <c r="DK31" i="2" s="1"/>
  <c r="DK32" i="2" s="1"/>
  <c r="DK33" i="2" s="1"/>
  <c r="DK34" i="2" s="1"/>
  <c r="DK35" i="2" s="1"/>
  <c r="DK36" i="2" s="1"/>
  <c r="DK37" i="2" s="1"/>
  <c r="DK38" i="2" s="1"/>
  <c r="DK39" i="2" s="1"/>
  <c r="DK40" i="2" s="1"/>
  <c r="DK41" i="2" s="1"/>
  <c r="DK42" i="2" s="1"/>
  <c r="DK43" i="2" s="1"/>
  <c r="DK44" i="2" s="1"/>
  <c r="DK45" i="2" s="1"/>
  <c r="DK46" i="2" s="1"/>
  <c r="DK47" i="2" s="1"/>
  <c r="DK48" i="2" s="1"/>
  <c r="DK49" i="2" s="1"/>
  <c r="DK50" i="2" s="1"/>
  <c r="DK51" i="2" s="1"/>
  <c r="DK52" i="2" s="1"/>
  <c r="DK53" i="2" s="1"/>
  <c r="DK54" i="2" s="1"/>
  <c r="DK55" i="2" s="1"/>
  <c r="DK56" i="2" s="1"/>
  <c r="DK57" i="2" s="1"/>
  <c r="DK58" i="2" s="1"/>
  <c r="DK59" i="2" s="1"/>
  <c r="DK60" i="2" s="1"/>
  <c r="DK61" i="2" s="1"/>
  <c r="DK62" i="2" s="1"/>
  <c r="DK63" i="2" s="1"/>
  <c r="DK64" i="2" s="1"/>
  <c r="DK65" i="2" s="1"/>
  <c r="DK66" i="2" s="1"/>
  <c r="DK67" i="2" s="1"/>
  <c r="DK68" i="2" s="1"/>
  <c r="DK69" i="2" s="1"/>
  <c r="DK70" i="2" s="1"/>
  <c r="DK71" i="2" s="1"/>
  <c r="DK72" i="2" s="1"/>
  <c r="DK73" i="2" s="1"/>
  <c r="DK74" i="2" s="1"/>
  <c r="DK75" i="2" s="1"/>
  <c r="DK76" i="2" s="1"/>
  <c r="DK77" i="2" s="1"/>
  <c r="DK78" i="2" s="1"/>
  <c r="DK79" i="2" s="1"/>
  <c r="DK80" i="2" s="1"/>
  <c r="DK81" i="2" s="1"/>
  <c r="DK82" i="2" s="1"/>
  <c r="DK83" i="2" s="1"/>
  <c r="DK84" i="2" s="1"/>
  <c r="DK85" i="2" s="1"/>
  <c r="DK86" i="2" s="1"/>
  <c r="DK87" i="2" s="1"/>
  <c r="DK88" i="2" s="1"/>
  <c r="DK89" i="2" s="1"/>
  <c r="DK90" i="2" s="1"/>
  <c r="DK91" i="2" s="1"/>
  <c r="DK92" i="2" s="1"/>
  <c r="DK93" i="2" s="1"/>
  <c r="DK94" i="2" s="1"/>
  <c r="DK95" i="2" s="1"/>
  <c r="DK96" i="2" s="1"/>
  <c r="DK97" i="2" s="1"/>
  <c r="DK98" i="2" s="1"/>
  <c r="DK99" i="2" s="1"/>
  <c r="DK100" i="2" s="1"/>
  <c r="DK101" i="2" s="1"/>
  <c r="DK102" i="2" s="1"/>
  <c r="DK103" i="2" s="1"/>
  <c r="DK104" i="2" s="1"/>
  <c r="DK105" i="2" s="1"/>
  <c r="DK106" i="2" s="1"/>
  <c r="DK107" i="2" s="1"/>
  <c r="DK108" i="2" s="1"/>
  <c r="DK109" i="2" s="1"/>
  <c r="DK110" i="2" s="1"/>
  <c r="DK111" i="2" s="1"/>
  <c r="DK112" i="2" s="1"/>
  <c r="DK113" i="2" s="1"/>
  <c r="DK114" i="2" s="1"/>
  <c r="DK115" i="2" s="1"/>
  <c r="DK116" i="2" s="1"/>
  <c r="DK117" i="2" s="1"/>
  <c r="DK118" i="2" s="1"/>
  <c r="DK119" i="2" s="1"/>
  <c r="DK120" i="2" s="1"/>
  <c r="DK121" i="2" s="1"/>
  <c r="DK122" i="2" s="1"/>
  <c r="DK123" i="2" s="1"/>
  <c r="DK124" i="2" s="1"/>
  <c r="DK125" i="2" s="1"/>
  <c r="DK126" i="2" s="1"/>
  <c r="DK127" i="2" s="1"/>
  <c r="DK128" i="2" s="1"/>
  <c r="DK129" i="2" s="1"/>
  <c r="DK130" i="2" s="1"/>
  <c r="DK131" i="2" s="1"/>
  <c r="DK132" i="2" s="1"/>
  <c r="DK133" i="2" s="1"/>
  <c r="DK134" i="2" s="1"/>
  <c r="DK135" i="2" s="1"/>
  <c r="DK136" i="2" s="1"/>
  <c r="DK137" i="2" s="1"/>
  <c r="DK138" i="2" s="1"/>
  <c r="DK139" i="2" s="1"/>
  <c r="DK140" i="2" s="1"/>
  <c r="DK141" i="2" s="1"/>
  <c r="DK142" i="2" s="1"/>
  <c r="DK143" i="2" s="1"/>
  <c r="DK144" i="2" s="1"/>
  <c r="DK145" i="2" s="1"/>
  <c r="DK146" i="2" s="1"/>
  <c r="DK147" i="2" s="1"/>
  <c r="DK148" i="2" s="1"/>
  <c r="DK149" i="2" s="1"/>
  <c r="DK150" i="2" s="1"/>
  <c r="DK151" i="2" s="1"/>
  <c r="DK152" i="2" s="1"/>
  <c r="DK153" i="2" s="1"/>
  <c r="DK154" i="2" s="1"/>
  <c r="DK155" i="2" s="1"/>
  <c r="DK156" i="2" s="1"/>
  <c r="DK157" i="2" s="1"/>
  <c r="DK158" i="2" s="1"/>
  <c r="DK159" i="2" s="1"/>
  <c r="DK160" i="2" s="1"/>
  <c r="DK161" i="2" s="1"/>
  <c r="DK162" i="2" s="1"/>
  <c r="DK163" i="2" s="1"/>
  <c r="DK164" i="2" s="1"/>
  <c r="DK165" i="2" s="1"/>
  <c r="DK166" i="2" s="1"/>
  <c r="DK167" i="2" s="1"/>
  <c r="DK168" i="2" s="1"/>
  <c r="DK169" i="2" s="1"/>
  <c r="DK170" i="2" s="1"/>
  <c r="DK171" i="2" s="1"/>
  <c r="DK172" i="2" s="1"/>
  <c r="DK173" i="2" s="1"/>
  <c r="DK174" i="2" s="1"/>
  <c r="DK175" i="2" s="1"/>
  <c r="DK176" i="2" s="1"/>
  <c r="DK177" i="2" s="1"/>
  <c r="DK178" i="2" s="1"/>
  <c r="DK179" i="2" s="1"/>
  <c r="DK180" i="2" s="1"/>
  <c r="DK181" i="2" s="1"/>
  <c r="DK182" i="2" s="1"/>
  <c r="DK183" i="2" s="1"/>
  <c r="DK184" i="2" s="1"/>
  <c r="DK185" i="2" s="1"/>
  <c r="DK186" i="2" s="1"/>
  <c r="DK187" i="2" s="1"/>
  <c r="DK188" i="2" s="1"/>
  <c r="DK189" i="2" s="1"/>
  <c r="DK190" i="2" s="1"/>
  <c r="DK191" i="2" s="1"/>
  <c r="DK192" i="2" s="1"/>
  <c r="DK193" i="2" s="1"/>
  <c r="DK194" i="2" s="1"/>
  <c r="DK195" i="2" s="1"/>
  <c r="DK196" i="2" s="1"/>
  <c r="DK197" i="2" s="1"/>
  <c r="DK198" i="2" s="1"/>
  <c r="DK199" i="2" s="1"/>
  <c r="DK200" i="2" s="1"/>
  <c r="DK201" i="2" s="1"/>
  <c r="DK202" i="2" s="1"/>
  <c r="DK203" i="2" s="1"/>
  <c r="DK204" i="2" s="1"/>
  <c r="DK205" i="2" s="1"/>
  <c r="DK206" i="2" s="1"/>
  <c r="DK207" i="2" s="1"/>
  <c r="DK208" i="2" s="1"/>
  <c r="DK209" i="2" s="1"/>
  <c r="DK210" i="2" s="1"/>
  <c r="DK211" i="2" s="1"/>
  <c r="DK212" i="2" s="1"/>
  <c r="DK213" i="2" s="1"/>
  <c r="DK214" i="2" s="1"/>
  <c r="DK215" i="2" s="1"/>
  <c r="DK216" i="2" s="1"/>
  <c r="DK217" i="2" s="1"/>
  <c r="DK218" i="2" s="1"/>
  <c r="DK219" i="2" s="1"/>
  <c r="DK220" i="2" s="1"/>
  <c r="DK221" i="2" s="1"/>
  <c r="DK222" i="2" s="1"/>
  <c r="DK223" i="2" s="1"/>
  <c r="DK224" i="2" s="1"/>
  <c r="DK225" i="2" s="1"/>
  <c r="DK226" i="2" s="1"/>
  <c r="DK227" i="2" s="1"/>
  <c r="DK228" i="2" s="1"/>
  <c r="DK229" i="2" s="1"/>
  <c r="DK230" i="2" s="1"/>
  <c r="DK231" i="2" s="1"/>
  <c r="DK232" i="2" s="1"/>
  <c r="DK233" i="2" s="1"/>
  <c r="DK234" i="2" s="1"/>
  <c r="DK235" i="2" s="1"/>
  <c r="DK236" i="2" s="1"/>
  <c r="DK237" i="2" s="1"/>
  <c r="DK238" i="2" s="1"/>
  <c r="DK239" i="2" s="1"/>
  <c r="DK240" i="2" s="1"/>
  <c r="DK241" i="2" s="1"/>
  <c r="DK242" i="2" s="1"/>
  <c r="DK243" i="2" s="1"/>
  <c r="DK244" i="2" s="1"/>
  <c r="DK245" i="2" s="1"/>
  <c r="DK246" i="2" s="1"/>
  <c r="DK247" i="2" s="1"/>
  <c r="DK248" i="2" s="1"/>
  <c r="DK249" i="2" s="1"/>
  <c r="DK250" i="2" s="1"/>
  <c r="DK251" i="2" s="1"/>
  <c r="DK252" i="2" s="1"/>
  <c r="DK253" i="2" s="1"/>
  <c r="DK254" i="2" s="1"/>
  <c r="DK255" i="2" s="1"/>
  <c r="DK256" i="2" s="1"/>
  <c r="DK257" i="2" s="1"/>
  <c r="DK258" i="2" s="1"/>
  <c r="DK259" i="2" s="1"/>
  <c r="DK260" i="2" s="1"/>
  <c r="DK261" i="2" s="1"/>
  <c r="DK262" i="2" s="1"/>
  <c r="DK263" i="2" s="1"/>
  <c r="DK264" i="2" s="1"/>
  <c r="DK265" i="2" s="1"/>
  <c r="DK266" i="2" s="1"/>
  <c r="DK267" i="2" s="1"/>
  <c r="DK268" i="2" s="1"/>
  <c r="DK269" i="2" s="1"/>
  <c r="DK270" i="2" s="1"/>
  <c r="DK271" i="2" s="1"/>
  <c r="DK272" i="2" s="1"/>
  <c r="DK273" i="2" s="1"/>
  <c r="DK274" i="2" s="1"/>
  <c r="DK275" i="2" s="1"/>
  <c r="DK276" i="2" s="1"/>
  <c r="DK277" i="2" s="1"/>
  <c r="DK278" i="2" s="1"/>
  <c r="DK279" i="2" s="1"/>
  <c r="DK280" i="2" s="1"/>
  <c r="DK281" i="2" s="1"/>
  <c r="DK282" i="2" s="1"/>
  <c r="DK283" i="2" s="1"/>
  <c r="DK284" i="2" s="1"/>
  <c r="DK285" i="2" s="1"/>
  <c r="DK286" i="2" s="1"/>
  <c r="DK287" i="2" s="1"/>
  <c r="DK288" i="2" s="1"/>
  <c r="DK289" i="2" s="1"/>
  <c r="DK290" i="2" s="1"/>
  <c r="DK291" i="2" s="1"/>
  <c r="DK292" i="2" s="1"/>
  <c r="DK293" i="2" s="1"/>
  <c r="DK294" i="2" s="1"/>
  <c r="DK295" i="2" s="1"/>
  <c r="DK296" i="2" s="1"/>
  <c r="DK297" i="2" s="1"/>
  <c r="DK298" i="2" s="1"/>
  <c r="DK299" i="2" s="1"/>
  <c r="DK300" i="2" s="1"/>
  <c r="DK301" i="2" s="1"/>
  <c r="DK302" i="2" s="1"/>
  <c r="DK303" i="2" s="1"/>
  <c r="DK304" i="2" s="1"/>
  <c r="DK305" i="2" s="1"/>
  <c r="DK306" i="2" s="1"/>
  <c r="DK307" i="2" s="1"/>
  <c r="DK308" i="2" s="1"/>
  <c r="DK309" i="2" s="1"/>
  <c r="DK310" i="2" s="1"/>
  <c r="DK311" i="2" s="1"/>
  <c r="DK312" i="2" s="1"/>
  <c r="DK313" i="2" s="1"/>
  <c r="DK314" i="2" s="1"/>
  <c r="DK315" i="2" s="1"/>
  <c r="DK316" i="2" s="1"/>
  <c r="DK317" i="2" s="1"/>
  <c r="DK318" i="2" s="1"/>
  <c r="DK319" i="2" s="1"/>
  <c r="DK320" i="2" s="1"/>
  <c r="DK321" i="2" s="1"/>
  <c r="DK322" i="2" s="1"/>
  <c r="DK323" i="2" s="1"/>
  <c r="DK324" i="2" s="1"/>
  <c r="DK325" i="2" s="1"/>
  <c r="DK326" i="2" s="1"/>
  <c r="DK327" i="2" s="1"/>
  <c r="DK328" i="2" s="1"/>
  <c r="DK329" i="2" s="1"/>
  <c r="DK330" i="2" s="1"/>
  <c r="DK331" i="2" s="1"/>
  <c r="DK332" i="2" s="1"/>
  <c r="DK333" i="2" s="1"/>
  <c r="DK334" i="2" s="1"/>
  <c r="DK335" i="2" s="1"/>
  <c r="DK336" i="2" s="1"/>
  <c r="DK337" i="2" s="1"/>
  <c r="DK338" i="2" s="1"/>
  <c r="DK339" i="2" s="1"/>
  <c r="DK340" i="2" s="1"/>
  <c r="DK341" i="2" s="1"/>
  <c r="DI6" i="2"/>
  <c r="DI7" i="2" s="1"/>
  <c r="DI8" i="2" s="1"/>
  <c r="DI9" i="2" s="1"/>
  <c r="DI10" i="2" s="1"/>
  <c r="DI11" i="2" s="1"/>
  <c r="DI12" i="2" s="1"/>
  <c r="DI13" i="2" s="1"/>
  <c r="DI14" i="2" s="1"/>
  <c r="DI15" i="2" s="1"/>
  <c r="DI16" i="2" s="1"/>
  <c r="DI17" i="2" s="1"/>
  <c r="DI18" i="2" s="1"/>
  <c r="DI19" i="2" s="1"/>
  <c r="DI20" i="2" s="1"/>
  <c r="DI21" i="2" s="1"/>
  <c r="DI22" i="2" s="1"/>
  <c r="DI23" i="2" s="1"/>
  <c r="DI24" i="2" s="1"/>
  <c r="DI25" i="2" s="1"/>
  <c r="DI26" i="2" s="1"/>
  <c r="DI27" i="2" s="1"/>
  <c r="DI28" i="2" s="1"/>
  <c r="DI29" i="2" s="1"/>
  <c r="DI30" i="2" s="1"/>
  <c r="DI31" i="2" s="1"/>
  <c r="DI32" i="2" s="1"/>
  <c r="DI33" i="2" s="1"/>
  <c r="DI34" i="2" s="1"/>
  <c r="DI35" i="2" s="1"/>
  <c r="DI36" i="2" s="1"/>
  <c r="DI37" i="2" s="1"/>
  <c r="DI38" i="2" s="1"/>
  <c r="DI39" i="2" s="1"/>
  <c r="DI40" i="2" s="1"/>
  <c r="DI41" i="2" s="1"/>
  <c r="DI42" i="2" s="1"/>
  <c r="DI43" i="2" s="1"/>
  <c r="DI44" i="2" s="1"/>
  <c r="DI45" i="2" s="1"/>
  <c r="DI46" i="2" s="1"/>
  <c r="DI47" i="2" s="1"/>
  <c r="DI48" i="2" s="1"/>
  <c r="DI49" i="2" s="1"/>
  <c r="DI50" i="2" s="1"/>
  <c r="DI51" i="2" s="1"/>
  <c r="DI52" i="2" s="1"/>
  <c r="DI53" i="2" s="1"/>
  <c r="DI54" i="2" s="1"/>
  <c r="DI55" i="2" s="1"/>
  <c r="DI56" i="2" s="1"/>
  <c r="DI57" i="2" s="1"/>
  <c r="DI58" i="2" s="1"/>
  <c r="DI59" i="2" s="1"/>
  <c r="DI60" i="2" s="1"/>
  <c r="DI61" i="2" s="1"/>
  <c r="DI62" i="2" s="1"/>
  <c r="DI63" i="2" s="1"/>
  <c r="DI64" i="2" s="1"/>
  <c r="DI65" i="2" s="1"/>
  <c r="DI66" i="2" s="1"/>
  <c r="DI67" i="2" s="1"/>
  <c r="DI68" i="2" s="1"/>
  <c r="DI69" i="2" s="1"/>
  <c r="DI70" i="2" s="1"/>
  <c r="DI71" i="2" s="1"/>
  <c r="DI72" i="2" s="1"/>
  <c r="DI73" i="2" s="1"/>
  <c r="DI74" i="2" s="1"/>
  <c r="DI75" i="2" s="1"/>
  <c r="DI76" i="2" s="1"/>
  <c r="DI77" i="2" s="1"/>
  <c r="DI78" i="2" s="1"/>
  <c r="DI79" i="2" s="1"/>
  <c r="DI80" i="2" s="1"/>
  <c r="DI81" i="2" s="1"/>
  <c r="DI82" i="2" s="1"/>
  <c r="DI83" i="2" s="1"/>
  <c r="DI84" i="2" s="1"/>
  <c r="DI85" i="2" s="1"/>
  <c r="DI86" i="2" s="1"/>
  <c r="DI87" i="2" s="1"/>
  <c r="DI88" i="2" s="1"/>
  <c r="DI89" i="2" s="1"/>
  <c r="DI90" i="2" s="1"/>
  <c r="DI91" i="2" s="1"/>
  <c r="DI92" i="2" s="1"/>
  <c r="DI93" i="2" s="1"/>
  <c r="DI94" i="2" s="1"/>
  <c r="DI95" i="2" s="1"/>
  <c r="DI96" i="2" s="1"/>
  <c r="DI97" i="2" s="1"/>
  <c r="DI98" i="2" s="1"/>
  <c r="DI99" i="2" s="1"/>
  <c r="DI100" i="2" s="1"/>
  <c r="DI101" i="2" s="1"/>
  <c r="DI102" i="2" s="1"/>
  <c r="DI103" i="2" s="1"/>
  <c r="DI104" i="2" s="1"/>
  <c r="DI105" i="2" s="1"/>
  <c r="DI106" i="2" s="1"/>
  <c r="DI107" i="2" s="1"/>
  <c r="DI108" i="2" s="1"/>
  <c r="DI109" i="2" s="1"/>
  <c r="DI110" i="2" s="1"/>
  <c r="DI111" i="2" s="1"/>
  <c r="DI112" i="2" s="1"/>
  <c r="DI113" i="2" s="1"/>
  <c r="DI114" i="2" s="1"/>
  <c r="DI115" i="2" s="1"/>
  <c r="DI116" i="2" s="1"/>
  <c r="DI117" i="2" s="1"/>
  <c r="DI118" i="2" s="1"/>
  <c r="DI119" i="2" s="1"/>
  <c r="DI120" i="2" s="1"/>
  <c r="DI121" i="2" s="1"/>
  <c r="DI122" i="2" s="1"/>
  <c r="DI123" i="2" s="1"/>
  <c r="DI124" i="2" s="1"/>
  <c r="DI125" i="2" s="1"/>
  <c r="DI126" i="2" s="1"/>
  <c r="DI127" i="2" s="1"/>
  <c r="DI128" i="2" s="1"/>
  <c r="DI129" i="2" s="1"/>
  <c r="DI130" i="2" s="1"/>
  <c r="DI131" i="2" s="1"/>
  <c r="DI132" i="2" s="1"/>
  <c r="DI133" i="2" s="1"/>
  <c r="DI134" i="2" s="1"/>
  <c r="DI135" i="2" s="1"/>
  <c r="DI136" i="2" s="1"/>
  <c r="DI137" i="2" s="1"/>
  <c r="DI138" i="2" s="1"/>
  <c r="DI139" i="2" s="1"/>
  <c r="DI140" i="2" s="1"/>
  <c r="DI141" i="2" s="1"/>
  <c r="DI142" i="2" s="1"/>
  <c r="DI143" i="2" s="1"/>
  <c r="DI144" i="2" s="1"/>
  <c r="DI145" i="2" s="1"/>
  <c r="DI146" i="2" s="1"/>
  <c r="DI147" i="2" s="1"/>
  <c r="DI148" i="2" s="1"/>
  <c r="DI149" i="2" s="1"/>
  <c r="DI150" i="2" s="1"/>
  <c r="DI151" i="2" s="1"/>
  <c r="DI152" i="2" s="1"/>
  <c r="DI153" i="2" s="1"/>
  <c r="DI154" i="2" s="1"/>
  <c r="DI155" i="2" s="1"/>
  <c r="DI156" i="2" s="1"/>
  <c r="DI157" i="2" s="1"/>
  <c r="DI158" i="2" s="1"/>
  <c r="DI159" i="2" s="1"/>
  <c r="DI160" i="2" s="1"/>
  <c r="DI161" i="2" s="1"/>
  <c r="DI162" i="2" s="1"/>
  <c r="DI163" i="2" s="1"/>
  <c r="DI164" i="2" s="1"/>
  <c r="DI165" i="2" s="1"/>
  <c r="DI166" i="2" s="1"/>
  <c r="DI167" i="2" s="1"/>
  <c r="DI168" i="2" s="1"/>
  <c r="DI169" i="2" s="1"/>
  <c r="DI170" i="2" s="1"/>
  <c r="DI171" i="2" s="1"/>
  <c r="DI172" i="2" s="1"/>
  <c r="DI173" i="2" s="1"/>
  <c r="DI174" i="2" s="1"/>
  <c r="DI175" i="2" s="1"/>
  <c r="DI176" i="2" s="1"/>
  <c r="DI177" i="2" s="1"/>
  <c r="DI178" i="2" s="1"/>
  <c r="DI179" i="2" s="1"/>
  <c r="DI180" i="2" s="1"/>
  <c r="DI181" i="2" s="1"/>
  <c r="DI182" i="2" s="1"/>
  <c r="DI183" i="2" s="1"/>
  <c r="DI184" i="2" s="1"/>
  <c r="DI185" i="2" s="1"/>
  <c r="DI186" i="2" s="1"/>
  <c r="DI187" i="2" s="1"/>
  <c r="DI188" i="2" s="1"/>
  <c r="DI189" i="2" s="1"/>
  <c r="DI190" i="2" s="1"/>
  <c r="DI191" i="2" s="1"/>
  <c r="DI192" i="2" s="1"/>
  <c r="DI193" i="2" s="1"/>
  <c r="DI194" i="2" s="1"/>
  <c r="DI195" i="2" s="1"/>
  <c r="DI196" i="2" s="1"/>
  <c r="DI197" i="2" s="1"/>
  <c r="DI198" i="2" s="1"/>
  <c r="DI199" i="2" s="1"/>
  <c r="DI200" i="2" s="1"/>
  <c r="DI201" i="2" s="1"/>
  <c r="DI202" i="2" s="1"/>
  <c r="DI203" i="2" s="1"/>
  <c r="DI204" i="2" s="1"/>
  <c r="DI205" i="2" s="1"/>
  <c r="DI206" i="2" s="1"/>
  <c r="DI207" i="2" s="1"/>
  <c r="DI208" i="2" s="1"/>
  <c r="DI209" i="2" s="1"/>
  <c r="DI210" i="2" s="1"/>
  <c r="DI211" i="2" s="1"/>
  <c r="DI212" i="2" s="1"/>
  <c r="DI213" i="2" s="1"/>
  <c r="DI214" i="2" s="1"/>
  <c r="DI215" i="2" s="1"/>
  <c r="DI216" i="2" s="1"/>
  <c r="DI217" i="2" s="1"/>
  <c r="DI218" i="2" s="1"/>
  <c r="DI219" i="2" s="1"/>
  <c r="DI220" i="2" s="1"/>
  <c r="DI221" i="2" s="1"/>
  <c r="DI222" i="2" s="1"/>
  <c r="DI223" i="2" s="1"/>
  <c r="DI224" i="2" s="1"/>
  <c r="DI225" i="2" s="1"/>
  <c r="DI226" i="2" s="1"/>
  <c r="DI227" i="2" s="1"/>
  <c r="DI228" i="2" s="1"/>
  <c r="DI229" i="2" s="1"/>
  <c r="DI230" i="2" s="1"/>
  <c r="DI231" i="2" s="1"/>
  <c r="DI232" i="2" s="1"/>
  <c r="DI233" i="2" s="1"/>
  <c r="DI234" i="2" s="1"/>
  <c r="DI235" i="2" s="1"/>
  <c r="DI236" i="2" s="1"/>
  <c r="DI237" i="2" s="1"/>
  <c r="DI238" i="2" s="1"/>
  <c r="DI239" i="2" s="1"/>
  <c r="DI240" i="2" s="1"/>
  <c r="DI241" i="2" s="1"/>
  <c r="DI242" i="2" s="1"/>
  <c r="DI243" i="2" s="1"/>
  <c r="DI244" i="2" s="1"/>
  <c r="DI245" i="2" s="1"/>
  <c r="DI246" i="2" s="1"/>
  <c r="DI247" i="2" s="1"/>
  <c r="DI248" i="2" s="1"/>
  <c r="DI249" i="2" s="1"/>
  <c r="DI250" i="2" s="1"/>
  <c r="DI251" i="2" s="1"/>
  <c r="DI252" i="2" s="1"/>
  <c r="DI253" i="2" s="1"/>
  <c r="DI254" i="2" s="1"/>
  <c r="DI255" i="2" s="1"/>
  <c r="DI256" i="2" s="1"/>
  <c r="DI257" i="2" s="1"/>
  <c r="DI258" i="2" s="1"/>
  <c r="DI259" i="2" s="1"/>
  <c r="DI260" i="2" s="1"/>
  <c r="DI261" i="2" s="1"/>
  <c r="DI262" i="2" s="1"/>
  <c r="DI263" i="2" s="1"/>
  <c r="DI264" i="2" s="1"/>
  <c r="DI265" i="2" s="1"/>
  <c r="DI266" i="2" s="1"/>
  <c r="DI267" i="2" s="1"/>
  <c r="DI268" i="2" s="1"/>
  <c r="DI269" i="2" s="1"/>
  <c r="DI270" i="2" s="1"/>
  <c r="DI271" i="2" s="1"/>
  <c r="DI272" i="2" s="1"/>
  <c r="DI273" i="2" s="1"/>
  <c r="DI274" i="2" s="1"/>
  <c r="DI275" i="2" s="1"/>
  <c r="DI276" i="2" s="1"/>
  <c r="DI277" i="2" s="1"/>
  <c r="DI278" i="2" s="1"/>
  <c r="DI279" i="2" s="1"/>
  <c r="DI280" i="2" s="1"/>
  <c r="DI281" i="2" s="1"/>
  <c r="DI282" i="2" s="1"/>
  <c r="DI283" i="2" s="1"/>
  <c r="DI284" i="2" s="1"/>
  <c r="DI285" i="2" s="1"/>
  <c r="DI286" i="2" s="1"/>
  <c r="DI287" i="2" s="1"/>
  <c r="DI288" i="2" s="1"/>
  <c r="DI289" i="2" s="1"/>
  <c r="DI290" i="2" s="1"/>
  <c r="DI291" i="2" s="1"/>
  <c r="DI292" i="2" s="1"/>
  <c r="DI293" i="2" s="1"/>
  <c r="DI294" i="2" s="1"/>
  <c r="DI295" i="2" s="1"/>
  <c r="DI296" i="2" s="1"/>
  <c r="DI297" i="2" s="1"/>
  <c r="DI298" i="2" s="1"/>
  <c r="DI299" i="2" s="1"/>
  <c r="DI300" i="2" s="1"/>
  <c r="DI301" i="2" s="1"/>
  <c r="DI302" i="2" s="1"/>
  <c r="DI303" i="2" s="1"/>
  <c r="DI304" i="2" s="1"/>
  <c r="DI305" i="2" s="1"/>
  <c r="DI306" i="2" s="1"/>
  <c r="DI307" i="2" s="1"/>
  <c r="DI308" i="2" s="1"/>
  <c r="DI309" i="2" s="1"/>
  <c r="DI310" i="2" s="1"/>
  <c r="DI311" i="2" s="1"/>
  <c r="DI312" i="2" s="1"/>
  <c r="DI313" i="2" s="1"/>
  <c r="DI314" i="2" s="1"/>
  <c r="DI315" i="2" s="1"/>
  <c r="DI316" i="2" s="1"/>
  <c r="DI317" i="2" s="1"/>
  <c r="DI318" i="2" s="1"/>
  <c r="DI319" i="2" s="1"/>
  <c r="DI320" i="2" s="1"/>
  <c r="DI321" i="2" s="1"/>
  <c r="DI322" i="2" s="1"/>
  <c r="DI323" i="2" s="1"/>
  <c r="DI324" i="2" s="1"/>
  <c r="DI325" i="2" s="1"/>
  <c r="DI326" i="2" s="1"/>
  <c r="DI327" i="2" s="1"/>
  <c r="DI328" i="2" s="1"/>
  <c r="DI329" i="2" s="1"/>
  <c r="DI330" i="2" s="1"/>
  <c r="DI331" i="2" s="1"/>
  <c r="DI332" i="2" s="1"/>
  <c r="DI333" i="2" s="1"/>
  <c r="DI334" i="2" s="1"/>
  <c r="DI335" i="2" s="1"/>
  <c r="DI336" i="2" s="1"/>
  <c r="DI337" i="2" s="1"/>
  <c r="DI338" i="2" s="1"/>
  <c r="DI339" i="2" s="1"/>
  <c r="DI340" i="2" s="1"/>
  <c r="DI341" i="2" s="1"/>
  <c r="CW6" i="2"/>
  <c r="CW7" i="2" s="1"/>
  <c r="CW8" i="2" s="1"/>
  <c r="CW9" i="2" s="1"/>
  <c r="CW10" i="2" s="1"/>
  <c r="CW11" i="2" s="1"/>
  <c r="CW12" i="2" s="1"/>
  <c r="CW13" i="2" s="1"/>
  <c r="CW14" i="2" s="1"/>
  <c r="CW15" i="2" s="1"/>
  <c r="CW16" i="2" s="1"/>
  <c r="CW17" i="2" s="1"/>
  <c r="CW18" i="2" s="1"/>
  <c r="CW19" i="2" s="1"/>
  <c r="CW20" i="2" s="1"/>
  <c r="CW21" i="2" s="1"/>
  <c r="CW22" i="2" s="1"/>
  <c r="CW23" i="2" s="1"/>
  <c r="CW24" i="2" s="1"/>
  <c r="CW25" i="2" s="1"/>
  <c r="CW26" i="2" s="1"/>
  <c r="CW27" i="2" s="1"/>
  <c r="CW28" i="2" s="1"/>
  <c r="CW29" i="2" s="1"/>
  <c r="CW30" i="2" s="1"/>
  <c r="CW31" i="2" s="1"/>
  <c r="CW32" i="2" s="1"/>
  <c r="CW33" i="2" s="1"/>
  <c r="CW34" i="2" s="1"/>
  <c r="CW35" i="2" s="1"/>
  <c r="CW36" i="2" s="1"/>
  <c r="CW37" i="2" s="1"/>
  <c r="CW38" i="2" s="1"/>
  <c r="CW39" i="2" s="1"/>
  <c r="CW40" i="2" s="1"/>
  <c r="CW41" i="2" s="1"/>
  <c r="CW42" i="2" s="1"/>
  <c r="CW43" i="2" s="1"/>
  <c r="CW44" i="2" s="1"/>
  <c r="CW45" i="2" s="1"/>
  <c r="CW46" i="2" s="1"/>
  <c r="CW47" i="2" s="1"/>
  <c r="CW48" i="2" s="1"/>
  <c r="CW49" i="2" s="1"/>
  <c r="CW50" i="2" s="1"/>
  <c r="CW51" i="2" s="1"/>
  <c r="CW52" i="2" s="1"/>
  <c r="CW53" i="2" s="1"/>
  <c r="CW54" i="2" s="1"/>
  <c r="CW55" i="2" s="1"/>
  <c r="CW56" i="2" s="1"/>
  <c r="CW57" i="2" s="1"/>
  <c r="CW58" i="2" s="1"/>
  <c r="CW59" i="2" s="1"/>
  <c r="CW60" i="2" s="1"/>
  <c r="CW61" i="2" s="1"/>
  <c r="CW62" i="2" s="1"/>
  <c r="CW63" i="2" s="1"/>
  <c r="CW64" i="2" s="1"/>
  <c r="CW65" i="2" s="1"/>
  <c r="CW66" i="2" s="1"/>
  <c r="CW67" i="2" s="1"/>
  <c r="CW68" i="2" s="1"/>
  <c r="CW69" i="2" s="1"/>
  <c r="CW70" i="2" s="1"/>
  <c r="CW71" i="2" s="1"/>
  <c r="CW72" i="2" s="1"/>
  <c r="CW73" i="2" s="1"/>
  <c r="CW74" i="2" s="1"/>
  <c r="CW75" i="2" s="1"/>
  <c r="CW76" i="2" s="1"/>
  <c r="CW77" i="2" s="1"/>
  <c r="CW78" i="2" s="1"/>
  <c r="CW79" i="2" s="1"/>
  <c r="CW80" i="2" s="1"/>
  <c r="CW81" i="2" s="1"/>
  <c r="CW82" i="2" s="1"/>
  <c r="CW83" i="2" s="1"/>
  <c r="CW84" i="2" s="1"/>
  <c r="CW85" i="2" s="1"/>
  <c r="CW86" i="2" s="1"/>
  <c r="CW87" i="2" s="1"/>
  <c r="CW88" i="2" s="1"/>
  <c r="CW89" i="2" s="1"/>
  <c r="CW90" i="2" s="1"/>
  <c r="CW91" i="2" s="1"/>
  <c r="CW92" i="2" s="1"/>
  <c r="CW93" i="2" s="1"/>
  <c r="CW94" i="2" s="1"/>
  <c r="CW95" i="2" s="1"/>
  <c r="CW96" i="2" s="1"/>
  <c r="CW97" i="2" s="1"/>
  <c r="CW98" i="2" s="1"/>
  <c r="CW99" i="2" s="1"/>
  <c r="CW100" i="2" s="1"/>
  <c r="CW101" i="2" s="1"/>
  <c r="CW102" i="2" s="1"/>
  <c r="CW103" i="2" s="1"/>
  <c r="CW104" i="2" s="1"/>
  <c r="CW105" i="2" s="1"/>
  <c r="CW106" i="2" s="1"/>
  <c r="CW107" i="2" s="1"/>
  <c r="CW108" i="2" s="1"/>
  <c r="CW109" i="2" s="1"/>
  <c r="CW110" i="2" s="1"/>
  <c r="CW111" i="2" s="1"/>
  <c r="CW112" i="2" s="1"/>
  <c r="CW113" i="2" s="1"/>
  <c r="CW114" i="2" s="1"/>
  <c r="CW115" i="2" s="1"/>
  <c r="CW116" i="2" s="1"/>
  <c r="CW117" i="2" s="1"/>
  <c r="CW118" i="2" s="1"/>
  <c r="CW119" i="2" s="1"/>
  <c r="CW120" i="2" s="1"/>
  <c r="CW121" i="2" s="1"/>
  <c r="CW122" i="2" s="1"/>
  <c r="CW123" i="2" s="1"/>
  <c r="CW124" i="2" s="1"/>
  <c r="CW125" i="2" s="1"/>
  <c r="CW126" i="2" s="1"/>
  <c r="CW127" i="2" s="1"/>
  <c r="CW128" i="2" s="1"/>
  <c r="CW129" i="2" s="1"/>
  <c r="CW130" i="2" s="1"/>
  <c r="CW131" i="2" s="1"/>
  <c r="CW132" i="2" s="1"/>
  <c r="CW133" i="2" s="1"/>
  <c r="CW134" i="2" s="1"/>
  <c r="CW135" i="2" s="1"/>
  <c r="CW136" i="2" s="1"/>
  <c r="CW137" i="2" s="1"/>
  <c r="CW138" i="2" s="1"/>
  <c r="CW139" i="2" s="1"/>
  <c r="CW140" i="2" s="1"/>
  <c r="CW141" i="2" s="1"/>
  <c r="CW142" i="2" s="1"/>
  <c r="CW143" i="2" s="1"/>
  <c r="CW144" i="2" s="1"/>
  <c r="CW145" i="2" s="1"/>
  <c r="CW146" i="2" s="1"/>
  <c r="CW147" i="2" s="1"/>
  <c r="CW148" i="2" s="1"/>
  <c r="CW149" i="2" s="1"/>
  <c r="CW150" i="2" s="1"/>
  <c r="CW151" i="2" s="1"/>
  <c r="CW152" i="2" s="1"/>
  <c r="CW153" i="2" s="1"/>
  <c r="CW154" i="2" s="1"/>
  <c r="CW155" i="2" s="1"/>
  <c r="CW156" i="2" s="1"/>
  <c r="CW157" i="2" s="1"/>
  <c r="CW158" i="2" s="1"/>
  <c r="CW159" i="2" s="1"/>
  <c r="CW160" i="2" s="1"/>
  <c r="CW161" i="2" s="1"/>
  <c r="CW162" i="2" s="1"/>
  <c r="CW163" i="2" s="1"/>
  <c r="CW164" i="2" s="1"/>
  <c r="CW165" i="2" s="1"/>
  <c r="CW166" i="2" s="1"/>
  <c r="CW167" i="2" s="1"/>
  <c r="CW168" i="2" s="1"/>
  <c r="CW169" i="2" s="1"/>
  <c r="CW170" i="2" s="1"/>
  <c r="CW171" i="2" s="1"/>
  <c r="CW172" i="2" s="1"/>
  <c r="CW173" i="2" s="1"/>
  <c r="CW174" i="2" s="1"/>
  <c r="CW175" i="2" s="1"/>
  <c r="CW176" i="2" s="1"/>
  <c r="CW177" i="2" s="1"/>
  <c r="CW178" i="2" s="1"/>
  <c r="CW179" i="2" s="1"/>
  <c r="CW180" i="2" s="1"/>
  <c r="CW181" i="2" s="1"/>
  <c r="CW182" i="2" s="1"/>
  <c r="CW183" i="2" s="1"/>
  <c r="CW184" i="2" s="1"/>
  <c r="CW185" i="2" s="1"/>
  <c r="CW186" i="2" s="1"/>
  <c r="CW187" i="2" s="1"/>
  <c r="CW188" i="2" s="1"/>
  <c r="CW189" i="2" s="1"/>
  <c r="CW190" i="2" s="1"/>
  <c r="CW191" i="2" s="1"/>
  <c r="CW192" i="2" s="1"/>
  <c r="CW193" i="2" s="1"/>
  <c r="CW194" i="2" s="1"/>
  <c r="CW195" i="2" s="1"/>
  <c r="CW196" i="2" s="1"/>
  <c r="CW197" i="2" s="1"/>
  <c r="CW198" i="2" s="1"/>
  <c r="CW199" i="2" s="1"/>
  <c r="CW200" i="2" s="1"/>
  <c r="CW201" i="2" s="1"/>
  <c r="CW202" i="2" s="1"/>
  <c r="CW203" i="2" s="1"/>
  <c r="CW204" i="2" s="1"/>
  <c r="CW205" i="2" s="1"/>
  <c r="CW206" i="2" s="1"/>
  <c r="CW207" i="2" s="1"/>
  <c r="CW208" i="2" s="1"/>
  <c r="CW209" i="2" s="1"/>
  <c r="CW210" i="2" s="1"/>
  <c r="CW211" i="2" s="1"/>
  <c r="CW212" i="2" s="1"/>
  <c r="CW213" i="2" s="1"/>
  <c r="CW214" i="2" s="1"/>
  <c r="CW215" i="2" s="1"/>
  <c r="CW216" i="2" s="1"/>
  <c r="CW217" i="2" s="1"/>
  <c r="CW218" i="2" s="1"/>
  <c r="CW219" i="2" s="1"/>
  <c r="CW220" i="2" s="1"/>
  <c r="CW221" i="2" s="1"/>
  <c r="CW222" i="2" s="1"/>
  <c r="CW223" i="2" s="1"/>
  <c r="CW224" i="2" s="1"/>
  <c r="CW225" i="2" s="1"/>
  <c r="CW226" i="2" s="1"/>
  <c r="CW227" i="2" s="1"/>
  <c r="CW228" i="2" s="1"/>
  <c r="CW229" i="2" s="1"/>
  <c r="CW230" i="2" s="1"/>
  <c r="CW231" i="2" s="1"/>
  <c r="CW232" i="2" s="1"/>
  <c r="CW233" i="2" s="1"/>
  <c r="CW234" i="2" s="1"/>
  <c r="CW235" i="2" s="1"/>
  <c r="CW236" i="2" s="1"/>
  <c r="CW237" i="2" s="1"/>
  <c r="CW238" i="2" s="1"/>
  <c r="CW239" i="2" s="1"/>
  <c r="CW240" i="2" s="1"/>
  <c r="CW241" i="2" s="1"/>
  <c r="CW242" i="2" s="1"/>
  <c r="CW243" i="2" s="1"/>
  <c r="CW244" i="2" s="1"/>
  <c r="CW245" i="2" s="1"/>
  <c r="CW246" i="2" s="1"/>
  <c r="CW247" i="2" s="1"/>
  <c r="CW248" i="2" s="1"/>
  <c r="CW249" i="2" s="1"/>
  <c r="CW250" i="2" s="1"/>
  <c r="CW251" i="2" s="1"/>
  <c r="CW252" i="2" s="1"/>
  <c r="CW253" i="2" s="1"/>
  <c r="CW254" i="2" s="1"/>
  <c r="CW255" i="2" s="1"/>
  <c r="CW256" i="2" s="1"/>
  <c r="CW257" i="2" s="1"/>
  <c r="CW258" i="2" s="1"/>
  <c r="CW259" i="2" s="1"/>
  <c r="CW260" i="2" s="1"/>
  <c r="CW261" i="2" s="1"/>
  <c r="CW262" i="2" s="1"/>
  <c r="CW263" i="2" s="1"/>
  <c r="CW264" i="2" s="1"/>
  <c r="CW265" i="2" s="1"/>
  <c r="CW266" i="2" s="1"/>
  <c r="CW267" i="2" s="1"/>
  <c r="CW268" i="2" s="1"/>
  <c r="CW269" i="2" s="1"/>
  <c r="CW270" i="2" s="1"/>
  <c r="CW271" i="2" s="1"/>
  <c r="CW272" i="2" s="1"/>
  <c r="CW273" i="2" s="1"/>
  <c r="CW274" i="2" s="1"/>
  <c r="CW275" i="2" s="1"/>
  <c r="CW276" i="2" s="1"/>
  <c r="CW277" i="2" s="1"/>
  <c r="CW278" i="2" s="1"/>
  <c r="CW279" i="2" s="1"/>
  <c r="CW280" i="2" s="1"/>
  <c r="CW281" i="2" s="1"/>
  <c r="CW282" i="2" s="1"/>
  <c r="CW283" i="2" s="1"/>
  <c r="CW284" i="2" s="1"/>
  <c r="CW285" i="2" s="1"/>
  <c r="CW286" i="2" s="1"/>
  <c r="CW287" i="2" s="1"/>
  <c r="CW288" i="2" s="1"/>
  <c r="CW289" i="2" s="1"/>
  <c r="CW290" i="2" s="1"/>
  <c r="CW291" i="2" s="1"/>
  <c r="CW292" i="2" s="1"/>
  <c r="CW293" i="2" s="1"/>
  <c r="CW294" i="2" s="1"/>
  <c r="CW295" i="2" s="1"/>
  <c r="CW296" i="2" s="1"/>
  <c r="CW297" i="2" s="1"/>
  <c r="CW298" i="2" s="1"/>
  <c r="CW299" i="2" s="1"/>
  <c r="CW300" i="2" s="1"/>
  <c r="CW301" i="2" s="1"/>
  <c r="CW302" i="2" s="1"/>
  <c r="CW303" i="2" s="1"/>
  <c r="CW304" i="2" s="1"/>
  <c r="CW305" i="2" s="1"/>
  <c r="CW306" i="2" s="1"/>
  <c r="CW307" i="2" s="1"/>
  <c r="CW308" i="2" s="1"/>
  <c r="CW309" i="2" s="1"/>
  <c r="CW310" i="2" s="1"/>
  <c r="CW311" i="2" s="1"/>
  <c r="CW312" i="2" s="1"/>
  <c r="CW313" i="2" s="1"/>
  <c r="CW314" i="2" s="1"/>
  <c r="CW315" i="2" s="1"/>
  <c r="CW316" i="2" s="1"/>
  <c r="CW317" i="2" s="1"/>
  <c r="CW318" i="2" s="1"/>
  <c r="CW319" i="2" s="1"/>
  <c r="CW320" i="2" s="1"/>
  <c r="CW321" i="2" s="1"/>
  <c r="CW322" i="2" s="1"/>
  <c r="CW323" i="2" s="1"/>
  <c r="CW324" i="2" s="1"/>
  <c r="CW325" i="2" s="1"/>
  <c r="CW326" i="2" s="1"/>
  <c r="CW327" i="2" s="1"/>
  <c r="CW328" i="2" s="1"/>
  <c r="CW329" i="2" s="1"/>
  <c r="CW330" i="2" s="1"/>
  <c r="CW331" i="2" s="1"/>
  <c r="CW332" i="2" s="1"/>
  <c r="CW333" i="2" s="1"/>
  <c r="CW334" i="2" s="1"/>
  <c r="CW335" i="2" s="1"/>
  <c r="CW336" i="2" s="1"/>
  <c r="CW337" i="2" s="1"/>
  <c r="CW338" i="2" s="1"/>
  <c r="CW339" i="2" s="1"/>
  <c r="CW340" i="2" s="1"/>
  <c r="CW341" i="2" s="1"/>
  <c r="CJ10" i="2"/>
  <c r="CJ11" i="2" s="1"/>
  <c r="CJ12" i="2" s="1"/>
  <c r="CJ13" i="2" s="1"/>
  <c r="CJ14" i="2" s="1"/>
  <c r="CJ15" i="2" s="1"/>
  <c r="CJ16" i="2" s="1"/>
  <c r="CJ17" i="2" s="1"/>
  <c r="CJ18" i="2" s="1"/>
  <c r="CJ19" i="2" s="1"/>
  <c r="CJ20" i="2" s="1"/>
  <c r="CJ21" i="2" s="1"/>
  <c r="CJ22" i="2" s="1"/>
  <c r="CJ23" i="2" s="1"/>
  <c r="CJ24" i="2" s="1"/>
  <c r="CJ25" i="2" s="1"/>
  <c r="CJ26" i="2" s="1"/>
  <c r="CJ27" i="2" s="1"/>
  <c r="CJ28" i="2" s="1"/>
  <c r="CJ29" i="2" s="1"/>
  <c r="CJ30" i="2" s="1"/>
  <c r="CJ31" i="2" s="1"/>
  <c r="CJ32" i="2" s="1"/>
  <c r="CJ33" i="2" s="1"/>
  <c r="CJ34" i="2" s="1"/>
  <c r="CJ35" i="2" s="1"/>
  <c r="CJ36" i="2" s="1"/>
  <c r="CJ37" i="2" s="1"/>
  <c r="CJ38" i="2" s="1"/>
  <c r="CJ39" i="2" s="1"/>
  <c r="CJ40" i="2" s="1"/>
  <c r="CJ41" i="2" s="1"/>
  <c r="CJ42" i="2" s="1"/>
  <c r="CJ43" i="2" s="1"/>
  <c r="CJ44" i="2" s="1"/>
  <c r="CJ45" i="2" s="1"/>
  <c r="CJ46" i="2" s="1"/>
  <c r="CJ47" i="2" s="1"/>
  <c r="CJ48" i="2" s="1"/>
  <c r="CJ49" i="2" s="1"/>
  <c r="CJ50" i="2" s="1"/>
  <c r="CJ51" i="2" s="1"/>
  <c r="CJ52" i="2" s="1"/>
  <c r="CJ53" i="2" s="1"/>
  <c r="CJ54" i="2" s="1"/>
  <c r="CJ55" i="2" s="1"/>
  <c r="CJ56" i="2" s="1"/>
  <c r="CJ57" i="2" s="1"/>
  <c r="CJ58" i="2" s="1"/>
  <c r="CJ59" i="2" s="1"/>
  <c r="CJ60" i="2" s="1"/>
  <c r="CJ61" i="2" s="1"/>
  <c r="CJ62" i="2" s="1"/>
  <c r="CJ63" i="2" s="1"/>
  <c r="CJ64" i="2" s="1"/>
  <c r="CJ65" i="2" s="1"/>
  <c r="CJ66" i="2" s="1"/>
  <c r="CJ67" i="2" s="1"/>
  <c r="CJ68" i="2" s="1"/>
  <c r="CJ69" i="2" s="1"/>
  <c r="CJ70" i="2" s="1"/>
  <c r="CJ71" i="2" s="1"/>
  <c r="CJ72" i="2" s="1"/>
  <c r="CJ73" i="2" s="1"/>
  <c r="CJ74" i="2" s="1"/>
  <c r="CJ75" i="2" s="1"/>
  <c r="CJ76" i="2" s="1"/>
  <c r="CJ77" i="2" s="1"/>
  <c r="CJ78" i="2" s="1"/>
  <c r="CJ79" i="2" s="1"/>
  <c r="CJ80" i="2" s="1"/>
  <c r="CJ81" i="2" s="1"/>
  <c r="CJ82" i="2" s="1"/>
  <c r="CJ83" i="2" s="1"/>
  <c r="CJ84" i="2" s="1"/>
  <c r="CJ85" i="2" s="1"/>
  <c r="CJ86" i="2" s="1"/>
  <c r="CJ87" i="2" s="1"/>
  <c r="CJ88" i="2" s="1"/>
  <c r="CJ89" i="2" s="1"/>
  <c r="CJ90" i="2" s="1"/>
  <c r="CJ91" i="2" s="1"/>
  <c r="CJ92" i="2" s="1"/>
  <c r="CJ93" i="2" s="1"/>
  <c r="CJ94" i="2" s="1"/>
  <c r="CJ95" i="2" s="1"/>
  <c r="CJ96" i="2" s="1"/>
  <c r="CJ97" i="2" s="1"/>
  <c r="CJ98" i="2" s="1"/>
  <c r="CJ99" i="2" s="1"/>
  <c r="CJ100" i="2" s="1"/>
  <c r="CJ101" i="2" s="1"/>
  <c r="CJ102" i="2" s="1"/>
  <c r="CJ103" i="2" s="1"/>
  <c r="CJ104" i="2" s="1"/>
  <c r="CJ105" i="2" s="1"/>
  <c r="CJ106" i="2" s="1"/>
  <c r="CJ107" i="2" s="1"/>
  <c r="CJ108" i="2" s="1"/>
  <c r="CJ109" i="2" s="1"/>
  <c r="CJ110" i="2" s="1"/>
  <c r="CJ111" i="2" s="1"/>
  <c r="CJ112" i="2" s="1"/>
  <c r="CJ113" i="2" s="1"/>
  <c r="CJ114" i="2" s="1"/>
  <c r="CJ115" i="2" s="1"/>
  <c r="CJ116" i="2" s="1"/>
  <c r="CJ117" i="2" s="1"/>
  <c r="CJ118" i="2" s="1"/>
  <c r="CJ119" i="2" s="1"/>
  <c r="CJ120" i="2" s="1"/>
  <c r="CJ121" i="2" s="1"/>
  <c r="CJ122" i="2" s="1"/>
  <c r="CJ123" i="2" s="1"/>
  <c r="CJ124" i="2" s="1"/>
  <c r="CJ125" i="2" s="1"/>
  <c r="CJ126" i="2" s="1"/>
  <c r="CJ127" i="2" s="1"/>
  <c r="CJ128" i="2" s="1"/>
  <c r="CJ129" i="2" s="1"/>
  <c r="CJ130" i="2" s="1"/>
  <c r="CJ131" i="2" s="1"/>
  <c r="CJ132" i="2" s="1"/>
  <c r="CJ133" i="2" s="1"/>
  <c r="CJ134" i="2" s="1"/>
  <c r="CJ135" i="2" s="1"/>
  <c r="CJ136" i="2" s="1"/>
  <c r="CJ137" i="2" s="1"/>
  <c r="CJ138" i="2" s="1"/>
  <c r="CJ139" i="2" s="1"/>
  <c r="CJ140" i="2" s="1"/>
  <c r="CJ141" i="2" s="1"/>
  <c r="CJ142" i="2" s="1"/>
  <c r="CJ143" i="2" s="1"/>
  <c r="CJ144" i="2" s="1"/>
  <c r="CJ145" i="2" s="1"/>
  <c r="CJ146" i="2" s="1"/>
  <c r="CJ147" i="2" s="1"/>
  <c r="CJ148" i="2" s="1"/>
  <c r="CJ149" i="2" s="1"/>
  <c r="CJ150" i="2" s="1"/>
  <c r="CJ151" i="2" s="1"/>
  <c r="CJ152" i="2" s="1"/>
  <c r="CJ153" i="2" s="1"/>
  <c r="CJ154" i="2" s="1"/>
  <c r="CJ155" i="2" s="1"/>
  <c r="CJ156" i="2" s="1"/>
  <c r="CJ157" i="2" s="1"/>
  <c r="CJ158" i="2" s="1"/>
  <c r="CJ159" i="2" s="1"/>
  <c r="CJ160" i="2" s="1"/>
  <c r="CJ161" i="2" s="1"/>
  <c r="CJ162" i="2" s="1"/>
  <c r="CJ163" i="2" s="1"/>
  <c r="CJ164" i="2" s="1"/>
  <c r="CJ165" i="2" s="1"/>
  <c r="CJ166" i="2" s="1"/>
  <c r="CJ167" i="2" s="1"/>
  <c r="CJ168" i="2" s="1"/>
  <c r="CJ169" i="2" s="1"/>
  <c r="CJ170" i="2" s="1"/>
  <c r="CJ171" i="2" s="1"/>
  <c r="CJ172" i="2" s="1"/>
  <c r="CJ173" i="2" s="1"/>
  <c r="CJ174" i="2" s="1"/>
  <c r="CJ175" i="2" s="1"/>
  <c r="CJ176" i="2" s="1"/>
  <c r="CJ177" i="2" s="1"/>
  <c r="CJ178" i="2" s="1"/>
  <c r="CJ179" i="2" s="1"/>
  <c r="CJ180" i="2" s="1"/>
  <c r="CJ181" i="2" s="1"/>
  <c r="CJ182" i="2" s="1"/>
  <c r="CJ183" i="2" s="1"/>
  <c r="CJ184" i="2" s="1"/>
  <c r="CJ185" i="2" s="1"/>
  <c r="CJ186" i="2" s="1"/>
  <c r="CJ187" i="2" s="1"/>
  <c r="CJ188" i="2" s="1"/>
  <c r="CJ189" i="2" s="1"/>
  <c r="CJ190" i="2" s="1"/>
  <c r="CJ191" i="2" s="1"/>
  <c r="CJ192" i="2" s="1"/>
  <c r="CJ193" i="2" s="1"/>
  <c r="CJ194" i="2" s="1"/>
  <c r="CJ195" i="2" s="1"/>
  <c r="CJ196" i="2" s="1"/>
  <c r="CJ197" i="2" s="1"/>
  <c r="CJ198" i="2" s="1"/>
  <c r="CJ199" i="2" s="1"/>
  <c r="CJ200" i="2" s="1"/>
  <c r="CJ201" i="2" s="1"/>
  <c r="CJ202" i="2" s="1"/>
  <c r="CJ203" i="2" s="1"/>
  <c r="CJ204" i="2" s="1"/>
  <c r="CJ205" i="2" s="1"/>
  <c r="CJ206" i="2" s="1"/>
  <c r="CJ207" i="2" s="1"/>
  <c r="CJ208" i="2" s="1"/>
  <c r="CJ209" i="2" s="1"/>
  <c r="CJ210" i="2" s="1"/>
  <c r="CJ211" i="2" s="1"/>
  <c r="CJ212" i="2" s="1"/>
  <c r="CJ213" i="2" s="1"/>
  <c r="CJ214" i="2" s="1"/>
  <c r="CJ215" i="2" s="1"/>
  <c r="CJ216" i="2" s="1"/>
  <c r="CJ217" i="2" s="1"/>
  <c r="CJ218" i="2" s="1"/>
  <c r="CJ219" i="2" s="1"/>
  <c r="CJ220" i="2" s="1"/>
  <c r="CJ221" i="2" s="1"/>
  <c r="CJ222" i="2" s="1"/>
  <c r="CJ223" i="2" s="1"/>
  <c r="CJ224" i="2" s="1"/>
  <c r="CJ225" i="2" s="1"/>
  <c r="CJ226" i="2" s="1"/>
  <c r="CJ227" i="2" s="1"/>
  <c r="CJ228" i="2" s="1"/>
  <c r="CJ229" i="2" s="1"/>
  <c r="CJ230" i="2" s="1"/>
  <c r="CJ231" i="2" s="1"/>
  <c r="CJ232" i="2" s="1"/>
  <c r="CJ233" i="2" s="1"/>
  <c r="CJ234" i="2" s="1"/>
  <c r="CJ235" i="2" s="1"/>
  <c r="CJ236" i="2" s="1"/>
  <c r="CJ237" i="2" s="1"/>
  <c r="CJ238" i="2" s="1"/>
  <c r="CJ239" i="2" s="1"/>
  <c r="CJ240" i="2" s="1"/>
  <c r="CJ241" i="2" s="1"/>
  <c r="CJ242" i="2" s="1"/>
  <c r="CJ243" i="2" s="1"/>
  <c r="CJ244" i="2" s="1"/>
  <c r="CJ245" i="2" s="1"/>
  <c r="CJ246" i="2" s="1"/>
  <c r="CJ247" i="2" s="1"/>
  <c r="CJ248" i="2" s="1"/>
  <c r="CJ249" i="2" s="1"/>
  <c r="CJ250" i="2" s="1"/>
  <c r="CJ251" i="2" s="1"/>
  <c r="CJ252" i="2" s="1"/>
  <c r="CJ253" i="2" s="1"/>
  <c r="CJ254" i="2" s="1"/>
  <c r="CJ255" i="2" s="1"/>
  <c r="CJ256" i="2" s="1"/>
  <c r="CJ257" i="2" s="1"/>
  <c r="CJ258" i="2" s="1"/>
  <c r="CJ259" i="2" s="1"/>
  <c r="CJ260" i="2" s="1"/>
  <c r="CJ261" i="2" s="1"/>
  <c r="CJ262" i="2" s="1"/>
  <c r="CJ263" i="2" s="1"/>
  <c r="CJ264" i="2" s="1"/>
  <c r="CJ265" i="2" s="1"/>
  <c r="CJ266" i="2" s="1"/>
  <c r="CJ267" i="2" s="1"/>
  <c r="CJ268" i="2" s="1"/>
  <c r="CJ269" i="2" s="1"/>
  <c r="CJ270" i="2" s="1"/>
  <c r="CJ271" i="2" s="1"/>
  <c r="CJ272" i="2" s="1"/>
  <c r="CJ273" i="2" s="1"/>
  <c r="CJ274" i="2" s="1"/>
  <c r="CJ275" i="2" s="1"/>
  <c r="CJ276" i="2" s="1"/>
  <c r="CJ277" i="2" s="1"/>
  <c r="CJ278" i="2" s="1"/>
  <c r="CJ279" i="2" s="1"/>
  <c r="CJ280" i="2" s="1"/>
  <c r="CJ281" i="2" s="1"/>
  <c r="CJ282" i="2" s="1"/>
  <c r="CJ283" i="2" s="1"/>
  <c r="CJ284" i="2" s="1"/>
  <c r="CJ285" i="2" s="1"/>
  <c r="CJ286" i="2" s="1"/>
  <c r="CJ287" i="2" s="1"/>
  <c r="CJ288" i="2" s="1"/>
  <c r="CJ289" i="2" s="1"/>
  <c r="CJ290" i="2" s="1"/>
  <c r="CJ291" i="2" s="1"/>
  <c r="CJ292" i="2" s="1"/>
  <c r="CJ293" i="2" s="1"/>
  <c r="CJ294" i="2" s="1"/>
  <c r="CJ295" i="2" s="1"/>
  <c r="CJ296" i="2" s="1"/>
  <c r="CJ297" i="2" s="1"/>
  <c r="CJ298" i="2" s="1"/>
  <c r="CJ299" i="2" s="1"/>
  <c r="CJ300" i="2" s="1"/>
  <c r="CJ301" i="2" s="1"/>
  <c r="CJ302" i="2" s="1"/>
  <c r="CJ303" i="2" s="1"/>
  <c r="CJ304" i="2" s="1"/>
  <c r="CJ305" i="2" s="1"/>
  <c r="CJ306" i="2" s="1"/>
  <c r="CJ307" i="2" s="1"/>
  <c r="CJ308" i="2" s="1"/>
  <c r="CJ309" i="2" s="1"/>
  <c r="CJ310" i="2" s="1"/>
  <c r="CJ311" i="2" s="1"/>
  <c r="CJ312" i="2" s="1"/>
  <c r="CJ313" i="2" s="1"/>
  <c r="CJ314" i="2" s="1"/>
  <c r="CJ315" i="2" s="1"/>
  <c r="CJ316" i="2" s="1"/>
  <c r="CJ317" i="2" s="1"/>
  <c r="CJ318" i="2" s="1"/>
  <c r="CJ319" i="2" s="1"/>
  <c r="CJ320" i="2" s="1"/>
  <c r="CJ321" i="2" s="1"/>
  <c r="CJ322" i="2" s="1"/>
  <c r="CJ323" i="2" s="1"/>
  <c r="CJ324" i="2" s="1"/>
  <c r="CJ325" i="2" s="1"/>
  <c r="CJ326" i="2" s="1"/>
  <c r="CJ327" i="2" s="1"/>
  <c r="CJ328" i="2" s="1"/>
  <c r="CJ329" i="2" s="1"/>
  <c r="CJ330" i="2" s="1"/>
  <c r="CJ331" i="2" s="1"/>
  <c r="CJ332" i="2" s="1"/>
  <c r="CJ333" i="2" s="1"/>
  <c r="CJ334" i="2" s="1"/>
  <c r="CJ335" i="2" s="1"/>
  <c r="CJ336" i="2" s="1"/>
  <c r="CJ337" i="2" s="1"/>
  <c r="CJ338" i="2" s="1"/>
  <c r="CJ339" i="2" s="1"/>
  <c r="CJ340" i="2" s="1"/>
  <c r="CJ341" i="2" s="1"/>
  <c r="CU9" i="2"/>
  <c r="CU10" i="2" s="1"/>
  <c r="CU11" i="2" s="1"/>
  <c r="CU12" i="2" s="1"/>
  <c r="CU13" i="2" s="1"/>
  <c r="CU14" i="2" s="1"/>
  <c r="CU15" i="2" s="1"/>
  <c r="CU16" i="2" s="1"/>
  <c r="CU17" i="2" s="1"/>
  <c r="CU18" i="2" s="1"/>
  <c r="CU19" i="2" s="1"/>
  <c r="CU20" i="2" s="1"/>
  <c r="CU21" i="2" s="1"/>
  <c r="CU22" i="2" s="1"/>
  <c r="CU23" i="2" s="1"/>
  <c r="CU24" i="2" s="1"/>
  <c r="CU25" i="2" s="1"/>
  <c r="CU26" i="2" s="1"/>
  <c r="CU27" i="2" s="1"/>
  <c r="CU28" i="2" s="1"/>
  <c r="CU29" i="2" s="1"/>
  <c r="CU30" i="2" s="1"/>
  <c r="CU31" i="2" s="1"/>
  <c r="CU32" i="2" s="1"/>
  <c r="CU33" i="2" s="1"/>
  <c r="CU34" i="2" s="1"/>
  <c r="CU35" i="2" s="1"/>
  <c r="CU36" i="2" s="1"/>
  <c r="CU37" i="2" s="1"/>
  <c r="CU38" i="2" s="1"/>
  <c r="CU39" i="2" s="1"/>
  <c r="CU40" i="2" s="1"/>
  <c r="CU41" i="2" s="1"/>
  <c r="CU42" i="2" s="1"/>
  <c r="CU43" i="2" s="1"/>
  <c r="CU44" i="2" s="1"/>
  <c r="CU45" i="2" s="1"/>
  <c r="CU46" i="2" s="1"/>
  <c r="CU47" i="2" s="1"/>
  <c r="CU48" i="2" s="1"/>
  <c r="CU49" i="2" s="1"/>
  <c r="CU50" i="2" s="1"/>
  <c r="CU51" i="2" s="1"/>
  <c r="CU52" i="2" s="1"/>
  <c r="CU53" i="2" s="1"/>
  <c r="CU54" i="2" s="1"/>
  <c r="CU55" i="2" s="1"/>
  <c r="CU56" i="2" s="1"/>
  <c r="CU57" i="2" s="1"/>
  <c r="CU58" i="2" s="1"/>
  <c r="CU59" i="2" s="1"/>
  <c r="CU60" i="2" s="1"/>
  <c r="CU61" i="2" s="1"/>
  <c r="CU62" i="2" s="1"/>
  <c r="CU63" i="2" s="1"/>
  <c r="CU64" i="2" s="1"/>
  <c r="CU65" i="2" s="1"/>
  <c r="CU66" i="2" s="1"/>
  <c r="CU67" i="2" s="1"/>
  <c r="CU68" i="2" s="1"/>
  <c r="CU69" i="2" s="1"/>
  <c r="CU70" i="2" s="1"/>
  <c r="CU71" i="2" s="1"/>
  <c r="CU72" i="2" s="1"/>
  <c r="CU73" i="2" s="1"/>
  <c r="CU74" i="2" s="1"/>
  <c r="CU75" i="2" s="1"/>
  <c r="CU76" i="2" s="1"/>
  <c r="CU77" i="2" s="1"/>
  <c r="CU78" i="2" s="1"/>
  <c r="CU79" i="2" s="1"/>
  <c r="CU80" i="2" s="1"/>
  <c r="CU81" i="2" s="1"/>
  <c r="CU82" i="2" s="1"/>
  <c r="CU83" i="2" s="1"/>
  <c r="CU84" i="2" s="1"/>
  <c r="CU85" i="2" s="1"/>
  <c r="CU86" i="2" s="1"/>
  <c r="CU87" i="2" s="1"/>
  <c r="CU88" i="2" s="1"/>
  <c r="CU89" i="2" s="1"/>
  <c r="CU90" i="2" s="1"/>
  <c r="CU91" i="2" s="1"/>
  <c r="CU92" i="2" s="1"/>
  <c r="CU93" i="2" s="1"/>
  <c r="CU94" i="2" s="1"/>
  <c r="CU95" i="2" s="1"/>
  <c r="CU96" i="2" s="1"/>
  <c r="CU97" i="2" s="1"/>
  <c r="CU98" i="2" s="1"/>
  <c r="CU99" i="2" s="1"/>
  <c r="CU100" i="2" s="1"/>
  <c r="CU101" i="2" s="1"/>
  <c r="CU102" i="2" s="1"/>
  <c r="CU103" i="2" s="1"/>
  <c r="CU104" i="2" s="1"/>
  <c r="CU105" i="2" s="1"/>
  <c r="CU106" i="2" s="1"/>
  <c r="CU107" i="2" s="1"/>
  <c r="CU108" i="2" s="1"/>
  <c r="CU109" i="2" s="1"/>
  <c r="CU110" i="2" s="1"/>
  <c r="CU111" i="2" s="1"/>
  <c r="CU112" i="2" s="1"/>
  <c r="CU113" i="2" s="1"/>
  <c r="CU114" i="2" s="1"/>
  <c r="CU115" i="2" s="1"/>
  <c r="CU116" i="2" s="1"/>
  <c r="CU117" i="2" s="1"/>
  <c r="CU118" i="2" s="1"/>
  <c r="CU119" i="2" s="1"/>
  <c r="CU120" i="2" s="1"/>
  <c r="CU121" i="2" s="1"/>
  <c r="CU122" i="2" s="1"/>
  <c r="CU123" i="2" s="1"/>
  <c r="CU124" i="2" s="1"/>
  <c r="CU125" i="2" s="1"/>
  <c r="CU126" i="2" s="1"/>
  <c r="CU127" i="2" s="1"/>
  <c r="CU128" i="2" s="1"/>
  <c r="CU129" i="2" s="1"/>
  <c r="CU130" i="2" s="1"/>
  <c r="CU131" i="2" s="1"/>
  <c r="CU132" i="2" s="1"/>
  <c r="CU133" i="2" s="1"/>
  <c r="CU134" i="2" s="1"/>
  <c r="CU135" i="2" s="1"/>
  <c r="CU136" i="2" s="1"/>
  <c r="CU137" i="2" s="1"/>
  <c r="CU138" i="2" s="1"/>
  <c r="CU139" i="2" s="1"/>
  <c r="CU140" i="2" s="1"/>
  <c r="CU141" i="2" s="1"/>
  <c r="CU142" i="2" s="1"/>
  <c r="CU143" i="2" s="1"/>
  <c r="CU144" i="2" s="1"/>
  <c r="CU145" i="2" s="1"/>
  <c r="CU146" i="2" s="1"/>
  <c r="CU147" i="2" s="1"/>
  <c r="CU148" i="2" s="1"/>
  <c r="CU149" i="2" s="1"/>
  <c r="CU150" i="2" s="1"/>
  <c r="CU151" i="2" s="1"/>
  <c r="CU152" i="2" s="1"/>
  <c r="CU153" i="2" s="1"/>
  <c r="CU154" i="2" s="1"/>
  <c r="CU155" i="2" s="1"/>
  <c r="CU156" i="2" s="1"/>
  <c r="CU157" i="2" s="1"/>
  <c r="CU158" i="2" s="1"/>
  <c r="CU159" i="2" s="1"/>
  <c r="CU160" i="2" s="1"/>
  <c r="CU161" i="2" s="1"/>
  <c r="CU162" i="2" s="1"/>
  <c r="CU163" i="2" s="1"/>
  <c r="CU164" i="2" s="1"/>
  <c r="CU165" i="2" s="1"/>
  <c r="CU166" i="2" s="1"/>
  <c r="CU167" i="2" s="1"/>
  <c r="CU168" i="2" s="1"/>
  <c r="CU169" i="2" s="1"/>
  <c r="CU170" i="2" s="1"/>
  <c r="CU171" i="2" s="1"/>
  <c r="CU172" i="2" s="1"/>
  <c r="CU173" i="2" s="1"/>
  <c r="CU174" i="2" s="1"/>
  <c r="CU175" i="2" s="1"/>
  <c r="CU176" i="2" s="1"/>
  <c r="CU177" i="2" s="1"/>
  <c r="CU178" i="2" s="1"/>
  <c r="CU179" i="2" s="1"/>
  <c r="CU180" i="2" s="1"/>
  <c r="CU181" i="2" s="1"/>
  <c r="CU182" i="2" s="1"/>
  <c r="CU183" i="2" s="1"/>
  <c r="CU184" i="2" s="1"/>
  <c r="CU185" i="2" s="1"/>
  <c r="CU186" i="2" s="1"/>
  <c r="CU187" i="2" s="1"/>
  <c r="CU188" i="2" s="1"/>
  <c r="CU189" i="2" s="1"/>
  <c r="CU190" i="2" s="1"/>
  <c r="CU191" i="2" s="1"/>
  <c r="CU192" i="2" s="1"/>
  <c r="CU193" i="2" s="1"/>
  <c r="CU194" i="2" s="1"/>
  <c r="CU195" i="2" s="1"/>
  <c r="CU196" i="2" s="1"/>
  <c r="CU197" i="2" s="1"/>
  <c r="CU198" i="2" s="1"/>
  <c r="CU199" i="2" s="1"/>
  <c r="CU200" i="2" s="1"/>
  <c r="CU201" i="2" s="1"/>
  <c r="CU202" i="2" s="1"/>
  <c r="CU203" i="2" s="1"/>
  <c r="CU204" i="2" s="1"/>
  <c r="CU205" i="2" s="1"/>
  <c r="CU206" i="2" s="1"/>
  <c r="CU207" i="2" s="1"/>
  <c r="CU208" i="2" s="1"/>
  <c r="CU209" i="2" s="1"/>
  <c r="CU210" i="2" s="1"/>
  <c r="CU211" i="2" s="1"/>
  <c r="CU212" i="2" s="1"/>
  <c r="CU213" i="2" s="1"/>
  <c r="CU214" i="2" s="1"/>
  <c r="CU215" i="2" s="1"/>
  <c r="CU216" i="2" s="1"/>
  <c r="CU217" i="2" s="1"/>
  <c r="CU218" i="2" s="1"/>
  <c r="CU219" i="2" s="1"/>
  <c r="CU220" i="2" s="1"/>
  <c r="CU221" i="2" s="1"/>
  <c r="CU222" i="2" s="1"/>
  <c r="CU223" i="2" s="1"/>
  <c r="CU224" i="2" s="1"/>
  <c r="CU225" i="2" s="1"/>
  <c r="CU226" i="2" s="1"/>
  <c r="CU227" i="2" s="1"/>
  <c r="CU228" i="2" s="1"/>
  <c r="CU229" i="2" s="1"/>
  <c r="CU230" i="2" s="1"/>
  <c r="CU231" i="2" s="1"/>
  <c r="CU232" i="2" s="1"/>
  <c r="CU233" i="2" s="1"/>
  <c r="CU234" i="2" s="1"/>
  <c r="CU235" i="2" s="1"/>
  <c r="CU236" i="2" s="1"/>
  <c r="CU237" i="2" s="1"/>
  <c r="CU238" i="2" s="1"/>
  <c r="CU239" i="2" s="1"/>
  <c r="CU240" i="2" s="1"/>
  <c r="CU241" i="2" s="1"/>
  <c r="CU242" i="2" s="1"/>
  <c r="CU243" i="2" s="1"/>
  <c r="CU244" i="2" s="1"/>
  <c r="CU245" i="2" s="1"/>
  <c r="CU246" i="2" s="1"/>
  <c r="CU247" i="2" s="1"/>
  <c r="CU248" i="2" s="1"/>
  <c r="CU249" i="2" s="1"/>
  <c r="CU250" i="2" s="1"/>
  <c r="CU251" i="2" s="1"/>
  <c r="CU252" i="2" s="1"/>
  <c r="CU253" i="2" s="1"/>
  <c r="CU254" i="2" s="1"/>
  <c r="CU255" i="2" s="1"/>
  <c r="CU256" i="2" s="1"/>
  <c r="CU257" i="2" s="1"/>
  <c r="CU258" i="2" s="1"/>
  <c r="CU259" i="2" s="1"/>
  <c r="CU260" i="2" s="1"/>
  <c r="CU261" i="2" s="1"/>
  <c r="CU262" i="2" s="1"/>
  <c r="CU263" i="2" s="1"/>
  <c r="CU264" i="2" s="1"/>
  <c r="CU265" i="2" s="1"/>
  <c r="CU266" i="2" s="1"/>
  <c r="CU267" i="2" s="1"/>
  <c r="CU268" i="2" s="1"/>
  <c r="CU269" i="2" s="1"/>
  <c r="CU270" i="2" s="1"/>
  <c r="CU271" i="2" s="1"/>
  <c r="CU272" i="2" s="1"/>
  <c r="CU273" i="2" s="1"/>
  <c r="CU274" i="2" s="1"/>
  <c r="CU275" i="2" s="1"/>
  <c r="CU276" i="2" s="1"/>
  <c r="CU277" i="2" s="1"/>
  <c r="CU278" i="2" s="1"/>
  <c r="CU279" i="2" s="1"/>
  <c r="CU280" i="2" s="1"/>
  <c r="CU281" i="2" s="1"/>
  <c r="CU282" i="2" s="1"/>
  <c r="CU283" i="2" s="1"/>
  <c r="CU284" i="2" s="1"/>
  <c r="CU285" i="2" s="1"/>
  <c r="CU286" i="2" s="1"/>
  <c r="CU287" i="2" s="1"/>
  <c r="CU288" i="2" s="1"/>
  <c r="CU289" i="2" s="1"/>
  <c r="CU290" i="2" s="1"/>
  <c r="CU291" i="2" s="1"/>
  <c r="CU292" i="2" s="1"/>
  <c r="CU293" i="2" s="1"/>
  <c r="CU294" i="2" s="1"/>
  <c r="CU295" i="2" s="1"/>
  <c r="CU296" i="2" s="1"/>
  <c r="CU297" i="2" s="1"/>
  <c r="CU298" i="2" s="1"/>
  <c r="CU299" i="2" s="1"/>
  <c r="CU300" i="2" s="1"/>
  <c r="CU301" i="2" s="1"/>
  <c r="CU302" i="2" s="1"/>
  <c r="CU303" i="2" s="1"/>
  <c r="CU304" i="2" s="1"/>
  <c r="CU305" i="2" s="1"/>
  <c r="CU306" i="2" s="1"/>
  <c r="CU307" i="2" s="1"/>
  <c r="CU308" i="2" s="1"/>
  <c r="CU309" i="2" s="1"/>
  <c r="CU310" i="2" s="1"/>
  <c r="CU311" i="2" s="1"/>
  <c r="CU312" i="2" s="1"/>
  <c r="CU313" i="2" s="1"/>
  <c r="CU314" i="2" s="1"/>
  <c r="CU315" i="2" s="1"/>
  <c r="CU316" i="2" s="1"/>
  <c r="CU317" i="2" s="1"/>
  <c r="CU318" i="2" s="1"/>
  <c r="CU319" i="2" s="1"/>
  <c r="CU320" i="2" s="1"/>
  <c r="CU321" i="2" s="1"/>
  <c r="CU322" i="2" s="1"/>
  <c r="CU323" i="2" s="1"/>
  <c r="CU324" i="2" s="1"/>
  <c r="CU325" i="2" s="1"/>
  <c r="CU326" i="2" s="1"/>
  <c r="CU327" i="2" s="1"/>
  <c r="CU328" i="2" s="1"/>
  <c r="CU329" i="2" s="1"/>
  <c r="CU330" i="2" s="1"/>
  <c r="CU331" i="2" s="1"/>
  <c r="CU332" i="2" s="1"/>
  <c r="CU333" i="2" s="1"/>
  <c r="CU334" i="2" s="1"/>
  <c r="CU335" i="2" s="1"/>
  <c r="CU336" i="2" s="1"/>
  <c r="CU337" i="2" s="1"/>
  <c r="CU338" i="2" s="1"/>
  <c r="CU339" i="2" s="1"/>
  <c r="CU340" i="2" s="1"/>
  <c r="CU341" i="2" s="1"/>
  <c r="CV10" i="2"/>
  <c r="CV11" i="2" s="1"/>
  <c r="CV12" i="2" s="1"/>
  <c r="CV13" i="2" s="1"/>
  <c r="CV14" i="2" s="1"/>
  <c r="CV15" i="2" s="1"/>
  <c r="CV16" i="2" s="1"/>
  <c r="CV17" i="2" s="1"/>
  <c r="CV18" i="2" s="1"/>
  <c r="CV19" i="2" s="1"/>
  <c r="CV20" i="2" s="1"/>
  <c r="CV21" i="2" s="1"/>
  <c r="CV22" i="2" s="1"/>
  <c r="CV23" i="2" s="1"/>
  <c r="CV24" i="2" s="1"/>
  <c r="CV25" i="2" s="1"/>
  <c r="CV26" i="2" s="1"/>
  <c r="CV27" i="2" s="1"/>
  <c r="CV28" i="2" s="1"/>
  <c r="CV29" i="2" s="1"/>
  <c r="CV30" i="2" s="1"/>
  <c r="CV31" i="2" s="1"/>
  <c r="CV32" i="2" s="1"/>
  <c r="CV33" i="2" s="1"/>
  <c r="CV34" i="2" s="1"/>
  <c r="CV35" i="2" s="1"/>
  <c r="CV36" i="2" s="1"/>
  <c r="CV37" i="2" s="1"/>
  <c r="CV38" i="2" s="1"/>
  <c r="CV39" i="2" s="1"/>
  <c r="CV40" i="2" s="1"/>
  <c r="CV41" i="2" s="1"/>
  <c r="CV42" i="2" s="1"/>
  <c r="CV43" i="2" s="1"/>
  <c r="CV44" i="2" s="1"/>
  <c r="CV45" i="2" s="1"/>
  <c r="CV46" i="2" s="1"/>
  <c r="CV47" i="2" s="1"/>
  <c r="CV48" i="2" s="1"/>
  <c r="CV49" i="2" s="1"/>
  <c r="CV50" i="2" s="1"/>
  <c r="CV51" i="2" s="1"/>
  <c r="CV52" i="2" s="1"/>
  <c r="CV53" i="2" s="1"/>
  <c r="CV54" i="2" s="1"/>
  <c r="CV55" i="2" s="1"/>
  <c r="CV56" i="2" s="1"/>
  <c r="CV57" i="2" s="1"/>
  <c r="CV58" i="2" s="1"/>
  <c r="CV59" i="2" s="1"/>
  <c r="CV60" i="2" s="1"/>
  <c r="CV61" i="2" s="1"/>
  <c r="CV62" i="2" s="1"/>
  <c r="CV63" i="2" s="1"/>
  <c r="CV64" i="2" s="1"/>
  <c r="CV65" i="2" s="1"/>
  <c r="CV66" i="2" s="1"/>
  <c r="CV67" i="2" s="1"/>
  <c r="CV68" i="2" s="1"/>
  <c r="CV69" i="2" s="1"/>
  <c r="CV70" i="2" s="1"/>
  <c r="CV71" i="2" s="1"/>
  <c r="CV72" i="2" s="1"/>
  <c r="CV73" i="2" s="1"/>
  <c r="CV74" i="2" s="1"/>
  <c r="CV75" i="2" s="1"/>
  <c r="CV76" i="2" s="1"/>
  <c r="CV77" i="2" s="1"/>
  <c r="CV78" i="2" s="1"/>
  <c r="CV79" i="2" s="1"/>
  <c r="CV80" i="2" s="1"/>
  <c r="CV81" i="2" s="1"/>
  <c r="CV82" i="2" s="1"/>
  <c r="CV83" i="2" s="1"/>
  <c r="CV84" i="2" s="1"/>
  <c r="CV85" i="2" s="1"/>
  <c r="CV86" i="2" s="1"/>
  <c r="CV87" i="2" s="1"/>
  <c r="CV88" i="2" s="1"/>
  <c r="CV89" i="2" s="1"/>
  <c r="CV90" i="2" s="1"/>
  <c r="CV91" i="2" s="1"/>
  <c r="CV92" i="2" s="1"/>
  <c r="CV93" i="2" s="1"/>
  <c r="CV94" i="2" s="1"/>
  <c r="CV95" i="2" s="1"/>
  <c r="CV96" i="2" s="1"/>
  <c r="CV97" i="2" s="1"/>
  <c r="CV98" i="2" s="1"/>
  <c r="CV99" i="2" s="1"/>
  <c r="CV100" i="2" s="1"/>
  <c r="CV101" i="2" s="1"/>
  <c r="CV102" i="2" s="1"/>
  <c r="CV103" i="2" s="1"/>
  <c r="CV104" i="2" s="1"/>
  <c r="CV105" i="2" s="1"/>
  <c r="CV106" i="2" s="1"/>
  <c r="CV107" i="2" s="1"/>
  <c r="CV108" i="2" s="1"/>
  <c r="CV109" i="2" s="1"/>
  <c r="CV110" i="2" s="1"/>
  <c r="CV111" i="2" s="1"/>
  <c r="CV112" i="2" s="1"/>
  <c r="CV113" i="2" s="1"/>
  <c r="CV114" i="2" s="1"/>
  <c r="CV115" i="2" s="1"/>
  <c r="CV116" i="2" s="1"/>
  <c r="CV117" i="2" s="1"/>
  <c r="CV118" i="2" s="1"/>
  <c r="CV119" i="2" s="1"/>
  <c r="CV120" i="2" s="1"/>
  <c r="CV121" i="2" s="1"/>
  <c r="CV122" i="2" s="1"/>
  <c r="CV123" i="2" s="1"/>
  <c r="CV124" i="2" s="1"/>
  <c r="CV125" i="2" s="1"/>
  <c r="CV126" i="2" s="1"/>
  <c r="CV127" i="2" s="1"/>
  <c r="CV128" i="2" s="1"/>
  <c r="CV129" i="2" s="1"/>
  <c r="CV130" i="2" s="1"/>
  <c r="CV131" i="2" s="1"/>
  <c r="CV132" i="2" s="1"/>
  <c r="CV133" i="2" s="1"/>
  <c r="CV134" i="2" s="1"/>
  <c r="CV135" i="2" s="1"/>
  <c r="CV136" i="2" s="1"/>
  <c r="CV137" i="2" s="1"/>
  <c r="CV138" i="2" s="1"/>
  <c r="CV139" i="2" s="1"/>
  <c r="CV140" i="2" s="1"/>
  <c r="CV141" i="2" s="1"/>
  <c r="CV142" i="2" s="1"/>
  <c r="CV143" i="2" s="1"/>
  <c r="CV144" i="2" s="1"/>
  <c r="CV145" i="2" s="1"/>
  <c r="CV146" i="2" s="1"/>
  <c r="CV147" i="2" s="1"/>
  <c r="CV148" i="2" s="1"/>
  <c r="CV149" i="2" s="1"/>
  <c r="CV150" i="2" s="1"/>
  <c r="CV151" i="2" s="1"/>
  <c r="CV152" i="2" s="1"/>
  <c r="CV153" i="2" s="1"/>
  <c r="CV154" i="2" s="1"/>
  <c r="CV155" i="2" s="1"/>
  <c r="CV156" i="2" s="1"/>
  <c r="CV157" i="2" s="1"/>
  <c r="CV158" i="2" s="1"/>
  <c r="CV159" i="2" s="1"/>
  <c r="CV160" i="2" s="1"/>
  <c r="CV161" i="2" s="1"/>
  <c r="CV162" i="2" s="1"/>
  <c r="CV163" i="2" s="1"/>
  <c r="CV164" i="2" s="1"/>
  <c r="CV165" i="2" s="1"/>
  <c r="CV166" i="2" s="1"/>
  <c r="CV167" i="2" s="1"/>
  <c r="CV168" i="2" s="1"/>
  <c r="CV169" i="2" s="1"/>
  <c r="CV170" i="2" s="1"/>
  <c r="CV171" i="2" s="1"/>
  <c r="CV172" i="2" s="1"/>
  <c r="CV173" i="2" s="1"/>
  <c r="CV174" i="2" s="1"/>
  <c r="CV175" i="2" s="1"/>
  <c r="CV176" i="2" s="1"/>
  <c r="CV177" i="2" s="1"/>
  <c r="CV178" i="2" s="1"/>
  <c r="CV179" i="2" s="1"/>
  <c r="CV180" i="2" s="1"/>
  <c r="CV181" i="2" s="1"/>
  <c r="CV182" i="2" s="1"/>
  <c r="CV183" i="2" s="1"/>
  <c r="CV184" i="2" s="1"/>
  <c r="CV185" i="2" s="1"/>
  <c r="CV186" i="2" s="1"/>
  <c r="CV187" i="2" s="1"/>
  <c r="CV188" i="2" s="1"/>
  <c r="CV189" i="2" s="1"/>
  <c r="CV190" i="2" s="1"/>
  <c r="CV191" i="2" s="1"/>
  <c r="CV192" i="2" s="1"/>
  <c r="CV193" i="2" s="1"/>
  <c r="CV194" i="2" s="1"/>
  <c r="CV195" i="2" s="1"/>
  <c r="CV196" i="2" s="1"/>
  <c r="CV197" i="2" s="1"/>
  <c r="CV198" i="2" s="1"/>
  <c r="CV199" i="2" s="1"/>
  <c r="CV200" i="2" s="1"/>
  <c r="CV201" i="2" s="1"/>
  <c r="CV202" i="2" s="1"/>
  <c r="CV203" i="2" s="1"/>
  <c r="CV204" i="2" s="1"/>
  <c r="CV205" i="2" s="1"/>
  <c r="CV206" i="2" s="1"/>
  <c r="CV207" i="2" s="1"/>
  <c r="CV208" i="2" s="1"/>
  <c r="CV209" i="2" s="1"/>
  <c r="CV210" i="2" s="1"/>
  <c r="CV211" i="2" s="1"/>
  <c r="CV212" i="2" s="1"/>
  <c r="CV213" i="2" s="1"/>
  <c r="CV214" i="2" s="1"/>
  <c r="CV215" i="2" s="1"/>
  <c r="CV216" i="2" s="1"/>
  <c r="CV217" i="2" s="1"/>
  <c r="CV218" i="2" s="1"/>
  <c r="CV219" i="2" s="1"/>
  <c r="CV220" i="2" s="1"/>
  <c r="CV221" i="2" s="1"/>
  <c r="CV222" i="2" s="1"/>
  <c r="CV223" i="2" s="1"/>
  <c r="CV224" i="2" s="1"/>
  <c r="CV225" i="2" s="1"/>
  <c r="CV226" i="2" s="1"/>
  <c r="CV227" i="2" s="1"/>
  <c r="CV228" i="2" s="1"/>
  <c r="CV229" i="2" s="1"/>
  <c r="CV230" i="2" s="1"/>
  <c r="CV231" i="2" s="1"/>
  <c r="CV232" i="2" s="1"/>
  <c r="CV233" i="2" s="1"/>
  <c r="CV234" i="2" s="1"/>
  <c r="CV235" i="2" s="1"/>
  <c r="CV236" i="2" s="1"/>
  <c r="CV237" i="2" s="1"/>
  <c r="CV238" i="2" s="1"/>
  <c r="CV239" i="2" s="1"/>
  <c r="CV240" i="2" s="1"/>
  <c r="CV241" i="2" s="1"/>
  <c r="CV242" i="2" s="1"/>
  <c r="CV243" i="2" s="1"/>
  <c r="CV244" i="2" s="1"/>
  <c r="CV245" i="2" s="1"/>
  <c r="CV246" i="2" s="1"/>
  <c r="CV247" i="2" s="1"/>
  <c r="CV248" i="2" s="1"/>
  <c r="CV249" i="2" s="1"/>
  <c r="CV250" i="2" s="1"/>
  <c r="CV251" i="2" s="1"/>
  <c r="CV252" i="2" s="1"/>
  <c r="CV253" i="2" s="1"/>
  <c r="CV254" i="2" s="1"/>
  <c r="CV255" i="2" s="1"/>
  <c r="CV256" i="2" s="1"/>
  <c r="CV257" i="2" s="1"/>
  <c r="CV258" i="2" s="1"/>
  <c r="CV259" i="2" s="1"/>
  <c r="CV260" i="2" s="1"/>
  <c r="CV261" i="2" s="1"/>
  <c r="CV262" i="2" s="1"/>
  <c r="CV263" i="2" s="1"/>
  <c r="CV264" i="2" s="1"/>
  <c r="CV265" i="2" s="1"/>
  <c r="CV266" i="2" s="1"/>
  <c r="CV267" i="2" s="1"/>
  <c r="CV268" i="2" s="1"/>
  <c r="CV269" i="2" s="1"/>
  <c r="CV270" i="2" s="1"/>
  <c r="CV271" i="2" s="1"/>
  <c r="CV272" i="2" s="1"/>
  <c r="CV273" i="2" s="1"/>
  <c r="CV274" i="2" s="1"/>
  <c r="CV275" i="2" s="1"/>
  <c r="CV276" i="2" s="1"/>
  <c r="CV277" i="2" s="1"/>
  <c r="CV278" i="2" s="1"/>
  <c r="CV279" i="2" s="1"/>
  <c r="CV280" i="2" s="1"/>
  <c r="CV281" i="2" s="1"/>
  <c r="CV282" i="2" s="1"/>
  <c r="CV283" i="2" s="1"/>
  <c r="CV284" i="2" s="1"/>
  <c r="CV285" i="2" s="1"/>
  <c r="CV286" i="2" s="1"/>
  <c r="CV287" i="2" s="1"/>
  <c r="CV288" i="2" s="1"/>
  <c r="CV289" i="2" s="1"/>
  <c r="CV290" i="2" s="1"/>
  <c r="CV291" i="2" s="1"/>
  <c r="CV292" i="2" s="1"/>
  <c r="CV293" i="2" s="1"/>
  <c r="CV294" i="2" s="1"/>
  <c r="CV295" i="2" s="1"/>
  <c r="CV296" i="2" s="1"/>
  <c r="CV297" i="2" s="1"/>
  <c r="CV298" i="2" s="1"/>
  <c r="CV299" i="2" s="1"/>
  <c r="CV300" i="2" s="1"/>
  <c r="CV301" i="2" s="1"/>
  <c r="CV302" i="2" s="1"/>
  <c r="CV303" i="2" s="1"/>
  <c r="CV304" i="2" s="1"/>
  <c r="CV305" i="2" s="1"/>
  <c r="CV306" i="2" s="1"/>
  <c r="CV307" i="2" s="1"/>
  <c r="CV308" i="2" s="1"/>
  <c r="CV309" i="2" s="1"/>
  <c r="CV310" i="2" s="1"/>
  <c r="CV311" i="2" s="1"/>
  <c r="CV312" i="2" s="1"/>
  <c r="CV313" i="2" s="1"/>
  <c r="CV314" i="2" s="1"/>
  <c r="CV315" i="2" s="1"/>
  <c r="CV316" i="2" s="1"/>
  <c r="CV317" i="2" s="1"/>
  <c r="CV318" i="2" s="1"/>
  <c r="CV319" i="2" s="1"/>
  <c r="CV320" i="2" s="1"/>
  <c r="CV321" i="2" s="1"/>
  <c r="CV322" i="2" s="1"/>
  <c r="CV323" i="2" s="1"/>
  <c r="CV324" i="2" s="1"/>
  <c r="CV325" i="2" s="1"/>
  <c r="CV326" i="2" s="1"/>
  <c r="CV327" i="2" s="1"/>
  <c r="CV328" i="2" s="1"/>
  <c r="CV329" i="2" s="1"/>
  <c r="CV330" i="2" s="1"/>
  <c r="CV331" i="2" s="1"/>
  <c r="CV332" i="2" s="1"/>
  <c r="CV333" i="2" s="1"/>
  <c r="CV334" i="2" s="1"/>
  <c r="CV335" i="2" s="1"/>
  <c r="CV336" i="2" s="1"/>
  <c r="CV337" i="2" s="1"/>
  <c r="CV338" i="2" s="1"/>
  <c r="CV339" i="2" s="1"/>
  <c r="CV340" i="2" s="1"/>
  <c r="CV341" i="2" s="1"/>
  <c r="CL8" i="2"/>
  <c r="CL9" i="2" s="1"/>
  <c r="CL10" i="2" s="1"/>
  <c r="CL11" i="2" s="1"/>
  <c r="CL12" i="2" s="1"/>
  <c r="CL13" i="2" s="1"/>
  <c r="CL14" i="2" s="1"/>
  <c r="CL15" i="2" s="1"/>
  <c r="CL16" i="2" s="1"/>
  <c r="CL17" i="2" s="1"/>
  <c r="CL18" i="2" s="1"/>
  <c r="CL19" i="2" s="1"/>
  <c r="CL20" i="2" s="1"/>
  <c r="CL21" i="2" s="1"/>
  <c r="CL22" i="2" s="1"/>
  <c r="CL23" i="2" s="1"/>
  <c r="CL24" i="2" s="1"/>
  <c r="CL25" i="2" s="1"/>
  <c r="CL26" i="2" s="1"/>
  <c r="CL27" i="2" s="1"/>
  <c r="CL28" i="2" s="1"/>
  <c r="CL29" i="2" s="1"/>
  <c r="CL30" i="2" s="1"/>
  <c r="CL31" i="2" s="1"/>
  <c r="CL32" i="2" s="1"/>
  <c r="CL33" i="2" s="1"/>
  <c r="CL34" i="2" s="1"/>
  <c r="CL35" i="2" s="1"/>
  <c r="CL36" i="2" s="1"/>
  <c r="CL37" i="2" s="1"/>
  <c r="CL38" i="2" s="1"/>
  <c r="CL39" i="2" s="1"/>
  <c r="CL40" i="2" s="1"/>
  <c r="CL41" i="2" s="1"/>
  <c r="CL42" i="2" s="1"/>
  <c r="CL43" i="2" s="1"/>
  <c r="CL44" i="2" s="1"/>
  <c r="CL45" i="2" s="1"/>
  <c r="CL46" i="2" s="1"/>
  <c r="CL47" i="2" s="1"/>
  <c r="CL48" i="2" s="1"/>
  <c r="CL49" i="2" s="1"/>
  <c r="CL50" i="2" s="1"/>
  <c r="CL51" i="2" s="1"/>
  <c r="CL52" i="2" s="1"/>
  <c r="CL53" i="2" s="1"/>
  <c r="CL54" i="2" s="1"/>
  <c r="CL55" i="2" s="1"/>
  <c r="CL56" i="2" s="1"/>
  <c r="CL57" i="2" s="1"/>
  <c r="CL58" i="2" s="1"/>
  <c r="CL59" i="2" s="1"/>
  <c r="CL60" i="2" s="1"/>
  <c r="CL61" i="2" s="1"/>
  <c r="CL62" i="2" s="1"/>
  <c r="CL63" i="2" s="1"/>
  <c r="CL64" i="2" s="1"/>
  <c r="CL65" i="2" s="1"/>
  <c r="CL66" i="2" s="1"/>
  <c r="CL67" i="2" s="1"/>
  <c r="CL68" i="2" s="1"/>
  <c r="CL69" i="2" s="1"/>
  <c r="CL70" i="2" s="1"/>
  <c r="CL71" i="2" s="1"/>
  <c r="CL72" i="2" s="1"/>
  <c r="CL73" i="2" s="1"/>
  <c r="CL74" i="2" s="1"/>
  <c r="CL75" i="2" s="1"/>
  <c r="CL76" i="2" s="1"/>
  <c r="CL77" i="2" s="1"/>
  <c r="CL78" i="2" s="1"/>
  <c r="CL79" i="2" s="1"/>
  <c r="CL80" i="2" s="1"/>
  <c r="CL81" i="2" s="1"/>
  <c r="CL82" i="2" s="1"/>
  <c r="CL83" i="2" s="1"/>
  <c r="CL84" i="2" s="1"/>
  <c r="CL85" i="2" s="1"/>
  <c r="CL86" i="2" s="1"/>
  <c r="CL87" i="2" s="1"/>
  <c r="CL88" i="2" s="1"/>
  <c r="CL89" i="2" s="1"/>
  <c r="CL90" i="2" s="1"/>
  <c r="CL91" i="2" s="1"/>
  <c r="CL92" i="2" s="1"/>
  <c r="CL93" i="2" s="1"/>
  <c r="CL94" i="2" s="1"/>
  <c r="CL95" i="2" s="1"/>
  <c r="CL96" i="2" s="1"/>
  <c r="CL97" i="2" s="1"/>
  <c r="CL98" i="2" s="1"/>
  <c r="CL99" i="2" s="1"/>
  <c r="CL100" i="2" s="1"/>
  <c r="CL101" i="2" s="1"/>
  <c r="CL102" i="2" s="1"/>
  <c r="CL103" i="2" s="1"/>
  <c r="CL104" i="2" s="1"/>
  <c r="CL105" i="2" s="1"/>
  <c r="CL106" i="2" s="1"/>
  <c r="CL107" i="2" s="1"/>
  <c r="CL108" i="2" s="1"/>
  <c r="CL109" i="2" s="1"/>
  <c r="CL110" i="2" s="1"/>
  <c r="CL111" i="2" s="1"/>
  <c r="CL112" i="2" s="1"/>
  <c r="CL113" i="2" s="1"/>
  <c r="CL114" i="2" s="1"/>
  <c r="CL115" i="2" s="1"/>
  <c r="CL116" i="2" s="1"/>
  <c r="CL117" i="2" s="1"/>
  <c r="CL118" i="2" s="1"/>
  <c r="CL119" i="2" s="1"/>
  <c r="CL120" i="2" s="1"/>
  <c r="CL121" i="2" s="1"/>
  <c r="CL122" i="2" s="1"/>
  <c r="CL123" i="2" s="1"/>
  <c r="CL124" i="2" s="1"/>
  <c r="CL125" i="2" s="1"/>
  <c r="CL126" i="2" s="1"/>
  <c r="CL127" i="2" s="1"/>
  <c r="CL128" i="2" s="1"/>
  <c r="CL129" i="2" s="1"/>
  <c r="CL130" i="2" s="1"/>
  <c r="CL131" i="2" s="1"/>
  <c r="CL132" i="2" s="1"/>
  <c r="CL133" i="2" s="1"/>
  <c r="CL134" i="2" s="1"/>
  <c r="CL135" i="2" s="1"/>
  <c r="CL136" i="2" s="1"/>
  <c r="CL137" i="2" s="1"/>
  <c r="CL138" i="2" s="1"/>
  <c r="CL139" i="2" s="1"/>
  <c r="CL140" i="2" s="1"/>
  <c r="CL141" i="2" s="1"/>
  <c r="CL142" i="2" s="1"/>
  <c r="CL143" i="2" s="1"/>
  <c r="CL144" i="2" s="1"/>
  <c r="CL145" i="2" s="1"/>
  <c r="CL146" i="2" s="1"/>
  <c r="CL147" i="2" s="1"/>
  <c r="CL148" i="2" s="1"/>
  <c r="CL149" i="2" s="1"/>
  <c r="CL150" i="2" s="1"/>
  <c r="CL151" i="2" s="1"/>
  <c r="CL152" i="2" s="1"/>
  <c r="CL153" i="2" s="1"/>
  <c r="CL154" i="2" s="1"/>
  <c r="CL155" i="2" s="1"/>
  <c r="CL156" i="2" s="1"/>
  <c r="CL157" i="2" s="1"/>
  <c r="CL158" i="2" s="1"/>
  <c r="CL159" i="2" s="1"/>
  <c r="CL160" i="2" s="1"/>
  <c r="CL161" i="2" s="1"/>
  <c r="CL162" i="2" s="1"/>
  <c r="CL163" i="2" s="1"/>
  <c r="CL164" i="2" s="1"/>
  <c r="CL165" i="2" s="1"/>
  <c r="CL166" i="2" s="1"/>
  <c r="CL167" i="2" s="1"/>
  <c r="CL168" i="2" s="1"/>
  <c r="CL169" i="2" s="1"/>
  <c r="CL170" i="2" s="1"/>
  <c r="CL171" i="2" s="1"/>
  <c r="CL172" i="2" s="1"/>
  <c r="CL173" i="2" s="1"/>
  <c r="CL174" i="2" s="1"/>
  <c r="CL175" i="2" s="1"/>
  <c r="CL176" i="2" s="1"/>
  <c r="CL177" i="2" s="1"/>
  <c r="CL178" i="2" s="1"/>
  <c r="CL179" i="2" s="1"/>
  <c r="CL180" i="2" s="1"/>
  <c r="CL181" i="2" s="1"/>
  <c r="CL182" i="2" s="1"/>
  <c r="CL183" i="2" s="1"/>
  <c r="CL184" i="2" s="1"/>
  <c r="CL185" i="2" s="1"/>
  <c r="CL186" i="2" s="1"/>
  <c r="CL187" i="2" s="1"/>
  <c r="CL188" i="2" s="1"/>
  <c r="CL189" i="2" s="1"/>
  <c r="CL190" i="2" s="1"/>
  <c r="CL191" i="2" s="1"/>
  <c r="CL192" i="2" s="1"/>
  <c r="CL193" i="2" s="1"/>
  <c r="CL194" i="2" s="1"/>
  <c r="CL195" i="2" s="1"/>
  <c r="CL196" i="2" s="1"/>
  <c r="CL197" i="2" s="1"/>
  <c r="CL198" i="2" s="1"/>
  <c r="CL199" i="2" s="1"/>
  <c r="CL200" i="2" s="1"/>
  <c r="CL201" i="2" s="1"/>
  <c r="CL202" i="2" s="1"/>
  <c r="CL203" i="2" s="1"/>
  <c r="CL204" i="2" s="1"/>
  <c r="CL205" i="2" s="1"/>
  <c r="CL206" i="2" s="1"/>
  <c r="CL207" i="2" s="1"/>
  <c r="CL208" i="2" s="1"/>
  <c r="CL209" i="2" s="1"/>
  <c r="CL210" i="2" s="1"/>
  <c r="CL211" i="2" s="1"/>
  <c r="CL212" i="2" s="1"/>
  <c r="CL213" i="2" s="1"/>
  <c r="CL214" i="2" s="1"/>
  <c r="CL215" i="2" s="1"/>
  <c r="CL216" i="2" s="1"/>
  <c r="CL217" i="2" s="1"/>
  <c r="CL218" i="2" s="1"/>
  <c r="CL219" i="2" s="1"/>
  <c r="CL220" i="2" s="1"/>
  <c r="CL221" i="2" s="1"/>
  <c r="CL222" i="2" s="1"/>
  <c r="CL223" i="2" s="1"/>
  <c r="CL224" i="2" s="1"/>
  <c r="CL225" i="2" s="1"/>
  <c r="CL226" i="2" s="1"/>
  <c r="CL227" i="2" s="1"/>
  <c r="CL228" i="2" s="1"/>
  <c r="CL229" i="2" s="1"/>
  <c r="CL230" i="2" s="1"/>
  <c r="CL231" i="2" s="1"/>
  <c r="CL232" i="2" s="1"/>
  <c r="CL233" i="2" s="1"/>
  <c r="CL234" i="2" s="1"/>
  <c r="CL235" i="2" s="1"/>
  <c r="CL236" i="2" s="1"/>
  <c r="CL237" i="2" s="1"/>
  <c r="CL238" i="2" s="1"/>
  <c r="CL239" i="2" s="1"/>
  <c r="CL240" i="2" s="1"/>
  <c r="CL241" i="2" s="1"/>
  <c r="CL242" i="2" s="1"/>
  <c r="CL243" i="2" s="1"/>
  <c r="CL244" i="2" s="1"/>
  <c r="CL245" i="2" s="1"/>
  <c r="CL246" i="2" s="1"/>
  <c r="CL247" i="2" s="1"/>
  <c r="CL248" i="2" s="1"/>
  <c r="CL249" i="2" s="1"/>
  <c r="CL250" i="2" s="1"/>
  <c r="CL251" i="2" s="1"/>
  <c r="CL252" i="2" s="1"/>
  <c r="CL253" i="2" s="1"/>
  <c r="CL254" i="2" s="1"/>
  <c r="CL255" i="2" s="1"/>
  <c r="CL256" i="2" s="1"/>
  <c r="CL257" i="2" s="1"/>
  <c r="CL258" i="2" s="1"/>
  <c r="CL259" i="2" s="1"/>
  <c r="CL260" i="2" s="1"/>
  <c r="CL261" i="2" s="1"/>
  <c r="CL262" i="2" s="1"/>
  <c r="CL263" i="2" s="1"/>
  <c r="CL264" i="2" s="1"/>
  <c r="CL265" i="2" s="1"/>
  <c r="CL266" i="2" s="1"/>
  <c r="CL267" i="2" s="1"/>
  <c r="CL268" i="2" s="1"/>
  <c r="CL269" i="2" s="1"/>
  <c r="CL270" i="2" s="1"/>
  <c r="CL271" i="2" s="1"/>
  <c r="CL272" i="2" s="1"/>
  <c r="CL273" i="2" s="1"/>
  <c r="CL274" i="2" s="1"/>
  <c r="CL275" i="2" s="1"/>
  <c r="CL276" i="2" s="1"/>
  <c r="CL277" i="2" s="1"/>
  <c r="CL278" i="2" s="1"/>
  <c r="CL279" i="2" s="1"/>
  <c r="CL280" i="2" s="1"/>
  <c r="CL281" i="2" s="1"/>
  <c r="CL282" i="2" s="1"/>
  <c r="CL283" i="2" s="1"/>
  <c r="CL284" i="2" s="1"/>
  <c r="CL285" i="2" s="1"/>
  <c r="CL286" i="2" s="1"/>
  <c r="CL287" i="2" s="1"/>
  <c r="CL288" i="2" s="1"/>
  <c r="CL289" i="2" s="1"/>
  <c r="CL290" i="2" s="1"/>
  <c r="CL291" i="2" s="1"/>
  <c r="CL292" i="2" s="1"/>
  <c r="CL293" i="2" s="1"/>
  <c r="CL294" i="2" s="1"/>
  <c r="CL295" i="2" s="1"/>
  <c r="CL296" i="2" s="1"/>
  <c r="CL297" i="2" s="1"/>
  <c r="CL298" i="2" s="1"/>
  <c r="CL299" i="2" s="1"/>
  <c r="CL300" i="2" s="1"/>
  <c r="CL301" i="2" s="1"/>
  <c r="CL302" i="2" s="1"/>
  <c r="CL303" i="2" s="1"/>
  <c r="CL304" i="2" s="1"/>
  <c r="CL305" i="2" s="1"/>
  <c r="CL306" i="2" s="1"/>
  <c r="CL307" i="2" s="1"/>
  <c r="CL308" i="2" s="1"/>
  <c r="CL309" i="2" s="1"/>
  <c r="CL310" i="2" s="1"/>
  <c r="CL311" i="2" s="1"/>
  <c r="CL312" i="2" s="1"/>
  <c r="CL313" i="2" s="1"/>
  <c r="CL314" i="2" s="1"/>
  <c r="CL315" i="2" s="1"/>
  <c r="CL316" i="2" s="1"/>
  <c r="CL317" i="2" s="1"/>
  <c r="CL318" i="2" s="1"/>
  <c r="CL319" i="2" s="1"/>
  <c r="CL320" i="2" s="1"/>
  <c r="CL321" i="2" s="1"/>
  <c r="CL322" i="2" s="1"/>
  <c r="CL323" i="2" s="1"/>
  <c r="CL324" i="2" s="1"/>
  <c r="CL325" i="2" s="1"/>
  <c r="CL326" i="2" s="1"/>
  <c r="CL327" i="2" s="1"/>
  <c r="CL328" i="2" s="1"/>
  <c r="CL329" i="2" s="1"/>
  <c r="CL330" i="2" s="1"/>
  <c r="CL331" i="2" s="1"/>
  <c r="CL332" i="2" s="1"/>
  <c r="CL333" i="2" s="1"/>
  <c r="CL334" i="2" s="1"/>
  <c r="CL335" i="2" s="1"/>
  <c r="CL336" i="2" s="1"/>
  <c r="CL337" i="2" s="1"/>
  <c r="CL338" i="2" s="1"/>
  <c r="CL339" i="2" s="1"/>
  <c r="CL340" i="2" s="1"/>
  <c r="CL341" i="2" s="1"/>
  <c r="CM8" i="2"/>
  <c r="CM9" i="2" s="1"/>
  <c r="CM10" i="2" s="1"/>
  <c r="CM11" i="2" s="1"/>
  <c r="CM12" i="2" s="1"/>
  <c r="CM13" i="2" s="1"/>
  <c r="CM14" i="2" s="1"/>
  <c r="CM15" i="2" s="1"/>
  <c r="CM16" i="2" s="1"/>
  <c r="CM17" i="2" s="1"/>
  <c r="CM18" i="2" s="1"/>
  <c r="CM19" i="2" s="1"/>
  <c r="CM20" i="2" s="1"/>
  <c r="CM21" i="2" s="1"/>
  <c r="CM22" i="2" s="1"/>
  <c r="CM23" i="2" s="1"/>
  <c r="CM24" i="2" s="1"/>
  <c r="CM25" i="2" s="1"/>
  <c r="CM26" i="2" s="1"/>
  <c r="CM27" i="2" s="1"/>
  <c r="CM28" i="2" s="1"/>
  <c r="CM29" i="2" s="1"/>
  <c r="CM30" i="2" s="1"/>
  <c r="CM31" i="2" s="1"/>
  <c r="CM32" i="2" s="1"/>
  <c r="CM33" i="2" s="1"/>
  <c r="CM34" i="2" s="1"/>
  <c r="CM35" i="2" s="1"/>
  <c r="CM36" i="2" s="1"/>
  <c r="CM37" i="2" s="1"/>
  <c r="CM38" i="2" s="1"/>
  <c r="CM39" i="2" s="1"/>
  <c r="CM40" i="2" s="1"/>
  <c r="CM41" i="2" s="1"/>
  <c r="CM42" i="2" s="1"/>
  <c r="CM43" i="2" s="1"/>
  <c r="CM44" i="2" s="1"/>
  <c r="CM45" i="2" s="1"/>
  <c r="CM46" i="2" s="1"/>
  <c r="CM47" i="2" s="1"/>
  <c r="CM48" i="2" s="1"/>
  <c r="CM49" i="2" s="1"/>
  <c r="CM50" i="2" s="1"/>
  <c r="CM51" i="2" s="1"/>
  <c r="CM52" i="2" s="1"/>
  <c r="CM53" i="2" s="1"/>
  <c r="CM54" i="2" s="1"/>
  <c r="CM55" i="2" s="1"/>
  <c r="CM56" i="2" s="1"/>
  <c r="CM57" i="2" s="1"/>
  <c r="CM58" i="2" s="1"/>
  <c r="CM59" i="2" s="1"/>
  <c r="CM60" i="2" s="1"/>
  <c r="CM61" i="2" s="1"/>
  <c r="CM62" i="2" s="1"/>
  <c r="CM63" i="2" s="1"/>
  <c r="CM64" i="2" s="1"/>
  <c r="CM65" i="2" s="1"/>
  <c r="CM66" i="2" s="1"/>
  <c r="CM67" i="2" s="1"/>
  <c r="CM68" i="2" s="1"/>
  <c r="CM69" i="2" s="1"/>
  <c r="CM70" i="2" s="1"/>
  <c r="CM71" i="2" s="1"/>
  <c r="CM72" i="2" s="1"/>
  <c r="CM73" i="2" s="1"/>
  <c r="CM74" i="2" s="1"/>
  <c r="CM75" i="2" s="1"/>
  <c r="CM76" i="2" s="1"/>
  <c r="CM77" i="2" s="1"/>
  <c r="CM78" i="2" s="1"/>
  <c r="CM79" i="2" s="1"/>
  <c r="CM80" i="2" s="1"/>
  <c r="CM81" i="2" s="1"/>
  <c r="CM82" i="2" s="1"/>
  <c r="CM83" i="2" s="1"/>
  <c r="CM84" i="2" s="1"/>
  <c r="CM85" i="2" s="1"/>
  <c r="CM86" i="2" s="1"/>
  <c r="CM87" i="2" s="1"/>
  <c r="CM88" i="2" s="1"/>
  <c r="CM89" i="2" s="1"/>
  <c r="CM90" i="2" s="1"/>
  <c r="CM91" i="2" s="1"/>
  <c r="CM92" i="2" s="1"/>
  <c r="CM93" i="2" s="1"/>
  <c r="CM94" i="2" s="1"/>
  <c r="CM95" i="2" s="1"/>
  <c r="CM96" i="2" s="1"/>
  <c r="CM97" i="2" s="1"/>
  <c r="CM98" i="2" s="1"/>
  <c r="CM99" i="2" s="1"/>
  <c r="CM100" i="2" s="1"/>
  <c r="CM101" i="2" s="1"/>
  <c r="CM102" i="2" s="1"/>
  <c r="CM103" i="2" s="1"/>
  <c r="CM104" i="2" s="1"/>
  <c r="CM105" i="2" s="1"/>
  <c r="CM106" i="2" s="1"/>
  <c r="CM107" i="2" s="1"/>
  <c r="CM108" i="2" s="1"/>
  <c r="CM109" i="2" s="1"/>
  <c r="CM110" i="2" s="1"/>
  <c r="CM111" i="2" s="1"/>
  <c r="CM112" i="2" s="1"/>
  <c r="CM113" i="2" s="1"/>
  <c r="CM114" i="2" s="1"/>
  <c r="CM115" i="2" s="1"/>
  <c r="CM116" i="2" s="1"/>
  <c r="CM117" i="2" s="1"/>
  <c r="CM118" i="2" s="1"/>
  <c r="CM119" i="2" s="1"/>
  <c r="CM120" i="2" s="1"/>
  <c r="CM121" i="2" s="1"/>
  <c r="CM122" i="2" s="1"/>
  <c r="CM123" i="2" s="1"/>
  <c r="CM124" i="2" s="1"/>
  <c r="CM125" i="2" s="1"/>
  <c r="CM126" i="2" s="1"/>
  <c r="CM127" i="2" s="1"/>
  <c r="CM128" i="2" s="1"/>
  <c r="CM129" i="2" s="1"/>
  <c r="CM130" i="2" s="1"/>
  <c r="CM131" i="2" s="1"/>
  <c r="CM132" i="2" s="1"/>
  <c r="CM133" i="2" s="1"/>
  <c r="CM134" i="2" s="1"/>
  <c r="CM135" i="2" s="1"/>
  <c r="CM136" i="2" s="1"/>
  <c r="CM137" i="2" s="1"/>
  <c r="CM138" i="2" s="1"/>
  <c r="CM139" i="2" s="1"/>
  <c r="CM140" i="2" s="1"/>
  <c r="CM141" i="2" s="1"/>
  <c r="CM142" i="2" s="1"/>
  <c r="CM143" i="2" s="1"/>
  <c r="CM144" i="2" s="1"/>
  <c r="CM145" i="2" s="1"/>
  <c r="CM146" i="2" s="1"/>
  <c r="CM147" i="2" s="1"/>
  <c r="CM148" i="2" s="1"/>
  <c r="CM149" i="2" s="1"/>
  <c r="CM150" i="2" s="1"/>
  <c r="CM151" i="2" s="1"/>
  <c r="CM152" i="2" s="1"/>
  <c r="CM153" i="2" s="1"/>
  <c r="CM154" i="2" s="1"/>
  <c r="CM155" i="2" s="1"/>
  <c r="CM156" i="2" s="1"/>
  <c r="CM157" i="2" s="1"/>
  <c r="CM158" i="2" s="1"/>
  <c r="CM159" i="2" s="1"/>
  <c r="CM160" i="2" s="1"/>
  <c r="CM161" i="2" s="1"/>
  <c r="CM162" i="2" s="1"/>
  <c r="CM163" i="2" s="1"/>
  <c r="CM164" i="2" s="1"/>
  <c r="CM165" i="2" s="1"/>
  <c r="CM166" i="2" s="1"/>
  <c r="CM167" i="2" s="1"/>
  <c r="CM168" i="2" s="1"/>
  <c r="CM169" i="2" s="1"/>
  <c r="CM170" i="2" s="1"/>
  <c r="CM171" i="2" s="1"/>
  <c r="CM172" i="2" s="1"/>
  <c r="CM173" i="2" s="1"/>
  <c r="CM174" i="2" s="1"/>
  <c r="CM175" i="2" s="1"/>
  <c r="CM176" i="2" s="1"/>
  <c r="CM177" i="2" s="1"/>
  <c r="CM178" i="2" s="1"/>
  <c r="CM179" i="2" s="1"/>
  <c r="CM180" i="2" s="1"/>
  <c r="CM181" i="2" s="1"/>
  <c r="CM182" i="2" s="1"/>
  <c r="CM183" i="2" s="1"/>
  <c r="CM184" i="2" s="1"/>
  <c r="CM185" i="2" s="1"/>
  <c r="CM186" i="2" s="1"/>
  <c r="CM187" i="2" s="1"/>
  <c r="CM188" i="2" s="1"/>
  <c r="CM189" i="2" s="1"/>
  <c r="CM190" i="2" s="1"/>
  <c r="CM191" i="2" s="1"/>
  <c r="CM192" i="2" s="1"/>
  <c r="CM193" i="2" s="1"/>
  <c r="CM194" i="2" s="1"/>
  <c r="CM195" i="2" s="1"/>
  <c r="CM196" i="2" s="1"/>
  <c r="CM197" i="2" s="1"/>
  <c r="CM198" i="2" s="1"/>
  <c r="CM199" i="2" s="1"/>
  <c r="CM200" i="2" s="1"/>
  <c r="CM201" i="2" s="1"/>
  <c r="CM202" i="2" s="1"/>
  <c r="CM203" i="2" s="1"/>
  <c r="CM204" i="2" s="1"/>
  <c r="CM205" i="2" s="1"/>
  <c r="CM206" i="2" s="1"/>
  <c r="CM207" i="2" s="1"/>
  <c r="CM208" i="2" s="1"/>
  <c r="CM209" i="2" s="1"/>
  <c r="CM210" i="2" s="1"/>
  <c r="CM211" i="2" s="1"/>
  <c r="CM212" i="2" s="1"/>
  <c r="CM213" i="2" s="1"/>
  <c r="CM214" i="2" s="1"/>
  <c r="CM215" i="2" s="1"/>
  <c r="CM216" i="2" s="1"/>
  <c r="CM217" i="2" s="1"/>
  <c r="CM218" i="2" s="1"/>
  <c r="CM219" i="2" s="1"/>
  <c r="CM220" i="2" s="1"/>
  <c r="CM221" i="2" s="1"/>
  <c r="CM222" i="2" s="1"/>
  <c r="CM223" i="2" s="1"/>
  <c r="CM224" i="2" s="1"/>
  <c r="CM225" i="2" s="1"/>
  <c r="CM226" i="2" s="1"/>
  <c r="CM227" i="2" s="1"/>
  <c r="CM228" i="2" s="1"/>
  <c r="CM229" i="2" s="1"/>
  <c r="CM230" i="2" s="1"/>
  <c r="CM231" i="2" s="1"/>
  <c r="CM232" i="2" s="1"/>
  <c r="CM233" i="2" s="1"/>
  <c r="CM234" i="2" s="1"/>
  <c r="CM235" i="2" s="1"/>
  <c r="CM236" i="2" s="1"/>
  <c r="CM237" i="2" s="1"/>
  <c r="CM238" i="2" s="1"/>
  <c r="CM239" i="2" s="1"/>
  <c r="CM240" i="2" s="1"/>
  <c r="CM241" i="2" s="1"/>
  <c r="CM242" i="2" s="1"/>
  <c r="CM243" i="2" s="1"/>
  <c r="CM244" i="2" s="1"/>
  <c r="CM245" i="2" s="1"/>
  <c r="CM246" i="2" s="1"/>
  <c r="CM247" i="2" s="1"/>
  <c r="CM248" i="2" s="1"/>
  <c r="CM249" i="2" s="1"/>
  <c r="CM250" i="2" s="1"/>
  <c r="CM251" i="2" s="1"/>
  <c r="CM252" i="2" s="1"/>
  <c r="CM253" i="2" s="1"/>
  <c r="CM254" i="2" s="1"/>
  <c r="CM255" i="2" s="1"/>
  <c r="CM256" i="2" s="1"/>
  <c r="CM257" i="2" s="1"/>
  <c r="CM258" i="2" s="1"/>
  <c r="CM259" i="2" s="1"/>
  <c r="CM260" i="2" s="1"/>
  <c r="CM261" i="2" s="1"/>
  <c r="CM262" i="2" s="1"/>
  <c r="CM263" i="2" s="1"/>
  <c r="CM264" i="2" s="1"/>
  <c r="CM265" i="2" s="1"/>
  <c r="CM266" i="2" s="1"/>
  <c r="CM267" i="2" s="1"/>
  <c r="CM268" i="2" s="1"/>
  <c r="CM269" i="2" s="1"/>
  <c r="CM270" i="2" s="1"/>
  <c r="CM271" i="2" s="1"/>
  <c r="CM272" i="2" s="1"/>
  <c r="CM273" i="2" s="1"/>
  <c r="CM274" i="2" s="1"/>
  <c r="CM275" i="2" s="1"/>
  <c r="CM276" i="2" s="1"/>
  <c r="CM277" i="2" s="1"/>
  <c r="CM278" i="2" s="1"/>
  <c r="CM279" i="2" s="1"/>
  <c r="CM280" i="2" s="1"/>
  <c r="CM281" i="2" s="1"/>
  <c r="CM282" i="2" s="1"/>
  <c r="CM283" i="2" s="1"/>
  <c r="CM284" i="2" s="1"/>
  <c r="CM285" i="2" s="1"/>
  <c r="CM286" i="2" s="1"/>
  <c r="CM287" i="2" s="1"/>
  <c r="CM288" i="2" s="1"/>
  <c r="CM289" i="2" s="1"/>
  <c r="CM290" i="2" s="1"/>
  <c r="CM291" i="2" s="1"/>
  <c r="CM292" i="2" s="1"/>
  <c r="CM293" i="2" s="1"/>
  <c r="CM294" i="2" s="1"/>
  <c r="CM295" i="2" s="1"/>
  <c r="CM296" i="2" s="1"/>
  <c r="CM297" i="2" s="1"/>
  <c r="CM298" i="2" s="1"/>
  <c r="CM299" i="2" s="1"/>
  <c r="CM300" i="2" s="1"/>
  <c r="CM301" i="2" s="1"/>
  <c r="CM302" i="2" s="1"/>
  <c r="CM303" i="2" s="1"/>
  <c r="CM304" i="2" s="1"/>
  <c r="CM305" i="2" s="1"/>
  <c r="CM306" i="2" s="1"/>
  <c r="CM307" i="2" s="1"/>
  <c r="CM308" i="2" s="1"/>
  <c r="CM309" i="2" s="1"/>
  <c r="CM310" i="2" s="1"/>
  <c r="CM311" i="2" s="1"/>
  <c r="CM312" i="2" s="1"/>
  <c r="CM313" i="2" s="1"/>
  <c r="CM314" i="2" s="1"/>
  <c r="CM315" i="2" s="1"/>
  <c r="CM316" i="2" s="1"/>
  <c r="CM317" i="2" s="1"/>
  <c r="CM318" i="2" s="1"/>
  <c r="CM319" i="2" s="1"/>
  <c r="CM320" i="2" s="1"/>
  <c r="CM321" i="2" s="1"/>
  <c r="CM322" i="2" s="1"/>
  <c r="CM323" i="2" s="1"/>
  <c r="CM324" i="2" s="1"/>
  <c r="CM325" i="2" s="1"/>
  <c r="CM326" i="2" s="1"/>
  <c r="CM327" i="2" s="1"/>
  <c r="CM328" i="2" s="1"/>
  <c r="CM329" i="2" s="1"/>
  <c r="CM330" i="2" s="1"/>
  <c r="CM331" i="2" s="1"/>
  <c r="CM332" i="2" s="1"/>
  <c r="CM333" i="2" s="1"/>
  <c r="CM334" i="2" s="1"/>
  <c r="CM335" i="2" s="1"/>
  <c r="CM336" i="2" s="1"/>
  <c r="CM337" i="2" s="1"/>
  <c r="CM338" i="2" s="1"/>
  <c r="CM339" i="2" s="1"/>
  <c r="CM340" i="2" s="1"/>
  <c r="CM341" i="2" s="1"/>
  <c r="CF6" i="2"/>
  <c r="CF7" i="2" s="1"/>
  <c r="CF8" i="2" s="1"/>
  <c r="CF9" i="2" s="1"/>
  <c r="CF10" i="2" s="1"/>
  <c r="CF11" i="2" s="1"/>
  <c r="CF12" i="2" s="1"/>
  <c r="CF13" i="2" s="1"/>
  <c r="CF14" i="2" s="1"/>
  <c r="CF15" i="2" s="1"/>
  <c r="CF16" i="2" s="1"/>
  <c r="CF17" i="2" s="1"/>
  <c r="CF18" i="2" s="1"/>
  <c r="CF19" i="2" s="1"/>
  <c r="CF20" i="2" s="1"/>
  <c r="CF21" i="2" s="1"/>
  <c r="CF22" i="2" s="1"/>
  <c r="CF23" i="2" s="1"/>
  <c r="CF24" i="2" s="1"/>
  <c r="CF25" i="2" s="1"/>
  <c r="CF26" i="2" s="1"/>
  <c r="CF27" i="2" s="1"/>
  <c r="CF28" i="2" s="1"/>
  <c r="CF29" i="2" s="1"/>
  <c r="CF30" i="2" s="1"/>
  <c r="CF31" i="2" s="1"/>
  <c r="CF32" i="2" s="1"/>
  <c r="CF33" i="2" s="1"/>
  <c r="CF34" i="2" s="1"/>
  <c r="CF35" i="2" s="1"/>
  <c r="CF36" i="2" s="1"/>
  <c r="CF37" i="2" s="1"/>
  <c r="CF38" i="2" s="1"/>
  <c r="CF39" i="2" s="1"/>
  <c r="CF40" i="2" s="1"/>
  <c r="CF41" i="2" s="1"/>
  <c r="CF42" i="2" s="1"/>
  <c r="CF43" i="2" s="1"/>
  <c r="CF44" i="2" s="1"/>
  <c r="CF45" i="2" s="1"/>
  <c r="CF46" i="2" s="1"/>
  <c r="CF47" i="2" s="1"/>
  <c r="CF48" i="2" s="1"/>
  <c r="CF49" i="2" s="1"/>
  <c r="CF50" i="2" s="1"/>
  <c r="CF51" i="2" s="1"/>
  <c r="CF52" i="2" s="1"/>
  <c r="CF53" i="2" s="1"/>
  <c r="CF54" i="2" s="1"/>
  <c r="CF55" i="2" s="1"/>
  <c r="CF56" i="2" s="1"/>
  <c r="CF57" i="2" s="1"/>
  <c r="CF58" i="2" s="1"/>
  <c r="CF59" i="2" s="1"/>
  <c r="CF60" i="2" s="1"/>
  <c r="CF61" i="2" s="1"/>
  <c r="CF62" i="2" s="1"/>
  <c r="CF63" i="2" s="1"/>
  <c r="CF64" i="2" s="1"/>
  <c r="CF65" i="2" s="1"/>
  <c r="CF66" i="2" s="1"/>
  <c r="CF67" i="2" s="1"/>
  <c r="CF68" i="2" s="1"/>
  <c r="CF69" i="2" s="1"/>
  <c r="CF70" i="2" s="1"/>
  <c r="CF71" i="2" s="1"/>
  <c r="CF72" i="2" s="1"/>
  <c r="CF73" i="2" s="1"/>
  <c r="CF74" i="2" s="1"/>
  <c r="CF75" i="2" s="1"/>
  <c r="CF76" i="2" s="1"/>
  <c r="CF77" i="2" s="1"/>
  <c r="CF78" i="2" s="1"/>
  <c r="CF79" i="2" s="1"/>
  <c r="CF80" i="2" s="1"/>
  <c r="CF81" i="2" s="1"/>
  <c r="CF82" i="2" s="1"/>
  <c r="CF83" i="2" s="1"/>
  <c r="CF84" i="2" s="1"/>
  <c r="CF85" i="2" s="1"/>
  <c r="CF86" i="2" s="1"/>
  <c r="CF87" i="2" s="1"/>
  <c r="CF88" i="2" s="1"/>
  <c r="CF89" i="2" s="1"/>
  <c r="CF90" i="2" s="1"/>
  <c r="CF91" i="2" s="1"/>
  <c r="CF92" i="2" s="1"/>
  <c r="CF93" i="2" s="1"/>
  <c r="CF94" i="2" s="1"/>
  <c r="CF95" i="2" s="1"/>
  <c r="CF96" i="2" s="1"/>
  <c r="CF97" i="2" s="1"/>
  <c r="CF98" i="2" s="1"/>
  <c r="CF99" i="2" s="1"/>
  <c r="CF100" i="2" s="1"/>
  <c r="CF101" i="2" s="1"/>
  <c r="CF102" i="2" s="1"/>
  <c r="CF103" i="2" s="1"/>
  <c r="CF104" i="2" s="1"/>
  <c r="CF105" i="2" s="1"/>
  <c r="CF106" i="2" s="1"/>
  <c r="CF107" i="2" s="1"/>
  <c r="CF108" i="2" s="1"/>
  <c r="CF109" i="2" s="1"/>
  <c r="CF110" i="2" s="1"/>
  <c r="CF111" i="2" s="1"/>
  <c r="CF112" i="2" s="1"/>
  <c r="CF113" i="2" s="1"/>
  <c r="CF114" i="2" s="1"/>
  <c r="CF115" i="2" s="1"/>
  <c r="CF116" i="2" s="1"/>
  <c r="CF117" i="2" s="1"/>
  <c r="CF118" i="2" s="1"/>
  <c r="CF119" i="2" s="1"/>
  <c r="CF120" i="2" s="1"/>
  <c r="CF121" i="2" s="1"/>
  <c r="CF122" i="2" s="1"/>
  <c r="CF123" i="2" s="1"/>
  <c r="CF124" i="2" s="1"/>
  <c r="CF125" i="2" s="1"/>
  <c r="CF126" i="2" s="1"/>
  <c r="CF127" i="2" s="1"/>
  <c r="CF128" i="2" s="1"/>
  <c r="CF129" i="2" s="1"/>
  <c r="CF130" i="2" s="1"/>
  <c r="CF131" i="2" s="1"/>
  <c r="CF132" i="2" s="1"/>
  <c r="CF133" i="2" s="1"/>
  <c r="CF134" i="2" s="1"/>
  <c r="CF135" i="2" s="1"/>
  <c r="CF136" i="2" s="1"/>
  <c r="CF137" i="2" s="1"/>
  <c r="CF138" i="2" s="1"/>
  <c r="CF139" i="2" s="1"/>
  <c r="CF140" i="2" s="1"/>
  <c r="CF141" i="2" s="1"/>
  <c r="CF142" i="2" s="1"/>
  <c r="CF143" i="2" s="1"/>
  <c r="CF144" i="2" s="1"/>
  <c r="CF145" i="2" s="1"/>
  <c r="CF146" i="2" s="1"/>
  <c r="CF147" i="2" s="1"/>
  <c r="CF148" i="2" s="1"/>
  <c r="CF149" i="2" s="1"/>
  <c r="CF150" i="2" s="1"/>
  <c r="CF151" i="2" s="1"/>
  <c r="CF152" i="2" s="1"/>
  <c r="CF153" i="2" s="1"/>
  <c r="CF154" i="2" s="1"/>
  <c r="CF155" i="2" s="1"/>
  <c r="CF156" i="2" s="1"/>
  <c r="CF157" i="2" s="1"/>
  <c r="CF158" i="2" s="1"/>
  <c r="CF159" i="2" s="1"/>
  <c r="CF160" i="2" s="1"/>
  <c r="CF161" i="2" s="1"/>
  <c r="CF162" i="2" s="1"/>
  <c r="CF163" i="2" s="1"/>
  <c r="CF164" i="2" s="1"/>
  <c r="CF165" i="2" s="1"/>
  <c r="CF166" i="2" s="1"/>
  <c r="CF167" i="2" s="1"/>
  <c r="CF168" i="2" s="1"/>
  <c r="CF169" i="2" s="1"/>
  <c r="CF170" i="2" s="1"/>
  <c r="CF171" i="2" s="1"/>
  <c r="CF172" i="2" s="1"/>
  <c r="CF173" i="2" s="1"/>
  <c r="CF174" i="2" s="1"/>
  <c r="CF175" i="2" s="1"/>
  <c r="CF176" i="2" s="1"/>
  <c r="CF177" i="2" s="1"/>
  <c r="CF178" i="2" s="1"/>
  <c r="CF179" i="2" s="1"/>
  <c r="CF180" i="2" s="1"/>
  <c r="CF181" i="2" s="1"/>
  <c r="CF182" i="2" s="1"/>
  <c r="CF183" i="2" s="1"/>
  <c r="CF184" i="2" s="1"/>
  <c r="CF185" i="2" s="1"/>
  <c r="CF186" i="2" s="1"/>
  <c r="CF187" i="2" s="1"/>
  <c r="CF188" i="2" s="1"/>
  <c r="CF189" i="2" s="1"/>
  <c r="CF190" i="2" s="1"/>
  <c r="CF191" i="2" s="1"/>
  <c r="CF192" i="2" s="1"/>
  <c r="CF193" i="2" s="1"/>
  <c r="CF194" i="2" s="1"/>
  <c r="CF195" i="2" s="1"/>
  <c r="CF196" i="2" s="1"/>
  <c r="CF197" i="2" s="1"/>
  <c r="CF198" i="2" s="1"/>
  <c r="CF199" i="2" s="1"/>
  <c r="CF200" i="2" s="1"/>
  <c r="CF201" i="2" s="1"/>
  <c r="CF202" i="2" s="1"/>
  <c r="CF203" i="2" s="1"/>
  <c r="CF204" i="2" s="1"/>
  <c r="CF205" i="2" s="1"/>
  <c r="CF206" i="2" s="1"/>
  <c r="CF207" i="2" s="1"/>
  <c r="CF208" i="2" s="1"/>
  <c r="CF209" i="2" s="1"/>
  <c r="CF210" i="2" s="1"/>
  <c r="CF211" i="2" s="1"/>
  <c r="CF212" i="2" s="1"/>
  <c r="CF213" i="2" s="1"/>
  <c r="CF214" i="2" s="1"/>
  <c r="CF215" i="2" s="1"/>
  <c r="CF216" i="2" s="1"/>
  <c r="CF217" i="2" s="1"/>
  <c r="CF218" i="2" s="1"/>
  <c r="CF219" i="2" s="1"/>
  <c r="CF220" i="2" s="1"/>
  <c r="CF221" i="2" s="1"/>
  <c r="CF222" i="2" s="1"/>
  <c r="CF223" i="2" s="1"/>
  <c r="CF224" i="2" s="1"/>
  <c r="CF225" i="2" s="1"/>
  <c r="CF226" i="2" s="1"/>
  <c r="CF227" i="2" s="1"/>
  <c r="CF228" i="2" s="1"/>
  <c r="CF229" i="2" s="1"/>
  <c r="CF230" i="2" s="1"/>
  <c r="CF231" i="2" s="1"/>
  <c r="CF232" i="2" s="1"/>
  <c r="CF233" i="2" s="1"/>
  <c r="CF234" i="2" s="1"/>
  <c r="CF235" i="2" s="1"/>
  <c r="CF236" i="2" s="1"/>
  <c r="CF237" i="2" s="1"/>
  <c r="CF238" i="2" s="1"/>
  <c r="CF239" i="2" s="1"/>
  <c r="CF240" i="2" s="1"/>
  <c r="CF241" i="2" s="1"/>
  <c r="CF242" i="2" s="1"/>
  <c r="CF243" i="2" s="1"/>
  <c r="CF244" i="2" s="1"/>
  <c r="CF245" i="2" s="1"/>
  <c r="CF246" i="2" s="1"/>
  <c r="CF247" i="2" s="1"/>
  <c r="CF248" i="2" s="1"/>
  <c r="CF249" i="2" s="1"/>
  <c r="CF250" i="2" s="1"/>
  <c r="CF251" i="2" s="1"/>
  <c r="CF252" i="2" s="1"/>
  <c r="CF253" i="2" s="1"/>
  <c r="CF254" i="2" s="1"/>
  <c r="CF255" i="2" s="1"/>
  <c r="CF256" i="2" s="1"/>
  <c r="CF257" i="2" s="1"/>
  <c r="CF258" i="2" s="1"/>
  <c r="CF259" i="2" s="1"/>
  <c r="CF260" i="2" s="1"/>
  <c r="CF261" i="2" s="1"/>
  <c r="CF262" i="2" s="1"/>
  <c r="CF263" i="2" s="1"/>
  <c r="CF264" i="2" s="1"/>
  <c r="CF265" i="2" s="1"/>
  <c r="CF266" i="2" s="1"/>
  <c r="CF267" i="2" s="1"/>
  <c r="CF268" i="2" s="1"/>
  <c r="CF269" i="2" s="1"/>
  <c r="CF270" i="2" s="1"/>
  <c r="CF271" i="2" s="1"/>
  <c r="CF272" i="2" s="1"/>
  <c r="CF273" i="2" s="1"/>
  <c r="CF274" i="2" s="1"/>
  <c r="CF275" i="2" s="1"/>
  <c r="CF276" i="2" s="1"/>
  <c r="CF277" i="2" s="1"/>
  <c r="CF278" i="2" s="1"/>
  <c r="CF279" i="2" s="1"/>
  <c r="CF280" i="2" s="1"/>
  <c r="CF281" i="2" s="1"/>
  <c r="CF282" i="2" s="1"/>
  <c r="CF283" i="2" s="1"/>
  <c r="CF284" i="2" s="1"/>
  <c r="CF285" i="2" s="1"/>
  <c r="CF286" i="2" s="1"/>
  <c r="CF287" i="2" s="1"/>
  <c r="CF288" i="2" s="1"/>
  <c r="CF289" i="2" s="1"/>
  <c r="CF290" i="2" s="1"/>
  <c r="CF291" i="2" s="1"/>
  <c r="CF292" i="2" s="1"/>
  <c r="CF293" i="2" s="1"/>
  <c r="CF294" i="2" s="1"/>
  <c r="CF295" i="2" s="1"/>
  <c r="CF296" i="2" s="1"/>
  <c r="CF297" i="2" s="1"/>
  <c r="CF298" i="2" s="1"/>
  <c r="CF299" i="2" s="1"/>
  <c r="CF300" i="2" s="1"/>
  <c r="CF301" i="2" s="1"/>
  <c r="CF302" i="2" s="1"/>
  <c r="CF303" i="2" s="1"/>
  <c r="CF304" i="2" s="1"/>
  <c r="CF305" i="2" s="1"/>
  <c r="CF306" i="2" s="1"/>
  <c r="CF307" i="2" s="1"/>
  <c r="CF308" i="2" s="1"/>
  <c r="CF309" i="2" s="1"/>
  <c r="CF310" i="2" s="1"/>
  <c r="CF311" i="2" s="1"/>
  <c r="CF312" i="2" s="1"/>
  <c r="CF313" i="2" s="1"/>
  <c r="CF314" i="2" s="1"/>
  <c r="CF315" i="2" s="1"/>
  <c r="CF316" i="2" s="1"/>
  <c r="CF317" i="2" s="1"/>
  <c r="CF318" i="2" s="1"/>
  <c r="CF319" i="2" s="1"/>
  <c r="CF320" i="2" s="1"/>
  <c r="CF321" i="2" s="1"/>
  <c r="CF322" i="2" s="1"/>
  <c r="CF323" i="2" s="1"/>
  <c r="CF324" i="2" s="1"/>
  <c r="CF325" i="2" s="1"/>
  <c r="CF326" i="2" s="1"/>
  <c r="CF327" i="2" s="1"/>
  <c r="CF328" i="2" s="1"/>
  <c r="CF329" i="2" s="1"/>
  <c r="CF330" i="2" s="1"/>
  <c r="CF331" i="2" s="1"/>
  <c r="CF332" i="2" s="1"/>
  <c r="CF333" i="2" s="1"/>
  <c r="CF334" i="2" s="1"/>
  <c r="CF335" i="2" s="1"/>
  <c r="CF336" i="2" s="1"/>
  <c r="CF337" i="2" s="1"/>
  <c r="CF338" i="2" s="1"/>
  <c r="CF339" i="2" s="1"/>
  <c r="CF340" i="2" s="1"/>
  <c r="CF341" i="2" s="1"/>
  <c r="DE8" i="2"/>
  <c r="DE9" i="2" s="1"/>
  <c r="DE10" i="2" s="1"/>
  <c r="DE11" i="2" s="1"/>
  <c r="DE12" i="2" s="1"/>
  <c r="DE13" i="2" s="1"/>
  <c r="DE14" i="2" s="1"/>
  <c r="DE15" i="2" s="1"/>
  <c r="DE16" i="2" s="1"/>
  <c r="DE17" i="2" s="1"/>
  <c r="DE18" i="2" s="1"/>
  <c r="DE19" i="2" s="1"/>
  <c r="DE20" i="2" s="1"/>
  <c r="DE21" i="2" s="1"/>
  <c r="DE22" i="2" s="1"/>
  <c r="DE23" i="2" s="1"/>
  <c r="DE24" i="2" s="1"/>
  <c r="DE25" i="2" s="1"/>
  <c r="DE26" i="2" s="1"/>
  <c r="DE27" i="2" s="1"/>
  <c r="DE28" i="2" s="1"/>
  <c r="DE29" i="2" s="1"/>
  <c r="DE30" i="2" s="1"/>
  <c r="DE31" i="2" s="1"/>
  <c r="DE32" i="2" s="1"/>
  <c r="DE33" i="2" s="1"/>
  <c r="DE34" i="2" s="1"/>
  <c r="DE35" i="2" s="1"/>
  <c r="DE36" i="2" s="1"/>
  <c r="DE37" i="2" s="1"/>
  <c r="DE38" i="2" s="1"/>
  <c r="DE39" i="2" s="1"/>
  <c r="DE40" i="2" s="1"/>
  <c r="DE41" i="2" s="1"/>
  <c r="DE42" i="2" s="1"/>
  <c r="DE43" i="2" s="1"/>
  <c r="DE44" i="2" s="1"/>
  <c r="DE45" i="2" s="1"/>
  <c r="DE46" i="2" s="1"/>
  <c r="DE47" i="2" s="1"/>
  <c r="DE48" i="2" s="1"/>
  <c r="DE49" i="2" s="1"/>
  <c r="DE50" i="2" s="1"/>
  <c r="DE51" i="2" s="1"/>
  <c r="DE52" i="2" s="1"/>
  <c r="DE53" i="2" s="1"/>
  <c r="DE54" i="2" s="1"/>
  <c r="DE55" i="2" s="1"/>
  <c r="DE56" i="2" s="1"/>
  <c r="DE57" i="2" s="1"/>
  <c r="DE58" i="2" s="1"/>
  <c r="DE59" i="2" s="1"/>
  <c r="DE60" i="2" s="1"/>
  <c r="DE61" i="2" s="1"/>
  <c r="DE62" i="2" s="1"/>
  <c r="DE63" i="2" s="1"/>
  <c r="DE64" i="2" s="1"/>
  <c r="DE65" i="2" s="1"/>
  <c r="DE66" i="2" s="1"/>
  <c r="DE67" i="2" s="1"/>
  <c r="DE68" i="2" s="1"/>
  <c r="DE69" i="2" s="1"/>
  <c r="DE70" i="2" s="1"/>
  <c r="DE71" i="2" s="1"/>
  <c r="DE72" i="2" s="1"/>
  <c r="DE73" i="2" s="1"/>
  <c r="DE74" i="2" s="1"/>
  <c r="DE75" i="2" s="1"/>
  <c r="DE76" i="2" s="1"/>
  <c r="DE77" i="2" s="1"/>
  <c r="DE78" i="2" s="1"/>
  <c r="DE79" i="2" s="1"/>
  <c r="DE80" i="2" s="1"/>
  <c r="DE81" i="2" s="1"/>
  <c r="DE82" i="2" s="1"/>
  <c r="DE83" i="2" s="1"/>
  <c r="DE84" i="2" s="1"/>
  <c r="DE85" i="2" s="1"/>
  <c r="DE86" i="2" s="1"/>
  <c r="DE87" i="2" s="1"/>
  <c r="DE88" i="2" s="1"/>
  <c r="DE89" i="2" s="1"/>
  <c r="DE90" i="2" s="1"/>
  <c r="DE91" i="2" s="1"/>
  <c r="DE92" i="2" s="1"/>
  <c r="DE93" i="2" s="1"/>
  <c r="DE94" i="2" s="1"/>
  <c r="DE95" i="2" s="1"/>
  <c r="DE96" i="2" s="1"/>
  <c r="DE97" i="2" s="1"/>
  <c r="DE98" i="2" s="1"/>
  <c r="DE99" i="2" s="1"/>
  <c r="DE100" i="2" s="1"/>
  <c r="DE101" i="2" s="1"/>
  <c r="DE102" i="2" s="1"/>
  <c r="DE103" i="2" s="1"/>
  <c r="DE104" i="2" s="1"/>
  <c r="DE105" i="2" s="1"/>
  <c r="DE106" i="2" s="1"/>
  <c r="DE107" i="2" s="1"/>
  <c r="DE108" i="2" s="1"/>
  <c r="DE109" i="2" s="1"/>
  <c r="DE110" i="2" s="1"/>
  <c r="DE111" i="2" s="1"/>
  <c r="DE112" i="2" s="1"/>
  <c r="DE113" i="2" s="1"/>
  <c r="DE114" i="2" s="1"/>
  <c r="DE115" i="2" s="1"/>
  <c r="DE116" i="2" s="1"/>
  <c r="DE117" i="2" s="1"/>
  <c r="DE118" i="2" s="1"/>
  <c r="DE119" i="2" s="1"/>
  <c r="DE120" i="2" s="1"/>
  <c r="DE121" i="2" s="1"/>
  <c r="DE122" i="2" s="1"/>
  <c r="DE123" i="2" s="1"/>
  <c r="DE124" i="2" s="1"/>
  <c r="DE125" i="2" s="1"/>
  <c r="DE126" i="2" s="1"/>
  <c r="DE127" i="2" s="1"/>
  <c r="DE128" i="2" s="1"/>
  <c r="DE129" i="2" s="1"/>
  <c r="DE130" i="2" s="1"/>
  <c r="DE131" i="2" s="1"/>
  <c r="DE132" i="2" s="1"/>
  <c r="DE133" i="2" s="1"/>
  <c r="DE134" i="2" s="1"/>
  <c r="DE135" i="2" s="1"/>
  <c r="DE136" i="2" s="1"/>
  <c r="DE137" i="2" s="1"/>
  <c r="DE138" i="2" s="1"/>
  <c r="DE139" i="2" s="1"/>
  <c r="DE140" i="2" s="1"/>
  <c r="DE141" i="2" s="1"/>
  <c r="DE142" i="2" s="1"/>
  <c r="DE143" i="2" s="1"/>
  <c r="DE144" i="2" s="1"/>
  <c r="DE145" i="2" s="1"/>
  <c r="DE146" i="2" s="1"/>
  <c r="DE147" i="2" s="1"/>
  <c r="DE148" i="2" s="1"/>
  <c r="DE149" i="2" s="1"/>
  <c r="DE150" i="2" s="1"/>
  <c r="DE151" i="2" s="1"/>
  <c r="DE152" i="2" s="1"/>
  <c r="DE153" i="2" s="1"/>
  <c r="DE154" i="2" s="1"/>
  <c r="DE155" i="2" s="1"/>
  <c r="DE156" i="2" s="1"/>
  <c r="DE157" i="2" s="1"/>
  <c r="DE158" i="2" s="1"/>
  <c r="DE159" i="2" s="1"/>
  <c r="DE160" i="2" s="1"/>
  <c r="DE161" i="2" s="1"/>
  <c r="DE162" i="2" s="1"/>
  <c r="DE163" i="2" s="1"/>
  <c r="DE164" i="2" s="1"/>
  <c r="DE165" i="2" s="1"/>
  <c r="DE166" i="2" s="1"/>
  <c r="DE167" i="2" s="1"/>
  <c r="DE168" i="2" s="1"/>
  <c r="DE169" i="2" s="1"/>
  <c r="DE170" i="2" s="1"/>
  <c r="DE171" i="2" s="1"/>
  <c r="DE172" i="2" s="1"/>
  <c r="DE173" i="2" s="1"/>
  <c r="DE174" i="2" s="1"/>
  <c r="DE175" i="2" s="1"/>
  <c r="DE176" i="2" s="1"/>
  <c r="DE177" i="2" s="1"/>
  <c r="DE178" i="2" s="1"/>
  <c r="DE179" i="2" s="1"/>
  <c r="DE180" i="2" s="1"/>
  <c r="DE181" i="2" s="1"/>
  <c r="DE182" i="2" s="1"/>
  <c r="DE183" i="2" s="1"/>
  <c r="DE184" i="2" s="1"/>
  <c r="DE185" i="2" s="1"/>
  <c r="DE186" i="2" s="1"/>
  <c r="DE187" i="2" s="1"/>
  <c r="DE188" i="2" s="1"/>
  <c r="DE189" i="2" s="1"/>
  <c r="DE190" i="2" s="1"/>
  <c r="DE191" i="2" s="1"/>
  <c r="DE192" i="2" s="1"/>
  <c r="DE193" i="2" s="1"/>
  <c r="DE194" i="2" s="1"/>
  <c r="DE195" i="2" s="1"/>
  <c r="DE196" i="2" s="1"/>
  <c r="DE197" i="2" s="1"/>
  <c r="DE198" i="2" s="1"/>
  <c r="DE199" i="2" s="1"/>
  <c r="DE200" i="2" s="1"/>
  <c r="DE201" i="2" s="1"/>
  <c r="DE202" i="2" s="1"/>
  <c r="DE203" i="2" s="1"/>
  <c r="DE204" i="2" s="1"/>
  <c r="DE205" i="2" s="1"/>
  <c r="DE206" i="2" s="1"/>
  <c r="DE207" i="2" s="1"/>
  <c r="DE208" i="2" s="1"/>
  <c r="DE209" i="2" s="1"/>
  <c r="DE210" i="2" s="1"/>
  <c r="DE211" i="2" s="1"/>
  <c r="DE212" i="2" s="1"/>
  <c r="DE213" i="2" s="1"/>
  <c r="DE214" i="2" s="1"/>
  <c r="DE215" i="2" s="1"/>
  <c r="DE216" i="2" s="1"/>
  <c r="DE217" i="2" s="1"/>
  <c r="DE218" i="2" s="1"/>
  <c r="DE219" i="2" s="1"/>
  <c r="DE220" i="2" s="1"/>
  <c r="DE221" i="2" s="1"/>
  <c r="DE222" i="2" s="1"/>
  <c r="DE223" i="2" s="1"/>
  <c r="DE224" i="2" s="1"/>
  <c r="DE225" i="2" s="1"/>
  <c r="DE226" i="2" s="1"/>
  <c r="DE227" i="2" s="1"/>
  <c r="DE228" i="2" s="1"/>
  <c r="DE229" i="2" s="1"/>
  <c r="DE230" i="2" s="1"/>
  <c r="DE231" i="2" s="1"/>
  <c r="DE232" i="2" s="1"/>
  <c r="DE233" i="2" s="1"/>
  <c r="DE234" i="2" s="1"/>
  <c r="DE235" i="2" s="1"/>
  <c r="DE236" i="2" s="1"/>
  <c r="DE237" i="2" s="1"/>
  <c r="DE238" i="2" s="1"/>
  <c r="DE239" i="2" s="1"/>
  <c r="DE240" i="2" s="1"/>
  <c r="DE241" i="2" s="1"/>
  <c r="DE242" i="2" s="1"/>
  <c r="DE243" i="2" s="1"/>
  <c r="DE244" i="2" s="1"/>
  <c r="DE245" i="2" s="1"/>
  <c r="DE246" i="2" s="1"/>
  <c r="DE247" i="2" s="1"/>
  <c r="DE248" i="2" s="1"/>
  <c r="DE249" i="2" s="1"/>
  <c r="DE250" i="2" s="1"/>
  <c r="DE251" i="2" s="1"/>
  <c r="DE252" i="2" s="1"/>
  <c r="DE253" i="2" s="1"/>
  <c r="DE254" i="2" s="1"/>
  <c r="DE255" i="2" s="1"/>
  <c r="DE256" i="2" s="1"/>
  <c r="DE257" i="2" s="1"/>
  <c r="DE258" i="2" s="1"/>
  <c r="DE259" i="2" s="1"/>
  <c r="DE260" i="2" s="1"/>
  <c r="DE261" i="2" s="1"/>
  <c r="DE262" i="2" s="1"/>
  <c r="DE263" i="2" s="1"/>
  <c r="DE264" i="2" s="1"/>
  <c r="DE265" i="2" s="1"/>
  <c r="DE266" i="2" s="1"/>
  <c r="DE267" i="2" s="1"/>
  <c r="DE268" i="2" s="1"/>
  <c r="DE269" i="2" s="1"/>
  <c r="DE270" i="2" s="1"/>
  <c r="DE271" i="2" s="1"/>
  <c r="DE272" i="2" s="1"/>
  <c r="DE273" i="2" s="1"/>
  <c r="DE274" i="2" s="1"/>
  <c r="DE275" i="2" s="1"/>
  <c r="DE276" i="2" s="1"/>
  <c r="DE277" i="2" s="1"/>
  <c r="DE278" i="2" s="1"/>
  <c r="DE279" i="2" s="1"/>
  <c r="DE280" i="2" s="1"/>
  <c r="DE281" i="2" s="1"/>
  <c r="DE282" i="2" s="1"/>
  <c r="DE283" i="2" s="1"/>
  <c r="DE284" i="2" s="1"/>
  <c r="DE285" i="2" s="1"/>
  <c r="DE286" i="2" s="1"/>
  <c r="DE287" i="2" s="1"/>
  <c r="DE288" i="2" s="1"/>
  <c r="DE289" i="2" s="1"/>
  <c r="DE290" i="2" s="1"/>
  <c r="DE291" i="2" s="1"/>
  <c r="DE292" i="2" s="1"/>
  <c r="DE293" i="2" s="1"/>
  <c r="DE294" i="2" s="1"/>
  <c r="DE295" i="2" s="1"/>
  <c r="DE296" i="2" s="1"/>
  <c r="DE297" i="2" s="1"/>
  <c r="DE298" i="2" s="1"/>
  <c r="DE299" i="2" s="1"/>
  <c r="DE300" i="2" s="1"/>
  <c r="DE301" i="2" s="1"/>
  <c r="DE302" i="2" s="1"/>
  <c r="DE303" i="2" s="1"/>
  <c r="DE304" i="2" s="1"/>
  <c r="DE305" i="2" s="1"/>
  <c r="DE306" i="2" s="1"/>
  <c r="DE307" i="2" s="1"/>
  <c r="DE308" i="2" s="1"/>
  <c r="DE309" i="2" s="1"/>
  <c r="DE310" i="2" s="1"/>
  <c r="DE311" i="2" s="1"/>
  <c r="DE312" i="2" s="1"/>
  <c r="DE313" i="2" s="1"/>
  <c r="DE314" i="2" s="1"/>
  <c r="DE315" i="2" s="1"/>
  <c r="DE316" i="2" s="1"/>
  <c r="DE317" i="2" s="1"/>
  <c r="DE318" i="2" s="1"/>
  <c r="DE319" i="2" s="1"/>
  <c r="DE320" i="2" s="1"/>
  <c r="DE321" i="2" s="1"/>
  <c r="DE322" i="2" s="1"/>
  <c r="DE323" i="2" s="1"/>
  <c r="DE324" i="2" s="1"/>
  <c r="DE325" i="2" s="1"/>
  <c r="DE326" i="2" s="1"/>
  <c r="DE327" i="2" s="1"/>
  <c r="DE328" i="2" s="1"/>
  <c r="DE329" i="2" s="1"/>
  <c r="DE330" i="2" s="1"/>
  <c r="DE331" i="2" s="1"/>
  <c r="DE332" i="2" s="1"/>
  <c r="DE333" i="2" s="1"/>
  <c r="DE334" i="2" s="1"/>
  <c r="DE335" i="2" s="1"/>
  <c r="DE336" i="2" s="1"/>
  <c r="DE337" i="2" s="1"/>
  <c r="DE338" i="2" s="1"/>
  <c r="DE339" i="2" s="1"/>
  <c r="DE340" i="2" s="1"/>
  <c r="DE341" i="2" s="1"/>
  <c r="CS10" i="2"/>
  <c r="CS11" i="2" s="1"/>
  <c r="CS12" i="2" s="1"/>
  <c r="CS13" i="2" s="1"/>
  <c r="CS14" i="2" s="1"/>
  <c r="CS15" i="2" s="1"/>
  <c r="CS16" i="2" s="1"/>
  <c r="CS17" i="2" s="1"/>
  <c r="CS18" i="2" s="1"/>
  <c r="CS19" i="2" s="1"/>
  <c r="CS20" i="2" s="1"/>
  <c r="CS21" i="2" s="1"/>
  <c r="CS22" i="2" s="1"/>
  <c r="CS23" i="2" s="1"/>
  <c r="CS24" i="2" s="1"/>
  <c r="CS25" i="2" s="1"/>
  <c r="CS26" i="2" s="1"/>
  <c r="CS27" i="2" s="1"/>
  <c r="CS28" i="2" s="1"/>
  <c r="CS29" i="2" s="1"/>
  <c r="CS30" i="2" s="1"/>
  <c r="CS31" i="2" s="1"/>
  <c r="CS32" i="2" s="1"/>
  <c r="CS33" i="2" s="1"/>
  <c r="CS34" i="2" s="1"/>
  <c r="CS35" i="2" s="1"/>
  <c r="CS36" i="2" s="1"/>
  <c r="CS37" i="2" s="1"/>
  <c r="CS38" i="2" s="1"/>
  <c r="CS39" i="2" s="1"/>
  <c r="CS40" i="2" s="1"/>
  <c r="CS41" i="2" s="1"/>
  <c r="CS42" i="2" s="1"/>
  <c r="CS43" i="2" s="1"/>
  <c r="CS44" i="2" s="1"/>
  <c r="CS45" i="2" s="1"/>
  <c r="CS46" i="2" s="1"/>
  <c r="CS47" i="2" s="1"/>
  <c r="CS48" i="2" s="1"/>
  <c r="CS49" i="2" s="1"/>
  <c r="CS50" i="2" s="1"/>
  <c r="CS51" i="2" s="1"/>
  <c r="CS52" i="2" s="1"/>
  <c r="CS53" i="2" s="1"/>
  <c r="CS54" i="2" s="1"/>
  <c r="CS55" i="2" s="1"/>
  <c r="CS56" i="2" s="1"/>
  <c r="CS57" i="2" s="1"/>
  <c r="CS58" i="2" s="1"/>
  <c r="CS59" i="2" s="1"/>
  <c r="CS60" i="2" s="1"/>
  <c r="CS61" i="2" s="1"/>
  <c r="CS62" i="2" s="1"/>
  <c r="CS63" i="2" s="1"/>
  <c r="CS64" i="2" s="1"/>
  <c r="CS65" i="2" s="1"/>
  <c r="CS66" i="2" s="1"/>
  <c r="CS67" i="2" s="1"/>
  <c r="CS68" i="2" s="1"/>
  <c r="CS69" i="2" s="1"/>
  <c r="CS70" i="2" s="1"/>
  <c r="CS71" i="2" s="1"/>
  <c r="CS72" i="2" s="1"/>
  <c r="CS73" i="2" s="1"/>
  <c r="CS74" i="2" s="1"/>
  <c r="CS75" i="2" s="1"/>
  <c r="CS76" i="2" s="1"/>
  <c r="CS77" i="2" s="1"/>
  <c r="CS78" i="2" s="1"/>
  <c r="CS79" i="2" s="1"/>
  <c r="CS80" i="2" s="1"/>
  <c r="CS81" i="2" s="1"/>
  <c r="CS82" i="2" s="1"/>
  <c r="CS83" i="2" s="1"/>
  <c r="CS84" i="2" s="1"/>
  <c r="CS85" i="2" s="1"/>
  <c r="CS86" i="2" s="1"/>
  <c r="CS87" i="2" s="1"/>
  <c r="CS88" i="2" s="1"/>
  <c r="CS89" i="2" s="1"/>
  <c r="CS90" i="2" s="1"/>
  <c r="CS91" i="2" s="1"/>
  <c r="CS92" i="2" s="1"/>
  <c r="CS93" i="2" s="1"/>
  <c r="CS94" i="2" s="1"/>
  <c r="CS95" i="2" s="1"/>
  <c r="CS96" i="2" s="1"/>
  <c r="CS97" i="2" s="1"/>
  <c r="CS98" i="2" s="1"/>
  <c r="CS99" i="2" s="1"/>
  <c r="CS100" i="2" s="1"/>
  <c r="CS101" i="2" s="1"/>
  <c r="CS102" i="2" s="1"/>
  <c r="CS103" i="2" s="1"/>
  <c r="CS104" i="2" s="1"/>
  <c r="CS105" i="2" s="1"/>
  <c r="CS106" i="2" s="1"/>
  <c r="CS107" i="2" s="1"/>
  <c r="CS108" i="2" s="1"/>
  <c r="CS109" i="2" s="1"/>
  <c r="CS110" i="2" s="1"/>
  <c r="CS111" i="2" s="1"/>
  <c r="CS112" i="2" s="1"/>
  <c r="CS113" i="2" s="1"/>
  <c r="CS114" i="2" s="1"/>
  <c r="CS115" i="2" s="1"/>
  <c r="CS116" i="2" s="1"/>
  <c r="CS117" i="2" s="1"/>
  <c r="CS118" i="2" s="1"/>
  <c r="CS119" i="2" s="1"/>
  <c r="CS120" i="2" s="1"/>
  <c r="CS121" i="2" s="1"/>
  <c r="CS122" i="2" s="1"/>
  <c r="CS123" i="2" s="1"/>
  <c r="CS124" i="2" s="1"/>
  <c r="CS125" i="2" s="1"/>
  <c r="CS126" i="2" s="1"/>
  <c r="CS127" i="2" s="1"/>
  <c r="CS128" i="2" s="1"/>
  <c r="CS129" i="2" s="1"/>
  <c r="CS130" i="2" s="1"/>
  <c r="CS131" i="2" s="1"/>
  <c r="CS132" i="2" s="1"/>
  <c r="CS133" i="2" s="1"/>
  <c r="CS134" i="2" s="1"/>
  <c r="CS135" i="2" s="1"/>
  <c r="CS136" i="2" s="1"/>
  <c r="CS137" i="2" s="1"/>
  <c r="CS138" i="2" s="1"/>
  <c r="CS139" i="2" s="1"/>
  <c r="CS140" i="2" s="1"/>
  <c r="CS141" i="2" s="1"/>
  <c r="CS142" i="2" s="1"/>
  <c r="CS143" i="2" s="1"/>
  <c r="CS144" i="2" s="1"/>
  <c r="CS145" i="2" s="1"/>
  <c r="CS146" i="2" s="1"/>
  <c r="CS147" i="2" s="1"/>
  <c r="CS148" i="2" s="1"/>
  <c r="CS149" i="2" s="1"/>
  <c r="CS150" i="2" s="1"/>
  <c r="CS151" i="2" s="1"/>
  <c r="CS152" i="2" s="1"/>
  <c r="CS153" i="2" s="1"/>
  <c r="CS154" i="2" s="1"/>
  <c r="CS155" i="2" s="1"/>
  <c r="CS156" i="2" s="1"/>
  <c r="CS157" i="2" s="1"/>
  <c r="CS158" i="2" s="1"/>
  <c r="CS159" i="2" s="1"/>
  <c r="CS160" i="2" s="1"/>
  <c r="CS161" i="2" s="1"/>
  <c r="CS162" i="2" s="1"/>
  <c r="CS163" i="2" s="1"/>
  <c r="CS164" i="2" s="1"/>
  <c r="CS165" i="2" s="1"/>
  <c r="CS166" i="2" s="1"/>
  <c r="CS167" i="2" s="1"/>
  <c r="CS168" i="2" s="1"/>
  <c r="CS169" i="2" s="1"/>
  <c r="CS170" i="2" s="1"/>
  <c r="CS171" i="2" s="1"/>
  <c r="CS172" i="2" s="1"/>
  <c r="CS173" i="2" s="1"/>
  <c r="CS174" i="2" s="1"/>
  <c r="CS175" i="2" s="1"/>
  <c r="CS176" i="2" s="1"/>
  <c r="CS177" i="2" s="1"/>
  <c r="CS178" i="2" s="1"/>
  <c r="CS179" i="2" s="1"/>
  <c r="CS180" i="2" s="1"/>
  <c r="CS181" i="2" s="1"/>
  <c r="CS182" i="2" s="1"/>
  <c r="CS183" i="2" s="1"/>
  <c r="CS184" i="2" s="1"/>
  <c r="CS185" i="2" s="1"/>
  <c r="CS186" i="2" s="1"/>
  <c r="CS187" i="2" s="1"/>
  <c r="CS188" i="2" s="1"/>
  <c r="CS189" i="2" s="1"/>
  <c r="CS190" i="2" s="1"/>
  <c r="CS191" i="2" s="1"/>
  <c r="CS192" i="2" s="1"/>
  <c r="CS193" i="2" s="1"/>
  <c r="CS194" i="2" s="1"/>
  <c r="CS195" i="2" s="1"/>
  <c r="CS196" i="2" s="1"/>
  <c r="CS197" i="2" s="1"/>
  <c r="CS198" i="2" s="1"/>
  <c r="CS199" i="2" s="1"/>
  <c r="CS200" i="2" s="1"/>
  <c r="CS201" i="2" s="1"/>
  <c r="CS202" i="2" s="1"/>
  <c r="CS203" i="2" s="1"/>
  <c r="CS204" i="2" s="1"/>
  <c r="CS205" i="2" s="1"/>
  <c r="CS206" i="2" s="1"/>
  <c r="CS207" i="2" s="1"/>
  <c r="CS208" i="2" s="1"/>
  <c r="CS209" i="2" s="1"/>
  <c r="CS210" i="2" s="1"/>
  <c r="CS211" i="2" s="1"/>
  <c r="CS212" i="2" s="1"/>
  <c r="CS213" i="2" s="1"/>
  <c r="CS214" i="2" s="1"/>
  <c r="CS215" i="2" s="1"/>
  <c r="CS216" i="2" s="1"/>
  <c r="CS217" i="2" s="1"/>
  <c r="CS218" i="2" s="1"/>
  <c r="CS219" i="2" s="1"/>
  <c r="CS220" i="2" s="1"/>
  <c r="CS221" i="2" s="1"/>
  <c r="CS222" i="2" s="1"/>
  <c r="CS223" i="2" s="1"/>
  <c r="CS224" i="2" s="1"/>
  <c r="CS225" i="2" s="1"/>
  <c r="CS226" i="2" s="1"/>
  <c r="CS227" i="2" s="1"/>
  <c r="CS228" i="2" s="1"/>
  <c r="CS229" i="2" s="1"/>
  <c r="CS230" i="2" s="1"/>
  <c r="CS231" i="2" s="1"/>
  <c r="CS232" i="2" s="1"/>
  <c r="CS233" i="2" s="1"/>
  <c r="CS234" i="2" s="1"/>
  <c r="CS235" i="2" s="1"/>
  <c r="CS236" i="2" s="1"/>
  <c r="CS237" i="2" s="1"/>
  <c r="CS238" i="2" s="1"/>
  <c r="CS239" i="2" s="1"/>
  <c r="CS240" i="2" s="1"/>
  <c r="CS241" i="2" s="1"/>
  <c r="CS242" i="2" s="1"/>
  <c r="CS243" i="2" s="1"/>
  <c r="CS244" i="2" s="1"/>
  <c r="CS245" i="2" s="1"/>
  <c r="CS246" i="2" s="1"/>
  <c r="CS247" i="2" s="1"/>
  <c r="CS248" i="2" s="1"/>
  <c r="CS249" i="2" s="1"/>
  <c r="CS250" i="2" s="1"/>
  <c r="CS251" i="2" s="1"/>
  <c r="CS252" i="2" s="1"/>
  <c r="CS253" i="2" s="1"/>
  <c r="CS254" i="2" s="1"/>
  <c r="CS255" i="2" s="1"/>
  <c r="CS256" i="2" s="1"/>
  <c r="CS257" i="2" s="1"/>
  <c r="CS258" i="2" s="1"/>
  <c r="CS259" i="2" s="1"/>
  <c r="CS260" i="2" s="1"/>
  <c r="CS261" i="2" s="1"/>
  <c r="CS262" i="2" s="1"/>
  <c r="CS263" i="2" s="1"/>
  <c r="CS264" i="2" s="1"/>
  <c r="CS265" i="2" s="1"/>
  <c r="CS266" i="2" s="1"/>
  <c r="CS267" i="2" s="1"/>
  <c r="CS268" i="2" s="1"/>
  <c r="CS269" i="2" s="1"/>
  <c r="CS270" i="2" s="1"/>
  <c r="CS271" i="2" s="1"/>
  <c r="CS272" i="2" s="1"/>
  <c r="CS273" i="2" s="1"/>
  <c r="CS274" i="2" s="1"/>
  <c r="CS275" i="2" s="1"/>
  <c r="CS276" i="2" s="1"/>
  <c r="CS277" i="2" s="1"/>
  <c r="CS278" i="2" s="1"/>
  <c r="CS279" i="2" s="1"/>
  <c r="CS280" i="2" s="1"/>
  <c r="CS281" i="2" s="1"/>
  <c r="CS282" i="2" s="1"/>
  <c r="CS283" i="2" s="1"/>
  <c r="CS284" i="2" s="1"/>
  <c r="CS285" i="2" s="1"/>
  <c r="CS286" i="2" s="1"/>
  <c r="CS287" i="2" s="1"/>
  <c r="CS288" i="2" s="1"/>
  <c r="CS289" i="2" s="1"/>
  <c r="CS290" i="2" s="1"/>
  <c r="CS291" i="2" s="1"/>
  <c r="CS292" i="2" s="1"/>
  <c r="CS293" i="2" s="1"/>
  <c r="CS294" i="2" s="1"/>
  <c r="CS295" i="2" s="1"/>
  <c r="CS296" i="2" s="1"/>
  <c r="CS297" i="2" s="1"/>
  <c r="CS298" i="2" s="1"/>
  <c r="CS299" i="2" s="1"/>
  <c r="CS300" i="2" s="1"/>
  <c r="CS301" i="2" s="1"/>
  <c r="CS302" i="2" s="1"/>
  <c r="CS303" i="2" s="1"/>
  <c r="CS304" i="2" s="1"/>
  <c r="CS305" i="2" s="1"/>
  <c r="CS306" i="2" s="1"/>
  <c r="CS307" i="2" s="1"/>
  <c r="CS308" i="2" s="1"/>
  <c r="CS309" i="2" s="1"/>
  <c r="CS310" i="2" s="1"/>
  <c r="CS311" i="2" s="1"/>
  <c r="CS312" i="2" s="1"/>
  <c r="CS313" i="2" s="1"/>
  <c r="CS314" i="2" s="1"/>
  <c r="CS315" i="2" s="1"/>
  <c r="CS316" i="2" s="1"/>
  <c r="CS317" i="2" s="1"/>
  <c r="CS318" i="2" s="1"/>
  <c r="CS319" i="2" s="1"/>
  <c r="CS320" i="2" s="1"/>
  <c r="CS321" i="2" s="1"/>
  <c r="CS322" i="2" s="1"/>
  <c r="CS323" i="2" s="1"/>
  <c r="CS324" i="2" s="1"/>
  <c r="CS325" i="2" s="1"/>
  <c r="CS326" i="2" s="1"/>
  <c r="CS327" i="2" s="1"/>
  <c r="CS328" i="2" s="1"/>
  <c r="CS329" i="2" s="1"/>
  <c r="CS330" i="2" s="1"/>
  <c r="CS331" i="2" s="1"/>
  <c r="CS332" i="2" s="1"/>
  <c r="CS333" i="2" s="1"/>
  <c r="CS334" i="2" s="1"/>
  <c r="CS335" i="2" s="1"/>
  <c r="CS336" i="2" s="1"/>
  <c r="CS337" i="2" s="1"/>
  <c r="CS338" i="2" s="1"/>
  <c r="CS339" i="2" s="1"/>
  <c r="CS340" i="2" s="1"/>
  <c r="CS341" i="2" s="1"/>
  <c r="CR6" i="2"/>
  <c r="CR7" i="2" s="1"/>
  <c r="CR8" i="2" s="1"/>
  <c r="CR9" i="2" s="1"/>
  <c r="CR10" i="2" s="1"/>
  <c r="CR11" i="2" s="1"/>
  <c r="CR12" i="2" s="1"/>
  <c r="CR13" i="2" s="1"/>
  <c r="CR14" i="2" s="1"/>
  <c r="CR15" i="2" s="1"/>
  <c r="CR16" i="2" s="1"/>
  <c r="CR17" i="2" s="1"/>
  <c r="CR18" i="2" s="1"/>
  <c r="CR19" i="2" s="1"/>
  <c r="CR20" i="2" s="1"/>
  <c r="CR21" i="2" s="1"/>
  <c r="CR22" i="2" s="1"/>
  <c r="CR23" i="2" s="1"/>
  <c r="CR24" i="2" s="1"/>
  <c r="CR25" i="2" s="1"/>
  <c r="CR26" i="2" s="1"/>
  <c r="CR27" i="2" s="1"/>
  <c r="CR28" i="2" s="1"/>
  <c r="CR29" i="2" s="1"/>
  <c r="CR30" i="2" s="1"/>
  <c r="CR31" i="2" s="1"/>
  <c r="CR32" i="2" s="1"/>
  <c r="CR33" i="2" s="1"/>
  <c r="CR34" i="2" s="1"/>
  <c r="CR35" i="2" s="1"/>
  <c r="CR36" i="2" s="1"/>
  <c r="CR37" i="2" s="1"/>
  <c r="CR38" i="2" s="1"/>
  <c r="CR39" i="2" s="1"/>
  <c r="CR40" i="2" s="1"/>
  <c r="CR41" i="2" s="1"/>
  <c r="CR42" i="2" s="1"/>
  <c r="CR43" i="2" s="1"/>
  <c r="CR44" i="2" s="1"/>
  <c r="CR45" i="2" s="1"/>
  <c r="CR46" i="2" s="1"/>
  <c r="CR47" i="2" s="1"/>
  <c r="CR48" i="2" s="1"/>
  <c r="CR49" i="2" s="1"/>
  <c r="CR50" i="2" s="1"/>
  <c r="CR51" i="2" s="1"/>
  <c r="CR52" i="2" s="1"/>
  <c r="CR53" i="2" s="1"/>
  <c r="CR54" i="2" s="1"/>
  <c r="CR55" i="2" s="1"/>
  <c r="CR56" i="2" s="1"/>
  <c r="CR57" i="2" s="1"/>
  <c r="CR58" i="2" s="1"/>
  <c r="CR59" i="2" s="1"/>
  <c r="CR60" i="2" s="1"/>
  <c r="CR61" i="2" s="1"/>
  <c r="CR62" i="2" s="1"/>
  <c r="CR63" i="2" s="1"/>
  <c r="CR64" i="2" s="1"/>
  <c r="CR65" i="2" s="1"/>
  <c r="CR66" i="2" s="1"/>
  <c r="CR67" i="2" s="1"/>
  <c r="CR68" i="2" s="1"/>
  <c r="CR69" i="2" s="1"/>
  <c r="CR70" i="2" s="1"/>
  <c r="CR71" i="2" s="1"/>
  <c r="CR72" i="2" s="1"/>
  <c r="CR73" i="2" s="1"/>
  <c r="CR74" i="2" s="1"/>
  <c r="CR75" i="2" s="1"/>
  <c r="CR76" i="2" s="1"/>
  <c r="CR77" i="2" s="1"/>
  <c r="CR78" i="2" s="1"/>
  <c r="CR79" i="2" s="1"/>
  <c r="CR80" i="2" s="1"/>
  <c r="CR81" i="2" s="1"/>
  <c r="CR82" i="2" s="1"/>
  <c r="CR83" i="2" s="1"/>
  <c r="CR84" i="2" s="1"/>
  <c r="CR85" i="2" s="1"/>
  <c r="CR86" i="2" s="1"/>
  <c r="CR87" i="2" s="1"/>
  <c r="CR88" i="2" s="1"/>
  <c r="CR89" i="2" s="1"/>
  <c r="CR90" i="2" s="1"/>
  <c r="CR91" i="2" s="1"/>
  <c r="CR92" i="2" s="1"/>
  <c r="CR93" i="2" s="1"/>
  <c r="CR94" i="2" s="1"/>
  <c r="CR95" i="2" s="1"/>
  <c r="CR96" i="2" s="1"/>
  <c r="CR97" i="2" s="1"/>
  <c r="CR98" i="2" s="1"/>
  <c r="CR99" i="2" s="1"/>
  <c r="CR100" i="2" s="1"/>
  <c r="CR101" i="2" s="1"/>
  <c r="CR102" i="2" s="1"/>
  <c r="CR103" i="2" s="1"/>
  <c r="CR104" i="2" s="1"/>
  <c r="CR105" i="2" s="1"/>
  <c r="CR106" i="2" s="1"/>
  <c r="CR107" i="2" s="1"/>
  <c r="CR108" i="2" s="1"/>
  <c r="CR109" i="2" s="1"/>
  <c r="CR110" i="2" s="1"/>
  <c r="CR111" i="2" s="1"/>
  <c r="CR112" i="2" s="1"/>
  <c r="CR113" i="2" s="1"/>
  <c r="CR114" i="2" s="1"/>
  <c r="CR115" i="2" s="1"/>
  <c r="CR116" i="2" s="1"/>
  <c r="CR117" i="2" s="1"/>
  <c r="CR118" i="2" s="1"/>
  <c r="CR119" i="2" s="1"/>
  <c r="CR120" i="2" s="1"/>
  <c r="CR121" i="2" s="1"/>
  <c r="CR122" i="2" s="1"/>
  <c r="CR123" i="2" s="1"/>
  <c r="CR124" i="2" s="1"/>
  <c r="CR125" i="2" s="1"/>
  <c r="CR126" i="2" s="1"/>
  <c r="CR127" i="2" s="1"/>
  <c r="CR128" i="2" s="1"/>
  <c r="CR129" i="2" s="1"/>
  <c r="CR130" i="2" s="1"/>
  <c r="CR131" i="2" s="1"/>
  <c r="CR132" i="2" s="1"/>
  <c r="CR133" i="2" s="1"/>
  <c r="CR134" i="2" s="1"/>
  <c r="CR135" i="2" s="1"/>
  <c r="CR136" i="2" s="1"/>
  <c r="CR137" i="2" s="1"/>
  <c r="CR138" i="2" s="1"/>
  <c r="CR139" i="2" s="1"/>
  <c r="CR140" i="2" s="1"/>
  <c r="CR141" i="2" s="1"/>
  <c r="CR142" i="2" s="1"/>
  <c r="CR143" i="2" s="1"/>
  <c r="CR144" i="2" s="1"/>
  <c r="CR145" i="2" s="1"/>
  <c r="CR146" i="2" s="1"/>
  <c r="CR147" i="2" s="1"/>
  <c r="CR148" i="2" s="1"/>
  <c r="CR149" i="2" s="1"/>
  <c r="CR150" i="2" s="1"/>
  <c r="CR151" i="2" s="1"/>
  <c r="CR152" i="2" s="1"/>
  <c r="CR153" i="2" s="1"/>
  <c r="CR154" i="2" s="1"/>
  <c r="CR155" i="2" s="1"/>
  <c r="CR156" i="2" s="1"/>
  <c r="CR157" i="2" s="1"/>
  <c r="CR158" i="2" s="1"/>
  <c r="CR159" i="2" s="1"/>
  <c r="CR160" i="2" s="1"/>
  <c r="CR161" i="2" s="1"/>
  <c r="CR162" i="2" s="1"/>
  <c r="CR163" i="2" s="1"/>
  <c r="CR164" i="2" s="1"/>
  <c r="CR165" i="2" s="1"/>
  <c r="CR166" i="2" s="1"/>
  <c r="CR167" i="2" s="1"/>
  <c r="CR168" i="2" s="1"/>
  <c r="CR169" i="2" s="1"/>
  <c r="CR170" i="2" s="1"/>
  <c r="CR171" i="2" s="1"/>
  <c r="CR172" i="2" s="1"/>
  <c r="CR173" i="2" s="1"/>
  <c r="CR174" i="2" s="1"/>
  <c r="CR175" i="2" s="1"/>
  <c r="CR176" i="2" s="1"/>
  <c r="CR177" i="2" s="1"/>
  <c r="CR178" i="2" s="1"/>
  <c r="CR179" i="2" s="1"/>
  <c r="CR180" i="2" s="1"/>
  <c r="CR181" i="2" s="1"/>
  <c r="CR182" i="2" s="1"/>
  <c r="CR183" i="2" s="1"/>
  <c r="CR184" i="2" s="1"/>
  <c r="CR185" i="2" s="1"/>
  <c r="CR186" i="2" s="1"/>
  <c r="CR187" i="2" s="1"/>
  <c r="CR188" i="2" s="1"/>
  <c r="CR189" i="2" s="1"/>
  <c r="CR190" i="2" s="1"/>
  <c r="CR191" i="2" s="1"/>
  <c r="CR192" i="2" s="1"/>
  <c r="CR193" i="2" s="1"/>
  <c r="CR194" i="2" s="1"/>
  <c r="CR195" i="2" s="1"/>
  <c r="CR196" i="2" s="1"/>
  <c r="CR197" i="2" s="1"/>
  <c r="CR198" i="2" s="1"/>
  <c r="CR199" i="2" s="1"/>
  <c r="CR200" i="2" s="1"/>
  <c r="CR201" i="2" s="1"/>
  <c r="CR202" i="2" s="1"/>
  <c r="CR203" i="2" s="1"/>
  <c r="CR204" i="2" s="1"/>
  <c r="CR205" i="2" s="1"/>
  <c r="CR206" i="2" s="1"/>
  <c r="CR207" i="2" s="1"/>
  <c r="CR208" i="2" s="1"/>
  <c r="CR209" i="2" s="1"/>
  <c r="CR210" i="2" s="1"/>
  <c r="CR211" i="2" s="1"/>
  <c r="CR212" i="2" s="1"/>
  <c r="CR213" i="2" s="1"/>
  <c r="CR214" i="2" s="1"/>
  <c r="CR215" i="2" s="1"/>
  <c r="CR216" i="2" s="1"/>
  <c r="CR217" i="2" s="1"/>
  <c r="CR218" i="2" s="1"/>
  <c r="CR219" i="2" s="1"/>
  <c r="CR220" i="2" s="1"/>
  <c r="CR221" i="2" s="1"/>
  <c r="CR222" i="2" s="1"/>
  <c r="CR223" i="2" s="1"/>
  <c r="CR224" i="2" s="1"/>
  <c r="CR225" i="2" s="1"/>
  <c r="CR226" i="2" s="1"/>
  <c r="CR227" i="2" s="1"/>
  <c r="CR228" i="2" s="1"/>
  <c r="CR229" i="2" s="1"/>
  <c r="CR230" i="2" s="1"/>
  <c r="CR231" i="2" s="1"/>
  <c r="CR232" i="2" s="1"/>
  <c r="CR233" i="2" s="1"/>
  <c r="CR234" i="2" s="1"/>
  <c r="CR235" i="2" s="1"/>
  <c r="CR236" i="2" s="1"/>
  <c r="CR237" i="2" s="1"/>
  <c r="CR238" i="2" s="1"/>
  <c r="CR239" i="2" s="1"/>
  <c r="CR240" i="2" s="1"/>
  <c r="CR241" i="2" s="1"/>
  <c r="CR242" i="2" s="1"/>
  <c r="CR243" i="2" s="1"/>
  <c r="CR244" i="2" s="1"/>
  <c r="CR245" i="2" s="1"/>
  <c r="CR246" i="2" s="1"/>
  <c r="CR247" i="2" s="1"/>
  <c r="CR248" i="2" s="1"/>
  <c r="CR249" i="2" s="1"/>
  <c r="CR250" i="2" s="1"/>
  <c r="CR251" i="2" s="1"/>
  <c r="CR252" i="2" s="1"/>
  <c r="CR253" i="2" s="1"/>
  <c r="CR254" i="2" s="1"/>
  <c r="CR255" i="2" s="1"/>
  <c r="CR256" i="2" s="1"/>
  <c r="CR257" i="2" s="1"/>
  <c r="CR258" i="2" s="1"/>
  <c r="CR259" i="2" s="1"/>
  <c r="CR260" i="2" s="1"/>
  <c r="CR261" i="2" s="1"/>
  <c r="CR262" i="2" s="1"/>
  <c r="CR263" i="2" s="1"/>
  <c r="CR264" i="2" s="1"/>
  <c r="CR265" i="2" s="1"/>
  <c r="CR266" i="2" s="1"/>
  <c r="CR267" i="2" s="1"/>
  <c r="CR268" i="2" s="1"/>
  <c r="CR269" i="2" s="1"/>
  <c r="CR270" i="2" s="1"/>
  <c r="CR271" i="2" s="1"/>
  <c r="CR272" i="2" s="1"/>
  <c r="CR273" i="2" s="1"/>
  <c r="CR274" i="2" s="1"/>
  <c r="CR275" i="2" s="1"/>
  <c r="CR276" i="2" s="1"/>
  <c r="CR277" i="2" s="1"/>
  <c r="CR278" i="2" s="1"/>
  <c r="CR279" i="2" s="1"/>
  <c r="CR280" i="2" s="1"/>
  <c r="CR281" i="2" s="1"/>
  <c r="CR282" i="2" s="1"/>
  <c r="CR283" i="2" s="1"/>
  <c r="CR284" i="2" s="1"/>
  <c r="CR285" i="2" s="1"/>
  <c r="CR286" i="2" s="1"/>
  <c r="CR287" i="2" s="1"/>
  <c r="CR288" i="2" s="1"/>
  <c r="CR289" i="2" s="1"/>
  <c r="CR290" i="2" s="1"/>
  <c r="CR291" i="2" s="1"/>
  <c r="CR292" i="2" s="1"/>
  <c r="CR293" i="2" s="1"/>
  <c r="CR294" i="2" s="1"/>
  <c r="CR295" i="2" s="1"/>
  <c r="CR296" i="2" s="1"/>
  <c r="CR297" i="2" s="1"/>
  <c r="CR298" i="2" s="1"/>
  <c r="CR299" i="2" s="1"/>
  <c r="CR300" i="2" s="1"/>
  <c r="CR301" i="2" s="1"/>
  <c r="CR302" i="2" s="1"/>
  <c r="CR303" i="2" s="1"/>
  <c r="CR304" i="2" s="1"/>
  <c r="CR305" i="2" s="1"/>
  <c r="CR306" i="2" s="1"/>
  <c r="CR307" i="2" s="1"/>
  <c r="CR308" i="2" s="1"/>
  <c r="CR309" i="2" s="1"/>
  <c r="CR310" i="2" s="1"/>
  <c r="CR311" i="2" s="1"/>
  <c r="CR312" i="2" s="1"/>
  <c r="CR313" i="2" s="1"/>
  <c r="CR314" i="2" s="1"/>
  <c r="CR315" i="2" s="1"/>
  <c r="CR316" i="2" s="1"/>
  <c r="CR317" i="2" s="1"/>
  <c r="CR318" i="2" s="1"/>
  <c r="CR319" i="2" s="1"/>
  <c r="CR320" i="2" s="1"/>
  <c r="CR321" i="2" s="1"/>
  <c r="CR322" i="2" s="1"/>
  <c r="CR323" i="2" s="1"/>
  <c r="CR324" i="2" s="1"/>
  <c r="CR325" i="2" s="1"/>
  <c r="CR326" i="2" s="1"/>
  <c r="CR327" i="2" s="1"/>
  <c r="CR328" i="2" s="1"/>
  <c r="CR329" i="2" s="1"/>
  <c r="CR330" i="2" s="1"/>
  <c r="CR331" i="2" s="1"/>
  <c r="CR332" i="2" s="1"/>
  <c r="CR333" i="2" s="1"/>
  <c r="CR334" i="2" s="1"/>
  <c r="CR335" i="2" s="1"/>
  <c r="CR336" i="2" s="1"/>
  <c r="CR337" i="2" s="1"/>
  <c r="CR338" i="2" s="1"/>
  <c r="CR339" i="2" s="1"/>
  <c r="CR340" i="2" s="1"/>
  <c r="CR341" i="2" s="1"/>
  <c r="DB6" i="2"/>
  <c r="DB7" i="2" s="1"/>
  <c r="DB8" i="2" s="1"/>
  <c r="DB9" i="2" s="1"/>
  <c r="DB10" i="2" s="1"/>
  <c r="DB11" i="2" s="1"/>
  <c r="DB12" i="2" s="1"/>
  <c r="DB13" i="2" s="1"/>
  <c r="DB14" i="2" s="1"/>
  <c r="DB15" i="2" s="1"/>
  <c r="DB16" i="2" s="1"/>
  <c r="DB17" i="2" s="1"/>
  <c r="DB18" i="2" s="1"/>
  <c r="DB19" i="2" s="1"/>
  <c r="DB20" i="2" s="1"/>
  <c r="DB21" i="2" s="1"/>
  <c r="DB22" i="2" s="1"/>
  <c r="DB23" i="2" s="1"/>
  <c r="DB24" i="2" s="1"/>
  <c r="DB25" i="2" s="1"/>
  <c r="DB26" i="2" s="1"/>
  <c r="DB27" i="2" s="1"/>
  <c r="DB28" i="2" s="1"/>
  <c r="DB29" i="2" s="1"/>
  <c r="DB30" i="2" s="1"/>
  <c r="DB31" i="2" s="1"/>
  <c r="DB32" i="2" s="1"/>
  <c r="DB33" i="2" s="1"/>
  <c r="DB34" i="2" s="1"/>
  <c r="DB35" i="2" s="1"/>
  <c r="DB36" i="2" s="1"/>
  <c r="DB37" i="2" s="1"/>
  <c r="DB38" i="2" s="1"/>
  <c r="DB39" i="2" s="1"/>
  <c r="DB40" i="2" s="1"/>
  <c r="DB41" i="2" s="1"/>
  <c r="DB42" i="2" s="1"/>
  <c r="DB43" i="2" s="1"/>
  <c r="DB44" i="2" s="1"/>
  <c r="DB45" i="2" s="1"/>
  <c r="DB46" i="2" s="1"/>
  <c r="DB47" i="2" s="1"/>
  <c r="DB48" i="2" s="1"/>
  <c r="DB49" i="2" s="1"/>
  <c r="DB50" i="2" s="1"/>
  <c r="DB51" i="2" s="1"/>
  <c r="DB52" i="2" s="1"/>
  <c r="DB53" i="2" s="1"/>
  <c r="DB54" i="2" s="1"/>
  <c r="DB55" i="2" s="1"/>
  <c r="DB56" i="2" s="1"/>
  <c r="DB57" i="2" s="1"/>
  <c r="DB58" i="2" s="1"/>
  <c r="DB59" i="2" s="1"/>
  <c r="DB60" i="2" s="1"/>
  <c r="DB61" i="2" s="1"/>
  <c r="DB62" i="2" s="1"/>
  <c r="DB63" i="2" s="1"/>
  <c r="DB64" i="2" s="1"/>
  <c r="DB65" i="2" s="1"/>
  <c r="DB66" i="2" s="1"/>
  <c r="DB67" i="2" s="1"/>
  <c r="DB68" i="2" s="1"/>
  <c r="DB69" i="2" s="1"/>
  <c r="DB70" i="2" s="1"/>
  <c r="DB71" i="2" s="1"/>
  <c r="DB72" i="2" s="1"/>
  <c r="DB73" i="2" s="1"/>
  <c r="DB74" i="2" s="1"/>
  <c r="DB75" i="2" s="1"/>
  <c r="DB76" i="2" s="1"/>
  <c r="DB77" i="2" s="1"/>
  <c r="DB78" i="2" s="1"/>
  <c r="DB79" i="2" s="1"/>
  <c r="DB80" i="2" s="1"/>
  <c r="DB81" i="2" s="1"/>
  <c r="DB82" i="2" s="1"/>
  <c r="DB83" i="2" s="1"/>
  <c r="DB84" i="2" s="1"/>
  <c r="DB85" i="2" s="1"/>
  <c r="DB86" i="2" s="1"/>
  <c r="DB87" i="2" s="1"/>
  <c r="DB88" i="2" s="1"/>
  <c r="DB89" i="2" s="1"/>
  <c r="DB90" i="2" s="1"/>
  <c r="DB91" i="2" s="1"/>
  <c r="DB92" i="2" s="1"/>
  <c r="DB93" i="2" s="1"/>
  <c r="DB94" i="2" s="1"/>
  <c r="DB95" i="2" s="1"/>
  <c r="DB96" i="2" s="1"/>
  <c r="DB97" i="2" s="1"/>
  <c r="DB98" i="2" s="1"/>
  <c r="DB99" i="2" s="1"/>
  <c r="DB100" i="2" s="1"/>
  <c r="DB101" i="2" s="1"/>
  <c r="DB102" i="2" s="1"/>
  <c r="DB103" i="2" s="1"/>
  <c r="DB104" i="2" s="1"/>
  <c r="DB105" i="2" s="1"/>
  <c r="DB106" i="2" s="1"/>
  <c r="DB107" i="2" s="1"/>
  <c r="DB108" i="2" s="1"/>
  <c r="DB109" i="2" s="1"/>
  <c r="DB110" i="2" s="1"/>
  <c r="DB111" i="2" s="1"/>
  <c r="DB112" i="2" s="1"/>
  <c r="DB113" i="2" s="1"/>
  <c r="DB114" i="2" s="1"/>
  <c r="DB115" i="2" s="1"/>
  <c r="DB116" i="2" s="1"/>
  <c r="DB117" i="2" s="1"/>
  <c r="DB118" i="2" s="1"/>
  <c r="DB119" i="2" s="1"/>
  <c r="DB120" i="2" s="1"/>
  <c r="DB121" i="2" s="1"/>
  <c r="DB122" i="2" s="1"/>
  <c r="DB123" i="2" s="1"/>
  <c r="DB124" i="2" s="1"/>
  <c r="DB125" i="2" s="1"/>
  <c r="DB126" i="2" s="1"/>
  <c r="DB127" i="2" s="1"/>
  <c r="DB128" i="2" s="1"/>
  <c r="DB129" i="2" s="1"/>
  <c r="DB130" i="2" s="1"/>
  <c r="DB131" i="2" s="1"/>
  <c r="DB132" i="2" s="1"/>
  <c r="DB133" i="2" s="1"/>
  <c r="DB134" i="2" s="1"/>
  <c r="DB135" i="2" s="1"/>
  <c r="DB136" i="2" s="1"/>
  <c r="DB137" i="2" s="1"/>
  <c r="DB138" i="2" s="1"/>
  <c r="DB139" i="2" s="1"/>
  <c r="DB140" i="2" s="1"/>
  <c r="DB141" i="2" s="1"/>
  <c r="DB142" i="2" s="1"/>
  <c r="DB143" i="2" s="1"/>
  <c r="DB144" i="2" s="1"/>
  <c r="DB145" i="2" s="1"/>
  <c r="DB146" i="2" s="1"/>
  <c r="DB147" i="2" s="1"/>
  <c r="DB148" i="2" s="1"/>
  <c r="DB149" i="2" s="1"/>
  <c r="DB150" i="2" s="1"/>
  <c r="DB151" i="2" s="1"/>
  <c r="DB152" i="2" s="1"/>
  <c r="DB153" i="2" s="1"/>
  <c r="DB154" i="2" s="1"/>
  <c r="DB155" i="2" s="1"/>
  <c r="DB156" i="2" s="1"/>
  <c r="DB157" i="2" s="1"/>
  <c r="DB158" i="2" s="1"/>
  <c r="DB159" i="2" s="1"/>
  <c r="DB160" i="2" s="1"/>
  <c r="DB161" i="2" s="1"/>
  <c r="DB162" i="2" s="1"/>
  <c r="DB163" i="2" s="1"/>
  <c r="DB164" i="2" s="1"/>
  <c r="DB165" i="2" s="1"/>
  <c r="DB166" i="2" s="1"/>
  <c r="DB167" i="2" s="1"/>
  <c r="DB168" i="2" s="1"/>
  <c r="DB169" i="2" s="1"/>
  <c r="DB170" i="2" s="1"/>
  <c r="DB171" i="2" s="1"/>
  <c r="DB172" i="2" s="1"/>
  <c r="DB173" i="2" s="1"/>
  <c r="DB174" i="2" s="1"/>
  <c r="DB175" i="2" s="1"/>
  <c r="DB176" i="2" s="1"/>
  <c r="DB177" i="2" s="1"/>
  <c r="DB178" i="2" s="1"/>
  <c r="DB179" i="2" s="1"/>
  <c r="DB180" i="2" s="1"/>
  <c r="DB181" i="2" s="1"/>
  <c r="DB182" i="2" s="1"/>
  <c r="DB183" i="2" s="1"/>
  <c r="DB184" i="2" s="1"/>
  <c r="DB185" i="2" s="1"/>
  <c r="DB186" i="2" s="1"/>
  <c r="DB187" i="2" s="1"/>
  <c r="DB188" i="2" s="1"/>
  <c r="DB189" i="2" s="1"/>
  <c r="DB190" i="2" s="1"/>
  <c r="DB191" i="2" s="1"/>
  <c r="DB192" i="2" s="1"/>
  <c r="DB193" i="2" s="1"/>
  <c r="DB194" i="2" s="1"/>
  <c r="DB195" i="2" s="1"/>
  <c r="DB196" i="2" s="1"/>
  <c r="DB197" i="2" s="1"/>
  <c r="DB198" i="2" s="1"/>
  <c r="DB199" i="2" s="1"/>
  <c r="DB200" i="2" s="1"/>
  <c r="DB201" i="2" s="1"/>
  <c r="DB202" i="2" s="1"/>
  <c r="DB203" i="2" s="1"/>
  <c r="DB204" i="2" s="1"/>
  <c r="DB205" i="2" s="1"/>
  <c r="DB206" i="2" s="1"/>
  <c r="DB207" i="2" s="1"/>
  <c r="DB208" i="2" s="1"/>
  <c r="DB209" i="2" s="1"/>
  <c r="DB210" i="2" s="1"/>
  <c r="DB211" i="2" s="1"/>
  <c r="DB212" i="2" s="1"/>
  <c r="DB213" i="2" s="1"/>
  <c r="DB214" i="2" s="1"/>
  <c r="DB215" i="2" s="1"/>
  <c r="DB216" i="2" s="1"/>
  <c r="DB217" i="2" s="1"/>
  <c r="DB218" i="2" s="1"/>
  <c r="DB219" i="2" s="1"/>
  <c r="DB220" i="2" s="1"/>
  <c r="DB221" i="2" s="1"/>
  <c r="DB222" i="2" s="1"/>
  <c r="DB223" i="2" s="1"/>
  <c r="DB224" i="2" s="1"/>
  <c r="DB225" i="2" s="1"/>
  <c r="DB226" i="2" s="1"/>
  <c r="DB227" i="2" s="1"/>
  <c r="DB228" i="2" s="1"/>
  <c r="DB229" i="2" s="1"/>
  <c r="DB230" i="2" s="1"/>
  <c r="DB231" i="2" s="1"/>
  <c r="DB232" i="2" s="1"/>
  <c r="DB233" i="2" s="1"/>
  <c r="DB234" i="2" s="1"/>
  <c r="DB235" i="2" s="1"/>
  <c r="DB236" i="2" s="1"/>
  <c r="DB237" i="2" s="1"/>
  <c r="DB238" i="2" s="1"/>
  <c r="DB239" i="2" s="1"/>
  <c r="DB240" i="2" s="1"/>
  <c r="DB241" i="2" s="1"/>
  <c r="DB242" i="2" s="1"/>
  <c r="DB243" i="2" s="1"/>
  <c r="DB244" i="2" s="1"/>
  <c r="DB245" i="2" s="1"/>
  <c r="DB246" i="2" s="1"/>
  <c r="DB247" i="2" s="1"/>
  <c r="DB248" i="2" s="1"/>
  <c r="DB249" i="2" s="1"/>
  <c r="DB250" i="2" s="1"/>
  <c r="DB251" i="2" s="1"/>
  <c r="DB252" i="2" s="1"/>
  <c r="DB253" i="2" s="1"/>
  <c r="DB254" i="2" s="1"/>
  <c r="DB255" i="2" s="1"/>
  <c r="DB256" i="2" s="1"/>
  <c r="DB257" i="2" s="1"/>
  <c r="DB258" i="2" s="1"/>
  <c r="DB259" i="2" s="1"/>
  <c r="DB260" i="2" s="1"/>
  <c r="DB261" i="2" s="1"/>
  <c r="DB262" i="2" s="1"/>
  <c r="DB263" i="2" s="1"/>
  <c r="DB264" i="2" s="1"/>
  <c r="DB265" i="2" s="1"/>
  <c r="DB266" i="2" s="1"/>
  <c r="DB267" i="2" s="1"/>
  <c r="DB268" i="2" s="1"/>
  <c r="DB269" i="2" s="1"/>
  <c r="DB270" i="2" s="1"/>
  <c r="DB271" i="2" s="1"/>
  <c r="DB272" i="2" s="1"/>
  <c r="DB273" i="2" s="1"/>
  <c r="DB274" i="2" s="1"/>
  <c r="DB275" i="2" s="1"/>
  <c r="DB276" i="2" s="1"/>
  <c r="DB277" i="2" s="1"/>
  <c r="DB278" i="2" s="1"/>
  <c r="DB279" i="2" s="1"/>
  <c r="DB280" i="2" s="1"/>
  <c r="DB281" i="2" s="1"/>
  <c r="DB282" i="2" s="1"/>
  <c r="DB283" i="2" s="1"/>
  <c r="DB284" i="2" s="1"/>
  <c r="DB285" i="2" s="1"/>
  <c r="DB286" i="2" s="1"/>
  <c r="DB287" i="2" s="1"/>
  <c r="DB288" i="2" s="1"/>
  <c r="DB289" i="2" s="1"/>
  <c r="DB290" i="2" s="1"/>
  <c r="DB291" i="2" s="1"/>
  <c r="DB292" i="2" s="1"/>
  <c r="DB293" i="2" s="1"/>
  <c r="DB294" i="2" s="1"/>
  <c r="DB295" i="2" s="1"/>
  <c r="DB296" i="2" s="1"/>
  <c r="DB297" i="2" s="1"/>
  <c r="DB298" i="2" s="1"/>
  <c r="DB299" i="2" s="1"/>
  <c r="DB300" i="2" s="1"/>
  <c r="DB301" i="2" s="1"/>
  <c r="DB302" i="2" s="1"/>
  <c r="DB303" i="2" s="1"/>
  <c r="DB304" i="2" s="1"/>
  <c r="DB305" i="2" s="1"/>
  <c r="DB306" i="2" s="1"/>
  <c r="DB307" i="2" s="1"/>
  <c r="DB308" i="2" s="1"/>
  <c r="DB309" i="2" s="1"/>
  <c r="DB310" i="2" s="1"/>
  <c r="DB311" i="2" s="1"/>
  <c r="DB312" i="2" s="1"/>
  <c r="DB313" i="2" s="1"/>
  <c r="DB314" i="2" s="1"/>
  <c r="DB315" i="2" s="1"/>
  <c r="DB316" i="2" s="1"/>
  <c r="DB317" i="2" s="1"/>
  <c r="DB318" i="2" s="1"/>
  <c r="DB319" i="2" s="1"/>
  <c r="DB320" i="2" s="1"/>
  <c r="DB321" i="2" s="1"/>
  <c r="DB322" i="2" s="1"/>
  <c r="DB323" i="2" s="1"/>
  <c r="DB324" i="2" s="1"/>
  <c r="DB325" i="2" s="1"/>
  <c r="DB326" i="2" s="1"/>
  <c r="DB327" i="2" s="1"/>
  <c r="DB328" i="2" s="1"/>
  <c r="DB329" i="2" s="1"/>
  <c r="DB330" i="2" s="1"/>
  <c r="DB331" i="2" s="1"/>
  <c r="DB332" i="2" s="1"/>
  <c r="DB333" i="2" s="1"/>
  <c r="DB334" i="2" s="1"/>
  <c r="DB335" i="2" s="1"/>
  <c r="DB336" i="2" s="1"/>
  <c r="DB337" i="2" s="1"/>
  <c r="DB338" i="2" s="1"/>
  <c r="DB339" i="2" s="1"/>
  <c r="DB340" i="2" s="1"/>
  <c r="DB341" i="2" s="1"/>
  <c r="DD6" i="2"/>
  <c r="DD7" i="2" s="1"/>
  <c r="DD8" i="2" s="1"/>
  <c r="DD9" i="2" s="1"/>
  <c r="DD10" i="2" s="1"/>
  <c r="DD11" i="2" s="1"/>
  <c r="DD12" i="2" s="1"/>
  <c r="DD13" i="2" s="1"/>
  <c r="DD14" i="2" s="1"/>
  <c r="DD15" i="2" s="1"/>
  <c r="DD16" i="2" s="1"/>
  <c r="DD17" i="2" s="1"/>
  <c r="DD18" i="2" s="1"/>
  <c r="DD19" i="2" s="1"/>
  <c r="DD20" i="2" s="1"/>
  <c r="DD21" i="2" s="1"/>
  <c r="DD22" i="2" s="1"/>
  <c r="DD23" i="2" s="1"/>
  <c r="DD24" i="2" s="1"/>
  <c r="DD25" i="2" s="1"/>
  <c r="DD26" i="2" s="1"/>
  <c r="DD27" i="2" s="1"/>
  <c r="DD28" i="2" s="1"/>
  <c r="DD29" i="2" s="1"/>
  <c r="DD30" i="2" s="1"/>
  <c r="DD31" i="2" s="1"/>
  <c r="DD32" i="2" s="1"/>
  <c r="DD33" i="2" s="1"/>
  <c r="DD34" i="2" s="1"/>
  <c r="DD35" i="2" s="1"/>
  <c r="DD36" i="2" s="1"/>
  <c r="DD37" i="2" s="1"/>
  <c r="DD38" i="2" s="1"/>
  <c r="DD39" i="2" s="1"/>
  <c r="DD40" i="2" s="1"/>
  <c r="DD41" i="2" s="1"/>
  <c r="DD42" i="2" s="1"/>
  <c r="DD43" i="2" s="1"/>
  <c r="DD44" i="2" s="1"/>
  <c r="DD45" i="2" s="1"/>
  <c r="DD46" i="2" s="1"/>
  <c r="DD47" i="2" s="1"/>
  <c r="DD48" i="2" s="1"/>
  <c r="DD49" i="2" s="1"/>
  <c r="DD50" i="2" s="1"/>
  <c r="DD51" i="2" s="1"/>
  <c r="DD52" i="2" s="1"/>
  <c r="DD53" i="2" s="1"/>
  <c r="DD54" i="2" s="1"/>
  <c r="DD55" i="2" s="1"/>
  <c r="DD56" i="2" s="1"/>
  <c r="DD57" i="2" s="1"/>
  <c r="DD58" i="2" s="1"/>
  <c r="DD59" i="2" s="1"/>
  <c r="DD60" i="2" s="1"/>
  <c r="DD61" i="2" s="1"/>
  <c r="DD62" i="2" s="1"/>
  <c r="DD63" i="2" s="1"/>
  <c r="DD64" i="2" s="1"/>
  <c r="DD65" i="2" s="1"/>
  <c r="DD66" i="2" s="1"/>
  <c r="DD67" i="2" s="1"/>
  <c r="DD68" i="2" s="1"/>
  <c r="DD69" i="2" s="1"/>
  <c r="DD70" i="2" s="1"/>
  <c r="DD71" i="2" s="1"/>
  <c r="DD72" i="2" s="1"/>
  <c r="DD73" i="2" s="1"/>
  <c r="DD74" i="2" s="1"/>
  <c r="DD75" i="2" s="1"/>
  <c r="DD76" i="2" s="1"/>
  <c r="DD77" i="2" s="1"/>
  <c r="DD78" i="2" s="1"/>
  <c r="DD79" i="2" s="1"/>
  <c r="DD80" i="2" s="1"/>
  <c r="DD81" i="2" s="1"/>
  <c r="DD82" i="2" s="1"/>
  <c r="DD83" i="2" s="1"/>
  <c r="DD84" i="2" s="1"/>
  <c r="DD85" i="2" s="1"/>
  <c r="DD86" i="2" s="1"/>
  <c r="DD87" i="2" s="1"/>
  <c r="DD88" i="2" s="1"/>
  <c r="DD89" i="2" s="1"/>
  <c r="DD90" i="2" s="1"/>
  <c r="DD91" i="2" s="1"/>
  <c r="DD92" i="2" s="1"/>
  <c r="DD93" i="2" s="1"/>
  <c r="DD94" i="2" s="1"/>
  <c r="DD95" i="2" s="1"/>
  <c r="DD96" i="2" s="1"/>
  <c r="DD97" i="2" s="1"/>
  <c r="DD98" i="2" s="1"/>
  <c r="DD99" i="2" s="1"/>
  <c r="DD100" i="2" s="1"/>
  <c r="DD101" i="2" s="1"/>
  <c r="DD102" i="2" s="1"/>
  <c r="DD103" i="2" s="1"/>
  <c r="DD104" i="2" s="1"/>
  <c r="DD105" i="2" s="1"/>
  <c r="DD106" i="2" s="1"/>
  <c r="DD107" i="2" s="1"/>
  <c r="DD108" i="2" s="1"/>
  <c r="DD109" i="2" s="1"/>
  <c r="DD110" i="2" s="1"/>
  <c r="DD111" i="2" s="1"/>
  <c r="DD112" i="2" s="1"/>
  <c r="DD113" i="2" s="1"/>
  <c r="DD114" i="2" s="1"/>
  <c r="DD115" i="2" s="1"/>
  <c r="DD116" i="2" s="1"/>
  <c r="DD117" i="2" s="1"/>
  <c r="DD118" i="2" s="1"/>
  <c r="DD119" i="2" s="1"/>
  <c r="DD120" i="2" s="1"/>
  <c r="DD121" i="2" s="1"/>
  <c r="DD122" i="2" s="1"/>
  <c r="DD123" i="2" s="1"/>
  <c r="DD124" i="2" s="1"/>
  <c r="DD125" i="2" s="1"/>
  <c r="DD126" i="2" s="1"/>
  <c r="DD127" i="2" s="1"/>
  <c r="DD128" i="2" s="1"/>
  <c r="DD129" i="2" s="1"/>
  <c r="DD130" i="2" s="1"/>
  <c r="DD131" i="2" s="1"/>
  <c r="DD132" i="2" s="1"/>
  <c r="DD133" i="2" s="1"/>
  <c r="DD134" i="2" s="1"/>
  <c r="DD135" i="2" s="1"/>
  <c r="DD136" i="2" s="1"/>
  <c r="DD137" i="2" s="1"/>
  <c r="DD138" i="2" s="1"/>
  <c r="DD139" i="2" s="1"/>
  <c r="DD140" i="2" s="1"/>
  <c r="DD141" i="2" s="1"/>
  <c r="DD142" i="2" s="1"/>
  <c r="DD143" i="2" s="1"/>
  <c r="DD144" i="2" s="1"/>
  <c r="DD145" i="2" s="1"/>
  <c r="DD146" i="2" s="1"/>
  <c r="DD147" i="2" s="1"/>
  <c r="DD148" i="2" s="1"/>
  <c r="DD149" i="2" s="1"/>
  <c r="DD150" i="2" s="1"/>
  <c r="DD151" i="2" s="1"/>
  <c r="DD152" i="2" s="1"/>
  <c r="DD153" i="2" s="1"/>
  <c r="DD154" i="2" s="1"/>
  <c r="DD155" i="2" s="1"/>
  <c r="DD156" i="2" s="1"/>
  <c r="DD157" i="2" s="1"/>
  <c r="DD158" i="2" s="1"/>
  <c r="DD159" i="2" s="1"/>
  <c r="DD160" i="2" s="1"/>
  <c r="DD161" i="2" s="1"/>
  <c r="DD162" i="2" s="1"/>
  <c r="DD163" i="2" s="1"/>
  <c r="DD164" i="2" s="1"/>
  <c r="DD165" i="2" s="1"/>
  <c r="DD166" i="2" s="1"/>
  <c r="DD167" i="2" s="1"/>
  <c r="DD168" i="2" s="1"/>
  <c r="DD169" i="2" s="1"/>
  <c r="DD170" i="2" s="1"/>
  <c r="DD171" i="2" s="1"/>
  <c r="DD172" i="2" s="1"/>
  <c r="DD173" i="2" s="1"/>
  <c r="DD174" i="2" s="1"/>
  <c r="DD175" i="2" s="1"/>
  <c r="DD176" i="2" s="1"/>
  <c r="DD177" i="2" s="1"/>
  <c r="DD178" i="2" s="1"/>
  <c r="DD179" i="2" s="1"/>
  <c r="DD180" i="2" s="1"/>
  <c r="DD181" i="2" s="1"/>
  <c r="DD182" i="2" s="1"/>
  <c r="DD183" i="2" s="1"/>
  <c r="DD184" i="2" s="1"/>
  <c r="DD185" i="2" s="1"/>
  <c r="DD186" i="2" s="1"/>
  <c r="DD187" i="2" s="1"/>
  <c r="DD188" i="2" s="1"/>
  <c r="DD189" i="2" s="1"/>
  <c r="DD190" i="2" s="1"/>
  <c r="DD191" i="2" s="1"/>
  <c r="DD192" i="2" s="1"/>
  <c r="DD193" i="2" s="1"/>
  <c r="DD194" i="2" s="1"/>
  <c r="DD195" i="2" s="1"/>
  <c r="DD196" i="2" s="1"/>
  <c r="DD197" i="2" s="1"/>
  <c r="DD198" i="2" s="1"/>
  <c r="DD199" i="2" s="1"/>
  <c r="DD200" i="2" s="1"/>
  <c r="DD201" i="2" s="1"/>
  <c r="DD202" i="2" s="1"/>
  <c r="DD203" i="2" s="1"/>
  <c r="DD204" i="2" s="1"/>
  <c r="DD205" i="2" s="1"/>
  <c r="DD206" i="2" s="1"/>
  <c r="DD207" i="2" s="1"/>
  <c r="DD208" i="2" s="1"/>
  <c r="DD209" i="2" s="1"/>
  <c r="DD210" i="2" s="1"/>
  <c r="DD211" i="2" s="1"/>
  <c r="DD212" i="2" s="1"/>
  <c r="DD213" i="2" s="1"/>
  <c r="DD214" i="2" s="1"/>
  <c r="DD215" i="2" s="1"/>
  <c r="DD216" i="2" s="1"/>
  <c r="DD217" i="2" s="1"/>
  <c r="DD218" i="2" s="1"/>
  <c r="DD219" i="2" s="1"/>
  <c r="DD220" i="2" s="1"/>
  <c r="DD221" i="2" s="1"/>
  <c r="DD222" i="2" s="1"/>
  <c r="DD223" i="2" s="1"/>
  <c r="DD224" i="2" s="1"/>
  <c r="DD225" i="2" s="1"/>
  <c r="DD226" i="2" s="1"/>
  <c r="DD227" i="2" s="1"/>
  <c r="DD228" i="2" s="1"/>
  <c r="DD229" i="2" s="1"/>
  <c r="DD230" i="2" s="1"/>
  <c r="DD231" i="2" s="1"/>
  <c r="DD232" i="2" s="1"/>
  <c r="DD233" i="2" s="1"/>
  <c r="DD234" i="2" s="1"/>
  <c r="DD235" i="2" s="1"/>
  <c r="DD236" i="2" s="1"/>
  <c r="DD237" i="2" s="1"/>
  <c r="DD238" i="2" s="1"/>
  <c r="DD239" i="2" s="1"/>
  <c r="DD240" i="2" s="1"/>
  <c r="DD241" i="2" s="1"/>
  <c r="DD242" i="2" s="1"/>
  <c r="DD243" i="2" s="1"/>
  <c r="DD244" i="2" s="1"/>
  <c r="DD245" i="2" s="1"/>
  <c r="DD246" i="2" s="1"/>
  <c r="DD247" i="2" s="1"/>
  <c r="DD248" i="2" s="1"/>
  <c r="DD249" i="2" s="1"/>
  <c r="DD250" i="2" s="1"/>
  <c r="DD251" i="2" s="1"/>
  <c r="DD252" i="2" s="1"/>
  <c r="DD253" i="2" s="1"/>
  <c r="DD254" i="2" s="1"/>
  <c r="DD255" i="2" s="1"/>
  <c r="DD256" i="2" s="1"/>
  <c r="DD257" i="2" s="1"/>
  <c r="DD258" i="2" s="1"/>
  <c r="DD259" i="2" s="1"/>
  <c r="DD260" i="2" s="1"/>
  <c r="DD261" i="2" s="1"/>
  <c r="DD262" i="2" s="1"/>
  <c r="DD263" i="2" s="1"/>
  <c r="DD264" i="2" s="1"/>
  <c r="DD265" i="2" s="1"/>
  <c r="DD266" i="2" s="1"/>
  <c r="DD267" i="2" s="1"/>
  <c r="DD268" i="2" s="1"/>
  <c r="DD269" i="2" s="1"/>
  <c r="DD270" i="2" s="1"/>
  <c r="DD271" i="2" s="1"/>
  <c r="DD272" i="2" s="1"/>
  <c r="DD273" i="2" s="1"/>
  <c r="DD274" i="2" s="1"/>
  <c r="DD275" i="2" s="1"/>
  <c r="DD276" i="2" s="1"/>
  <c r="DD277" i="2" s="1"/>
  <c r="DD278" i="2" s="1"/>
  <c r="DD279" i="2" s="1"/>
  <c r="DD280" i="2" s="1"/>
  <c r="DD281" i="2" s="1"/>
  <c r="DD282" i="2" s="1"/>
  <c r="DD283" i="2" s="1"/>
  <c r="DD284" i="2" s="1"/>
  <c r="DD285" i="2" s="1"/>
  <c r="DD286" i="2" s="1"/>
  <c r="DD287" i="2" s="1"/>
  <c r="DD288" i="2" s="1"/>
  <c r="DD289" i="2" s="1"/>
  <c r="DD290" i="2" s="1"/>
  <c r="DD291" i="2" s="1"/>
  <c r="DD292" i="2" s="1"/>
  <c r="DD293" i="2" s="1"/>
  <c r="DD294" i="2" s="1"/>
  <c r="DD295" i="2" s="1"/>
  <c r="DD296" i="2" s="1"/>
  <c r="DD297" i="2" s="1"/>
  <c r="DD298" i="2" s="1"/>
  <c r="DD299" i="2" s="1"/>
  <c r="DD300" i="2" s="1"/>
  <c r="DD301" i="2" s="1"/>
  <c r="DD302" i="2" s="1"/>
  <c r="DD303" i="2" s="1"/>
  <c r="DD304" i="2" s="1"/>
  <c r="DD305" i="2" s="1"/>
  <c r="DD306" i="2" s="1"/>
  <c r="DD307" i="2" s="1"/>
  <c r="DD308" i="2" s="1"/>
  <c r="DD309" i="2" s="1"/>
  <c r="DD310" i="2" s="1"/>
  <c r="DD311" i="2" s="1"/>
  <c r="DD312" i="2" s="1"/>
  <c r="DD313" i="2" s="1"/>
  <c r="DD314" i="2" s="1"/>
  <c r="DD315" i="2" s="1"/>
  <c r="DD316" i="2" s="1"/>
  <c r="DD317" i="2" s="1"/>
  <c r="DD318" i="2" s="1"/>
  <c r="DD319" i="2" s="1"/>
  <c r="DD320" i="2" s="1"/>
  <c r="DD321" i="2" s="1"/>
  <c r="DD322" i="2" s="1"/>
  <c r="DD323" i="2" s="1"/>
  <c r="DD324" i="2" s="1"/>
  <c r="DD325" i="2" s="1"/>
  <c r="DD326" i="2" s="1"/>
  <c r="DD327" i="2" s="1"/>
  <c r="DD328" i="2" s="1"/>
  <c r="DD329" i="2" s="1"/>
  <c r="DD330" i="2" s="1"/>
  <c r="DD331" i="2" s="1"/>
  <c r="DD332" i="2" s="1"/>
  <c r="DD333" i="2" s="1"/>
  <c r="DD334" i="2" s="1"/>
  <c r="DD335" i="2" s="1"/>
  <c r="DD336" i="2" s="1"/>
  <c r="DD337" i="2" s="1"/>
  <c r="DD338" i="2" s="1"/>
  <c r="DD339" i="2" s="1"/>
  <c r="DD340" i="2" s="1"/>
  <c r="DD341" i="2" s="1"/>
  <c r="CD6" i="2"/>
  <c r="CD7" i="2" s="1"/>
  <c r="CD8" i="2" s="1"/>
  <c r="CD9" i="2" s="1"/>
  <c r="CD10" i="2" s="1"/>
  <c r="CD11" i="2" s="1"/>
  <c r="CD12" i="2" s="1"/>
  <c r="CD13" i="2" s="1"/>
  <c r="CD14" i="2" s="1"/>
  <c r="CD15" i="2" s="1"/>
  <c r="CD16" i="2" s="1"/>
  <c r="CD17" i="2" s="1"/>
  <c r="CD18" i="2" s="1"/>
  <c r="CD19" i="2" s="1"/>
  <c r="CD20" i="2" s="1"/>
  <c r="CD21" i="2" s="1"/>
  <c r="CD22" i="2" s="1"/>
  <c r="CD23" i="2" s="1"/>
  <c r="CD24" i="2" s="1"/>
  <c r="CD25" i="2" s="1"/>
  <c r="CD26" i="2" s="1"/>
  <c r="CD27" i="2" s="1"/>
  <c r="CD28" i="2" s="1"/>
  <c r="CD29" i="2" s="1"/>
  <c r="CD30" i="2" s="1"/>
  <c r="CD31" i="2" s="1"/>
  <c r="CD32" i="2" s="1"/>
  <c r="CD33" i="2" s="1"/>
  <c r="CD34" i="2" s="1"/>
  <c r="CD35" i="2" s="1"/>
  <c r="CD36" i="2" s="1"/>
  <c r="CD37" i="2" s="1"/>
  <c r="CD38" i="2" s="1"/>
  <c r="CD39" i="2" s="1"/>
  <c r="CD40" i="2" s="1"/>
  <c r="CD41" i="2" s="1"/>
  <c r="CD42" i="2" s="1"/>
  <c r="CD43" i="2" s="1"/>
  <c r="CD44" i="2" s="1"/>
  <c r="CD45" i="2" s="1"/>
  <c r="CD46" i="2" s="1"/>
  <c r="CD47" i="2" s="1"/>
  <c r="CD48" i="2" s="1"/>
  <c r="CD49" i="2" s="1"/>
  <c r="CD50" i="2" s="1"/>
  <c r="CD51" i="2" s="1"/>
  <c r="CD52" i="2" s="1"/>
  <c r="CD53" i="2" s="1"/>
  <c r="CD54" i="2" s="1"/>
  <c r="CD55" i="2" s="1"/>
  <c r="CD56" i="2" s="1"/>
  <c r="CD57" i="2" s="1"/>
  <c r="CD58" i="2" s="1"/>
  <c r="CD59" i="2" s="1"/>
  <c r="CD60" i="2" s="1"/>
  <c r="CD61" i="2" s="1"/>
  <c r="CD62" i="2" s="1"/>
  <c r="CD63" i="2" s="1"/>
  <c r="CD64" i="2" s="1"/>
  <c r="CD65" i="2" s="1"/>
  <c r="CD66" i="2" s="1"/>
  <c r="CD67" i="2" s="1"/>
  <c r="CD68" i="2" s="1"/>
  <c r="CD69" i="2" s="1"/>
  <c r="CD70" i="2" s="1"/>
  <c r="CD71" i="2" s="1"/>
  <c r="CD72" i="2" s="1"/>
  <c r="CD73" i="2" s="1"/>
  <c r="CD74" i="2" s="1"/>
  <c r="CD75" i="2" s="1"/>
  <c r="CD76" i="2" s="1"/>
  <c r="CD77" i="2" s="1"/>
  <c r="CD78" i="2" s="1"/>
  <c r="CD79" i="2" s="1"/>
  <c r="CD80" i="2" s="1"/>
  <c r="CD81" i="2" s="1"/>
  <c r="CD82" i="2" s="1"/>
  <c r="CD83" i="2" s="1"/>
  <c r="CD84" i="2" s="1"/>
  <c r="CD85" i="2" s="1"/>
  <c r="CD86" i="2" s="1"/>
  <c r="CD87" i="2" s="1"/>
  <c r="CD88" i="2" s="1"/>
  <c r="CD89" i="2" s="1"/>
  <c r="CD90" i="2" s="1"/>
  <c r="CD91" i="2" s="1"/>
  <c r="CD92" i="2" s="1"/>
  <c r="CD93" i="2" s="1"/>
  <c r="CD94" i="2" s="1"/>
  <c r="CD95" i="2" s="1"/>
  <c r="CD96" i="2" s="1"/>
  <c r="CD97" i="2" s="1"/>
  <c r="CD98" i="2" s="1"/>
  <c r="CD99" i="2" s="1"/>
  <c r="CD100" i="2" s="1"/>
  <c r="CD101" i="2" s="1"/>
  <c r="CD102" i="2" s="1"/>
  <c r="CD103" i="2" s="1"/>
  <c r="CD104" i="2" s="1"/>
  <c r="CD105" i="2" s="1"/>
  <c r="CD106" i="2" s="1"/>
  <c r="CD107" i="2" s="1"/>
  <c r="CD108" i="2" s="1"/>
  <c r="CD109" i="2" s="1"/>
  <c r="CD110" i="2" s="1"/>
  <c r="CD111" i="2" s="1"/>
  <c r="CD112" i="2" s="1"/>
  <c r="CD113" i="2" s="1"/>
  <c r="CD114" i="2" s="1"/>
  <c r="CD115" i="2" s="1"/>
  <c r="CD116" i="2" s="1"/>
  <c r="CD117" i="2" s="1"/>
  <c r="CD118" i="2" s="1"/>
  <c r="CD119" i="2" s="1"/>
  <c r="CD120" i="2" s="1"/>
  <c r="CD121" i="2" s="1"/>
  <c r="CD122" i="2" s="1"/>
  <c r="CD123" i="2" s="1"/>
  <c r="CD124" i="2" s="1"/>
  <c r="CD125" i="2" s="1"/>
  <c r="CD126" i="2" s="1"/>
  <c r="CD127" i="2" s="1"/>
  <c r="CD128" i="2" s="1"/>
  <c r="CD129" i="2" s="1"/>
  <c r="CD130" i="2" s="1"/>
  <c r="CD131" i="2" s="1"/>
  <c r="CD132" i="2" s="1"/>
  <c r="CD133" i="2" s="1"/>
  <c r="CD134" i="2" s="1"/>
  <c r="CD135" i="2" s="1"/>
  <c r="CD136" i="2" s="1"/>
  <c r="CD137" i="2" s="1"/>
  <c r="CD138" i="2" s="1"/>
  <c r="CD139" i="2" s="1"/>
  <c r="CD140" i="2" s="1"/>
  <c r="CD141" i="2" s="1"/>
  <c r="CD142" i="2" s="1"/>
  <c r="CD143" i="2" s="1"/>
  <c r="CD144" i="2" s="1"/>
  <c r="CD145" i="2" s="1"/>
  <c r="CD146" i="2" s="1"/>
  <c r="CD147" i="2" s="1"/>
  <c r="CD148" i="2" s="1"/>
  <c r="CD149" i="2" s="1"/>
  <c r="CD150" i="2" s="1"/>
  <c r="CD151" i="2" s="1"/>
  <c r="CD152" i="2" s="1"/>
  <c r="CD153" i="2" s="1"/>
  <c r="CD154" i="2" s="1"/>
  <c r="CD155" i="2" s="1"/>
  <c r="CD156" i="2" s="1"/>
  <c r="CD157" i="2" s="1"/>
  <c r="CD158" i="2" s="1"/>
  <c r="CD159" i="2" s="1"/>
  <c r="CD160" i="2" s="1"/>
  <c r="CD161" i="2" s="1"/>
  <c r="CD162" i="2" s="1"/>
  <c r="CD163" i="2" s="1"/>
  <c r="CD164" i="2" s="1"/>
  <c r="CD165" i="2" s="1"/>
  <c r="CD166" i="2" s="1"/>
  <c r="CD167" i="2" s="1"/>
  <c r="CD168" i="2" s="1"/>
  <c r="CD169" i="2" s="1"/>
  <c r="CD170" i="2" s="1"/>
  <c r="CD171" i="2" s="1"/>
  <c r="CD172" i="2" s="1"/>
  <c r="CD173" i="2" s="1"/>
  <c r="CD174" i="2" s="1"/>
  <c r="CD175" i="2" s="1"/>
  <c r="CD176" i="2" s="1"/>
  <c r="CD177" i="2" s="1"/>
  <c r="CD178" i="2" s="1"/>
  <c r="CD179" i="2" s="1"/>
  <c r="CD180" i="2" s="1"/>
  <c r="CD181" i="2" s="1"/>
  <c r="CD182" i="2" s="1"/>
  <c r="CD183" i="2" s="1"/>
  <c r="CD184" i="2" s="1"/>
  <c r="CD185" i="2" s="1"/>
  <c r="CD186" i="2" s="1"/>
  <c r="CD187" i="2" s="1"/>
  <c r="CD188" i="2" s="1"/>
  <c r="CD189" i="2" s="1"/>
  <c r="CD190" i="2" s="1"/>
  <c r="CD191" i="2" s="1"/>
  <c r="CD192" i="2" s="1"/>
  <c r="CD193" i="2" s="1"/>
  <c r="CD194" i="2" s="1"/>
  <c r="CD195" i="2" s="1"/>
  <c r="CD196" i="2" s="1"/>
  <c r="CD197" i="2" s="1"/>
  <c r="CD198" i="2" s="1"/>
  <c r="CD199" i="2" s="1"/>
  <c r="CD200" i="2" s="1"/>
  <c r="CD201" i="2" s="1"/>
  <c r="CD202" i="2" s="1"/>
  <c r="CD203" i="2" s="1"/>
  <c r="CD204" i="2" s="1"/>
  <c r="CD205" i="2" s="1"/>
  <c r="CD206" i="2" s="1"/>
  <c r="CD207" i="2" s="1"/>
  <c r="CD208" i="2" s="1"/>
  <c r="CD209" i="2" s="1"/>
  <c r="CD210" i="2" s="1"/>
  <c r="CD211" i="2" s="1"/>
  <c r="CD212" i="2" s="1"/>
  <c r="CD213" i="2" s="1"/>
  <c r="CD214" i="2" s="1"/>
  <c r="CD215" i="2" s="1"/>
  <c r="CD216" i="2" s="1"/>
  <c r="CD217" i="2" s="1"/>
  <c r="CD218" i="2" s="1"/>
  <c r="CD219" i="2" s="1"/>
  <c r="CD220" i="2" s="1"/>
  <c r="CD221" i="2" s="1"/>
  <c r="CD222" i="2" s="1"/>
  <c r="CD223" i="2" s="1"/>
  <c r="CD224" i="2" s="1"/>
  <c r="CD225" i="2" s="1"/>
  <c r="CD226" i="2" s="1"/>
  <c r="CD227" i="2" s="1"/>
  <c r="CD228" i="2" s="1"/>
  <c r="CD229" i="2" s="1"/>
  <c r="CD230" i="2" s="1"/>
  <c r="CD231" i="2" s="1"/>
  <c r="CD232" i="2" s="1"/>
  <c r="CD233" i="2" s="1"/>
  <c r="CD234" i="2" s="1"/>
  <c r="CD235" i="2" s="1"/>
  <c r="CD236" i="2" s="1"/>
  <c r="CD237" i="2" s="1"/>
  <c r="CD238" i="2" s="1"/>
  <c r="CD239" i="2" s="1"/>
  <c r="CD240" i="2" s="1"/>
  <c r="CD241" i="2" s="1"/>
  <c r="CD242" i="2" s="1"/>
  <c r="CD243" i="2" s="1"/>
  <c r="CD244" i="2" s="1"/>
  <c r="CD245" i="2" s="1"/>
  <c r="CD246" i="2" s="1"/>
  <c r="CD247" i="2" s="1"/>
  <c r="CD248" i="2" s="1"/>
  <c r="CD249" i="2" s="1"/>
  <c r="CD250" i="2" s="1"/>
  <c r="CD251" i="2" s="1"/>
  <c r="CD252" i="2" s="1"/>
  <c r="CD253" i="2" s="1"/>
  <c r="CD254" i="2" s="1"/>
  <c r="CD255" i="2" s="1"/>
  <c r="CD256" i="2" s="1"/>
  <c r="CD257" i="2" s="1"/>
  <c r="CD258" i="2" s="1"/>
  <c r="CD259" i="2" s="1"/>
  <c r="CD260" i="2" s="1"/>
  <c r="CD261" i="2" s="1"/>
  <c r="CD262" i="2" s="1"/>
  <c r="CD263" i="2" s="1"/>
  <c r="CD264" i="2" s="1"/>
  <c r="CD265" i="2" s="1"/>
  <c r="CD266" i="2" s="1"/>
  <c r="CD267" i="2" s="1"/>
  <c r="CD268" i="2" s="1"/>
  <c r="CD269" i="2" s="1"/>
  <c r="CD270" i="2" s="1"/>
  <c r="CD271" i="2" s="1"/>
  <c r="CD272" i="2" s="1"/>
  <c r="CD273" i="2" s="1"/>
  <c r="CD274" i="2" s="1"/>
  <c r="CD275" i="2" s="1"/>
  <c r="CD276" i="2" s="1"/>
  <c r="CD277" i="2" s="1"/>
  <c r="CD278" i="2" s="1"/>
  <c r="CD279" i="2" s="1"/>
  <c r="CD280" i="2" s="1"/>
  <c r="CD281" i="2" s="1"/>
  <c r="CD282" i="2" s="1"/>
  <c r="CD283" i="2" s="1"/>
  <c r="CD284" i="2" s="1"/>
  <c r="CD285" i="2" s="1"/>
  <c r="CD286" i="2" s="1"/>
  <c r="CD287" i="2" s="1"/>
  <c r="CD288" i="2" s="1"/>
  <c r="CD289" i="2" s="1"/>
  <c r="CD290" i="2" s="1"/>
  <c r="CD291" i="2" s="1"/>
  <c r="CD292" i="2" s="1"/>
  <c r="CD293" i="2" s="1"/>
  <c r="CD294" i="2" s="1"/>
  <c r="CD295" i="2" s="1"/>
  <c r="CD296" i="2" s="1"/>
  <c r="CD297" i="2" s="1"/>
  <c r="CD298" i="2" s="1"/>
  <c r="CD299" i="2" s="1"/>
  <c r="CD300" i="2" s="1"/>
  <c r="CD301" i="2" s="1"/>
  <c r="CD302" i="2" s="1"/>
  <c r="CD303" i="2" s="1"/>
  <c r="CD304" i="2" s="1"/>
  <c r="CD305" i="2" s="1"/>
  <c r="CD306" i="2" s="1"/>
  <c r="CD307" i="2" s="1"/>
  <c r="CD308" i="2" s="1"/>
  <c r="CD309" i="2" s="1"/>
  <c r="CD310" i="2" s="1"/>
  <c r="CD311" i="2" s="1"/>
  <c r="CD312" i="2" s="1"/>
  <c r="CD313" i="2" s="1"/>
  <c r="CD314" i="2" s="1"/>
  <c r="CD315" i="2" s="1"/>
  <c r="CD316" i="2" s="1"/>
  <c r="CD317" i="2" s="1"/>
  <c r="CD318" i="2" s="1"/>
  <c r="CD319" i="2" s="1"/>
  <c r="CD320" i="2" s="1"/>
  <c r="CD321" i="2" s="1"/>
  <c r="CD322" i="2" s="1"/>
  <c r="CD323" i="2" s="1"/>
  <c r="CD324" i="2" s="1"/>
  <c r="CD325" i="2" s="1"/>
  <c r="CD326" i="2" s="1"/>
  <c r="CD327" i="2" s="1"/>
  <c r="CD328" i="2" s="1"/>
  <c r="CD329" i="2" s="1"/>
  <c r="CD330" i="2" s="1"/>
  <c r="CD331" i="2" s="1"/>
  <c r="CD332" i="2" s="1"/>
  <c r="CD333" i="2" s="1"/>
  <c r="CD334" i="2" s="1"/>
  <c r="CD335" i="2" s="1"/>
  <c r="CD336" i="2" s="1"/>
  <c r="CD337" i="2" s="1"/>
  <c r="CD338" i="2" s="1"/>
  <c r="CD339" i="2" s="1"/>
  <c r="CD340" i="2" s="1"/>
  <c r="CD341" i="2" s="1"/>
  <c r="CE6" i="2"/>
  <c r="CE7" i="2" s="1"/>
  <c r="CE8" i="2" s="1"/>
  <c r="CE9" i="2" s="1"/>
  <c r="CE10" i="2" s="1"/>
  <c r="CE11" i="2" s="1"/>
  <c r="CE12" i="2" s="1"/>
  <c r="CE13" i="2" s="1"/>
  <c r="CE14" i="2" s="1"/>
  <c r="CE15" i="2" s="1"/>
  <c r="CE16" i="2" s="1"/>
  <c r="CE17" i="2" s="1"/>
  <c r="CE18" i="2" s="1"/>
  <c r="CE19" i="2" s="1"/>
  <c r="CE20" i="2" s="1"/>
  <c r="CE21" i="2" s="1"/>
  <c r="CE22" i="2" s="1"/>
  <c r="CE23" i="2" s="1"/>
  <c r="CE24" i="2" s="1"/>
  <c r="CE25" i="2" s="1"/>
  <c r="CE26" i="2" s="1"/>
  <c r="CE27" i="2" s="1"/>
  <c r="CE28" i="2" s="1"/>
  <c r="CE29" i="2" s="1"/>
  <c r="CE30" i="2" s="1"/>
  <c r="CE31" i="2" s="1"/>
  <c r="CE32" i="2" s="1"/>
  <c r="CE33" i="2" s="1"/>
  <c r="CE34" i="2" s="1"/>
  <c r="CE35" i="2" s="1"/>
  <c r="CE36" i="2" s="1"/>
  <c r="CE37" i="2" s="1"/>
  <c r="CE38" i="2" s="1"/>
  <c r="CE39" i="2" s="1"/>
  <c r="CE40" i="2" s="1"/>
  <c r="CE41" i="2" s="1"/>
  <c r="CE42" i="2" s="1"/>
  <c r="CE43" i="2" s="1"/>
  <c r="CE44" i="2" s="1"/>
  <c r="CE45" i="2" s="1"/>
  <c r="CE46" i="2" s="1"/>
  <c r="CE47" i="2" s="1"/>
  <c r="CE48" i="2" s="1"/>
  <c r="CE49" i="2" s="1"/>
  <c r="CE50" i="2" s="1"/>
  <c r="CE51" i="2" s="1"/>
  <c r="CE52" i="2" s="1"/>
  <c r="CE53" i="2" s="1"/>
  <c r="CE54" i="2" s="1"/>
  <c r="CE55" i="2" s="1"/>
  <c r="CE56" i="2" s="1"/>
  <c r="CE57" i="2" s="1"/>
  <c r="CE58" i="2" s="1"/>
  <c r="CE59" i="2" s="1"/>
  <c r="CE60" i="2" s="1"/>
  <c r="CE61" i="2" s="1"/>
  <c r="CE62" i="2" s="1"/>
  <c r="CE63" i="2" s="1"/>
  <c r="CE64" i="2" s="1"/>
  <c r="CE65" i="2" s="1"/>
  <c r="CE66" i="2" s="1"/>
  <c r="CE67" i="2" s="1"/>
  <c r="CE68" i="2" s="1"/>
  <c r="CE69" i="2" s="1"/>
  <c r="CE70" i="2" s="1"/>
  <c r="CE71" i="2" s="1"/>
  <c r="CE72" i="2" s="1"/>
  <c r="CE73" i="2" s="1"/>
  <c r="CE74" i="2" s="1"/>
  <c r="CE75" i="2" s="1"/>
  <c r="CE76" i="2" s="1"/>
  <c r="CE77" i="2" s="1"/>
  <c r="CE78" i="2" s="1"/>
  <c r="CE79" i="2" s="1"/>
  <c r="CE80" i="2" s="1"/>
  <c r="CE81" i="2" s="1"/>
  <c r="CE82" i="2" s="1"/>
  <c r="CE83" i="2" s="1"/>
  <c r="CE84" i="2" s="1"/>
  <c r="CE85" i="2" s="1"/>
  <c r="CE86" i="2" s="1"/>
  <c r="CE87" i="2" s="1"/>
  <c r="CE88" i="2" s="1"/>
  <c r="CE89" i="2" s="1"/>
  <c r="CE90" i="2" s="1"/>
  <c r="CE91" i="2" s="1"/>
  <c r="CE92" i="2" s="1"/>
  <c r="CE93" i="2" s="1"/>
  <c r="CE94" i="2" s="1"/>
  <c r="CE95" i="2" s="1"/>
  <c r="CE96" i="2" s="1"/>
  <c r="CE97" i="2" s="1"/>
  <c r="CE98" i="2" s="1"/>
  <c r="CE99" i="2" s="1"/>
  <c r="CE100" i="2" s="1"/>
  <c r="CE101" i="2" s="1"/>
  <c r="CE102" i="2" s="1"/>
  <c r="CE103" i="2" s="1"/>
  <c r="CE104" i="2" s="1"/>
  <c r="CE105" i="2" s="1"/>
  <c r="CE106" i="2" s="1"/>
  <c r="CE107" i="2" s="1"/>
  <c r="CE108" i="2" s="1"/>
  <c r="CE109" i="2" s="1"/>
  <c r="CE110" i="2" s="1"/>
  <c r="CE111" i="2" s="1"/>
  <c r="CE112" i="2" s="1"/>
  <c r="CE113" i="2" s="1"/>
  <c r="CE114" i="2" s="1"/>
  <c r="CE115" i="2" s="1"/>
  <c r="CE116" i="2" s="1"/>
  <c r="CE117" i="2" s="1"/>
  <c r="CE118" i="2" s="1"/>
  <c r="CE119" i="2" s="1"/>
  <c r="CE120" i="2" s="1"/>
  <c r="CE121" i="2" s="1"/>
  <c r="CE122" i="2" s="1"/>
  <c r="CE123" i="2" s="1"/>
  <c r="CE124" i="2" s="1"/>
  <c r="CE125" i="2" s="1"/>
  <c r="CE126" i="2" s="1"/>
  <c r="CE127" i="2" s="1"/>
  <c r="CE128" i="2" s="1"/>
  <c r="CE129" i="2" s="1"/>
  <c r="CE130" i="2" s="1"/>
  <c r="CE131" i="2" s="1"/>
  <c r="CE132" i="2" s="1"/>
  <c r="CE133" i="2" s="1"/>
  <c r="CE134" i="2" s="1"/>
  <c r="CE135" i="2" s="1"/>
  <c r="CE136" i="2" s="1"/>
  <c r="CE137" i="2" s="1"/>
  <c r="CE138" i="2" s="1"/>
  <c r="CE139" i="2" s="1"/>
  <c r="CE140" i="2" s="1"/>
  <c r="CE141" i="2" s="1"/>
  <c r="CE142" i="2" s="1"/>
  <c r="CE143" i="2" s="1"/>
  <c r="CE144" i="2" s="1"/>
  <c r="CE145" i="2" s="1"/>
  <c r="CE146" i="2" s="1"/>
  <c r="CE147" i="2" s="1"/>
  <c r="CE148" i="2" s="1"/>
  <c r="CE149" i="2" s="1"/>
  <c r="CE150" i="2" s="1"/>
  <c r="CE151" i="2" s="1"/>
  <c r="CE152" i="2" s="1"/>
  <c r="CE153" i="2" s="1"/>
  <c r="CE154" i="2" s="1"/>
  <c r="CE155" i="2" s="1"/>
  <c r="CE156" i="2" s="1"/>
  <c r="CE157" i="2" s="1"/>
  <c r="CE158" i="2" s="1"/>
  <c r="CE159" i="2" s="1"/>
  <c r="CE160" i="2" s="1"/>
  <c r="CE161" i="2" s="1"/>
  <c r="CE162" i="2" s="1"/>
  <c r="CE163" i="2" s="1"/>
  <c r="CE164" i="2" s="1"/>
  <c r="CE165" i="2" s="1"/>
  <c r="CE166" i="2" s="1"/>
  <c r="CE167" i="2" s="1"/>
  <c r="CE168" i="2" s="1"/>
  <c r="CE169" i="2" s="1"/>
  <c r="CE170" i="2" s="1"/>
  <c r="CE171" i="2" s="1"/>
  <c r="CE172" i="2" s="1"/>
  <c r="CE173" i="2" s="1"/>
  <c r="CE174" i="2" s="1"/>
  <c r="CE175" i="2" s="1"/>
  <c r="CE176" i="2" s="1"/>
  <c r="CE177" i="2" s="1"/>
  <c r="CE178" i="2" s="1"/>
  <c r="CE179" i="2" s="1"/>
  <c r="CE180" i="2" s="1"/>
  <c r="CE181" i="2" s="1"/>
  <c r="CE182" i="2" s="1"/>
  <c r="CE183" i="2" s="1"/>
  <c r="CE184" i="2" s="1"/>
  <c r="CE185" i="2" s="1"/>
  <c r="CE186" i="2" s="1"/>
  <c r="CE187" i="2" s="1"/>
  <c r="CE188" i="2" s="1"/>
  <c r="CE189" i="2" s="1"/>
  <c r="CE190" i="2" s="1"/>
  <c r="CE191" i="2" s="1"/>
  <c r="CE192" i="2" s="1"/>
  <c r="CE193" i="2" s="1"/>
  <c r="CE194" i="2" s="1"/>
  <c r="CE195" i="2" s="1"/>
  <c r="CE196" i="2" s="1"/>
  <c r="CE197" i="2" s="1"/>
  <c r="CE198" i="2" s="1"/>
  <c r="CE199" i="2" s="1"/>
  <c r="CE200" i="2" s="1"/>
  <c r="CE201" i="2" s="1"/>
  <c r="CE202" i="2" s="1"/>
  <c r="CE203" i="2" s="1"/>
  <c r="CE204" i="2" s="1"/>
  <c r="CE205" i="2" s="1"/>
  <c r="CE206" i="2" s="1"/>
  <c r="CE207" i="2" s="1"/>
  <c r="CE208" i="2" s="1"/>
  <c r="CE209" i="2" s="1"/>
  <c r="CE210" i="2" s="1"/>
  <c r="CE211" i="2" s="1"/>
  <c r="CE212" i="2" s="1"/>
  <c r="CE213" i="2" s="1"/>
  <c r="CE214" i="2" s="1"/>
  <c r="CE215" i="2" s="1"/>
  <c r="CE216" i="2" s="1"/>
  <c r="CE217" i="2" s="1"/>
  <c r="CE218" i="2" s="1"/>
  <c r="CE219" i="2" s="1"/>
  <c r="CE220" i="2" s="1"/>
  <c r="CE221" i="2" s="1"/>
  <c r="CE222" i="2" s="1"/>
  <c r="CE223" i="2" s="1"/>
  <c r="CE224" i="2" s="1"/>
  <c r="CE225" i="2" s="1"/>
  <c r="CE226" i="2" s="1"/>
  <c r="CE227" i="2" s="1"/>
  <c r="CE228" i="2" s="1"/>
  <c r="CE229" i="2" s="1"/>
  <c r="CE230" i="2" s="1"/>
  <c r="CE231" i="2" s="1"/>
  <c r="CE232" i="2" s="1"/>
  <c r="CE233" i="2" s="1"/>
  <c r="CE234" i="2" s="1"/>
  <c r="CE235" i="2" s="1"/>
  <c r="CE236" i="2" s="1"/>
  <c r="CE237" i="2" s="1"/>
  <c r="CE238" i="2" s="1"/>
  <c r="CE239" i="2" s="1"/>
  <c r="CE240" i="2" s="1"/>
  <c r="CE241" i="2" s="1"/>
  <c r="CE242" i="2" s="1"/>
  <c r="CE243" i="2" s="1"/>
  <c r="CE244" i="2" s="1"/>
  <c r="CE245" i="2" s="1"/>
  <c r="CE246" i="2" s="1"/>
  <c r="CE247" i="2" s="1"/>
  <c r="CE248" i="2" s="1"/>
  <c r="CE249" i="2" s="1"/>
  <c r="CE250" i="2" s="1"/>
  <c r="CE251" i="2" s="1"/>
  <c r="CE252" i="2" s="1"/>
  <c r="CE253" i="2" s="1"/>
  <c r="CE254" i="2" s="1"/>
  <c r="CE255" i="2" s="1"/>
  <c r="CE256" i="2" s="1"/>
  <c r="CE257" i="2" s="1"/>
  <c r="CE258" i="2" s="1"/>
  <c r="CE259" i="2" s="1"/>
  <c r="CE260" i="2" s="1"/>
  <c r="CE261" i="2" s="1"/>
  <c r="CE262" i="2" s="1"/>
  <c r="CE263" i="2" s="1"/>
  <c r="CE264" i="2" s="1"/>
  <c r="CE265" i="2" s="1"/>
  <c r="CE266" i="2" s="1"/>
  <c r="CE267" i="2" s="1"/>
  <c r="CE268" i="2" s="1"/>
  <c r="CE269" i="2" s="1"/>
  <c r="CE270" i="2" s="1"/>
  <c r="CE271" i="2" s="1"/>
  <c r="CE272" i="2" s="1"/>
  <c r="CE273" i="2" s="1"/>
  <c r="CE274" i="2" s="1"/>
  <c r="CE275" i="2" s="1"/>
  <c r="CE276" i="2" s="1"/>
  <c r="CE277" i="2" s="1"/>
  <c r="CE278" i="2" s="1"/>
  <c r="CE279" i="2" s="1"/>
  <c r="CE280" i="2" s="1"/>
  <c r="CE281" i="2" s="1"/>
  <c r="CE282" i="2" s="1"/>
  <c r="CE283" i="2" s="1"/>
  <c r="CE284" i="2" s="1"/>
  <c r="CE285" i="2" s="1"/>
  <c r="CE286" i="2" s="1"/>
  <c r="CE287" i="2" s="1"/>
  <c r="CE288" i="2" s="1"/>
  <c r="CE289" i="2" s="1"/>
  <c r="CE290" i="2" s="1"/>
  <c r="CE291" i="2" s="1"/>
  <c r="CE292" i="2" s="1"/>
  <c r="CE293" i="2" s="1"/>
  <c r="CE294" i="2" s="1"/>
  <c r="CE295" i="2" s="1"/>
  <c r="CE296" i="2" s="1"/>
  <c r="CE297" i="2" s="1"/>
  <c r="CE298" i="2" s="1"/>
  <c r="CE299" i="2" s="1"/>
  <c r="CE300" i="2" s="1"/>
  <c r="CE301" i="2" s="1"/>
  <c r="CE302" i="2" s="1"/>
  <c r="CE303" i="2" s="1"/>
  <c r="CE304" i="2" s="1"/>
  <c r="CE305" i="2" s="1"/>
  <c r="CE306" i="2" s="1"/>
  <c r="CE307" i="2" s="1"/>
  <c r="CE308" i="2" s="1"/>
  <c r="CE309" i="2" s="1"/>
  <c r="CE310" i="2" s="1"/>
  <c r="CE311" i="2" s="1"/>
  <c r="CE312" i="2" s="1"/>
  <c r="CE313" i="2" s="1"/>
  <c r="CE314" i="2" s="1"/>
  <c r="CE315" i="2" s="1"/>
  <c r="CE316" i="2" s="1"/>
  <c r="CE317" i="2" s="1"/>
  <c r="CE318" i="2" s="1"/>
  <c r="CE319" i="2" s="1"/>
  <c r="CE320" i="2" s="1"/>
  <c r="CE321" i="2" s="1"/>
  <c r="CE322" i="2" s="1"/>
  <c r="CE323" i="2" s="1"/>
  <c r="CE324" i="2" s="1"/>
  <c r="CE325" i="2" s="1"/>
  <c r="CE326" i="2" s="1"/>
  <c r="CE327" i="2" s="1"/>
  <c r="CE328" i="2" s="1"/>
  <c r="CE329" i="2" s="1"/>
  <c r="CE330" i="2" s="1"/>
  <c r="CE331" i="2" s="1"/>
  <c r="CE332" i="2" s="1"/>
  <c r="CE333" i="2" s="1"/>
  <c r="CE334" i="2" s="1"/>
  <c r="CE335" i="2" s="1"/>
  <c r="CE336" i="2" s="1"/>
  <c r="CE337" i="2" s="1"/>
  <c r="CE338" i="2" s="1"/>
  <c r="CE339" i="2" s="1"/>
  <c r="CE340" i="2" s="1"/>
  <c r="CE341" i="2" s="1"/>
  <c r="CG12" i="2"/>
  <c r="CG13" i="2" s="1"/>
  <c r="CG14" i="2" s="1"/>
  <c r="CG15" i="2" s="1"/>
  <c r="CG16" i="2" s="1"/>
  <c r="CG17" i="2" s="1"/>
  <c r="CG18" i="2" s="1"/>
  <c r="CG19" i="2" s="1"/>
  <c r="CG20" i="2" s="1"/>
  <c r="CG21" i="2" s="1"/>
  <c r="CG22" i="2" s="1"/>
  <c r="CG23" i="2" s="1"/>
  <c r="CG24" i="2" s="1"/>
  <c r="CG25" i="2" s="1"/>
  <c r="CG26" i="2" s="1"/>
  <c r="CG27" i="2" s="1"/>
  <c r="CG28" i="2" s="1"/>
  <c r="CG29" i="2" s="1"/>
  <c r="CG30" i="2" s="1"/>
  <c r="CG31" i="2" s="1"/>
  <c r="CG32" i="2" s="1"/>
  <c r="CG33" i="2" s="1"/>
  <c r="CG34" i="2" s="1"/>
  <c r="CG35" i="2" s="1"/>
  <c r="CG36" i="2" s="1"/>
  <c r="CG37" i="2" s="1"/>
  <c r="CG38" i="2" s="1"/>
  <c r="CG39" i="2" s="1"/>
  <c r="CG40" i="2" s="1"/>
  <c r="CG41" i="2" s="1"/>
  <c r="CG42" i="2" s="1"/>
  <c r="CG43" i="2" s="1"/>
  <c r="CG44" i="2" s="1"/>
  <c r="CG45" i="2" s="1"/>
  <c r="CG46" i="2" s="1"/>
  <c r="CG47" i="2" s="1"/>
  <c r="CG48" i="2" s="1"/>
  <c r="CG49" i="2" s="1"/>
  <c r="CG50" i="2" s="1"/>
  <c r="CG51" i="2" s="1"/>
  <c r="CG52" i="2" s="1"/>
  <c r="CG53" i="2" s="1"/>
  <c r="CG54" i="2" s="1"/>
  <c r="CG55" i="2" s="1"/>
  <c r="CG56" i="2" s="1"/>
  <c r="CG57" i="2" s="1"/>
  <c r="CG58" i="2" s="1"/>
  <c r="CG59" i="2" s="1"/>
  <c r="CG60" i="2" s="1"/>
  <c r="CG61" i="2" s="1"/>
  <c r="CG62" i="2" s="1"/>
  <c r="CG63" i="2" s="1"/>
  <c r="CG64" i="2" s="1"/>
  <c r="CG65" i="2" s="1"/>
  <c r="CG66" i="2" s="1"/>
  <c r="CG67" i="2" s="1"/>
  <c r="CG68" i="2" s="1"/>
  <c r="CG69" i="2" s="1"/>
  <c r="CG70" i="2" s="1"/>
  <c r="CG71" i="2" s="1"/>
  <c r="CG72" i="2" s="1"/>
  <c r="CG73" i="2" s="1"/>
  <c r="CG74" i="2" s="1"/>
  <c r="CG75" i="2" s="1"/>
  <c r="CG76" i="2" s="1"/>
  <c r="CG77" i="2" s="1"/>
  <c r="CG78" i="2" s="1"/>
  <c r="CG79" i="2" s="1"/>
  <c r="CG80" i="2" s="1"/>
  <c r="CG81" i="2" s="1"/>
  <c r="CG82" i="2" s="1"/>
  <c r="CG83" i="2" s="1"/>
  <c r="CG84" i="2" s="1"/>
  <c r="CG85" i="2" s="1"/>
  <c r="CG86" i="2" s="1"/>
  <c r="CG87" i="2" s="1"/>
  <c r="CG88" i="2" s="1"/>
  <c r="CG89" i="2" s="1"/>
  <c r="CG90" i="2" s="1"/>
  <c r="CG91" i="2" s="1"/>
  <c r="CG92" i="2" s="1"/>
  <c r="CG93" i="2" s="1"/>
  <c r="CG94" i="2" s="1"/>
  <c r="CG95" i="2" s="1"/>
  <c r="CG96" i="2" s="1"/>
  <c r="CG97" i="2" s="1"/>
  <c r="CG98" i="2" s="1"/>
  <c r="CG99" i="2" s="1"/>
  <c r="CG100" i="2" s="1"/>
  <c r="CG101" i="2" s="1"/>
  <c r="CG102" i="2" s="1"/>
  <c r="CG103" i="2" s="1"/>
  <c r="CG104" i="2" s="1"/>
  <c r="CG105" i="2" s="1"/>
  <c r="CG106" i="2" s="1"/>
  <c r="CG107" i="2" s="1"/>
  <c r="CG108" i="2" s="1"/>
  <c r="CG109" i="2" s="1"/>
  <c r="CG110" i="2" s="1"/>
  <c r="CG111" i="2" s="1"/>
  <c r="CG112" i="2" s="1"/>
  <c r="CG113" i="2" s="1"/>
  <c r="CG114" i="2" s="1"/>
  <c r="CG115" i="2" s="1"/>
  <c r="CG116" i="2" s="1"/>
  <c r="CG117" i="2" s="1"/>
  <c r="CG118" i="2" s="1"/>
  <c r="CG119" i="2" s="1"/>
  <c r="CG120" i="2" s="1"/>
  <c r="CG121" i="2" s="1"/>
  <c r="CG122" i="2" s="1"/>
  <c r="CG123" i="2" s="1"/>
  <c r="CG124" i="2" s="1"/>
  <c r="CG125" i="2" s="1"/>
  <c r="CG126" i="2" s="1"/>
  <c r="CG127" i="2" s="1"/>
  <c r="CG128" i="2" s="1"/>
  <c r="CG129" i="2" s="1"/>
  <c r="CG130" i="2" s="1"/>
  <c r="CG131" i="2" s="1"/>
  <c r="CG132" i="2" s="1"/>
  <c r="CG133" i="2" s="1"/>
  <c r="CG134" i="2" s="1"/>
  <c r="CG135" i="2" s="1"/>
  <c r="CG136" i="2" s="1"/>
  <c r="CG137" i="2" s="1"/>
  <c r="CG138" i="2" s="1"/>
  <c r="CG139" i="2" s="1"/>
  <c r="CG140" i="2" s="1"/>
  <c r="CG141" i="2" s="1"/>
  <c r="CG142" i="2" s="1"/>
  <c r="CG143" i="2" s="1"/>
  <c r="CG144" i="2" s="1"/>
  <c r="CG145" i="2" s="1"/>
  <c r="CG146" i="2" s="1"/>
  <c r="CG147" i="2" s="1"/>
  <c r="CG148" i="2" s="1"/>
  <c r="CG149" i="2" s="1"/>
  <c r="CG150" i="2" s="1"/>
  <c r="CG151" i="2" s="1"/>
  <c r="CG152" i="2" s="1"/>
  <c r="CG153" i="2" s="1"/>
  <c r="CG154" i="2" s="1"/>
  <c r="CG155" i="2" s="1"/>
  <c r="CG156" i="2" s="1"/>
  <c r="CG157" i="2" s="1"/>
  <c r="CG158" i="2" s="1"/>
  <c r="CG159" i="2" s="1"/>
  <c r="CG160" i="2" s="1"/>
  <c r="CG161" i="2" s="1"/>
  <c r="CG162" i="2" s="1"/>
  <c r="CG163" i="2" s="1"/>
  <c r="CG164" i="2" s="1"/>
  <c r="CG165" i="2" s="1"/>
  <c r="CG166" i="2" s="1"/>
  <c r="CG167" i="2" s="1"/>
  <c r="CG168" i="2" s="1"/>
  <c r="CG169" i="2" s="1"/>
  <c r="CG170" i="2" s="1"/>
  <c r="CG171" i="2" s="1"/>
  <c r="CG172" i="2" s="1"/>
  <c r="CG173" i="2" s="1"/>
  <c r="CG174" i="2" s="1"/>
  <c r="CG175" i="2" s="1"/>
  <c r="CG176" i="2" s="1"/>
  <c r="CG177" i="2" s="1"/>
  <c r="CG178" i="2" s="1"/>
  <c r="CG179" i="2" s="1"/>
  <c r="CG180" i="2" s="1"/>
  <c r="CG181" i="2" s="1"/>
  <c r="CG182" i="2" s="1"/>
  <c r="CG183" i="2" s="1"/>
  <c r="CG184" i="2" s="1"/>
  <c r="CG185" i="2" s="1"/>
  <c r="CG186" i="2" s="1"/>
  <c r="CG187" i="2" s="1"/>
  <c r="CG188" i="2" s="1"/>
  <c r="CG189" i="2" s="1"/>
  <c r="CG190" i="2" s="1"/>
  <c r="CG191" i="2" s="1"/>
  <c r="CG192" i="2" s="1"/>
  <c r="CG193" i="2" s="1"/>
  <c r="CG194" i="2" s="1"/>
  <c r="CG195" i="2" s="1"/>
  <c r="CG196" i="2" s="1"/>
  <c r="CG197" i="2" s="1"/>
  <c r="CG198" i="2" s="1"/>
  <c r="CG199" i="2" s="1"/>
  <c r="CG200" i="2" s="1"/>
  <c r="CG201" i="2" s="1"/>
  <c r="CG202" i="2" s="1"/>
  <c r="CG203" i="2" s="1"/>
  <c r="CG204" i="2" s="1"/>
  <c r="CG205" i="2" s="1"/>
  <c r="CG206" i="2" s="1"/>
  <c r="CG207" i="2" s="1"/>
  <c r="CG208" i="2" s="1"/>
  <c r="CG209" i="2" s="1"/>
  <c r="CG210" i="2" s="1"/>
  <c r="CG211" i="2" s="1"/>
  <c r="CG212" i="2" s="1"/>
  <c r="CG213" i="2" s="1"/>
  <c r="CG214" i="2" s="1"/>
  <c r="CG215" i="2" s="1"/>
  <c r="CG216" i="2" s="1"/>
  <c r="CG217" i="2" s="1"/>
  <c r="CG218" i="2" s="1"/>
  <c r="CG219" i="2" s="1"/>
  <c r="CG220" i="2" s="1"/>
  <c r="CG221" i="2" s="1"/>
  <c r="CG222" i="2" s="1"/>
  <c r="CG223" i="2" s="1"/>
  <c r="CG224" i="2" s="1"/>
  <c r="CG225" i="2" s="1"/>
  <c r="CG226" i="2" s="1"/>
  <c r="CG227" i="2" s="1"/>
  <c r="CG228" i="2" s="1"/>
  <c r="CG229" i="2" s="1"/>
  <c r="CG230" i="2" s="1"/>
  <c r="CG231" i="2" s="1"/>
  <c r="CG232" i="2" s="1"/>
  <c r="CG233" i="2" s="1"/>
  <c r="CG234" i="2" s="1"/>
  <c r="CG235" i="2" s="1"/>
  <c r="CG236" i="2" s="1"/>
  <c r="CG237" i="2" s="1"/>
  <c r="CG238" i="2" s="1"/>
  <c r="CG239" i="2" s="1"/>
  <c r="CG240" i="2" s="1"/>
  <c r="CG241" i="2" s="1"/>
  <c r="CG242" i="2" s="1"/>
  <c r="CG243" i="2" s="1"/>
  <c r="CG244" i="2" s="1"/>
  <c r="CG245" i="2" s="1"/>
  <c r="CG246" i="2" s="1"/>
  <c r="CG247" i="2" s="1"/>
  <c r="CG248" i="2" s="1"/>
  <c r="CG249" i="2" s="1"/>
  <c r="CG250" i="2" s="1"/>
  <c r="CG251" i="2" s="1"/>
  <c r="CG252" i="2" s="1"/>
  <c r="CG253" i="2" s="1"/>
  <c r="CG254" i="2" s="1"/>
  <c r="CG255" i="2" s="1"/>
  <c r="CG256" i="2" s="1"/>
  <c r="CG257" i="2" s="1"/>
  <c r="CG258" i="2" s="1"/>
  <c r="CG259" i="2" s="1"/>
  <c r="CG260" i="2" s="1"/>
  <c r="CG261" i="2" s="1"/>
  <c r="CG262" i="2" s="1"/>
  <c r="CG263" i="2" s="1"/>
  <c r="CG264" i="2" s="1"/>
  <c r="CG265" i="2" s="1"/>
  <c r="CG266" i="2" s="1"/>
  <c r="CG267" i="2" s="1"/>
  <c r="CG268" i="2" s="1"/>
  <c r="CG269" i="2" s="1"/>
  <c r="CG270" i="2" s="1"/>
  <c r="CG271" i="2" s="1"/>
  <c r="CG272" i="2" s="1"/>
  <c r="CG273" i="2" s="1"/>
  <c r="CG274" i="2" s="1"/>
  <c r="CG275" i="2" s="1"/>
  <c r="CG276" i="2" s="1"/>
  <c r="CG277" i="2" s="1"/>
  <c r="CG278" i="2" s="1"/>
  <c r="CG279" i="2" s="1"/>
  <c r="CG280" i="2" s="1"/>
  <c r="CG281" i="2" s="1"/>
  <c r="CG282" i="2" s="1"/>
  <c r="CG283" i="2" s="1"/>
  <c r="CG284" i="2" s="1"/>
  <c r="CG285" i="2" s="1"/>
  <c r="CG286" i="2" s="1"/>
  <c r="CG287" i="2" s="1"/>
  <c r="CG288" i="2" s="1"/>
  <c r="CG289" i="2" s="1"/>
  <c r="CG290" i="2" s="1"/>
  <c r="CG291" i="2" s="1"/>
  <c r="CG292" i="2" s="1"/>
  <c r="CG293" i="2" s="1"/>
  <c r="CG294" i="2" s="1"/>
  <c r="CG295" i="2" s="1"/>
  <c r="CG296" i="2" s="1"/>
  <c r="CG297" i="2" s="1"/>
  <c r="CG298" i="2" s="1"/>
  <c r="CG299" i="2" s="1"/>
  <c r="CG300" i="2" s="1"/>
  <c r="CG301" i="2" s="1"/>
  <c r="CG302" i="2" s="1"/>
  <c r="CG303" i="2" s="1"/>
  <c r="CG304" i="2" s="1"/>
  <c r="CG305" i="2" s="1"/>
  <c r="CG306" i="2" s="1"/>
  <c r="CG307" i="2" s="1"/>
  <c r="CG308" i="2" s="1"/>
  <c r="CG309" i="2" s="1"/>
  <c r="CG310" i="2" s="1"/>
  <c r="CG311" i="2" s="1"/>
  <c r="CG312" i="2" s="1"/>
  <c r="CG313" i="2" s="1"/>
  <c r="CG314" i="2" s="1"/>
  <c r="CG315" i="2" s="1"/>
  <c r="CG316" i="2" s="1"/>
  <c r="CG317" i="2" s="1"/>
  <c r="CG318" i="2" s="1"/>
  <c r="CG319" i="2" s="1"/>
  <c r="CG320" i="2" s="1"/>
  <c r="CG321" i="2" s="1"/>
  <c r="CG322" i="2" s="1"/>
  <c r="CG323" i="2" s="1"/>
  <c r="CG324" i="2" s="1"/>
  <c r="CG325" i="2" s="1"/>
  <c r="CG326" i="2" s="1"/>
  <c r="CG327" i="2" s="1"/>
  <c r="CG328" i="2" s="1"/>
  <c r="CG329" i="2" s="1"/>
  <c r="CG330" i="2" s="1"/>
  <c r="CG331" i="2" s="1"/>
  <c r="CG332" i="2" s="1"/>
  <c r="CG333" i="2" s="1"/>
  <c r="CG334" i="2" s="1"/>
  <c r="CG335" i="2" s="1"/>
  <c r="CG336" i="2" s="1"/>
  <c r="CG337" i="2" s="1"/>
  <c r="CG338" i="2" s="1"/>
  <c r="CG339" i="2" s="1"/>
  <c r="CG340" i="2" s="1"/>
  <c r="CG341" i="2" s="1"/>
  <c r="CZ7" i="2"/>
  <c r="CZ8" i="2" s="1"/>
  <c r="CZ9" i="2" s="1"/>
  <c r="CZ10" i="2" s="1"/>
  <c r="CZ11" i="2" s="1"/>
  <c r="CZ12" i="2" s="1"/>
  <c r="CZ13" i="2" s="1"/>
  <c r="CZ14" i="2" s="1"/>
  <c r="CZ15" i="2" s="1"/>
  <c r="CZ16" i="2" s="1"/>
  <c r="CZ17" i="2" s="1"/>
  <c r="CZ18" i="2" s="1"/>
  <c r="CZ19" i="2" s="1"/>
  <c r="CZ20" i="2" s="1"/>
  <c r="CZ21" i="2" s="1"/>
  <c r="CZ22" i="2" s="1"/>
  <c r="CZ23" i="2" s="1"/>
  <c r="CZ24" i="2" s="1"/>
  <c r="CZ25" i="2" s="1"/>
  <c r="CZ26" i="2" s="1"/>
  <c r="CZ27" i="2" s="1"/>
  <c r="CZ28" i="2" s="1"/>
  <c r="CZ29" i="2" s="1"/>
  <c r="CZ30" i="2" s="1"/>
  <c r="CZ31" i="2" s="1"/>
  <c r="CZ32" i="2" s="1"/>
  <c r="CZ33" i="2" s="1"/>
  <c r="CZ34" i="2" s="1"/>
  <c r="CZ35" i="2" s="1"/>
  <c r="CZ36" i="2" s="1"/>
  <c r="CZ37" i="2" s="1"/>
  <c r="CZ38" i="2" s="1"/>
  <c r="CZ39" i="2" s="1"/>
  <c r="CZ40" i="2" s="1"/>
  <c r="CZ41" i="2" s="1"/>
  <c r="CZ42" i="2" s="1"/>
  <c r="CZ43" i="2" s="1"/>
  <c r="CZ44" i="2" s="1"/>
  <c r="CZ45" i="2" s="1"/>
  <c r="CZ46" i="2" s="1"/>
  <c r="CZ47" i="2" s="1"/>
  <c r="CZ48" i="2" s="1"/>
  <c r="CZ49" i="2" s="1"/>
  <c r="CZ50" i="2" s="1"/>
  <c r="CZ51" i="2" s="1"/>
  <c r="CZ52" i="2" s="1"/>
  <c r="CZ53" i="2" s="1"/>
  <c r="CZ54" i="2" s="1"/>
  <c r="CZ55" i="2" s="1"/>
  <c r="CZ56" i="2" s="1"/>
  <c r="CZ57" i="2" s="1"/>
  <c r="CZ58" i="2" s="1"/>
  <c r="CZ59" i="2" s="1"/>
  <c r="CZ60" i="2" s="1"/>
  <c r="CZ61" i="2" s="1"/>
  <c r="CZ62" i="2" s="1"/>
  <c r="CZ63" i="2" s="1"/>
  <c r="CZ64" i="2" s="1"/>
  <c r="CZ65" i="2" s="1"/>
  <c r="CZ66" i="2" s="1"/>
  <c r="CZ67" i="2" s="1"/>
  <c r="CZ68" i="2" s="1"/>
  <c r="CZ69" i="2" s="1"/>
  <c r="CZ70" i="2" s="1"/>
  <c r="CZ71" i="2" s="1"/>
  <c r="CZ72" i="2" s="1"/>
  <c r="CZ73" i="2" s="1"/>
  <c r="CZ74" i="2" s="1"/>
  <c r="CZ75" i="2" s="1"/>
  <c r="CZ76" i="2" s="1"/>
  <c r="CZ77" i="2" s="1"/>
  <c r="CZ78" i="2" s="1"/>
  <c r="CZ79" i="2" s="1"/>
  <c r="CZ80" i="2" s="1"/>
  <c r="CZ81" i="2" s="1"/>
  <c r="CZ82" i="2" s="1"/>
  <c r="CZ83" i="2" s="1"/>
  <c r="CZ84" i="2" s="1"/>
  <c r="CZ85" i="2" s="1"/>
  <c r="CZ86" i="2" s="1"/>
  <c r="CZ87" i="2" s="1"/>
  <c r="CZ88" i="2" s="1"/>
  <c r="CZ89" i="2" s="1"/>
  <c r="CZ90" i="2" s="1"/>
  <c r="CZ91" i="2" s="1"/>
  <c r="CZ92" i="2" s="1"/>
  <c r="CZ93" i="2" s="1"/>
  <c r="CZ94" i="2" s="1"/>
  <c r="CZ95" i="2" s="1"/>
  <c r="CZ96" i="2" s="1"/>
  <c r="CZ97" i="2" s="1"/>
  <c r="CZ98" i="2" s="1"/>
  <c r="CZ99" i="2" s="1"/>
  <c r="CZ100" i="2" s="1"/>
  <c r="CZ101" i="2" s="1"/>
  <c r="CZ102" i="2" s="1"/>
  <c r="CZ103" i="2" s="1"/>
  <c r="CZ104" i="2" s="1"/>
  <c r="CZ105" i="2" s="1"/>
  <c r="CZ106" i="2" s="1"/>
  <c r="CZ107" i="2" s="1"/>
  <c r="CZ108" i="2" s="1"/>
  <c r="CZ109" i="2" s="1"/>
  <c r="CZ110" i="2" s="1"/>
  <c r="CZ111" i="2" s="1"/>
  <c r="CZ112" i="2" s="1"/>
  <c r="CZ113" i="2" s="1"/>
  <c r="CZ114" i="2" s="1"/>
  <c r="CZ115" i="2" s="1"/>
  <c r="CZ116" i="2" s="1"/>
  <c r="CZ117" i="2" s="1"/>
  <c r="CZ118" i="2" s="1"/>
  <c r="CZ119" i="2" s="1"/>
  <c r="CZ120" i="2" s="1"/>
  <c r="CZ121" i="2" s="1"/>
  <c r="CZ122" i="2" s="1"/>
  <c r="CZ123" i="2" s="1"/>
  <c r="CZ124" i="2" s="1"/>
  <c r="CZ125" i="2" s="1"/>
  <c r="CZ126" i="2" s="1"/>
  <c r="CZ127" i="2" s="1"/>
  <c r="CZ128" i="2" s="1"/>
  <c r="CZ129" i="2" s="1"/>
  <c r="CZ130" i="2" s="1"/>
  <c r="CZ131" i="2" s="1"/>
  <c r="CZ132" i="2" s="1"/>
  <c r="CZ133" i="2" s="1"/>
  <c r="CZ134" i="2" s="1"/>
  <c r="CZ135" i="2" s="1"/>
  <c r="CZ136" i="2" s="1"/>
  <c r="CZ137" i="2" s="1"/>
  <c r="CZ138" i="2" s="1"/>
  <c r="CZ139" i="2" s="1"/>
  <c r="CZ140" i="2" s="1"/>
  <c r="CZ141" i="2" s="1"/>
  <c r="CZ142" i="2" s="1"/>
  <c r="CZ143" i="2" s="1"/>
  <c r="CZ144" i="2" s="1"/>
  <c r="CZ145" i="2" s="1"/>
  <c r="CZ146" i="2" s="1"/>
  <c r="CZ147" i="2" s="1"/>
  <c r="CZ148" i="2" s="1"/>
  <c r="CZ149" i="2" s="1"/>
  <c r="CZ150" i="2" s="1"/>
  <c r="CZ151" i="2" s="1"/>
  <c r="CZ152" i="2" s="1"/>
  <c r="CZ153" i="2" s="1"/>
  <c r="CZ154" i="2" s="1"/>
  <c r="CZ155" i="2" s="1"/>
  <c r="CZ156" i="2" s="1"/>
  <c r="CZ157" i="2" s="1"/>
  <c r="CZ158" i="2" s="1"/>
  <c r="CZ159" i="2" s="1"/>
  <c r="CZ160" i="2" s="1"/>
  <c r="CZ161" i="2" s="1"/>
  <c r="CZ162" i="2" s="1"/>
  <c r="CZ163" i="2" s="1"/>
  <c r="CZ164" i="2" s="1"/>
  <c r="CZ165" i="2" s="1"/>
  <c r="CZ166" i="2" s="1"/>
  <c r="CZ167" i="2" s="1"/>
  <c r="CZ168" i="2" s="1"/>
  <c r="CZ169" i="2" s="1"/>
  <c r="CZ170" i="2" s="1"/>
  <c r="CZ171" i="2" s="1"/>
  <c r="CZ172" i="2" s="1"/>
  <c r="CZ173" i="2" s="1"/>
  <c r="CZ174" i="2" s="1"/>
  <c r="CZ175" i="2" s="1"/>
  <c r="CZ176" i="2" s="1"/>
  <c r="CZ177" i="2" s="1"/>
  <c r="CZ178" i="2" s="1"/>
  <c r="CZ179" i="2" s="1"/>
  <c r="CZ180" i="2" s="1"/>
  <c r="CZ181" i="2" s="1"/>
  <c r="CZ182" i="2" s="1"/>
  <c r="CZ183" i="2" s="1"/>
  <c r="CZ184" i="2" s="1"/>
  <c r="CZ185" i="2" s="1"/>
  <c r="CZ186" i="2" s="1"/>
  <c r="CZ187" i="2" s="1"/>
  <c r="CZ188" i="2" s="1"/>
  <c r="CZ189" i="2" s="1"/>
  <c r="CZ190" i="2" s="1"/>
  <c r="CZ191" i="2" s="1"/>
  <c r="CZ192" i="2" s="1"/>
  <c r="CZ193" i="2" s="1"/>
  <c r="CZ194" i="2" s="1"/>
  <c r="CZ195" i="2" s="1"/>
  <c r="CZ196" i="2" s="1"/>
  <c r="CZ197" i="2" s="1"/>
  <c r="CZ198" i="2" s="1"/>
  <c r="CZ199" i="2" s="1"/>
  <c r="CZ200" i="2" s="1"/>
  <c r="CZ201" i="2" s="1"/>
  <c r="CZ202" i="2" s="1"/>
  <c r="CZ203" i="2" s="1"/>
  <c r="CZ204" i="2" s="1"/>
  <c r="CZ205" i="2" s="1"/>
  <c r="CZ206" i="2" s="1"/>
  <c r="CZ207" i="2" s="1"/>
  <c r="CZ208" i="2" s="1"/>
  <c r="CZ209" i="2" s="1"/>
  <c r="CZ210" i="2" s="1"/>
  <c r="CZ211" i="2" s="1"/>
  <c r="CZ212" i="2" s="1"/>
  <c r="CZ213" i="2" s="1"/>
  <c r="CZ214" i="2" s="1"/>
  <c r="CZ215" i="2" s="1"/>
  <c r="CZ216" i="2" s="1"/>
  <c r="CZ217" i="2" s="1"/>
  <c r="CZ218" i="2" s="1"/>
  <c r="CZ219" i="2" s="1"/>
  <c r="CZ220" i="2" s="1"/>
  <c r="CZ221" i="2" s="1"/>
  <c r="CZ222" i="2" s="1"/>
  <c r="CZ223" i="2" s="1"/>
  <c r="CZ224" i="2" s="1"/>
  <c r="CZ225" i="2" s="1"/>
  <c r="CZ226" i="2" s="1"/>
  <c r="CZ227" i="2" s="1"/>
  <c r="CZ228" i="2" s="1"/>
  <c r="CZ229" i="2" s="1"/>
  <c r="CZ230" i="2" s="1"/>
  <c r="CZ231" i="2" s="1"/>
  <c r="CZ232" i="2" s="1"/>
  <c r="CZ233" i="2" s="1"/>
  <c r="CZ234" i="2" s="1"/>
  <c r="CZ235" i="2" s="1"/>
  <c r="CZ236" i="2" s="1"/>
  <c r="CZ237" i="2" s="1"/>
  <c r="CZ238" i="2" s="1"/>
  <c r="CZ239" i="2" s="1"/>
  <c r="CZ240" i="2" s="1"/>
  <c r="CZ241" i="2" s="1"/>
  <c r="CZ242" i="2" s="1"/>
  <c r="CZ243" i="2" s="1"/>
  <c r="CZ244" i="2" s="1"/>
  <c r="CZ245" i="2" s="1"/>
  <c r="CZ246" i="2" s="1"/>
  <c r="CZ247" i="2" s="1"/>
  <c r="CZ248" i="2" s="1"/>
  <c r="CZ249" i="2" s="1"/>
  <c r="CZ250" i="2" s="1"/>
  <c r="CZ251" i="2" s="1"/>
  <c r="CZ252" i="2" s="1"/>
  <c r="CZ253" i="2" s="1"/>
  <c r="CZ254" i="2" s="1"/>
  <c r="CZ255" i="2" s="1"/>
  <c r="CZ256" i="2" s="1"/>
  <c r="CZ257" i="2" s="1"/>
  <c r="CZ258" i="2" s="1"/>
  <c r="CZ259" i="2" s="1"/>
  <c r="CZ260" i="2" s="1"/>
  <c r="CZ261" i="2" s="1"/>
  <c r="CZ262" i="2" s="1"/>
  <c r="CZ263" i="2" s="1"/>
  <c r="CZ264" i="2" s="1"/>
  <c r="CZ265" i="2" s="1"/>
  <c r="CZ266" i="2" s="1"/>
  <c r="CZ267" i="2" s="1"/>
  <c r="CZ268" i="2" s="1"/>
  <c r="CZ269" i="2" s="1"/>
  <c r="CZ270" i="2" s="1"/>
  <c r="CZ271" i="2" s="1"/>
  <c r="CZ272" i="2" s="1"/>
  <c r="CZ273" i="2" s="1"/>
  <c r="CZ274" i="2" s="1"/>
  <c r="CZ275" i="2" s="1"/>
  <c r="CZ276" i="2" s="1"/>
  <c r="CZ277" i="2" s="1"/>
  <c r="CZ278" i="2" s="1"/>
  <c r="CZ279" i="2" s="1"/>
  <c r="CZ280" i="2" s="1"/>
  <c r="CZ281" i="2" s="1"/>
  <c r="CZ282" i="2" s="1"/>
  <c r="CZ283" i="2" s="1"/>
  <c r="CZ284" i="2" s="1"/>
  <c r="CZ285" i="2" s="1"/>
  <c r="CZ286" i="2" s="1"/>
  <c r="CZ287" i="2" s="1"/>
  <c r="CZ288" i="2" s="1"/>
  <c r="CZ289" i="2" s="1"/>
  <c r="CZ290" i="2" s="1"/>
  <c r="CZ291" i="2" s="1"/>
  <c r="CZ292" i="2" s="1"/>
  <c r="CZ293" i="2" s="1"/>
  <c r="CZ294" i="2" s="1"/>
  <c r="CZ295" i="2" s="1"/>
  <c r="CZ296" i="2" s="1"/>
  <c r="CZ297" i="2" s="1"/>
  <c r="CZ298" i="2" s="1"/>
  <c r="CZ299" i="2" s="1"/>
  <c r="CZ300" i="2" s="1"/>
  <c r="CZ301" i="2" s="1"/>
  <c r="CZ302" i="2" s="1"/>
  <c r="CZ303" i="2" s="1"/>
  <c r="CZ304" i="2" s="1"/>
  <c r="CZ305" i="2" s="1"/>
  <c r="CZ306" i="2" s="1"/>
  <c r="CZ307" i="2" s="1"/>
  <c r="CZ308" i="2" s="1"/>
  <c r="CZ309" i="2" s="1"/>
  <c r="CZ310" i="2" s="1"/>
  <c r="CZ311" i="2" s="1"/>
  <c r="CZ312" i="2" s="1"/>
  <c r="CZ313" i="2" s="1"/>
  <c r="CZ314" i="2" s="1"/>
  <c r="CZ315" i="2" s="1"/>
  <c r="CZ316" i="2" s="1"/>
  <c r="CZ317" i="2" s="1"/>
  <c r="CZ318" i="2" s="1"/>
  <c r="CZ319" i="2" s="1"/>
  <c r="CZ320" i="2" s="1"/>
  <c r="CZ321" i="2" s="1"/>
  <c r="CZ322" i="2" s="1"/>
  <c r="CZ323" i="2" s="1"/>
  <c r="CZ324" i="2" s="1"/>
  <c r="CZ325" i="2" s="1"/>
  <c r="CZ326" i="2" s="1"/>
  <c r="CZ327" i="2" s="1"/>
  <c r="CZ328" i="2" s="1"/>
  <c r="CZ329" i="2" s="1"/>
  <c r="CZ330" i="2" s="1"/>
  <c r="CZ331" i="2" s="1"/>
  <c r="CZ332" i="2" s="1"/>
  <c r="CZ333" i="2" s="1"/>
  <c r="CZ334" i="2" s="1"/>
  <c r="CZ335" i="2" s="1"/>
  <c r="CZ336" i="2" s="1"/>
  <c r="CZ337" i="2" s="1"/>
  <c r="CZ338" i="2" s="1"/>
  <c r="CZ339" i="2" s="1"/>
  <c r="CZ340" i="2" s="1"/>
  <c r="CZ341" i="2" s="1"/>
  <c r="DL5" i="2"/>
  <c r="DL6" i="2" s="1"/>
  <c r="DL7" i="2" s="1"/>
  <c r="DL8" i="2" s="1"/>
  <c r="DL9" i="2" s="1"/>
  <c r="DL10" i="2" s="1"/>
  <c r="DL11" i="2" s="1"/>
  <c r="DL12" i="2" s="1"/>
  <c r="DL13" i="2" s="1"/>
  <c r="DL14" i="2" s="1"/>
  <c r="DL15" i="2" s="1"/>
  <c r="DL16" i="2" s="1"/>
  <c r="DL17" i="2" s="1"/>
  <c r="DL18" i="2" s="1"/>
  <c r="DL19" i="2" s="1"/>
  <c r="DL20" i="2" s="1"/>
  <c r="DL21" i="2" s="1"/>
  <c r="DL22" i="2" s="1"/>
  <c r="DL23" i="2" s="1"/>
  <c r="DL24" i="2" s="1"/>
  <c r="DL25" i="2" s="1"/>
  <c r="DL26" i="2" s="1"/>
  <c r="DL27" i="2" s="1"/>
  <c r="DL28" i="2" s="1"/>
  <c r="DL29" i="2" s="1"/>
  <c r="DL30" i="2" s="1"/>
  <c r="DL31" i="2" s="1"/>
  <c r="DL32" i="2" s="1"/>
  <c r="DL33" i="2" s="1"/>
  <c r="DL34" i="2" s="1"/>
  <c r="DL35" i="2" s="1"/>
  <c r="DL36" i="2" s="1"/>
  <c r="DL37" i="2" s="1"/>
  <c r="DL38" i="2" s="1"/>
  <c r="DL39" i="2" s="1"/>
  <c r="DL40" i="2" s="1"/>
  <c r="DL41" i="2" s="1"/>
  <c r="DL42" i="2" s="1"/>
  <c r="DL43" i="2" s="1"/>
  <c r="DL44" i="2" s="1"/>
  <c r="DL45" i="2" s="1"/>
  <c r="DL46" i="2" s="1"/>
  <c r="DL47" i="2" s="1"/>
  <c r="DL48" i="2" s="1"/>
  <c r="DL49" i="2" s="1"/>
  <c r="DL50" i="2" s="1"/>
  <c r="DL51" i="2" s="1"/>
  <c r="DL52" i="2" s="1"/>
  <c r="DL53" i="2" s="1"/>
  <c r="DL54" i="2" s="1"/>
  <c r="DL55" i="2" s="1"/>
  <c r="DL56" i="2" s="1"/>
  <c r="DL57" i="2" s="1"/>
  <c r="DL58" i="2" s="1"/>
  <c r="DL59" i="2" s="1"/>
  <c r="DL60" i="2" s="1"/>
  <c r="DL61" i="2" s="1"/>
  <c r="DL62" i="2" s="1"/>
  <c r="DL63" i="2" s="1"/>
  <c r="DL64" i="2" s="1"/>
  <c r="DL65" i="2" s="1"/>
  <c r="DL66" i="2" s="1"/>
  <c r="DL67" i="2" s="1"/>
  <c r="DL68" i="2" s="1"/>
  <c r="DL69" i="2" s="1"/>
  <c r="DL70" i="2" s="1"/>
  <c r="DL71" i="2" s="1"/>
  <c r="DL72" i="2" s="1"/>
  <c r="DL73" i="2" s="1"/>
  <c r="DL74" i="2" s="1"/>
  <c r="DL75" i="2" s="1"/>
  <c r="DL76" i="2" s="1"/>
  <c r="DL77" i="2" s="1"/>
  <c r="DL78" i="2" s="1"/>
  <c r="DL79" i="2" s="1"/>
  <c r="DL80" i="2" s="1"/>
  <c r="DL81" i="2" s="1"/>
  <c r="DL82" i="2" s="1"/>
  <c r="DL83" i="2" s="1"/>
  <c r="DL84" i="2" s="1"/>
  <c r="DL85" i="2" s="1"/>
  <c r="DL86" i="2" s="1"/>
  <c r="DL87" i="2" s="1"/>
  <c r="DL88" i="2" s="1"/>
  <c r="DL89" i="2" s="1"/>
  <c r="DL90" i="2" s="1"/>
  <c r="DL91" i="2" s="1"/>
  <c r="DL92" i="2" s="1"/>
  <c r="DL93" i="2" s="1"/>
  <c r="DL94" i="2" s="1"/>
  <c r="DL95" i="2" s="1"/>
  <c r="DL96" i="2" s="1"/>
  <c r="DL97" i="2" s="1"/>
  <c r="DL98" i="2" s="1"/>
  <c r="DL99" i="2" s="1"/>
  <c r="DL100" i="2" s="1"/>
  <c r="DL101" i="2" s="1"/>
  <c r="DL102" i="2" s="1"/>
  <c r="DL103" i="2" s="1"/>
  <c r="DL104" i="2" s="1"/>
  <c r="DL105" i="2" s="1"/>
  <c r="DL106" i="2" s="1"/>
  <c r="DL107" i="2" s="1"/>
  <c r="DL108" i="2" s="1"/>
  <c r="DL109" i="2" s="1"/>
  <c r="DL110" i="2" s="1"/>
  <c r="DL111" i="2" s="1"/>
  <c r="DL112" i="2" s="1"/>
  <c r="DL113" i="2" s="1"/>
  <c r="DL114" i="2" s="1"/>
  <c r="DL115" i="2" s="1"/>
  <c r="DL116" i="2" s="1"/>
  <c r="DL117" i="2" s="1"/>
  <c r="DL118" i="2" s="1"/>
  <c r="DL119" i="2" s="1"/>
  <c r="DL120" i="2" s="1"/>
  <c r="DL121" i="2" s="1"/>
  <c r="DL122" i="2" s="1"/>
  <c r="DL123" i="2" s="1"/>
  <c r="DL124" i="2" s="1"/>
  <c r="DL125" i="2" s="1"/>
  <c r="DL126" i="2" s="1"/>
  <c r="DL127" i="2" s="1"/>
  <c r="DL128" i="2" s="1"/>
  <c r="DL129" i="2" s="1"/>
  <c r="DL130" i="2" s="1"/>
  <c r="DL131" i="2" s="1"/>
  <c r="DL132" i="2" s="1"/>
  <c r="DL133" i="2" s="1"/>
  <c r="DL134" i="2" s="1"/>
  <c r="DL135" i="2" s="1"/>
  <c r="DL136" i="2" s="1"/>
  <c r="DL137" i="2" s="1"/>
  <c r="DL138" i="2" s="1"/>
  <c r="DL139" i="2" s="1"/>
  <c r="DL140" i="2" s="1"/>
  <c r="DL141" i="2" s="1"/>
  <c r="DL142" i="2" s="1"/>
  <c r="DL143" i="2" s="1"/>
  <c r="DL144" i="2" s="1"/>
  <c r="DL145" i="2" s="1"/>
  <c r="DL146" i="2" s="1"/>
  <c r="DL147" i="2" s="1"/>
  <c r="DL148" i="2" s="1"/>
  <c r="DL149" i="2" s="1"/>
  <c r="DL150" i="2" s="1"/>
  <c r="DL151" i="2" s="1"/>
  <c r="DL152" i="2" s="1"/>
  <c r="DL153" i="2" s="1"/>
  <c r="DL154" i="2" s="1"/>
  <c r="DL155" i="2" s="1"/>
  <c r="DL156" i="2" s="1"/>
  <c r="DL157" i="2" s="1"/>
  <c r="DL158" i="2" s="1"/>
  <c r="DL159" i="2" s="1"/>
  <c r="DL160" i="2" s="1"/>
  <c r="DL161" i="2" s="1"/>
  <c r="DL162" i="2" s="1"/>
  <c r="DL163" i="2" s="1"/>
  <c r="DL164" i="2" s="1"/>
  <c r="DL165" i="2" s="1"/>
  <c r="DL166" i="2" s="1"/>
  <c r="DL167" i="2" s="1"/>
  <c r="DL168" i="2" s="1"/>
  <c r="DL169" i="2" s="1"/>
  <c r="DL170" i="2" s="1"/>
  <c r="DL171" i="2" s="1"/>
  <c r="DL172" i="2" s="1"/>
  <c r="DL173" i="2" s="1"/>
  <c r="DL174" i="2" s="1"/>
  <c r="DL175" i="2" s="1"/>
  <c r="DL176" i="2" s="1"/>
  <c r="DL177" i="2" s="1"/>
  <c r="DL178" i="2" s="1"/>
  <c r="DL179" i="2" s="1"/>
  <c r="DL180" i="2" s="1"/>
  <c r="DL181" i="2" s="1"/>
  <c r="DL182" i="2" s="1"/>
  <c r="DL183" i="2" s="1"/>
  <c r="DL184" i="2" s="1"/>
  <c r="DL185" i="2" s="1"/>
  <c r="DL186" i="2" s="1"/>
  <c r="DL187" i="2" s="1"/>
  <c r="DL188" i="2" s="1"/>
  <c r="DL189" i="2" s="1"/>
  <c r="DL190" i="2" s="1"/>
  <c r="DL191" i="2" s="1"/>
  <c r="DL192" i="2" s="1"/>
  <c r="DL193" i="2" s="1"/>
  <c r="DL194" i="2" s="1"/>
  <c r="DL195" i="2" s="1"/>
  <c r="DL196" i="2" s="1"/>
  <c r="DL197" i="2" s="1"/>
  <c r="DL198" i="2" s="1"/>
  <c r="DL199" i="2" s="1"/>
  <c r="DL200" i="2" s="1"/>
  <c r="DL201" i="2" s="1"/>
  <c r="DL202" i="2" s="1"/>
  <c r="DL203" i="2" s="1"/>
  <c r="DL204" i="2" s="1"/>
  <c r="DL205" i="2" s="1"/>
  <c r="DL206" i="2" s="1"/>
  <c r="DL207" i="2" s="1"/>
  <c r="DL208" i="2" s="1"/>
  <c r="DL209" i="2" s="1"/>
  <c r="DL210" i="2" s="1"/>
  <c r="DL211" i="2" s="1"/>
  <c r="DL212" i="2" s="1"/>
  <c r="DL213" i="2" s="1"/>
  <c r="DL214" i="2" s="1"/>
  <c r="DL215" i="2" s="1"/>
  <c r="DL216" i="2" s="1"/>
  <c r="DL217" i="2" s="1"/>
  <c r="DL218" i="2" s="1"/>
  <c r="DL219" i="2" s="1"/>
  <c r="DL220" i="2" s="1"/>
  <c r="DL221" i="2" s="1"/>
  <c r="DL222" i="2" s="1"/>
  <c r="DL223" i="2" s="1"/>
  <c r="DL224" i="2" s="1"/>
  <c r="DL225" i="2" s="1"/>
  <c r="DL226" i="2" s="1"/>
  <c r="DL227" i="2" s="1"/>
  <c r="DL228" i="2" s="1"/>
  <c r="DL229" i="2" s="1"/>
  <c r="DL230" i="2" s="1"/>
  <c r="DL231" i="2" s="1"/>
  <c r="DL232" i="2" s="1"/>
  <c r="DL233" i="2" s="1"/>
  <c r="DL234" i="2" s="1"/>
  <c r="DL235" i="2" s="1"/>
  <c r="DL236" i="2" s="1"/>
  <c r="DL237" i="2" s="1"/>
  <c r="DL238" i="2" s="1"/>
  <c r="DL239" i="2" s="1"/>
  <c r="DL240" i="2" s="1"/>
  <c r="DL241" i="2" s="1"/>
  <c r="DL242" i="2" s="1"/>
  <c r="DL243" i="2" s="1"/>
  <c r="DL244" i="2" s="1"/>
  <c r="DL245" i="2" s="1"/>
  <c r="DL246" i="2" s="1"/>
  <c r="DL247" i="2" s="1"/>
  <c r="DL248" i="2" s="1"/>
  <c r="DL249" i="2" s="1"/>
  <c r="DL250" i="2" s="1"/>
  <c r="DL251" i="2" s="1"/>
  <c r="DL252" i="2" s="1"/>
  <c r="DL253" i="2" s="1"/>
  <c r="DL254" i="2" s="1"/>
  <c r="DL255" i="2" s="1"/>
  <c r="DL256" i="2" s="1"/>
  <c r="DL257" i="2" s="1"/>
  <c r="DL258" i="2" s="1"/>
  <c r="DL259" i="2" s="1"/>
  <c r="DL260" i="2" s="1"/>
  <c r="DL261" i="2" s="1"/>
  <c r="DL262" i="2" s="1"/>
  <c r="DL263" i="2" s="1"/>
  <c r="DL264" i="2" s="1"/>
  <c r="DL265" i="2" s="1"/>
  <c r="DL266" i="2" s="1"/>
  <c r="DL267" i="2" s="1"/>
  <c r="DL268" i="2" s="1"/>
  <c r="DL269" i="2" s="1"/>
  <c r="DL270" i="2" s="1"/>
  <c r="DL271" i="2" s="1"/>
  <c r="DL272" i="2" s="1"/>
  <c r="DL273" i="2" s="1"/>
  <c r="DL274" i="2" s="1"/>
  <c r="DL275" i="2" s="1"/>
  <c r="DL276" i="2" s="1"/>
  <c r="DL277" i="2" s="1"/>
  <c r="DL278" i="2" s="1"/>
  <c r="DL279" i="2" s="1"/>
  <c r="DL280" i="2" s="1"/>
  <c r="DL281" i="2" s="1"/>
  <c r="DL282" i="2" s="1"/>
  <c r="DL283" i="2" s="1"/>
  <c r="DL284" i="2" s="1"/>
  <c r="DL285" i="2" s="1"/>
  <c r="DL286" i="2" s="1"/>
  <c r="DL287" i="2" s="1"/>
  <c r="DL288" i="2" s="1"/>
  <c r="DL289" i="2" s="1"/>
  <c r="DL290" i="2" s="1"/>
  <c r="DL291" i="2" s="1"/>
  <c r="DL292" i="2" s="1"/>
  <c r="DL293" i="2" s="1"/>
  <c r="DL294" i="2" s="1"/>
  <c r="DL295" i="2" s="1"/>
  <c r="DL296" i="2" s="1"/>
  <c r="DL297" i="2" s="1"/>
  <c r="DL298" i="2" s="1"/>
  <c r="DL299" i="2" s="1"/>
  <c r="DL300" i="2" s="1"/>
  <c r="DL301" i="2" s="1"/>
  <c r="DL302" i="2" s="1"/>
  <c r="DL303" i="2" s="1"/>
  <c r="DL304" i="2" s="1"/>
  <c r="DL305" i="2" s="1"/>
  <c r="DL306" i="2" s="1"/>
  <c r="DL307" i="2" s="1"/>
  <c r="DL308" i="2" s="1"/>
  <c r="DL309" i="2" s="1"/>
  <c r="DL310" i="2" s="1"/>
  <c r="DL311" i="2" s="1"/>
  <c r="DL312" i="2" s="1"/>
  <c r="DL313" i="2" s="1"/>
  <c r="DL314" i="2" s="1"/>
  <c r="DL315" i="2" s="1"/>
  <c r="DL316" i="2" s="1"/>
  <c r="DL317" i="2" s="1"/>
  <c r="DL318" i="2" s="1"/>
  <c r="DL319" i="2" s="1"/>
  <c r="DL320" i="2" s="1"/>
  <c r="DL321" i="2" s="1"/>
  <c r="DL322" i="2" s="1"/>
  <c r="DL323" i="2" s="1"/>
  <c r="DL324" i="2" s="1"/>
  <c r="DL325" i="2" s="1"/>
  <c r="DL326" i="2" s="1"/>
  <c r="DL327" i="2" s="1"/>
  <c r="DL328" i="2" s="1"/>
  <c r="DL329" i="2" s="1"/>
  <c r="DL330" i="2" s="1"/>
  <c r="DL331" i="2" s="1"/>
  <c r="DL332" i="2" s="1"/>
  <c r="DL333" i="2" s="1"/>
  <c r="DL334" i="2" s="1"/>
  <c r="DL335" i="2" s="1"/>
  <c r="DL336" i="2" s="1"/>
  <c r="DL337" i="2" s="1"/>
  <c r="DL338" i="2" s="1"/>
  <c r="DL339" i="2" s="1"/>
  <c r="DL340" i="2" s="1"/>
  <c r="DL341" i="2" s="1"/>
  <c r="CN5" i="2"/>
  <c r="CN6" i="2" s="1"/>
  <c r="CN7" i="2" s="1"/>
  <c r="CN8" i="2" s="1"/>
  <c r="CN9" i="2" s="1"/>
  <c r="CN10" i="2" s="1"/>
  <c r="CN11" i="2" s="1"/>
  <c r="CN12" i="2" s="1"/>
  <c r="CN13" i="2" s="1"/>
  <c r="CN14" i="2" s="1"/>
  <c r="CN15" i="2" s="1"/>
  <c r="CN16" i="2" s="1"/>
  <c r="CN17" i="2" s="1"/>
  <c r="CN18" i="2" s="1"/>
  <c r="CN19" i="2" s="1"/>
  <c r="CN20" i="2" s="1"/>
  <c r="CN21" i="2" s="1"/>
  <c r="CN22" i="2" s="1"/>
  <c r="CN23" i="2" s="1"/>
  <c r="CN24" i="2" s="1"/>
  <c r="CN25" i="2" s="1"/>
  <c r="CN26" i="2" s="1"/>
  <c r="CN27" i="2" s="1"/>
  <c r="CN28" i="2" s="1"/>
  <c r="CN29" i="2" s="1"/>
  <c r="CN30" i="2" s="1"/>
  <c r="CN31" i="2" s="1"/>
  <c r="CN32" i="2" s="1"/>
  <c r="CN33" i="2" s="1"/>
  <c r="CN34" i="2" s="1"/>
  <c r="CN35" i="2" s="1"/>
  <c r="CN36" i="2" s="1"/>
  <c r="CN37" i="2" s="1"/>
  <c r="CN38" i="2" s="1"/>
  <c r="CN39" i="2" s="1"/>
  <c r="CN40" i="2" s="1"/>
  <c r="CN41" i="2" s="1"/>
  <c r="CN42" i="2" s="1"/>
  <c r="CN43" i="2" s="1"/>
  <c r="CN44" i="2" s="1"/>
  <c r="CN45" i="2" s="1"/>
  <c r="CN46" i="2" s="1"/>
  <c r="CN47" i="2" s="1"/>
  <c r="CN48" i="2" s="1"/>
  <c r="CN49" i="2" s="1"/>
  <c r="CN50" i="2" s="1"/>
  <c r="CN51" i="2" s="1"/>
  <c r="CN52" i="2" s="1"/>
  <c r="CN53" i="2" s="1"/>
  <c r="CN54" i="2" s="1"/>
  <c r="CN55" i="2" s="1"/>
  <c r="CN56" i="2" s="1"/>
  <c r="CN57" i="2" s="1"/>
  <c r="CN58" i="2" s="1"/>
  <c r="CN59" i="2" s="1"/>
  <c r="CN60" i="2" s="1"/>
  <c r="CN61" i="2" s="1"/>
  <c r="CN62" i="2" s="1"/>
  <c r="CN63" i="2" s="1"/>
  <c r="CN64" i="2" s="1"/>
  <c r="CN65" i="2" s="1"/>
  <c r="CN66" i="2" s="1"/>
  <c r="CN67" i="2" s="1"/>
  <c r="CN68" i="2" s="1"/>
  <c r="CN69" i="2" s="1"/>
  <c r="CN70" i="2" s="1"/>
  <c r="CN71" i="2" s="1"/>
  <c r="CN72" i="2" s="1"/>
  <c r="CN73" i="2" s="1"/>
  <c r="CN74" i="2" s="1"/>
  <c r="CN75" i="2" s="1"/>
  <c r="CN76" i="2" s="1"/>
  <c r="CN77" i="2" s="1"/>
  <c r="CN78" i="2" s="1"/>
  <c r="CN79" i="2" s="1"/>
  <c r="CN80" i="2" s="1"/>
  <c r="CN81" i="2" s="1"/>
  <c r="CN82" i="2" s="1"/>
  <c r="CN83" i="2" s="1"/>
  <c r="CN84" i="2" s="1"/>
  <c r="CN85" i="2" s="1"/>
  <c r="CN86" i="2" s="1"/>
  <c r="CN87" i="2" s="1"/>
  <c r="CN88" i="2" s="1"/>
  <c r="CN89" i="2" s="1"/>
  <c r="CN90" i="2" s="1"/>
  <c r="CN91" i="2" s="1"/>
  <c r="CN92" i="2" s="1"/>
  <c r="CN93" i="2" s="1"/>
  <c r="CN94" i="2" s="1"/>
  <c r="CN95" i="2" s="1"/>
  <c r="CN96" i="2" s="1"/>
  <c r="CN97" i="2" s="1"/>
  <c r="CN98" i="2" s="1"/>
  <c r="CN99" i="2" s="1"/>
  <c r="CN100" i="2" s="1"/>
  <c r="CN101" i="2" s="1"/>
  <c r="CN102" i="2" s="1"/>
  <c r="CN103" i="2" s="1"/>
  <c r="CN104" i="2" s="1"/>
  <c r="CN105" i="2" s="1"/>
  <c r="CN106" i="2" s="1"/>
  <c r="CN107" i="2" s="1"/>
  <c r="CN108" i="2" s="1"/>
  <c r="CN109" i="2" s="1"/>
  <c r="CN110" i="2" s="1"/>
  <c r="CN111" i="2" s="1"/>
  <c r="CN112" i="2" s="1"/>
  <c r="CN113" i="2" s="1"/>
  <c r="CN114" i="2" s="1"/>
  <c r="CN115" i="2" s="1"/>
  <c r="CN116" i="2" s="1"/>
  <c r="CN117" i="2" s="1"/>
  <c r="CN118" i="2" s="1"/>
  <c r="CN119" i="2" s="1"/>
  <c r="CN120" i="2" s="1"/>
  <c r="CN121" i="2" s="1"/>
  <c r="CN122" i="2" s="1"/>
  <c r="CN123" i="2" s="1"/>
  <c r="CN124" i="2" s="1"/>
  <c r="CN125" i="2" s="1"/>
  <c r="CN126" i="2" s="1"/>
  <c r="CN127" i="2" s="1"/>
  <c r="CN128" i="2" s="1"/>
  <c r="CN129" i="2" s="1"/>
  <c r="CN130" i="2" s="1"/>
  <c r="CN131" i="2" s="1"/>
  <c r="CN132" i="2" s="1"/>
  <c r="CN133" i="2" s="1"/>
  <c r="CN134" i="2" s="1"/>
  <c r="CN135" i="2" s="1"/>
  <c r="CN136" i="2" s="1"/>
  <c r="CN137" i="2" s="1"/>
  <c r="CN138" i="2" s="1"/>
  <c r="CN139" i="2" s="1"/>
  <c r="CN140" i="2" s="1"/>
  <c r="CN141" i="2" s="1"/>
  <c r="CN142" i="2" s="1"/>
  <c r="CN143" i="2" s="1"/>
  <c r="CN144" i="2" s="1"/>
  <c r="CN145" i="2" s="1"/>
  <c r="CN146" i="2" s="1"/>
  <c r="CN147" i="2" s="1"/>
  <c r="CN148" i="2" s="1"/>
  <c r="CN149" i="2" s="1"/>
  <c r="CN150" i="2" s="1"/>
  <c r="CN151" i="2" s="1"/>
  <c r="CN152" i="2" s="1"/>
  <c r="CN153" i="2" s="1"/>
  <c r="CN154" i="2" s="1"/>
  <c r="CN155" i="2" s="1"/>
  <c r="CN156" i="2" s="1"/>
  <c r="CN157" i="2" s="1"/>
  <c r="CN158" i="2" s="1"/>
  <c r="CN159" i="2" s="1"/>
  <c r="CN160" i="2" s="1"/>
  <c r="CN161" i="2" s="1"/>
  <c r="CN162" i="2" s="1"/>
  <c r="CN163" i="2" s="1"/>
  <c r="CN164" i="2" s="1"/>
  <c r="CN165" i="2" s="1"/>
  <c r="CN166" i="2" s="1"/>
  <c r="CN167" i="2" s="1"/>
  <c r="CN168" i="2" s="1"/>
  <c r="CN169" i="2" s="1"/>
  <c r="CN170" i="2" s="1"/>
  <c r="CN171" i="2" s="1"/>
  <c r="CN172" i="2" s="1"/>
  <c r="CN173" i="2" s="1"/>
  <c r="CN174" i="2" s="1"/>
  <c r="CN175" i="2" s="1"/>
  <c r="CN176" i="2" s="1"/>
  <c r="CN177" i="2" s="1"/>
  <c r="CN178" i="2" s="1"/>
  <c r="CN179" i="2" s="1"/>
  <c r="CN180" i="2" s="1"/>
  <c r="CN181" i="2" s="1"/>
  <c r="CN182" i="2" s="1"/>
  <c r="CN183" i="2" s="1"/>
  <c r="CN184" i="2" s="1"/>
  <c r="CN185" i="2" s="1"/>
  <c r="CN186" i="2" s="1"/>
  <c r="CN187" i="2" s="1"/>
  <c r="CN188" i="2" s="1"/>
  <c r="CN189" i="2" s="1"/>
  <c r="CN190" i="2" s="1"/>
  <c r="CN191" i="2" s="1"/>
  <c r="CN192" i="2" s="1"/>
  <c r="CN193" i="2" s="1"/>
  <c r="CN194" i="2" s="1"/>
  <c r="CN195" i="2" s="1"/>
  <c r="CN196" i="2" s="1"/>
  <c r="CN197" i="2" s="1"/>
  <c r="CN198" i="2" s="1"/>
  <c r="CN199" i="2" s="1"/>
  <c r="CN200" i="2" s="1"/>
  <c r="CN201" i="2" s="1"/>
  <c r="CN202" i="2" s="1"/>
  <c r="CN203" i="2" s="1"/>
  <c r="CN204" i="2" s="1"/>
  <c r="CN205" i="2" s="1"/>
  <c r="CN206" i="2" s="1"/>
  <c r="CN207" i="2" s="1"/>
  <c r="CN208" i="2" s="1"/>
  <c r="CN209" i="2" s="1"/>
  <c r="CN210" i="2" s="1"/>
  <c r="CN211" i="2" s="1"/>
  <c r="CN212" i="2" s="1"/>
  <c r="CN213" i="2" s="1"/>
  <c r="CN214" i="2" s="1"/>
  <c r="CN215" i="2" s="1"/>
  <c r="CN216" i="2" s="1"/>
  <c r="CN217" i="2" s="1"/>
  <c r="CN218" i="2" s="1"/>
  <c r="CN219" i="2" s="1"/>
  <c r="CN220" i="2" s="1"/>
  <c r="CN221" i="2" s="1"/>
  <c r="CN222" i="2" s="1"/>
  <c r="CN223" i="2" s="1"/>
  <c r="CN224" i="2" s="1"/>
  <c r="CN225" i="2" s="1"/>
  <c r="CN226" i="2" s="1"/>
  <c r="CN227" i="2" s="1"/>
  <c r="CN228" i="2" s="1"/>
  <c r="CN229" i="2" s="1"/>
  <c r="CN230" i="2" s="1"/>
  <c r="CN231" i="2" s="1"/>
  <c r="CN232" i="2" s="1"/>
  <c r="CN233" i="2" s="1"/>
  <c r="CN234" i="2" s="1"/>
  <c r="CN235" i="2" s="1"/>
  <c r="CN236" i="2" s="1"/>
  <c r="CN237" i="2" s="1"/>
  <c r="CN238" i="2" s="1"/>
  <c r="CN239" i="2" s="1"/>
  <c r="CN240" i="2" s="1"/>
  <c r="CN241" i="2" s="1"/>
  <c r="CN242" i="2" s="1"/>
  <c r="CN243" i="2" s="1"/>
  <c r="CN244" i="2" s="1"/>
  <c r="CN245" i="2" s="1"/>
  <c r="CN246" i="2" s="1"/>
  <c r="CN247" i="2" s="1"/>
  <c r="CN248" i="2" s="1"/>
  <c r="CN249" i="2" s="1"/>
  <c r="CN250" i="2" s="1"/>
  <c r="CN251" i="2" s="1"/>
  <c r="CN252" i="2" s="1"/>
  <c r="CN253" i="2" s="1"/>
  <c r="CN254" i="2" s="1"/>
  <c r="CN255" i="2" s="1"/>
  <c r="CN256" i="2" s="1"/>
  <c r="CN257" i="2" s="1"/>
  <c r="CN258" i="2" s="1"/>
  <c r="CN259" i="2" s="1"/>
  <c r="CN260" i="2" s="1"/>
  <c r="CN261" i="2" s="1"/>
  <c r="CN262" i="2" s="1"/>
  <c r="CN263" i="2" s="1"/>
  <c r="CN264" i="2" s="1"/>
  <c r="CN265" i="2" s="1"/>
  <c r="CN266" i="2" s="1"/>
  <c r="CN267" i="2" s="1"/>
  <c r="CN268" i="2" s="1"/>
  <c r="CN269" i="2" s="1"/>
  <c r="CN270" i="2" s="1"/>
  <c r="CN271" i="2" s="1"/>
  <c r="CN272" i="2" s="1"/>
  <c r="CN273" i="2" s="1"/>
  <c r="CN274" i="2" s="1"/>
  <c r="CN275" i="2" s="1"/>
  <c r="CN276" i="2" s="1"/>
  <c r="CN277" i="2" s="1"/>
  <c r="CN278" i="2" s="1"/>
  <c r="CN279" i="2" s="1"/>
  <c r="CN280" i="2" s="1"/>
  <c r="CN281" i="2" s="1"/>
  <c r="CN282" i="2" s="1"/>
  <c r="CN283" i="2" s="1"/>
  <c r="CN284" i="2" s="1"/>
  <c r="CN285" i="2" s="1"/>
  <c r="CN286" i="2" s="1"/>
  <c r="CN287" i="2" s="1"/>
  <c r="CN288" i="2" s="1"/>
  <c r="CN289" i="2" s="1"/>
  <c r="CN290" i="2" s="1"/>
  <c r="CN291" i="2" s="1"/>
  <c r="CN292" i="2" s="1"/>
  <c r="CN293" i="2" s="1"/>
  <c r="CN294" i="2" s="1"/>
  <c r="CN295" i="2" s="1"/>
  <c r="CN296" i="2" s="1"/>
  <c r="CN297" i="2" s="1"/>
  <c r="CN298" i="2" s="1"/>
  <c r="CN299" i="2" s="1"/>
  <c r="CN300" i="2" s="1"/>
  <c r="CN301" i="2" s="1"/>
  <c r="CN302" i="2" s="1"/>
  <c r="CN303" i="2" s="1"/>
  <c r="CN304" i="2" s="1"/>
  <c r="CN305" i="2" s="1"/>
  <c r="CN306" i="2" s="1"/>
  <c r="CN307" i="2" s="1"/>
  <c r="CN308" i="2" s="1"/>
  <c r="CN309" i="2" s="1"/>
  <c r="CN310" i="2" s="1"/>
  <c r="CN311" i="2" s="1"/>
  <c r="CN312" i="2" s="1"/>
  <c r="CN313" i="2" s="1"/>
  <c r="CN314" i="2" s="1"/>
  <c r="CN315" i="2" s="1"/>
  <c r="CN316" i="2" s="1"/>
  <c r="CN317" i="2" s="1"/>
  <c r="CN318" i="2" s="1"/>
  <c r="CN319" i="2" s="1"/>
  <c r="CN320" i="2" s="1"/>
  <c r="CN321" i="2" s="1"/>
  <c r="CN322" i="2" s="1"/>
  <c r="CN323" i="2" s="1"/>
  <c r="CN324" i="2" s="1"/>
  <c r="CN325" i="2" s="1"/>
  <c r="CN326" i="2" s="1"/>
  <c r="CN327" i="2" s="1"/>
  <c r="CN328" i="2" s="1"/>
  <c r="CN329" i="2" s="1"/>
  <c r="CN330" i="2" s="1"/>
  <c r="CN331" i="2" s="1"/>
  <c r="CN332" i="2" s="1"/>
  <c r="CN333" i="2" s="1"/>
  <c r="CN334" i="2" s="1"/>
  <c r="CN335" i="2" s="1"/>
  <c r="CN336" i="2" s="1"/>
  <c r="CN337" i="2" s="1"/>
  <c r="CN338" i="2" s="1"/>
  <c r="CN339" i="2" s="1"/>
  <c r="CN340" i="2" s="1"/>
  <c r="CN341" i="2" s="1"/>
  <c r="CK5" i="2"/>
  <c r="CK6" i="2" s="1"/>
  <c r="CK7" i="2" s="1"/>
  <c r="CK8" i="2" s="1"/>
  <c r="CK9" i="2" s="1"/>
  <c r="CK10" i="2" s="1"/>
  <c r="CK11" i="2" s="1"/>
  <c r="CK12" i="2" s="1"/>
  <c r="CK13" i="2" s="1"/>
  <c r="CK14" i="2" s="1"/>
  <c r="CK15" i="2" s="1"/>
  <c r="CK16" i="2" s="1"/>
  <c r="CK17" i="2" s="1"/>
  <c r="CK18" i="2" s="1"/>
  <c r="CK19" i="2" s="1"/>
  <c r="CK20" i="2" s="1"/>
  <c r="CK21" i="2" s="1"/>
  <c r="CK22" i="2" s="1"/>
  <c r="CK23" i="2" s="1"/>
  <c r="CK24" i="2" s="1"/>
  <c r="CK25" i="2" s="1"/>
  <c r="CK26" i="2" s="1"/>
  <c r="CK27" i="2" s="1"/>
  <c r="CK28" i="2" s="1"/>
  <c r="CK29" i="2" s="1"/>
  <c r="CK30" i="2" s="1"/>
  <c r="CK31" i="2" s="1"/>
  <c r="CK32" i="2" s="1"/>
  <c r="CK33" i="2" s="1"/>
  <c r="CK34" i="2" s="1"/>
  <c r="CK35" i="2" s="1"/>
  <c r="CK36" i="2" s="1"/>
  <c r="CK37" i="2" s="1"/>
  <c r="CK38" i="2" s="1"/>
  <c r="CK39" i="2" s="1"/>
  <c r="CK40" i="2" s="1"/>
  <c r="CK41" i="2" s="1"/>
  <c r="CK42" i="2" s="1"/>
  <c r="CK43" i="2" s="1"/>
  <c r="CK44" i="2" s="1"/>
  <c r="CK45" i="2" s="1"/>
  <c r="CK46" i="2" s="1"/>
  <c r="CK47" i="2" s="1"/>
  <c r="CK48" i="2" s="1"/>
  <c r="CK49" i="2" s="1"/>
  <c r="CK50" i="2" s="1"/>
  <c r="CK51" i="2" s="1"/>
  <c r="CK52" i="2" s="1"/>
  <c r="CK53" i="2" s="1"/>
  <c r="CK54" i="2" s="1"/>
  <c r="CK55" i="2" s="1"/>
  <c r="CK56" i="2" s="1"/>
  <c r="CK57" i="2" s="1"/>
  <c r="CK58" i="2" s="1"/>
  <c r="CK59" i="2" s="1"/>
  <c r="CK60" i="2" s="1"/>
  <c r="CK61" i="2" s="1"/>
  <c r="CK62" i="2" s="1"/>
  <c r="CK63" i="2" s="1"/>
  <c r="CK64" i="2" s="1"/>
  <c r="CK65" i="2" s="1"/>
  <c r="CK66" i="2" s="1"/>
  <c r="CK67" i="2" s="1"/>
  <c r="CK68" i="2" s="1"/>
  <c r="CK69" i="2" s="1"/>
  <c r="CK70" i="2" s="1"/>
  <c r="CK71" i="2" s="1"/>
  <c r="CK72" i="2" s="1"/>
  <c r="CK73" i="2" s="1"/>
  <c r="CK74" i="2" s="1"/>
  <c r="CK75" i="2" s="1"/>
  <c r="CK76" i="2" s="1"/>
  <c r="CK77" i="2" s="1"/>
  <c r="CK78" i="2" s="1"/>
  <c r="CK79" i="2" s="1"/>
  <c r="CK80" i="2" s="1"/>
  <c r="CK81" i="2" s="1"/>
  <c r="CK82" i="2" s="1"/>
  <c r="CK83" i="2" s="1"/>
  <c r="CK84" i="2" s="1"/>
  <c r="CK85" i="2" s="1"/>
  <c r="CK86" i="2" s="1"/>
  <c r="CK87" i="2" s="1"/>
  <c r="CK88" i="2" s="1"/>
  <c r="CK89" i="2" s="1"/>
  <c r="CK90" i="2" s="1"/>
  <c r="CK91" i="2" s="1"/>
  <c r="CK92" i="2" s="1"/>
  <c r="CK93" i="2" s="1"/>
  <c r="CK94" i="2" s="1"/>
  <c r="CK95" i="2" s="1"/>
  <c r="CK96" i="2" s="1"/>
  <c r="CK97" i="2" s="1"/>
  <c r="CK98" i="2" s="1"/>
  <c r="CK99" i="2" s="1"/>
  <c r="CK100" i="2" s="1"/>
  <c r="CK101" i="2" s="1"/>
  <c r="CK102" i="2" s="1"/>
  <c r="CK103" i="2" s="1"/>
  <c r="CK104" i="2" s="1"/>
  <c r="CK105" i="2" s="1"/>
  <c r="CK106" i="2" s="1"/>
  <c r="CK107" i="2" s="1"/>
  <c r="CK108" i="2" s="1"/>
  <c r="CK109" i="2" s="1"/>
  <c r="CK110" i="2" s="1"/>
  <c r="CK111" i="2" s="1"/>
  <c r="CK112" i="2" s="1"/>
  <c r="CK113" i="2" s="1"/>
  <c r="CK114" i="2" s="1"/>
  <c r="CK115" i="2" s="1"/>
  <c r="CK116" i="2" s="1"/>
  <c r="CK117" i="2" s="1"/>
  <c r="CK118" i="2" s="1"/>
  <c r="CK119" i="2" s="1"/>
  <c r="CK120" i="2" s="1"/>
  <c r="CK121" i="2" s="1"/>
  <c r="CK122" i="2" s="1"/>
  <c r="CK123" i="2" s="1"/>
  <c r="CK124" i="2" s="1"/>
  <c r="CK125" i="2" s="1"/>
  <c r="CK126" i="2" s="1"/>
  <c r="CK127" i="2" s="1"/>
  <c r="CK128" i="2" s="1"/>
  <c r="CK129" i="2" s="1"/>
  <c r="CK130" i="2" s="1"/>
  <c r="CK131" i="2" s="1"/>
  <c r="CK132" i="2" s="1"/>
  <c r="CK133" i="2" s="1"/>
  <c r="CK134" i="2" s="1"/>
  <c r="CK135" i="2" s="1"/>
  <c r="CK136" i="2" s="1"/>
  <c r="CK137" i="2" s="1"/>
  <c r="CK138" i="2" s="1"/>
  <c r="CK139" i="2" s="1"/>
  <c r="CK140" i="2" s="1"/>
  <c r="CK141" i="2" s="1"/>
  <c r="CK142" i="2" s="1"/>
  <c r="CK143" i="2" s="1"/>
  <c r="CK144" i="2" s="1"/>
  <c r="CK145" i="2" s="1"/>
  <c r="CK146" i="2" s="1"/>
  <c r="CK147" i="2" s="1"/>
  <c r="CK148" i="2" s="1"/>
  <c r="CK149" i="2" s="1"/>
  <c r="CK150" i="2" s="1"/>
  <c r="CK151" i="2" s="1"/>
  <c r="CK152" i="2" s="1"/>
  <c r="CK153" i="2" s="1"/>
  <c r="CK154" i="2" s="1"/>
  <c r="CK155" i="2" s="1"/>
  <c r="CK156" i="2" s="1"/>
  <c r="CK157" i="2" s="1"/>
  <c r="CK158" i="2" s="1"/>
  <c r="CK159" i="2" s="1"/>
  <c r="CK160" i="2" s="1"/>
  <c r="CK161" i="2" s="1"/>
  <c r="CK162" i="2" s="1"/>
  <c r="CK163" i="2" s="1"/>
  <c r="CK164" i="2" s="1"/>
  <c r="CK165" i="2" s="1"/>
  <c r="CK166" i="2" s="1"/>
  <c r="CK167" i="2" s="1"/>
  <c r="CK168" i="2" s="1"/>
  <c r="CK169" i="2" s="1"/>
  <c r="CK170" i="2" s="1"/>
  <c r="CK171" i="2" s="1"/>
  <c r="CK172" i="2" s="1"/>
  <c r="CK173" i="2" s="1"/>
  <c r="CK174" i="2" s="1"/>
  <c r="CK175" i="2" s="1"/>
  <c r="CK176" i="2" s="1"/>
  <c r="CK177" i="2" s="1"/>
  <c r="CK178" i="2" s="1"/>
  <c r="CK179" i="2" s="1"/>
  <c r="CK180" i="2" s="1"/>
  <c r="CK181" i="2" s="1"/>
  <c r="CK182" i="2" s="1"/>
  <c r="CK183" i="2" s="1"/>
  <c r="CK184" i="2" s="1"/>
  <c r="CK185" i="2" s="1"/>
  <c r="CK186" i="2" s="1"/>
  <c r="CK187" i="2" s="1"/>
  <c r="CK188" i="2" s="1"/>
  <c r="CK189" i="2" s="1"/>
  <c r="CK190" i="2" s="1"/>
  <c r="CK191" i="2" s="1"/>
  <c r="CK192" i="2" s="1"/>
  <c r="CK193" i="2" s="1"/>
  <c r="CK194" i="2" s="1"/>
  <c r="CK195" i="2" s="1"/>
  <c r="CK196" i="2" s="1"/>
  <c r="CK197" i="2" s="1"/>
  <c r="CK198" i="2" s="1"/>
  <c r="CK199" i="2" s="1"/>
  <c r="CK200" i="2" s="1"/>
  <c r="CK201" i="2" s="1"/>
  <c r="CK202" i="2" s="1"/>
  <c r="CK203" i="2" s="1"/>
  <c r="CK204" i="2" s="1"/>
  <c r="CK205" i="2" s="1"/>
  <c r="CK206" i="2" s="1"/>
  <c r="CK207" i="2" s="1"/>
  <c r="CK208" i="2" s="1"/>
  <c r="CK209" i="2" s="1"/>
  <c r="CK210" i="2" s="1"/>
  <c r="CK211" i="2" s="1"/>
  <c r="CK212" i="2" s="1"/>
  <c r="CK213" i="2" s="1"/>
  <c r="CK214" i="2" s="1"/>
  <c r="CK215" i="2" s="1"/>
  <c r="CK216" i="2" s="1"/>
  <c r="CK217" i="2" s="1"/>
  <c r="CK218" i="2" s="1"/>
  <c r="CK219" i="2" s="1"/>
  <c r="CK220" i="2" s="1"/>
  <c r="CK221" i="2" s="1"/>
  <c r="CK222" i="2" s="1"/>
  <c r="CK223" i="2" s="1"/>
  <c r="CK224" i="2" s="1"/>
  <c r="CK225" i="2" s="1"/>
  <c r="CK226" i="2" s="1"/>
  <c r="CK227" i="2" s="1"/>
  <c r="CK228" i="2" s="1"/>
  <c r="CK229" i="2" s="1"/>
  <c r="CK230" i="2" s="1"/>
  <c r="CK231" i="2" s="1"/>
  <c r="CK232" i="2" s="1"/>
  <c r="CK233" i="2" s="1"/>
  <c r="CK234" i="2" s="1"/>
  <c r="CK235" i="2" s="1"/>
  <c r="CK236" i="2" s="1"/>
  <c r="CK237" i="2" s="1"/>
  <c r="CK238" i="2" s="1"/>
  <c r="CK239" i="2" s="1"/>
  <c r="CK240" i="2" s="1"/>
  <c r="CK241" i="2" s="1"/>
  <c r="CK242" i="2" s="1"/>
  <c r="CK243" i="2" s="1"/>
  <c r="CK244" i="2" s="1"/>
  <c r="CK245" i="2" s="1"/>
  <c r="CK246" i="2" s="1"/>
  <c r="CK247" i="2" s="1"/>
  <c r="CK248" i="2" s="1"/>
  <c r="CK249" i="2" s="1"/>
  <c r="CK250" i="2" s="1"/>
  <c r="CK251" i="2" s="1"/>
  <c r="CK252" i="2" s="1"/>
  <c r="CK253" i="2" s="1"/>
  <c r="CK254" i="2" s="1"/>
  <c r="CK255" i="2" s="1"/>
  <c r="CK256" i="2" s="1"/>
  <c r="CK257" i="2" s="1"/>
  <c r="CK258" i="2" s="1"/>
  <c r="CK259" i="2" s="1"/>
  <c r="CK260" i="2" s="1"/>
  <c r="CK261" i="2" s="1"/>
  <c r="CK262" i="2" s="1"/>
  <c r="CK263" i="2" s="1"/>
  <c r="CK264" i="2" s="1"/>
  <c r="CK265" i="2" s="1"/>
  <c r="CK266" i="2" s="1"/>
  <c r="CK267" i="2" s="1"/>
  <c r="CK268" i="2" s="1"/>
  <c r="CK269" i="2" s="1"/>
  <c r="CK270" i="2" s="1"/>
  <c r="CK271" i="2" s="1"/>
  <c r="CK272" i="2" s="1"/>
  <c r="CK273" i="2" s="1"/>
  <c r="CK274" i="2" s="1"/>
  <c r="CK275" i="2" s="1"/>
  <c r="CK276" i="2" s="1"/>
  <c r="CK277" i="2" s="1"/>
  <c r="CK278" i="2" s="1"/>
  <c r="CK279" i="2" s="1"/>
  <c r="CK280" i="2" s="1"/>
  <c r="CK281" i="2" s="1"/>
  <c r="CK282" i="2" s="1"/>
  <c r="CK283" i="2" s="1"/>
  <c r="CK284" i="2" s="1"/>
  <c r="CK285" i="2" s="1"/>
  <c r="CK286" i="2" s="1"/>
  <c r="CK287" i="2" s="1"/>
  <c r="CK288" i="2" s="1"/>
  <c r="CK289" i="2" s="1"/>
  <c r="CK290" i="2" s="1"/>
  <c r="CK291" i="2" s="1"/>
  <c r="CK292" i="2" s="1"/>
  <c r="CK293" i="2" s="1"/>
  <c r="CK294" i="2" s="1"/>
  <c r="CK295" i="2" s="1"/>
  <c r="CK296" i="2" s="1"/>
  <c r="CK297" i="2" s="1"/>
  <c r="CK298" i="2" s="1"/>
  <c r="CK299" i="2" s="1"/>
  <c r="CK300" i="2" s="1"/>
  <c r="CK301" i="2" s="1"/>
  <c r="CK302" i="2" s="1"/>
  <c r="CK303" i="2" s="1"/>
  <c r="CK304" i="2" s="1"/>
  <c r="CK305" i="2" s="1"/>
  <c r="CK306" i="2" s="1"/>
  <c r="CK307" i="2" s="1"/>
  <c r="CK308" i="2" s="1"/>
  <c r="CK309" i="2" s="1"/>
  <c r="CK310" i="2" s="1"/>
  <c r="CK311" i="2" s="1"/>
  <c r="CK312" i="2" s="1"/>
  <c r="CK313" i="2" s="1"/>
  <c r="CK314" i="2" s="1"/>
  <c r="CK315" i="2" s="1"/>
  <c r="CK316" i="2" s="1"/>
  <c r="CK317" i="2" s="1"/>
  <c r="CK318" i="2" s="1"/>
  <c r="CK319" i="2" s="1"/>
  <c r="CK320" i="2" s="1"/>
  <c r="CK321" i="2" s="1"/>
  <c r="CK322" i="2" s="1"/>
  <c r="CK323" i="2" s="1"/>
  <c r="CK324" i="2" s="1"/>
  <c r="CK325" i="2" s="1"/>
  <c r="CK326" i="2" s="1"/>
  <c r="CK327" i="2" s="1"/>
  <c r="CK328" i="2" s="1"/>
  <c r="CK329" i="2" s="1"/>
  <c r="CK330" i="2" s="1"/>
  <c r="CK331" i="2" s="1"/>
  <c r="CK332" i="2" s="1"/>
  <c r="CK333" i="2" s="1"/>
  <c r="CK334" i="2" s="1"/>
  <c r="CK335" i="2" s="1"/>
  <c r="CK336" i="2" s="1"/>
  <c r="CK337" i="2" s="1"/>
  <c r="CK338" i="2" s="1"/>
  <c r="CK339" i="2" s="1"/>
  <c r="CK340" i="2" s="1"/>
  <c r="CK341" i="2" s="1"/>
  <c r="CP5" i="2"/>
  <c r="CP6" i="2" s="1"/>
  <c r="CP7" i="2" s="1"/>
  <c r="CP8" i="2" s="1"/>
  <c r="CP9" i="2" s="1"/>
  <c r="CP10" i="2" s="1"/>
  <c r="CP11" i="2" s="1"/>
  <c r="CP12" i="2" s="1"/>
  <c r="CP13" i="2" s="1"/>
  <c r="CP14" i="2" s="1"/>
  <c r="CP15" i="2" s="1"/>
  <c r="CP16" i="2" s="1"/>
  <c r="CP17" i="2" s="1"/>
  <c r="CP18" i="2" s="1"/>
  <c r="CP19" i="2" s="1"/>
  <c r="CP20" i="2" s="1"/>
  <c r="CP21" i="2" s="1"/>
  <c r="CP22" i="2" s="1"/>
  <c r="CP23" i="2" s="1"/>
  <c r="CP24" i="2" s="1"/>
  <c r="CP25" i="2" s="1"/>
  <c r="CP26" i="2" s="1"/>
  <c r="CP27" i="2" s="1"/>
  <c r="CP28" i="2" s="1"/>
  <c r="CP29" i="2" s="1"/>
  <c r="CP30" i="2" s="1"/>
  <c r="CP31" i="2" s="1"/>
  <c r="CP32" i="2" s="1"/>
  <c r="CP33" i="2" s="1"/>
  <c r="CP34" i="2" s="1"/>
  <c r="CP35" i="2" s="1"/>
  <c r="CP36" i="2" s="1"/>
  <c r="CP37" i="2" s="1"/>
  <c r="CP38" i="2" s="1"/>
  <c r="CP39" i="2" s="1"/>
  <c r="CP40" i="2" s="1"/>
  <c r="CP41" i="2" s="1"/>
  <c r="CP42" i="2" s="1"/>
  <c r="CP43" i="2" s="1"/>
  <c r="CP44" i="2" s="1"/>
  <c r="CP45" i="2" s="1"/>
  <c r="CP46" i="2" s="1"/>
  <c r="CP47" i="2" s="1"/>
  <c r="CP48" i="2" s="1"/>
  <c r="CP49" i="2" s="1"/>
  <c r="CP50" i="2" s="1"/>
  <c r="CP51" i="2" s="1"/>
  <c r="CP52" i="2" s="1"/>
  <c r="CP53" i="2" s="1"/>
  <c r="CP54" i="2" s="1"/>
  <c r="CP55" i="2" s="1"/>
  <c r="CP56" i="2" s="1"/>
  <c r="CP57" i="2" s="1"/>
  <c r="CP58" i="2" s="1"/>
  <c r="CP59" i="2" s="1"/>
  <c r="CP60" i="2" s="1"/>
  <c r="CP61" i="2" s="1"/>
  <c r="CP62" i="2" s="1"/>
  <c r="CP63" i="2" s="1"/>
  <c r="CP64" i="2" s="1"/>
  <c r="CP65" i="2" s="1"/>
  <c r="CP66" i="2" s="1"/>
  <c r="CP67" i="2" s="1"/>
  <c r="CP68" i="2" s="1"/>
  <c r="CP69" i="2" s="1"/>
  <c r="CP70" i="2" s="1"/>
  <c r="CP71" i="2" s="1"/>
  <c r="CP72" i="2" s="1"/>
  <c r="CP73" i="2" s="1"/>
  <c r="CP74" i="2" s="1"/>
  <c r="CP75" i="2" s="1"/>
  <c r="CP76" i="2" s="1"/>
  <c r="CP77" i="2" s="1"/>
  <c r="CP78" i="2" s="1"/>
  <c r="CP79" i="2" s="1"/>
  <c r="CP80" i="2" s="1"/>
  <c r="CP81" i="2" s="1"/>
  <c r="CP82" i="2" s="1"/>
  <c r="CP83" i="2" s="1"/>
  <c r="CP84" i="2" s="1"/>
  <c r="CP85" i="2" s="1"/>
  <c r="CP86" i="2" s="1"/>
  <c r="CP87" i="2" s="1"/>
  <c r="CP88" i="2" s="1"/>
  <c r="CP89" i="2" s="1"/>
  <c r="CP90" i="2" s="1"/>
  <c r="CP91" i="2" s="1"/>
  <c r="CP92" i="2" s="1"/>
  <c r="CP93" i="2" s="1"/>
  <c r="CP94" i="2" s="1"/>
  <c r="CP95" i="2" s="1"/>
  <c r="CP96" i="2" s="1"/>
  <c r="CP97" i="2" s="1"/>
  <c r="CP98" i="2" s="1"/>
  <c r="CP99" i="2" s="1"/>
  <c r="CP100" i="2" s="1"/>
  <c r="CP101" i="2" s="1"/>
  <c r="CP102" i="2" s="1"/>
  <c r="CP103" i="2" s="1"/>
  <c r="CP104" i="2" s="1"/>
  <c r="CP105" i="2" s="1"/>
  <c r="CP106" i="2" s="1"/>
  <c r="CP107" i="2" s="1"/>
  <c r="CP108" i="2" s="1"/>
  <c r="CP109" i="2" s="1"/>
  <c r="CP110" i="2" s="1"/>
  <c r="CP111" i="2" s="1"/>
  <c r="CP112" i="2" s="1"/>
  <c r="CP113" i="2" s="1"/>
  <c r="CP114" i="2" s="1"/>
  <c r="CP115" i="2" s="1"/>
  <c r="CP116" i="2" s="1"/>
  <c r="CP117" i="2" s="1"/>
  <c r="CP118" i="2" s="1"/>
  <c r="CP119" i="2" s="1"/>
  <c r="CP120" i="2" s="1"/>
  <c r="CP121" i="2" s="1"/>
  <c r="CP122" i="2" s="1"/>
  <c r="CP123" i="2" s="1"/>
  <c r="CP124" i="2" s="1"/>
  <c r="CP125" i="2" s="1"/>
  <c r="CP126" i="2" s="1"/>
  <c r="CP127" i="2" s="1"/>
  <c r="CP128" i="2" s="1"/>
  <c r="CP129" i="2" s="1"/>
  <c r="CP130" i="2" s="1"/>
  <c r="CP131" i="2" s="1"/>
  <c r="CP132" i="2" s="1"/>
  <c r="CP133" i="2" s="1"/>
  <c r="CP134" i="2" s="1"/>
  <c r="CP135" i="2" s="1"/>
  <c r="CP136" i="2" s="1"/>
  <c r="CP137" i="2" s="1"/>
  <c r="CP138" i="2" s="1"/>
  <c r="CP139" i="2" s="1"/>
  <c r="CP140" i="2" s="1"/>
  <c r="CP141" i="2" s="1"/>
  <c r="CP142" i="2" s="1"/>
  <c r="CP143" i="2" s="1"/>
  <c r="CP144" i="2" s="1"/>
  <c r="CP145" i="2" s="1"/>
  <c r="CP146" i="2" s="1"/>
  <c r="CP147" i="2" s="1"/>
  <c r="CP148" i="2" s="1"/>
  <c r="CP149" i="2" s="1"/>
  <c r="CP150" i="2" s="1"/>
  <c r="CP151" i="2" s="1"/>
  <c r="CP152" i="2" s="1"/>
  <c r="CP153" i="2" s="1"/>
  <c r="CP154" i="2" s="1"/>
  <c r="CP155" i="2" s="1"/>
  <c r="CP156" i="2" s="1"/>
  <c r="CP157" i="2" s="1"/>
  <c r="CP158" i="2" s="1"/>
  <c r="CP159" i="2" s="1"/>
  <c r="CP160" i="2" s="1"/>
  <c r="CP161" i="2" s="1"/>
  <c r="CP162" i="2" s="1"/>
  <c r="CP163" i="2" s="1"/>
  <c r="CP164" i="2" s="1"/>
  <c r="CP165" i="2" s="1"/>
  <c r="CP166" i="2" s="1"/>
  <c r="CP167" i="2" s="1"/>
  <c r="CP168" i="2" s="1"/>
  <c r="CP169" i="2" s="1"/>
  <c r="CP170" i="2" s="1"/>
  <c r="CP171" i="2" s="1"/>
  <c r="CP172" i="2" s="1"/>
  <c r="CP173" i="2" s="1"/>
  <c r="CP174" i="2" s="1"/>
  <c r="CP175" i="2" s="1"/>
  <c r="CP176" i="2" s="1"/>
  <c r="CP177" i="2" s="1"/>
  <c r="CP178" i="2" s="1"/>
  <c r="CP179" i="2" s="1"/>
  <c r="CP180" i="2" s="1"/>
  <c r="CP181" i="2" s="1"/>
  <c r="CP182" i="2" s="1"/>
  <c r="CP183" i="2" s="1"/>
  <c r="CP184" i="2" s="1"/>
  <c r="CP185" i="2" s="1"/>
  <c r="CP186" i="2" s="1"/>
  <c r="CP187" i="2" s="1"/>
  <c r="CP188" i="2" s="1"/>
  <c r="CP189" i="2" s="1"/>
  <c r="CP190" i="2" s="1"/>
  <c r="CP191" i="2" s="1"/>
  <c r="CP192" i="2" s="1"/>
  <c r="CP193" i="2" s="1"/>
  <c r="CP194" i="2" s="1"/>
  <c r="CP195" i="2" s="1"/>
  <c r="CP196" i="2" s="1"/>
  <c r="CP197" i="2" s="1"/>
  <c r="CP198" i="2" s="1"/>
  <c r="CP199" i="2" s="1"/>
  <c r="CP200" i="2" s="1"/>
  <c r="CP201" i="2" s="1"/>
  <c r="CP202" i="2" s="1"/>
  <c r="CP203" i="2" s="1"/>
  <c r="CP204" i="2" s="1"/>
  <c r="CP205" i="2" s="1"/>
  <c r="CP206" i="2" s="1"/>
  <c r="CP207" i="2" s="1"/>
  <c r="CP208" i="2" s="1"/>
  <c r="CP209" i="2" s="1"/>
  <c r="CP210" i="2" s="1"/>
  <c r="CP211" i="2" s="1"/>
  <c r="CP212" i="2" s="1"/>
  <c r="CP213" i="2" s="1"/>
  <c r="CP214" i="2" s="1"/>
  <c r="CP215" i="2" s="1"/>
  <c r="CP216" i="2" s="1"/>
  <c r="CP217" i="2" s="1"/>
  <c r="CP218" i="2" s="1"/>
  <c r="CP219" i="2" s="1"/>
  <c r="CP220" i="2" s="1"/>
  <c r="CP221" i="2" s="1"/>
  <c r="CP222" i="2" s="1"/>
  <c r="CP223" i="2" s="1"/>
  <c r="CP224" i="2" s="1"/>
  <c r="CP225" i="2" s="1"/>
  <c r="CP226" i="2" s="1"/>
  <c r="CP227" i="2" s="1"/>
  <c r="CP228" i="2" s="1"/>
  <c r="CP229" i="2" s="1"/>
  <c r="CP230" i="2" s="1"/>
  <c r="CP231" i="2" s="1"/>
  <c r="CP232" i="2" s="1"/>
  <c r="CP233" i="2" s="1"/>
  <c r="CP234" i="2" s="1"/>
  <c r="CP235" i="2" s="1"/>
  <c r="CP236" i="2" s="1"/>
  <c r="CP237" i="2" s="1"/>
  <c r="CP238" i="2" s="1"/>
  <c r="CP239" i="2" s="1"/>
  <c r="CP240" i="2" s="1"/>
  <c r="CP241" i="2" s="1"/>
  <c r="CP242" i="2" s="1"/>
  <c r="CP243" i="2" s="1"/>
  <c r="CP244" i="2" s="1"/>
  <c r="CP245" i="2" s="1"/>
  <c r="CP246" i="2" s="1"/>
  <c r="CP247" i="2" s="1"/>
  <c r="CP248" i="2" s="1"/>
  <c r="CP249" i="2" s="1"/>
  <c r="CP250" i="2" s="1"/>
  <c r="CP251" i="2" s="1"/>
  <c r="CP252" i="2" s="1"/>
  <c r="CP253" i="2" s="1"/>
  <c r="CP254" i="2" s="1"/>
  <c r="CP255" i="2" s="1"/>
  <c r="CP256" i="2" s="1"/>
  <c r="CP257" i="2" s="1"/>
  <c r="CP258" i="2" s="1"/>
  <c r="CP259" i="2" s="1"/>
  <c r="CP260" i="2" s="1"/>
  <c r="CP261" i="2" s="1"/>
  <c r="CP262" i="2" s="1"/>
  <c r="CP263" i="2" s="1"/>
  <c r="CP264" i="2" s="1"/>
  <c r="CP265" i="2" s="1"/>
  <c r="CP266" i="2" s="1"/>
  <c r="CP267" i="2" s="1"/>
  <c r="CP268" i="2" s="1"/>
  <c r="CP269" i="2" s="1"/>
  <c r="CP270" i="2" s="1"/>
  <c r="CP271" i="2" s="1"/>
  <c r="CP272" i="2" s="1"/>
  <c r="CP273" i="2" s="1"/>
  <c r="CP274" i="2" s="1"/>
  <c r="CP275" i="2" s="1"/>
  <c r="CP276" i="2" s="1"/>
  <c r="CP277" i="2" s="1"/>
  <c r="CP278" i="2" s="1"/>
  <c r="CP279" i="2" s="1"/>
  <c r="CP280" i="2" s="1"/>
  <c r="CP281" i="2" s="1"/>
  <c r="CP282" i="2" s="1"/>
  <c r="CP283" i="2" s="1"/>
  <c r="CP284" i="2" s="1"/>
  <c r="CP285" i="2" s="1"/>
  <c r="CP286" i="2" s="1"/>
  <c r="CP287" i="2" s="1"/>
  <c r="CP288" i="2" s="1"/>
  <c r="CP289" i="2" s="1"/>
  <c r="CP290" i="2" s="1"/>
  <c r="CP291" i="2" s="1"/>
  <c r="CP292" i="2" s="1"/>
  <c r="CP293" i="2" s="1"/>
  <c r="CP294" i="2" s="1"/>
  <c r="CP295" i="2" s="1"/>
  <c r="CP296" i="2" s="1"/>
  <c r="CP297" i="2" s="1"/>
  <c r="CP298" i="2" s="1"/>
  <c r="CP299" i="2" s="1"/>
  <c r="CP300" i="2" s="1"/>
  <c r="CP301" i="2" s="1"/>
  <c r="CP302" i="2" s="1"/>
  <c r="CP303" i="2" s="1"/>
  <c r="CP304" i="2" s="1"/>
  <c r="CP305" i="2" s="1"/>
  <c r="CP306" i="2" s="1"/>
  <c r="CP307" i="2" s="1"/>
  <c r="CP308" i="2" s="1"/>
  <c r="CP309" i="2" s="1"/>
  <c r="CP310" i="2" s="1"/>
  <c r="CP311" i="2" s="1"/>
  <c r="CP312" i="2" s="1"/>
  <c r="CP313" i="2" s="1"/>
  <c r="CP314" i="2" s="1"/>
  <c r="CP315" i="2" s="1"/>
  <c r="CP316" i="2" s="1"/>
  <c r="CP317" i="2" s="1"/>
  <c r="CP318" i="2" s="1"/>
  <c r="CP319" i="2" s="1"/>
  <c r="CP320" i="2" s="1"/>
  <c r="CP321" i="2" s="1"/>
  <c r="CP322" i="2" s="1"/>
  <c r="CP323" i="2" s="1"/>
  <c r="CP324" i="2" s="1"/>
  <c r="CP325" i="2" s="1"/>
  <c r="CP326" i="2" s="1"/>
  <c r="CP327" i="2" s="1"/>
  <c r="CP328" i="2" s="1"/>
  <c r="CP329" i="2" s="1"/>
  <c r="CP330" i="2" s="1"/>
  <c r="CP331" i="2" s="1"/>
  <c r="CP332" i="2" s="1"/>
  <c r="CP333" i="2" s="1"/>
  <c r="CP334" i="2" s="1"/>
  <c r="CP335" i="2" s="1"/>
  <c r="CP336" i="2" s="1"/>
  <c r="CP337" i="2" s="1"/>
  <c r="CP338" i="2" s="1"/>
  <c r="CP339" i="2" s="1"/>
  <c r="CP340" i="2" s="1"/>
  <c r="CP341" i="2" s="1"/>
  <c r="CI5" i="2"/>
  <c r="CI6" i="2" s="1"/>
  <c r="CI7" i="2" s="1"/>
  <c r="CI8" i="2" s="1"/>
  <c r="CI9" i="2" s="1"/>
  <c r="CI10" i="2" s="1"/>
  <c r="CI11" i="2" s="1"/>
  <c r="CI12" i="2" s="1"/>
  <c r="CI13" i="2" s="1"/>
  <c r="CI14" i="2" s="1"/>
  <c r="CI15" i="2" s="1"/>
  <c r="CI16" i="2" s="1"/>
  <c r="CI17" i="2" s="1"/>
  <c r="CI18" i="2" s="1"/>
  <c r="CI19" i="2" s="1"/>
  <c r="CI20" i="2" s="1"/>
  <c r="CI21" i="2" s="1"/>
  <c r="CI22" i="2" s="1"/>
  <c r="CI23" i="2" s="1"/>
  <c r="CI24" i="2" s="1"/>
  <c r="CI25" i="2" s="1"/>
  <c r="CI26" i="2" s="1"/>
  <c r="CI27" i="2" s="1"/>
  <c r="CI28" i="2" s="1"/>
  <c r="CI29" i="2" s="1"/>
  <c r="CI30" i="2" s="1"/>
  <c r="CI31" i="2" s="1"/>
  <c r="CI32" i="2" s="1"/>
  <c r="CI33" i="2" s="1"/>
  <c r="CI34" i="2" s="1"/>
  <c r="CI35" i="2" s="1"/>
  <c r="CI36" i="2" s="1"/>
  <c r="CI37" i="2" s="1"/>
  <c r="CI38" i="2" s="1"/>
  <c r="CI39" i="2" s="1"/>
  <c r="CI40" i="2" s="1"/>
  <c r="CI41" i="2" s="1"/>
  <c r="CI42" i="2" s="1"/>
  <c r="CI43" i="2" s="1"/>
  <c r="CI44" i="2" s="1"/>
  <c r="CI45" i="2" s="1"/>
  <c r="CI46" i="2" s="1"/>
  <c r="CI47" i="2" s="1"/>
  <c r="CI48" i="2" s="1"/>
  <c r="CI49" i="2" s="1"/>
  <c r="CI50" i="2" s="1"/>
  <c r="CI51" i="2" s="1"/>
  <c r="CI52" i="2" s="1"/>
  <c r="CI53" i="2" s="1"/>
  <c r="CI54" i="2" s="1"/>
  <c r="CI55" i="2" s="1"/>
  <c r="CI56" i="2" s="1"/>
  <c r="CI57" i="2" s="1"/>
  <c r="CI58" i="2" s="1"/>
  <c r="CI59" i="2" s="1"/>
  <c r="CI60" i="2" s="1"/>
  <c r="CI61" i="2" s="1"/>
  <c r="CI62" i="2" s="1"/>
  <c r="CI63" i="2" s="1"/>
  <c r="CI64" i="2" s="1"/>
  <c r="CI65" i="2" s="1"/>
  <c r="CI66" i="2" s="1"/>
  <c r="CI67" i="2" s="1"/>
  <c r="CI68" i="2" s="1"/>
  <c r="CI69" i="2" s="1"/>
  <c r="CI70" i="2" s="1"/>
  <c r="CI71" i="2" s="1"/>
  <c r="CI72" i="2" s="1"/>
  <c r="CI73" i="2" s="1"/>
  <c r="CI74" i="2" s="1"/>
  <c r="CI75" i="2" s="1"/>
  <c r="CI76" i="2" s="1"/>
  <c r="CI77" i="2" s="1"/>
  <c r="CI78" i="2" s="1"/>
  <c r="CI79" i="2" s="1"/>
  <c r="CI80" i="2" s="1"/>
  <c r="CI81" i="2" s="1"/>
  <c r="CI82" i="2" s="1"/>
  <c r="CI83" i="2" s="1"/>
  <c r="CI84" i="2" s="1"/>
  <c r="CI85" i="2" s="1"/>
  <c r="CI86" i="2" s="1"/>
  <c r="CI87" i="2" s="1"/>
  <c r="CI88" i="2" s="1"/>
  <c r="CI89" i="2" s="1"/>
  <c r="CI90" i="2" s="1"/>
  <c r="CI91" i="2" s="1"/>
  <c r="CI92" i="2" s="1"/>
  <c r="CI93" i="2" s="1"/>
  <c r="CI94" i="2" s="1"/>
  <c r="CI95" i="2" s="1"/>
  <c r="CI96" i="2" s="1"/>
  <c r="CI97" i="2" s="1"/>
  <c r="CI98" i="2" s="1"/>
  <c r="CI99" i="2" s="1"/>
  <c r="CI100" i="2" s="1"/>
  <c r="CI101" i="2" s="1"/>
  <c r="CI102" i="2" s="1"/>
  <c r="CI103" i="2" s="1"/>
  <c r="CI104" i="2" s="1"/>
  <c r="CI105" i="2" s="1"/>
  <c r="CI106" i="2" s="1"/>
  <c r="CI107" i="2" s="1"/>
  <c r="CI108" i="2" s="1"/>
  <c r="CI109" i="2" s="1"/>
  <c r="CI110" i="2" s="1"/>
  <c r="CI111" i="2" s="1"/>
  <c r="CI112" i="2" s="1"/>
  <c r="CI113" i="2" s="1"/>
  <c r="CI114" i="2" s="1"/>
  <c r="CI115" i="2" s="1"/>
  <c r="CI116" i="2" s="1"/>
  <c r="CI117" i="2" s="1"/>
  <c r="CI118" i="2" s="1"/>
  <c r="CI119" i="2" s="1"/>
  <c r="CI120" i="2" s="1"/>
  <c r="CI121" i="2" s="1"/>
  <c r="CI122" i="2" s="1"/>
  <c r="CI123" i="2" s="1"/>
  <c r="CI124" i="2" s="1"/>
  <c r="CI125" i="2" s="1"/>
  <c r="CI126" i="2" s="1"/>
  <c r="CI127" i="2" s="1"/>
  <c r="CI128" i="2" s="1"/>
  <c r="CI129" i="2" s="1"/>
  <c r="CI130" i="2" s="1"/>
  <c r="CI131" i="2" s="1"/>
  <c r="CI132" i="2" s="1"/>
  <c r="CI133" i="2" s="1"/>
  <c r="CI134" i="2" s="1"/>
  <c r="CI135" i="2" s="1"/>
  <c r="CI136" i="2" s="1"/>
  <c r="CI137" i="2" s="1"/>
  <c r="CI138" i="2" s="1"/>
  <c r="CI139" i="2" s="1"/>
  <c r="CI140" i="2" s="1"/>
  <c r="CI141" i="2" s="1"/>
  <c r="CI142" i="2" s="1"/>
  <c r="CI143" i="2" s="1"/>
  <c r="CI144" i="2" s="1"/>
  <c r="CI145" i="2" s="1"/>
  <c r="CI146" i="2" s="1"/>
  <c r="CI147" i="2" s="1"/>
  <c r="CI148" i="2" s="1"/>
  <c r="CI149" i="2" s="1"/>
  <c r="CI150" i="2" s="1"/>
  <c r="CI151" i="2" s="1"/>
  <c r="CI152" i="2" s="1"/>
  <c r="CI153" i="2" s="1"/>
  <c r="CI154" i="2" s="1"/>
  <c r="CI155" i="2" s="1"/>
  <c r="CI156" i="2" s="1"/>
  <c r="CI157" i="2" s="1"/>
  <c r="CI158" i="2" s="1"/>
  <c r="CI159" i="2" s="1"/>
  <c r="CI160" i="2" s="1"/>
  <c r="CI161" i="2" s="1"/>
  <c r="CI162" i="2" s="1"/>
  <c r="CI163" i="2" s="1"/>
  <c r="CI164" i="2" s="1"/>
  <c r="CI165" i="2" s="1"/>
  <c r="CI166" i="2" s="1"/>
  <c r="CI167" i="2" s="1"/>
  <c r="CI168" i="2" s="1"/>
  <c r="CI169" i="2" s="1"/>
  <c r="CI170" i="2" s="1"/>
  <c r="CI171" i="2" s="1"/>
  <c r="CI172" i="2" s="1"/>
  <c r="CI173" i="2" s="1"/>
  <c r="CI174" i="2" s="1"/>
  <c r="CI175" i="2" s="1"/>
  <c r="CI176" i="2" s="1"/>
  <c r="CI177" i="2" s="1"/>
  <c r="CI178" i="2" s="1"/>
  <c r="CI179" i="2" s="1"/>
  <c r="CI180" i="2" s="1"/>
  <c r="CI181" i="2" s="1"/>
  <c r="CI182" i="2" s="1"/>
  <c r="CI183" i="2" s="1"/>
  <c r="CI184" i="2" s="1"/>
  <c r="CI185" i="2" s="1"/>
  <c r="CI186" i="2" s="1"/>
  <c r="CI187" i="2" s="1"/>
  <c r="CI188" i="2" s="1"/>
  <c r="CI189" i="2" s="1"/>
  <c r="CI190" i="2" s="1"/>
  <c r="CI191" i="2" s="1"/>
  <c r="CI192" i="2" s="1"/>
  <c r="CI193" i="2" s="1"/>
  <c r="CI194" i="2" s="1"/>
  <c r="CI195" i="2" s="1"/>
  <c r="CI196" i="2" s="1"/>
  <c r="CI197" i="2" s="1"/>
  <c r="CI198" i="2" s="1"/>
  <c r="CI199" i="2" s="1"/>
  <c r="CI200" i="2" s="1"/>
  <c r="CI201" i="2" s="1"/>
  <c r="CI202" i="2" s="1"/>
  <c r="CI203" i="2" s="1"/>
  <c r="CI204" i="2" s="1"/>
  <c r="CI205" i="2" s="1"/>
  <c r="CI206" i="2" s="1"/>
  <c r="CI207" i="2" s="1"/>
  <c r="CI208" i="2" s="1"/>
  <c r="CI209" i="2" s="1"/>
  <c r="CI210" i="2" s="1"/>
  <c r="CI211" i="2" s="1"/>
  <c r="CI212" i="2" s="1"/>
  <c r="CI213" i="2" s="1"/>
  <c r="CI214" i="2" s="1"/>
  <c r="CI215" i="2" s="1"/>
  <c r="CI216" i="2" s="1"/>
  <c r="CI217" i="2" s="1"/>
  <c r="CI218" i="2" s="1"/>
  <c r="CI219" i="2" s="1"/>
  <c r="CI220" i="2" s="1"/>
  <c r="CI221" i="2" s="1"/>
  <c r="CI222" i="2" s="1"/>
  <c r="CI223" i="2" s="1"/>
  <c r="CI224" i="2" s="1"/>
  <c r="CI225" i="2" s="1"/>
  <c r="CI226" i="2" s="1"/>
  <c r="CI227" i="2" s="1"/>
  <c r="CI228" i="2" s="1"/>
  <c r="CI229" i="2" s="1"/>
  <c r="CI230" i="2" s="1"/>
  <c r="CI231" i="2" s="1"/>
  <c r="CI232" i="2" s="1"/>
  <c r="CI233" i="2" s="1"/>
  <c r="CI234" i="2" s="1"/>
  <c r="CI235" i="2" s="1"/>
  <c r="CI236" i="2" s="1"/>
  <c r="CI237" i="2" s="1"/>
  <c r="CI238" i="2" s="1"/>
  <c r="CI239" i="2" s="1"/>
  <c r="CI240" i="2" s="1"/>
  <c r="CI241" i="2" s="1"/>
  <c r="CI242" i="2" s="1"/>
  <c r="CI243" i="2" s="1"/>
  <c r="CI244" i="2" s="1"/>
  <c r="CI245" i="2" s="1"/>
  <c r="CI246" i="2" s="1"/>
  <c r="CI247" i="2" s="1"/>
  <c r="CI248" i="2" s="1"/>
  <c r="CI249" i="2" s="1"/>
  <c r="CI250" i="2" s="1"/>
  <c r="CI251" i="2" s="1"/>
  <c r="CI252" i="2" s="1"/>
  <c r="CI253" i="2" s="1"/>
  <c r="CI254" i="2" s="1"/>
  <c r="CI255" i="2" s="1"/>
  <c r="CI256" i="2" s="1"/>
  <c r="CI257" i="2" s="1"/>
  <c r="CI258" i="2" s="1"/>
  <c r="CI259" i="2" s="1"/>
  <c r="CI260" i="2" s="1"/>
  <c r="CI261" i="2" s="1"/>
  <c r="CI262" i="2" s="1"/>
  <c r="CI263" i="2" s="1"/>
  <c r="CI264" i="2" s="1"/>
  <c r="CI265" i="2" s="1"/>
  <c r="CI266" i="2" s="1"/>
  <c r="CI267" i="2" s="1"/>
  <c r="CI268" i="2" s="1"/>
  <c r="CI269" i="2" s="1"/>
  <c r="CI270" i="2" s="1"/>
  <c r="CI271" i="2" s="1"/>
  <c r="CI272" i="2" s="1"/>
  <c r="CI273" i="2" s="1"/>
  <c r="CI274" i="2" s="1"/>
  <c r="CI275" i="2" s="1"/>
  <c r="CI276" i="2" s="1"/>
  <c r="CI277" i="2" s="1"/>
  <c r="CI278" i="2" s="1"/>
  <c r="CI279" i="2" s="1"/>
  <c r="CI280" i="2" s="1"/>
  <c r="CI281" i="2" s="1"/>
  <c r="CI282" i="2" s="1"/>
  <c r="CI283" i="2" s="1"/>
  <c r="CI284" i="2" s="1"/>
  <c r="CI285" i="2" s="1"/>
  <c r="CI286" i="2" s="1"/>
  <c r="CI287" i="2" s="1"/>
  <c r="CI288" i="2" s="1"/>
  <c r="CI289" i="2" s="1"/>
  <c r="CI290" i="2" s="1"/>
  <c r="CI291" i="2" s="1"/>
  <c r="CI292" i="2" s="1"/>
  <c r="CI293" i="2" s="1"/>
  <c r="CI294" i="2" s="1"/>
  <c r="CI295" i="2" s="1"/>
  <c r="CI296" i="2" s="1"/>
  <c r="CI297" i="2" s="1"/>
  <c r="CI298" i="2" s="1"/>
  <c r="CI299" i="2" s="1"/>
  <c r="CI300" i="2" s="1"/>
  <c r="CI301" i="2" s="1"/>
  <c r="CI302" i="2" s="1"/>
  <c r="CI303" i="2" s="1"/>
  <c r="CI304" i="2" s="1"/>
  <c r="CI305" i="2" s="1"/>
  <c r="CI306" i="2" s="1"/>
  <c r="CI307" i="2" s="1"/>
  <c r="CI308" i="2" s="1"/>
  <c r="CI309" i="2" s="1"/>
  <c r="CI310" i="2" s="1"/>
  <c r="CI311" i="2" s="1"/>
  <c r="CI312" i="2" s="1"/>
  <c r="CI313" i="2" s="1"/>
  <c r="CI314" i="2" s="1"/>
  <c r="CI315" i="2" s="1"/>
  <c r="CI316" i="2" s="1"/>
  <c r="CI317" i="2" s="1"/>
  <c r="CI318" i="2" s="1"/>
  <c r="CI319" i="2" s="1"/>
  <c r="CI320" i="2" s="1"/>
  <c r="CI321" i="2" s="1"/>
  <c r="CI322" i="2" s="1"/>
  <c r="CI323" i="2" s="1"/>
  <c r="CI324" i="2" s="1"/>
  <c r="CI325" i="2" s="1"/>
  <c r="CI326" i="2" s="1"/>
  <c r="CI327" i="2" s="1"/>
  <c r="CI328" i="2" s="1"/>
  <c r="CI329" i="2" s="1"/>
  <c r="CI330" i="2" s="1"/>
  <c r="CI331" i="2" s="1"/>
  <c r="CI332" i="2" s="1"/>
  <c r="CI333" i="2" s="1"/>
  <c r="CI334" i="2" s="1"/>
  <c r="CI335" i="2" s="1"/>
  <c r="CI336" i="2" s="1"/>
  <c r="CI337" i="2" s="1"/>
  <c r="CI338" i="2" s="1"/>
  <c r="CI339" i="2" s="1"/>
  <c r="CI340" i="2" s="1"/>
  <c r="CI341" i="2" s="1"/>
  <c r="CY5" i="2"/>
  <c r="CY6" i="2" s="1"/>
  <c r="CY7" i="2" s="1"/>
  <c r="CY8" i="2" s="1"/>
  <c r="CY9" i="2" s="1"/>
  <c r="CY10" i="2" s="1"/>
  <c r="CY11" i="2" s="1"/>
  <c r="CY12" i="2" s="1"/>
  <c r="CY13" i="2" s="1"/>
  <c r="CY14" i="2" s="1"/>
  <c r="CY15" i="2" s="1"/>
  <c r="CY16" i="2" s="1"/>
  <c r="CY17" i="2" s="1"/>
  <c r="CY18" i="2" s="1"/>
  <c r="CY19" i="2" s="1"/>
  <c r="CY20" i="2" s="1"/>
  <c r="CY21" i="2" s="1"/>
  <c r="CY22" i="2" s="1"/>
  <c r="CY23" i="2" s="1"/>
  <c r="CY24" i="2" s="1"/>
  <c r="CY25" i="2" s="1"/>
  <c r="CY26" i="2" s="1"/>
  <c r="CY27" i="2" s="1"/>
  <c r="CY28" i="2" s="1"/>
  <c r="CY29" i="2" s="1"/>
  <c r="CY30" i="2" s="1"/>
  <c r="CY31" i="2" s="1"/>
  <c r="CY32" i="2" s="1"/>
  <c r="CY33" i="2" s="1"/>
  <c r="CY34" i="2" s="1"/>
  <c r="CY35" i="2" s="1"/>
  <c r="CY36" i="2" s="1"/>
  <c r="CY37" i="2" s="1"/>
  <c r="CY38" i="2" s="1"/>
  <c r="CY39" i="2" s="1"/>
  <c r="CY40" i="2" s="1"/>
  <c r="CY41" i="2" s="1"/>
  <c r="CY42" i="2" s="1"/>
  <c r="CY43" i="2" s="1"/>
  <c r="CY44" i="2" s="1"/>
  <c r="CY45" i="2" s="1"/>
  <c r="CY46" i="2" s="1"/>
  <c r="CY47" i="2" s="1"/>
  <c r="CY48" i="2" s="1"/>
  <c r="CY49" i="2" s="1"/>
  <c r="CY50" i="2" s="1"/>
  <c r="CY51" i="2" s="1"/>
  <c r="CY52" i="2" s="1"/>
  <c r="CY53" i="2" s="1"/>
  <c r="CY54" i="2" s="1"/>
  <c r="CY55" i="2" s="1"/>
  <c r="CY56" i="2" s="1"/>
  <c r="CY57" i="2" s="1"/>
  <c r="CY58" i="2" s="1"/>
  <c r="CY59" i="2" s="1"/>
  <c r="CY60" i="2" s="1"/>
  <c r="CY61" i="2" s="1"/>
  <c r="CY62" i="2" s="1"/>
  <c r="CY63" i="2" s="1"/>
  <c r="CY64" i="2" s="1"/>
  <c r="CY65" i="2" s="1"/>
  <c r="CY66" i="2" s="1"/>
  <c r="CY67" i="2" s="1"/>
  <c r="CY68" i="2" s="1"/>
  <c r="CY69" i="2" s="1"/>
  <c r="CY70" i="2" s="1"/>
  <c r="CY71" i="2" s="1"/>
  <c r="CY72" i="2" s="1"/>
  <c r="CY73" i="2" s="1"/>
  <c r="CY74" i="2" s="1"/>
  <c r="CY75" i="2" s="1"/>
  <c r="CY76" i="2" s="1"/>
  <c r="CY77" i="2" s="1"/>
  <c r="CY78" i="2" s="1"/>
  <c r="CY79" i="2" s="1"/>
  <c r="CY80" i="2" s="1"/>
  <c r="CY81" i="2" s="1"/>
  <c r="CY82" i="2" s="1"/>
  <c r="CY83" i="2" s="1"/>
  <c r="CY84" i="2" s="1"/>
  <c r="CY85" i="2" s="1"/>
  <c r="CY86" i="2" s="1"/>
  <c r="CY87" i="2" s="1"/>
  <c r="CY88" i="2" s="1"/>
  <c r="CY89" i="2" s="1"/>
  <c r="CY90" i="2" s="1"/>
  <c r="CY91" i="2" s="1"/>
  <c r="CY92" i="2" s="1"/>
  <c r="CY93" i="2" s="1"/>
  <c r="CY94" i="2" s="1"/>
  <c r="CY95" i="2" s="1"/>
  <c r="CY96" i="2" s="1"/>
  <c r="CY97" i="2" s="1"/>
  <c r="CY98" i="2" s="1"/>
  <c r="CY99" i="2" s="1"/>
  <c r="CY100" i="2" s="1"/>
  <c r="CY101" i="2" s="1"/>
  <c r="CY102" i="2" s="1"/>
  <c r="CY103" i="2" s="1"/>
  <c r="CY104" i="2" s="1"/>
  <c r="CY105" i="2" s="1"/>
  <c r="CY106" i="2" s="1"/>
  <c r="CY107" i="2" s="1"/>
  <c r="CY108" i="2" s="1"/>
  <c r="CY109" i="2" s="1"/>
  <c r="CY110" i="2" s="1"/>
  <c r="CY111" i="2" s="1"/>
  <c r="CY112" i="2" s="1"/>
  <c r="CY113" i="2" s="1"/>
  <c r="CY114" i="2" s="1"/>
  <c r="CY115" i="2" s="1"/>
  <c r="CY116" i="2" s="1"/>
  <c r="CY117" i="2" s="1"/>
  <c r="CY118" i="2" s="1"/>
  <c r="CY119" i="2" s="1"/>
  <c r="CY120" i="2" s="1"/>
  <c r="CY121" i="2" s="1"/>
  <c r="CY122" i="2" s="1"/>
  <c r="CY123" i="2" s="1"/>
  <c r="CY124" i="2" s="1"/>
  <c r="CY125" i="2" s="1"/>
  <c r="CY126" i="2" s="1"/>
  <c r="CY127" i="2" s="1"/>
  <c r="CY128" i="2" s="1"/>
  <c r="CY129" i="2" s="1"/>
  <c r="CY130" i="2" s="1"/>
  <c r="CY131" i="2" s="1"/>
  <c r="CY132" i="2" s="1"/>
  <c r="CY133" i="2" s="1"/>
  <c r="CY134" i="2" s="1"/>
  <c r="CY135" i="2" s="1"/>
  <c r="CY136" i="2" s="1"/>
  <c r="CY137" i="2" s="1"/>
  <c r="CY138" i="2" s="1"/>
  <c r="CY139" i="2" s="1"/>
  <c r="CY140" i="2" s="1"/>
  <c r="CY141" i="2" s="1"/>
  <c r="CY142" i="2" s="1"/>
  <c r="CY143" i="2" s="1"/>
  <c r="CY144" i="2" s="1"/>
  <c r="CY145" i="2" s="1"/>
  <c r="CY146" i="2" s="1"/>
  <c r="CY147" i="2" s="1"/>
  <c r="CY148" i="2" s="1"/>
  <c r="CY149" i="2" s="1"/>
  <c r="CY150" i="2" s="1"/>
  <c r="CY151" i="2" s="1"/>
  <c r="CY152" i="2" s="1"/>
  <c r="CY153" i="2" s="1"/>
  <c r="CY154" i="2" s="1"/>
  <c r="CY155" i="2" s="1"/>
  <c r="CY156" i="2" s="1"/>
  <c r="CY157" i="2" s="1"/>
  <c r="CY158" i="2" s="1"/>
  <c r="CY159" i="2" s="1"/>
  <c r="CY160" i="2" s="1"/>
  <c r="CY161" i="2" s="1"/>
  <c r="CY162" i="2" s="1"/>
  <c r="CY163" i="2" s="1"/>
  <c r="CY164" i="2" s="1"/>
  <c r="CY165" i="2" s="1"/>
  <c r="CY166" i="2" s="1"/>
  <c r="CY167" i="2" s="1"/>
  <c r="CY168" i="2" s="1"/>
  <c r="CY169" i="2" s="1"/>
  <c r="CY170" i="2" s="1"/>
  <c r="CY171" i="2" s="1"/>
  <c r="CY172" i="2" s="1"/>
  <c r="CY173" i="2" s="1"/>
  <c r="CY174" i="2" s="1"/>
  <c r="CY175" i="2" s="1"/>
  <c r="CY176" i="2" s="1"/>
  <c r="CY177" i="2" s="1"/>
  <c r="CY178" i="2" s="1"/>
  <c r="CY179" i="2" s="1"/>
  <c r="CY180" i="2" s="1"/>
  <c r="CY181" i="2" s="1"/>
  <c r="CY182" i="2" s="1"/>
  <c r="CY183" i="2" s="1"/>
  <c r="CY184" i="2" s="1"/>
  <c r="CY185" i="2" s="1"/>
  <c r="CY186" i="2" s="1"/>
  <c r="CY187" i="2" s="1"/>
  <c r="CY188" i="2" s="1"/>
  <c r="CY189" i="2" s="1"/>
  <c r="CY190" i="2" s="1"/>
  <c r="CY191" i="2" s="1"/>
  <c r="CY192" i="2" s="1"/>
  <c r="CY193" i="2" s="1"/>
  <c r="CY194" i="2" s="1"/>
  <c r="CY195" i="2" s="1"/>
  <c r="CY196" i="2" s="1"/>
  <c r="CY197" i="2" s="1"/>
  <c r="CY198" i="2" s="1"/>
  <c r="CY199" i="2" s="1"/>
  <c r="CY200" i="2" s="1"/>
  <c r="CY201" i="2" s="1"/>
  <c r="CY202" i="2" s="1"/>
  <c r="CY203" i="2" s="1"/>
  <c r="CY204" i="2" s="1"/>
  <c r="CY205" i="2" s="1"/>
  <c r="CY206" i="2" s="1"/>
  <c r="CY207" i="2" s="1"/>
  <c r="CY208" i="2" s="1"/>
  <c r="CY209" i="2" s="1"/>
  <c r="CY210" i="2" s="1"/>
  <c r="CY211" i="2" s="1"/>
  <c r="CY212" i="2" s="1"/>
  <c r="CY213" i="2" s="1"/>
  <c r="CY214" i="2" s="1"/>
  <c r="CY215" i="2" s="1"/>
  <c r="CY216" i="2" s="1"/>
  <c r="CY217" i="2" s="1"/>
  <c r="CY218" i="2" s="1"/>
  <c r="CY219" i="2" s="1"/>
  <c r="CY220" i="2" s="1"/>
  <c r="CY221" i="2" s="1"/>
  <c r="CY222" i="2" s="1"/>
  <c r="CY223" i="2" s="1"/>
  <c r="CY224" i="2" s="1"/>
  <c r="CY225" i="2" s="1"/>
  <c r="CY226" i="2" s="1"/>
  <c r="CY227" i="2" s="1"/>
  <c r="CY228" i="2" s="1"/>
  <c r="CY229" i="2" s="1"/>
  <c r="CY230" i="2" s="1"/>
  <c r="CY231" i="2" s="1"/>
  <c r="CY232" i="2" s="1"/>
  <c r="CY233" i="2" s="1"/>
  <c r="CY234" i="2" s="1"/>
  <c r="CY235" i="2" s="1"/>
  <c r="CY236" i="2" s="1"/>
  <c r="CY237" i="2" s="1"/>
  <c r="CY238" i="2" s="1"/>
  <c r="CY239" i="2" s="1"/>
  <c r="CY240" i="2" s="1"/>
  <c r="CY241" i="2" s="1"/>
  <c r="CY242" i="2" s="1"/>
  <c r="CY243" i="2" s="1"/>
  <c r="CY244" i="2" s="1"/>
  <c r="CY245" i="2" s="1"/>
  <c r="CY246" i="2" s="1"/>
  <c r="CY247" i="2" s="1"/>
  <c r="CY248" i="2" s="1"/>
  <c r="CY249" i="2" s="1"/>
  <c r="CY250" i="2" s="1"/>
  <c r="CY251" i="2" s="1"/>
  <c r="CY252" i="2" s="1"/>
  <c r="CY253" i="2" s="1"/>
  <c r="CY254" i="2" s="1"/>
  <c r="CY255" i="2" s="1"/>
  <c r="CY256" i="2" s="1"/>
  <c r="CY257" i="2" s="1"/>
  <c r="CY258" i="2" s="1"/>
  <c r="CY259" i="2" s="1"/>
  <c r="CY260" i="2" s="1"/>
  <c r="CY261" i="2" s="1"/>
  <c r="CY262" i="2" s="1"/>
  <c r="CY263" i="2" s="1"/>
  <c r="CY264" i="2" s="1"/>
  <c r="CY265" i="2" s="1"/>
  <c r="CY266" i="2" s="1"/>
  <c r="CY267" i="2" s="1"/>
  <c r="CY268" i="2" s="1"/>
  <c r="CY269" i="2" s="1"/>
  <c r="CY270" i="2" s="1"/>
  <c r="CY271" i="2" s="1"/>
  <c r="CY272" i="2" s="1"/>
  <c r="CY273" i="2" s="1"/>
  <c r="CY274" i="2" s="1"/>
  <c r="CY275" i="2" s="1"/>
  <c r="CY276" i="2" s="1"/>
  <c r="CY277" i="2" s="1"/>
  <c r="CY278" i="2" s="1"/>
  <c r="CY279" i="2" s="1"/>
  <c r="CY280" i="2" s="1"/>
  <c r="CY281" i="2" s="1"/>
  <c r="CY282" i="2" s="1"/>
  <c r="CY283" i="2" s="1"/>
  <c r="CY284" i="2" s="1"/>
  <c r="CY285" i="2" s="1"/>
  <c r="CY286" i="2" s="1"/>
  <c r="CY287" i="2" s="1"/>
  <c r="CY288" i="2" s="1"/>
  <c r="CY289" i="2" s="1"/>
  <c r="CY290" i="2" s="1"/>
  <c r="CY291" i="2" s="1"/>
  <c r="CY292" i="2" s="1"/>
  <c r="CY293" i="2" s="1"/>
  <c r="CY294" i="2" s="1"/>
  <c r="CY295" i="2" s="1"/>
  <c r="CY296" i="2" s="1"/>
  <c r="CY297" i="2" s="1"/>
  <c r="CY298" i="2" s="1"/>
  <c r="CY299" i="2" s="1"/>
  <c r="CY300" i="2" s="1"/>
  <c r="CY301" i="2" s="1"/>
  <c r="CY302" i="2" s="1"/>
  <c r="CY303" i="2" s="1"/>
  <c r="CY304" i="2" s="1"/>
  <c r="CY305" i="2" s="1"/>
  <c r="CY306" i="2" s="1"/>
  <c r="CY307" i="2" s="1"/>
  <c r="CY308" i="2" s="1"/>
  <c r="CY309" i="2" s="1"/>
  <c r="CY310" i="2" s="1"/>
  <c r="CY311" i="2" s="1"/>
  <c r="CY312" i="2" s="1"/>
  <c r="CY313" i="2" s="1"/>
  <c r="CY314" i="2" s="1"/>
  <c r="CY315" i="2" s="1"/>
  <c r="CY316" i="2" s="1"/>
  <c r="CY317" i="2" s="1"/>
  <c r="CY318" i="2" s="1"/>
  <c r="CY319" i="2" s="1"/>
  <c r="CY320" i="2" s="1"/>
  <c r="CY321" i="2" s="1"/>
  <c r="CY322" i="2" s="1"/>
  <c r="CY323" i="2" s="1"/>
  <c r="CY324" i="2" s="1"/>
  <c r="CY325" i="2" s="1"/>
  <c r="CY326" i="2" s="1"/>
  <c r="CY327" i="2" s="1"/>
  <c r="CY328" i="2" s="1"/>
  <c r="CY329" i="2" s="1"/>
  <c r="CY330" i="2" s="1"/>
  <c r="CY331" i="2" s="1"/>
  <c r="CY332" i="2" s="1"/>
  <c r="CY333" i="2" s="1"/>
  <c r="CY334" i="2" s="1"/>
  <c r="CY335" i="2" s="1"/>
  <c r="CY336" i="2" s="1"/>
  <c r="CY337" i="2" s="1"/>
  <c r="CY338" i="2" s="1"/>
  <c r="CY339" i="2" s="1"/>
  <c r="CY340" i="2" s="1"/>
  <c r="CY34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Wannapa Pilasuk</author>
    <author>Watsana Sipamai</author>
  </authors>
  <commentList>
    <comment ref="B3" authorId="0" shapeId="0" xr:uid="{172AE9E4-3C60-4A3F-AAA1-EEF37ACAAA43}">
      <text>
        <r>
          <rPr>
            <b/>
            <sz val="10"/>
            <color indexed="81"/>
            <rFont val="Tahoma"/>
            <family val="2"/>
          </rPr>
          <t xml:space="preserve">FM3-V801-000
OM3-G992-000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" authorId="0" shapeId="0" xr:uid="{D9C2A93B-249D-4B89-97BD-C7C4DB56D3DC}">
      <text>
        <r>
          <rPr>
            <sz val="14"/>
            <color indexed="81"/>
            <rFont val="Tahoma"/>
            <family val="2"/>
          </rPr>
          <t>FM3-V803-000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OM3-G994-000</t>
        </r>
      </text>
    </comment>
    <comment ref="F3" authorId="0" shapeId="0" xr:uid="{FACAA4A9-0567-43DB-9ED9-A8929AC4690A}">
      <text>
        <r>
          <rPr>
            <sz val="14"/>
            <color indexed="81"/>
            <rFont val="Tahoma"/>
            <family val="2"/>
          </rPr>
          <t>FM3-V805-000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OM3-G996-000</t>
        </r>
      </text>
    </comment>
    <comment ref="G3" authorId="0" shapeId="0" xr:uid="{8F61887F-30FD-44F6-B5B7-549514AE96A1}">
      <text>
        <r>
          <rPr>
            <b/>
            <sz val="11"/>
            <color indexed="81"/>
            <rFont val="Tahoma"/>
            <family val="2"/>
          </rPr>
          <t>J812</t>
        </r>
      </text>
    </comment>
    <comment ref="H3" authorId="1" shapeId="0" xr:uid="{20869EF9-03E3-4F5D-B7A8-A41D0C161BCC}">
      <text>
        <r>
          <rPr>
            <sz val="14"/>
            <color indexed="81"/>
            <rFont val="Tahoma"/>
            <family val="2"/>
          </rPr>
          <t>FM3-G838-000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1" shapeId="0" xr:uid="{10BB38D4-05DC-4E7D-8A61-BA4BC203CA3D}">
      <text>
        <r>
          <rPr>
            <sz val="12"/>
            <color indexed="81"/>
            <rFont val="Tahoma"/>
            <family val="2"/>
          </rPr>
          <t>FM4-R810-000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0" shapeId="0" xr:uid="{976B175C-19E4-4182-8AB0-1AF192ECE73E}">
      <text>
        <r>
          <rPr>
            <sz val="11"/>
            <color indexed="81"/>
            <rFont val="Tahoma"/>
            <family val="2"/>
          </rPr>
          <t>FM3-F989-000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" authorId="1" shapeId="0" xr:uid="{04369066-2670-4A25-8EF8-2887F9E73EE7}">
      <text>
        <r>
          <rPr>
            <sz val="14"/>
            <color indexed="81"/>
            <rFont val="Tahoma"/>
            <family val="2"/>
          </rPr>
          <t>FM3-F989-000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" authorId="0" shapeId="0" xr:uid="{4DA7FB4A-B155-4245-A3D5-94BB9AB63C49}">
      <text>
        <r>
          <rPr>
            <sz val="12"/>
            <color indexed="81"/>
            <rFont val="Tahoma"/>
            <family val="2"/>
          </rPr>
          <t>FM3-F990-000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" authorId="1" shapeId="0" xr:uid="{A973FCE7-2085-4C34-9B2B-381A83877C2C}">
      <text>
        <r>
          <rPr>
            <b/>
            <sz val="12"/>
            <color indexed="81"/>
            <rFont val="Tahoma"/>
            <family val="2"/>
          </rPr>
          <t>FM3-V801-000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OM3-G992-000</t>
        </r>
      </text>
    </comment>
    <comment ref="P3" authorId="1" shapeId="0" xr:uid="{6D576BC7-F463-4D9E-A281-741AF593EDB1}">
      <text>
        <r>
          <rPr>
            <b/>
            <sz val="12"/>
            <color indexed="81"/>
            <rFont val="Tahoma"/>
            <family val="2"/>
          </rPr>
          <t>FM3-V803-000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OM3-G994-000</t>
        </r>
      </text>
    </comment>
    <comment ref="R3" authorId="0" shapeId="0" xr:uid="{20126691-6202-484C-980F-FE5CA2528656}">
      <text>
        <r>
          <rPr>
            <sz val="9"/>
            <color indexed="81"/>
            <rFont val="Tahoma"/>
            <family val="2"/>
          </rPr>
          <t xml:space="preserve">J816
</t>
        </r>
      </text>
    </comment>
    <comment ref="S3" authorId="0" shapeId="0" xr:uid="{14172A57-9AC0-40C6-B3B2-33E0E7DEF134}">
      <text>
        <r>
          <rPr>
            <sz val="9"/>
            <color indexed="81"/>
            <rFont val="Tahoma"/>
            <family val="2"/>
          </rPr>
          <t xml:space="preserve">J818
</t>
        </r>
      </text>
    </comment>
    <comment ref="T3" authorId="0" shapeId="0" xr:uid="{EE170B40-413A-4EE4-81F4-5C77215C4DEC}">
      <text>
        <r>
          <rPr>
            <b/>
            <sz val="10"/>
            <color indexed="81"/>
            <rFont val="Tahoma"/>
            <family val="2"/>
          </rPr>
          <t>FM3-F991-000</t>
        </r>
      </text>
    </comment>
    <comment ref="U3" authorId="1" shapeId="0" xr:uid="{6813114F-4E66-4946-B878-FB144A69C0E6}">
      <text>
        <r>
          <rPr>
            <sz val="12"/>
            <color indexed="81"/>
            <rFont val="Tahoma"/>
            <family val="2"/>
          </rPr>
          <t>FM3-F991-000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3" authorId="0" shapeId="0" xr:uid="{8608753A-F531-4236-AFFD-C6BFB433EC3A}">
      <text>
        <r>
          <rPr>
            <b/>
            <sz val="10"/>
            <color indexed="81"/>
            <rFont val="Tahoma"/>
            <family val="2"/>
          </rPr>
          <t>FM3-F992-000</t>
        </r>
      </text>
    </comment>
    <comment ref="W3" authorId="1" shapeId="0" xr:uid="{EBA26FA9-3E87-48AD-873A-122DBCDDC21A}">
      <text>
        <r>
          <rPr>
            <sz val="12"/>
            <color indexed="81"/>
            <rFont val="Tahoma"/>
            <family val="2"/>
          </rPr>
          <t>FM3-F992-000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<sst xmlns="http://schemas.openxmlformats.org/spreadsheetml/2006/main" count="5476" uniqueCount="830">
  <si>
    <t>Mercury</t>
  </si>
  <si>
    <t>Lot Size</t>
  </si>
  <si>
    <t>7215C006AA</t>
  </si>
  <si>
    <t>7215C003AA</t>
  </si>
  <si>
    <t>Cell</t>
  </si>
  <si>
    <t>7215C002AA</t>
  </si>
  <si>
    <t>7220C003AA</t>
  </si>
  <si>
    <t>7220C005AA</t>
  </si>
  <si>
    <t>7221C002AA</t>
  </si>
  <si>
    <t>7220C008AA</t>
  </si>
  <si>
    <t>7215C005AA</t>
  </si>
  <si>
    <t>Date</t>
  </si>
  <si>
    <t>CD_USE_BLOCK</t>
  </si>
  <si>
    <t>NO_PARTS</t>
  </si>
  <si>
    <t>NO_ADJ_DIM</t>
  </si>
  <si>
    <t>NO_INVENT_CNTL_POI</t>
  </si>
  <si>
    <t>CD_PROCESS</t>
  </si>
  <si>
    <t>NM_PARTS_ENG</t>
  </si>
  <si>
    <t>CF_CHILD_BASE</t>
  </si>
  <si>
    <t>CD_SPLY</t>
  </si>
  <si>
    <t>PT_RATIO</t>
  </si>
  <si>
    <t>QT_SNP</t>
  </si>
  <si>
    <t>5961C001AA</t>
  </si>
  <si>
    <t>5961C006AA</t>
  </si>
  <si>
    <t>5961C007AA</t>
  </si>
  <si>
    <t>5962C001AA</t>
  </si>
  <si>
    <t>5962C006AA</t>
  </si>
  <si>
    <t>5962C007AA</t>
  </si>
  <si>
    <t>5962C008AA</t>
  </si>
  <si>
    <t>5962C011AA</t>
  </si>
  <si>
    <t>5963C001AA</t>
  </si>
  <si>
    <t>5963C006AA</t>
  </si>
  <si>
    <t>5963C007AA</t>
  </si>
  <si>
    <t>5963C008AA</t>
  </si>
  <si>
    <t>5963C011AA</t>
  </si>
  <si>
    <t>5964C007AA</t>
  </si>
  <si>
    <t>5964C008AA</t>
  </si>
  <si>
    <t>5965C007AA</t>
  </si>
  <si>
    <t>5965C008AA</t>
  </si>
  <si>
    <t>5965C011AA</t>
  </si>
  <si>
    <t>5966C001AA</t>
  </si>
  <si>
    <t>5967C007AA</t>
  </si>
  <si>
    <t>5970C007AA</t>
  </si>
  <si>
    <t>5970C008AA</t>
  </si>
  <si>
    <t>5970C011AA</t>
  </si>
  <si>
    <t>5971C007AA</t>
  </si>
  <si>
    <t>5971C008AA</t>
  </si>
  <si>
    <t>5971C011AA</t>
  </si>
  <si>
    <t>5972C007AA</t>
  </si>
  <si>
    <t>5972C008AA</t>
  </si>
  <si>
    <t>5973C007AA</t>
  </si>
  <si>
    <t>5973C008AA</t>
  </si>
  <si>
    <t>5974C007AA</t>
  </si>
  <si>
    <t>5975C007AA</t>
  </si>
  <si>
    <t>5975C008AA</t>
  </si>
  <si>
    <t>5976C001AA</t>
  </si>
  <si>
    <t>5976C007AA</t>
  </si>
  <si>
    <t>5976C008AA</t>
  </si>
  <si>
    <t>5976C011AA</t>
  </si>
  <si>
    <t>7199C002AA</t>
  </si>
  <si>
    <t>7199C003AA</t>
  </si>
  <si>
    <t>7199C005AA</t>
  </si>
  <si>
    <t>7199C006AA</t>
  </si>
  <si>
    <t>7199C007AA</t>
  </si>
  <si>
    <t>7199C008AA</t>
  </si>
  <si>
    <t>7199C009AA</t>
  </si>
  <si>
    <t>7199C010AA</t>
  </si>
  <si>
    <t>7199C011AA</t>
  </si>
  <si>
    <t>7199C012AA</t>
  </si>
  <si>
    <t>7215C001AA</t>
  </si>
  <si>
    <t>7215C007AA</t>
  </si>
  <si>
    <t>7215C008AA</t>
  </si>
  <si>
    <t>7215C010AA</t>
  </si>
  <si>
    <t>7217C009AA</t>
  </si>
  <si>
    <t>7218C009AA</t>
  </si>
  <si>
    <t>7219C009AA</t>
  </si>
  <si>
    <t>7220C009AA</t>
  </si>
  <si>
    <t>7220C010AA</t>
  </si>
  <si>
    <t>7230C001AA</t>
  </si>
  <si>
    <t>7230C002AA</t>
  </si>
  <si>
    <t>7230C003AA</t>
  </si>
  <si>
    <t>7230C005AA</t>
  </si>
  <si>
    <t>7230C008AA</t>
  </si>
  <si>
    <t>7230C010AA</t>
  </si>
  <si>
    <t>7231C009AA</t>
  </si>
  <si>
    <t>7232C009AA</t>
  </si>
  <si>
    <t>7233C009AA</t>
  </si>
  <si>
    <t>7234C008AA</t>
  </si>
  <si>
    <t>7235C008AA</t>
  </si>
  <si>
    <t>7235C010AA</t>
  </si>
  <si>
    <t>7236C009AA</t>
  </si>
  <si>
    <t>7238C009AA</t>
  </si>
  <si>
    <t>7239C002AA</t>
  </si>
  <si>
    <t>7239C009AA</t>
  </si>
  <si>
    <t>561A</t>
  </si>
  <si>
    <t>561B</t>
  </si>
  <si>
    <t>FM3-F806-000</t>
  </si>
  <si>
    <t>SERIAL-COUNTER_PCB_ASSY(FOR FACTORY)</t>
  </si>
  <si>
    <t>9XX</t>
  </si>
  <si>
    <t>55K1</t>
  </si>
  <si>
    <t>3DA</t>
  </si>
  <si>
    <t>FM3-F994-000</t>
  </si>
  <si>
    <t>DCON_T711_EF_FW_ASSY</t>
  </si>
  <si>
    <t>FM3-F995-000</t>
  </si>
  <si>
    <t>DCON_T711_G_FW_ASSY</t>
  </si>
  <si>
    <t>FM3-F996-000</t>
  </si>
  <si>
    <t>DCON_T511_AB_FW_ASSY</t>
  </si>
  <si>
    <t>FM3-F997-000</t>
  </si>
  <si>
    <t>DCON_T511_DE_FW_ASSY</t>
  </si>
  <si>
    <t>FM3-F998-000</t>
  </si>
  <si>
    <t>DCON_T511_C_FW_ASSY</t>
  </si>
  <si>
    <t>FM3-F999-000</t>
  </si>
  <si>
    <t>DCON_T511_FG_FW_ASSY</t>
  </si>
  <si>
    <t>FM3-G835-000</t>
  </si>
  <si>
    <t>MAIN CONTROLLER T711 PCB-ASSY_FW_ACRO(FA</t>
  </si>
  <si>
    <t>FM3-G839-000</t>
  </si>
  <si>
    <t>MAIN CONTROLLER T711 PCB-ASSY_FW_SAURO(F</t>
  </si>
  <si>
    <t>FM3-G841-000</t>
  </si>
  <si>
    <t>MAIN CONTROLLER T511 PCB-ASSY_FW_ACRO(FA</t>
  </si>
  <si>
    <t>FM3-G845-000</t>
  </si>
  <si>
    <t>MAIN CONTROLLER T511 PCB-ASSY_FW_KENTRO(</t>
  </si>
  <si>
    <t>FM3-G997-000</t>
  </si>
  <si>
    <t>MAIN-CONTROLLER_T711_RDALL_2beam_Unit</t>
  </si>
  <si>
    <t>FM3-G999-000</t>
  </si>
  <si>
    <t>MAIN-CONTROLLER_T711_RDALL_1beam_Unit</t>
  </si>
  <si>
    <t>FM3-H802-000</t>
  </si>
  <si>
    <t>MAIN-CONTROLLER_T711_RDSU_1beam_Unit</t>
  </si>
  <si>
    <t>FM3-H817-000</t>
  </si>
  <si>
    <t>MAIN-CONTROLLER_T511_RDALL_2beam_Unit</t>
  </si>
  <si>
    <t>FM3-H819-000</t>
  </si>
  <si>
    <t>MAIN-CONTROLLER_T511_RDALL_1beam_Unit</t>
  </si>
  <si>
    <t>FM3-W997-000</t>
  </si>
  <si>
    <t>DCON-DRUM_FW_ASSY</t>
  </si>
  <si>
    <t>3KA</t>
  </si>
  <si>
    <t>FM3-X838-000</t>
  </si>
  <si>
    <t>BOOTDEVICE_761_ForFactory_UNIT</t>
  </si>
  <si>
    <t>FM4-G960-000</t>
  </si>
  <si>
    <t>MAIN-CONTROLLER_PCB_UNIT</t>
  </si>
  <si>
    <t>FM4-G962-000</t>
  </si>
  <si>
    <t>MAIN-CONTROLLER_PCB_UNIT_CN</t>
  </si>
  <si>
    <t>FM4-R811-000</t>
  </si>
  <si>
    <t>DC-CONTROLLER-R-T711ABCD_FW-ASSY</t>
  </si>
  <si>
    <t>FM5-A853-000</t>
  </si>
  <si>
    <t>DCON-DRUM_T713_HJLM_W/FW</t>
  </si>
  <si>
    <t>FM5-A854-000</t>
  </si>
  <si>
    <t>DCON-DRUM_T713_NP_W/FW</t>
  </si>
  <si>
    <t>FM5-A858-000</t>
  </si>
  <si>
    <t>DCON-DRUM_T513_JLM_W/FW</t>
  </si>
  <si>
    <t>FM5-A861-000</t>
  </si>
  <si>
    <t>DCON-DRUM_T513_NP_W/FW</t>
  </si>
  <si>
    <t>1IA</t>
  </si>
  <si>
    <t>FM5-A862-000</t>
  </si>
  <si>
    <t>DCON-DRUM_T513_QRS_W/FW</t>
  </si>
  <si>
    <t>FM5-A891-000</t>
  </si>
  <si>
    <t>MAIN CONTROLLER T713 PCB-ASSY_FW_PTERO-A</t>
  </si>
  <si>
    <t>FM5-A898-000</t>
  </si>
  <si>
    <t>MAIN CONTROLLER T513 PCB-ASSY_FW_PTERO-A</t>
  </si>
  <si>
    <t>FM5-A902-000</t>
  </si>
  <si>
    <t>MAIN CONTROLLER T513 PCB-ASSY_FW_PTERO-C</t>
  </si>
  <si>
    <t>FM5-E836-000</t>
  </si>
  <si>
    <t>MAIN-CONTROLLER_PCB_D5_UNIT</t>
  </si>
  <si>
    <t>FM5-E950-000</t>
  </si>
  <si>
    <t>FM5-E954-000</t>
  </si>
  <si>
    <t>FM5-E958-000</t>
  </si>
  <si>
    <t>BOOTDEVICE_T713_ForFactory_UNIT</t>
  </si>
  <si>
    <t>FM5-F817-000</t>
  </si>
  <si>
    <t>FM5-F823-000</t>
  </si>
  <si>
    <t>BOOTDEVICE_T513_ForFactory_UNIT</t>
  </si>
  <si>
    <t>ORDER METHOD</t>
  </si>
  <si>
    <t>-</t>
  </si>
  <si>
    <t>PO_LT</t>
  </si>
  <si>
    <t>ELT</t>
  </si>
  <si>
    <t>ASSY_LT</t>
  </si>
  <si>
    <t>4919C001AA</t>
  </si>
  <si>
    <t>4919C003AA</t>
  </si>
  <si>
    <t>4919C004AA</t>
  </si>
  <si>
    <t>4919C005AA</t>
  </si>
  <si>
    <t>6019C001AA</t>
  </si>
  <si>
    <t>6019C004AA</t>
  </si>
  <si>
    <t>6019C005AA</t>
  </si>
  <si>
    <t>6744C001AA</t>
  </si>
  <si>
    <t>6744C002AA</t>
  </si>
  <si>
    <t>6744C003AA</t>
  </si>
  <si>
    <t>7258C002AA</t>
  </si>
  <si>
    <t>7258C004AA</t>
  </si>
  <si>
    <t>7258C005AA</t>
  </si>
  <si>
    <t>F44-1311-000000</t>
  </si>
  <si>
    <t>F44-1313-000000</t>
  </si>
  <si>
    <t>F44-1314-000000</t>
  </si>
  <si>
    <t>F44-1315-000000</t>
  </si>
  <si>
    <t>F44-1316-000000</t>
  </si>
  <si>
    <t>F44-1317-000000</t>
  </si>
  <si>
    <t>FL0-0222-000000</t>
  </si>
  <si>
    <t>FL0-2481-000000</t>
  </si>
  <si>
    <t>FL0-2482-000000</t>
  </si>
  <si>
    <t>FL0-2751-000000</t>
  </si>
  <si>
    <t>FL0-2755-000000</t>
  </si>
  <si>
    <t>FL0-2756-000000</t>
  </si>
  <si>
    <t>FL1-1183-000000</t>
  </si>
  <si>
    <t>FL1-1184-000000</t>
  </si>
  <si>
    <t>FL1-F010-000000</t>
  </si>
  <si>
    <t>FL1-M419-000000</t>
  </si>
  <si>
    <t>FL4-4775-000000</t>
  </si>
  <si>
    <t>FM1-A605-000000</t>
  </si>
  <si>
    <t>FM1-A619-000000</t>
  </si>
  <si>
    <t>FM1-B264-000000</t>
  </si>
  <si>
    <t>FM1-B265-000000</t>
  </si>
  <si>
    <t>FM1-B266-000000</t>
  </si>
  <si>
    <t>FM1-B267-000000</t>
  </si>
  <si>
    <t>FM1-B271-000000</t>
  </si>
  <si>
    <t>FM1-C225-000000</t>
  </si>
  <si>
    <t>FM1-D470-000000</t>
  </si>
  <si>
    <t>FM1-D471-000000</t>
  </si>
  <si>
    <t>FM1-D472-000000</t>
  </si>
  <si>
    <t>FM1-D476-000000</t>
  </si>
  <si>
    <t>FM1-D478-000000</t>
  </si>
  <si>
    <t>FM1-D503-000000</t>
  </si>
  <si>
    <t>FM1-N295-000000</t>
  </si>
  <si>
    <t>FM1-N296-000000</t>
  </si>
  <si>
    <t>FM1-N745-000000</t>
  </si>
  <si>
    <t>FM1-P495-000000</t>
  </si>
  <si>
    <t>FM1-W313-000000</t>
  </si>
  <si>
    <t>FM1-W314-000000</t>
  </si>
  <si>
    <t>FM1-X037-000000</t>
  </si>
  <si>
    <t>FM1-X059-000000</t>
  </si>
  <si>
    <t>FM1-X148-000000</t>
  </si>
  <si>
    <t>FM1-X156-000000</t>
  </si>
  <si>
    <t>FM1-X466-000000</t>
  </si>
  <si>
    <t>FM1-Y610-000000</t>
  </si>
  <si>
    <t>FM1-Y611-000000</t>
  </si>
  <si>
    <t>FM1-Y612-000000</t>
  </si>
  <si>
    <t>FM1-Y613-000000</t>
  </si>
  <si>
    <t>FM1-Y614-000000</t>
  </si>
  <si>
    <t>FM1-Y630-000000</t>
  </si>
  <si>
    <t>FM1-Y640-000000</t>
  </si>
  <si>
    <t>FM2-A008-000000</t>
  </si>
  <si>
    <t>FM2-B038-000000</t>
  </si>
  <si>
    <t>FM2-B039-000000</t>
  </si>
  <si>
    <t>FM2-B063-000000</t>
  </si>
  <si>
    <t>FM2-B083-000000</t>
  </si>
  <si>
    <t>FM2-B739-000000</t>
  </si>
  <si>
    <t>FM2-B740-000000</t>
  </si>
  <si>
    <t>FM2-C256-000000</t>
  </si>
  <si>
    <t>FM2-C751-000000</t>
  </si>
  <si>
    <t>FM2-C753-000000</t>
  </si>
  <si>
    <t>FM2-D348-000000</t>
  </si>
  <si>
    <t>FM2-D369-000000</t>
  </si>
  <si>
    <t>FM2-D370-000000</t>
  </si>
  <si>
    <t>FM2-D381-000000</t>
  </si>
  <si>
    <t>FM2-D383-000000</t>
  </si>
  <si>
    <t>FM2-D607-000000</t>
  </si>
  <si>
    <t>FM2-D609-000000</t>
  </si>
  <si>
    <t>FM2-D616-000000</t>
  </si>
  <si>
    <t>FM2-E403-000000</t>
  </si>
  <si>
    <t>FM2-E404-000000</t>
  </si>
  <si>
    <t>FM2-E764-KKK000</t>
  </si>
  <si>
    <t>FM2-F075-000000</t>
  </si>
  <si>
    <t>FM2-G089-000000</t>
  </si>
  <si>
    <t>FM2-G090-000000</t>
  </si>
  <si>
    <t>FM2-G091-000000</t>
  </si>
  <si>
    <t>FM2-G092-000000</t>
  </si>
  <si>
    <t>FM2-G239-000000</t>
  </si>
  <si>
    <t>FM2-G240-000000</t>
  </si>
  <si>
    <t>FM2-G250-000000</t>
  </si>
  <si>
    <t>FM2-G251-000000</t>
  </si>
  <si>
    <t>FM2-G527-000000</t>
  </si>
  <si>
    <t>FM2-H218-000000</t>
  </si>
  <si>
    <t>FM2-H258-000000</t>
  </si>
  <si>
    <t>FM2-H259-000000</t>
  </si>
  <si>
    <t>FM2-H429-000000</t>
  </si>
  <si>
    <t>FM2-H430-000000</t>
  </si>
  <si>
    <t>FM2-H475-000000</t>
  </si>
  <si>
    <t>FM2-H612-000000</t>
  </si>
  <si>
    <t>FM2-H613-000000</t>
  </si>
  <si>
    <t>FM2-H618-000000</t>
  </si>
  <si>
    <t>FM2-H619-000000</t>
  </si>
  <si>
    <t>FM2-H629-000000</t>
  </si>
  <si>
    <t>FM2-H632-000000</t>
  </si>
  <si>
    <t>FM2-H633-000000</t>
  </si>
  <si>
    <t>FM2-J125-000000</t>
  </si>
  <si>
    <t>FM2-J137-000000</t>
  </si>
  <si>
    <t>FM2-J621-000000</t>
  </si>
  <si>
    <t>FM2-K207-KKK000</t>
  </si>
  <si>
    <t>FM2-K210-KKK000</t>
  </si>
  <si>
    <t>FM2-K212-KKK000</t>
  </si>
  <si>
    <t>FM2-K521-000000</t>
  </si>
  <si>
    <t>FM2-L719-000000</t>
  </si>
  <si>
    <t>FM2-M315-000000</t>
  </si>
  <si>
    <t>FM2-M396-00000K</t>
  </si>
  <si>
    <t>FM2-M791-000000</t>
  </si>
  <si>
    <t>FM2-M793-000000</t>
  </si>
  <si>
    <t>FM2-N006-000000</t>
  </si>
  <si>
    <t>FM2-N010-000000</t>
  </si>
  <si>
    <t>FM2-N271-00000K</t>
  </si>
  <si>
    <t>FM2-N374-00000K</t>
  </si>
  <si>
    <t>FM2-N500-000000</t>
  </si>
  <si>
    <t>FM2-N502-000000</t>
  </si>
  <si>
    <t>FM2-N509-000000</t>
  </si>
  <si>
    <t>FM2-N516-000000</t>
  </si>
  <si>
    <t>FM2-N517-000000</t>
  </si>
  <si>
    <t>FM2-N518-000000</t>
  </si>
  <si>
    <t>FM2-N519-000000</t>
  </si>
  <si>
    <t>FM2-N527-000000</t>
  </si>
  <si>
    <t>FM2-N552-000000</t>
  </si>
  <si>
    <t>FM2-N570-000000</t>
  </si>
  <si>
    <t>FM2-N573-000000</t>
  </si>
  <si>
    <t>FM2-N796-000000</t>
  </si>
  <si>
    <t>FM2-P085-000000</t>
  </si>
  <si>
    <t>FM2-P701-000000</t>
  </si>
  <si>
    <t>FM2-P702-000000</t>
  </si>
  <si>
    <t>FM2-Q487-00000K</t>
  </si>
  <si>
    <t>FM2-T226-000000</t>
  </si>
  <si>
    <t>FM2-T227-000000</t>
  </si>
  <si>
    <t>FM2-U089-000000</t>
  </si>
  <si>
    <t>FM2-U237-000000</t>
  </si>
  <si>
    <t>FM2-U239-000000</t>
  </si>
  <si>
    <t>FM2-U244-000000</t>
  </si>
  <si>
    <t>FM2-U250-000000</t>
  </si>
  <si>
    <t>FM2-U251-000000</t>
  </si>
  <si>
    <t>FM2-U252-000000</t>
  </si>
  <si>
    <t>FM2-U350-000000</t>
  </si>
  <si>
    <t>FM2-V102-000000</t>
  </si>
  <si>
    <t>FM2-V488-000000</t>
  </si>
  <si>
    <t>FM2-X234-000000</t>
  </si>
  <si>
    <t>FM2-X530-000000</t>
  </si>
  <si>
    <t>FM2-X570-000000</t>
  </si>
  <si>
    <t>FM2-X573-000000</t>
  </si>
  <si>
    <t>FM2-Y025-000000</t>
  </si>
  <si>
    <t>FM2-Y411-000000</t>
  </si>
  <si>
    <t>FM2-Y448-000000</t>
  </si>
  <si>
    <t>FM2-Y496-000000</t>
  </si>
  <si>
    <t>FM2-Y641-KKK000</t>
  </si>
  <si>
    <t>FM3-A749-000000</t>
  </si>
  <si>
    <t>FM3-B051-000000</t>
  </si>
  <si>
    <t>FM3-B053-000000</t>
  </si>
  <si>
    <t>FM3-B451-000000</t>
  </si>
  <si>
    <t>FM3-B454-000000</t>
  </si>
  <si>
    <t>FM3-B664-00000K</t>
  </si>
  <si>
    <t>FM3-C533-000000</t>
  </si>
  <si>
    <t>FM3-C534-000000</t>
  </si>
  <si>
    <t>FM3-C535-000000</t>
  </si>
  <si>
    <t>FM3-H815-000000</t>
  </si>
  <si>
    <t>Work Order</t>
  </si>
  <si>
    <t>Actual/Plan</t>
  </si>
  <si>
    <t>Qty</t>
  </si>
  <si>
    <t>Line No</t>
  </si>
  <si>
    <t>Unit No</t>
  </si>
  <si>
    <t>WO</t>
  </si>
  <si>
    <t>Status</t>
  </si>
  <si>
    <t>Finish Time</t>
  </si>
  <si>
    <t>SSL2</t>
  </si>
  <si>
    <t>FM5-A852-B00</t>
  </si>
  <si>
    <t>Plan</t>
  </si>
  <si>
    <t>FM5-A852-000</t>
  </si>
  <si>
    <t>FM3-W996-000</t>
  </si>
  <si>
    <t>Start Time</t>
  </si>
  <si>
    <t>Unit name</t>
  </si>
  <si>
    <t>DCON</t>
  </si>
  <si>
    <t>FG Unit</t>
  </si>
  <si>
    <t>Model</t>
  </si>
  <si>
    <t>SMT Unit</t>
  </si>
  <si>
    <t>Unit</t>
  </si>
  <si>
    <t>Rework SMT</t>
  </si>
  <si>
    <t>งานFG รอBox</t>
  </si>
  <si>
    <t>FG</t>
  </si>
  <si>
    <t>Ins</t>
    <phoneticPr fontId="0"/>
  </si>
  <si>
    <t>MI</t>
    <phoneticPr fontId="0"/>
  </si>
  <si>
    <t>FCT</t>
    <phoneticPr fontId="0"/>
  </si>
  <si>
    <t>TTL</t>
    <phoneticPr fontId="0"/>
  </si>
  <si>
    <t>ASSY</t>
    <phoneticPr fontId="0"/>
  </si>
  <si>
    <t>Grand TTL</t>
    <phoneticPr fontId="0"/>
  </si>
  <si>
    <t>Time</t>
  </si>
  <si>
    <t>1</t>
  </si>
  <si>
    <t>SEL</t>
  </si>
  <si>
    <t>M5</t>
  </si>
  <si>
    <t>OK</t>
  </si>
  <si>
    <t>#VALUE!</t>
  </si>
  <si>
    <t>2</t>
  </si>
  <si>
    <t>3</t>
  </si>
  <si>
    <t>4</t>
  </si>
  <si>
    <t>09/Jun/26 เหลือ 0  MC</t>
  </si>
  <si>
    <t>0</t>
  </si>
  <si>
    <t>NG</t>
  </si>
  <si>
    <t>39</t>
  </si>
  <si>
    <t>18</t>
  </si>
  <si>
    <t>JPN</t>
  </si>
  <si>
    <t>●</t>
  </si>
  <si>
    <t>5</t>
  </si>
  <si>
    <t>6</t>
  </si>
  <si>
    <t>7</t>
  </si>
  <si>
    <t>IND</t>
  </si>
  <si>
    <t>ASIA</t>
  </si>
  <si>
    <t>25</t>
  </si>
  <si>
    <t>8</t>
  </si>
  <si>
    <t>9</t>
  </si>
  <si>
    <t>30</t>
  </si>
  <si>
    <t>Update Date :</t>
  </si>
  <si>
    <t>Cell No</t>
  </si>
  <si>
    <t>Priority</t>
  </si>
  <si>
    <t>Product Name</t>
  </si>
  <si>
    <t>Type</t>
  </si>
  <si>
    <t>Destination</t>
  </si>
  <si>
    <t>Speed</t>
  </si>
  <si>
    <t>ADF</t>
  </si>
  <si>
    <t>READER</t>
  </si>
  <si>
    <t>ADF+READER</t>
  </si>
  <si>
    <t>Heater</t>
  </si>
  <si>
    <t>Fax</t>
  </si>
  <si>
    <t>Selectable</t>
  </si>
  <si>
    <t>CST HEATER</t>
  </si>
  <si>
    <t>Extra Work</t>
  </si>
  <si>
    <t>Output</t>
  </si>
  <si>
    <t>Remain</t>
  </si>
  <si>
    <t>Remark</t>
  </si>
  <si>
    <t>Finished Qty</t>
  </si>
  <si>
    <t>Voltage</t>
  </si>
  <si>
    <t>1 STCopy</t>
  </si>
  <si>
    <t>W</t>
  </si>
  <si>
    <t xml:space="preserve">Status </t>
  </si>
  <si>
    <t>Y</t>
  </si>
  <si>
    <t>AA</t>
  </si>
  <si>
    <t>Finished Date</t>
  </si>
  <si>
    <t>AC</t>
  </si>
  <si>
    <t>RemainQty</t>
  </si>
  <si>
    <t>AE</t>
  </si>
  <si>
    <t>T711</t>
  </si>
  <si>
    <t>PENTA-AA</t>
  </si>
  <si>
    <t>FM3-G998-000</t>
  </si>
  <si>
    <t>FM3-H801-000</t>
  </si>
  <si>
    <t>ACRO</t>
  </si>
  <si>
    <t>SAURO</t>
  </si>
  <si>
    <t>DCONABCD</t>
  </si>
  <si>
    <t>FM3-F993-000</t>
  </si>
  <si>
    <t>DCON EF</t>
  </si>
  <si>
    <t>DCON G</t>
  </si>
  <si>
    <t>EMMC</t>
  </si>
  <si>
    <t>FM3-H812-000</t>
  </si>
  <si>
    <t>T511</t>
  </si>
  <si>
    <t>FM3-H818-000</t>
  </si>
  <si>
    <t>FM3-H820-000</t>
  </si>
  <si>
    <t>KENTO</t>
  </si>
  <si>
    <t>DCON ABDE</t>
  </si>
  <si>
    <t>DCONDE</t>
  </si>
  <si>
    <t>DCON C</t>
  </si>
  <si>
    <t>DCON FG</t>
  </si>
  <si>
    <t>FM3-H829-000</t>
  </si>
  <si>
    <t>T751ABP</t>
  </si>
  <si>
    <t>MOTION</t>
  </si>
  <si>
    <t>FM1-U011-000</t>
  </si>
  <si>
    <t>KONA</t>
  </si>
  <si>
    <t>FM3-F810-000</t>
  </si>
  <si>
    <t>FM2-Q840-000</t>
  </si>
  <si>
    <t>PENTA-A</t>
  </si>
  <si>
    <t>FM2-R894-000</t>
  </si>
  <si>
    <t>FM2-R895-000</t>
  </si>
  <si>
    <t>FM2-R896-000</t>
  </si>
  <si>
    <t>FM2-R897-000</t>
  </si>
  <si>
    <t>FM2-R899-000</t>
  </si>
  <si>
    <t>T751CD</t>
  </si>
  <si>
    <t>ORION</t>
  </si>
  <si>
    <t>FM2-Q939-000</t>
  </si>
  <si>
    <t>ORION SV</t>
  </si>
  <si>
    <t>FM2-X996-000</t>
  </si>
  <si>
    <t>T751</t>
  </si>
  <si>
    <t>FM3-F812-000</t>
  </si>
  <si>
    <t>FM2-Q948-000</t>
  </si>
  <si>
    <t>T751E</t>
  </si>
  <si>
    <t>LORAL</t>
  </si>
  <si>
    <t>FM2-Q941-000</t>
  </si>
  <si>
    <t>FM2-Q838-000</t>
  </si>
  <si>
    <t>FM2-R908-000</t>
  </si>
  <si>
    <t>T551D</t>
  </si>
  <si>
    <t>FM3-B950-000</t>
  </si>
  <si>
    <t>FM3-C870-000</t>
  </si>
  <si>
    <t>FM3-C871-000</t>
  </si>
  <si>
    <t>T551EF</t>
  </si>
  <si>
    <t>FM3-B954-000</t>
  </si>
  <si>
    <t>FM3-C872-000</t>
  </si>
  <si>
    <t>FM3-C873-000</t>
  </si>
  <si>
    <t>T551A</t>
  </si>
  <si>
    <t>FM3-B956-000</t>
  </si>
  <si>
    <t>GALENA</t>
  </si>
  <si>
    <t>FM3-C828-000</t>
  </si>
  <si>
    <t>T551CB</t>
  </si>
  <si>
    <t>FM3-B952-000</t>
  </si>
  <si>
    <t>ARAMIS</t>
  </si>
  <si>
    <t>FM3-C832-000</t>
  </si>
  <si>
    <t>emmc</t>
  </si>
  <si>
    <t>FM3-C881-000</t>
  </si>
  <si>
    <t>FM3-F991-000</t>
  </si>
  <si>
    <t>FM3-F992-000</t>
  </si>
  <si>
    <t>FM3-F990-000</t>
  </si>
  <si>
    <t>FM3-F989-000</t>
  </si>
  <si>
    <t>FM4-R810-000</t>
  </si>
  <si>
    <t>FM3-G838-000</t>
  </si>
  <si>
    <t>FM3-V801-000</t>
  </si>
  <si>
    <t>OM3-G992-000</t>
  </si>
  <si>
    <t>FM3-V803-000</t>
  </si>
  <si>
    <t>OM3-G994-000</t>
  </si>
  <si>
    <t>FM3-V805-000</t>
  </si>
  <si>
    <t>OM3-G996-000</t>
  </si>
  <si>
    <t>FM5-J812-000</t>
  </si>
  <si>
    <t>FM5-J816-000</t>
  </si>
  <si>
    <t>FM5-J818-000</t>
  </si>
  <si>
    <t xml:space="preserve"> </t>
  </si>
  <si>
    <t>T511B</t>
  </si>
  <si>
    <t>cell 1</t>
  </si>
  <si>
    <t>FM2-Q482</t>
  </si>
  <si>
    <t>FM1-T753</t>
  </si>
  <si>
    <t>FM2-X029</t>
  </si>
  <si>
    <t>SD5</t>
  </si>
  <si>
    <t>T711C</t>
  </si>
  <si>
    <t>cell 2</t>
  </si>
  <si>
    <t>T511A</t>
  </si>
  <si>
    <t>iR-ADV C3930F 100V</t>
  </si>
  <si>
    <t>T711B</t>
  </si>
  <si>
    <t>T711A</t>
  </si>
  <si>
    <t>FM1-T755</t>
  </si>
  <si>
    <t>FM2-K492</t>
  </si>
  <si>
    <t>iR-ADV C3926i TW 120V</t>
  </si>
  <si>
    <t>TWN</t>
  </si>
  <si>
    <t>FM2-K302</t>
  </si>
  <si>
    <t>iR-ADV C3926i 230V</t>
  </si>
  <si>
    <t>iR-ADV C3935F 100V</t>
  </si>
  <si>
    <t>iR-ADV C3926F 100V</t>
  </si>
  <si>
    <t>FM1-W311</t>
  </si>
  <si>
    <t>FM1-T754</t>
  </si>
  <si>
    <t>FM2-K483</t>
  </si>
  <si>
    <t>SU5</t>
  </si>
  <si>
    <t>4MJ73879 - 4MJ73911</t>
  </si>
  <si>
    <t>iR C3326 IND 230V</t>
  </si>
  <si>
    <t>T711E</t>
  </si>
  <si>
    <t>FM2-K495</t>
  </si>
  <si>
    <t>4MW28402 - 4MW28431</t>
  </si>
  <si>
    <t>4MJ73912 - 4MJ74009</t>
  </si>
  <si>
    <t>iR C3322L 230V</t>
  </si>
  <si>
    <t>T711G</t>
  </si>
  <si>
    <t>FM1-Y427</t>
  </si>
  <si>
    <t>FM2-K499</t>
  </si>
  <si>
    <t>=</t>
  </si>
  <si>
    <t>4NJ20362 - 4NJ20371</t>
  </si>
  <si>
    <t>4MW28432 - 4MW28455</t>
  </si>
  <si>
    <t>4MJ74010 - 4MJ74047</t>
  </si>
  <si>
    <t>4MJ74048 - 4MJ74094</t>
  </si>
  <si>
    <t>4MW28456 - 4MW28485</t>
  </si>
  <si>
    <t>4MJ74095 - 4MJ74155</t>
  </si>
  <si>
    <t>4MW28486 - 4MW28501</t>
  </si>
  <si>
    <t>iR C3326i 230V</t>
  </si>
  <si>
    <t>4MV21246 - 4MV21258</t>
  </si>
  <si>
    <t>iR-ADV 4935 IND 230V</t>
  </si>
  <si>
    <t>cell 1,2</t>
  </si>
  <si>
    <t>4NV20312 - 4NV20312</t>
  </si>
  <si>
    <t>4MJ74156 - 4MJ74217</t>
  </si>
  <si>
    <t>4MW28502 - 4MW28515</t>
  </si>
  <si>
    <t>4MW28516 - 4MW28551</t>
  </si>
  <si>
    <t>4MJ74218 - 4MJ74277</t>
  </si>
  <si>
    <t>4MW28552 - 4MW28601</t>
  </si>
  <si>
    <t>4MJ74278 - 4MJ74339</t>
  </si>
  <si>
    <t>4MW28602 - 4MW28619</t>
  </si>
  <si>
    <t>4MW28620 - 4MW28641</t>
  </si>
  <si>
    <t>4MP21259 - 4MP21262</t>
  </si>
  <si>
    <t>iR-ADV 4925 IND 230V</t>
  </si>
  <si>
    <t>T511C</t>
  </si>
  <si>
    <t>4PG21123 - 4PG21135</t>
  </si>
  <si>
    <t>4MJ74340 - 4MJ74399</t>
  </si>
  <si>
    <t>iR C3326i TW 120V</t>
  </si>
  <si>
    <t>FM2-K490</t>
  </si>
  <si>
    <t>4NA01087 - 4NA01088</t>
  </si>
  <si>
    <t>4MW28642 - 4MW28661</t>
  </si>
  <si>
    <t>iR-ADV 4935i TW 120V</t>
  </si>
  <si>
    <t>4PF01426 - 4PF01431</t>
  </si>
  <si>
    <t>4MW28662 - 4MW28696</t>
  </si>
  <si>
    <t>4MJ74400 - 4MJ74495</t>
  </si>
  <si>
    <t>4MJ74496 - 4MJ74573</t>
  </si>
  <si>
    <t>4MJ74574 - 4MJ74708</t>
  </si>
  <si>
    <t>4PG21136 - 4PG21141</t>
  </si>
  <si>
    <t>4MW28697 - 4MW28726</t>
  </si>
  <si>
    <t>4MW28727 - 4MW28776</t>
  </si>
  <si>
    <t>4MJ74709 - 4MJ74748</t>
  </si>
  <si>
    <t>4MW28777 - 4MW28857</t>
  </si>
  <si>
    <t>4MJ74749 - 4MJ74792</t>
  </si>
  <si>
    <t>4MW28858 - 4MW28912</t>
  </si>
  <si>
    <t>4MW28913 - 4MW28917</t>
  </si>
  <si>
    <t>4MJ74793 - 4MJ74832</t>
  </si>
  <si>
    <t>4MW28918 - 4MW28977</t>
  </si>
  <si>
    <t>4MJ74833 - 4MJ74872</t>
  </si>
  <si>
    <t>4MW28978 - 4MW29037</t>
  </si>
  <si>
    <t>60</t>
  </si>
  <si>
    <t>4MJ74873 - 4MJ74912</t>
  </si>
  <si>
    <t>40</t>
  </si>
  <si>
    <t>4MW29038 - 4MW29057</t>
  </si>
  <si>
    <t>20</t>
  </si>
  <si>
    <t>4MW29058 - 4MW29097</t>
  </si>
  <si>
    <t>4MJ74913 - 4MJ74962</t>
  </si>
  <si>
    <t>50</t>
  </si>
  <si>
    <t>4MW29098 - 4MW29157</t>
  </si>
  <si>
    <t>iR-ADV 4945i 230V</t>
  </si>
  <si>
    <t>4NL21319 - 4NL21324</t>
  </si>
  <si>
    <t>4NA01089 - 4NA01089</t>
  </si>
  <si>
    <t>4NJ20372 - 4NJ20395</t>
  </si>
  <si>
    <t>24</t>
  </si>
  <si>
    <t>4MW29158 - 4MW29183</t>
  </si>
  <si>
    <t>26</t>
  </si>
  <si>
    <t>4NJ20396 - 4NJ20401</t>
  </si>
  <si>
    <t>4MW29184 - 4MW29193</t>
  </si>
  <si>
    <t>10</t>
  </si>
  <si>
    <t>4MW29194 - 4MW29218</t>
  </si>
  <si>
    <t>4PG21186 - 4PG21199</t>
  </si>
  <si>
    <t>14</t>
  </si>
  <si>
    <t>4NJ20402 - 4NJ20425</t>
  </si>
  <si>
    <t>4PG21200 - 4PG21205</t>
  </si>
  <si>
    <t>iR2945 IND 230V</t>
  </si>
  <si>
    <t>T511D</t>
  </si>
  <si>
    <t>4PR20751 - 4PR20770</t>
  </si>
  <si>
    <t>4NJ20426 - 4NJ20431</t>
  </si>
  <si>
    <t>4PR20771 - 4PR20806</t>
  </si>
  <si>
    <t>36</t>
  </si>
  <si>
    <t>4PF01447 - 4PF01454</t>
  </si>
  <si>
    <t>4MV21259 - 4MV21268</t>
  </si>
  <si>
    <t>4MW29238 - 4MW29253</t>
  </si>
  <si>
    <t>4MJ74965 - 4MJ75001</t>
  </si>
  <si>
    <t>iR C3322F 100V</t>
  </si>
  <si>
    <t>T711F</t>
  </si>
  <si>
    <t>FM2-K485</t>
  </si>
  <si>
    <t>4NF10520 - 4NF10532</t>
  </si>
  <si>
    <t>iR-ADV C3930i TW 120V</t>
  </si>
  <si>
    <t>4ME01162 - 4ME01171</t>
  </si>
  <si>
    <t>iR2925 IND 230V</t>
  </si>
  <si>
    <t>T511G</t>
  </si>
  <si>
    <t>FM2-G292</t>
  </si>
  <si>
    <t>FM2-H279</t>
  </si>
  <si>
    <t>4QE27887 - 4QE27932</t>
  </si>
  <si>
    <t>4NF10533 - 4NF10582</t>
  </si>
  <si>
    <t>iR2930i 230V</t>
  </si>
  <si>
    <t>T511F</t>
  </si>
  <si>
    <t>FM2-K323</t>
  </si>
  <si>
    <t>FM2-G290</t>
  </si>
  <si>
    <t>FM2-H275</t>
  </si>
  <si>
    <t>SL5</t>
  </si>
  <si>
    <t>4QD20534 - 4QD20548</t>
  </si>
  <si>
    <t>4NJ20432 - 4NJ20455</t>
  </si>
  <si>
    <t>SATERA MF7725F 100V</t>
  </si>
  <si>
    <t>T511G(SA)</t>
  </si>
  <si>
    <t>FM2-H273</t>
  </si>
  <si>
    <t>4QH02700 - 4QH02714</t>
  </si>
  <si>
    <t>4MQ00761 - 4MQ00765</t>
  </si>
  <si>
    <t>11</t>
  </si>
  <si>
    <t>4QE27933 - 4QE27947</t>
  </si>
  <si>
    <t>12</t>
  </si>
  <si>
    <t>4NF10583 - 4NF10600</t>
  </si>
  <si>
    <t>4NF10601 - 4NF10632</t>
  </si>
  <si>
    <t>4QE27948 - 4QE27995</t>
  </si>
  <si>
    <t>4NJ20456 - 4NJ20461</t>
  </si>
  <si>
    <t>4NF10633 - 4NF10664</t>
  </si>
  <si>
    <t>4MW29254 - 4MW29271</t>
  </si>
  <si>
    <t>4QH02715 - 4QH02744</t>
  </si>
  <si>
    <t>4MW29272 - 4MW29321</t>
  </si>
  <si>
    <t>4PF01455 - 4PF01466</t>
  </si>
  <si>
    <t>4NV20358 - 4NV20378</t>
  </si>
  <si>
    <t>21</t>
  </si>
  <si>
    <t>4NV20379 - 4NV20387</t>
  </si>
  <si>
    <t>4QH02745 - 4QH02771</t>
  </si>
  <si>
    <t>27</t>
  </si>
  <si>
    <t>iR-ADV 4945 IND 230V</t>
  </si>
  <si>
    <t>4NN20332 - 4NN20339</t>
  </si>
  <si>
    <t>4MW29322 - 4MW29349</t>
  </si>
  <si>
    <t>28</t>
  </si>
  <si>
    <t>4NF10665 - 4NF10686</t>
  </si>
  <si>
    <t>22</t>
  </si>
  <si>
    <t>4NV20388 - 4NV20402</t>
  </si>
  <si>
    <t>15</t>
  </si>
  <si>
    <t>4QE27996 - 4QE28030</t>
  </si>
  <si>
    <t>35</t>
  </si>
  <si>
    <t>iR2925i TW 120V</t>
  </si>
  <si>
    <t>FM2-H278</t>
  </si>
  <si>
    <t>4QL00850 - 4QL00878</t>
  </si>
  <si>
    <t>29</t>
  </si>
  <si>
    <t>4NF10687 - 4NF10695</t>
  </si>
  <si>
    <t>4MJ75002 - 4MJ75022</t>
  </si>
  <si>
    <t>4MW29350 - 4MW29369</t>
  </si>
  <si>
    <t>4QE28031 - 4QE28036</t>
  </si>
  <si>
    <t>4QE28037 - 4QE28079</t>
  </si>
  <si>
    <t>43</t>
  </si>
  <si>
    <t>4QH02772 - 4QH02793</t>
  </si>
  <si>
    <t>4NF10696 - 4NF10715</t>
  </si>
  <si>
    <t>4MJ75023 - 4MJ75040</t>
  </si>
  <si>
    <t>4MW29370 - 4MW29381</t>
  </si>
  <si>
    <t>4PR20807 - 4PR20816</t>
  </si>
  <si>
    <t>iR-ADV 4945i TW 120V</t>
  </si>
  <si>
    <t>4NM00680 - 4NM00688</t>
  </si>
  <si>
    <t>4QE28080 - 4QE28113</t>
  </si>
  <si>
    <t>34</t>
  </si>
  <si>
    <t>iR2930 IND 230V</t>
  </si>
  <si>
    <t>4PY20371 - 4PY20380</t>
  </si>
  <si>
    <t>09/Jun/26 เหลือ 1  MC</t>
  </si>
  <si>
    <t>4NF10716 - 4NF10726</t>
  </si>
  <si>
    <t>4ME01172 - 4ME01175</t>
  </si>
  <si>
    <t>4LX34073 - 4LX34096</t>
  </si>
  <si>
    <t>4LX34097 - 4LX34138</t>
  </si>
  <si>
    <t>42</t>
  </si>
  <si>
    <t>4MJ75041 - 4MJ75083</t>
  </si>
  <si>
    <t>09/Jun/26 เหลือ 39  MC</t>
  </si>
  <si>
    <t>4MW29382 - 4MW29421</t>
  </si>
  <si>
    <t>4MJ75174 - 4MJ75266</t>
  </si>
  <si>
    <t>4MJ75084 - 4MJ75126</t>
  </si>
  <si>
    <t>4MQ00766 - 4MQ00767</t>
  </si>
  <si>
    <t>4MW29422 - 4MW29461</t>
  </si>
  <si>
    <t>4MW29382 - 4MW29507</t>
  </si>
  <si>
    <t>4QE28114 - 4QE28153</t>
  </si>
  <si>
    <t>4MW29508 - 4MW29552</t>
  </si>
  <si>
    <t>4MJ75127 - 4MJ75169</t>
  </si>
  <si>
    <t>4NF10727 - 4NF10887</t>
  </si>
  <si>
    <t>4MW29462 - 4MW29489</t>
  </si>
  <si>
    <t>4NF10888 - 4NF10934</t>
  </si>
  <si>
    <t>4MW29490 - 4MW29501</t>
  </si>
  <si>
    <t>4NN20340 - 4NN20347</t>
  </si>
  <si>
    <t>4QE28154 - 4QE28193</t>
  </si>
  <si>
    <t>4PG21242 - 4PG21266</t>
  </si>
  <si>
    <t>4MJ75170 - 4MJ75212</t>
  </si>
  <si>
    <t>4PF01467 - 4PF01470</t>
  </si>
  <si>
    <t>4MW29502 - 4MW29541</t>
  </si>
  <si>
    <t>4NV20403 - 4NV20408</t>
  </si>
  <si>
    <t>4MJ75213 - 4MJ75266</t>
  </si>
  <si>
    <t>4PR20817 - 4PR20826</t>
  </si>
  <si>
    <t>4QE28194 - 4QE28226</t>
  </si>
  <si>
    <t>4PY20381 - 4PY20390</t>
  </si>
  <si>
    <t>4QE28227 - 4QE28233</t>
  </si>
  <si>
    <t>4NM00689 - 4NM00689</t>
  </si>
  <si>
    <t>4QE28114 - 4QE28170</t>
  </si>
  <si>
    <t>4MW29542 - 4MW29552</t>
  </si>
  <si>
    <t>4QE28171 - 4QE28304</t>
  </si>
  <si>
    <t>4NF10727 - 4NF10922</t>
  </si>
  <si>
    <t>4QL00879 - 4QL00881</t>
  </si>
  <si>
    <t>4NF10923 - 4NF10934</t>
  </si>
  <si>
    <t>4LX34139 - 4LX34164</t>
  </si>
  <si>
    <t>4LX34165 - 4LX34223</t>
  </si>
  <si>
    <t>4ME01176 - 4ME01179</t>
  </si>
  <si>
    <t>4MJ75267 - 4MJ75380</t>
  </si>
  <si>
    <t>4MJ75381 - 4MJ75601</t>
  </si>
  <si>
    <t>4MJ75602 - 4MJ75757</t>
  </si>
  <si>
    <t>4MQ00768 - 4MQ00769</t>
  </si>
  <si>
    <t>4MW29553 - 4MW29600</t>
  </si>
  <si>
    <t>4QE28234 - 4QE28304</t>
  </si>
  <si>
    <t>4MW29601 - 4MW29650</t>
  </si>
  <si>
    <t>4PF01471 - 4PF01473</t>
  </si>
  <si>
    <t>4PG21267 - 4PG21291</t>
  </si>
  <si>
    <t>4MJ75267 - 4MJ75267</t>
  </si>
  <si>
    <t>4QE28305 - 4QE28394</t>
  </si>
  <si>
    <t>4QE28395 - 4QE28529</t>
  </si>
  <si>
    <t>4QL00882 - 4QL00883</t>
  </si>
  <si>
    <t>4MJ75268 - 4MJ75381</t>
  </si>
  <si>
    <t>4LX34224 - 4LX34249</t>
  </si>
  <si>
    <t>4MJ75382 - 4MJ75602</t>
  </si>
  <si>
    <t>09/Jun/26 เหลือ   MC</t>
  </si>
  <si>
    <t>4MJ75603 - 4MJ75758</t>
  </si>
  <si>
    <t>4LX34250 - 4LX34265</t>
  </si>
  <si>
    <t>4QE28530 - 4QE28556</t>
  </si>
  <si>
    <t>4PG21292 - 4PG21296</t>
  </si>
  <si>
    <t>4MJ75759 - 4MJ75825</t>
  </si>
  <si>
    <t>4MW29651 - 4MW29708</t>
  </si>
  <si>
    <t>4LX34266 - 4LX34269</t>
  </si>
  <si>
    <t>4LX34270 - 4LX34306</t>
  </si>
  <si>
    <t>4ME01180 - 4ME01183</t>
  </si>
  <si>
    <t>4MJ75826 - 4MJ75936</t>
  </si>
  <si>
    <t>4PG21297 - 4PG21301</t>
  </si>
  <si>
    <t>4QE28557 - 4QE28610</t>
  </si>
  <si>
    <t>4MJ75937 - 4MJ75941</t>
  </si>
  <si>
    <t>4MJ75942 - 4MJ76044</t>
  </si>
  <si>
    <t>4LX34307 - 4LX34349</t>
  </si>
  <si>
    <t>4MW29709 - 4MW29737</t>
  </si>
  <si>
    <t>4PG21302 - 4PG21311</t>
  </si>
  <si>
    <t>4PF01474 - 4PF01474</t>
  </si>
  <si>
    <t>4MJ76045 - 4MJ76064</t>
  </si>
  <si>
    <t>4MJ76065 - 4MJ76106</t>
  </si>
  <si>
    <t>4MW29738 - 4MW29766</t>
  </si>
  <si>
    <t>4MQ00770 - 4MQ00771</t>
  </si>
  <si>
    <t>4NM00690 - 4NM00690</t>
  </si>
  <si>
    <t>4QE28611 - 4QE28637</t>
  </si>
  <si>
    <t>4LX34350 - 4LX34417</t>
  </si>
  <si>
    <t>4LX34418 - 4LX34435</t>
  </si>
  <si>
    <t>4QL00884 - 4QL00886</t>
  </si>
  <si>
    <t>4PG21312 - 4PG21316</t>
  </si>
  <si>
    <t>4QE28638 - 4QE28664</t>
  </si>
  <si>
    <t>4MW29767 - 4MW29794</t>
  </si>
  <si>
    <t>4PF01475 - 4PF01477</t>
  </si>
  <si>
    <t>4MJ76107 - 4MJ76189</t>
  </si>
  <si>
    <t>4MJ76190 - 4MJ76239</t>
  </si>
  <si>
    <t>4LX34436 - 4LX34495</t>
  </si>
  <si>
    <t>4LL20506 - 4LL20534</t>
  </si>
  <si>
    <t>4PG21317 - 4PG21326</t>
  </si>
  <si>
    <t>4LX34496 - 4LX34520</t>
  </si>
  <si>
    <t>4LX34521 - 4LX34555</t>
  </si>
  <si>
    <t>4MJ76240 - 4MJ76339</t>
  </si>
  <si>
    <t>4MQ00772 - 4MQ00773</t>
  </si>
  <si>
    <t>4LL20535 - 4LL20592</t>
  </si>
  <si>
    <t>4MJ76340 - 4MJ76343</t>
  </si>
  <si>
    <t>4MJ76344 - 4MJ76377</t>
  </si>
  <si>
    <t>4LX34556 - 4LX34640</t>
  </si>
  <si>
    <t>4ME01184 - 4ME01187</t>
  </si>
  <si>
    <t>4PF01478 - 4PF01480</t>
  </si>
  <si>
    <t>4QL00887 - 4QL00888</t>
  </si>
  <si>
    <t>4NF10935 - 4NF10986</t>
  </si>
  <si>
    <t>4PG21327 - 4PG21336</t>
  </si>
  <si>
    <t>4MJ76378 - 4MJ76401</t>
  </si>
  <si>
    <t>4MJ76402 - 4MJ76476</t>
  </si>
  <si>
    <t>4LL20593 - 4LL20621</t>
  </si>
  <si>
    <t>4LX34641 - 4LX34722</t>
  </si>
  <si>
    <t>4LX34723 - 4LX34756</t>
  </si>
  <si>
    <t>4PG21337 - 4PG21341</t>
  </si>
  <si>
    <t>4NF10987 - 4NF11034</t>
  </si>
  <si>
    <t>4MJ76477 - 4MJ76496</t>
  </si>
  <si>
    <t>4LL20622 - 4LL20676</t>
  </si>
  <si>
    <t>Cell 3
Mercury No</t>
  </si>
  <si>
    <t>Cell 3 Usage</t>
  </si>
  <si>
    <t>Cell 4
Mercury No</t>
  </si>
  <si>
    <t>Cell4  Usage</t>
  </si>
  <si>
    <t>Cell -
Mercury No</t>
  </si>
  <si>
    <t>Cell - Usage</t>
  </si>
  <si>
    <t xml:space="preserve">SSL1 </t>
  </si>
  <si>
    <t>060626</t>
  </si>
  <si>
    <t>070626</t>
  </si>
  <si>
    <t>020626</t>
  </si>
  <si>
    <t xml:space="preserve">SSL2 </t>
  </si>
  <si>
    <t>050626</t>
  </si>
  <si>
    <t>040626</t>
  </si>
  <si>
    <t>SSL4</t>
  </si>
  <si>
    <t>040626,080626,030626,020626</t>
  </si>
  <si>
    <t>SSL2 ,SSL2 ,SSL2 ,SSL4</t>
  </si>
  <si>
    <t>030626</t>
  </si>
  <si>
    <t>ADD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</si>
</sst>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hh:mm"/>
    <numFmt numFmtId="166" formatCode="[$-F400]h:mm:ss\ AM/PM"/>
  </numFmts>
  <fonts count="4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charset val="128"/>
      <scheme val="minor"/>
    </font>
    <font>
      <b/>
      <sz val="16"/>
      <color theme="1"/>
      <name val="Aptos Narrow"/>
      <family val="2"/>
      <scheme val="minor"/>
    </font>
    <font>
      <b/>
      <sz val="16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3" tint="9.9978637043366805E-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charset val="128"/>
      <scheme val="minor"/>
    </font>
    <font>
      <b/>
      <sz val="2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2"/>
      <color rgb="FFFF0000"/>
      <name val="Aptos Narrow"/>
      <family val="3"/>
      <charset val="128"/>
      <scheme val="minor"/>
    </font>
    <font>
      <sz val="12"/>
      <color rgb="FFFF0000"/>
      <name val="Aptos Narrow"/>
      <family val="2"/>
      <charset val="128"/>
      <scheme val="minor"/>
    </font>
    <font>
      <sz val="12"/>
      <name val="Aptos Narrow"/>
      <family val="2"/>
      <charset val="128"/>
      <scheme val="minor"/>
    </font>
    <font>
      <sz val="12"/>
      <color rgb="FFFF0000"/>
      <name val="Aptos Narrow"/>
      <family val="3"/>
      <charset val="128"/>
      <scheme val="minor"/>
    </font>
    <font>
      <b/>
      <sz val="12"/>
      <color theme="1"/>
      <name val="Aptos Narrow"/>
      <family val="2"/>
      <scheme val="minor"/>
    </font>
    <font>
      <sz val="12"/>
      <name val="Aptos Narrow"/>
      <family val="3"/>
      <charset val="128"/>
      <scheme val="minor"/>
    </font>
    <font>
      <sz val="12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2"/>
      <color indexed="81"/>
      <name val="Tahoma"/>
      <family val="2"/>
    </font>
    <font>
      <sz val="9"/>
      <color indexed="81"/>
      <name val="Tahoma"/>
      <family val="2"/>
    </font>
    <font>
      <sz val="14"/>
      <color indexed="81"/>
      <name val="Tahoma"/>
      <family val="2"/>
    </font>
    <font>
      <sz val="11"/>
      <color rgb="FF000000"/>
      <name val="Aptos Narrow"/>
      <family val="2"/>
    </font>
    <font>
      <sz val="1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name val="Aptos Narrow"/>
      <family val="2"/>
      <scheme val="minor"/>
    </font>
    <font>
      <b/>
      <sz val="12"/>
      <name val="Aptos Narrow"/>
      <family val="2"/>
      <scheme val="minor"/>
    </font>
    <font>
      <sz val="20"/>
      <name val="Aptos Narrow"/>
      <family val="2"/>
      <scheme val="minor"/>
    </font>
    <font>
      <b/>
      <sz val="14"/>
      <name val="Aptos Narrow"/>
      <family val="2"/>
      <scheme val="minor"/>
    </font>
    <font>
      <b/>
      <sz val="22"/>
      <name val="Aptos Narrow"/>
      <family val="2"/>
      <scheme val="minor"/>
    </font>
    <font>
      <b/>
      <sz val="12"/>
      <name val="Arial"/>
      <family val="2"/>
    </font>
    <font>
      <b/>
      <sz val="14"/>
      <color theme="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0"/>
      <color indexed="81"/>
      <name val="Tahoma"/>
      <family val="2"/>
    </font>
    <font>
      <b/>
      <sz val="11"/>
      <color indexed="81"/>
      <name val="Tahoma"/>
      <family val="2"/>
    </font>
    <font>
      <sz val="12"/>
      <color indexed="81"/>
      <name val="Tahoma"/>
      <family val="2"/>
    </font>
    <font>
      <sz val="11"/>
      <color indexed="81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1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B7FBB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E5FF"/>
        <bgColor indexed="64"/>
      </patternFill>
    </fill>
    <fill>
      <patternFill patternType="solid">
        <fgColor rgb="FF93FF9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7EF49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74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14" fontId="0" fillId="0" borderId="0" xfId="0" applyNumberFormat="1"/>
    <xf numFmtId="0" fontId="0" fillId="0" borderId="6" xfId="0" applyBorder="1"/>
    <xf numFmtId="0" fontId="0" fillId="0" borderId="6" xfId="0" applyBorder="1" applyAlignment="1">
      <alignment horizontal="center"/>
    </xf>
    <xf numFmtId="0" fontId="4" fillId="3" borderId="5" xfId="0" applyFont="1" applyFill="1" applyBorder="1" applyAlignment="1">
      <alignment horizontal="center" vertical="center" textRotation="90"/>
    </xf>
    <xf numFmtId="0" fontId="4" fillId="2" borderId="5" xfId="0" applyFont="1" applyFill="1" applyBorder="1" applyAlignment="1">
      <alignment horizontal="center" vertical="center" textRotation="90"/>
    </xf>
    <xf numFmtId="0" fontId="7" fillId="2" borderId="1" xfId="0" applyFont="1" applyFill="1" applyBorder="1" applyAlignment="1">
      <alignment horizontal="center" vertical="center"/>
    </xf>
    <xf numFmtId="20" fontId="0" fillId="0" borderId="0" xfId="0" applyNumberFormat="1"/>
    <xf numFmtId="166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49" fontId="0" fillId="0" borderId="0" xfId="0" applyNumberFormat="1"/>
    <xf numFmtId="49" fontId="0" fillId="0" borderId="6" xfId="0" applyNumberFormat="1" applyBorder="1"/>
    <xf numFmtId="49" fontId="0" fillId="0" borderId="1" xfId="0" applyNumberFormat="1" applyBorder="1"/>
    <xf numFmtId="165" fontId="0" fillId="0" borderId="6" xfId="0" applyNumberFormat="1" applyBorder="1"/>
    <xf numFmtId="164" fontId="0" fillId="0" borderId="6" xfId="0" applyNumberFormat="1" applyBorder="1"/>
    <xf numFmtId="14" fontId="0" fillId="0" borderId="1" xfId="0" applyNumberFormat="1" applyBorder="1"/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7" borderId="4" xfId="0" applyFont="1" applyFill="1" applyBorder="1" applyAlignment="1">
      <alignment horizontal="center" vertical="center"/>
    </xf>
    <xf numFmtId="1" fontId="15" fillId="7" borderId="1" xfId="0" applyNumberFormat="1" applyFont="1" applyFill="1" applyBorder="1" applyAlignment="1">
      <alignment horizontal="center" vertical="center"/>
    </xf>
    <xf numFmtId="0" fontId="14" fillId="0" borderId="1" xfId="0" applyFont="1" applyBorder="1" applyAlignment="1" applyProtection="1">
      <alignment horizontal="center" vertical="center"/>
      <protection locked="0"/>
    </xf>
    <xf numFmtId="0" fontId="9" fillId="7" borderId="0" xfId="0" applyFont="1" applyFill="1" applyAlignment="1">
      <alignment horizontal="center" vertical="center"/>
    </xf>
    <xf numFmtId="0" fontId="14" fillId="7" borderId="4" xfId="0" applyFont="1" applyFill="1" applyBorder="1" applyAlignment="1" applyProtection="1">
      <alignment horizontal="center" vertical="center"/>
      <protection locked="0"/>
    </xf>
    <xf numFmtId="0" fontId="9" fillId="7" borderId="0" xfId="0" applyFont="1" applyFill="1" applyAlignment="1">
      <alignment vertical="center"/>
    </xf>
    <xf numFmtId="0" fontId="17" fillId="7" borderId="1" xfId="0" applyFont="1" applyFill="1" applyBorder="1" applyAlignment="1">
      <alignment horizontal="center" vertical="center"/>
    </xf>
    <xf numFmtId="1" fontId="17" fillId="7" borderId="1" xfId="0" applyNumberFormat="1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20" fillId="7" borderId="1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4" fillId="0" borderId="4" xfId="0" applyFont="1" applyBorder="1" applyAlignment="1" applyProtection="1">
      <alignment horizontal="center" vertical="center"/>
      <protection locked="0"/>
    </xf>
    <xf numFmtId="0" fontId="9" fillId="8" borderId="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textRotation="90"/>
    </xf>
    <xf numFmtId="49" fontId="5" fillId="4" borderId="1" xfId="0" applyNumberFormat="1" applyFont="1" applyFill="1" applyBorder="1" applyAlignment="1">
      <alignment horizontal="center" vertical="center" textRotation="90"/>
    </xf>
    <xf numFmtId="0" fontId="5" fillId="4" borderId="1" xfId="0" applyFont="1" applyFill="1" applyBorder="1" applyAlignment="1">
      <alignment horizontal="center" vertical="center" textRotation="90"/>
    </xf>
    <xf numFmtId="0" fontId="7" fillId="10" borderId="13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4" fontId="6" fillId="10" borderId="14" xfId="0" applyNumberFormat="1" applyFont="1" applyFill="1" applyBorder="1" applyAlignment="1">
      <alignment horizontal="center" vertical="center"/>
    </xf>
    <xf numFmtId="0" fontId="11" fillId="12" borderId="1" xfId="0" applyFont="1" applyFill="1" applyBorder="1" applyAlignment="1">
      <alignment horizontal="center" vertical="center"/>
    </xf>
    <xf numFmtId="0" fontId="1" fillId="0" borderId="1" xfId="0" applyFont="1" applyBorder="1"/>
    <xf numFmtId="0" fontId="1" fillId="0" borderId="0" xfId="0" applyFont="1"/>
    <xf numFmtId="0" fontId="1" fillId="13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Fill="1"/>
    <xf numFmtId="14" fontId="0" fillId="10" borderId="0" xfId="0" applyNumberFormat="1" applyFill="1"/>
    <xf numFmtId="14" fontId="0" fillId="0" borderId="0" xfId="0" applyNumberFormat="1" applyBorder="1"/>
    <xf numFmtId="0" fontId="0" fillId="0" borderId="0" xfId="0" applyBorder="1"/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Alignment="1">
      <alignment horizontal="left"/>
    </xf>
    <xf numFmtId="14" fontId="0" fillId="0" borderId="1" xfId="0" applyNumberFormat="1" applyBorder="1" applyAlignment="1">
      <alignment horizontal="left" vertical="center"/>
    </xf>
    <xf numFmtId="14" fontId="18" fillId="0" borderId="1" xfId="0" applyNumberFormat="1" applyFont="1" applyFill="1" applyBorder="1" applyAlignment="1">
      <alignment vertical="center"/>
    </xf>
    <xf numFmtId="0" fontId="9" fillId="16" borderId="13" xfId="0" applyFont="1" applyFill="1" applyBorder="1" applyAlignment="1">
      <alignment horizontal="center" vertical="center" textRotation="90"/>
    </xf>
    <xf numFmtId="0" fontId="18" fillId="17" borderId="1" xfId="0" applyFont="1" applyFill="1" applyBorder="1" applyAlignment="1">
      <alignment horizontal="center" vertical="center" textRotation="90"/>
    </xf>
    <xf numFmtId="0" fontId="9" fillId="18" borderId="13" xfId="0" applyFont="1" applyFill="1" applyBorder="1" applyAlignment="1">
      <alignment horizontal="center" vertical="center" textRotation="90"/>
    </xf>
    <xf numFmtId="0" fontId="27" fillId="17" borderId="4" xfId="0" applyFont="1" applyFill="1" applyBorder="1" applyAlignment="1">
      <alignment horizontal="center" vertical="center" textRotation="90"/>
    </xf>
    <xf numFmtId="0" fontId="9" fillId="17" borderId="15" xfId="0" applyFont="1" applyFill="1" applyBorder="1" applyAlignment="1">
      <alignment horizontal="center" vertical="center" textRotation="90"/>
    </xf>
    <xf numFmtId="0" fontId="27" fillId="19" borderId="1" xfId="0" applyFont="1" applyFill="1" applyBorder="1" applyAlignment="1">
      <alignment horizontal="center" vertical="center" textRotation="90"/>
    </xf>
    <xf numFmtId="0" fontId="9" fillId="19" borderId="13" xfId="0" applyFont="1" applyFill="1" applyBorder="1" applyAlignment="1">
      <alignment horizontal="center" vertical="center" textRotation="90"/>
    </xf>
    <xf numFmtId="0" fontId="18" fillId="19" borderId="4" xfId="0" applyFont="1" applyFill="1" applyBorder="1" applyAlignment="1">
      <alignment horizontal="center" vertical="center" textRotation="90"/>
    </xf>
    <xf numFmtId="0" fontId="14" fillId="19" borderId="15" xfId="0" applyFont="1" applyFill="1" applyBorder="1" applyAlignment="1">
      <alignment horizontal="center" vertical="center" textRotation="90"/>
    </xf>
    <xf numFmtId="0" fontId="27" fillId="19" borderId="4" xfId="0" applyFont="1" applyFill="1" applyBorder="1" applyAlignment="1">
      <alignment horizontal="center" vertical="center" textRotation="90"/>
    </xf>
    <xf numFmtId="0" fontId="18" fillId="20" borderId="4" xfId="0" applyFont="1" applyFill="1" applyBorder="1" applyAlignment="1">
      <alignment horizontal="center" vertical="center" textRotation="90"/>
    </xf>
    <xf numFmtId="0" fontId="9" fillId="20" borderId="13" xfId="0" applyFont="1" applyFill="1" applyBorder="1" applyAlignment="1">
      <alignment horizontal="center" vertical="center" textRotation="90"/>
    </xf>
    <xf numFmtId="0" fontId="9" fillId="22" borderId="13" xfId="0" applyFont="1" applyFill="1" applyBorder="1" applyAlignment="1">
      <alignment horizontal="center" vertical="center" textRotation="90"/>
    </xf>
    <xf numFmtId="0" fontId="14" fillId="22" borderId="13" xfId="0" applyFont="1" applyFill="1" applyBorder="1" applyAlignment="1">
      <alignment horizontal="center" vertical="center" textRotation="90"/>
    </xf>
    <xf numFmtId="0" fontId="18" fillId="17" borderId="4" xfId="0" applyFont="1" applyFill="1" applyBorder="1" applyAlignment="1">
      <alignment horizontal="center" vertical="center" textRotation="90"/>
    </xf>
    <xf numFmtId="0" fontId="9" fillId="17" borderId="13" xfId="0" applyFont="1" applyFill="1" applyBorder="1" applyAlignment="1">
      <alignment horizontal="center" vertical="center" textRotation="90"/>
    </xf>
    <xf numFmtId="0" fontId="27" fillId="20" borderId="11" xfId="0" applyFont="1" applyFill="1" applyBorder="1" applyAlignment="1">
      <alignment horizontal="center" vertical="center" textRotation="90"/>
    </xf>
    <xf numFmtId="0" fontId="9" fillId="20" borderId="17" xfId="0" applyFont="1" applyFill="1" applyBorder="1" applyAlignment="1">
      <alignment horizontal="center" vertical="center" textRotation="90"/>
    </xf>
    <xf numFmtId="0" fontId="18" fillId="23" borderId="4" xfId="0" applyFont="1" applyFill="1" applyBorder="1" applyAlignment="1">
      <alignment horizontal="center" vertical="center" textRotation="90"/>
    </xf>
    <xf numFmtId="0" fontId="14" fillId="23" borderId="15" xfId="0" applyFont="1" applyFill="1" applyBorder="1" applyAlignment="1">
      <alignment horizontal="center" vertical="center" textRotation="90"/>
    </xf>
    <xf numFmtId="0" fontId="18" fillId="21" borderId="1" xfId="0" applyFont="1" applyFill="1" applyBorder="1" applyAlignment="1">
      <alignment horizontal="center" vertical="center" textRotation="90" wrapText="1"/>
    </xf>
    <xf numFmtId="0" fontId="29" fillId="21" borderId="13" xfId="0" applyFont="1" applyFill="1" applyBorder="1" applyAlignment="1">
      <alignment horizontal="center" vertical="center" textRotation="90"/>
    </xf>
    <xf numFmtId="0" fontId="30" fillId="21" borderId="1" xfId="0" applyFont="1" applyFill="1" applyBorder="1" applyAlignment="1">
      <alignment vertical="center" textRotation="90" wrapText="1"/>
    </xf>
    <xf numFmtId="0" fontId="31" fillId="21" borderId="13" xfId="0" applyFont="1" applyFill="1" applyBorder="1" applyAlignment="1">
      <alignment horizontal="center" vertical="center" textRotation="90"/>
    </xf>
    <xf numFmtId="0" fontId="14" fillId="24" borderId="13" xfId="0" applyFont="1" applyFill="1" applyBorder="1" applyAlignment="1">
      <alignment horizontal="center" vertical="center" textRotation="90"/>
    </xf>
    <xf numFmtId="0" fontId="14" fillId="24" borderId="18" xfId="0" applyFont="1" applyFill="1" applyBorder="1" applyAlignment="1">
      <alignment horizontal="center" vertical="center" textRotation="90"/>
    </xf>
    <xf numFmtId="0" fontId="33" fillId="25" borderId="13" xfId="0" applyFont="1" applyFill="1" applyBorder="1" applyAlignment="1">
      <alignment vertical="center"/>
    </xf>
    <xf numFmtId="0" fontId="34" fillId="26" borderId="19" xfId="0" applyFont="1" applyFill="1" applyBorder="1" applyAlignment="1">
      <alignment horizontal="center" vertical="center" textRotation="90"/>
    </xf>
    <xf numFmtId="0" fontId="18" fillId="11" borderId="1" xfId="0" applyFont="1" applyFill="1" applyBorder="1" applyAlignment="1">
      <alignment horizontal="center" vertical="center" textRotation="90"/>
    </xf>
    <xf numFmtId="0" fontId="14" fillId="11" borderId="15" xfId="0" applyFont="1" applyFill="1" applyBorder="1" applyAlignment="1">
      <alignment horizontal="center" vertical="center" textRotation="90"/>
    </xf>
    <xf numFmtId="0" fontId="18" fillId="2" borderId="1" xfId="0" applyFont="1" applyFill="1" applyBorder="1" applyAlignment="1">
      <alignment horizontal="center" vertical="center" textRotation="90"/>
    </xf>
    <xf numFmtId="0" fontId="14" fillId="2" borderId="13" xfId="0" applyFont="1" applyFill="1" applyBorder="1" applyAlignment="1">
      <alignment horizontal="center" vertical="center" textRotation="90"/>
    </xf>
    <xf numFmtId="0" fontId="18" fillId="2" borderId="13" xfId="0" applyFont="1" applyFill="1" applyBorder="1" applyAlignment="1">
      <alignment horizontal="center" vertical="center" textRotation="90"/>
    </xf>
    <xf numFmtId="0" fontId="18" fillId="5" borderId="1" xfId="0" applyFont="1" applyFill="1" applyBorder="1" applyAlignment="1">
      <alignment horizontal="center" vertical="center" textRotation="90"/>
    </xf>
    <xf numFmtId="0" fontId="14" fillId="5" borderId="13" xfId="0" applyFont="1" applyFill="1" applyBorder="1" applyAlignment="1">
      <alignment horizontal="center" vertical="center" textRotation="90"/>
    </xf>
    <xf numFmtId="0" fontId="16" fillId="27" borderId="20" xfId="0" applyFont="1" applyFill="1" applyBorder="1" applyAlignment="1">
      <alignment vertical="center"/>
    </xf>
    <xf numFmtId="0" fontId="18" fillId="4" borderId="2" xfId="0" applyFont="1" applyFill="1" applyBorder="1" applyAlignment="1">
      <alignment horizontal="center" vertical="center" textRotation="90"/>
    </xf>
    <xf numFmtId="0" fontId="14" fillId="4" borderId="18" xfId="0" applyFont="1" applyFill="1" applyBorder="1" applyAlignment="1">
      <alignment horizontal="center" vertical="center" textRotation="90"/>
    </xf>
    <xf numFmtId="0" fontId="29" fillId="28" borderId="12" xfId="0" applyFont="1" applyFill="1" applyBorder="1" applyAlignment="1">
      <alignment textRotation="90"/>
    </xf>
    <xf numFmtId="0" fontId="14" fillId="28" borderId="22" xfId="0" applyFont="1" applyFill="1" applyBorder="1" applyAlignment="1">
      <alignment horizontal="center" vertical="center" textRotation="90"/>
    </xf>
    <xf numFmtId="0" fontId="29" fillId="14" borderId="2" xfId="0" applyFont="1" applyFill="1" applyBorder="1" applyAlignment="1">
      <alignment vertical="center"/>
    </xf>
    <xf numFmtId="0" fontId="9" fillId="14" borderId="13" xfId="0" applyFont="1" applyFill="1" applyBorder="1" applyAlignment="1">
      <alignment horizontal="center" vertical="center" textRotation="90"/>
    </xf>
    <xf numFmtId="0" fontId="29" fillId="14" borderId="4" xfId="0" applyFont="1" applyFill="1" applyBorder="1" applyAlignment="1">
      <alignment vertical="center"/>
    </xf>
    <xf numFmtId="0" fontId="29" fillId="29" borderId="1" xfId="0" applyFont="1" applyFill="1" applyBorder="1" applyAlignment="1">
      <alignment horizontal="center" vertical="center" textRotation="90"/>
    </xf>
    <xf numFmtId="0" fontId="9" fillId="29" borderId="13" xfId="0" applyFont="1" applyFill="1" applyBorder="1" applyAlignment="1">
      <alignment horizontal="center" vertical="center" textRotation="90"/>
    </xf>
    <xf numFmtId="0" fontId="29" fillId="14" borderId="1" xfId="0" applyFont="1" applyFill="1" applyBorder="1" applyAlignment="1">
      <alignment vertical="center"/>
    </xf>
    <xf numFmtId="0" fontId="14" fillId="14" borderId="13" xfId="0" applyFont="1" applyFill="1" applyBorder="1" applyAlignment="1">
      <alignment horizontal="center" vertical="center" textRotation="90"/>
    </xf>
    <xf numFmtId="0" fontId="29" fillId="29" borderId="1" xfId="0" applyFont="1" applyFill="1" applyBorder="1" applyAlignment="1">
      <alignment horizontal="center" textRotation="90"/>
    </xf>
    <xf numFmtId="0" fontId="29" fillId="30" borderId="1" xfId="0" applyFont="1" applyFill="1" applyBorder="1" applyAlignment="1">
      <alignment horizontal="center" textRotation="90"/>
    </xf>
    <xf numFmtId="0" fontId="9" fillId="30" borderId="13" xfId="0" applyFont="1" applyFill="1" applyBorder="1" applyAlignment="1">
      <alignment horizontal="center" vertical="center" textRotation="90"/>
    </xf>
    <xf numFmtId="0" fontId="29" fillId="28" borderId="1" xfId="0" applyFont="1" applyFill="1" applyBorder="1" applyAlignment="1">
      <alignment horizontal="center" textRotation="90"/>
    </xf>
    <xf numFmtId="0" fontId="9" fillId="28" borderId="1" xfId="0" applyFont="1" applyFill="1" applyBorder="1" applyAlignment="1">
      <alignment horizontal="center" vertical="center" textRotation="90"/>
    </xf>
    <xf numFmtId="0" fontId="9" fillId="30" borderId="1" xfId="0" applyFont="1" applyFill="1" applyBorder="1" applyAlignment="1">
      <alignment horizontal="center" vertical="center" textRotation="90"/>
    </xf>
    <xf numFmtId="0" fontId="35" fillId="31" borderId="26" xfId="0" applyFont="1" applyFill="1" applyBorder="1" applyAlignment="1">
      <alignment vertical="center"/>
    </xf>
    <xf numFmtId="0" fontId="27" fillId="20" borderId="17" xfId="0" applyFont="1" applyFill="1" applyBorder="1" applyAlignment="1">
      <alignment horizontal="center" vertical="center" textRotation="90"/>
    </xf>
    <xf numFmtId="0" fontId="16" fillId="27" borderId="8" xfId="0" applyFont="1" applyFill="1" applyBorder="1" applyAlignment="1">
      <alignment horizontal="center" vertical="center"/>
    </xf>
    <xf numFmtId="0" fontId="16" fillId="27" borderId="10" xfId="0" applyFont="1" applyFill="1" applyBorder="1" applyAlignment="1">
      <alignment horizontal="center" vertical="center"/>
    </xf>
    <xf numFmtId="0" fontId="16" fillId="27" borderId="2" xfId="0" applyFont="1" applyFill="1" applyBorder="1" applyAlignment="1">
      <alignment horizontal="center" vertical="center"/>
    </xf>
    <xf numFmtId="0" fontId="16" fillId="27" borderId="4" xfId="0" applyFont="1" applyFill="1" applyBorder="1" applyAlignment="1">
      <alignment horizontal="center" vertical="center"/>
    </xf>
    <xf numFmtId="0" fontId="10" fillId="15" borderId="2" xfId="0" applyFont="1" applyFill="1" applyBorder="1" applyAlignment="1">
      <alignment horizontal="center" vertical="center"/>
    </xf>
    <xf numFmtId="0" fontId="10" fillId="15" borderId="3" xfId="0" applyFont="1" applyFill="1" applyBorder="1" applyAlignment="1">
      <alignment horizontal="center" vertical="center"/>
    </xf>
    <xf numFmtId="0" fontId="10" fillId="15" borderId="4" xfId="0" applyFont="1" applyFill="1" applyBorder="1" applyAlignment="1">
      <alignment horizontal="center" vertical="center"/>
    </xf>
    <xf numFmtId="0" fontId="28" fillId="6" borderId="2" xfId="0" applyFont="1" applyFill="1" applyBorder="1" applyAlignment="1">
      <alignment horizontal="center" vertical="center"/>
    </xf>
    <xf numFmtId="0" fontId="28" fillId="6" borderId="3" xfId="0" applyFont="1" applyFill="1" applyBorder="1" applyAlignment="1">
      <alignment horizontal="center" vertical="center"/>
    </xf>
    <xf numFmtId="0" fontId="28" fillId="6" borderId="4" xfId="0" applyFont="1" applyFill="1" applyBorder="1" applyAlignment="1">
      <alignment horizontal="center" vertical="center"/>
    </xf>
    <xf numFmtId="0" fontId="32" fillId="14" borderId="2" xfId="0" applyFont="1" applyFill="1" applyBorder="1" applyAlignment="1">
      <alignment horizontal="center" vertical="center" wrapText="1"/>
    </xf>
    <xf numFmtId="0" fontId="32" fillId="14" borderId="3" xfId="0" applyFont="1" applyFill="1" applyBorder="1" applyAlignment="1">
      <alignment horizontal="center" vertical="center" wrapText="1"/>
    </xf>
    <xf numFmtId="0" fontId="32" fillId="14" borderId="4" xfId="0" applyFont="1" applyFill="1" applyBorder="1" applyAlignment="1">
      <alignment horizontal="center" vertical="center" wrapText="1"/>
    </xf>
    <xf numFmtId="0" fontId="29" fillId="25" borderId="2" xfId="0" applyFont="1" applyFill="1" applyBorder="1" applyAlignment="1">
      <alignment horizontal="center" vertical="center"/>
    </xf>
    <xf numFmtId="0" fontId="29" fillId="25" borderId="4" xfId="0" applyFont="1" applyFill="1" applyBorder="1" applyAlignment="1">
      <alignment horizontal="center" vertical="center"/>
    </xf>
    <xf numFmtId="0" fontId="29" fillId="2" borderId="2" xfId="0" applyFont="1" applyFill="1" applyBorder="1" applyAlignment="1">
      <alignment horizontal="center" vertical="center"/>
    </xf>
    <xf numFmtId="0" fontId="29" fillId="2" borderId="4" xfId="0" applyFont="1" applyFill="1" applyBorder="1" applyAlignment="1">
      <alignment horizontal="center" vertical="center"/>
    </xf>
    <xf numFmtId="0" fontId="29" fillId="5" borderId="2" xfId="0" applyFont="1" applyFill="1" applyBorder="1" applyAlignment="1">
      <alignment horizontal="center" vertical="center"/>
    </xf>
    <xf numFmtId="0" fontId="29" fillId="5" borderId="7" xfId="0" applyFont="1" applyFill="1" applyBorder="1" applyAlignment="1">
      <alignment horizontal="center" vertical="center"/>
    </xf>
    <xf numFmtId="0" fontId="16" fillId="27" borderId="21" xfId="0" applyFont="1" applyFill="1" applyBorder="1" applyAlignment="1">
      <alignment horizontal="center" vertical="center"/>
    </xf>
    <xf numFmtId="0" fontId="16" fillId="27" borderId="23" xfId="0" applyFont="1" applyFill="1" applyBorder="1" applyAlignment="1">
      <alignment horizontal="center" vertical="center"/>
    </xf>
    <xf numFmtId="0" fontId="16" fillId="27" borderId="24" xfId="0" applyFont="1" applyFill="1" applyBorder="1" applyAlignment="1">
      <alignment horizontal="center" vertical="center"/>
    </xf>
    <xf numFmtId="0" fontId="16" fillId="27" borderId="25" xfId="0" applyFont="1" applyFill="1" applyBorder="1" applyAlignment="1">
      <alignment horizontal="center" vertical="center"/>
    </xf>
    <xf numFmtId="0" fontId="26" fillId="14" borderId="9" xfId="0" applyFont="1" applyFill="1" applyBorder="1" applyAlignment="1">
      <alignment horizontal="center" vertical="center"/>
    </xf>
    <xf numFmtId="0" fontId="26" fillId="21" borderId="9" xfId="0" applyFont="1" applyFill="1" applyBorder="1" applyAlignment="1">
      <alignment horizontal="center" vertical="center"/>
    </xf>
    <xf numFmtId="0" fontId="26" fillId="21" borderId="16" xfId="0" applyFont="1" applyFill="1" applyBorder="1" applyAlignment="1">
      <alignment horizontal="center" vertical="center"/>
    </xf>
    <xf numFmtId="0" fontId="29" fillId="23" borderId="3" xfId="0" applyFont="1" applyFill="1" applyBorder="1" applyAlignment="1">
      <alignment horizontal="center" vertical="center"/>
    </xf>
    <xf numFmtId="0" fontId="29" fillId="23" borderId="4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BF19CF3E-D725-466B-9FEB-10E1F8301620}"/>
  </cellStyles>
  <dxfs count="7">
    <dxf>
      <font>
        <color theme="5" tint="-0.24994659260841701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47625</xdr:rowOff>
        </xdr:from>
        <xdr:to>
          <xdr:col>6</xdr:col>
          <xdr:colOff>590550</xdr:colOff>
          <xdr:row>1</xdr:row>
          <xdr:rowOff>95250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0</xdr:row>
          <xdr:rowOff>47625</xdr:rowOff>
        </xdr:from>
        <xdr:to>
          <xdr:col>3</xdr:col>
          <xdr:colOff>1257300</xdr:colOff>
          <xdr:row>1</xdr:row>
          <xdr:rowOff>95250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2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Mecury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0</xdr:row>
          <xdr:rowOff>123825</xdr:rowOff>
        </xdr:from>
        <xdr:to>
          <xdr:col>5</xdr:col>
          <xdr:colOff>485775</xdr:colOff>
          <xdr:row>2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List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742950</xdr:colOff>
          <xdr:row>0</xdr:row>
          <xdr:rowOff>114300</xdr:rowOff>
        </xdr:from>
        <xdr:to>
          <xdr:col>6</xdr:col>
          <xdr:colOff>781050</xdr:colOff>
          <xdr:row>2</xdr:row>
          <xdr:rowOff>57150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57150</xdr:rowOff>
        </xdr:from>
        <xdr:to>
          <xdr:col>0</xdr:col>
          <xdr:colOff>1219200</xdr:colOff>
          <xdr:row>0</xdr:row>
          <xdr:rowOff>400050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5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352425</xdr:colOff>
          <xdr:row>1</xdr:row>
          <xdr:rowOff>66675</xdr:rowOff>
        </xdr:from>
        <xdr:to>
          <xdr:col>45</xdr:col>
          <xdr:colOff>571500</xdr:colOff>
          <xdr:row>1</xdr:row>
          <xdr:rowOff>381000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</xdr:row>
          <xdr:rowOff>57150</xdr:rowOff>
        </xdr:from>
        <xdr:to>
          <xdr:col>6</xdr:col>
          <xdr:colOff>190500</xdr:colOff>
          <xdr:row>1</xdr:row>
          <xdr:rowOff>371475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Mercury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</xdr:row>
          <xdr:rowOff>47625</xdr:rowOff>
        </xdr:from>
        <xdr:to>
          <xdr:col>2</xdr:col>
          <xdr:colOff>571500</xdr:colOff>
          <xdr:row>1</xdr:row>
          <xdr:rowOff>361950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6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Date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104775</xdr:colOff>
          <xdr:row>1</xdr:row>
          <xdr:rowOff>66675</xdr:rowOff>
        </xdr:from>
        <xdr:to>
          <xdr:col>43</xdr:col>
          <xdr:colOff>1123950</xdr:colOff>
          <xdr:row>1</xdr:row>
          <xdr:rowOff>371475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6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</xdr:row>
          <xdr:rowOff>66675</xdr:rowOff>
        </xdr:from>
        <xdr:to>
          <xdr:col>0</xdr:col>
          <xdr:colOff>990600</xdr:colOff>
          <xdr:row>1</xdr:row>
          <xdr:rowOff>371475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6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 Date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57150</xdr:rowOff>
        </xdr:from>
        <xdr:to>
          <xdr:col>4</xdr:col>
          <xdr:colOff>457200</xdr:colOff>
          <xdr:row>1</xdr:row>
          <xdr:rowOff>371475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6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 Mercury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cptfile01\Div\5500\!&#9733;Progressive%20Meeting%20Data\&#9733;Schedule%20Activity%202025.xlsx" TargetMode="External"/><Relationship Id="rId1" Type="http://schemas.openxmlformats.org/officeDocument/2006/relationships/externalLinkPath" Target="file:///\\cptfile01\Div\5500\!&#9733;Progressive%20Meeting%20Data\&#9733;Schedule%20Activity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cember 2024"/>
      <sheetName val="January"/>
      <sheetName val="February"/>
      <sheetName val="March"/>
      <sheetName val="April"/>
      <sheetName val="May"/>
      <sheetName val="June"/>
      <sheetName val="July"/>
      <sheetName val="August"/>
      <sheetName val="September"/>
      <sheetName val="October"/>
      <sheetName val="November"/>
      <sheetName val="December"/>
      <sheetName val="DB"/>
    </sheetNames>
    <sheetDataSet>
      <sheetData sheetId="0"/>
      <sheetData sheetId="1">
        <row r="3">
          <cell r="K3">
            <v>2025</v>
          </cell>
        </row>
        <row r="4">
          <cell r="K4" t="str">
            <v>SUNDAY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15B49-AB44-46AA-84A1-B9F68B9862E2}">
  <sheetPr codeName="Sheet4">
    <tabColor theme="1"/>
  </sheetPr>
  <dimension ref="A1:AJ263"/>
  <sheetViews>
    <sheetView workbookViewId="0">
      <selection activeCell="A27" sqref="A27:XFD27"/>
    </sheetView>
  </sheetViews>
  <sheetFormatPr defaultRowHeight="15" x14ac:dyDescent="0.25"/>
  <cols>
    <col min="1" max="1" width="21.5703125" bestFit="1" customWidth="1"/>
    <col min="22" max="22" width="13.7109375" customWidth="1"/>
  </cols>
  <sheetData>
    <row r="1" spans="1:36" x14ac:dyDescent="0.25">
      <c r="A1" t="s">
        <v>12</v>
      </c>
      <c r="B1" t="s">
        <v>99</v>
      </c>
      <c r="C1" t="s">
        <v>99</v>
      </c>
      <c r="D1" t="s">
        <v>99</v>
      </c>
      <c r="E1" t="s">
        <v>99</v>
      </c>
      <c r="F1" t="s">
        <v>99</v>
      </c>
      <c r="G1" t="s">
        <v>99</v>
      </c>
      <c r="H1" t="s">
        <v>99</v>
      </c>
      <c r="I1" t="s">
        <v>99</v>
      </c>
      <c r="J1" t="s">
        <v>99</v>
      </c>
      <c r="K1" t="s">
        <v>99</v>
      </c>
      <c r="L1" t="s">
        <v>99</v>
      </c>
      <c r="M1" t="s">
        <v>99</v>
      </c>
      <c r="N1" t="s">
        <v>99</v>
      </c>
      <c r="O1" t="s">
        <v>99</v>
      </c>
      <c r="P1" t="s">
        <v>99</v>
      </c>
      <c r="Q1" t="s">
        <v>99</v>
      </c>
      <c r="R1" t="s">
        <v>99</v>
      </c>
      <c r="S1" t="s">
        <v>99</v>
      </c>
      <c r="T1" t="s">
        <v>99</v>
      </c>
      <c r="U1" t="s">
        <v>99</v>
      </c>
      <c r="V1" t="s">
        <v>99</v>
      </c>
      <c r="W1" t="s">
        <v>99</v>
      </c>
      <c r="X1" t="s">
        <v>99</v>
      </c>
      <c r="Y1" t="s">
        <v>99</v>
      </c>
      <c r="Z1" t="s">
        <v>99</v>
      </c>
      <c r="AA1" t="s">
        <v>99</v>
      </c>
      <c r="AB1" t="s">
        <v>99</v>
      </c>
      <c r="AC1" t="s">
        <v>99</v>
      </c>
      <c r="AD1" t="s">
        <v>99</v>
      </c>
      <c r="AE1" t="s">
        <v>99</v>
      </c>
      <c r="AF1" t="s">
        <v>99</v>
      </c>
      <c r="AG1" t="s">
        <v>99</v>
      </c>
      <c r="AH1" t="s">
        <v>99</v>
      </c>
      <c r="AI1" t="s">
        <v>99</v>
      </c>
      <c r="AJ1" t="s">
        <v>99</v>
      </c>
    </row>
    <row r="2" spans="1:36" x14ac:dyDescent="0.25">
      <c r="A2" t="s">
        <v>13</v>
      </c>
      <c r="B2" t="s">
        <v>96</v>
      </c>
      <c r="C2" t="s">
        <v>101</v>
      </c>
      <c r="D2" t="s">
        <v>103</v>
      </c>
      <c r="E2" t="s">
        <v>105</v>
      </c>
      <c r="F2" t="s">
        <v>107</v>
      </c>
      <c r="G2" t="s">
        <v>109</v>
      </c>
      <c r="H2" t="s">
        <v>111</v>
      </c>
      <c r="I2" t="s">
        <v>113</v>
      </c>
      <c r="J2" t="s">
        <v>115</v>
      </c>
      <c r="K2" t="s">
        <v>117</v>
      </c>
      <c r="L2" t="s">
        <v>119</v>
      </c>
      <c r="M2" t="s">
        <v>121</v>
      </c>
      <c r="N2" t="s">
        <v>123</v>
      </c>
      <c r="O2" t="s">
        <v>125</v>
      </c>
      <c r="P2" t="s">
        <v>127</v>
      </c>
      <c r="Q2" t="s">
        <v>129</v>
      </c>
      <c r="R2" t="s">
        <v>131</v>
      </c>
      <c r="S2" t="s">
        <v>134</v>
      </c>
      <c r="T2" t="s">
        <v>136</v>
      </c>
      <c r="U2" t="s">
        <v>138</v>
      </c>
      <c r="V2" t="s">
        <v>140</v>
      </c>
      <c r="W2" t="s">
        <v>142</v>
      </c>
      <c r="X2" t="s">
        <v>144</v>
      </c>
      <c r="Y2" t="s">
        <v>146</v>
      </c>
      <c r="Z2" t="s">
        <v>148</v>
      </c>
      <c r="AA2" t="s">
        <v>151</v>
      </c>
      <c r="AB2" t="s">
        <v>153</v>
      </c>
      <c r="AC2" t="s">
        <v>155</v>
      </c>
      <c r="AD2" t="s">
        <v>157</v>
      </c>
      <c r="AE2" t="s">
        <v>159</v>
      </c>
      <c r="AF2" t="s">
        <v>161</v>
      </c>
      <c r="AG2" t="s">
        <v>162</v>
      </c>
      <c r="AH2" t="s">
        <v>163</v>
      </c>
      <c r="AI2" t="s">
        <v>165</v>
      </c>
      <c r="AJ2" t="s">
        <v>166</v>
      </c>
    </row>
    <row r="3" spans="1:36" x14ac:dyDescent="0.25">
      <c r="A3" t="s">
        <v>14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</row>
    <row r="4" spans="1:36" x14ac:dyDescent="0.25">
      <c r="A4" t="s">
        <v>15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</row>
    <row r="5" spans="1:36" x14ac:dyDescent="0.25">
      <c r="A5" t="s">
        <v>16</v>
      </c>
    </row>
    <row r="6" spans="1:36" x14ac:dyDescent="0.25">
      <c r="A6" t="s">
        <v>17</v>
      </c>
      <c r="B6" t="s">
        <v>97</v>
      </c>
      <c r="C6" t="s">
        <v>102</v>
      </c>
      <c r="D6" t="s">
        <v>104</v>
      </c>
      <c r="E6" t="s">
        <v>106</v>
      </c>
      <c r="F6" t="s">
        <v>108</v>
      </c>
      <c r="G6" t="s">
        <v>110</v>
      </c>
      <c r="H6" t="s">
        <v>112</v>
      </c>
      <c r="I6" t="s">
        <v>114</v>
      </c>
      <c r="J6" t="s">
        <v>116</v>
      </c>
      <c r="K6" t="s">
        <v>118</v>
      </c>
      <c r="L6" t="s">
        <v>120</v>
      </c>
      <c r="M6" t="s">
        <v>122</v>
      </c>
      <c r="N6" t="s">
        <v>124</v>
      </c>
      <c r="O6" t="s">
        <v>126</v>
      </c>
      <c r="P6" t="s">
        <v>128</v>
      </c>
      <c r="Q6" t="s">
        <v>130</v>
      </c>
      <c r="R6" t="s">
        <v>132</v>
      </c>
      <c r="S6" t="s">
        <v>135</v>
      </c>
      <c r="T6" t="s">
        <v>137</v>
      </c>
      <c r="U6" t="s">
        <v>139</v>
      </c>
      <c r="V6" t="s">
        <v>141</v>
      </c>
      <c r="W6" t="s">
        <v>143</v>
      </c>
      <c r="X6" t="s">
        <v>145</v>
      </c>
      <c r="Y6" t="s">
        <v>147</v>
      </c>
      <c r="Z6" t="s">
        <v>149</v>
      </c>
      <c r="AA6" t="s">
        <v>152</v>
      </c>
      <c r="AB6" t="s">
        <v>154</v>
      </c>
      <c r="AC6" t="s">
        <v>156</v>
      </c>
      <c r="AD6" t="s">
        <v>158</v>
      </c>
      <c r="AE6" t="s">
        <v>160</v>
      </c>
      <c r="AF6" t="s">
        <v>137</v>
      </c>
      <c r="AG6" t="s">
        <v>160</v>
      </c>
      <c r="AH6" t="s">
        <v>164</v>
      </c>
      <c r="AI6" t="s">
        <v>137</v>
      </c>
      <c r="AJ6" t="s">
        <v>167</v>
      </c>
    </row>
    <row r="7" spans="1:36" x14ac:dyDescent="0.25">
      <c r="A7" t="s">
        <v>18</v>
      </c>
      <c r="B7" t="s">
        <v>98</v>
      </c>
      <c r="C7" t="s">
        <v>100</v>
      </c>
      <c r="D7" t="s">
        <v>100</v>
      </c>
      <c r="E7" t="s">
        <v>98</v>
      </c>
      <c r="F7" t="s">
        <v>100</v>
      </c>
      <c r="G7" t="s">
        <v>98</v>
      </c>
      <c r="H7" t="s">
        <v>98</v>
      </c>
      <c r="I7" t="s">
        <v>100</v>
      </c>
      <c r="J7" t="s">
        <v>100</v>
      </c>
      <c r="K7" t="s">
        <v>98</v>
      </c>
      <c r="L7" t="s">
        <v>98</v>
      </c>
      <c r="M7" t="s">
        <v>100</v>
      </c>
      <c r="N7" t="s">
        <v>100</v>
      </c>
      <c r="O7" t="s">
        <v>100</v>
      </c>
      <c r="P7" t="s">
        <v>98</v>
      </c>
      <c r="Q7" t="s">
        <v>98</v>
      </c>
      <c r="R7" t="s">
        <v>133</v>
      </c>
      <c r="S7" t="s">
        <v>133</v>
      </c>
      <c r="T7" t="s">
        <v>133</v>
      </c>
      <c r="U7" t="s">
        <v>133</v>
      </c>
      <c r="V7" t="s">
        <v>100</v>
      </c>
      <c r="W7" t="s">
        <v>133</v>
      </c>
      <c r="X7" t="s">
        <v>133</v>
      </c>
      <c r="Y7" t="s">
        <v>98</v>
      </c>
      <c r="Z7" t="s">
        <v>150</v>
      </c>
      <c r="AA7" t="s">
        <v>98</v>
      </c>
      <c r="AB7" t="s">
        <v>133</v>
      </c>
      <c r="AC7" t="s">
        <v>150</v>
      </c>
      <c r="AD7" t="s">
        <v>98</v>
      </c>
      <c r="AE7" t="s">
        <v>133</v>
      </c>
      <c r="AF7" t="s">
        <v>133</v>
      </c>
      <c r="AG7" t="s">
        <v>133</v>
      </c>
      <c r="AH7" t="s">
        <v>133</v>
      </c>
      <c r="AI7" t="s">
        <v>98</v>
      </c>
      <c r="AJ7" t="s">
        <v>98</v>
      </c>
    </row>
    <row r="8" spans="1:36" x14ac:dyDescent="0.25">
      <c r="A8" t="s">
        <v>19</v>
      </c>
      <c r="B8" t="s">
        <v>94</v>
      </c>
      <c r="C8" t="s">
        <v>95</v>
      </c>
      <c r="D8" t="s">
        <v>95</v>
      </c>
      <c r="E8" t="s">
        <v>95</v>
      </c>
      <c r="F8" t="s">
        <v>95</v>
      </c>
      <c r="G8" t="s">
        <v>95</v>
      </c>
      <c r="H8" t="s">
        <v>95</v>
      </c>
      <c r="I8" t="s">
        <v>95</v>
      </c>
      <c r="J8" t="s">
        <v>95</v>
      </c>
      <c r="K8" t="s">
        <v>95</v>
      </c>
      <c r="L8" t="s">
        <v>95</v>
      </c>
      <c r="M8" t="s">
        <v>95</v>
      </c>
      <c r="N8" t="s">
        <v>95</v>
      </c>
      <c r="O8" t="s">
        <v>95</v>
      </c>
      <c r="P8" t="s">
        <v>95</v>
      </c>
      <c r="Q8" t="s">
        <v>95</v>
      </c>
      <c r="R8" t="s">
        <v>95</v>
      </c>
      <c r="S8" t="s">
        <v>95</v>
      </c>
      <c r="T8" t="s">
        <v>95</v>
      </c>
      <c r="U8" t="s">
        <v>95</v>
      </c>
      <c r="V8" t="s">
        <v>95</v>
      </c>
      <c r="W8" t="s">
        <v>95</v>
      </c>
      <c r="X8" t="s">
        <v>95</v>
      </c>
      <c r="Y8" t="s">
        <v>95</v>
      </c>
      <c r="Z8" t="s">
        <v>95</v>
      </c>
      <c r="AA8" t="s">
        <v>95</v>
      </c>
      <c r="AB8" t="s">
        <v>95</v>
      </c>
      <c r="AC8" t="s">
        <v>95</v>
      </c>
      <c r="AD8" t="s">
        <v>95</v>
      </c>
      <c r="AE8" t="s">
        <v>95</v>
      </c>
      <c r="AF8" t="s">
        <v>95</v>
      </c>
      <c r="AG8" t="s">
        <v>95</v>
      </c>
      <c r="AH8" t="s">
        <v>95</v>
      </c>
      <c r="AI8" t="s">
        <v>95</v>
      </c>
      <c r="AJ8" t="s">
        <v>95</v>
      </c>
    </row>
    <row r="9" spans="1:36" x14ac:dyDescent="0.25">
      <c r="A9" t="s">
        <v>20</v>
      </c>
      <c r="B9">
        <v>100</v>
      </c>
      <c r="C9">
        <v>100</v>
      </c>
      <c r="D9">
        <v>100</v>
      </c>
      <c r="E9">
        <v>100</v>
      </c>
      <c r="F9">
        <v>100</v>
      </c>
      <c r="G9">
        <v>100</v>
      </c>
      <c r="H9">
        <v>100</v>
      </c>
      <c r="I9">
        <v>100</v>
      </c>
      <c r="J9">
        <v>100</v>
      </c>
      <c r="K9">
        <v>100</v>
      </c>
      <c r="L9">
        <v>100</v>
      </c>
      <c r="M9">
        <v>100</v>
      </c>
      <c r="N9">
        <v>100</v>
      </c>
      <c r="O9">
        <v>100</v>
      </c>
      <c r="P9">
        <v>100</v>
      </c>
      <c r="Q9">
        <v>100</v>
      </c>
      <c r="R9">
        <v>100</v>
      </c>
      <c r="S9">
        <v>100</v>
      </c>
      <c r="T9">
        <v>100</v>
      </c>
      <c r="U9">
        <v>100</v>
      </c>
      <c r="V9">
        <v>100</v>
      </c>
      <c r="W9">
        <v>100</v>
      </c>
      <c r="X9">
        <v>100</v>
      </c>
      <c r="Y9">
        <v>100</v>
      </c>
      <c r="Z9">
        <v>100</v>
      </c>
      <c r="AA9">
        <v>100</v>
      </c>
      <c r="AB9">
        <v>100</v>
      </c>
      <c r="AC9">
        <v>100</v>
      </c>
      <c r="AD9">
        <v>100</v>
      </c>
      <c r="AE9">
        <v>100</v>
      </c>
      <c r="AF9">
        <v>100</v>
      </c>
      <c r="AG9">
        <v>100</v>
      </c>
      <c r="AH9">
        <v>100</v>
      </c>
      <c r="AI9">
        <v>100</v>
      </c>
      <c r="AJ9">
        <v>100</v>
      </c>
    </row>
    <row r="10" spans="1:36" x14ac:dyDescent="0.25">
      <c r="A10" t="s">
        <v>21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</row>
    <row r="11" spans="1:36" x14ac:dyDescent="0.25">
      <c r="A11" t="s">
        <v>168</v>
      </c>
      <c r="B11" t="s">
        <v>169</v>
      </c>
      <c r="C11" t="s">
        <v>169</v>
      </c>
      <c r="D11" t="s">
        <v>169</v>
      </c>
      <c r="E11" t="s">
        <v>169</v>
      </c>
      <c r="F11" t="s">
        <v>169</v>
      </c>
      <c r="G11" t="s">
        <v>169</v>
      </c>
      <c r="H11" t="s">
        <v>169</v>
      </c>
      <c r="I11" t="s">
        <v>169</v>
      </c>
      <c r="J11" t="s">
        <v>169</v>
      </c>
      <c r="K11" t="s">
        <v>169</v>
      </c>
      <c r="L11" t="s">
        <v>169</v>
      </c>
      <c r="M11" t="s">
        <v>169</v>
      </c>
      <c r="N11" t="s">
        <v>169</v>
      </c>
      <c r="O11" t="s">
        <v>169</v>
      </c>
      <c r="P11" t="s">
        <v>169</v>
      </c>
      <c r="Q11" t="s">
        <v>169</v>
      </c>
      <c r="R11" t="s">
        <v>169</v>
      </c>
      <c r="S11" t="s">
        <v>169</v>
      </c>
      <c r="T11" t="s">
        <v>169</v>
      </c>
      <c r="U11" t="s">
        <v>169</v>
      </c>
      <c r="V11" t="s">
        <v>169</v>
      </c>
      <c r="W11" t="s">
        <v>169</v>
      </c>
      <c r="X11" t="s">
        <v>169</v>
      </c>
      <c r="Y11" t="s">
        <v>169</v>
      </c>
      <c r="Z11" t="s">
        <v>169</v>
      </c>
      <c r="AA11" t="s">
        <v>169</v>
      </c>
      <c r="AB11" t="s">
        <v>169</v>
      </c>
      <c r="AC11" t="s">
        <v>169</v>
      </c>
      <c r="AD11" t="s">
        <v>169</v>
      </c>
      <c r="AE11" t="s">
        <v>169</v>
      </c>
      <c r="AF11" t="s">
        <v>169</v>
      </c>
      <c r="AG11" t="s">
        <v>169</v>
      </c>
      <c r="AH11" t="s">
        <v>169</v>
      </c>
      <c r="AI11" t="s">
        <v>169</v>
      </c>
      <c r="AJ11" t="s">
        <v>169</v>
      </c>
    </row>
    <row r="12" spans="1:36" x14ac:dyDescent="0.25">
      <c r="A12" t="s">
        <v>170</v>
      </c>
      <c r="B12" t="s">
        <v>169</v>
      </c>
      <c r="C12" t="s">
        <v>169</v>
      </c>
      <c r="D12" t="s">
        <v>169</v>
      </c>
      <c r="E12" t="s">
        <v>169</v>
      </c>
      <c r="F12" t="s">
        <v>169</v>
      </c>
      <c r="G12" t="s">
        <v>169</v>
      </c>
      <c r="H12" t="s">
        <v>169</v>
      </c>
      <c r="I12" t="s">
        <v>169</v>
      </c>
      <c r="J12" t="s">
        <v>169</v>
      </c>
      <c r="K12" t="s">
        <v>169</v>
      </c>
      <c r="L12" t="s">
        <v>169</v>
      </c>
      <c r="M12" t="s">
        <v>169</v>
      </c>
      <c r="N12" t="s">
        <v>169</v>
      </c>
      <c r="O12" t="s">
        <v>169</v>
      </c>
      <c r="P12" t="s">
        <v>169</v>
      </c>
      <c r="Q12" t="s">
        <v>169</v>
      </c>
      <c r="R12" t="s">
        <v>169</v>
      </c>
      <c r="S12" t="s">
        <v>169</v>
      </c>
      <c r="T12" t="s">
        <v>169</v>
      </c>
      <c r="U12" t="s">
        <v>169</v>
      </c>
      <c r="V12" t="s">
        <v>169</v>
      </c>
      <c r="W12" t="s">
        <v>169</v>
      </c>
      <c r="X12" t="s">
        <v>169</v>
      </c>
      <c r="Y12" t="s">
        <v>169</v>
      </c>
      <c r="Z12" t="s">
        <v>169</v>
      </c>
      <c r="AA12" t="s">
        <v>169</v>
      </c>
      <c r="AB12" t="s">
        <v>169</v>
      </c>
      <c r="AC12" t="s">
        <v>169</v>
      </c>
      <c r="AD12" t="s">
        <v>169</v>
      </c>
      <c r="AE12" t="s">
        <v>169</v>
      </c>
      <c r="AF12" t="s">
        <v>169</v>
      </c>
      <c r="AG12" t="s">
        <v>169</v>
      </c>
      <c r="AH12" t="s">
        <v>169</v>
      </c>
      <c r="AI12" t="s">
        <v>169</v>
      </c>
      <c r="AJ12" t="s">
        <v>169</v>
      </c>
    </row>
    <row r="13" spans="1:36" x14ac:dyDescent="0.25">
      <c r="A13" t="s">
        <v>171</v>
      </c>
      <c r="B13" t="s">
        <v>169</v>
      </c>
      <c r="C13" t="s">
        <v>169</v>
      </c>
      <c r="D13" t="s">
        <v>169</v>
      </c>
      <c r="E13" t="s">
        <v>169</v>
      </c>
      <c r="F13" t="s">
        <v>169</v>
      </c>
      <c r="G13" t="s">
        <v>169</v>
      </c>
      <c r="H13" t="s">
        <v>169</v>
      </c>
      <c r="I13" t="s">
        <v>169</v>
      </c>
      <c r="J13" t="s">
        <v>169</v>
      </c>
      <c r="K13" t="s">
        <v>169</v>
      </c>
      <c r="L13" t="s">
        <v>169</v>
      </c>
      <c r="M13" t="s">
        <v>169</v>
      </c>
      <c r="N13" t="s">
        <v>169</v>
      </c>
      <c r="O13" t="s">
        <v>169</v>
      </c>
      <c r="P13" t="s">
        <v>169</v>
      </c>
      <c r="Q13" t="s">
        <v>169</v>
      </c>
      <c r="R13" t="s">
        <v>169</v>
      </c>
      <c r="S13" t="s">
        <v>169</v>
      </c>
      <c r="T13" t="s">
        <v>169</v>
      </c>
      <c r="U13" t="s">
        <v>169</v>
      </c>
      <c r="V13" t="s">
        <v>169</v>
      </c>
      <c r="W13" t="s">
        <v>169</v>
      </c>
      <c r="X13" t="s">
        <v>169</v>
      </c>
      <c r="Y13" t="s">
        <v>169</v>
      </c>
      <c r="Z13" t="s">
        <v>169</v>
      </c>
      <c r="AA13" t="s">
        <v>169</v>
      </c>
      <c r="AB13" t="s">
        <v>169</v>
      </c>
      <c r="AC13" t="s">
        <v>169</v>
      </c>
      <c r="AD13" t="s">
        <v>169</v>
      </c>
      <c r="AE13" t="s">
        <v>169</v>
      </c>
      <c r="AF13" t="s">
        <v>169</v>
      </c>
      <c r="AG13" t="s">
        <v>169</v>
      </c>
      <c r="AH13" t="s">
        <v>169</v>
      </c>
      <c r="AI13" t="s">
        <v>169</v>
      </c>
      <c r="AJ13" t="s">
        <v>169</v>
      </c>
    </row>
    <row r="14" spans="1:36" x14ac:dyDescent="0.25">
      <c r="A14" t="s">
        <v>172</v>
      </c>
      <c r="B14">
        <v>5</v>
      </c>
      <c r="C14">
        <v>3</v>
      </c>
      <c r="D14">
        <v>3</v>
      </c>
      <c r="E14">
        <v>3</v>
      </c>
      <c r="F14">
        <v>3</v>
      </c>
      <c r="G14">
        <v>3</v>
      </c>
      <c r="H14">
        <v>3</v>
      </c>
      <c r="I14">
        <v>3</v>
      </c>
      <c r="J14">
        <v>3</v>
      </c>
      <c r="K14">
        <v>1</v>
      </c>
      <c r="L14">
        <v>1</v>
      </c>
      <c r="M14">
        <v>3</v>
      </c>
      <c r="N14">
        <v>3</v>
      </c>
      <c r="O14">
        <v>3</v>
      </c>
      <c r="P14">
        <v>2</v>
      </c>
      <c r="Q14">
        <v>2</v>
      </c>
      <c r="R14">
        <v>2</v>
      </c>
      <c r="S14">
        <v>6</v>
      </c>
      <c r="T14">
        <v>2</v>
      </c>
      <c r="U14">
        <v>2</v>
      </c>
      <c r="V14">
        <v>3</v>
      </c>
      <c r="W14">
        <v>2</v>
      </c>
      <c r="X14">
        <v>2</v>
      </c>
      <c r="Y14">
        <v>2</v>
      </c>
      <c r="Z14">
        <v>2</v>
      </c>
      <c r="AA14">
        <v>2</v>
      </c>
      <c r="AB14">
        <v>3</v>
      </c>
      <c r="AC14">
        <v>3</v>
      </c>
      <c r="AD14">
        <v>3</v>
      </c>
      <c r="AE14">
        <v>2</v>
      </c>
      <c r="AF14">
        <v>3</v>
      </c>
      <c r="AG14">
        <v>3</v>
      </c>
      <c r="AH14">
        <v>2</v>
      </c>
      <c r="AI14">
        <v>3</v>
      </c>
      <c r="AJ14">
        <v>2</v>
      </c>
    </row>
    <row r="15" spans="1:36" x14ac:dyDescent="0.25">
      <c r="A15" t="s">
        <v>173</v>
      </c>
    </row>
    <row r="16" spans="1:36" x14ac:dyDescent="0.25">
      <c r="A16" t="s">
        <v>174</v>
      </c>
    </row>
    <row r="17" spans="1:22" x14ac:dyDescent="0.25">
      <c r="A17" t="s">
        <v>175</v>
      </c>
    </row>
    <row r="18" spans="1:22" x14ac:dyDescent="0.25">
      <c r="A18" t="s">
        <v>176</v>
      </c>
    </row>
    <row r="19" spans="1:22" x14ac:dyDescent="0.25">
      <c r="A19" t="s">
        <v>22</v>
      </c>
      <c r="M19">
        <v>1</v>
      </c>
      <c r="V19">
        <v>1</v>
      </c>
    </row>
    <row r="20" spans="1:22" x14ac:dyDescent="0.25">
      <c r="A20" t="s">
        <v>23</v>
      </c>
      <c r="M20">
        <v>1</v>
      </c>
      <c r="V20">
        <v>1</v>
      </c>
    </row>
    <row r="21" spans="1:22" x14ac:dyDescent="0.25">
      <c r="A21" t="s">
        <v>24</v>
      </c>
      <c r="M21">
        <v>1</v>
      </c>
      <c r="V21">
        <v>1</v>
      </c>
    </row>
    <row r="22" spans="1:22" x14ac:dyDescent="0.25">
      <c r="A22" t="s">
        <v>25</v>
      </c>
      <c r="N22">
        <v>1</v>
      </c>
      <c r="V22">
        <v>1</v>
      </c>
    </row>
    <row r="23" spans="1:22" x14ac:dyDescent="0.25">
      <c r="A23" t="s">
        <v>26</v>
      </c>
      <c r="N23">
        <v>1</v>
      </c>
      <c r="V23">
        <v>1</v>
      </c>
    </row>
    <row r="24" spans="1:22" x14ac:dyDescent="0.25">
      <c r="A24" t="s">
        <v>27</v>
      </c>
      <c r="N24">
        <v>1</v>
      </c>
      <c r="V24">
        <v>1</v>
      </c>
    </row>
    <row r="25" spans="1:22" x14ac:dyDescent="0.25">
      <c r="A25" t="s">
        <v>28</v>
      </c>
      <c r="N25">
        <v>1</v>
      </c>
      <c r="V25">
        <v>1</v>
      </c>
    </row>
    <row r="26" spans="1:22" x14ac:dyDescent="0.25">
      <c r="A26" t="s">
        <v>29</v>
      </c>
      <c r="N26">
        <v>1</v>
      </c>
      <c r="V26">
        <v>1</v>
      </c>
    </row>
    <row r="27" spans="1:22" x14ac:dyDescent="0.25">
      <c r="A27" t="s">
        <v>30</v>
      </c>
      <c r="O27">
        <v>1</v>
      </c>
      <c r="V27">
        <v>1</v>
      </c>
    </row>
    <row r="28" spans="1:22" x14ac:dyDescent="0.25">
      <c r="A28" t="s">
        <v>31</v>
      </c>
      <c r="N28">
        <v>1</v>
      </c>
      <c r="V28">
        <v>1</v>
      </c>
    </row>
    <row r="29" spans="1:22" x14ac:dyDescent="0.25">
      <c r="A29" t="s">
        <v>32</v>
      </c>
      <c r="N29">
        <v>1</v>
      </c>
      <c r="V29">
        <v>1</v>
      </c>
    </row>
    <row r="30" spans="1:22" x14ac:dyDescent="0.25">
      <c r="A30" t="s">
        <v>33</v>
      </c>
      <c r="N30">
        <v>1</v>
      </c>
      <c r="V30">
        <v>1</v>
      </c>
    </row>
    <row r="31" spans="1:22" x14ac:dyDescent="0.25">
      <c r="A31" t="s">
        <v>34</v>
      </c>
      <c r="N31">
        <v>1</v>
      </c>
      <c r="V31">
        <v>1</v>
      </c>
    </row>
    <row r="32" spans="1:22" x14ac:dyDescent="0.25">
      <c r="A32" t="s">
        <v>35</v>
      </c>
      <c r="N32">
        <v>1</v>
      </c>
      <c r="V32">
        <v>1</v>
      </c>
    </row>
    <row r="33" spans="1:22" x14ac:dyDescent="0.25">
      <c r="A33" t="s">
        <v>36</v>
      </c>
      <c r="N33">
        <v>1</v>
      </c>
      <c r="V33">
        <v>1</v>
      </c>
    </row>
    <row r="34" spans="1:22" x14ac:dyDescent="0.25">
      <c r="A34" t="s">
        <v>37</v>
      </c>
      <c r="C34">
        <v>1</v>
      </c>
      <c r="I34">
        <v>1</v>
      </c>
    </row>
    <row r="35" spans="1:22" x14ac:dyDescent="0.25">
      <c r="A35" t="s">
        <v>38</v>
      </c>
      <c r="C35">
        <v>1</v>
      </c>
      <c r="I35">
        <v>1</v>
      </c>
    </row>
    <row r="36" spans="1:22" x14ac:dyDescent="0.25">
      <c r="A36" t="s">
        <v>39</v>
      </c>
      <c r="C36">
        <v>1</v>
      </c>
      <c r="I36">
        <v>1</v>
      </c>
    </row>
    <row r="37" spans="1:22" x14ac:dyDescent="0.25">
      <c r="A37" t="s">
        <v>40</v>
      </c>
      <c r="C37">
        <v>1</v>
      </c>
      <c r="I37">
        <v>1</v>
      </c>
    </row>
    <row r="38" spans="1:22" x14ac:dyDescent="0.25">
      <c r="A38" t="s">
        <v>41</v>
      </c>
      <c r="D38">
        <v>1</v>
      </c>
      <c r="J38">
        <v>1</v>
      </c>
    </row>
    <row r="39" spans="1:22" x14ac:dyDescent="0.25">
      <c r="A39" t="s">
        <v>42</v>
      </c>
      <c r="E39">
        <v>1</v>
      </c>
      <c r="P39">
        <v>1</v>
      </c>
    </row>
    <row r="40" spans="1:22" x14ac:dyDescent="0.25">
      <c r="A40" t="s">
        <v>43</v>
      </c>
      <c r="E40">
        <v>1</v>
      </c>
      <c r="P40">
        <v>1</v>
      </c>
    </row>
    <row r="41" spans="1:22" x14ac:dyDescent="0.25">
      <c r="A41" t="s">
        <v>44</v>
      </c>
      <c r="E41">
        <v>1</v>
      </c>
      <c r="P41">
        <v>1</v>
      </c>
    </row>
    <row r="42" spans="1:22" x14ac:dyDescent="0.25">
      <c r="A42" t="s">
        <v>45</v>
      </c>
      <c r="E42">
        <v>1</v>
      </c>
      <c r="P42">
        <v>1</v>
      </c>
    </row>
    <row r="43" spans="1:22" x14ac:dyDescent="0.25">
      <c r="A43" t="s">
        <v>46</v>
      </c>
      <c r="E43">
        <v>1</v>
      </c>
      <c r="P43">
        <v>1</v>
      </c>
    </row>
    <row r="44" spans="1:22" x14ac:dyDescent="0.25">
      <c r="A44" t="s">
        <v>47</v>
      </c>
      <c r="E44">
        <v>1</v>
      </c>
      <c r="P44">
        <v>1</v>
      </c>
    </row>
    <row r="45" spans="1:22" x14ac:dyDescent="0.25">
      <c r="A45" t="s">
        <v>48</v>
      </c>
      <c r="G45">
        <v>1</v>
      </c>
      <c r="Q45">
        <v>1</v>
      </c>
    </row>
    <row r="46" spans="1:22" x14ac:dyDescent="0.25">
      <c r="A46" t="s">
        <v>49</v>
      </c>
      <c r="G46">
        <v>1</v>
      </c>
      <c r="Q46">
        <v>1</v>
      </c>
    </row>
    <row r="47" spans="1:22" x14ac:dyDescent="0.25">
      <c r="A47" t="s">
        <v>50</v>
      </c>
      <c r="F47">
        <v>1</v>
      </c>
      <c r="K47">
        <v>1</v>
      </c>
    </row>
    <row r="48" spans="1:22" x14ac:dyDescent="0.25">
      <c r="A48" t="s">
        <v>51</v>
      </c>
      <c r="F48">
        <v>1</v>
      </c>
      <c r="K48">
        <v>1</v>
      </c>
    </row>
    <row r="49" spans="1:31" x14ac:dyDescent="0.25">
      <c r="A49" t="s">
        <v>52</v>
      </c>
      <c r="F49">
        <v>1</v>
      </c>
      <c r="K49">
        <v>1</v>
      </c>
    </row>
    <row r="50" spans="1:31" x14ac:dyDescent="0.25">
      <c r="A50" t="s">
        <v>53</v>
      </c>
      <c r="H50">
        <v>1</v>
      </c>
      <c r="L50">
        <v>1</v>
      </c>
    </row>
    <row r="51" spans="1:31" x14ac:dyDescent="0.25">
      <c r="A51" t="s">
        <v>54</v>
      </c>
      <c r="H51">
        <v>1</v>
      </c>
      <c r="L51">
        <v>1</v>
      </c>
    </row>
    <row r="52" spans="1:31" x14ac:dyDescent="0.25">
      <c r="A52" t="s">
        <v>55</v>
      </c>
      <c r="H52">
        <v>1</v>
      </c>
      <c r="L52">
        <v>1</v>
      </c>
    </row>
    <row r="53" spans="1:31" x14ac:dyDescent="0.25">
      <c r="A53" t="s">
        <v>56</v>
      </c>
      <c r="H53">
        <v>1</v>
      </c>
      <c r="L53">
        <v>1</v>
      </c>
    </row>
    <row r="54" spans="1:31" x14ac:dyDescent="0.25">
      <c r="A54" t="s">
        <v>57</v>
      </c>
      <c r="H54">
        <v>1</v>
      </c>
      <c r="L54">
        <v>1</v>
      </c>
    </row>
    <row r="55" spans="1:31" x14ac:dyDescent="0.25">
      <c r="A55" t="s">
        <v>58</v>
      </c>
      <c r="H55">
        <v>1</v>
      </c>
      <c r="L55">
        <v>1</v>
      </c>
    </row>
    <row r="56" spans="1:31" x14ac:dyDescent="0.25">
      <c r="A56" t="s">
        <v>177</v>
      </c>
    </row>
    <row r="57" spans="1:31" x14ac:dyDescent="0.25">
      <c r="A57" t="s">
        <v>178</v>
      </c>
    </row>
    <row r="58" spans="1:31" x14ac:dyDescent="0.25">
      <c r="A58" t="s">
        <v>179</v>
      </c>
    </row>
    <row r="59" spans="1:31" x14ac:dyDescent="0.25">
      <c r="A59" t="s">
        <v>180</v>
      </c>
    </row>
    <row r="60" spans="1:31" x14ac:dyDescent="0.25">
      <c r="A60" t="s">
        <v>181</v>
      </c>
    </row>
    <row r="61" spans="1:31" x14ac:dyDescent="0.25">
      <c r="A61" t="s">
        <v>182</v>
      </c>
    </row>
    <row r="62" spans="1:31" x14ac:dyDescent="0.25">
      <c r="A62" t="s">
        <v>59</v>
      </c>
      <c r="R62">
        <v>1</v>
      </c>
      <c r="T62">
        <v>1</v>
      </c>
    </row>
    <row r="63" spans="1:31" x14ac:dyDescent="0.25">
      <c r="A63" t="s">
        <v>60</v>
      </c>
      <c r="R63">
        <v>1</v>
      </c>
      <c r="AE63">
        <v>1</v>
      </c>
    </row>
    <row r="64" spans="1:31" x14ac:dyDescent="0.25">
      <c r="A64" t="s">
        <v>61</v>
      </c>
      <c r="R64">
        <v>1</v>
      </c>
      <c r="AE64">
        <v>1</v>
      </c>
    </row>
    <row r="65" spans="1:33" x14ac:dyDescent="0.25">
      <c r="A65" t="s">
        <v>62</v>
      </c>
      <c r="R65">
        <v>1</v>
      </c>
      <c r="T65">
        <v>1</v>
      </c>
    </row>
    <row r="66" spans="1:33" x14ac:dyDescent="0.25">
      <c r="A66" t="s">
        <v>63</v>
      </c>
      <c r="R66">
        <v>1</v>
      </c>
      <c r="T66">
        <v>1</v>
      </c>
    </row>
    <row r="67" spans="1:33" x14ac:dyDescent="0.25">
      <c r="A67" t="s">
        <v>64</v>
      </c>
      <c r="R67">
        <v>1</v>
      </c>
      <c r="AE67">
        <v>1</v>
      </c>
    </row>
    <row r="68" spans="1:33" x14ac:dyDescent="0.25">
      <c r="A68" t="s">
        <v>65</v>
      </c>
      <c r="R68">
        <v>1</v>
      </c>
      <c r="U68">
        <v>1</v>
      </c>
    </row>
    <row r="69" spans="1:33" x14ac:dyDescent="0.25">
      <c r="A69" t="s">
        <v>66</v>
      </c>
      <c r="R69">
        <v>1</v>
      </c>
      <c r="AE69">
        <v>1</v>
      </c>
    </row>
    <row r="70" spans="1:33" x14ac:dyDescent="0.25">
      <c r="A70" t="s">
        <v>67</v>
      </c>
      <c r="R70">
        <v>1</v>
      </c>
      <c r="T70">
        <v>1</v>
      </c>
    </row>
    <row r="71" spans="1:33" x14ac:dyDescent="0.25">
      <c r="A71" t="s">
        <v>68</v>
      </c>
      <c r="R71">
        <v>1</v>
      </c>
      <c r="T71">
        <v>1</v>
      </c>
    </row>
    <row r="72" spans="1:33" x14ac:dyDescent="0.25">
      <c r="A72" t="s">
        <v>69</v>
      </c>
      <c r="W72">
        <v>1</v>
      </c>
      <c r="AG72">
        <v>1</v>
      </c>
    </row>
    <row r="73" spans="1:33" x14ac:dyDescent="0.25">
      <c r="A73" t="s">
        <v>5</v>
      </c>
      <c r="W73">
        <v>1</v>
      </c>
      <c r="AF73">
        <v>1</v>
      </c>
    </row>
    <row r="74" spans="1:33" x14ac:dyDescent="0.25">
      <c r="A74" t="s">
        <v>3</v>
      </c>
      <c r="W74">
        <v>1</v>
      </c>
      <c r="AG74">
        <v>1</v>
      </c>
    </row>
    <row r="75" spans="1:33" x14ac:dyDescent="0.25">
      <c r="A75" t="s">
        <v>10</v>
      </c>
      <c r="W75">
        <v>1</v>
      </c>
      <c r="AG75">
        <v>1</v>
      </c>
    </row>
    <row r="76" spans="1:33" x14ac:dyDescent="0.25">
      <c r="A76" t="s">
        <v>2</v>
      </c>
      <c r="W76">
        <v>1</v>
      </c>
      <c r="AF76">
        <v>1</v>
      </c>
    </row>
    <row r="77" spans="1:33" x14ac:dyDescent="0.25">
      <c r="A77" t="s">
        <v>70</v>
      </c>
      <c r="W77">
        <v>1</v>
      </c>
      <c r="AG77">
        <v>1</v>
      </c>
    </row>
    <row r="78" spans="1:33" x14ac:dyDescent="0.25">
      <c r="A78" t="s">
        <v>71</v>
      </c>
      <c r="W78">
        <v>1</v>
      </c>
      <c r="AF78">
        <v>1</v>
      </c>
    </row>
    <row r="79" spans="1:33" x14ac:dyDescent="0.25">
      <c r="A79" t="s">
        <v>72</v>
      </c>
      <c r="W79">
        <v>1</v>
      </c>
      <c r="AF79">
        <v>1</v>
      </c>
    </row>
    <row r="80" spans="1:33" x14ac:dyDescent="0.25">
      <c r="A80" t="s">
        <v>73</v>
      </c>
      <c r="W80">
        <v>1</v>
      </c>
      <c r="AF80">
        <v>1</v>
      </c>
    </row>
    <row r="81" spans="1:35" x14ac:dyDescent="0.25">
      <c r="A81" t="s">
        <v>74</v>
      </c>
      <c r="W81">
        <v>1</v>
      </c>
      <c r="AF81">
        <v>1</v>
      </c>
    </row>
    <row r="82" spans="1:35" x14ac:dyDescent="0.25">
      <c r="A82" t="s">
        <v>75</v>
      </c>
      <c r="W82">
        <v>1</v>
      </c>
      <c r="AF82">
        <v>1</v>
      </c>
    </row>
    <row r="83" spans="1:35" x14ac:dyDescent="0.25">
      <c r="A83" t="s">
        <v>6</v>
      </c>
      <c r="X83">
        <v>1</v>
      </c>
      <c r="AB83">
        <v>1</v>
      </c>
    </row>
    <row r="84" spans="1:35" x14ac:dyDescent="0.25">
      <c r="A84" t="s">
        <v>7</v>
      </c>
      <c r="X84">
        <v>1</v>
      </c>
      <c r="AB84">
        <v>1</v>
      </c>
    </row>
    <row r="85" spans="1:35" x14ac:dyDescent="0.25">
      <c r="A85" t="s">
        <v>9</v>
      </c>
      <c r="X85">
        <v>1</v>
      </c>
      <c r="AB85">
        <v>1</v>
      </c>
    </row>
    <row r="86" spans="1:35" x14ac:dyDescent="0.25">
      <c r="A86" t="s">
        <v>76</v>
      </c>
      <c r="X86">
        <v>1</v>
      </c>
      <c r="AB86">
        <v>1</v>
      </c>
    </row>
    <row r="87" spans="1:35" x14ac:dyDescent="0.25">
      <c r="A87" t="s">
        <v>77</v>
      </c>
      <c r="X87">
        <v>1</v>
      </c>
      <c r="AB87">
        <v>1</v>
      </c>
    </row>
    <row r="88" spans="1:35" x14ac:dyDescent="0.25">
      <c r="A88" t="s">
        <v>8</v>
      </c>
      <c r="X88">
        <v>1</v>
      </c>
      <c r="AB88">
        <v>1</v>
      </c>
    </row>
    <row r="89" spans="1:35" x14ac:dyDescent="0.25">
      <c r="A89" t="s">
        <v>78</v>
      </c>
      <c r="Y89">
        <v>1</v>
      </c>
      <c r="AI89">
        <v>1</v>
      </c>
    </row>
    <row r="90" spans="1:35" x14ac:dyDescent="0.25">
      <c r="A90" t="s">
        <v>79</v>
      </c>
      <c r="Y90">
        <v>1</v>
      </c>
      <c r="AI90">
        <v>1</v>
      </c>
    </row>
    <row r="91" spans="1:35" x14ac:dyDescent="0.25">
      <c r="A91" t="s">
        <v>80</v>
      </c>
      <c r="Y91">
        <v>1</v>
      </c>
      <c r="AI91">
        <v>1</v>
      </c>
    </row>
    <row r="92" spans="1:35" x14ac:dyDescent="0.25">
      <c r="A92" t="s">
        <v>81</v>
      </c>
      <c r="Y92">
        <v>1</v>
      </c>
      <c r="AI92">
        <v>1</v>
      </c>
    </row>
    <row r="93" spans="1:35" x14ac:dyDescent="0.25">
      <c r="A93" t="s">
        <v>82</v>
      </c>
      <c r="Y93">
        <v>1</v>
      </c>
      <c r="AI93">
        <v>1</v>
      </c>
    </row>
    <row r="94" spans="1:35" x14ac:dyDescent="0.25">
      <c r="A94" t="s">
        <v>83</v>
      </c>
      <c r="Y94">
        <v>1</v>
      </c>
      <c r="AI94">
        <v>1</v>
      </c>
    </row>
    <row r="95" spans="1:35" x14ac:dyDescent="0.25">
      <c r="A95" t="s">
        <v>84</v>
      </c>
      <c r="Y95">
        <v>1</v>
      </c>
      <c r="AI95">
        <v>1</v>
      </c>
    </row>
    <row r="96" spans="1:35" x14ac:dyDescent="0.25">
      <c r="A96" t="s">
        <v>85</v>
      </c>
      <c r="Y96">
        <v>1</v>
      </c>
      <c r="AI96">
        <v>1</v>
      </c>
    </row>
    <row r="97" spans="1:35" x14ac:dyDescent="0.25">
      <c r="A97" t="s">
        <v>86</v>
      </c>
      <c r="Y97">
        <v>1</v>
      </c>
      <c r="AI97">
        <v>1</v>
      </c>
    </row>
    <row r="98" spans="1:35" x14ac:dyDescent="0.25">
      <c r="A98" t="s">
        <v>87</v>
      </c>
      <c r="Z98">
        <v>1</v>
      </c>
      <c r="AC98">
        <v>1</v>
      </c>
    </row>
    <row r="99" spans="1:35" x14ac:dyDescent="0.25">
      <c r="A99" t="s">
        <v>88</v>
      </c>
      <c r="AA99">
        <v>1</v>
      </c>
      <c r="AD99">
        <v>1</v>
      </c>
    </row>
    <row r="100" spans="1:35" x14ac:dyDescent="0.25">
      <c r="A100" t="s">
        <v>89</v>
      </c>
      <c r="AA100">
        <v>1</v>
      </c>
      <c r="AD100">
        <v>1</v>
      </c>
    </row>
    <row r="101" spans="1:35" x14ac:dyDescent="0.25">
      <c r="A101" t="s">
        <v>90</v>
      </c>
      <c r="Z101">
        <v>1</v>
      </c>
      <c r="AC101">
        <v>1</v>
      </c>
    </row>
    <row r="102" spans="1:35" x14ac:dyDescent="0.25">
      <c r="A102" t="s">
        <v>91</v>
      </c>
      <c r="AA102">
        <v>1</v>
      </c>
      <c r="AD102">
        <v>1</v>
      </c>
    </row>
    <row r="103" spans="1:35" x14ac:dyDescent="0.25">
      <c r="A103" t="s">
        <v>92</v>
      </c>
      <c r="AA103">
        <v>1</v>
      </c>
      <c r="AD103">
        <v>1</v>
      </c>
    </row>
    <row r="104" spans="1:35" x14ac:dyDescent="0.25">
      <c r="A104" t="s">
        <v>93</v>
      </c>
      <c r="AA104">
        <v>1</v>
      </c>
      <c r="AD104">
        <v>1</v>
      </c>
    </row>
    <row r="105" spans="1:35" x14ac:dyDescent="0.25">
      <c r="A105" t="s">
        <v>183</v>
      </c>
    </row>
    <row r="106" spans="1:35" x14ac:dyDescent="0.25">
      <c r="A106" t="s">
        <v>184</v>
      </c>
    </row>
    <row r="107" spans="1:35" x14ac:dyDescent="0.25">
      <c r="A107" t="s">
        <v>185</v>
      </c>
    </row>
    <row r="108" spans="1:35" x14ac:dyDescent="0.25">
      <c r="A108" t="s">
        <v>186</v>
      </c>
    </row>
    <row r="109" spans="1:35" x14ac:dyDescent="0.25">
      <c r="A109" t="s">
        <v>187</v>
      </c>
    </row>
    <row r="110" spans="1:35" x14ac:dyDescent="0.25">
      <c r="A110" t="s">
        <v>188</v>
      </c>
    </row>
    <row r="111" spans="1:35" x14ac:dyDescent="0.25">
      <c r="A111" t="s">
        <v>189</v>
      </c>
    </row>
    <row r="112" spans="1:35" x14ac:dyDescent="0.25">
      <c r="A112" t="s">
        <v>190</v>
      </c>
    </row>
    <row r="113" spans="1:1" x14ac:dyDescent="0.25">
      <c r="A113" t="s">
        <v>191</v>
      </c>
    </row>
    <row r="114" spans="1:1" x14ac:dyDescent="0.25">
      <c r="A114" t="s">
        <v>192</v>
      </c>
    </row>
    <row r="115" spans="1:1" x14ac:dyDescent="0.25">
      <c r="A115" t="s">
        <v>193</v>
      </c>
    </row>
    <row r="116" spans="1:1" x14ac:dyDescent="0.25">
      <c r="A116" t="s">
        <v>194</v>
      </c>
    </row>
    <row r="117" spans="1:1" x14ac:dyDescent="0.25">
      <c r="A117" t="s">
        <v>195</v>
      </c>
    </row>
    <row r="118" spans="1:1" x14ac:dyDescent="0.25">
      <c r="A118" t="s">
        <v>196</v>
      </c>
    </row>
    <row r="119" spans="1:1" x14ac:dyDescent="0.25">
      <c r="A119" t="s">
        <v>197</v>
      </c>
    </row>
    <row r="120" spans="1:1" x14ac:dyDescent="0.25">
      <c r="A120" t="s">
        <v>198</v>
      </c>
    </row>
    <row r="121" spans="1:1" x14ac:dyDescent="0.25">
      <c r="A121" t="s">
        <v>199</v>
      </c>
    </row>
    <row r="122" spans="1:1" x14ac:dyDescent="0.25">
      <c r="A122" t="s">
        <v>200</v>
      </c>
    </row>
    <row r="123" spans="1:1" x14ac:dyDescent="0.25">
      <c r="A123" t="s">
        <v>201</v>
      </c>
    </row>
    <row r="124" spans="1:1" x14ac:dyDescent="0.25">
      <c r="A124" t="s">
        <v>202</v>
      </c>
    </row>
    <row r="125" spans="1:1" x14ac:dyDescent="0.25">
      <c r="A125" t="s">
        <v>203</v>
      </c>
    </row>
    <row r="126" spans="1:1" x14ac:dyDescent="0.25">
      <c r="A126" t="s">
        <v>204</v>
      </c>
    </row>
    <row r="127" spans="1:1" x14ac:dyDescent="0.25">
      <c r="A127" t="s">
        <v>205</v>
      </c>
    </row>
    <row r="128" spans="1:1" x14ac:dyDescent="0.25">
      <c r="A128" t="s">
        <v>206</v>
      </c>
    </row>
    <row r="129" spans="1:1" x14ac:dyDescent="0.25">
      <c r="A129" t="s">
        <v>207</v>
      </c>
    </row>
    <row r="130" spans="1:1" x14ac:dyDescent="0.25">
      <c r="A130" t="s">
        <v>208</v>
      </c>
    </row>
    <row r="131" spans="1:1" x14ac:dyDescent="0.25">
      <c r="A131" t="s">
        <v>209</v>
      </c>
    </row>
    <row r="132" spans="1:1" x14ac:dyDescent="0.25">
      <c r="A132" t="s">
        <v>210</v>
      </c>
    </row>
    <row r="133" spans="1:1" x14ac:dyDescent="0.25">
      <c r="A133" t="s">
        <v>211</v>
      </c>
    </row>
    <row r="134" spans="1:1" x14ac:dyDescent="0.25">
      <c r="A134" t="s">
        <v>212</v>
      </c>
    </row>
    <row r="135" spans="1:1" x14ac:dyDescent="0.25">
      <c r="A135" t="s">
        <v>213</v>
      </c>
    </row>
    <row r="136" spans="1:1" x14ac:dyDescent="0.25">
      <c r="A136" t="s">
        <v>214</v>
      </c>
    </row>
    <row r="137" spans="1:1" x14ac:dyDescent="0.25">
      <c r="A137" t="s">
        <v>215</v>
      </c>
    </row>
    <row r="138" spans="1:1" x14ac:dyDescent="0.25">
      <c r="A138" t="s">
        <v>216</v>
      </c>
    </row>
    <row r="139" spans="1:1" x14ac:dyDescent="0.25">
      <c r="A139" t="s">
        <v>217</v>
      </c>
    </row>
    <row r="140" spans="1:1" x14ac:dyDescent="0.25">
      <c r="A140" t="s">
        <v>218</v>
      </c>
    </row>
    <row r="141" spans="1:1" x14ac:dyDescent="0.25">
      <c r="A141" t="s">
        <v>219</v>
      </c>
    </row>
    <row r="142" spans="1:1" x14ac:dyDescent="0.25">
      <c r="A142" t="s">
        <v>220</v>
      </c>
    </row>
    <row r="143" spans="1:1" x14ac:dyDescent="0.25">
      <c r="A143" t="s">
        <v>221</v>
      </c>
    </row>
    <row r="144" spans="1:1" x14ac:dyDescent="0.25">
      <c r="A144" t="s">
        <v>222</v>
      </c>
    </row>
    <row r="145" spans="1:1" x14ac:dyDescent="0.25">
      <c r="A145" t="s">
        <v>223</v>
      </c>
    </row>
    <row r="146" spans="1:1" x14ac:dyDescent="0.25">
      <c r="A146" t="s">
        <v>224</v>
      </c>
    </row>
    <row r="147" spans="1:1" x14ac:dyDescent="0.25">
      <c r="A147" t="s">
        <v>225</v>
      </c>
    </row>
    <row r="148" spans="1:1" x14ac:dyDescent="0.25">
      <c r="A148" t="s">
        <v>226</v>
      </c>
    </row>
    <row r="149" spans="1:1" x14ac:dyDescent="0.25">
      <c r="A149" t="s">
        <v>227</v>
      </c>
    </row>
    <row r="150" spans="1:1" x14ac:dyDescent="0.25">
      <c r="A150" t="s">
        <v>228</v>
      </c>
    </row>
    <row r="151" spans="1:1" x14ac:dyDescent="0.25">
      <c r="A151" t="s">
        <v>229</v>
      </c>
    </row>
    <row r="152" spans="1:1" x14ac:dyDescent="0.25">
      <c r="A152" t="s">
        <v>230</v>
      </c>
    </row>
    <row r="153" spans="1:1" x14ac:dyDescent="0.25">
      <c r="A153" t="s">
        <v>231</v>
      </c>
    </row>
    <row r="154" spans="1:1" x14ac:dyDescent="0.25">
      <c r="A154" t="s">
        <v>232</v>
      </c>
    </row>
    <row r="155" spans="1:1" x14ac:dyDescent="0.25">
      <c r="A155" t="s">
        <v>233</v>
      </c>
    </row>
    <row r="156" spans="1:1" x14ac:dyDescent="0.25">
      <c r="A156" t="s">
        <v>234</v>
      </c>
    </row>
    <row r="157" spans="1:1" x14ac:dyDescent="0.25">
      <c r="A157" t="s">
        <v>235</v>
      </c>
    </row>
    <row r="158" spans="1:1" x14ac:dyDescent="0.25">
      <c r="A158" t="s">
        <v>236</v>
      </c>
    </row>
    <row r="159" spans="1:1" x14ac:dyDescent="0.25">
      <c r="A159" t="s">
        <v>237</v>
      </c>
    </row>
    <row r="160" spans="1:1" x14ac:dyDescent="0.25">
      <c r="A160" t="s">
        <v>238</v>
      </c>
    </row>
    <row r="161" spans="1:1" x14ac:dyDescent="0.25">
      <c r="A161" t="s">
        <v>239</v>
      </c>
    </row>
    <row r="162" spans="1:1" x14ac:dyDescent="0.25">
      <c r="A162" t="s">
        <v>240</v>
      </c>
    </row>
    <row r="163" spans="1:1" x14ac:dyDescent="0.25">
      <c r="A163" t="s">
        <v>241</v>
      </c>
    </row>
    <row r="164" spans="1:1" x14ac:dyDescent="0.25">
      <c r="A164" t="s">
        <v>242</v>
      </c>
    </row>
    <row r="165" spans="1:1" x14ac:dyDescent="0.25">
      <c r="A165" t="s">
        <v>243</v>
      </c>
    </row>
    <row r="166" spans="1:1" x14ac:dyDescent="0.25">
      <c r="A166" t="s">
        <v>244</v>
      </c>
    </row>
    <row r="167" spans="1:1" x14ac:dyDescent="0.25">
      <c r="A167" t="s">
        <v>245</v>
      </c>
    </row>
    <row r="168" spans="1:1" x14ac:dyDescent="0.25">
      <c r="A168" t="s">
        <v>246</v>
      </c>
    </row>
    <row r="169" spans="1:1" x14ac:dyDescent="0.25">
      <c r="A169" t="s">
        <v>247</v>
      </c>
    </row>
    <row r="170" spans="1:1" x14ac:dyDescent="0.25">
      <c r="A170" t="s">
        <v>248</v>
      </c>
    </row>
    <row r="171" spans="1:1" x14ac:dyDescent="0.25">
      <c r="A171" t="s">
        <v>249</v>
      </c>
    </row>
    <row r="172" spans="1:1" x14ac:dyDescent="0.25">
      <c r="A172" t="s">
        <v>250</v>
      </c>
    </row>
    <row r="173" spans="1:1" x14ac:dyDescent="0.25">
      <c r="A173" t="s">
        <v>251</v>
      </c>
    </row>
    <row r="174" spans="1:1" x14ac:dyDescent="0.25">
      <c r="A174" t="s">
        <v>252</v>
      </c>
    </row>
    <row r="175" spans="1:1" x14ac:dyDescent="0.25">
      <c r="A175" t="s">
        <v>253</v>
      </c>
    </row>
    <row r="176" spans="1:1" x14ac:dyDescent="0.25">
      <c r="A176" t="s">
        <v>254</v>
      </c>
    </row>
    <row r="177" spans="1:1" x14ac:dyDescent="0.25">
      <c r="A177" t="s">
        <v>255</v>
      </c>
    </row>
    <row r="178" spans="1:1" x14ac:dyDescent="0.25">
      <c r="A178" t="s">
        <v>256</v>
      </c>
    </row>
    <row r="179" spans="1:1" x14ac:dyDescent="0.25">
      <c r="A179" t="s">
        <v>257</v>
      </c>
    </row>
    <row r="180" spans="1:1" x14ac:dyDescent="0.25">
      <c r="A180" t="s">
        <v>258</v>
      </c>
    </row>
    <row r="181" spans="1:1" x14ac:dyDescent="0.25">
      <c r="A181" t="s">
        <v>259</v>
      </c>
    </row>
    <row r="182" spans="1:1" x14ac:dyDescent="0.25">
      <c r="A182" t="s">
        <v>260</v>
      </c>
    </row>
    <row r="183" spans="1:1" x14ac:dyDescent="0.25">
      <c r="A183" t="s">
        <v>261</v>
      </c>
    </row>
    <row r="184" spans="1:1" x14ac:dyDescent="0.25">
      <c r="A184" t="s">
        <v>262</v>
      </c>
    </row>
    <row r="185" spans="1:1" x14ac:dyDescent="0.25">
      <c r="A185" t="s">
        <v>263</v>
      </c>
    </row>
    <row r="186" spans="1:1" x14ac:dyDescent="0.25">
      <c r="A186" t="s">
        <v>264</v>
      </c>
    </row>
    <row r="187" spans="1:1" x14ac:dyDescent="0.25">
      <c r="A187" t="s">
        <v>265</v>
      </c>
    </row>
    <row r="188" spans="1:1" x14ac:dyDescent="0.25">
      <c r="A188" t="s">
        <v>266</v>
      </c>
    </row>
    <row r="189" spans="1:1" x14ac:dyDescent="0.25">
      <c r="A189" t="s">
        <v>267</v>
      </c>
    </row>
    <row r="190" spans="1:1" x14ac:dyDescent="0.25">
      <c r="A190" t="s">
        <v>268</v>
      </c>
    </row>
    <row r="191" spans="1:1" x14ac:dyDescent="0.25">
      <c r="A191" t="s">
        <v>269</v>
      </c>
    </row>
    <row r="192" spans="1:1" x14ac:dyDescent="0.25">
      <c r="A192" t="s">
        <v>270</v>
      </c>
    </row>
    <row r="193" spans="1:1" x14ac:dyDescent="0.25">
      <c r="A193" t="s">
        <v>271</v>
      </c>
    </row>
    <row r="194" spans="1:1" x14ac:dyDescent="0.25">
      <c r="A194" t="s">
        <v>272</v>
      </c>
    </row>
    <row r="195" spans="1:1" x14ac:dyDescent="0.25">
      <c r="A195" t="s">
        <v>273</v>
      </c>
    </row>
    <row r="196" spans="1:1" x14ac:dyDescent="0.25">
      <c r="A196" t="s">
        <v>274</v>
      </c>
    </row>
    <row r="197" spans="1:1" x14ac:dyDescent="0.25">
      <c r="A197" t="s">
        <v>275</v>
      </c>
    </row>
    <row r="198" spans="1:1" x14ac:dyDescent="0.25">
      <c r="A198" t="s">
        <v>276</v>
      </c>
    </row>
    <row r="199" spans="1:1" x14ac:dyDescent="0.25">
      <c r="A199" t="s">
        <v>277</v>
      </c>
    </row>
    <row r="200" spans="1:1" x14ac:dyDescent="0.25">
      <c r="A200" t="s">
        <v>278</v>
      </c>
    </row>
    <row r="201" spans="1:1" x14ac:dyDescent="0.25">
      <c r="A201" t="s">
        <v>279</v>
      </c>
    </row>
    <row r="202" spans="1:1" x14ac:dyDescent="0.25">
      <c r="A202" t="s">
        <v>280</v>
      </c>
    </row>
    <row r="203" spans="1:1" x14ac:dyDescent="0.25">
      <c r="A203" t="s">
        <v>281</v>
      </c>
    </row>
    <row r="204" spans="1:1" x14ac:dyDescent="0.25">
      <c r="A204" t="s">
        <v>282</v>
      </c>
    </row>
    <row r="205" spans="1:1" x14ac:dyDescent="0.25">
      <c r="A205" t="s">
        <v>283</v>
      </c>
    </row>
    <row r="206" spans="1:1" x14ac:dyDescent="0.25">
      <c r="A206" t="s">
        <v>284</v>
      </c>
    </row>
    <row r="207" spans="1:1" x14ac:dyDescent="0.25">
      <c r="A207" t="s">
        <v>285</v>
      </c>
    </row>
    <row r="208" spans="1:1" x14ac:dyDescent="0.25">
      <c r="A208" t="s">
        <v>286</v>
      </c>
    </row>
    <row r="209" spans="1:1" x14ac:dyDescent="0.25">
      <c r="A209" t="s">
        <v>287</v>
      </c>
    </row>
    <row r="210" spans="1:1" x14ac:dyDescent="0.25">
      <c r="A210" t="s">
        <v>288</v>
      </c>
    </row>
    <row r="211" spans="1:1" x14ac:dyDescent="0.25">
      <c r="A211" t="s">
        <v>289</v>
      </c>
    </row>
    <row r="212" spans="1:1" x14ac:dyDescent="0.25">
      <c r="A212" t="s">
        <v>290</v>
      </c>
    </row>
    <row r="213" spans="1:1" x14ac:dyDescent="0.25">
      <c r="A213" t="s">
        <v>291</v>
      </c>
    </row>
    <row r="214" spans="1:1" x14ac:dyDescent="0.25">
      <c r="A214" t="s">
        <v>292</v>
      </c>
    </row>
    <row r="215" spans="1:1" x14ac:dyDescent="0.25">
      <c r="A215" t="s">
        <v>293</v>
      </c>
    </row>
    <row r="216" spans="1:1" x14ac:dyDescent="0.25">
      <c r="A216" t="s">
        <v>294</v>
      </c>
    </row>
    <row r="217" spans="1:1" x14ac:dyDescent="0.25">
      <c r="A217" t="s">
        <v>295</v>
      </c>
    </row>
    <row r="218" spans="1:1" x14ac:dyDescent="0.25">
      <c r="A218" t="s">
        <v>296</v>
      </c>
    </row>
    <row r="219" spans="1:1" x14ac:dyDescent="0.25">
      <c r="A219" t="s">
        <v>297</v>
      </c>
    </row>
    <row r="220" spans="1:1" x14ac:dyDescent="0.25">
      <c r="A220" t="s">
        <v>298</v>
      </c>
    </row>
    <row r="221" spans="1:1" x14ac:dyDescent="0.25">
      <c r="A221" t="s">
        <v>299</v>
      </c>
    </row>
    <row r="222" spans="1:1" x14ac:dyDescent="0.25">
      <c r="A222" t="s">
        <v>300</v>
      </c>
    </row>
    <row r="223" spans="1:1" x14ac:dyDescent="0.25">
      <c r="A223" t="s">
        <v>301</v>
      </c>
    </row>
    <row r="224" spans="1:1" x14ac:dyDescent="0.25">
      <c r="A224" t="s">
        <v>302</v>
      </c>
    </row>
    <row r="225" spans="1:1" x14ac:dyDescent="0.25">
      <c r="A225" t="s">
        <v>303</v>
      </c>
    </row>
    <row r="226" spans="1:1" x14ac:dyDescent="0.25">
      <c r="A226" t="s">
        <v>304</v>
      </c>
    </row>
    <row r="227" spans="1:1" x14ac:dyDescent="0.25">
      <c r="A227" t="s">
        <v>305</v>
      </c>
    </row>
    <row r="228" spans="1:1" x14ac:dyDescent="0.25">
      <c r="A228" t="s">
        <v>306</v>
      </c>
    </row>
    <row r="229" spans="1:1" x14ac:dyDescent="0.25">
      <c r="A229" t="s">
        <v>307</v>
      </c>
    </row>
    <row r="230" spans="1:1" x14ac:dyDescent="0.25">
      <c r="A230" t="s">
        <v>308</v>
      </c>
    </row>
    <row r="231" spans="1:1" x14ac:dyDescent="0.25">
      <c r="A231" t="s">
        <v>309</v>
      </c>
    </row>
    <row r="232" spans="1:1" x14ac:dyDescent="0.25">
      <c r="A232" t="s">
        <v>310</v>
      </c>
    </row>
    <row r="233" spans="1:1" x14ac:dyDescent="0.25">
      <c r="A233" t="s">
        <v>311</v>
      </c>
    </row>
    <row r="234" spans="1:1" x14ac:dyDescent="0.25">
      <c r="A234" t="s">
        <v>312</v>
      </c>
    </row>
    <row r="235" spans="1:1" x14ac:dyDescent="0.25">
      <c r="A235" t="s">
        <v>313</v>
      </c>
    </row>
    <row r="236" spans="1:1" x14ac:dyDescent="0.25">
      <c r="A236" t="s">
        <v>314</v>
      </c>
    </row>
    <row r="237" spans="1:1" x14ac:dyDescent="0.25">
      <c r="A237" t="s">
        <v>315</v>
      </c>
    </row>
    <row r="238" spans="1:1" x14ac:dyDescent="0.25">
      <c r="A238" t="s">
        <v>316</v>
      </c>
    </row>
    <row r="239" spans="1:1" x14ac:dyDescent="0.25">
      <c r="A239" t="s">
        <v>317</v>
      </c>
    </row>
    <row r="240" spans="1:1" x14ac:dyDescent="0.25">
      <c r="A240" t="s">
        <v>318</v>
      </c>
    </row>
    <row r="241" spans="1:19" x14ac:dyDescent="0.25">
      <c r="A241" t="s">
        <v>319</v>
      </c>
    </row>
    <row r="242" spans="1:19" x14ac:dyDescent="0.25">
      <c r="A242" t="s">
        <v>320</v>
      </c>
    </row>
    <row r="243" spans="1:19" x14ac:dyDescent="0.25">
      <c r="A243" t="s">
        <v>321</v>
      </c>
      <c r="B243">
        <v>1</v>
      </c>
      <c r="R243">
        <v>1</v>
      </c>
      <c r="S243">
        <v>1</v>
      </c>
    </row>
    <row r="244" spans="1:19" x14ac:dyDescent="0.25">
      <c r="A244" t="s">
        <v>322</v>
      </c>
    </row>
    <row r="245" spans="1:19" x14ac:dyDescent="0.25">
      <c r="A245" t="s">
        <v>323</v>
      </c>
    </row>
    <row r="246" spans="1:19" x14ac:dyDescent="0.25">
      <c r="A246" t="s">
        <v>324</v>
      </c>
    </row>
    <row r="247" spans="1:19" x14ac:dyDescent="0.25">
      <c r="A247" t="s">
        <v>325</v>
      </c>
    </row>
    <row r="248" spans="1:19" x14ac:dyDescent="0.25">
      <c r="A248" t="s">
        <v>326</v>
      </c>
    </row>
    <row r="249" spans="1:19" x14ac:dyDescent="0.25">
      <c r="A249" t="s">
        <v>327</v>
      </c>
    </row>
    <row r="250" spans="1:19" x14ac:dyDescent="0.25">
      <c r="A250" t="s">
        <v>328</v>
      </c>
    </row>
    <row r="251" spans="1:19" x14ac:dyDescent="0.25">
      <c r="A251" t="s">
        <v>329</v>
      </c>
    </row>
    <row r="252" spans="1:19" x14ac:dyDescent="0.25">
      <c r="A252" t="s">
        <v>330</v>
      </c>
    </row>
    <row r="253" spans="1:19" x14ac:dyDescent="0.25">
      <c r="A253" t="s">
        <v>331</v>
      </c>
    </row>
    <row r="254" spans="1:19" x14ac:dyDescent="0.25">
      <c r="A254" t="s">
        <v>332</v>
      </c>
    </row>
    <row r="255" spans="1:19" x14ac:dyDescent="0.25">
      <c r="A255" t="s">
        <v>333</v>
      </c>
    </row>
    <row r="256" spans="1:19" x14ac:dyDescent="0.25">
      <c r="A256" t="s">
        <v>334</v>
      </c>
    </row>
    <row r="257" spans="1:36" x14ac:dyDescent="0.25">
      <c r="A257" t="s">
        <v>335</v>
      </c>
      <c r="B257">
        <v>1</v>
      </c>
      <c r="W257">
        <v>1</v>
      </c>
      <c r="AH257">
        <v>1</v>
      </c>
    </row>
    <row r="258" spans="1:36" x14ac:dyDescent="0.25">
      <c r="A258" t="s">
        <v>336</v>
      </c>
      <c r="B258">
        <v>1</v>
      </c>
      <c r="Y258">
        <v>1</v>
      </c>
      <c r="AJ258">
        <v>1</v>
      </c>
    </row>
    <row r="259" spans="1:36" x14ac:dyDescent="0.25">
      <c r="A259" t="s">
        <v>337</v>
      </c>
    </row>
    <row r="260" spans="1:36" x14ac:dyDescent="0.25">
      <c r="A260" t="s">
        <v>338</v>
      </c>
    </row>
    <row r="261" spans="1:36" x14ac:dyDescent="0.25">
      <c r="A261" t="s">
        <v>339</v>
      </c>
    </row>
    <row r="262" spans="1:36" x14ac:dyDescent="0.25">
      <c r="A262" t="s">
        <v>340</v>
      </c>
    </row>
    <row r="263" spans="1:36" x14ac:dyDescent="0.25">
      <c r="A263" t="s">
        <v>341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2611A-3FF1-4611-9FB1-B8550C19C3E4}">
  <sheetPr codeName="Sheet19">
    <tabColor theme="1"/>
  </sheetPr>
  <dimension ref="A1:E55"/>
  <sheetViews>
    <sheetView workbookViewId="0">
      <selection activeCell="F8" sqref="F8"/>
    </sheetView>
  </sheetViews>
  <sheetFormatPr defaultRowHeight="15" x14ac:dyDescent="0.25"/>
  <cols>
    <col min="1" max="1" width="12.42578125" bestFit="1" customWidth="1"/>
    <col min="2" max="2" width="17.28515625" bestFit="1" customWidth="1"/>
    <col min="3" max="3" width="13.85546875" bestFit="1" customWidth="1"/>
    <col min="4" max="4" width="15.5703125" customWidth="1"/>
    <col min="7" max="7" width="13.42578125" bestFit="1" customWidth="1"/>
    <col min="8" max="8" width="13.85546875" bestFit="1" customWidth="1"/>
    <col min="9" max="9" width="13.28515625" customWidth="1"/>
  </cols>
  <sheetData>
    <row r="1" spans="1:4" x14ac:dyDescent="0.25">
      <c r="A1" t="s">
        <v>359</v>
      </c>
      <c r="B1" t="s">
        <v>356</v>
      </c>
      <c r="C1" t="s">
        <v>358</v>
      </c>
      <c r="D1" t="s">
        <v>360</v>
      </c>
    </row>
    <row r="2" spans="1:4" x14ac:dyDescent="0.25">
      <c r="A2" t="s">
        <v>425</v>
      </c>
      <c r="B2" t="s">
        <v>426</v>
      </c>
      <c r="C2" t="s">
        <v>121</v>
      </c>
      <c r="D2" s="17" t="s">
        <v>495</v>
      </c>
    </row>
    <row r="3" spans="1:4" x14ac:dyDescent="0.25">
      <c r="A3" t="s">
        <v>425</v>
      </c>
      <c r="B3" t="s">
        <v>426</v>
      </c>
      <c r="C3" t="s">
        <v>121</v>
      </c>
      <c r="D3" s="17" t="s">
        <v>496</v>
      </c>
    </row>
    <row r="4" spans="1:4" x14ac:dyDescent="0.25">
      <c r="A4" t="s">
        <v>425</v>
      </c>
      <c r="B4" t="s">
        <v>426</v>
      </c>
      <c r="C4" t="s">
        <v>427</v>
      </c>
      <c r="D4" t="s">
        <v>427</v>
      </c>
    </row>
    <row r="5" spans="1:4" x14ac:dyDescent="0.25">
      <c r="A5" t="s">
        <v>425</v>
      </c>
      <c r="B5" t="s">
        <v>426</v>
      </c>
      <c r="C5" t="s">
        <v>123</v>
      </c>
      <c r="D5" s="17" t="s">
        <v>497</v>
      </c>
    </row>
    <row r="6" spans="1:4" x14ac:dyDescent="0.25">
      <c r="A6" t="s">
        <v>425</v>
      </c>
      <c r="B6" t="s">
        <v>426</v>
      </c>
      <c r="C6" t="s">
        <v>123</v>
      </c>
      <c r="D6" s="17" t="s">
        <v>498</v>
      </c>
    </row>
    <row r="7" spans="1:4" x14ac:dyDescent="0.25">
      <c r="A7" t="s">
        <v>425</v>
      </c>
      <c r="B7" t="s">
        <v>426</v>
      </c>
      <c r="C7" t="s">
        <v>428</v>
      </c>
      <c r="D7" t="s">
        <v>428</v>
      </c>
    </row>
    <row r="8" spans="1:4" x14ac:dyDescent="0.25">
      <c r="A8" t="s">
        <v>425</v>
      </c>
      <c r="B8" t="s">
        <v>426</v>
      </c>
      <c r="C8" t="s">
        <v>125</v>
      </c>
      <c r="D8" s="17" t="s">
        <v>499</v>
      </c>
    </row>
    <row r="9" spans="1:4" x14ac:dyDescent="0.25">
      <c r="A9" t="s">
        <v>425</v>
      </c>
      <c r="B9" t="s">
        <v>426</v>
      </c>
      <c r="C9" t="s">
        <v>125</v>
      </c>
      <c r="D9" s="17" t="s">
        <v>500</v>
      </c>
    </row>
    <row r="10" spans="1:4" x14ac:dyDescent="0.25">
      <c r="A10" t="s">
        <v>425</v>
      </c>
      <c r="B10" t="s">
        <v>429</v>
      </c>
      <c r="C10" t="s">
        <v>113</v>
      </c>
      <c r="D10" s="16" t="s">
        <v>501</v>
      </c>
    </row>
    <row r="11" spans="1:4" x14ac:dyDescent="0.25">
      <c r="A11" t="s">
        <v>425</v>
      </c>
      <c r="B11" t="s">
        <v>430</v>
      </c>
      <c r="C11" t="s">
        <v>115</v>
      </c>
      <c r="D11" s="17" t="s">
        <v>494</v>
      </c>
    </row>
    <row r="12" spans="1:4" x14ac:dyDescent="0.25">
      <c r="A12" t="s">
        <v>425</v>
      </c>
      <c r="B12" t="s">
        <v>431</v>
      </c>
      <c r="C12" t="s">
        <v>140</v>
      </c>
      <c r="D12" s="17" t="s">
        <v>493</v>
      </c>
    </row>
    <row r="13" spans="1:4" x14ac:dyDescent="0.25">
      <c r="A13" t="s">
        <v>425</v>
      </c>
      <c r="B13" t="s">
        <v>433</v>
      </c>
      <c r="C13" t="s">
        <v>101</v>
      </c>
      <c r="D13" s="17" t="s">
        <v>492</v>
      </c>
    </row>
    <row r="14" spans="1:4" x14ac:dyDescent="0.25">
      <c r="A14" t="s">
        <v>425</v>
      </c>
      <c r="B14" t="s">
        <v>431</v>
      </c>
      <c r="C14" t="s">
        <v>432</v>
      </c>
      <c r="D14" s="17" t="s">
        <v>492</v>
      </c>
    </row>
    <row r="15" spans="1:4" x14ac:dyDescent="0.25">
      <c r="A15" t="s">
        <v>425</v>
      </c>
      <c r="B15" t="s">
        <v>434</v>
      </c>
      <c r="C15" t="s">
        <v>103</v>
      </c>
      <c r="D15" s="17" t="s">
        <v>491</v>
      </c>
    </row>
    <row r="16" spans="1:4" x14ac:dyDescent="0.25">
      <c r="A16" t="s">
        <v>425</v>
      </c>
      <c r="B16" t="s">
        <v>435</v>
      </c>
      <c r="C16" t="s">
        <v>436</v>
      </c>
      <c r="D16" t="s">
        <v>436</v>
      </c>
    </row>
    <row r="17" spans="1:5" x14ac:dyDescent="0.25">
      <c r="A17" t="s">
        <v>437</v>
      </c>
      <c r="B17" t="s">
        <v>426</v>
      </c>
      <c r="C17" t="s">
        <v>127</v>
      </c>
      <c r="D17" s="17" t="s">
        <v>495</v>
      </c>
    </row>
    <row r="18" spans="1:5" x14ac:dyDescent="0.25">
      <c r="A18" t="s">
        <v>437</v>
      </c>
      <c r="B18" t="s">
        <v>426</v>
      </c>
      <c r="C18" t="s">
        <v>127</v>
      </c>
      <c r="D18" s="17" t="s">
        <v>496</v>
      </c>
    </row>
    <row r="19" spans="1:5" x14ac:dyDescent="0.25">
      <c r="A19" t="s">
        <v>437</v>
      </c>
      <c r="B19" t="s">
        <v>426</v>
      </c>
      <c r="C19" t="s">
        <v>438</v>
      </c>
      <c r="D19" t="s">
        <v>438</v>
      </c>
    </row>
    <row r="20" spans="1:5" x14ac:dyDescent="0.25">
      <c r="A20" t="s">
        <v>437</v>
      </c>
      <c r="B20" t="s">
        <v>426</v>
      </c>
      <c r="C20" t="s">
        <v>129</v>
      </c>
      <c r="D20" s="17" t="s">
        <v>497</v>
      </c>
    </row>
    <row r="21" spans="1:5" x14ac:dyDescent="0.25">
      <c r="A21" t="s">
        <v>437</v>
      </c>
      <c r="B21" t="s">
        <v>426</v>
      </c>
      <c r="C21" t="s">
        <v>129</v>
      </c>
      <c r="D21" s="17" t="s">
        <v>498</v>
      </c>
    </row>
    <row r="22" spans="1:5" x14ac:dyDescent="0.25">
      <c r="A22" t="s">
        <v>437</v>
      </c>
      <c r="B22" t="s">
        <v>426</v>
      </c>
      <c r="C22" t="s">
        <v>439</v>
      </c>
      <c r="D22" t="s">
        <v>439</v>
      </c>
    </row>
    <row r="23" spans="1:5" x14ac:dyDescent="0.25">
      <c r="A23" t="s">
        <v>437</v>
      </c>
      <c r="B23" t="s">
        <v>429</v>
      </c>
      <c r="C23" t="s">
        <v>117</v>
      </c>
      <c r="D23" s="16" t="s">
        <v>502</v>
      </c>
    </row>
    <row r="24" spans="1:5" x14ac:dyDescent="0.25">
      <c r="A24" t="s">
        <v>437</v>
      </c>
      <c r="B24" t="s">
        <v>440</v>
      </c>
      <c r="C24" t="s">
        <v>119</v>
      </c>
      <c r="D24" s="16" t="s">
        <v>503</v>
      </c>
    </row>
    <row r="25" spans="1:5" x14ac:dyDescent="0.25">
      <c r="A25" t="s">
        <v>437</v>
      </c>
      <c r="B25" t="s">
        <v>441</v>
      </c>
      <c r="C25" t="s">
        <v>105</v>
      </c>
      <c r="D25" s="16" t="s">
        <v>489</v>
      </c>
    </row>
    <row r="26" spans="1:5" x14ac:dyDescent="0.25">
      <c r="A26" t="s">
        <v>437</v>
      </c>
      <c r="B26" t="s">
        <v>442</v>
      </c>
      <c r="C26" t="s">
        <v>107</v>
      </c>
      <c r="D26" s="17" t="s">
        <v>489</v>
      </c>
    </row>
    <row r="27" spans="1:5" x14ac:dyDescent="0.25">
      <c r="A27" t="s">
        <v>437</v>
      </c>
      <c r="B27" t="s">
        <v>443</v>
      </c>
      <c r="C27" t="s">
        <v>109</v>
      </c>
      <c r="D27" s="16" t="s">
        <v>490</v>
      </c>
    </row>
    <row r="28" spans="1:5" x14ac:dyDescent="0.25">
      <c r="A28" t="s">
        <v>437</v>
      </c>
      <c r="B28" t="s">
        <v>444</v>
      </c>
      <c r="C28" t="s">
        <v>111</v>
      </c>
      <c r="D28" s="17" t="s">
        <v>490</v>
      </c>
    </row>
    <row r="29" spans="1:5" x14ac:dyDescent="0.25">
      <c r="A29" t="s">
        <v>437</v>
      </c>
      <c r="B29" t="s">
        <v>435</v>
      </c>
      <c r="C29" t="s">
        <v>445</v>
      </c>
      <c r="D29" t="s">
        <v>445</v>
      </c>
    </row>
    <row r="30" spans="1:5" x14ac:dyDescent="0.25">
      <c r="A30" t="s">
        <v>446</v>
      </c>
      <c r="B30" t="s">
        <v>447</v>
      </c>
      <c r="C30" t="s">
        <v>448</v>
      </c>
      <c r="D30" t="s">
        <v>448</v>
      </c>
    </row>
    <row r="31" spans="1:5" x14ac:dyDescent="0.25">
      <c r="A31" t="s">
        <v>446</v>
      </c>
      <c r="B31" t="s">
        <v>449</v>
      </c>
      <c r="C31" t="s">
        <v>450</v>
      </c>
      <c r="D31" t="s">
        <v>450</v>
      </c>
    </row>
    <row r="32" spans="1:5" x14ac:dyDescent="0.25">
      <c r="A32" t="s">
        <v>446</v>
      </c>
      <c r="B32" t="s">
        <v>357</v>
      </c>
      <c r="C32" t="s">
        <v>451</v>
      </c>
      <c r="D32" t="s">
        <v>451</v>
      </c>
      <c r="E32" t="s">
        <v>504</v>
      </c>
    </row>
    <row r="33" spans="1:4" x14ac:dyDescent="0.25">
      <c r="A33" t="s">
        <v>446</v>
      </c>
      <c r="B33" t="s">
        <v>452</v>
      </c>
      <c r="C33" t="s">
        <v>453</v>
      </c>
      <c r="D33" t="s">
        <v>453</v>
      </c>
    </row>
    <row r="34" spans="1:4" x14ac:dyDescent="0.25">
      <c r="A34" t="s">
        <v>446</v>
      </c>
      <c r="B34" t="s">
        <v>452</v>
      </c>
      <c r="C34" t="s">
        <v>454</v>
      </c>
      <c r="D34" t="s">
        <v>454</v>
      </c>
    </row>
    <row r="35" spans="1:4" x14ac:dyDescent="0.25">
      <c r="A35" t="s">
        <v>446</v>
      </c>
      <c r="B35" t="s">
        <v>452</v>
      </c>
      <c r="C35" t="s">
        <v>455</v>
      </c>
      <c r="D35" t="s">
        <v>455</v>
      </c>
    </row>
    <row r="36" spans="1:4" x14ac:dyDescent="0.25">
      <c r="A36" t="s">
        <v>446</v>
      </c>
      <c r="B36" t="s">
        <v>452</v>
      </c>
      <c r="C36" t="s">
        <v>456</v>
      </c>
      <c r="D36" t="s">
        <v>456</v>
      </c>
    </row>
    <row r="37" spans="1:4" x14ac:dyDescent="0.25">
      <c r="A37" t="s">
        <v>446</v>
      </c>
      <c r="B37" t="s">
        <v>452</v>
      </c>
      <c r="C37" t="s">
        <v>457</v>
      </c>
      <c r="D37" t="s">
        <v>457</v>
      </c>
    </row>
    <row r="38" spans="1:4" x14ac:dyDescent="0.25">
      <c r="A38" t="s">
        <v>458</v>
      </c>
      <c r="B38" t="s">
        <v>459</v>
      </c>
      <c r="C38" t="s">
        <v>460</v>
      </c>
      <c r="D38" t="s">
        <v>460</v>
      </c>
    </row>
    <row r="39" spans="1:4" x14ac:dyDescent="0.25">
      <c r="A39" t="s">
        <v>458</v>
      </c>
      <c r="B39" t="s">
        <v>461</v>
      </c>
      <c r="C39" t="s">
        <v>462</v>
      </c>
      <c r="D39" t="s">
        <v>462</v>
      </c>
    </row>
    <row r="40" spans="1:4" x14ac:dyDescent="0.25">
      <c r="A40" t="s">
        <v>463</v>
      </c>
      <c r="B40" t="s">
        <v>449</v>
      </c>
      <c r="C40" t="s">
        <v>464</v>
      </c>
      <c r="D40" t="s">
        <v>464</v>
      </c>
    </row>
    <row r="41" spans="1:4" x14ac:dyDescent="0.25">
      <c r="A41" t="s">
        <v>463</v>
      </c>
      <c r="B41" t="s">
        <v>357</v>
      </c>
      <c r="C41" t="s">
        <v>465</v>
      </c>
      <c r="D41" t="s">
        <v>465</v>
      </c>
    </row>
    <row r="42" spans="1:4" x14ac:dyDescent="0.25">
      <c r="A42" t="s">
        <v>466</v>
      </c>
      <c r="B42" t="s">
        <v>467</v>
      </c>
      <c r="C42" t="s">
        <v>468</v>
      </c>
      <c r="D42" t="s">
        <v>468</v>
      </c>
    </row>
    <row r="43" spans="1:4" x14ac:dyDescent="0.25">
      <c r="A43" t="s">
        <v>466</v>
      </c>
      <c r="B43" t="s">
        <v>357</v>
      </c>
      <c r="C43" t="s">
        <v>469</v>
      </c>
      <c r="D43" t="s">
        <v>469</v>
      </c>
    </row>
    <row r="44" spans="1:4" x14ac:dyDescent="0.25">
      <c r="A44" t="s">
        <v>466</v>
      </c>
      <c r="B44" t="s">
        <v>435</v>
      </c>
      <c r="C44" t="s">
        <v>470</v>
      </c>
      <c r="D44" t="s">
        <v>470</v>
      </c>
    </row>
    <row r="45" spans="1:4" x14ac:dyDescent="0.25">
      <c r="A45" t="s">
        <v>471</v>
      </c>
      <c r="B45" t="s">
        <v>357</v>
      </c>
      <c r="C45" t="s">
        <v>472</v>
      </c>
      <c r="D45" t="s">
        <v>472</v>
      </c>
    </row>
    <row r="46" spans="1:4" x14ac:dyDescent="0.25">
      <c r="A46" t="s">
        <v>471</v>
      </c>
      <c r="B46" t="s">
        <v>452</v>
      </c>
      <c r="C46" t="s">
        <v>473</v>
      </c>
      <c r="D46" t="s">
        <v>473</v>
      </c>
    </row>
    <row r="47" spans="1:4" x14ac:dyDescent="0.25">
      <c r="A47" t="s">
        <v>471</v>
      </c>
      <c r="B47" t="s">
        <v>452</v>
      </c>
      <c r="C47" t="s">
        <v>474</v>
      </c>
      <c r="D47" t="s">
        <v>474</v>
      </c>
    </row>
    <row r="48" spans="1:4" x14ac:dyDescent="0.25">
      <c r="A48" t="s">
        <v>475</v>
      </c>
      <c r="B48" t="s">
        <v>357</v>
      </c>
      <c r="C48" t="s">
        <v>476</v>
      </c>
      <c r="D48" t="s">
        <v>476</v>
      </c>
    </row>
    <row r="49" spans="1:4" x14ac:dyDescent="0.25">
      <c r="A49" t="s">
        <v>475</v>
      </c>
      <c r="B49" t="s">
        <v>452</v>
      </c>
      <c r="C49" t="s">
        <v>477</v>
      </c>
      <c r="D49" t="s">
        <v>477</v>
      </c>
    </row>
    <row r="50" spans="1:4" x14ac:dyDescent="0.25">
      <c r="A50" t="s">
        <v>475</v>
      </c>
      <c r="B50" t="s">
        <v>452</v>
      </c>
      <c r="C50" t="s">
        <v>478</v>
      </c>
      <c r="D50" t="s">
        <v>478</v>
      </c>
    </row>
    <row r="51" spans="1:4" x14ac:dyDescent="0.25">
      <c r="A51" t="s">
        <v>479</v>
      </c>
      <c r="B51" t="s">
        <v>357</v>
      </c>
      <c r="C51" t="s">
        <v>480</v>
      </c>
      <c r="D51" t="s">
        <v>480</v>
      </c>
    </row>
    <row r="52" spans="1:4" x14ac:dyDescent="0.25">
      <c r="A52" t="s">
        <v>479</v>
      </c>
      <c r="B52" t="s">
        <v>481</v>
      </c>
      <c r="C52" t="s">
        <v>482</v>
      </c>
      <c r="D52" t="s">
        <v>482</v>
      </c>
    </row>
    <row r="53" spans="1:4" x14ac:dyDescent="0.25">
      <c r="A53" t="s">
        <v>483</v>
      </c>
      <c r="B53" t="s">
        <v>357</v>
      </c>
      <c r="C53" t="s">
        <v>484</v>
      </c>
      <c r="D53" t="s">
        <v>484</v>
      </c>
    </row>
    <row r="54" spans="1:4" x14ac:dyDescent="0.25">
      <c r="A54" t="s">
        <v>483</v>
      </c>
      <c r="B54" t="s">
        <v>485</v>
      </c>
      <c r="C54" t="s">
        <v>486</v>
      </c>
      <c r="D54" t="s">
        <v>486</v>
      </c>
    </row>
    <row r="55" spans="1:4" x14ac:dyDescent="0.25">
      <c r="A55" t="s">
        <v>483</v>
      </c>
      <c r="B55" t="s">
        <v>487</v>
      </c>
      <c r="C55" t="s">
        <v>488</v>
      </c>
      <c r="D55" t="s">
        <v>488</v>
      </c>
    </row>
  </sheetData>
  <autoFilter ref="A1:D55" xr:uid="{8CD2611A-3FF1-4611-9FB1-B8550C19C3E4}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FCD19-1824-4A66-BEC0-42E07E3CC7CD}">
  <sheetPr codeName="Sheet3"/>
  <dimension ref="A1:AE974"/>
  <sheetViews>
    <sheetView showGridLines="0" zoomScale="70" zoomScaleNormal="70" workbookViewId="0">
      <pane ySplit="4" topLeftCell="A5" activePane="bottomLeft" state="frozen"/>
      <selection pane="bottomLeft" activeCell="A108" sqref="A108:XFD108"/>
    </sheetView>
  </sheetViews>
  <sheetFormatPr defaultRowHeight="15" x14ac:dyDescent="0.25"/>
  <cols>
    <col min="1" max="1" width="17.42578125" bestFit="1" customWidth="1"/>
    <col min="2" max="2" width="14" customWidth="1"/>
    <col min="4" max="4" width="19" customWidth="1"/>
    <col min="5" max="5" width="24" bestFit="1" customWidth="1"/>
    <col min="7" max="7" width="13" bestFit="1" customWidth="1"/>
    <col min="8" max="8" width="14.5703125" bestFit="1" customWidth="1"/>
    <col min="21" max="21" width="24.85546875" bestFit="1" customWidth="1"/>
    <col min="22" max="22" width="21" bestFit="1" customWidth="1"/>
    <col min="23" max="23" width="12.140625" customWidth="1"/>
    <col min="25" max="25" width="13.7109375" customWidth="1"/>
    <col min="26" max="26" width="20.85546875" bestFit="1" customWidth="1"/>
    <col min="27" max="27" width="7.7109375" customWidth="1"/>
    <col min="28" max="28" width="21" bestFit="1" customWidth="1"/>
    <col min="29" max="29" width="13.5703125" bestFit="1" customWidth="1"/>
    <col min="30" max="31" width="11" bestFit="1" customWidth="1"/>
  </cols>
  <sheetData>
    <row r="1" spans="1:31" x14ac:dyDescent="0.25">
      <c r="A1" s="77" t="s">
        <v>396</v>
      </c>
      <c r="B1" s="82">
        <v>46183</v>
      </c>
    </row>
    <row r="4" spans="1:31" s="81" customFormat="1" ht="42" customHeight="1" x14ac:dyDescent="0.25">
      <c r="A4" s="78" t="s">
        <v>397</v>
      </c>
      <c r="B4" s="78" t="s">
        <v>11</v>
      </c>
      <c r="C4" s="78" t="s">
        <v>398</v>
      </c>
      <c r="D4" s="78" t="s">
        <v>0</v>
      </c>
      <c r="E4" s="78" t="s">
        <v>399</v>
      </c>
      <c r="F4" s="78" t="s">
        <v>344</v>
      </c>
      <c r="G4" s="78" t="s">
        <v>400</v>
      </c>
      <c r="H4" s="78" t="s">
        <v>401</v>
      </c>
      <c r="I4" s="78" t="s">
        <v>415</v>
      </c>
      <c r="J4" s="78" t="s">
        <v>402</v>
      </c>
      <c r="K4" s="78" t="s">
        <v>403</v>
      </c>
      <c r="L4" s="78" t="s">
        <v>404</v>
      </c>
      <c r="M4" s="78" t="s">
        <v>405</v>
      </c>
      <c r="N4" s="78" t="s">
        <v>406</v>
      </c>
      <c r="O4" s="78" t="s">
        <v>407</v>
      </c>
      <c r="P4" s="78" t="s">
        <v>416</v>
      </c>
      <c r="Q4" s="78" t="s">
        <v>408</v>
      </c>
      <c r="R4" s="78" t="s">
        <v>409</v>
      </c>
      <c r="S4" s="78" t="s">
        <v>410</v>
      </c>
      <c r="T4" s="78" t="s">
        <v>411</v>
      </c>
      <c r="U4" s="78" t="s">
        <v>412</v>
      </c>
      <c r="V4" s="78" t="s">
        <v>413</v>
      </c>
      <c r="W4" s="78" t="s">
        <v>417</v>
      </c>
      <c r="X4" s="78" t="s">
        <v>418</v>
      </c>
      <c r="Y4" s="78" t="s">
        <v>419</v>
      </c>
      <c r="Z4" s="78" t="s">
        <v>414</v>
      </c>
      <c r="AA4" s="78" t="s">
        <v>420</v>
      </c>
      <c r="AB4" s="78" t="s">
        <v>421</v>
      </c>
      <c r="AC4" s="78" t="s">
        <v>422</v>
      </c>
      <c r="AD4" s="78" t="s">
        <v>423</v>
      </c>
      <c r="AE4" s="78" t="s">
        <v>424</v>
      </c>
    </row>
    <row r="5" spans="1:31" s="18" customFormat="1" ht="15.75" x14ac:dyDescent="0.25">
      <c r="A5" s="79">
        <v>3</v>
      </c>
      <c r="B5" s="90">
        <v>46160</v>
      </c>
      <c r="C5" s="86" t="s">
        <v>372</v>
      </c>
      <c r="D5" s="86" t="s">
        <v>30</v>
      </c>
      <c r="E5" s="86" t="s">
        <v>524</v>
      </c>
      <c r="F5" s="86">
        <v>33</v>
      </c>
      <c r="G5" s="86" t="s">
        <v>511</v>
      </c>
      <c r="H5" s="86" t="s">
        <v>385</v>
      </c>
      <c r="I5" s="86">
        <v>100</v>
      </c>
      <c r="J5" s="86"/>
      <c r="K5" s="86" t="s">
        <v>506</v>
      </c>
      <c r="L5" s="86"/>
      <c r="M5" s="86"/>
      <c r="N5" s="86" t="s">
        <v>525</v>
      </c>
      <c r="O5" s="86" t="s">
        <v>526</v>
      </c>
      <c r="P5" s="86" t="s">
        <v>527</v>
      </c>
      <c r="Q5" s="86" t="s">
        <v>528</v>
      </c>
      <c r="R5" s="86" t="s">
        <v>374</v>
      </c>
      <c r="S5" s="86" t="s">
        <v>386</v>
      </c>
      <c r="T5" s="86" t="s">
        <v>386</v>
      </c>
      <c r="U5" s="86" t="s">
        <v>529</v>
      </c>
      <c r="V5" s="86"/>
      <c r="W5" s="86"/>
      <c r="X5" s="86" t="s">
        <v>375</v>
      </c>
      <c r="Y5" s="86">
        <v>1</v>
      </c>
      <c r="Z5" s="86" t="s">
        <v>529</v>
      </c>
      <c r="AA5" s="86"/>
      <c r="AB5" s="86" t="s">
        <v>376</v>
      </c>
      <c r="AC5" s="86">
        <v>0</v>
      </c>
      <c r="AD5" s="86" t="s">
        <v>376</v>
      </c>
      <c r="AE5" s="86" t="s">
        <v>375</v>
      </c>
    </row>
    <row r="6" spans="1:31" s="18" customFormat="1" ht="15.75" x14ac:dyDescent="0.25">
      <c r="A6" s="80">
        <v>3</v>
      </c>
      <c r="B6" s="90">
        <v>46160</v>
      </c>
      <c r="C6" s="86" t="s">
        <v>377</v>
      </c>
      <c r="D6" s="86" t="s">
        <v>38</v>
      </c>
      <c r="E6" s="86" t="s">
        <v>530</v>
      </c>
      <c r="F6" s="86">
        <v>30</v>
      </c>
      <c r="G6" s="86" t="s">
        <v>531</v>
      </c>
      <c r="H6" s="86" t="s">
        <v>390</v>
      </c>
      <c r="I6" s="86">
        <v>230</v>
      </c>
      <c r="J6" s="86"/>
      <c r="K6" s="86" t="s">
        <v>506</v>
      </c>
      <c r="L6" s="86"/>
      <c r="M6" s="86"/>
      <c r="N6" s="86" t="s">
        <v>169</v>
      </c>
      <c r="O6" s="86" t="s">
        <v>517</v>
      </c>
      <c r="P6" s="86" t="s">
        <v>532</v>
      </c>
      <c r="Q6" s="86" t="s">
        <v>373</v>
      </c>
      <c r="R6" s="86" t="s">
        <v>374</v>
      </c>
      <c r="S6" s="86" t="s">
        <v>386</v>
      </c>
      <c r="T6" s="86" t="s">
        <v>169</v>
      </c>
      <c r="U6" s="86" t="s">
        <v>533</v>
      </c>
      <c r="V6" s="86"/>
      <c r="W6" s="86"/>
      <c r="X6" s="86" t="s">
        <v>375</v>
      </c>
      <c r="Y6" s="86">
        <v>2</v>
      </c>
      <c r="Z6" s="86" t="s">
        <v>533</v>
      </c>
      <c r="AA6" s="86"/>
      <c r="AB6" s="86" t="s">
        <v>376</v>
      </c>
      <c r="AC6" s="86">
        <v>0</v>
      </c>
      <c r="AD6" s="86" t="s">
        <v>376</v>
      </c>
      <c r="AE6" s="86" t="s">
        <v>375</v>
      </c>
    </row>
    <row r="7" spans="1:31" s="18" customFormat="1" ht="15.75" x14ac:dyDescent="0.25">
      <c r="A7" s="80">
        <v>3</v>
      </c>
      <c r="B7" s="90">
        <v>46160</v>
      </c>
      <c r="C7" s="86" t="s">
        <v>378</v>
      </c>
      <c r="D7" s="86" t="s">
        <v>30</v>
      </c>
      <c r="E7" s="86" t="s">
        <v>524</v>
      </c>
      <c r="F7" s="86">
        <v>98</v>
      </c>
      <c r="G7" s="86" t="s">
        <v>511</v>
      </c>
      <c r="H7" s="86" t="s">
        <v>385</v>
      </c>
      <c r="I7" s="86">
        <v>100</v>
      </c>
      <c r="J7" s="86"/>
      <c r="K7" s="86" t="s">
        <v>506</v>
      </c>
      <c r="L7" s="86"/>
      <c r="M7" s="86"/>
      <c r="N7" s="86" t="s">
        <v>525</v>
      </c>
      <c r="O7" s="86" t="s">
        <v>526</v>
      </c>
      <c r="P7" s="86" t="s">
        <v>527</v>
      </c>
      <c r="Q7" s="86" t="s">
        <v>528</v>
      </c>
      <c r="R7" s="86" t="s">
        <v>374</v>
      </c>
      <c r="S7" s="86" t="s">
        <v>386</v>
      </c>
      <c r="T7" s="86" t="s">
        <v>386</v>
      </c>
      <c r="U7" s="86" t="s">
        <v>534</v>
      </c>
      <c r="V7" s="86"/>
      <c r="W7" s="86"/>
      <c r="X7" s="86" t="s">
        <v>375</v>
      </c>
      <c r="Y7" s="86">
        <v>3</v>
      </c>
      <c r="Z7" s="86" t="s">
        <v>534</v>
      </c>
      <c r="AA7" s="86"/>
      <c r="AB7" s="86" t="s">
        <v>376</v>
      </c>
      <c r="AC7" s="86">
        <v>0</v>
      </c>
      <c r="AD7" s="86" t="s">
        <v>376</v>
      </c>
      <c r="AE7" s="86" t="s">
        <v>375</v>
      </c>
    </row>
    <row r="8" spans="1:31" s="18" customFormat="1" ht="15.75" x14ac:dyDescent="0.25">
      <c r="A8" s="80">
        <v>3</v>
      </c>
      <c r="B8" s="90">
        <v>46160</v>
      </c>
      <c r="C8" s="86" t="s">
        <v>379</v>
      </c>
      <c r="D8" s="86" t="s">
        <v>41</v>
      </c>
      <c r="E8" s="86" t="s">
        <v>535</v>
      </c>
      <c r="F8" s="86">
        <v>10</v>
      </c>
      <c r="G8" s="86" t="s">
        <v>536</v>
      </c>
      <c r="H8" s="86" t="s">
        <v>391</v>
      </c>
      <c r="I8" s="86">
        <v>230</v>
      </c>
      <c r="J8" s="86"/>
      <c r="K8" s="86" t="s">
        <v>506</v>
      </c>
      <c r="L8" s="86"/>
      <c r="M8" s="86"/>
      <c r="N8" s="86" t="s">
        <v>169</v>
      </c>
      <c r="O8" s="86" t="s">
        <v>537</v>
      </c>
      <c r="P8" s="86" t="s">
        <v>538</v>
      </c>
      <c r="Q8" s="86" t="s">
        <v>373</v>
      </c>
      <c r="R8" s="86" t="s">
        <v>539</v>
      </c>
      <c r="S8" s="86" t="s">
        <v>386</v>
      </c>
      <c r="T8" s="86" t="s">
        <v>169</v>
      </c>
      <c r="U8" s="86" t="s">
        <v>540</v>
      </c>
      <c r="V8" s="86"/>
      <c r="W8" s="86"/>
      <c r="X8" s="86" t="s">
        <v>375</v>
      </c>
      <c r="Y8" s="86">
        <v>4</v>
      </c>
      <c r="Z8" s="86" t="s">
        <v>540</v>
      </c>
      <c r="AA8" s="86"/>
      <c r="AB8" s="86" t="s">
        <v>376</v>
      </c>
      <c r="AC8" s="86">
        <v>0</v>
      </c>
      <c r="AD8" s="86" t="s">
        <v>376</v>
      </c>
      <c r="AE8" s="86" t="s">
        <v>375</v>
      </c>
    </row>
    <row r="9" spans="1:31" s="18" customFormat="1" ht="15.75" x14ac:dyDescent="0.25">
      <c r="A9" s="80">
        <v>3</v>
      </c>
      <c r="B9" s="90">
        <v>46160</v>
      </c>
      <c r="C9" s="86" t="s">
        <v>387</v>
      </c>
      <c r="D9" s="86" t="s">
        <v>38</v>
      </c>
      <c r="E9" s="86" t="s">
        <v>530</v>
      </c>
      <c r="F9" s="86">
        <v>24</v>
      </c>
      <c r="G9" s="86" t="s">
        <v>531</v>
      </c>
      <c r="H9" s="86" t="s">
        <v>390</v>
      </c>
      <c r="I9" s="86">
        <v>230</v>
      </c>
      <c r="J9" s="86"/>
      <c r="K9" s="86" t="s">
        <v>506</v>
      </c>
      <c r="L9" s="86"/>
      <c r="M9" s="86"/>
      <c r="N9" s="86" t="s">
        <v>169</v>
      </c>
      <c r="O9" s="86" t="s">
        <v>517</v>
      </c>
      <c r="P9" s="86" t="s">
        <v>532</v>
      </c>
      <c r="Q9" s="86" t="s">
        <v>373</v>
      </c>
      <c r="R9" s="86" t="s">
        <v>374</v>
      </c>
      <c r="S9" s="86" t="s">
        <v>386</v>
      </c>
      <c r="T9" s="86" t="s">
        <v>169</v>
      </c>
      <c r="U9" s="86" t="s">
        <v>541</v>
      </c>
      <c r="V9" s="86"/>
      <c r="W9" s="86"/>
      <c r="X9" s="86" t="s">
        <v>375</v>
      </c>
      <c r="Y9" s="86">
        <v>5</v>
      </c>
      <c r="Z9" s="86" t="s">
        <v>541</v>
      </c>
      <c r="AA9" s="86"/>
      <c r="AB9" s="86" t="s">
        <v>376</v>
      </c>
      <c r="AC9" s="86">
        <v>0</v>
      </c>
      <c r="AD9" s="86" t="s">
        <v>376</v>
      </c>
      <c r="AE9" s="86" t="s">
        <v>375</v>
      </c>
    </row>
    <row r="10" spans="1:31" s="18" customFormat="1" ht="15.75" x14ac:dyDescent="0.25">
      <c r="A10" s="80">
        <v>3</v>
      </c>
      <c r="B10" s="90">
        <v>46160</v>
      </c>
      <c r="C10" s="86" t="s">
        <v>388</v>
      </c>
      <c r="D10" s="86" t="s">
        <v>30</v>
      </c>
      <c r="E10" s="86" t="s">
        <v>524</v>
      </c>
      <c r="F10" s="86">
        <v>38</v>
      </c>
      <c r="G10" s="86" t="s">
        <v>511</v>
      </c>
      <c r="H10" s="86" t="s">
        <v>385</v>
      </c>
      <c r="I10" s="86">
        <v>100</v>
      </c>
      <c r="J10" s="86"/>
      <c r="K10" s="86" t="s">
        <v>506</v>
      </c>
      <c r="L10" s="86"/>
      <c r="M10" s="86"/>
      <c r="N10" s="86" t="s">
        <v>525</v>
      </c>
      <c r="O10" s="86" t="s">
        <v>526</v>
      </c>
      <c r="P10" s="86" t="s">
        <v>527</v>
      </c>
      <c r="Q10" s="86" t="s">
        <v>528</v>
      </c>
      <c r="R10" s="86" t="s">
        <v>374</v>
      </c>
      <c r="S10" s="86" t="s">
        <v>386</v>
      </c>
      <c r="T10" s="86" t="s">
        <v>386</v>
      </c>
      <c r="U10" s="86" t="s">
        <v>542</v>
      </c>
      <c r="V10" s="86"/>
      <c r="W10" s="86"/>
      <c r="X10" s="86" t="s">
        <v>375</v>
      </c>
      <c r="Y10" s="86">
        <v>6</v>
      </c>
      <c r="Z10" s="86" t="s">
        <v>542</v>
      </c>
      <c r="AA10" s="86"/>
      <c r="AB10" s="86" t="s">
        <v>376</v>
      </c>
      <c r="AC10" s="86">
        <v>0</v>
      </c>
      <c r="AD10" s="86" t="s">
        <v>376</v>
      </c>
      <c r="AE10" s="86" t="s">
        <v>375</v>
      </c>
    </row>
    <row r="11" spans="1:31" s="18" customFormat="1" ht="15.75" x14ac:dyDescent="0.25">
      <c r="A11" s="80">
        <v>3</v>
      </c>
      <c r="B11" s="90">
        <v>46161</v>
      </c>
      <c r="C11" s="86" t="s">
        <v>372</v>
      </c>
      <c r="D11" s="86" t="s">
        <v>30</v>
      </c>
      <c r="E11" s="86" t="s">
        <v>524</v>
      </c>
      <c r="F11" s="86">
        <v>47</v>
      </c>
      <c r="G11" s="86" t="s">
        <v>511</v>
      </c>
      <c r="H11" s="86" t="s">
        <v>385</v>
      </c>
      <c r="I11" s="86">
        <v>100</v>
      </c>
      <c r="J11" s="86"/>
      <c r="K11" s="86" t="s">
        <v>506</v>
      </c>
      <c r="L11" s="86"/>
      <c r="M11" s="86"/>
      <c r="N11" s="86" t="s">
        <v>525</v>
      </c>
      <c r="O11" s="86" t="s">
        <v>526</v>
      </c>
      <c r="P11" s="86" t="s">
        <v>527</v>
      </c>
      <c r="Q11" s="86" t="s">
        <v>528</v>
      </c>
      <c r="R11" s="86" t="s">
        <v>374</v>
      </c>
      <c r="S11" s="86" t="s">
        <v>386</v>
      </c>
      <c r="T11" s="86" t="s">
        <v>386</v>
      </c>
      <c r="U11" s="86" t="s">
        <v>543</v>
      </c>
      <c r="V11" s="86"/>
      <c r="W11" s="86"/>
      <c r="X11" s="86" t="s">
        <v>375</v>
      </c>
      <c r="Y11" s="86">
        <v>6</v>
      </c>
      <c r="Z11" s="86" t="s">
        <v>543</v>
      </c>
      <c r="AA11" s="86"/>
      <c r="AB11" s="86" t="s">
        <v>376</v>
      </c>
      <c r="AC11" s="86">
        <v>0</v>
      </c>
      <c r="AD11" s="86" t="s">
        <v>376</v>
      </c>
      <c r="AE11" s="86" t="s">
        <v>375</v>
      </c>
    </row>
    <row r="12" spans="1:31" s="18" customFormat="1" ht="15.75" x14ac:dyDescent="0.25">
      <c r="A12" s="80">
        <v>3</v>
      </c>
      <c r="B12" s="90">
        <v>46161</v>
      </c>
      <c r="C12" s="86" t="s">
        <v>377</v>
      </c>
      <c r="D12" s="86" t="s">
        <v>38</v>
      </c>
      <c r="E12" s="86" t="s">
        <v>530</v>
      </c>
      <c r="F12" s="86">
        <v>30</v>
      </c>
      <c r="G12" s="86" t="s">
        <v>531</v>
      </c>
      <c r="H12" s="86" t="s">
        <v>390</v>
      </c>
      <c r="I12" s="86">
        <v>230</v>
      </c>
      <c r="J12" s="86"/>
      <c r="K12" s="86" t="s">
        <v>506</v>
      </c>
      <c r="L12" s="86"/>
      <c r="M12" s="86"/>
      <c r="N12" s="86" t="s">
        <v>169</v>
      </c>
      <c r="O12" s="86" t="s">
        <v>517</v>
      </c>
      <c r="P12" s="86" t="s">
        <v>532</v>
      </c>
      <c r="Q12" s="86" t="s">
        <v>373</v>
      </c>
      <c r="R12" s="86" t="s">
        <v>374</v>
      </c>
      <c r="S12" s="86" t="s">
        <v>386</v>
      </c>
      <c r="T12" s="86" t="s">
        <v>169</v>
      </c>
      <c r="U12" s="86" t="s">
        <v>544</v>
      </c>
      <c r="V12" s="86"/>
      <c r="W12" s="86"/>
      <c r="X12" s="86" t="s">
        <v>375</v>
      </c>
      <c r="Y12" s="86">
        <v>7</v>
      </c>
      <c r="Z12" s="86" t="s">
        <v>544</v>
      </c>
      <c r="AA12" s="86"/>
      <c r="AB12" s="86" t="s">
        <v>376</v>
      </c>
      <c r="AC12" s="86">
        <v>0</v>
      </c>
      <c r="AD12" s="86" t="s">
        <v>376</v>
      </c>
      <c r="AE12" s="86" t="s">
        <v>375</v>
      </c>
    </row>
    <row r="13" spans="1:31" s="18" customFormat="1" ht="15.75" x14ac:dyDescent="0.25">
      <c r="A13" s="80">
        <v>3</v>
      </c>
      <c r="B13" s="90">
        <v>46161</v>
      </c>
      <c r="C13" s="86" t="s">
        <v>378</v>
      </c>
      <c r="D13" s="86" t="s">
        <v>30</v>
      </c>
      <c r="E13" s="86" t="s">
        <v>524</v>
      </c>
      <c r="F13" s="86">
        <v>61</v>
      </c>
      <c r="G13" s="86" t="s">
        <v>511</v>
      </c>
      <c r="H13" s="86" t="s">
        <v>385</v>
      </c>
      <c r="I13" s="86">
        <v>100</v>
      </c>
      <c r="J13" s="86"/>
      <c r="K13" s="86" t="s">
        <v>506</v>
      </c>
      <c r="L13" s="86"/>
      <c r="M13" s="86"/>
      <c r="N13" s="86" t="s">
        <v>525</v>
      </c>
      <c r="O13" s="86" t="s">
        <v>526</v>
      </c>
      <c r="P13" s="86" t="s">
        <v>527</v>
      </c>
      <c r="Q13" s="86" t="s">
        <v>528</v>
      </c>
      <c r="R13" s="86" t="s">
        <v>374</v>
      </c>
      <c r="S13" s="86" t="s">
        <v>386</v>
      </c>
      <c r="T13" s="86" t="s">
        <v>386</v>
      </c>
      <c r="U13" s="86" t="s">
        <v>545</v>
      </c>
      <c r="V13" s="86"/>
      <c r="W13" s="86"/>
      <c r="X13" s="86" t="s">
        <v>375</v>
      </c>
      <c r="Y13" s="86">
        <v>8</v>
      </c>
      <c r="Z13" s="86" t="s">
        <v>545</v>
      </c>
      <c r="AA13" s="86"/>
      <c r="AB13" s="86" t="s">
        <v>376</v>
      </c>
      <c r="AC13" s="86">
        <v>0</v>
      </c>
      <c r="AD13" s="86" t="s">
        <v>376</v>
      </c>
      <c r="AE13" s="86" t="s">
        <v>375</v>
      </c>
    </row>
    <row r="14" spans="1:31" s="18" customFormat="1" ht="15.75" x14ac:dyDescent="0.25">
      <c r="A14" s="80">
        <v>3</v>
      </c>
      <c r="B14" s="90">
        <v>46161</v>
      </c>
      <c r="C14" s="86" t="s">
        <v>379</v>
      </c>
      <c r="D14" s="86" t="s">
        <v>38</v>
      </c>
      <c r="E14" s="86" t="s">
        <v>530</v>
      </c>
      <c r="F14" s="86">
        <v>16</v>
      </c>
      <c r="G14" s="86" t="s">
        <v>531</v>
      </c>
      <c r="H14" s="86" t="s">
        <v>390</v>
      </c>
      <c r="I14" s="86">
        <v>230</v>
      </c>
      <c r="J14" s="86"/>
      <c r="K14" s="86" t="s">
        <v>506</v>
      </c>
      <c r="L14" s="86"/>
      <c r="M14" s="86"/>
      <c r="N14" s="86" t="s">
        <v>169</v>
      </c>
      <c r="O14" s="86" t="s">
        <v>517</v>
      </c>
      <c r="P14" s="86" t="s">
        <v>532</v>
      </c>
      <c r="Q14" s="86" t="s">
        <v>373</v>
      </c>
      <c r="R14" s="86" t="s">
        <v>374</v>
      </c>
      <c r="S14" s="86" t="s">
        <v>386</v>
      </c>
      <c r="T14" s="86" t="s">
        <v>169</v>
      </c>
      <c r="U14" s="86" t="s">
        <v>546</v>
      </c>
      <c r="V14" s="86"/>
      <c r="W14" s="86"/>
      <c r="X14" s="86" t="s">
        <v>375</v>
      </c>
      <c r="Y14" s="86">
        <v>9</v>
      </c>
      <c r="Z14" s="86" t="s">
        <v>546</v>
      </c>
      <c r="AA14" s="86"/>
      <c r="AB14" s="86" t="s">
        <v>376</v>
      </c>
      <c r="AC14" s="86">
        <v>0</v>
      </c>
      <c r="AD14" s="86" t="s">
        <v>376</v>
      </c>
      <c r="AE14" s="86" t="s">
        <v>375</v>
      </c>
    </row>
    <row r="15" spans="1:31" s="18" customFormat="1" ht="15.75" x14ac:dyDescent="0.25">
      <c r="A15" s="80">
        <v>3</v>
      </c>
      <c r="B15" s="90">
        <v>46161</v>
      </c>
      <c r="C15" s="86" t="s">
        <v>387</v>
      </c>
      <c r="D15" s="86" t="s">
        <v>37</v>
      </c>
      <c r="E15" s="86" t="s">
        <v>547</v>
      </c>
      <c r="F15" s="86">
        <v>13</v>
      </c>
      <c r="G15" s="86" t="s">
        <v>531</v>
      </c>
      <c r="H15" s="86" t="s">
        <v>391</v>
      </c>
      <c r="I15" s="86">
        <v>230</v>
      </c>
      <c r="J15" s="86"/>
      <c r="K15" s="86" t="s">
        <v>506</v>
      </c>
      <c r="L15" s="86"/>
      <c r="M15" s="86"/>
      <c r="N15" s="86" t="s">
        <v>169</v>
      </c>
      <c r="O15" s="86" t="s">
        <v>517</v>
      </c>
      <c r="P15" s="86" t="s">
        <v>532</v>
      </c>
      <c r="Q15" s="86" t="s">
        <v>373</v>
      </c>
      <c r="R15" s="86" t="s">
        <v>374</v>
      </c>
      <c r="S15" s="86" t="s">
        <v>386</v>
      </c>
      <c r="T15" s="86" t="s">
        <v>169</v>
      </c>
      <c r="U15" s="86" t="s">
        <v>548</v>
      </c>
      <c r="V15" s="86"/>
      <c r="W15" s="86"/>
      <c r="X15" s="86" t="s">
        <v>375</v>
      </c>
      <c r="Y15" s="86">
        <v>10</v>
      </c>
      <c r="Z15" s="86" t="s">
        <v>548</v>
      </c>
      <c r="AA15" s="86"/>
      <c r="AB15" s="86" t="s">
        <v>376</v>
      </c>
      <c r="AC15" s="86">
        <v>0</v>
      </c>
      <c r="AD15" s="86" t="s">
        <v>376</v>
      </c>
      <c r="AE15" s="86" t="s">
        <v>375</v>
      </c>
    </row>
    <row r="16" spans="1:31" s="18" customFormat="1" ht="15.75" x14ac:dyDescent="0.25">
      <c r="A16" s="80">
        <v>3</v>
      </c>
      <c r="B16" s="90">
        <v>46161</v>
      </c>
      <c r="C16" s="86" t="s">
        <v>388</v>
      </c>
      <c r="D16" s="86" t="s">
        <v>46</v>
      </c>
      <c r="E16" s="86" t="s">
        <v>549</v>
      </c>
      <c r="F16" s="86">
        <v>1</v>
      </c>
      <c r="G16" s="86" t="s">
        <v>505</v>
      </c>
      <c r="H16" s="86" t="s">
        <v>390</v>
      </c>
      <c r="I16" s="86">
        <v>230</v>
      </c>
      <c r="J16" s="86"/>
      <c r="K16" s="86" t="s">
        <v>550</v>
      </c>
      <c r="L16" s="86"/>
      <c r="M16" s="86"/>
      <c r="N16" s="86" t="s">
        <v>169</v>
      </c>
      <c r="O16" s="86" t="s">
        <v>517</v>
      </c>
      <c r="P16" s="86" t="s">
        <v>518</v>
      </c>
      <c r="Q16" s="86" t="s">
        <v>373</v>
      </c>
      <c r="R16" s="86" t="s">
        <v>374</v>
      </c>
      <c r="S16" s="86" t="s">
        <v>386</v>
      </c>
      <c r="T16" s="86" t="s">
        <v>169</v>
      </c>
      <c r="U16" s="86" t="s">
        <v>551</v>
      </c>
      <c r="V16" s="86"/>
      <c r="W16" s="86"/>
      <c r="X16" s="86" t="s">
        <v>375</v>
      </c>
      <c r="Y16" s="86">
        <v>11</v>
      </c>
      <c r="Z16" s="86" t="s">
        <v>551</v>
      </c>
      <c r="AA16" s="86"/>
      <c r="AB16" s="86" t="s">
        <v>376</v>
      </c>
      <c r="AC16" s="86">
        <v>0</v>
      </c>
      <c r="AD16" s="86" t="s">
        <v>376</v>
      </c>
      <c r="AE16" s="86" t="s">
        <v>375</v>
      </c>
    </row>
    <row r="17" spans="1:31" s="18" customFormat="1" ht="15.75" x14ac:dyDescent="0.25">
      <c r="A17" s="80">
        <v>3</v>
      </c>
      <c r="B17" s="90">
        <v>46161</v>
      </c>
      <c r="C17" s="86" t="s">
        <v>389</v>
      </c>
      <c r="D17" s="86" t="s">
        <v>30</v>
      </c>
      <c r="E17" s="86" t="s">
        <v>524</v>
      </c>
      <c r="F17" s="86">
        <v>62</v>
      </c>
      <c r="G17" s="86" t="s">
        <v>511</v>
      </c>
      <c r="H17" s="86" t="s">
        <v>385</v>
      </c>
      <c r="I17" s="86">
        <v>100</v>
      </c>
      <c r="J17" s="86"/>
      <c r="K17" s="86" t="s">
        <v>506</v>
      </c>
      <c r="L17" s="86"/>
      <c r="M17" s="86"/>
      <c r="N17" s="86" t="s">
        <v>525</v>
      </c>
      <c r="O17" s="86" t="s">
        <v>526</v>
      </c>
      <c r="P17" s="86" t="s">
        <v>527</v>
      </c>
      <c r="Q17" s="86" t="s">
        <v>528</v>
      </c>
      <c r="R17" s="86" t="s">
        <v>374</v>
      </c>
      <c r="S17" s="86" t="s">
        <v>386</v>
      </c>
      <c r="T17" s="86" t="s">
        <v>386</v>
      </c>
      <c r="U17" s="86" t="s">
        <v>552</v>
      </c>
      <c r="V17" s="86"/>
      <c r="W17" s="86"/>
      <c r="X17" s="86" t="s">
        <v>375</v>
      </c>
      <c r="Y17" s="86">
        <v>12</v>
      </c>
      <c r="Z17" s="86" t="s">
        <v>552</v>
      </c>
      <c r="AA17" s="86"/>
      <c r="AB17" s="86" t="s">
        <v>376</v>
      </c>
      <c r="AC17" s="86">
        <v>0</v>
      </c>
      <c r="AD17" s="86" t="s">
        <v>376</v>
      </c>
      <c r="AE17" s="86" t="s">
        <v>375</v>
      </c>
    </row>
    <row r="18" spans="1:31" s="18" customFormat="1" ht="15.75" x14ac:dyDescent="0.25">
      <c r="A18" s="80">
        <v>3</v>
      </c>
      <c r="B18" s="90">
        <v>46161</v>
      </c>
      <c r="C18" s="86" t="s">
        <v>393</v>
      </c>
      <c r="D18" s="86" t="s">
        <v>38</v>
      </c>
      <c r="E18" s="86" t="s">
        <v>530</v>
      </c>
      <c r="F18" s="86">
        <v>14</v>
      </c>
      <c r="G18" s="86" t="s">
        <v>531</v>
      </c>
      <c r="H18" s="86" t="s">
        <v>390</v>
      </c>
      <c r="I18" s="86">
        <v>230</v>
      </c>
      <c r="J18" s="86"/>
      <c r="K18" s="86" t="s">
        <v>506</v>
      </c>
      <c r="L18" s="86"/>
      <c r="M18" s="86"/>
      <c r="N18" s="86" t="s">
        <v>169</v>
      </c>
      <c r="O18" s="86" t="s">
        <v>517</v>
      </c>
      <c r="P18" s="86" t="s">
        <v>532</v>
      </c>
      <c r="Q18" s="86" t="s">
        <v>373</v>
      </c>
      <c r="R18" s="86" t="s">
        <v>374</v>
      </c>
      <c r="S18" s="86" t="s">
        <v>386</v>
      </c>
      <c r="T18" s="86" t="s">
        <v>169</v>
      </c>
      <c r="U18" s="86" t="s">
        <v>553</v>
      </c>
      <c r="V18" s="86"/>
      <c r="W18" s="86"/>
      <c r="X18" s="86" t="s">
        <v>375</v>
      </c>
      <c r="Y18" s="86">
        <v>13</v>
      </c>
      <c r="Z18" s="86" t="s">
        <v>553</v>
      </c>
      <c r="AA18" s="86"/>
      <c r="AB18" s="86" t="s">
        <v>376</v>
      </c>
      <c r="AC18" s="86">
        <v>0</v>
      </c>
      <c r="AD18" s="86" t="s">
        <v>376</v>
      </c>
      <c r="AE18" s="86" t="s">
        <v>375</v>
      </c>
    </row>
    <row r="19" spans="1:31" s="18" customFormat="1" ht="15.75" x14ac:dyDescent="0.25">
      <c r="A19" s="80">
        <v>3</v>
      </c>
      <c r="B19" s="90">
        <v>46162</v>
      </c>
      <c r="C19" s="86" t="s">
        <v>372</v>
      </c>
      <c r="D19" s="86" t="s">
        <v>38</v>
      </c>
      <c r="E19" s="86" t="s">
        <v>530</v>
      </c>
      <c r="F19" s="86">
        <v>36</v>
      </c>
      <c r="G19" s="86" t="s">
        <v>531</v>
      </c>
      <c r="H19" s="86" t="s">
        <v>390</v>
      </c>
      <c r="I19" s="86">
        <v>230</v>
      </c>
      <c r="J19" s="86"/>
      <c r="K19" s="86" t="s">
        <v>506</v>
      </c>
      <c r="L19" s="86"/>
      <c r="M19" s="86"/>
      <c r="N19" s="86" t="s">
        <v>169</v>
      </c>
      <c r="O19" s="86" t="s">
        <v>517</v>
      </c>
      <c r="P19" s="86" t="s">
        <v>532</v>
      </c>
      <c r="Q19" s="86" t="s">
        <v>373</v>
      </c>
      <c r="R19" s="86" t="s">
        <v>374</v>
      </c>
      <c r="S19" s="86" t="s">
        <v>386</v>
      </c>
      <c r="T19" s="86" t="s">
        <v>169</v>
      </c>
      <c r="U19" s="86" t="s">
        <v>554</v>
      </c>
      <c r="V19" s="86"/>
      <c r="W19" s="86"/>
      <c r="X19" s="86" t="s">
        <v>375</v>
      </c>
      <c r="Y19" s="86">
        <v>13</v>
      </c>
      <c r="Z19" s="86" t="s">
        <v>554</v>
      </c>
      <c r="AA19" s="86"/>
      <c r="AB19" s="86" t="s">
        <v>376</v>
      </c>
      <c r="AC19" s="86">
        <v>0</v>
      </c>
      <c r="AD19" s="86" t="s">
        <v>376</v>
      </c>
      <c r="AE19" s="86" t="s">
        <v>375</v>
      </c>
    </row>
    <row r="20" spans="1:31" s="18" customFormat="1" ht="15.75" x14ac:dyDescent="0.25">
      <c r="A20" s="80">
        <v>3</v>
      </c>
      <c r="B20" s="90">
        <v>46162</v>
      </c>
      <c r="C20" s="86" t="s">
        <v>377</v>
      </c>
      <c r="D20" s="86" t="s">
        <v>30</v>
      </c>
      <c r="E20" s="86" t="s">
        <v>524</v>
      </c>
      <c r="F20" s="86">
        <v>60</v>
      </c>
      <c r="G20" s="86" t="s">
        <v>511</v>
      </c>
      <c r="H20" s="86" t="s">
        <v>385</v>
      </c>
      <c r="I20" s="86">
        <v>100</v>
      </c>
      <c r="J20" s="86"/>
      <c r="K20" s="86" t="s">
        <v>506</v>
      </c>
      <c r="L20" s="86"/>
      <c r="M20" s="86"/>
      <c r="N20" s="86" t="s">
        <v>525</v>
      </c>
      <c r="O20" s="86" t="s">
        <v>526</v>
      </c>
      <c r="P20" s="86" t="s">
        <v>527</v>
      </c>
      <c r="Q20" s="86" t="s">
        <v>528</v>
      </c>
      <c r="R20" s="86" t="s">
        <v>374</v>
      </c>
      <c r="S20" s="86" t="s">
        <v>386</v>
      </c>
      <c r="T20" s="86" t="s">
        <v>386</v>
      </c>
      <c r="U20" s="86" t="s">
        <v>555</v>
      </c>
      <c r="V20" s="86"/>
      <c r="W20" s="86"/>
      <c r="X20" s="86" t="s">
        <v>375</v>
      </c>
      <c r="Y20" s="86">
        <v>14</v>
      </c>
      <c r="Z20" s="86" t="s">
        <v>555</v>
      </c>
      <c r="AA20" s="86"/>
      <c r="AB20" s="86" t="s">
        <v>376</v>
      </c>
      <c r="AC20" s="86">
        <v>0</v>
      </c>
      <c r="AD20" s="86" t="s">
        <v>376</v>
      </c>
      <c r="AE20" s="86" t="s">
        <v>375</v>
      </c>
    </row>
    <row r="21" spans="1:31" s="18" customFormat="1" ht="15.75" x14ac:dyDescent="0.25">
      <c r="A21" s="80">
        <v>3</v>
      </c>
      <c r="B21" s="90">
        <v>46162</v>
      </c>
      <c r="C21" s="86" t="s">
        <v>378</v>
      </c>
      <c r="D21" s="86" t="s">
        <v>38</v>
      </c>
      <c r="E21" s="86" t="s">
        <v>530</v>
      </c>
      <c r="F21" s="86">
        <v>50</v>
      </c>
      <c r="G21" s="86" t="s">
        <v>531</v>
      </c>
      <c r="H21" s="86" t="s">
        <v>390</v>
      </c>
      <c r="I21" s="86">
        <v>230</v>
      </c>
      <c r="J21" s="86"/>
      <c r="K21" s="86" t="s">
        <v>506</v>
      </c>
      <c r="L21" s="86"/>
      <c r="M21" s="86"/>
      <c r="N21" s="86" t="s">
        <v>169</v>
      </c>
      <c r="O21" s="86" t="s">
        <v>517</v>
      </c>
      <c r="P21" s="86" t="s">
        <v>532</v>
      </c>
      <c r="Q21" s="86" t="s">
        <v>373</v>
      </c>
      <c r="R21" s="86" t="s">
        <v>374</v>
      </c>
      <c r="S21" s="86" t="s">
        <v>386</v>
      </c>
      <c r="T21" s="86" t="s">
        <v>169</v>
      </c>
      <c r="U21" s="86" t="s">
        <v>556</v>
      </c>
      <c r="V21" s="86"/>
      <c r="W21" s="86"/>
      <c r="X21" s="86" t="s">
        <v>375</v>
      </c>
      <c r="Y21" s="86">
        <v>15</v>
      </c>
      <c r="Z21" s="86" t="s">
        <v>556</v>
      </c>
      <c r="AA21" s="86"/>
      <c r="AB21" s="86" t="s">
        <v>376</v>
      </c>
      <c r="AC21" s="86">
        <v>0</v>
      </c>
      <c r="AD21" s="86" t="s">
        <v>376</v>
      </c>
      <c r="AE21" s="86" t="s">
        <v>375</v>
      </c>
    </row>
    <row r="22" spans="1:31" s="18" customFormat="1" ht="15.75" x14ac:dyDescent="0.25">
      <c r="A22" s="80">
        <v>3</v>
      </c>
      <c r="B22" s="90">
        <v>46162</v>
      </c>
      <c r="C22" s="86" t="s">
        <v>379</v>
      </c>
      <c r="D22" s="86" t="s">
        <v>30</v>
      </c>
      <c r="E22" s="86" t="s">
        <v>524</v>
      </c>
      <c r="F22" s="86">
        <v>62</v>
      </c>
      <c r="G22" s="86" t="s">
        <v>511</v>
      </c>
      <c r="H22" s="86" t="s">
        <v>385</v>
      </c>
      <c r="I22" s="86">
        <v>100</v>
      </c>
      <c r="J22" s="86"/>
      <c r="K22" s="86" t="s">
        <v>506</v>
      </c>
      <c r="L22" s="86"/>
      <c r="M22" s="86"/>
      <c r="N22" s="86" t="s">
        <v>525</v>
      </c>
      <c r="O22" s="86" t="s">
        <v>526</v>
      </c>
      <c r="P22" s="86" t="s">
        <v>527</v>
      </c>
      <c r="Q22" s="86" t="s">
        <v>528</v>
      </c>
      <c r="R22" s="86" t="s">
        <v>374</v>
      </c>
      <c r="S22" s="86" t="s">
        <v>386</v>
      </c>
      <c r="T22" s="86" t="s">
        <v>386</v>
      </c>
      <c r="U22" s="86" t="s">
        <v>557</v>
      </c>
      <c r="V22" s="86"/>
      <c r="W22" s="86"/>
      <c r="X22" s="86" t="s">
        <v>375</v>
      </c>
      <c r="Y22" s="86">
        <v>16</v>
      </c>
      <c r="Z22" s="86" t="s">
        <v>557</v>
      </c>
      <c r="AA22" s="86"/>
      <c r="AB22" s="86" t="s">
        <v>376</v>
      </c>
      <c r="AC22" s="86">
        <v>0</v>
      </c>
      <c r="AD22" s="86" t="s">
        <v>376</v>
      </c>
      <c r="AE22" s="86" t="s">
        <v>375</v>
      </c>
    </row>
    <row r="23" spans="1:31" s="88" customFormat="1" ht="15.75" x14ac:dyDescent="0.25">
      <c r="A23" s="85">
        <v>3</v>
      </c>
      <c r="B23" s="90">
        <v>46162</v>
      </c>
      <c r="C23" s="87" t="s">
        <v>387</v>
      </c>
      <c r="D23" s="87" t="s">
        <v>38</v>
      </c>
      <c r="E23" s="87" t="s">
        <v>530</v>
      </c>
      <c r="F23" s="87">
        <v>18</v>
      </c>
      <c r="G23" s="87" t="s">
        <v>531</v>
      </c>
      <c r="H23" s="87" t="s">
        <v>390</v>
      </c>
      <c r="I23" s="87">
        <v>230</v>
      </c>
      <c r="J23" s="87"/>
      <c r="K23" s="87" t="s">
        <v>506</v>
      </c>
      <c r="L23" s="87"/>
      <c r="M23" s="87"/>
      <c r="N23" s="87" t="s">
        <v>169</v>
      </c>
      <c r="O23" s="87" t="s">
        <v>517</v>
      </c>
      <c r="P23" s="87" t="s">
        <v>532</v>
      </c>
      <c r="Q23" s="87" t="s">
        <v>373</v>
      </c>
      <c r="R23" s="87" t="s">
        <v>374</v>
      </c>
      <c r="S23" s="87" t="s">
        <v>386</v>
      </c>
      <c r="T23" s="87" t="s">
        <v>169</v>
      </c>
      <c r="U23" s="87" t="s">
        <v>558</v>
      </c>
      <c r="V23" s="87"/>
      <c r="W23" s="87"/>
      <c r="X23" s="87" t="s">
        <v>375</v>
      </c>
      <c r="Y23" s="87">
        <v>17</v>
      </c>
      <c r="Z23" s="87" t="s">
        <v>558</v>
      </c>
      <c r="AA23" s="87"/>
      <c r="AB23" s="87" t="s">
        <v>376</v>
      </c>
      <c r="AC23" s="87">
        <v>0</v>
      </c>
      <c r="AD23" s="87" t="s">
        <v>376</v>
      </c>
      <c r="AE23" s="87" t="s">
        <v>375</v>
      </c>
    </row>
    <row r="24" spans="1:31" s="18" customFormat="1" ht="15.75" x14ac:dyDescent="0.25">
      <c r="A24" s="80">
        <v>3</v>
      </c>
      <c r="B24" s="90">
        <v>46163</v>
      </c>
      <c r="C24" s="86" t="s">
        <v>372</v>
      </c>
      <c r="D24" s="86" t="s">
        <v>38</v>
      </c>
      <c r="E24" s="86" t="s">
        <v>530</v>
      </c>
      <c r="F24" s="86">
        <v>22</v>
      </c>
      <c r="G24" s="86" t="s">
        <v>531</v>
      </c>
      <c r="H24" s="86" t="s">
        <v>390</v>
      </c>
      <c r="I24" s="86">
        <v>230</v>
      </c>
      <c r="J24" s="86"/>
      <c r="K24" s="86" t="s">
        <v>506</v>
      </c>
      <c r="L24" s="86"/>
      <c r="M24" s="86"/>
      <c r="N24" s="86" t="s">
        <v>169</v>
      </c>
      <c r="O24" s="86" t="s">
        <v>517</v>
      </c>
      <c r="P24" s="86" t="s">
        <v>532</v>
      </c>
      <c r="Q24" s="86" t="s">
        <v>373</v>
      </c>
      <c r="R24" s="86" t="s">
        <v>374</v>
      </c>
      <c r="S24" s="86" t="s">
        <v>386</v>
      </c>
      <c r="T24" s="86" t="s">
        <v>169</v>
      </c>
      <c r="U24" s="86" t="s">
        <v>559</v>
      </c>
      <c r="V24" s="86"/>
      <c r="W24" s="86"/>
      <c r="X24" s="86" t="s">
        <v>375</v>
      </c>
      <c r="Y24" s="86">
        <v>17</v>
      </c>
      <c r="Z24" s="86" t="s">
        <v>559</v>
      </c>
      <c r="AA24" s="86"/>
      <c r="AB24" s="86" t="s">
        <v>376</v>
      </c>
      <c r="AC24" s="86">
        <v>0</v>
      </c>
      <c r="AD24" s="86" t="s">
        <v>376</v>
      </c>
      <c r="AE24" s="86" t="s">
        <v>375</v>
      </c>
    </row>
    <row r="25" spans="1:31" s="18" customFormat="1" ht="15.75" x14ac:dyDescent="0.25">
      <c r="A25" s="80">
        <v>3</v>
      </c>
      <c r="B25" s="90">
        <v>46163</v>
      </c>
      <c r="C25" s="86" t="s">
        <v>377</v>
      </c>
      <c r="D25" s="86" t="s">
        <v>32</v>
      </c>
      <c r="E25" s="86" t="s">
        <v>522</v>
      </c>
      <c r="F25" s="86">
        <v>4</v>
      </c>
      <c r="G25" s="86" t="s">
        <v>511</v>
      </c>
      <c r="H25" s="86" t="s">
        <v>391</v>
      </c>
      <c r="I25" s="86">
        <v>230</v>
      </c>
      <c r="J25" s="86"/>
      <c r="K25" s="86" t="s">
        <v>506</v>
      </c>
      <c r="L25" s="86"/>
      <c r="M25" s="86"/>
      <c r="N25" s="86" t="s">
        <v>169</v>
      </c>
      <c r="O25" s="86" t="s">
        <v>517</v>
      </c>
      <c r="P25" s="86" t="s">
        <v>518</v>
      </c>
      <c r="Q25" s="86" t="s">
        <v>373</v>
      </c>
      <c r="R25" s="86" t="s">
        <v>374</v>
      </c>
      <c r="S25" s="86" t="s">
        <v>386</v>
      </c>
      <c r="T25" s="86" t="s">
        <v>169</v>
      </c>
      <c r="U25" s="86" t="s">
        <v>560</v>
      </c>
      <c r="V25" s="86"/>
      <c r="W25" s="86"/>
      <c r="X25" s="86" t="s">
        <v>375</v>
      </c>
      <c r="Y25" s="86">
        <v>18</v>
      </c>
      <c r="Z25" s="86" t="s">
        <v>560</v>
      </c>
      <c r="AA25" s="86"/>
      <c r="AB25" s="86" t="s">
        <v>376</v>
      </c>
      <c r="AC25" s="86">
        <v>0</v>
      </c>
      <c r="AD25" s="86" t="s">
        <v>376</v>
      </c>
      <c r="AE25" s="86" t="s">
        <v>375</v>
      </c>
    </row>
    <row r="26" spans="1:31" s="18" customFormat="1" ht="15.75" x14ac:dyDescent="0.25">
      <c r="A26" s="80">
        <v>3</v>
      </c>
      <c r="B26" s="90">
        <v>46163</v>
      </c>
      <c r="C26" s="86" t="s">
        <v>378</v>
      </c>
      <c r="D26" s="86" t="s">
        <v>49</v>
      </c>
      <c r="E26" s="86" t="s">
        <v>561</v>
      </c>
      <c r="F26" s="86">
        <v>13</v>
      </c>
      <c r="G26" s="86" t="s">
        <v>562</v>
      </c>
      <c r="H26" s="86" t="s">
        <v>390</v>
      </c>
      <c r="I26" s="86">
        <v>230</v>
      </c>
      <c r="J26" s="86"/>
      <c r="K26" s="86" t="s">
        <v>550</v>
      </c>
      <c r="L26" s="86"/>
      <c r="M26" s="86"/>
      <c r="N26" s="86" t="s">
        <v>169</v>
      </c>
      <c r="O26" s="86" t="s">
        <v>517</v>
      </c>
      <c r="P26" s="86" t="s">
        <v>518</v>
      </c>
      <c r="Q26" s="86" t="s">
        <v>373</v>
      </c>
      <c r="R26" s="86" t="s">
        <v>374</v>
      </c>
      <c r="S26" s="86" t="s">
        <v>386</v>
      </c>
      <c r="T26" s="86" t="s">
        <v>169</v>
      </c>
      <c r="U26" s="86" t="s">
        <v>563</v>
      </c>
      <c r="V26" s="86"/>
      <c r="W26" s="86"/>
      <c r="X26" s="86" t="s">
        <v>375</v>
      </c>
      <c r="Y26" s="86">
        <v>19</v>
      </c>
      <c r="Z26" s="86" t="s">
        <v>563</v>
      </c>
      <c r="AA26" s="86"/>
      <c r="AB26" s="86" t="s">
        <v>376</v>
      </c>
      <c r="AC26" s="86">
        <v>0</v>
      </c>
      <c r="AD26" s="86" t="s">
        <v>376</v>
      </c>
      <c r="AE26" s="86" t="s">
        <v>375</v>
      </c>
    </row>
    <row r="27" spans="1:31" s="18" customFormat="1" ht="15.75" x14ac:dyDescent="0.25">
      <c r="A27" s="80">
        <v>3</v>
      </c>
      <c r="B27" s="90">
        <v>46163</v>
      </c>
      <c r="C27" s="86" t="s">
        <v>379</v>
      </c>
      <c r="D27" s="86" t="s">
        <v>30</v>
      </c>
      <c r="E27" s="86" t="s">
        <v>524</v>
      </c>
      <c r="F27" s="86">
        <v>60</v>
      </c>
      <c r="G27" s="86" t="s">
        <v>511</v>
      </c>
      <c r="H27" s="86" t="s">
        <v>385</v>
      </c>
      <c r="I27" s="86">
        <v>100</v>
      </c>
      <c r="J27" s="86"/>
      <c r="K27" s="86" t="s">
        <v>506</v>
      </c>
      <c r="L27" s="86"/>
      <c r="M27" s="86"/>
      <c r="N27" s="86" t="s">
        <v>525</v>
      </c>
      <c r="O27" s="86" t="s">
        <v>526</v>
      </c>
      <c r="P27" s="86" t="s">
        <v>527</v>
      </c>
      <c r="Q27" s="86" t="s">
        <v>528</v>
      </c>
      <c r="R27" s="86" t="s">
        <v>374</v>
      </c>
      <c r="S27" s="86" t="s">
        <v>386</v>
      </c>
      <c r="T27" s="86" t="s">
        <v>386</v>
      </c>
      <c r="U27" s="86" t="s">
        <v>564</v>
      </c>
      <c r="V27" s="86"/>
      <c r="W27" s="86"/>
      <c r="X27" s="86" t="s">
        <v>375</v>
      </c>
      <c r="Y27" s="86">
        <v>20</v>
      </c>
      <c r="Z27" s="86" t="s">
        <v>564</v>
      </c>
      <c r="AA27" s="86"/>
      <c r="AB27" s="86" t="s">
        <v>376</v>
      </c>
      <c r="AC27" s="86">
        <v>0</v>
      </c>
      <c r="AD27" s="86" t="s">
        <v>376</v>
      </c>
      <c r="AE27" s="86" t="s">
        <v>375</v>
      </c>
    </row>
    <row r="28" spans="1:31" s="18" customFormat="1" ht="15.75" x14ac:dyDescent="0.25">
      <c r="A28" s="80">
        <v>3</v>
      </c>
      <c r="B28" s="90">
        <v>46163</v>
      </c>
      <c r="C28" s="86" t="s">
        <v>387</v>
      </c>
      <c r="D28" s="86" t="s">
        <v>39</v>
      </c>
      <c r="E28" s="86" t="s">
        <v>565</v>
      </c>
      <c r="F28" s="86">
        <v>2</v>
      </c>
      <c r="G28" s="86" t="s">
        <v>531</v>
      </c>
      <c r="H28" s="86" t="s">
        <v>520</v>
      </c>
      <c r="I28" s="86">
        <v>120</v>
      </c>
      <c r="J28" s="86"/>
      <c r="K28" s="86" t="s">
        <v>506</v>
      </c>
      <c r="L28" s="86"/>
      <c r="M28" s="86"/>
      <c r="N28" s="86" t="s">
        <v>525</v>
      </c>
      <c r="O28" s="86" t="s">
        <v>526</v>
      </c>
      <c r="P28" s="86" t="s">
        <v>566</v>
      </c>
      <c r="Q28" s="86" t="s">
        <v>528</v>
      </c>
      <c r="R28" s="86" t="s">
        <v>374</v>
      </c>
      <c r="S28" s="86" t="s">
        <v>386</v>
      </c>
      <c r="T28" s="86" t="s">
        <v>169</v>
      </c>
      <c r="U28" s="86" t="s">
        <v>567</v>
      </c>
      <c r="V28" s="86"/>
      <c r="W28" s="86"/>
      <c r="X28" s="86" t="s">
        <v>375</v>
      </c>
      <c r="Y28" s="86">
        <v>21</v>
      </c>
      <c r="Z28" s="86" t="s">
        <v>567</v>
      </c>
      <c r="AA28" s="86"/>
      <c r="AB28" s="86" t="s">
        <v>376</v>
      </c>
      <c r="AC28" s="86">
        <v>0</v>
      </c>
      <c r="AD28" s="86" t="s">
        <v>376</v>
      </c>
      <c r="AE28" s="86" t="s">
        <v>375</v>
      </c>
    </row>
    <row r="29" spans="1:31" s="18" customFormat="1" ht="15.75" x14ac:dyDescent="0.25">
      <c r="A29" s="80">
        <v>3</v>
      </c>
      <c r="B29" s="90">
        <v>46163</v>
      </c>
      <c r="C29" s="86" t="s">
        <v>388</v>
      </c>
      <c r="D29" s="86" t="s">
        <v>38</v>
      </c>
      <c r="E29" s="86" t="s">
        <v>530</v>
      </c>
      <c r="F29" s="86">
        <v>20</v>
      </c>
      <c r="G29" s="86" t="s">
        <v>531</v>
      </c>
      <c r="H29" s="86" t="s">
        <v>390</v>
      </c>
      <c r="I29" s="86">
        <v>230</v>
      </c>
      <c r="J29" s="86"/>
      <c r="K29" s="86" t="s">
        <v>506</v>
      </c>
      <c r="L29" s="86"/>
      <c r="M29" s="86"/>
      <c r="N29" s="86" t="s">
        <v>169</v>
      </c>
      <c r="O29" s="86" t="s">
        <v>517</v>
      </c>
      <c r="P29" s="86" t="s">
        <v>532</v>
      </c>
      <c r="Q29" s="86" t="s">
        <v>373</v>
      </c>
      <c r="R29" s="86" t="s">
        <v>374</v>
      </c>
      <c r="S29" s="86" t="s">
        <v>386</v>
      </c>
      <c r="T29" s="86" t="s">
        <v>169</v>
      </c>
      <c r="U29" s="86" t="s">
        <v>568</v>
      </c>
      <c r="V29" s="86"/>
      <c r="W29" s="86"/>
      <c r="X29" s="86" t="s">
        <v>375</v>
      </c>
      <c r="Y29" s="86">
        <v>22</v>
      </c>
      <c r="Z29" s="86" t="s">
        <v>568</v>
      </c>
      <c r="AA29" s="86"/>
      <c r="AB29" s="86" t="s">
        <v>376</v>
      </c>
      <c r="AC29" s="86">
        <v>0</v>
      </c>
      <c r="AD29" s="86" t="s">
        <v>376</v>
      </c>
      <c r="AE29" s="86" t="s">
        <v>375</v>
      </c>
    </row>
    <row r="30" spans="1:31" s="18" customFormat="1" ht="15.75" x14ac:dyDescent="0.25">
      <c r="A30" s="80">
        <v>3</v>
      </c>
      <c r="B30" s="90">
        <v>46163</v>
      </c>
      <c r="C30" s="86" t="s">
        <v>389</v>
      </c>
      <c r="D30" s="86" t="s">
        <v>47</v>
      </c>
      <c r="E30" s="86" t="s">
        <v>569</v>
      </c>
      <c r="F30" s="86">
        <v>6</v>
      </c>
      <c r="G30" s="86" t="s">
        <v>505</v>
      </c>
      <c r="H30" s="86" t="s">
        <v>520</v>
      </c>
      <c r="I30" s="86">
        <v>120</v>
      </c>
      <c r="J30" s="86"/>
      <c r="K30" s="86" t="s">
        <v>550</v>
      </c>
      <c r="L30" s="86"/>
      <c r="M30" s="86"/>
      <c r="N30" s="86" t="s">
        <v>169</v>
      </c>
      <c r="O30" s="86" t="s">
        <v>517</v>
      </c>
      <c r="P30" s="86" t="s">
        <v>521</v>
      </c>
      <c r="Q30" s="86" t="s">
        <v>373</v>
      </c>
      <c r="R30" s="86" t="s">
        <v>374</v>
      </c>
      <c r="S30" s="86" t="s">
        <v>386</v>
      </c>
      <c r="T30" s="86" t="s">
        <v>169</v>
      </c>
      <c r="U30" s="86" t="s">
        <v>570</v>
      </c>
      <c r="V30" s="86"/>
      <c r="W30" s="86"/>
      <c r="X30" s="86" t="s">
        <v>375</v>
      </c>
      <c r="Y30" s="86">
        <v>23</v>
      </c>
      <c r="Z30" s="86" t="s">
        <v>570</v>
      </c>
      <c r="AA30" s="86"/>
      <c r="AB30" s="86" t="s">
        <v>376</v>
      </c>
      <c r="AC30" s="86">
        <v>0</v>
      </c>
      <c r="AD30" s="86" t="s">
        <v>376</v>
      </c>
      <c r="AE30" s="86" t="s">
        <v>375</v>
      </c>
    </row>
    <row r="31" spans="1:31" s="18" customFormat="1" ht="15.75" x14ac:dyDescent="0.25">
      <c r="A31" s="80">
        <v>3</v>
      </c>
      <c r="B31" s="90">
        <v>46163</v>
      </c>
      <c r="C31" s="86" t="s">
        <v>393</v>
      </c>
      <c r="D31" s="86" t="s">
        <v>38</v>
      </c>
      <c r="E31" s="86" t="s">
        <v>530</v>
      </c>
      <c r="F31" s="86">
        <v>35</v>
      </c>
      <c r="G31" s="86" t="s">
        <v>531</v>
      </c>
      <c r="H31" s="86" t="s">
        <v>390</v>
      </c>
      <c r="I31" s="86">
        <v>230</v>
      </c>
      <c r="J31" s="86"/>
      <c r="K31" s="86" t="s">
        <v>506</v>
      </c>
      <c r="L31" s="86"/>
      <c r="M31" s="86"/>
      <c r="N31" s="86" t="s">
        <v>169</v>
      </c>
      <c r="O31" s="86" t="s">
        <v>517</v>
      </c>
      <c r="P31" s="86" t="s">
        <v>532</v>
      </c>
      <c r="Q31" s="86" t="s">
        <v>373</v>
      </c>
      <c r="R31" s="86" t="s">
        <v>374</v>
      </c>
      <c r="S31" s="86" t="s">
        <v>386</v>
      </c>
      <c r="T31" s="86" t="s">
        <v>169</v>
      </c>
      <c r="U31" s="86" t="s">
        <v>571</v>
      </c>
      <c r="V31" s="86"/>
      <c r="W31" s="86"/>
      <c r="X31" s="86" t="s">
        <v>375</v>
      </c>
      <c r="Y31" s="86">
        <v>24</v>
      </c>
      <c r="Z31" s="86" t="s">
        <v>571</v>
      </c>
      <c r="AA31" s="86"/>
      <c r="AB31" s="86" t="s">
        <v>376</v>
      </c>
      <c r="AC31" s="86">
        <v>0</v>
      </c>
      <c r="AD31" s="86" t="s">
        <v>376</v>
      </c>
      <c r="AE31" s="86" t="s">
        <v>375</v>
      </c>
    </row>
    <row r="32" spans="1:31" s="18" customFormat="1" ht="15.75" x14ac:dyDescent="0.25">
      <c r="A32" s="80">
        <v>3</v>
      </c>
      <c r="B32" s="90">
        <v>46163</v>
      </c>
      <c r="C32" s="86" t="s">
        <v>394</v>
      </c>
      <c r="D32" s="86" t="s">
        <v>30</v>
      </c>
      <c r="E32" s="86" t="s">
        <v>524</v>
      </c>
      <c r="F32" s="86">
        <v>96</v>
      </c>
      <c r="G32" s="86" t="s">
        <v>511</v>
      </c>
      <c r="H32" s="86" t="s">
        <v>385</v>
      </c>
      <c r="I32" s="86">
        <v>100</v>
      </c>
      <c r="J32" s="86"/>
      <c r="K32" s="86" t="s">
        <v>506</v>
      </c>
      <c r="L32" s="86"/>
      <c r="M32" s="86"/>
      <c r="N32" s="86" t="s">
        <v>525</v>
      </c>
      <c r="O32" s="86" t="s">
        <v>526</v>
      </c>
      <c r="P32" s="86" t="s">
        <v>527</v>
      </c>
      <c r="Q32" s="86" t="s">
        <v>528</v>
      </c>
      <c r="R32" s="86" t="s">
        <v>374</v>
      </c>
      <c r="S32" s="86" t="s">
        <v>386</v>
      </c>
      <c r="T32" s="86" t="s">
        <v>386</v>
      </c>
      <c r="U32" s="86" t="s">
        <v>572</v>
      </c>
      <c r="V32" s="86"/>
      <c r="W32" s="86"/>
      <c r="X32" s="86" t="s">
        <v>375</v>
      </c>
      <c r="Y32" s="86">
        <v>25</v>
      </c>
      <c r="Z32" s="86" t="s">
        <v>572</v>
      </c>
      <c r="AA32" s="86"/>
      <c r="AB32" s="86" t="s">
        <v>376</v>
      </c>
      <c r="AC32" s="86">
        <v>0</v>
      </c>
      <c r="AD32" s="86" t="s">
        <v>376</v>
      </c>
      <c r="AE32" s="86" t="s">
        <v>375</v>
      </c>
    </row>
    <row r="33" spans="1:31" s="18" customFormat="1" ht="15.75" x14ac:dyDescent="0.25">
      <c r="A33" s="80">
        <v>3</v>
      </c>
      <c r="B33" s="90">
        <v>46164</v>
      </c>
      <c r="C33" s="86" t="s">
        <v>372</v>
      </c>
      <c r="D33" s="86" t="s">
        <v>30</v>
      </c>
      <c r="E33" s="86" t="s">
        <v>524</v>
      </c>
      <c r="F33" s="86">
        <v>78</v>
      </c>
      <c r="G33" s="86" t="s">
        <v>511</v>
      </c>
      <c r="H33" s="86" t="s">
        <v>385</v>
      </c>
      <c r="I33" s="86">
        <v>100</v>
      </c>
      <c r="J33" s="86"/>
      <c r="K33" s="86" t="s">
        <v>506</v>
      </c>
      <c r="L33" s="86"/>
      <c r="M33" s="86"/>
      <c r="N33" s="86" t="s">
        <v>525</v>
      </c>
      <c r="O33" s="86" t="s">
        <v>526</v>
      </c>
      <c r="P33" s="86" t="s">
        <v>527</v>
      </c>
      <c r="Q33" s="86" t="s">
        <v>528</v>
      </c>
      <c r="R33" s="86" t="s">
        <v>374</v>
      </c>
      <c r="S33" s="86" t="s">
        <v>386</v>
      </c>
      <c r="T33" s="86" t="s">
        <v>386</v>
      </c>
      <c r="U33" s="86" t="s">
        <v>573</v>
      </c>
      <c r="V33" s="86"/>
      <c r="W33" s="86"/>
      <c r="X33" s="86" t="s">
        <v>375</v>
      </c>
      <c r="Y33" s="86">
        <v>25</v>
      </c>
      <c r="Z33" s="86" t="s">
        <v>573</v>
      </c>
      <c r="AA33" s="86"/>
      <c r="AB33" s="86" t="s">
        <v>376</v>
      </c>
      <c r="AC33" s="86">
        <v>0</v>
      </c>
      <c r="AD33" s="86" t="s">
        <v>376</v>
      </c>
      <c r="AE33" s="86" t="s">
        <v>375</v>
      </c>
    </row>
    <row r="34" spans="1:31" s="18" customFormat="1" ht="15.75" x14ac:dyDescent="0.25">
      <c r="A34" s="80">
        <v>3</v>
      </c>
      <c r="B34" s="90">
        <v>46167</v>
      </c>
      <c r="C34" s="86" t="s">
        <v>372</v>
      </c>
      <c r="D34" s="86" t="s">
        <v>30</v>
      </c>
      <c r="E34" s="86" t="s">
        <v>524</v>
      </c>
      <c r="F34" s="86">
        <v>135</v>
      </c>
      <c r="G34" s="86" t="s">
        <v>511</v>
      </c>
      <c r="H34" s="86" t="s">
        <v>385</v>
      </c>
      <c r="I34" s="86">
        <v>100</v>
      </c>
      <c r="J34" s="86"/>
      <c r="K34" s="86" t="s">
        <v>506</v>
      </c>
      <c r="L34" s="86"/>
      <c r="M34" s="86"/>
      <c r="N34" s="86" t="s">
        <v>525</v>
      </c>
      <c r="O34" s="86" t="s">
        <v>526</v>
      </c>
      <c r="P34" s="86" t="s">
        <v>527</v>
      </c>
      <c r="Q34" s="86" t="s">
        <v>528</v>
      </c>
      <c r="R34" s="86" t="s">
        <v>374</v>
      </c>
      <c r="S34" s="86" t="s">
        <v>386</v>
      </c>
      <c r="T34" s="86" t="s">
        <v>386</v>
      </c>
      <c r="U34" s="86" t="s">
        <v>574</v>
      </c>
      <c r="V34" s="86"/>
      <c r="W34" s="86"/>
      <c r="X34" s="86" t="s">
        <v>375</v>
      </c>
      <c r="Y34" s="86">
        <v>25</v>
      </c>
      <c r="Z34" s="86" t="s">
        <v>574</v>
      </c>
      <c r="AA34" s="86"/>
      <c r="AB34" s="86" t="s">
        <v>376</v>
      </c>
      <c r="AC34" s="86">
        <v>0</v>
      </c>
      <c r="AD34" s="86" t="s">
        <v>376</v>
      </c>
      <c r="AE34" s="86" t="s">
        <v>375</v>
      </c>
    </row>
    <row r="35" spans="1:31" s="18" customFormat="1" ht="15.75" x14ac:dyDescent="0.25">
      <c r="A35" s="80">
        <v>3</v>
      </c>
      <c r="B35" s="90">
        <v>46167</v>
      </c>
      <c r="C35" s="86" t="s">
        <v>377</v>
      </c>
      <c r="D35" s="86" t="s">
        <v>49</v>
      </c>
      <c r="E35" s="86" t="s">
        <v>561</v>
      </c>
      <c r="F35" s="86">
        <v>6</v>
      </c>
      <c r="G35" s="86" t="s">
        <v>562</v>
      </c>
      <c r="H35" s="86" t="s">
        <v>390</v>
      </c>
      <c r="I35" s="86">
        <v>230</v>
      </c>
      <c r="J35" s="86"/>
      <c r="K35" s="86" t="s">
        <v>550</v>
      </c>
      <c r="L35" s="86"/>
      <c r="M35" s="86"/>
      <c r="N35" s="86" t="s">
        <v>169</v>
      </c>
      <c r="O35" s="86" t="s">
        <v>517</v>
      </c>
      <c r="P35" s="86" t="s">
        <v>518</v>
      </c>
      <c r="Q35" s="86" t="s">
        <v>373</v>
      </c>
      <c r="R35" s="86" t="s">
        <v>374</v>
      </c>
      <c r="S35" s="86" t="s">
        <v>386</v>
      </c>
      <c r="T35" s="86" t="s">
        <v>169</v>
      </c>
      <c r="U35" s="86" t="s">
        <v>575</v>
      </c>
      <c r="V35" s="86"/>
      <c r="W35" s="86"/>
      <c r="X35" s="86" t="s">
        <v>375</v>
      </c>
      <c r="Y35" s="86">
        <v>26</v>
      </c>
      <c r="Z35" s="86" t="s">
        <v>575</v>
      </c>
      <c r="AA35" s="86"/>
      <c r="AB35" s="86" t="s">
        <v>376</v>
      </c>
      <c r="AC35" s="86">
        <v>0</v>
      </c>
      <c r="AD35" s="86" t="s">
        <v>376</v>
      </c>
      <c r="AE35" s="86" t="s">
        <v>375</v>
      </c>
    </row>
    <row r="36" spans="1:31" s="18" customFormat="1" ht="15.75" x14ac:dyDescent="0.25">
      <c r="A36" s="80">
        <v>3</v>
      </c>
      <c r="B36" s="90">
        <v>46167</v>
      </c>
      <c r="C36" s="86" t="s">
        <v>378</v>
      </c>
      <c r="D36" s="86" t="s">
        <v>38</v>
      </c>
      <c r="E36" s="86" t="s">
        <v>530</v>
      </c>
      <c r="F36" s="86">
        <v>30</v>
      </c>
      <c r="G36" s="86" t="s">
        <v>531</v>
      </c>
      <c r="H36" s="86" t="s">
        <v>390</v>
      </c>
      <c r="I36" s="86">
        <v>230</v>
      </c>
      <c r="J36" s="86"/>
      <c r="K36" s="86" t="s">
        <v>506</v>
      </c>
      <c r="L36" s="86"/>
      <c r="M36" s="86"/>
      <c r="N36" s="86" t="s">
        <v>169</v>
      </c>
      <c r="O36" s="86" t="s">
        <v>517</v>
      </c>
      <c r="P36" s="86" t="s">
        <v>532</v>
      </c>
      <c r="Q36" s="86" t="s">
        <v>373</v>
      </c>
      <c r="R36" s="86" t="s">
        <v>374</v>
      </c>
      <c r="S36" s="86" t="s">
        <v>386</v>
      </c>
      <c r="T36" s="86" t="s">
        <v>169</v>
      </c>
      <c r="U36" s="86" t="s">
        <v>576</v>
      </c>
      <c r="V36" s="86"/>
      <c r="W36" s="86"/>
      <c r="X36" s="86" t="s">
        <v>375</v>
      </c>
      <c r="Y36" s="86">
        <v>27</v>
      </c>
      <c r="Z36" s="86" t="s">
        <v>576</v>
      </c>
      <c r="AA36" s="86"/>
      <c r="AB36" s="86" t="s">
        <v>376</v>
      </c>
      <c r="AC36" s="86">
        <v>0</v>
      </c>
      <c r="AD36" s="86" t="s">
        <v>376</v>
      </c>
      <c r="AE36" s="86" t="s">
        <v>375</v>
      </c>
    </row>
    <row r="37" spans="1:31" s="18" customFormat="1" ht="15.75" x14ac:dyDescent="0.25">
      <c r="A37" s="80">
        <v>3</v>
      </c>
      <c r="B37" s="90">
        <v>46168</v>
      </c>
      <c r="C37" s="86" t="s">
        <v>372</v>
      </c>
      <c r="D37" s="86" t="s">
        <v>38</v>
      </c>
      <c r="E37" s="86" t="s">
        <v>530</v>
      </c>
      <c r="F37" s="86">
        <v>50</v>
      </c>
      <c r="G37" s="86" t="s">
        <v>531</v>
      </c>
      <c r="H37" s="86" t="s">
        <v>390</v>
      </c>
      <c r="I37" s="86">
        <v>230</v>
      </c>
      <c r="J37" s="86"/>
      <c r="K37" s="86" t="s">
        <v>506</v>
      </c>
      <c r="L37" s="86"/>
      <c r="M37" s="86"/>
      <c r="N37" s="86" t="s">
        <v>169</v>
      </c>
      <c r="O37" s="86" t="s">
        <v>517</v>
      </c>
      <c r="P37" s="86" t="s">
        <v>532</v>
      </c>
      <c r="Q37" s="86" t="s">
        <v>373</v>
      </c>
      <c r="R37" s="86" t="s">
        <v>374</v>
      </c>
      <c r="S37" s="86" t="s">
        <v>386</v>
      </c>
      <c r="T37" s="86" t="s">
        <v>169</v>
      </c>
      <c r="U37" s="86" t="s">
        <v>577</v>
      </c>
      <c r="V37" s="86"/>
      <c r="W37" s="86"/>
      <c r="X37" s="86" t="s">
        <v>375</v>
      </c>
      <c r="Y37" s="86">
        <v>27</v>
      </c>
      <c r="Z37" s="86" t="s">
        <v>577</v>
      </c>
      <c r="AA37" s="86"/>
      <c r="AB37" s="86" t="s">
        <v>376</v>
      </c>
      <c r="AC37" s="86">
        <v>0</v>
      </c>
      <c r="AD37" s="86" t="s">
        <v>376</v>
      </c>
      <c r="AE37" s="86" t="s">
        <v>375</v>
      </c>
    </row>
    <row r="38" spans="1:31" s="18" customFormat="1" ht="15.75" x14ac:dyDescent="0.25">
      <c r="A38" s="80">
        <v>3</v>
      </c>
      <c r="B38" s="90">
        <v>46168</v>
      </c>
      <c r="C38" s="86" t="s">
        <v>377</v>
      </c>
      <c r="D38" s="86" t="s">
        <v>30</v>
      </c>
      <c r="E38" s="86" t="s">
        <v>524</v>
      </c>
      <c r="F38" s="86">
        <v>40</v>
      </c>
      <c r="G38" s="86" t="s">
        <v>511</v>
      </c>
      <c r="H38" s="86" t="s">
        <v>385</v>
      </c>
      <c r="I38" s="86">
        <v>100</v>
      </c>
      <c r="J38" s="86"/>
      <c r="K38" s="86" t="s">
        <v>506</v>
      </c>
      <c r="L38" s="86"/>
      <c r="M38" s="86"/>
      <c r="N38" s="86" t="s">
        <v>525</v>
      </c>
      <c r="O38" s="86" t="s">
        <v>526</v>
      </c>
      <c r="P38" s="86" t="s">
        <v>527</v>
      </c>
      <c r="Q38" s="86" t="s">
        <v>528</v>
      </c>
      <c r="R38" s="86" t="s">
        <v>374</v>
      </c>
      <c r="S38" s="86" t="s">
        <v>386</v>
      </c>
      <c r="T38" s="86" t="s">
        <v>386</v>
      </c>
      <c r="U38" s="86" t="s">
        <v>578</v>
      </c>
      <c r="V38" s="86"/>
      <c r="W38" s="86"/>
      <c r="X38" s="86" t="s">
        <v>375</v>
      </c>
      <c r="Y38" s="86">
        <v>28</v>
      </c>
      <c r="Z38" s="86" t="s">
        <v>578</v>
      </c>
      <c r="AA38" s="86"/>
      <c r="AB38" s="86" t="s">
        <v>376</v>
      </c>
      <c r="AC38" s="86">
        <v>0</v>
      </c>
      <c r="AD38" s="86" t="s">
        <v>376</v>
      </c>
      <c r="AE38" s="86" t="s">
        <v>375</v>
      </c>
    </row>
    <row r="39" spans="1:31" s="18" customFormat="1" ht="15.75" x14ac:dyDescent="0.25">
      <c r="A39" s="80">
        <v>3</v>
      </c>
      <c r="B39" s="90">
        <v>46168</v>
      </c>
      <c r="C39" s="86" t="s">
        <v>378</v>
      </c>
      <c r="D39" s="86" t="s">
        <v>38</v>
      </c>
      <c r="E39" s="86" t="s">
        <v>530</v>
      </c>
      <c r="F39" s="86">
        <v>81</v>
      </c>
      <c r="G39" s="86" t="s">
        <v>531</v>
      </c>
      <c r="H39" s="86" t="s">
        <v>390</v>
      </c>
      <c r="I39" s="86">
        <v>230</v>
      </c>
      <c r="J39" s="86"/>
      <c r="K39" s="86" t="s">
        <v>506</v>
      </c>
      <c r="L39" s="86"/>
      <c r="M39" s="86"/>
      <c r="N39" s="86" t="s">
        <v>169</v>
      </c>
      <c r="O39" s="86" t="s">
        <v>517</v>
      </c>
      <c r="P39" s="86" t="s">
        <v>532</v>
      </c>
      <c r="Q39" s="86" t="s">
        <v>373</v>
      </c>
      <c r="R39" s="86" t="s">
        <v>374</v>
      </c>
      <c r="S39" s="86" t="s">
        <v>386</v>
      </c>
      <c r="T39" s="86" t="s">
        <v>169</v>
      </c>
      <c r="U39" s="86" t="s">
        <v>579</v>
      </c>
      <c r="V39" s="86"/>
      <c r="W39" s="86"/>
      <c r="X39" s="86" t="s">
        <v>375</v>
      </c>
      <c r="Y39" s="86">
        <v>29</v>
      </c>
      <c r="Z39" s="86" t="s">
        <v>579</v>
      </c>
      <c r="AA39" s="86"/>
      <c r="AB39" s="86" t="s">
        <v>376</v>
      </c>
      <c r="AC39" s="86">
        <v>0</v>
      </c>
      <c r="AD39" s="86" t="s">
        <v>376</v>
      </c>
      <c r="AE39" s="86" t="s">
        <v>375</v>
      </c>
    </row>
    <row r="40" spans="1:31" s="18" customFormat="1" ht="15.75" x14ac:dyDescent="0.25">
      <c r="A40" s="80">
        <v>3</v>
      </c>
      <c r="B40" s="90">
        <v>46168</v>
      </c>
      <c r="C40" s="86" t="s">
        <v>379</v>
      </c>
      <c r="D40" s="86" t="s">
        <v>30</v>
      </c>
      <c r="E40" s="86" t="s">
        <v>524</v>
      </c>
      <c r="F40" s="86">
        <v>44</v>
      </c>
      <c r="G40" s="86" t="s">
        <v>511</v>
      </c>
      <c r="H40" s="86" t="s">
        <v>385</v>
      </c>
      <c r="I40" s="86">
        <v>100</v>
      </c>
      <c r="J40" s="86"/>
      <c r="K40" s="86" t="s">
        <v>506</v>
      </c>
      <c r="L40" s="86"/>
      <c r="M40" s="86"/>
      <c r="N40" s="86" t="s">
        <v>525</v>
      </c>
      <c r="O40" s="86" t="s">
        <v>526</v>
      </c>
      <c r="P40" s="86" t="s">
        <v>527</v>
      </c>
      <c r="Q40" s="86" t="s">
        <v>528</v>
      </c>
      <c r="R40" s="86" t="s">
        <v>374</v>
      </c>
      <c r="S40" s="86" t="s">
        <v>386</v>
      </c>
      <c r="T40" s="86" t="s">
        <v>386</v>
      </c>
      <c r="U40" s="86" t="s">
        <v>580</v>
      </c>
      <c r="V40" s="86"/>
      <c r="W40" s="86"/>
      <c r="X40" s="86" t="s">
        <v>375</v>
      </c>
      <c r="Y40" s="86">
        <v>30</v>
      </c>
      <c r="Z40" s="86" t="s">
        <v>580</v>
      </c>
      <c r="AA40" s="86"/>
      <c r="AB40" s="86" t="s">
        <v>376</v>
      </c>
      <c r="AC40" s="86">
        <v>0</v>
      </c>
      <c r="AD40" s="86" t="s">
        <v>376</v>
      </c>
      <c r="AE40" s="86" t="s">
        <v>375</v>
      </c>
    </row>
    <row r="41" spans="1:31" s="18" customFormat="1" ht="15.75" x14ac:dyDescent="0.25">
      <c r="A41" s="80">
        <v>3</v>
      </c>
      <c r="B41" s="90">
        <v>46168</v>
      </c>
      <c r="C41" s="86" t="s">
        <v>387</v>
      </c>
      <c r="D41" s="86" t="s">
        <v>38</v>
      </c>
      <c r="E41" s="86" t="s">
        <v>530</v>
      </c>
      <c r="F41" s="86">
        <v>55</v>
      </c>
      <c r="G41" s="86" t="s">
        <v>531</v>
      </c>
      <c r="H41" s="86" t="s">
        <v>390</v>
      </c>
      <c r="I41" s="86">
        <v>230</v>
      </c>
      <c r="J41" s="86"/>
      <c r="K41" s="86" t="s">
        <v>506</v>
      </c>
      <c r="L41" s="86"/>
      <c r="M41" s="86"/>
      <c r="N41" s="86" t="s">
        <v>169</v>
      </c>
      <c r="O41" s="86" t="s">
        <v>517</v>
      </c>
      <c r="P41" s="86" t="s">
        <v>532</v>
      </c>
      <c r="Q41" s="86" t="s">
        <v>373</v>
      </c>
      <c r="R41" s="86" t="s">
        <v>374</v>
      </c>
      <c r="S41" s="86" t="s">
        <v>386</v>
      </c>
      <c r="T41" s="86" t="s">
        <v>169</v>
      </c>
      <c r="U41" s="86" t="s">
        <v>581</v>
      </c>
      <c r="V41" s="86"/>
      <c r="W41" s="86"/>
      <c r="X41" s="86" t="s">
        <v>375</v>
      </c>
      <c r="Y41" s="86">
        <v>31</v>
      </c>
      <c r="Z41" s="86" t="s">
        <v>581</v>
      </c>
      <c r="AA41" s="86"/>
      <c r="AB41" s="86" t="s">
        <v>376</v>
      </c>
      <c r="AC41" s="86">
        <v>0</v>
      </c>
      <c r="AD41" s="86" t="s">
        <v>376</v>
      </c>
      <c r="AE41" s="86" t="s">
        <v>375</v>
      </c>
    </row>
    <row r="42" spans="1:31" s="18" customFormat="1" ht="15.75" x14ac:dyDescent="0.25">
      <c r="A42" s="80">
        <v>3</v>
      </c>
      <c r="B42" s="90">
        <v>46169</v>
      </c>
      <c r="C42" s="86" t="s">
        <v>372</v>
      </c>
      <c r="D42" s="86" t="s">
        <v>38</v>
      </c>
      <c r="E42" s="86" t="s">
        <v>530</v>
      </c>
      <c r="F42" s="86">
        <v>5</v>
      </c>
      <c r="G42" s="86" t="s">
        <v>531</v>
      </c>
      <c r="H42" s="86" t="s">
        <v>390</v>
      </c>
      <c r="I42" s="86">
        <v>230</v>
      </c>
      <c r="J42" s="86"/>
      <c r="K42" s="86" t="s">
        <v>506</v>
      </c>
      <c r="L42" s="86"/>
      <c r="M42" s="86"/>
      <c r="N42" s="86" t="s">
        <v>169</v>
      </c>
      <c r="O42" s="86" t="s">
        <v>517</v>
      </c>
      <c r="P42" s="86" t="s">
        <v>532</v>
      </c>
      <c r="Q42" s="86" t="s">
        <v>373</v>
      </c>
      <c r="R42" s="86" t="s">
        <v>374</v>
      </c>
      <c r="S42" s="86" t="s">
        <v>386</v>
      </c>
      <c r="T42" s="86" t="s">
        <v>169</v>
      </c>
      <c r="U42" s="86" t="s">
        <v>582</v>
      </c>
      <c r="V42" s="86"/>
      <c r="W42" s="86"/>
      <c r="X42" s="86" t="s">
        <v>375</v>
      </c>
      <c r="Y42" s="86">
        <v>31</v>
      </c>
      <c r="Z42" s="86" t="s">
        <v>582</v>
      </c>
      <c r="AA42" s="86"/>
      <c r="AB42" s="86" t="s">
        <v>376</v>
      </c>
      <c r="AC42" s="86">
        <v>0</v>
      </c>
      <c r="AD42" s="86" t="s">
        <v>376</v>
      </c>
      <c r="AE42" s="86" t="s">
        <v>375</v>
      </c>
    </row>
    <row r="43" spans="1:31" s="18" customFormat="1" ht="15.75" x14ac:dyDescent="0.25">
      <c r="A43" s="80">
        <v>3</v>
      </c>
      <c r="B43" s="90">
        <v>46169</v>
      </c>
      <c r="C43" s="86" t="s">
        <v>377</v>
      </c>
      <c r="D43" s="86" t="s">
        <v>30</v>
      </c>
      <c r="E43" s="86" t="s">
        <v>524</v>
      </c>
      <c r="F43" s="86">
        <v>40</v>
      </c>
      <c r="G43" s="86" t="s">
        <v>511</v>
      </c>
      <c r="H43" s="86" t="s">
        <v>385</v>
      </c>
      <c r="I43" s="86">
        <v>100</v>
      </c>
      <c r="J43" s="86"/>
      <c r="K43" s="86" t="s">
        <v>506</v>
      </c>
      <c r="L43" s="86"/>
      <c r="M43" s="86"/>
      <c r="N43" s="86" t="s">
        <v>525</v>
      </c>
      <c r="O43" s="86" t="s">
        <v>526</v>
      </c>
      <c r="P43" s="86" t="s">
        <v>527</v>
      </c>
      <c r="Q43" s="86" t="s">
        <v>528</v>
      </c>
      <c r="R43" s="86" t="s">
        <v>374</v>
      </c>
      <c r="S43" s="86" t="s">
        <v>386</v>
      </c>
      <c r="T43" s="86" t="s">
        <v>386</v>
      </c>
      <c r="U43" s="86" t="s">
        <v>583</v>
      </c>
      <c r="V43" s="86"/>
      <c r="W43" s="86"/>
      <c r="X43" s="86" t="s">
        <v>375</v>
      </c>
      <c r="Y43" s="86">
        <v>32</v>
      </c>
      <c r="Z43" s="86" t="s">
        <v>583</v>
      </c>
      <c r="AA43" s="86"/>
      <c r="AB43" s="86" t="s">
        <v>376</v>
      </c>
      <c r="AC43" s="86">
        <v>0</v>
      </c>
      <c r="AD43" s="86" t="s">
        <v>376</v>
      </c>
      <c r="AE43" s="86" t="s">
        <v>375</v>
      </c>
    </row>
    <row r="44" spans="1:31" s="18" customFormat="1" ht="15.75" x14ac:dyDescent="0.25">
      <c r="A44" s="80">
        <v>3</v>
      </c>
      <c r="B44" s="90">
        <v>46169</v>
      </c>
      <c r="C44" s="86" t="s">
        <v>378</v>
      </c>
      <c r="D44" s="86" t="s">
        <v>38</v>
      </c>
      <c r="E44" s="86" t="s">
        <v>530</v>
      </c>
      <c r="F44" s="86">
        <v>60</v>
      </c>
      <c r="G44" s="86" t="s">
        <v>531</v>
      </c>
      <c r="H44" s="86" t="s">
        <v>390</v>
      </c>
      <c r="I44" s="86">
        <v>230</v>
      </c>
      <c r="J44" s="86"/>
      <c r="K44" s="86" t="s">
        <v>506</v>
      </c>
      <c r="L44" s="86"/>
      <c r="M44" s="86"/>
      <c r="N44" s="86" t="s">
        <v>169</v>
      </c>
      <c r="O44" s="86" t="s">
        <v>517</v>
      </c>
      <c r="P44" s="86" t="s">
        <v>532</v>
      </c>
      <c r="Q44" s="86" t="s">
        <v>373</v>
      </c>
      <c r="R44" s="86" t="s">
        <v>374</v>
      </c>
      <c r="S44" s="86" t="s">
        <v>386</v>
      </c>
      <c r="T44" s="86" t="s">
        <v>169</v>
      </c>
      <c r="U44" s="86" t="s">
        <v>584</v>
      </c>
      <c r="V44" s="86"/>
      <c r="W44" s="86"/>
      <c r="X44" s="86" t="s">
        <v>375</v>
      </c>
      <c r="Y44" s="86">
        <v>33</v>
      </c>
      <c r="Z44" s="86" t="s">
        <v>584</v>
      </c>
      <c r="AA44" s="86"/>
      <c r="AB44" s="86" t="s">
        <v>376</v>
      </c>
      <c r="AC44" s="86">
        <v>0</v>
      </c>
      <c r="AD44" s="86" t="s">
        <v>376</v>
      </c>
      <c r="AE44" s="86" t="s">
        <v>375</v>
      </c>
    </row>
    <row r="45" spans="1:31" s="18" customFormat="1" ht="15.75" x14ac:dyDescent="0.25">
      <c r="A45" s="80">
        <v>3</v>
      </c>
      <c r="B45" s="90">
        <v>46169</v>
      </c>
      <c r="C45" s="86" t="s">
        <v>379</v>
      </c>
      <c r="D45" s="86" t="s">
        <v>30</v>
      </c>
      <c r="E45" s="86" t="s">
        <v>524</v>
      </c>
      <c r="F45" s="86">
        <v>40</v>
      </c>
      <c r="G45" s="86" t="s">
        <v>511</v>
      </c>
      <c r="H45" s="86" t="s">
        <v>385</v>
      </c>
      <c r="I45" s="86">
        <v>100</v>
      </c>
      <c r="J45" s="86"/>
      <c r="K45" s="86" t="s">
        <v>506</v>
      </c>
      <c r="L45" s="86"/>
      <c r="M45" s="86"/>
      <c r="N45" s="86" t="s">
        <v>525</v>
      </c>
      <c r="O45" s="86" t="s">
        <v>526</v>
      </c>
      <c r="P45" s="86" t="s">
        <v>527</v>
      </c>
      <c r="Q45" s="86" t="s">
        <v>528</v>
      </c>
      <c r="R45" s="86" t="s">
        <v>374</v>
      </c>
      <c r="S45" s="86" t="s">
        <v>386</v>
      </c>
      <c r="T45" s="86" t="s">
        <v>386</v>
      </c>
      <c r="U45" s="86" t="s">
        <v>585</v>
      </c>
      <c r="V45" s="86"/>
      <c r="W45" s="86"/>
      <c r="X45" s="86" t="s">
        <v>375</v>
      </c>
      <c r="Y45" s="86">
        <v>34</v>
      </c>
      <c r="Z45" s="86" t="s">
        <v>585</v>
      </c>
      <c r="AA45" s="86"/>
      <c r="AB45" s="86" t="s">
        <v>376</v>
      </c>
      <c r="AC45" s="86">
        <v>0</v>
      </c>
      <c r="AD45" s="86" t="s">
        <v>376</v>
      </c>
      <c r="AE45" s="86" t="s">
        <v>375</v>
      </c>
    </row>
    <row r="46" spans="1:31" s="18" customFormat="1" ht="15.75" x14ac:dyDescent="0.25">
      <c r="A46" s="80">
        <v>3</v>
      </c>
      <c r="B46" s="90">
        <v>46169</v>
      </c>
      <c r="C46" s="86" t="s">
        <v>387</v>
      </c>
      <c r="D46" s="86" t="s">
        <v>38</v>
      </c>
      <c r="E46" s="86" t="s">
        <v>530</v>
      </c>
      <c r="F46" s="86">
        <v>60</v>
      </c>
      <c r="G46" s="86" t="s">
        <v>531</v>
      </c>
      <c r="H46" s="86" t="s">
        <v>390</v>
      </c>
      <c r="I46" s="86">
        <v>230</v>
      </c>
      <c r="J46" s="86"/>
      <c r="K46" s="86" t="s">
        <v>506</v>
      </c>
      <c r="L46" s="86"/>
      <c r="M46" s="86"/>
      <c r="N46" s="86" t="s">
        <v>169</v>
      </c>
      <c r="O46" s="86" t="s">
        <v>517</v>
      </c>
      <c r="P46" s="86" t="s">
        <v>532</v>
      </c>
      <c r="Q46" s="86" t="s">
        <v>373</v>
      </c>
      <c r="R46" s="86" t="s">
        <v>374</v>
      </c>
      <c r="S46" s="86" t="s">
        <v>386</v>
      </c>
      <c r="T46" s="86" t="s">
        <v>169</v>
      </c>
      <c r="U46" s="86" t="s">
        <v>586</v>
      </c>
      <c r="V46" s="86" t="s">
        <v>380</v>
      </c>
      <c r="W46" s="86"/>
      <c r="X46" s="86" t="s">
        <v>375</v>
      </c>
      <c r="Y46" s="86">
        <v>35</v>
      </c>
      <c r="Z46" s="86" t="s">
        <v>587</v>
      </c>
      <c r="AA46" s="86"/>
      <c r="AB46" s="86" t="s">
        <v>380</v>
      </c>
      <c r="AC46" s="86">
        <v>1</v>
      </c>
      <c r="AD46" s="86" t="s">
        <v>381</v>
      </c>
      <c r="AE46" s="86" t="s">
        <v>382</v>
      </c>
    </row>
    <row r="47" spans="1:31" s="18" customFormat="1" ht="15.75" x14ac:dyDescent="0.25">
      <c r="A47" s="80">
        <v>3</v>
      </c>
      <c r="B47" s="90">
        <v>46169</v>
      </c>
      <c r="C47" s="86" t="s">
        <v>388</v>
      </c>
      <c r="D47" s="86" t="s">
        <v>30</v>
      </c>
      <c r="E47" s="86" t="s">
        <v>524</v>
      </c>
      <c r="F47" s="86">
        <v>40</v>
      </c>
      <c r="G47" s="86" t="s">
        <v>511</v>
      </c>
      <c r="H47" s="86" t="s">
        <v>385</v>
      </c>
      <c r="I47" s="86">
        <v>100</v>
      </c>
      <c r="J47" s="86"/>
      <c r="K47" s="86" t="s">
        <v>506</v>
      </c>
      <c r="L47" s="86"/>
      <c r="M47" s="86"/>
      <c r="N47" s="86" t="s">
        <v>525</v>
      </c>
      <c r="O47" s="86" t="s">
        <v>526</v>
      </c>
      <c r="P47" s="86" t="s">
        <v>527</v>
      </c>
      <c r="Q47" s="86" t="s">
        <v>528</v>
      </c>
      <c r="R47" s="86" t="s">
        <v>374</v>
      </c>
      <c r="S47" s="86" t="s">
        <v>386</v>
      </c>
      <c r="T47" s="86" t="s">
        <v>386</v>
      </c>
      <c r="U47" s="86" t="s">
        <v>588</v>
      </c>
      <c r="V47" s="86" t="s">
        <v>380</v>
      </c>
      <c r="W47" s="86"/>
      <c r="X47" s="86" t="s">
        <v>375</v>
      </c>
      <c r="Y47" s="86">
        <v>36</v>
      </c>
      <c r="Z47" s="86" t="s">
        <v>589</v>
      </c>
      <c r="AA47" s="86"/>
      <c r="AB47" s="86" t="s">
        <v>380</v>
      </c>
      <c r="AC47" s="86">
        <v>1</v>
      </c>
      <c r="AD47" s="86" t="s">
        <v>381</v>
      </c>
      <c r="AE47" s="86" t="s">
        <v>382</v>
      </c>
    </row>
    <row r="48" spans="1:31" s="18" customFormat="1" ht="15.75" x14ac:dyDescent="0.25">
      <c r="A48" s="80">
        <v>3</v>
      </c>
      <c r="B48" s="90">
        <v>46169</v>
      </c>
      <c r="C48" s="86" t="s">
        <v>389</v>
      </c>
      <c r="D48" s="86" t="s">
        <v>38</v>
      </c>
      <c r="E48" s="86" t="s">
        <v>530</v>
      </c>
      <c r="F48" s="86">
        <v>20</v>
      </c>
      <c r="G48" s="86" t="s">
        <v>531</v>
      </c>
      <c r="H48" s="86" t="s">
        <v>390</v>
      </c>
      <c r="I48" s="86">
        <v>230</v>
      </c>
      <c r="J48" s="86"/>
      <c r="K48" s="86" t="s">
        <v>506</v>
      </c>
      <c r="L48" s="86"/>
      <c r="M48" s="86"/>
      <c r="N48" s="86" t="s">
        <v>169</v>
      </c>
      <c r="O48" s="86" t="s">
        <v>517</v>
      </c>
      <c r="P48" s="86" t="s">
        <v>532</v>
      </c>
      <c r="Q48" s="86" t="s">
        <v>373</v>
      </c>
      <c r="R48" s="86" t="s">
        <v>374</v>
      </c>
      <c r="S48" s="86" t="s">
        <v>386</v>
      </c>
      <c r="T48" s="86" t="s">
        <v>169</v>
      </c>
      <c r="U48" s="86" t="s">
        <v>590</v>
      </c>
      <c r="V48" s="86" t="s">
        <v>380</v>
      </c>
      <c r="W48" s="86"/>
      <c r="X48" s="86" t="s">
        <v>375</v>
      </c>
      <c r="Y48" s="86">
        <v>37</v>
      </c>
      <c r="Z48" s="86" t="s">
        <v>591</v>
      </c>
      <c r="AA48" s="86"/>
      <c r="AB48" s="86" t="s">
        <v>380</v>
      </c>
      <c r="AC48" s="86">
        <v>1</v>
      </c>
      <c r="AD48" s="86" t="s">
        <v>381</v>
      </c>
      <c r="AE48" s="86" t="s">
        <v>382</v>
      </c>
    </row>
    <row r="49" spans="1:31" s="18" customFormat="1" ht="15.75" x14ac:dyDescent="0.25">
      <c r="A49" s="80">
        <v>3</v>
      </c>
      <c r="B49" s="90">
        <v>46170</v>
      </c>
      <c r="C49" s="86" t="s">
        <v>372</v>
      </c>
      <c r="D49" s="86" t="s">
        <v>38</v>
      </c>
      <c r="E49" s="86" t="s">
        <v>530</v>
      </c>
      <c r="F49" s="86">
        <v>40</v>
      </c>
      <c r="G49" s="86" t="s">
        <v>531</v>
      </c>
      <c r="H49" s="86" t="s">
        <v>390</v>
      </c>
      <c r="I49" s="86">
        <v>230</v>
      </c>
      <c r="J49" s="86"/>
      <c r="K49" s="86" t="s">
        <v>506</v>
      </c>
      <c r="L49" s="86"/>
      <c r="M49" s="86"/>
      <c r="N49" s="86" t="s">
        <v>169</v>
      </c>
      <c r="O49" s="86" t="s">
        <v>517</v>
      </c>
      <c r="P49" s="86" t="s">
        <v>532</v>
      </c>
      <c r="Q49" s="86" t="s">
        <v>373</v>
      </c>
      <c r="R49" s="86" t="s">
        <v>374</v>
      </c>
      <c r="S49" s="86" t="s">
        <v>386</v>
      </c>
      <c r="T49" s="86" t="s">
        <v>169</v>
      </c>
      <c r="U49" s="86" t="s">
        <v>592</v>
      </c>
      <c r="V49" s="86" t="s">
        <v>380</v>
      </c>
      <c r="W49" s="86"/>
      <c r="X49" s="86" t="s">
        <v>375</v>
      </c>
      <c r="Y49" s="86">
        <v>37</v>
      </c>
      <c r="Z49" s="86" t="s">
        <v>589</v>
      </c>
      <c r="AA49" s="86"/>
      <c r="AB49" s="86" t="s">
        <v>380</v>
      </c>
      <c r="AC49" s="86">
        <v>1</v>
      </c>
      <c r="AD49" s="86" t="s">
        <v>381</v>
      </c>
      <c r="AE49" s="86" t="s">
        <v>382</v>
      </c>
    </row>
    <row r="50" spans="1:31" s="18" customFormat="1" ht="15.75" x14ac:dyDescent="0.25">
      <c r="A50" s="80">
        <v>3</v>
      </c>
      <c r="B50" s="90">
        <v>46170</v>
      </c>
      <c r="C50" s="86" t="s">
        <v>377</v>
      </c>
      <c r="D50" s="86" t="s">
        <v>30</v>
      </c>
      <c r="E50" s="86" t="s">
        <v>524</v>
      </c>
      <c r="F50" s="86">
        <v>50</v>
      </c>
      <c r="G50" s="86" t="s">
        <v>511</v>
      </c>
      <c r="H50" s="86" t="s">
        <v>385</v>
      </c>
      <c r="I50" s="86">
        <v>100</v>
      </c>
      <c r="J50" s="86"/>
      <c r="K50" s="86" t="s">
        <v>506</v>
      </c>
      <c r="L50" s="86"/>
      <c r="M50" s="86"/>
      <c r="N50" s="86" t="s">
        <v>525</v>
      </c>
      <c r="O50" s="86" t="s">
        <v>526</v>
      </c>
      <c r="P50" s="86" t="s">
        <v>527</v>
      </c>
      <c r="Q50" s="86" t="s">
        <v>528</v>
      </c>
      <c r="R50" s="86" t="s">
        <v>374</v>
      </c>
      <c r="S50" s="86" t="s">
        <v>386</v>
      </c>
      <c r="T50" s="86" t="s">
        <v>386</v>
      </c>
      <c r="U50" s="86" t="s">
        <v>593</v>
      </c>
      <c r="V50" s="86" t="s">
        <v>380</v>
      </c>
      <c r="W50" s="86"/>
      <c r="X50" s="86" t="s">
        <v>375</v>
      </c>
      <c r="Y50" s="86">
        <v>38</v>
      </c>
      <c r="Z50" s="86" t="s">
        <v>594</v>
      </c>
      <c r="AA50" s="86"/>
      <c r="AB50" s="86" t="s">
        <v>380</v>
      </c>
      <c r="AC50" s="86">
        <v>1</v>
      </c>
      <c r="AD50" s="86" t="s">
        <v>381</v>
      </c>
      <c r="AE50" s="86" t="s">
        <v>382</v>
      </c>
    </row>
    <row r="51" spans="1:31" s="18" customFormat="1" ht="15.75" x14ac:dyDescent="0.25">
      <c r="A51" s="80">
        <v>3</v>
      </c>
      <c r="B51" s="90">
        <v>46170</v>
      </c>
      <c r="C51" s="86" t="s">
        <v>378</v>
      </c>
      <c r="D51" s="86" t="s">
        <v>38</v>
      </c>
      <c r="E51" s="86" t="s">
        <v>530</v>
      </c>
      <c r="F51" s="86">
        <v>60</v>
      </c>
      <c r="G51" s="86" t="s">
        <v>531</v>
      </c>
      <c r="H51" s="86" t="s">
        <v>390</v>
      </c>
      <c r="I51" s="86">
        <v>230</v>
      </c>
      <c r="J51" s="86"/>
      <c r="K51" s="86" t="s">
        <v>506</v>
      </c>
      <c r="L51" s="86"/>
      <c r="M51" s="86"/>
      <c r="N51" s="86" t="s">
        <v>169</v>
      </c>
      <c r="O51" s="86" t="s">
        <v>517</v>
      </c>
      <c r="P51" s="86" t="s">
        <v>532</v>
      </c>
      <c r="Q51" s="86" t="s">
        <v>373</v>
      </c>
      <c r="R51" s="86" t="s">
        <v>374</v>
      </c>
      <c r="S51" s="86" t="s">
        <v>386</v>
      </c>
      <c r="T51" s="86" t="s">
        <v>169</v>
      </c>
      <c r="U51" s="86" t="s">
        <v>595</v>
      </c>
      <c r="V51" s="86" t="s">
        <v>380</v>
      </c>
      <c r="W51" s="86"/>
      <c r="X51" s="86" t="s">
        <v>375</v>
      </c>
      <c r="Y51" s="86">
        <v>39</v>
      </c>
      <c r="Z51" s="86" t="s">
        <v>587</v>
      </c>
      <c r="AA51" s="86"/>
      <c r="AB51" s="86" t="s">
        <v>380</v>
      </c>
      <c r="AC51" s="86">
        <v>1</v>
      </c>
      <c r="AD51" s="86" t="s">
        <v>381</v>
      </c>
      <c r="AE51" s="86" t="s">
        <v>382</v>
      </c>
    </row>
    <row r="52" spans="1:31" s="18" customFormat="1" ht="15.75" x14ac:dyDescent="0.25">
      <c r="A52" s="80">
        <v>3</v>
      </c>
      <c r="B52" s="90">
        <v>46170</v>
      </c>
      <c r="C52" s="86" t="s">
        <v>379</v>
      </c>
      <c r="D52" s="86" t="s">
        <v>42</v>
      </c>
      <c r="E52" s="86" t="s">
        <v>596</v>
      </c>
      <c r="F52" s="86">
        <v>6</v>
      </c>
      <c r="G52" s="86" t="s">
        <v>513</v>
      </c>
      <c r="H52" s="86" t="s">
        <v>391</v>
      </c>
      <c r="I52" s="86">
        <v>230</v>
      </c>
      <c r="J52" s="86"/>
      <c r="K52" s="86" t="s">
        <v>512</v>
      </c>
      <c r="L52" s="86"/>
      <c r="M52" s="86"/>
      <c r="N52" s="86" t="s">
        <v>169</v>
      </c>
      <c r="O52" s="86" t="s">
        <v>517</v>
      </c>
      <c r="P52" s="86" t="s">
        <v>518</v>
      </c>
      <c r="Q52" s="86" t="s">
        <v>373</v>
      </c>
      <c r="R52" s="86" t="s">
        <v>374</v>
      </c>
      <c r="S52" s="86" t="s">
        <v>386</v>
      </c>
      <c r="T52" s="86" t="s">
        <v>169</v>
      </c>
      <c r="U52" s="86" t="s">
        <v>597</v>
      </c>
      <c r="V52" s="86" t="s">
        <v>380</v>
      </c>
      <c r="W52" s="86"/>
      <c r="X52" s="86" t="s">
        <v>375</v>
      </c>
      <c r="Y52" s="86">
        <v>40</v>
      </c>
      <c r="Z52" s="86" t="s">
        <v>388</v>
      </c>
      <c r="AA52" s="86"/>
      <c r="AB52" s="86" t="s">
        <v>380</v>
      </c>
      <c r="AC52" s="86">
        <v>1</v>
      </c>
      <c r="AD52" s="86" t="s">
        <v>381</v>
      </c>
      <c r="AE52" s="86" t="s">
        <v>382</v>
      </c>
    </row>
    <row r="53" spans="1:31" s="18" customFormat="1" ht="15.75" x14ac:dyDescent="0.25">
      <c r="A53" s="80">
        <v>3</v>
      </c>
      <c r="B53" s="90">
        <v>46170</v>
      </c>
      <c r="C53" s="86" t="s">
        <v>387</v>
      </c>
      <c r="D53" s="86" t="s">
        <v>39</v>
      </c>
      <c r="E53" s="86" t="s">
        <v>565</v>
      </c>
      <c r="F53" s="86">
        <v>1</v>
      </c>
      <c r="G53" s="86" t="s">
        <v>531</v>
      </c>
      <c r="H53" s="86" t="s">
        <v>520</v>
      </c>
      <c r="I53" s="86">
        <v>120</v>
      </c>
      <c r="J53" s="86"/>
      <c r="K53" s="86" t="s">
        <v>506</v>
      </c>
      <c r="L53" s="86"/>
      <c r="M53" s="86"/>
      <c r="N53" s="86" t="s">
        <v>525</v>
      </c>
      <c r="O53" s="86" t="s">
        <v>526</v>
      </c>
      <c r="P53" s="86" t="s">
        <v>566</v>
      </c>
      <c r="Q53" s="86" t="s">
        <v>528</v>
      </c>
      <c r="R53" s="86" t="s">
        <v>374</v>
      </c>
      <c r="S53" s="86" t="s">
        <v>386</v>
      </c>
      <c r="T53" s="86" t="s">
        <v>169</v>
      </c>
      <c r="U53" s="86" t="s">
        <v>598</v>
      </c>
      <c r="V53" s="86" t="s">
        <v>380</v>
      </c>
      <c r="W53" s="86"/>
      <c r="X53" s="86" t="s">
        <v>375</v>
      </c>
      <c r="Y53" s="86">
        <v>41</v>
      </c>
      <c r="Z53" s="86" t="s">
        <v>372</v>
      </c>
      <c r="AA53" s="86"/>
      <c r="AB53" s="86" t="s">
        <v>380</v>
      </c>
      <c r="AC53" s="86">
        <v>1</v>
      </c>
      <c r="AD53" s="86" t="s">
        <v>381</v>
      </c>
      <c r="AE53" s="86" t="s">
        <v>382</v>
      </c>
    </row>
    <row r="54" spans="1:31" s="18" customFormat="1" ht="15.75" x14ac:dyDescent="0.25">
      <c r="A54" s="80">
        <v>3</v>
      </c>
      <c r="B54" s="90">
        <v>46170</v>
      </c>
      <c r="C54" s="86" t="s">
        <v>388</v>
      </c>
      <c r="D54" s="86" t="s">
        <v>41</v>
      </c>
      <c r="E54" s="86" t="s">
        <v>535</v>
      </c>
      <c r="F54" s="86">
        <v>24</v>
      </c>
      <c r="G54" s="86" t="s">
        <v>536</v>
      </c>
      <c r="H54" s="86" t="s">
        <v>391</v>
      </c>
      <c r="I54" s="86">
        <v>230</v>
      </c>
      <c r="J54" s="86"/>
      <c r="K54" s="86" t="s">
        <v>506</v>
      </c>
      <c r="L54" s="86"/>
      <c r="M54" s="86"/>
      <c r="N54" s="86" t="s">
        <v>169</v>
      </c>
      <c r="O54" s="86" t="s">
        <v>537</v>
      </c>
      <c r="P54" s="86" t="s">
        <v>538</v>
      </c>
      <c r="Q54" s="86" t="s">
        <v>373</v>
      </c>
      <c r="R54" s="86" t="s">
        <v>539</v>
      </c>
      <c r="S54" s="86" t="s">
        <v>386</v>
      </c>
      <c r="T54" s="86" t="s">
        <v>169</v>
      </c>
      <c r="U54" s="86" t="s">
        <v>599</v>
      </c>
      <c r="V54" s="86" t="s">
        <v>380</v>
      </c>
      <c r="W54" s="86"/>
      <c r="X54" s="86" t="s">
        <v>375</v>
      </c>
      <c r="Y54" s="86">
        <v>42</v>
      </c>
      <c r="Z54" s="86" t="s">
        <v>600</v>
      </c>
      <c r="AA54" s="86"/>
      <c r="AB54" s="86" t="s">
        <v>380</v>
      </c>
      <c r="AC54" s="86">
        <v>1</v>
      </c>
      <c r="AD54" s="86" t="s">
        <v>381</v>
      </c>
      <c r="AE54" s="86" t="s">
        <v>382</v>
      </c>
    </row>
    <row r="55" spans="1:31" s="18" customFormat="1" ht="15.75" x14ac:dyDescent="0.25">
      <c r="A55" s="80">
        <v>3</v>
      </c>
      <c r="B55" s="90">
        <v>46170</v>
      </c>
      <c r="C55" s="86" t="s">
        <v>389</v>
      </c>
      <c r="D55" s="86" t="s">
        <v>38</v>
      </c>
      <c r="E55" s="86" t="s">
        <v>530</v>
      </c>
      <c r="F55" s="86">
        <v>26</v>
      </c>
      <c r="G55" s="86" t="s">
        <v>531</v>
      </c>
      <c r="H55" s="86" t="s">
        <v>390</v>
      </c>
      <c r="I55" s="86">
        <v>230</v>
      </c>
      <c r="J55" s="86"/>
      <c r="K55" s="86" t="s">
        <v>506</v>
      </c>
      <c r="L55" s="86"/>
      <c r="M55" s="86"/>
      <c r="N55" s="86" t="s">
        <v>169</v>
      </c>
      <c r="O55" s="86" t="s">
        <v>517</v>
      </c>
      <c r="P55" s="86" t="s">
        <v>532</v>
      </c>
      <c r="Q55" s="86" t="s">
        <v>373</v>
      </c>
      <c r="R55" s="86" t="s">
        <v>374</v>
      </c>
      <c r="S55" s="86" t="s">
        <v>386</v>
      </c>
      <c r="T55" s="86" t="s">
        <v>169</v>
      </c>
      <c r="U55" s="86" t="s">
        <v>601</v>
      </c>
      <c r="V55" s="86" t="s">
        <v>380</v>
      </c>
      <c r="W55" s="86"/>
      <c r="X55" s="86" t="s">
        <v>375</v>
      </c>
      <c r="Y55" s="86">
        <v>43</v>
      </c>
      <c r="Z55" s="86" t="s">
        <v>602</v>
      </c>
      <c r="AA55" s="86"/>
      <c r="AB55" s="86" t="s">
        <v>380</v>
      </c>
      <c r="AC55" s="86">
        <v>1</v>
      </c>
      <c r="AD55" s="86" t="s">
        <v>381</v>
      </c>
      <c r="AE55" s="86" t="s">
        <v>382</v>
      </c>
    </row>
    <row r="56" spans="1:31" s="18" customFormat="1" ht="15.75" x14ac:dyDescent="0.25">
      <c r="A56" s="80">
        <v>3</v>
      </c>
      <c r="B56" s="90">
        <v>46170</v>
      </c>
      <c r="C56" s="86" t="s">
        <v>393</v>
      </c>
      <c r="D56" s="86" t="s">
        <v>41</v>
      </c>
      <c r="E56" s="86" t="s">
        <v>535</v>
      </c>
      <c r="F56" s="86">
        <v>6</v>
      </c>
      <c r="G56" s="86" t="s">
        <v>536</v>
      </c>
      <c r="H56" s="86" t="s">
        <v>391</v>
      </c>
      <c r="I56" s="86">
        <v>230</v>
      </c>
      <c r="J56" s="86"/>
      <c r="K56" s="86" t="s">
        <v>506</v>
      </c>
      <c r="L56" s="86"/>
      <c r="M56" s="86"/>
      <c r="N56" s="86" t="s">
        <v>169</v>
      </c>
      <c r="O56" s="86" t="s">
        <v>537</v>
      </c>
      <c r="P56" s="86" t="s">
        <v>538</v>
      </c>
      <c r="Q56" s="86" t="s">
        <v>373</v>
      </c>
      <c r="R56" s="86" t="s">
        <v>539</v>
      </c>
      <c r="S56" s="86" t="s">
        <v>386</v>
      </c>
      <c r="T56" s="86" t="s">
        <v>169</v>
      </c>
      <c r="U56" s="86" t="s">
        <v>603</v>
      </c>
      <c r="V56" s="86" t="s">
        <v>380</v>
      </c>
      <c r="W56" s="86"/>
      <c r="X56" s="86" t="s">
        <v>375</v>
      </c>
      <c r="Y56" s="86">
        <v>44</v>
      </c>
      <c r="Z56" s="86" t="s">
        <v>388</v>
      </c>
      <c r="AA56" s="86"/>
      <c r="AB56" s="86" t="s">
        <v>380</v>
      </c>
      <c r="AC56" s="86">
        <v>1</v>
      </c>
      <c r="AD56" s="86" t="s">
        <v>381</v>
      </c>
      <c r="AE56" s="86" t="s">
        <v>382</v>
      </c>
    </row>
    <row r="57" spans="1:31" s="18" customFormat="1" ht="15.75" x14ac:dyDescent="0.25">
      <c r="A57" s="80">
        <v>3</v>
      </c>
      <c r="B57" s="90">
        <v>46170</v>
      </c>
      <c r="C57" s="86" t="s">
        <v>394</v>
      </c>
      <c r="D57" s="86" t="s">
        <v>38</v>
      </c>
      <c r="E57" s="86" t="s">
        <v>530</v>
      </c>
      <c r="F57" s="86">
        <v>10</v>
      </c>
      <c r="G57" s="86" t="s">
        <v>531</v>
      </c>
      <c r="H57" s="86" t="s">
        <v>390</v>
      </c>
      <c r="I57" s="86">
        <v>230</v>
      </c>
      <c r="J57" s="86"/>
      <c r="K57" s="86" t="s">
        <v>506</v>
      </c>
      <c r="L57" s="86"/>
      <c r="M57" s="86"/>
      <c r="N57" s="86" t="s">
        <v>169</v>
      </c>
      <c r="O57" s="86" t="s">
        <v>517</v>
      </c>
      <c r="P57" s="86" t="s">
        <v>532</v>
      </c>
      <c r="Q57" s="86" t="s">
        <v>373</v>
      </c>
      <c r="R57" s="86" t="s">
        <v>374</v>
      </c>
      <c r="S57" s="86" t="s">
        <v>386</v>
      </c>
      <c r="T57" s="86" t="s">
        <v>169</v>
      </c>
      <c r="U57" s="86" t="s">
        <v>604</v>
      </c>
      <c r="V57" s="86" t="s">
        <v>380</v>
      </c>
      <c r="W57" s="86"/>
      <c r="X57" s="86" t="s">
        <v>375</v>
      </c>
      <c r="Y57" s="86">
        <v>45</v>
      </c>
      <c r="Z57" s="86" t="s">
        <v>605</v>
      </c>
      <c r="AA57" s="86"/>
      <c r="AB57" s="86" t="s">
        <v>380</v>
      </c>
      <c r="AC57" s="86">
        <v>1</v>
      </c>
      <c r="AD57" s="86" t="s">
        <v>381</v>
      </c>
      <c r="AE57" s="86" t="s">
        <v>382</v>
      </c>
    </row>
    <row r="58" spans="1:31" s="18" customFormat="1" ht="15.75" x14ac:dyDescent="0.25">
      <c r="A58" s="80">
        <v>3</v>
      </c>
      <c r="B58" s="90">
        <v>46171</v>
      </c>
      <c r="C58" s="86" t="s">
        <v>372</v>
      </c>
      <c r="D58" s="86" t="s">
        <v>38</v>
      </c>
      <c r="E58" s="86" t="s">
        <v>530</v>
      </c>
      <c r="F58" s="86">
        <v>25</v>
      </c>
      <c r="G58" s="86" t="s">
        <v>531</v>
      </c>
      <c r="H58" s="86" t="s">
        <v>390</v>
      </c>
      <c r="I58" s="86">
        <v>230</v>
      </c>
      <c r="J58" s="86"/>
      <c r="K58" s="86" t="s">
        <v>506</v>
      </c>
      <c r="L58" s="86"/>
      <c r="M58" s="86"/>
      <c r="N58" s="86" t="s">
        <v>169</v>
      </c>
      <c r="O58" s="86" t="s">
        <v>517</v>
      </c>
      <c r="P58" s="86" t="s">
        <v>532</v>
      </c>
      <c r="Q58" s="86" t="s">
        <v>373</v>
      </c>
      <c r="R58" s="86" t="s">
        <v>374</v>
      </c>
      <c r="S58" s="86" t="s">
        <v>386</v>
      </c>
      <c r="T58" s="86" t="s">
        <v>169</v>
      </c>
      <c r="U58" s="86" t="s">
        <v>606</v>
      </c>
      <c r="V58" s="86" t="s">
        <v>380</v>
      </c>
      <c r="W58" s="86"/>
      <c r="X58" s="86" t="s">
        <v>375</v>
      </c>
      <c r="Y58" s="86">
        <v>45</v>
      </c>
      <c r="Z58" s="86" t="s">
        <v>392</v>
      </c>
      <c r="AA58" s="86"/>
      <c r="AB58" s="86" t="s">
        <v>380</v>
      </c>
      <c r="AC58" s="86">
        <v>1</v>
      </c>
      <c r="AD58" s="86" t="s">
        <v>381</v>
      </c>
      <c r="AE58" s="86" t="s">
        <v>382</v>
      </c>
    </row>
    <row r="59" spans="1:31" s="18" customFormat="1" ht="15.75" x14ac:dyDescent="0.25">
      <c r="A59" s="80">
        <v>3</v>
      </c>
      <c r="B59" s="90">
        <v>46171</v>
      </c>
      <c r="C59" s="86" t="s">
        <v>377</v>
      </c>
      <c r="D59" s="86" t="s">
        <v>49</v>
      </c>
      <c r="E59" s="86" t="s">
        <v>561</v>
      </c>
      <c r="F59" s="86">
        <v>14</v>
      </c>
      <c r="G59" s="86" t="s">
        <v>562</v>
      </c>
      <c r="H59" s="86" t="s">
        <v>390</v>
      </c>
      <c r="I59" s="86">
        <v>230</v>
      </c>
      <c r="J59" s="86"/>
      <c r="K59" s="86" t="s">
        <v>550</v>
      </c>
      <c r="L59" s="86"/>
      <c r="M59" s="86"/>
      <c r="N59" s="86" t="s">
        <v>169</v>
      </c>
      <c r="O59" s="86" t="s">
        <v>517</v>
      </c>
      <c r="P59" s="86" t="s">
        <v>518</v>
      </c>
      <c r="Q59" s="86" t="s">
        <v>373</v>
      </c>
      <c r="R59" s="86" t="s">
        <v>374</v>
      </c>
      <c r="S59" s="86" t="s">
        <v>386</v>
      </c>
      <c r="T59" s="86" t="s">
        <v>169</v>
      </c>
      <c r="U59" s="86" t="s">
        <v>607</v>
      </c>
      <c r="V59" s="86" t="s">
        <v>380</v>
      </c>
      <c r="W59" s="86"/>
      <c r="X59" s="86" t="s">
        <v>375</v>
      </c>
      <c r="Y59" s="86">
        <v>46</v>
      </c>
      <c r="Z59" s="86" t="s">
        <v>608</v>
      </c>
      <c r="AA59" s="86"/>
      <c r="AB59" s="86" t="s">
        <v>380</v>
      </c>
      <c r="AC59" s="86">
        <v>1</v>
      </c>
      <c r="AD59" s="86" t="s">
        <v>381</v>
      </c>
      <c r="AE59" s="86" t="s">
        <v>382</v>
      </c>
    </row>
    <row r="60" spans="1:31" s="18" customFormat="1" ht="15.75" x14ac:dyDescent="0.25">
      <c r="A60" s="80">
        <v>3</v>
      </c>
      <c r="B60" s="90">
        <v>46171</v>
      </c>
      <c r="C60" s="86" t="s">
        <v>378</v>
      </c>
      <c r="D60" s="86" t="s">
        <v>41</v>
      </c>
      <c r="E60" s="86" t="s">
        <v>535</v>
      </c>
      <c r="F60" s="86">
        <v>24</v>
      </c>
      <c r="G60" s="86" t="s">
        <v>536</v>
      </c>
      <c r="H60" s="86" t="s">
        <v>391</v>
      </c>
      <c r="I60" s="86">
        <v>230</v>
      </c>
      <c r="J60" s="86"/>
      <c r="K60" s="86" t="s">
        <v>506</v>
      </c>
      <c r="L60" s="86"/>
      <c r="M60" s="86"/>
      <c r="N60" s="86" t="s">
        <v>169</v>
      </c>
      <c r="O60" s="86" t="s">
        <v>537</v>
      </c>
      <c r="P60" s="86" t="s">
        <v>538</v>
      </c>
      <c r="Q60" s="86" t="s">
        <v>373</v>
      </c>
      <c r="R60" s="86" t="s">
        <v>539</v>
      </c>
      <c r="S60" s="86" t="s">
        <v>386</v>
      </c>
      <c r="T60" s="86" t="s">
        <v>169</v>
      </c>
      <c r="U60" s="86" t="s">
        <v>609</v>
      </c>
      <c r="V60" s="86" t="s">
        <v>380</v>
      </c>
      <c r="W60" s="86"/>
      <c r="X60" s="86" t="s">
        <v>375</v>
      </c>
      <c r="Y60" s="86">
        <v>47</v>
      </c>
      <c r="Z60" s="86" t="s">
        <v>600</v>
      </c>
      <c r="AA60" s="86"/>
      <c r="AB60" s="86" t="s">
        <v>380</v>
      </c>
      <c r="AC60" s="86">
        <v>1</v>
      </c>
      <c r="AD60" s="86" t="s">
        <v>381</v>
      </c>
      <c r="AE60" s="86" t="s">
        <v>382</v>
      </c>
    </row>
    <row r="61" spans="1:31" s="18" customFormat="1" ht="15.75" x14ac:dyDescent="0.25">
      <c r="A61" s="80">
        <v>3</v>
      </c>
      <c r="B61" s="90">
        <v>46171</v>
      </c>
      <c r="C61" s="86" t="s">
        <v>379</v>
      </c>
      <c r="D61" s="86" t="s">
        <v>49</v>
      </c>
      <c r="E61" s="86" t="s">
        <v>561</v>
      </c>
      <c r="F61" s="86">
        <v>6</v>
      </c>
      <c r="G61" s="86" t="s">
        <v>562</v>
      </c>
      <c r="H61" s="86" t="s">
        <v>390</v>
      </c>
      <c r="I61" s="86">
        <v>230</v>
      </c>
      <c r="J61" s="86"/>
      <c r="K61" s="86" t="s">
        <v>550</v>
      </c>
      <c r="L61" s="86"/>
      <c r="M61" s="86"/>
      <c r="N61" s="86" t="s">
        <v>169</v>
      </c>
      <c r="O61" s="86" t="s">
        <v>517</v>
      </c>
      <c r="P61" s="86" t="s">
        <v>518</v>
      </c>
      <c r="Q61" s="86" t="s">
        <v>373</v>
      </c>
      <c r="R61" s="86" t="s">
        <v>374</v>
      </c>
      <c r="S61" s="86" t="s">
        <v>386</v>
      </c>
      <c r="T61" s="86" t="s">
        <v>169</v>
      </c>
      <c r="U61" s="86" t="s">
        <v>610</v>
      </c>
      <c r="V61" s="86" t="s">
        <v>380</v>
      </c>
      <c r="W61" s="86"/>
      <c r="X61" s="86" t="s">
        <v>375</v>
      </c>
      <c r="Y61" s="86">
        <v>48</v>
      </c>
      <c r="Z61" s="86" t="s">
        <v>388</v>
      </c>
      <c r="AA61" s="86"/>
      <c r="AB61" s="86" t="s">
        <v>380</v>
      </c>
      <c r="AC61" s="86">
        <v>1</v>
      </c>
      <c r="AD61" s="86" t="s">
        <v>381</v>
      </c>
      <c r="AE61" s="86" t="s">
        <v>382</v>
      </c>
    </row>
    <row r="62" spans="1:31" s="18" customFormat="1" ht="15.75" x14ac:dyDescent="0.25">
      <c r="A62" s="80">
        <v>3</v>
      </c>
      <c r="B62" s="90">
        <v>46171</v>
      </c>
      <c r="C62" s="86" t="s">
        <v>387</v>
      </c>
      <c r="D62" s="86" t="s">
        <v>51</v>
      </c>
      <c r="E62" s="86" t="s">
        <v>611</v>
      </c>
      <c r="F62" s="86">
        <v>20</v>
      </c>
      <c r="G62" s="86" t="s">
        <v>612</v>
      </c>
      <c r="H62" s="86" t="s">
        <v>390</v>
      </c>
      <c r="I62" s="86">
        <v>230</v>
      </c>
      <c r="J62" s="86"/>
      <c r="K62" s="86" t="s">
        <v>512</v>
      </c>
      <c r="L62" s="86"/>
      <c r="M62" s="86"/>
      <c r="N62" s="86" t="s">
        <v>169</v>
      </c>
      <c r="O62" s="86" t="s">
        <v>517</v>
      </c>
      <c r="P62" s="86" t="s">
        <v>532</v>
      </c>
      <c r="Q62" s="86" t="s">
        <v>373</v>
      </c>
      <c r="R62" s="86" t="s">
        <v>374</v>
      </c>
      <c r="S62" s="86" t="s">
        <v>386</v>
      </c>
      <c r="T62" s="86" t="s">
        <v>169</v>
      </c>
      <c r="U62" s="86" t="s">
        <v>613</v>
      </c>
      <c r="V62" s="86" t="s">
        <v>380</v>
      </c>
      <c r="W62" s="86"/>
      <c r="X62" s="86" t="s">
        <v>375</v>
      </c>
      <c r="Y62" s="86">
        <v>49</v>
      </c>
      <c r="Z62" s="86" t="s">
        <v>591</v>
      </c>
      <c r="AA62" s="86"/>
      <c r="AB62" s="86" t="s">
        <v>380</v>
      </c>
      <c r="AC62" s="86">
        <v>1</v>
      </c>
      <c r="AD62" s="86" t="s">
        <v>381</v>
      </c>
      <c r="AE62" s="86" t="s">
        <v>382</v>
      </c>
    </row>
    <row r="63" spans="1:31" s="18" customFormat="1" ht="15.75" x14ac:dyDescent="0.25">
      <c r="A63" s="80">
        <v>3</v>
      </c>
      <c r="B63" s="90">
        <v>46171</v>
      </c>
      <c r="C63" s="86" t="s">
        <v>388</v>
      </c>
      <c r="D63" s="86" t="s">
        <v>41</v>
      </c>
      <c r="E63" s="86" t="s">
        <v>535</v>
      </c>
      <c r="F63" s="86">
        <v>6</v>
      </c>
      <c r="G63" s="86" t="s">
        <v>536</v>
      </c>
      <c r="H63" s="86" t="s">
        <v>391</v>
      </c>
      <c r="I63" s="86">
        <v>230</v>
      </c>
      <c r="J63" s="86"/>
      <c r="K63" s="86" t="s">
        <v>506</v>
      </c>
      <c r="L63" s="86"/>
      <c r="M63" s="86"/>
      <c r="N63" s="86" t="s">
        <v>169</v>
      </c>
      <c r="O63" s="86" t="s">
        <v>537</v>
      </c>
      <c r="P63" s="86" t="s">
        <v>538</v>
      </c>
      <c r="Q63" s="86" t="s">
        <v>373</v>
      </c>
      <c r="R63" s="86" t="s">
        <v>539</v>
      </c>
      <c r="S63" s="86" t="s">
        <v>386</v>
      </c>
      <c r="T63" s="86" t="s">
        <v>169</v>
      </c>
      <c r="U63" s="86" t="s">
        <v>614</v>
      </c>
      <c r="V63" s="86" t="s">
        <v>380</v>
      </c>
      <c r="W63" s="86"/>
      <c r="X63" s="86" t="s">
        <v>375</v>
      </c>
      <c r="Y63" s="86">
        <v>50</v>
      </c>
      <c r="Z63" s="86" t="s">
        <v>388</v>
      </c>
      <c r="AA63" s="86"/>
      <c r="AB63" s="86" t="s">
        <v>380</v>
      </c>
      <c r="AC63" s="86">
        <v>1</v>
      </c>
      <c r="AD63" s="86" t="s">
        <v>381</v>
      </c>
      <c r="AE63" s="86" t="s">
        <v>382</v>
      </c>
    </row>
    <row r="64" spans="1:31" s="18" customFormat="1" ht="15.75" x14ac:dyDescent="0.25">
      <c r="A64" s="80">
        <v>3</v>
      </c>
      <c r="B64" s="90">
        <v>46171</v>
      </c>
      <c r="C64" s="86" t="s">
        <v>389</v>
      </c>
      <c r="D64" s="86" t="s">
        <v>51</v>
      </c>
      <c r="E64" s="86" t="s">
        <v>611</v>
      </c>
      <c r="F64" s="86">
        <v>36</v>
      </c>
      <c r="G64" s="86" t="s">
        <v>612</v>
      </c>
      <c r="H64" s="86" t="s">
        <v>390</v>
      </c>
      <c r="I64" s="86">
        <v>230</v>
      </c>
      <c r="J64" s="86"/>
      <c r="K64" s="86" t="s">
        <v>512</v>
      </c>
      <c r="L64" s="86"/>
      <c r="M64" s="86"/>
      <c r="N64" s="86" t="s">
        <v>169</v>
      </c>
      <c r="O64" s="86" t="s">
        <v>517</v>
      </c>
      <c r="P64" s="86" t="s">
        <v>532</v>
      </c>
      <c r="Q64" s="86" t="s">
        <v>373</v>
      </c>
      <c r="R64" s="86" t="s">
        <v>374</v>
      </c>
      <c r="S64" s="86" t="s">
        <v>386</v>
      </c>
      <c r="T64" s="86" t="s">
        <v>169</v>
      </c>
      <c r="U64" s="86" t="s">
        <v>615</v>
      </c>
      <c r="V64" s="86" t="s">
        <v>380</v>
      </c>
      <c r="W64" s="86"/>
      <c r="X64" s="86" t="s">
        <v>375</v>
      </c>
      <c r="Y64" s="86">
        <v>51</v>
      </c>
      <c r="Z64" s="86" t="s">
        <v>616</v>
      </c>
      <c r="AA64" s="86"/>
      <c r="AB64" s="86" t="s">
        <v>380</v>
      </c>
      <c r="AC64" s="86">
        <v>1</v>
      </c>
      <c r="AD64" s="86" t="s">
        <v>381</v>
      </c>
      <c r="AE64" s="86" t="s">
        <v>382</v>
      </c>
    </row>
    <row r="65" spans="1:31" s="18" customFormat="1" ht="15.75" x14ac:dyDescent="0.25">
      <c r="A65" s="80">
        <v>3</v>
      </c>
      <c r="B65" s="90">
        <v>46171</v>
      </c>
      <c r="C65" s="86" t="s">
        <v>393</v>
      </c>
      <c r="D65" s="86" t="s">
        <v>47</v>
      </c>
      <c r="E65" s="86" t="s">
        <v>569</v>
      </c>
      <c r="F65" s="86">
        <v>8</v>
      </c>
      <c r="G65" s="86" t="s">
        <v>505</v>
      </c>
      <c r="H65" s="86" t="s">
        <v>520</v>
      </c>
      <c r="I65" s="86">
        <v>120</v>
      </c>
      <c r="J65" s="86"/>
      <c r="K65" s="86" t="s">
        <v>550</v>
      </c>
      <c r="L65" s="86"/>
      <c r="M65" s="86"/>
      <c r="N65" s="86" t="s">
        <v>169</v>
      </c>
      <c r="O65" s="86" t="s">
        <v>517</v>
      </c>
      <c r="P65" s="86" t="s">
        <v>521</v>
      </c>
      <c r="Q65" s="86" t="s">
        <v>373</v>
      </c>
      <c r="R65" s="86" t="s">
        <v>374</v>
      </c>
      <c r="S65" s="86" t="s">
        <v>386</v>
      </c>
      <c r="T65" s="86" t="s">
        <v>169</v>
      </c>
      <c r="U65" s="86" t="s">
        <v>617</v>
      </c>
      <c r="V65" s="86" t="s">
        <v>380</v>
      </c>
      <c r="W65" s="86"/>
      <c r="X65" s="86" t="s">
        <v>375</v>
      </c>
      <c r="Y65" s="86">
        <v>52</v>
      </c>
      <c r="Z65" s="86" t="s">
        <v>393</v>
      </c>
      <c r="AA65" s="86"/>
      <c r="AB65" s="86" t="s">
        <v>380</v>
      </c>
      <c r="AC65" s="86">
        <v>1</v>
      </c>
      <c r="AD65" s="86" t="s">
        <v>381</v>
      </c>
      <c r="AE65" s="86" t="s">
        <v>382</v>
      </c>
    </row>
    <row r="66" spans="1:31" s="18" customFormat="1" ht="15.75" x14ac:dyDescent="0.25">
      <c r="A66" s="80">
        <v>3</v>
      </c>
      <c r="B66" s="90">
        <v>46171</v>
      </c>
      <c r="C66" s="86" t="s">
        <v>394</v>
      </c>
      <c r="D66" s="86" t="s">
        <v>37</v>
      </c>
      <c r="E66" s="86" t="s">
        <v>547</v>
      </c>
      <c r="F66" s="86">
        <v>10</v>
      </c>
      <c r="G66" s="86" t="s">
        <v>531</v>
      </c>
      <c r="H66" s="86" t="s">
        <v>391</v>
      </c>
      <c r="I66" s="86">
        <v>230</v>
      </c>
      <c r="J66" s="86"/>
      <c r="K66" s="86" t="s">
        <v>506</v>
      </c>
      <c r="L66" s="86"/>
      <c r="M66" s="86"/>
      <c r="N66" s="86" t="s">
        <v>169</v>
      </c>
      <c r="O66" s="86" t="s">
        <v>517</v>
      </c>
      <c r="P66" s="86" t="s">
        <v>532</v>
      </c>
      <c r="Q66" s="86" t="s">
        <v>373</v>
      </c>
      <c r="R66" s="86" t="s">
        <v>374</v>
      </c>
      <c r="S66" s="86" t="s">
        <v>386</v>
      </c>
      <c r="T66" s="86" t="s">
        <v>169</v>
      </c>
      <c r="U66" s="86" t="s">
        <v>618</v>
      </c>
      <c r="V66" s="86" t="s">
        <v>380</v>
      </c>
      <c r="W66" s="86"/>
      <c r="X66" s="86" t="s">
        <v>375</v>
      </c>
      <c r="Y66" s="86">
        <v>53</v>
      </c>
      <c r="Z66" s="86" t="s">
        <v>605</v>
      </c>
      <c r="AA66" s="86"/>
      <c r="AB66" s="86" t="s">
        <v>380</v>
      </c>
      <c r="AC66" s="86">
        <v>1</v>
      </c>
      <c r="AD66" s="86" t="s">
        <v>381</v>
      </c>
      <c r="AE66" s="86" t="s">
        <v>382</v>
      </c>
    </row>
    <row r="67" spans="1:31" s="18" customFormat="1" ht="15.75" x14ac:dyDescent="0.25">
      <c r="A67" s="80">
        <v>4</v>
      </c>
      <c r="B67" s="90">
        <v>46174</v>
      </c>
      <c r="C67" s="86" t="s">
        <v>372</v>
      </c>
      <c r="D67" s="86" t="s">
        <v>38</v>
      </c>
      <c r="E67" s="86" t="s">
        <v>530</v>
      </c>
      <c r="F67" s="86">
        <v>16</v>
      </c>
      <c r="G67" s="86" t="s">
        <v>531</v>
      </c>
      <c r="H67" s="86" t="s">
        <v>390</v>
      </c>
      <c r="I67" s="86">
        <v>230</v>
      </c>
      <c r="J67" s="86"/>
      <c r="K67" s="86" t="s">
        <v>506</v>
      </c>
      <c r="L67" s="86"/>
      <c r="M67" s="86"/>
      <c r="N67" s="86" t="s">
        <v>169</v>
      </c>
      <c r="O67" s="86" t="s">
        <v>517</v>
      </c>
      <c r="P67" s="86" t="s">
        <v>532</v>
      </c>
      <c r="Q67" s="86" t="s">
        <v>373</v>
      </c>
      <c r="R67" s="86" t="s">
        <v>374</v>
      </c>
      <c r="S67" s="86" t="s">
        <v>386</v>
      </c>
      <c r="T67" s="86" t="s">
        <v>169</v>
      </c>
      <c r="U67" s="86" t="s">
        <v>619</v>
      </c>
      <c r="V67" s="86"/>
      <c r="W67" s="86"/>
      <c r="X67" s="86" t="s">
        <v>375</v>
      </c>
      <c r="Y67" s="86">
        <v>1</v>
      </c>
      <c r="Z67" s="86" t="s">
        <v>619</v>
      </c>
      <c r="AA67" s="86"/>
      <c r="AB67" s="86" t="s">
        <v>376</v>
      </c>
      <c r="AC67" s="86">
        <v>0</v>
      </c>
      <c r="AD67" s="86" t="s">
        <v>376</v>
      </c>
      <c r="AE67" s="86" t="s">
        <v>375</v>
      </c>
    </row>
    <row r="68" spans="1:31" s="18" customFormat="1" ht="15.75" x14ac:dyDescent="0.25">
      <c r="A68" s="80">
        <v>4</v>
      </c>
      <c r="B68" s="90">
        <v>46174</v>
      </c>
      <c r="C68" s="86" t="s">
        <v>377</v>
      </c>
      <c r="D68" s="86" t="s">
        <v>30</v>
      </c>
      <c r="E68" s="86" t="s">
        <v>524</v>
      </c>
      <c r="F68" s="86">
        <v>37</v>
      </c>
      <c r="G68" s="86" t="s">
        <v>511</v>
      </c>
      <c r="H68" s="86" t="s">
        <v>385</v>
      </c>
      <c r="I68" s="86">
        <v>100</v>
      </c>
      <c r="J68" s="86"/>
      <c r="K68" s="86" t="s">
        <v>506</v>
      </c>
      <c r="L68" s="86"/>
      <c r="M68" s="86"/>
      <c r="N68" s="86" t="s">
        <v>525</v>
      </c>
      <c r="O68" s="86" t="s">
        <v>526</v>
      </c>
      <c r="P68" s="86" t="s">
        <v>527</v>
      </c>
      <c r="Q68" s="86" t="s">
        <v>528</v>
      </c>
      <c r="R68" s="86" t="s">
        <v>374</v>
      </c>
      <c r="S68" s="86" t="s">
        <v>386</v>
      </c>
      <c r="T68" s="86" t="s">
        <v>386</v>
      </c>
      <c r="U68" s="86" t="s">
        <v>620</v>
      </c>
      <c r="V68" s="86"/>
      <c r="W68" s="86"/>
      <c r="X68" s="86" t="s">
        <v>375</v>
      </c>
      <c r="Y68" s="86">
        <v>2</v>
      </c>
      <c r="Z68" s="86" t="s">
        <v>620</v>
      </c>
      <c r="AA68" s="86"/>
      <c r="AB68" s="86" t="s">
        <v>376</v>
      </c>
      <c r="AC68" s="86">
        <v>0</v>
      </c>
      <c r="AD68" s="86" t="s">
        <v>376</v>
      </c>
      <c r="AE68" s="86" t="s">
        <v>375</v>
      </c>
    </row>
    <row r="69" spans="1:31" s="18" customFormat="1" ht="15.75" x14ac:dyDescent="0.25">
      <c r="A69" s="80">
        <v>4</v>
      </c>
      <c r="B69" s="90">
        <v>46174</v>
      </c>
      <c r="C69" s="86" t="s">
        <v>378</v>
      </c>
      <c r="D69" s="86" t="s">
        <v>40</v>
      </c>
      <c r="E69" s="86" t="s">
        <v>621</v>
      </c>
      <c r="F69" s="86">
        <v>13</v>
      </c>
      <c r="G69" s="86" t="s">
        <v>622</v>
      </c>
      <c r="H69" s="86" t="s">
        <v>385</v>
      </c>
      <c r="I69" s="86">
        <v>100</v>
      </c>
      <c r="J69" s="86"/>
      <c r="K69" s="86" t="s">
        <v>506</v>
      </c>
      <c r="L69" s="86"/>
      <c r="M69" s="86"/>
      <c r="N69" s="86" t="s">
        <v>525</v>
      </c>
      <c r="O69" s="86" t="s">
        <v>526</v>
      </c>
      <c r="P69" s="86" t="s">
        <v>623</v>
      </c>
      <c r="Q69" s="86" t="s">
        <v>528</v>
      </c>
      <c r="R69" s="86" t="s">
        <v>374</v>
      </c>
      <c r="S69" s="86" t="s">
        <v>386</v>
      </c>
      <c r="T69" s="86" t="s">
        <v>386</v>
      </c>
      <c r="U69" s="86" t="s">
        <v>624</v>
      </c>
      <c r="V69" s="86"/>
      <c r="W69" s="86"/>
      <c r="X69" s="86" t="s">
        <v>375</v>
      </c>
      <c r="Y69" s="86">
        <v>3</v>
      </c>
      <c r="Z69" s="86" t="s">
        <v>624</v>
      </c>
      <c r="AA69" s="86"/>
      <c r="AB69" s="86" t="s">
        <v>376</v>
      </c>
      <c r="AC69" s="86">
        <v>0</v>
      </c>
      <c r="AD69" s="86" t="s">
        <v>376</v>
      </c>
      <c r="AE69" s="86" t="s">
        <v>375</v>
      </c>
    </row>
    <row r="70" spans="1:31" s="18" customFormat="1" ht="15.75" x14ac:dyDescent="0.25">
      <c r="A70" s="80">
        <v>4</v>
      </c>
      <c r="B70" s="90">
        <v>46174</v>
      </c>
      <c r="C70" s="86" t="s">
        <v>379</v>
      </c>
      <c r="D70" s="86" t="s">
        <v>29</v>
      </c>
      <c r="E70" s="86" t="s">
        <v>625</v>
      </c>
      <c r="F70" s="86">
        <v>10</v>
      </c>
      <c r="G70" s="86" t="s">
        <v>515</v>
      </c>
      <c r="H70" s="86" t="s">
        <v>520</v>
      </c>
      <c r="I70" s="86">
        <v>120</v>
      </c>
      <c r="J70" s="86"/>
      <c r="K70" s="86" t="s">
        <v>506</v>
      </c>
      <c r="L70" s="86"/>
      <c r="M70" s="86"/>
      <c r="N70" s="86" t="s">
        <v>169</v>
      </c>
      <c r="O70" s="86" t="s">
        <v>517</v>
      </c>
      <c r="P70" s="86" t="s">
        <v>521</v>
      </c>
      <c r="Q70" s="86" t="s">
        <v>373</v>
      </c>
      <c r="R70" s="86" t="s">
        <v>374</v>
      </c>
      <c r="S70" s="86" t="s">
        <v>386</v>
      </c>
      <c r="T70" s="86" t="s">
        <v>169</v>
      </c>
      <c r="U70" s="86" t="s">
        <v>626</v>
      </c>
      <c r="V70" s="86"/>
      <c r="W70" s="86"/>
      <c r="X70" s="86" t="s">
        <v>375</v>
      </c>
      <c r="Y70" s="86">
        <v>4</v>
      </c>
      <c r="Z70" s="86" t="s">
        <v>626</v>
      </c>
      <c r="AA70" s="86"/>
      <c r="AB70" s="86" t="s">
        <v>376</v>
      </c>
      <c r="AC70" s="86">
        <v>0</v>
      </c>
      <c r="AD70" s="86" t="s">
        <v>376</v>
      </c>
      <c r="AE70" s="86" t="s">
        <v>375</v>
      </c>
    </row>
    <row r="71" spans="1:31" s="18" customFormat="1" ht="15.75" x14ac:dyDescent="0.25">
      <c r="A71" s="80">
        <v>4</v>
      </c>
      <c r="B71" s="90">
        <v>46174</v>
      </c>
      <c r="C71" s="86" t="s">
        <v>387</v>
      </c>
      <c r="D71" s="86" t="s">
        <v>57</v>
      </c>
      <c r="E71" s="86" t="s">
        <v>627</v>
      </c>
      <c r="F71" s="86">
        <v>46</v>
      </c>
      <c r="G71" s="86" t="s">
        <v>628</v>
      </c>
      <c r="H71" s="86" t="s">
        <v>390</v>
      </c>
      <c r="I71" s="86">
        <v>230</v>
      </c>
      <c r="J71" s="86"/>
      <c r="K71" s="86" t="s">
        <v>512</v>
      </c>
      <c r="L71" s="86"/>
      <c r="M71" s="86"/>
      <c r="N71" s="86" t="s">
        <v>169</v>
      </c>
      <c r="O71" s="86" t="s">
        <v>629</v>
      </c>
      <c r="P71" s="86" t="s">
        <v>630</v>
      </c>
      <c r="Q71" s="86" t="s">
        <v>373</v>
      </c>
      <c r="R71" s="86" t="s">
        <v>539</v>
      </c>
      <c r="S71" s="86" t="s">
        <v>386</v>
      </c>
      <c r="T71" s="86" t="s">
        <v>169</v>
      </c>
      <c r="U71" s="86" t="s">
        <v>631</v>
      </c>
      <c r="V71" s="86"/>
      <c r="W71" s="86"/>
      <c r="X71" s="86" t="s">
        <v>375</v>
      </c>
      <c r="Y71" s="86">
        <v>5</v>
      </c>
      <c r="Z71" s="86" t="s">
        <v>631</v>
      </c>
      <c r="AA71" s="86"/>
      <c r="AB71" s="86" t="s">
        <v>376</v>
      </c>
      <c r="AC71" s="86">
        <v>0</v>
      </c>
      <c r="AD71" s="86" t="s">
        <v>376</v>
      </c>
      <c r="AE71" s="86" t="s">
        <v>375</v>
      </c>
    </row>
    <row r="72" spans="1:31" s="18" customFormat="1" ht="15.75" x14ac:dyDescent="0.25">
      <c r="A72" s="80">
        <v>4</v>
      </c>
      <c r="B72" s="90">
        <v>46174</v>
      </c>
      <c r="C72" s="86" t="s">
        <v>388</v>
      </c>
      <c r="D72" s="86" t="s">
        <v>40</v>
      </c>
      <c r="E72" s="86" t="s">
        <v>621</v>
      </c>
      <c r="F72" s="86">
        <v>50</v>
      </c>
      <c r="G72" s="86" t="s">
        <v>622</v>
      </c>
      <c r="H72" s="86" t="s">
        <v>385</v>
      </c>
      <c r="I72" s="86">
        <v>100</v>
      </c>
      <c r="J72" s="86"/>
      <c r="K72" s="86" t="s">
        <v>506</v>
      </c>
      <c r="L72" s="86"/>
      <c r="M72" s="86"/>
      <c r="N72" s="86" t="s">
        <v>525</v>
      </c>
      <c r="O72" s="86" t="s">
        <v>526</v>
      </c>
      <c r="P72" s="86" t="s">
        <v>623</v>
      </c>
      <c r="Q72" s="86" t="s">
        <v>528</v>
      </c>
      <c r="R72" s="86" t="s">
        <v>374</v>
      </c>
      <c r="S72" s="86" t="s">
        <v>386</v>
      </c>
      <c r="T72" s="86" t="s">
        <v>386</v>
      </c>
      <c r="U72" s="86" t="s">
        <v>632</v>
      </c>
      <c r="V72" s="86"/>
      <c r="W72" s="86"/>
      <c r="X72" s="86" t="s">
        <v>375</v>
      </c>
      <c r="Y72" s="86">
        <v>6</v>
      </c>
      <c r="Z72" s="86" t="s">
        <v>632</v>
      </c>
      <c r="AA72" s="86"/>
      <c r="AB72" s="86" t="s">
        <v>376</v>
      </c>
      <c r="AC72" s="86">
        <v>0</v>
      </c>
      <c r="AD72" s="86" t="s">
        <v>376</v>
      </c>
      <c r="AE72" s="86" t="s">
        <v>375</v>
      </c>
    </row>
    <row r="73" spans="1:31" s="18" customFormat="1" ht="15.75" x14ac:dyDescent="0.25">
      <c r="A73" s="80">
        <v>4</v>
      </c>
      <c r="B73" s="90">
        <v>46174</v>
      </c>
      <c r="C73" s="86" t="s">
        <v>389</v>
      </c>
      <c r="D73" s="86" t="s">
        <v>53</v>
      </c>
      <c r="E73" s="86" t="s">
        <v>633</v>
      </c>
      <c r="F73" s="86">
        <v>15</v>
      </c>
      <c r="G73" s="86" t="s">
        <v>634</v>
      </c>
      <c r="H73" s="86" t="s">
        <v>391</v>
      </c>
      <c r="I73" s="86">
        <v>230</v>
      </c>
      <c r="J73" s="86"/>
      <c r="K73" s="86" t="s">
        <v>512</v>
      </c>
      <c r="L73" s="86"/>
      <c r="M73" s="86"/>
      <c r="N73" s="86" t="s">
        <v>635</v>
      </c>
      <c r="O73" s="86" t="s">
        <v>636</v>
      </c>
      <c r="P73" s="86" t="s">
        <v>637</v>
      </c>
      <c r="Q73" s="86" t="s">
        <v>638</v>
      </c>
      <c r="R73" s="86" t="s">
        <v>539</v>
      </c>
      <c r="S73" s="86" t="s">
        <v>386</v>
      </c>
      <c r="T73" s="86" t="s">
        <v>169</v>
      </c>
      <c r="U73" s="86" t="s">
        <v>639</v>
      </c>
      <c r="V73" s="86"/>
      <c r="W73" s="86"/>
      <c r="X73" s="86" t="s">
        <v>375</v>
      </c>
      <c r="Y73" s="86">
        <v>7</v>
      </c>
      <c r="Z73" s="86" t="s">
        <v>639</v>
      </c>
      <c r="AA73" s="86"/>
      <c r="AB73" s="86" t="s">
        <v>376</v>
      </c>
      <c r="AC73" s="86">
        <v>0</v>
      </c>
      <c r="AD73" s="86" t="s">
        <v>376</v>
      </c>
      <c r="AE73" s="86" t="s">
        <v>375</v>
      </c>
    </row>
    <row r="74" spans="1:31" s="18" customFormat="1" ht="15.75" x14ac:dyDescent="0.25">
      <c r="A74" s="80">
        <v>4</v>
      </c>
      <c r="B74" s="90">
        <v>46174</v>
      </c>
      <c r="C74" s="86" t="s">
        <v>393</v>
      </c>
      <c r="D74" s="86" t="s">
        <v>41</v>
      </c>
      <c r="E74" s="86" t="s">
        <v>535</v>
      </c>
      <c r="F74" s="86">
        <v>24</v>
      </c>
      <c r="G74" s="86" t="s">
        <v>536</v>
      </c>
      <c r="H74" s="86" t="s">
        <v>391</v>
      </c>
      <c r="I74" s="86">
        <v>230</v>
      </c>
      <c r="J74" s="86"/>
      <c r="K74" s="86" t="s">
        <v>506</v>
      </c>
      <c r="L74" s="86"/>
      <c r="M74" s="86"/>
      <c r="N74" s="86" t="s">
        <v>169</v>
      </c>
      <c r="O74" s="86" t="s">
        <v>537</v>
      </c>
      <c r="P74" s="86" t="s">
        <v>538</v>
      </c>
      <c r="Q74" s="86" t="s">
        <v>373</v>
      </c>
      <c r="R74" s="86" t="s">
        <v>539</v>
      </c>
      <c r="S74" s="86" t="s">
        <v>386</v>
      </c>
      <c r="T74" s="86" t="s">
        <v>169</v>
      </c>
      <c r="U74" s="86" t="s">
        <v>640</v>
      </c>
      <c r="V74" s="86"/>
      <c r="W74" s="86"/>
      <c r="X74" s="86" t="s">
        <v>375</v>
      </c>
      <c r="Y74" s="86">
        <v>8</v>
      </c>
      <c r="Z74" s="86" t="s">
        <v>640</v>
      </c>
      <c r="AA74" s="86"/>
      <c r="AB74" s="86" t="s">
        <v>376</v>
      </c>
      <c r="AC74" s="86">
        <v>0</v>
      </c>
      <c r="AD74" s="86" t="s">
        <v>376</v>
      </c>
      <c r="AE74" s="86" t="s">
        <v>375</v>
      </c>
    </row>
    <row r="75" spans="1:31" s="18" customFormat="1" ht="15.75" x14ac:dyDescent="0.25">
      <c r="A75" s="80">
        <v>4</v>
      </c>
      <c r="B75" s="90">
        <v>46174</v>
      </c>
      <c r="C75" s="86" t="s">
        <v>394</v>
      </c>
      <c r="D75" s="86" t="s">
        <v>55</v>
      </c>
      <c r="E75" s="86" t="s">
        <v>641</v>
      </c>
      <c r="F75" s="86">
        <v>15</v>
      </c>
      <c r="G75" s="86" t="s">
        <v>642</v>
      </c>
      <c r="H75" s="86" t="s">
        <v>385</v>
      </c>
      <c r="I75" s="86">
        <v>100</v>
      </c>
      <c r="J75" s="86"/>
      <c r="K75" s="86" t="s">
        <v>381</v>
      </c>
      <c r="L75" s="86"/>
      <c r="M75" s="86"/>
      <c r="N75" s="86" t="s">
        <v>635</v>
      </c>
      <c r="O75" s="86" t="s">
        <v>636</v>
      </c>
      <c r="P75" s="86" t="s">
        <v>643</v>
      </c>
      <c r="Q75" s="86" t="s">
        <v>638</v>
      </c>
      <c r="R75" s="86" t="s">
        <v>539</v>
      </c>
      <c r="S75" s="86" t="s">
        <v>386</v>
      </c>
      <c r="T75" s="86" t="s">
        <v>386</v>
      </c>
      <c r="U75" s="86" t="s">
        <v>644</v>
      </c>
      <c r="V75" s="86"/>
      <c r="W75" s="86"/>
      <c r="X75" s="86" t="s">
        <v>375</v>
      </c>
      <c r="Y75" s="86">
        <v>9</v>
      </c>
      <c r="Z75" s="86" t="s">
        <v>644</v>
      </c>
      <c r="AA75" s="86"/>
      <c r="AB75" s="86" t="s">
        <v>376</v>
      </c>
      <c r="AC75" s="86">
        <v>0</v>
      </c>
      <c r="AD75" s="86" t="s">
        <v>376</v>
      </c>
      <c r="AE75" s="86" t="s">
        <v>375</v>
      </c>
    </row>
    <row r="76" spans="1:31" s="18" customFormat="1" ht="15.75" x14ac:dyDescent="0.25">
      <c r="A76" s="80">
        <v>4</v>
      </c>
      <c r="B76" s="90">
        <v>46174</v>
      </c>
      <c r="C76" s="86" t="s">
        <v>605</v>
      </c>
      <c r="D76" s="86" t="s">
        <v>34</v>
      </c>
      <c r="E76" s="86" t="s">
        <v>519</v>
      </c>
      <c r="F76" s="86">
        <v>5</v>
      </c>
      <c r="G76" s="86" t="s">
        <v>511</v>
      </c>
      <c r="H76" s="86" t="s">
        <v>520</v>
      </c>
      <c r="I76" s="86">
        <v>120</v>
      </c>
      <c r="J76" s="86"/>
      <c r="K76" s="86" t="s">
        <v>506</v>
      </c>
      <c r="L76" s="86"/>
      <c r="M76" s="86"/>
      <c r="N76" s="86" t="s">
        <v>169</v>
      </c>
      <c r="O76" s="86" t="s">
        <v>517</v>
      </c>
      <c r="P76" s="86" t="s">
        <v>521</v>
      </c>
      <c r="Q76" s="86" t="s">
        <v>373</v>
      </c>
      <c r="R76" s="86" t="s">
        <v>374</v>
      </c>
      <c r="S76" s="86" t="s">
        <v>386</v>
      </c>
      <c r="T76" s="86" t="s">
        <v>169</v>
      </c>
      <c r="U76" s="86" t="s">
        <v>645</v>
      </c>
      <c r="V76" s="86"/>
      <c r="W76" s="86"/>
      <c r="X76" s="86" t="s">
        <v>375</v>
      </c>
      <c r="Y76" s="86">
        <v>10</v>
      </c>
      <c r="Z76" s="86" t="s">
        <v>645</v>
      </c>
      <c r="AA76" s="86"/>
      <c r="AB76" s="86" t="s">
        <v>376</v>
      </c>
      <c r="AC76" s="86">
        <v>0</v>
      </c>
      <c r="AD76" s="86" t="s">
        <v>376</v>
      </c>
      <c r="AE76" s="86" t="s">
        <v>375</v>
      </c>
    </row>
    <row r="77" spans="1:31" s="18" customFormat="1" ht="15.75" x14ac:dyDescent="0.25">
      <c r="A77" s="80">
        <v>4</v>
      </c>
      <c r="B77" s="90">
        <v>46174</v>
      </c>
      <c r="C77" s="86" t="s">
        <v>646</v>
      </c>
      <c r="D77" s="86" t="s">
        <v>57</v>
      </c>
      <c r="E77" s="86" t="s">
        <v>627</v>
      </c>
      <c r="F77" s="86">
        <v>15</v>
      </c>
      <c r="G77" s="86" t="s">
        <v>628</v>
      </c>
      <c r="H77" s="86" t="s">
        <v>390</v>
      </c>
      <c r="I77" s="86">
        <v>230</v>
      </c>
      <c r="J77" s="86"/>
      <c r="K77" s="86" t="s">
        <v>512</v>
      </c>
      <c r="L77" s="86"/>
      <c r="M77" s="86"/>
      <c r="N77" s="86" t="s">
        <v>169</v>
      </c>
      <c r="O77" s="86" t="s">
        <v>629</v>
      </c>
      <c r="P77" s="86" t="s">
        <v>630</v>
      </c>
      <c r="Q77" s="86" t="s">
        <v>373</v>
      </c>
      <c r="R77" s="86" t="s">
        <v>539</v>
      </c>
      <c r="S77" s="86" t="s">
        <v>386</v>
      </c>
      <c r="T77" s="86" t="s">
        <v>169</v>
      </c>
      <c r="U77" s="86" t="s">
        <v>647</v>
      </c>
      <c r="V77" s="86"/>
      <c r="W77" s="86"/>
      <c r="X77" s="86" t="s">
        <v>375</v>
      </c>
      <c r="Y77" s="86">
        <v>11</v>
      </c>
      <c r="Z77" s="86" t="s">
        <v>647</v>
      </c>
      <c r="AA77" s="86"/>
      <c r="AB77" s="86" t="s">
        <v>376</v>
      </c>
      <c r="AC77" s="86">
        <v>0</v>
      </c>
      <c r="AD77" s="86" t="s">
        <v>376</v>
      </c>
      <c r="AE77" s="86" t="s">
        <v>375</v>
      </c>
    </row>
    <row r="78" spans="1:31" s="18" customFormat="1" ht="15.75" x14ac:dyDescent="0.25">
      <c r="A78" s="80">
        <v>4</v>
      </c>
      <c r="B78" s="90">
        <v>46174</v>
      </c>
      <c r="C78" s="86" t="s">
        <v>648</v>
      </c>
      <c r="D78" s="86" t="s">
        <v>40</v>
      </c>
      <c r="E78" s="86" t="s">
        <v>621</v>
      </c>
      <c r="F78" s="86">
        <v>18</v>
      </c>
      <c r="G78" s="86" t="s">
        <v>622</v>
      </c>
      <c r="H78" s="86" t="s">
        <v>385</v>
      </c>
      <c r="I78" s="86">
        <v>100</v>
      </c>
      <c r="J78" s="86"/>
      <c r="K78" s="86" t="s">
        <v>506</v>
      </c>
      <c r="L78" s="86"/>
      <c r="M78" s="86"/>
      <c r="N78" s="86" t="s">
        <v>525</v>
      </c>
      <c r="O78" s="86" t="s">
        <v>526</v>
      </c>
      <c r="P78" s="86" t="s">
        <v>623</v>
      </c>
      <c r="Q78" s="86" t="s">
        <v>528</v>
      </c>
      <c r="R78" s="86" t="s">
        <v>374</v>
      </c>
      <c r="S78" s="86" t="s">
        <v>386</v>
      </c>
      <c r="T78" s="86" t="s">
        <v>386</v>
      </c>
      <c r="U78" s="86" t="s">
        <v>649</v>
      </c>
      <c r="V78" s="86"/>
      <c r="W78" s="86"/>
      <c r="X78" s="86" t="s">
        <v>375</v>
      </c>
      <c r="Y78" s="86">
        <v>12</v>
      </c>
      <c r="Z78" s="86" t="s">
        <v>649</v>
      </c>
      <c r="AA78" s="86"/>
      <c r="AB78" s="86" t="s">
        <v>376</v>
      </c>
      <c r="AC78" s="86">
        <v>0</v>
      </c>
      <c r="AD78" s="86" t="s">
        <v>376</v>
      </c>
      <c r="AE78" s="86" t="s">
        <v>375</v>
      </c>
    </row>
    <row r="79" spans="1:31" s="18" customFormat="1" ht="15.75" x14ac:dyDescent="0.25">
      <c r="A79" s="80">
        <v>4</v>
      </c>
      <c r="B79" s="90">
        <v>46175</v>
      </c>
      <c r="C79" s="86" t="s">
        <v>372</v>
      </c>
      <c r="D79" s="86" t="s">
        <v>40</v>
      </c>
      <c r="E79" s="86" t="s">
        <v>621</v>
      </c>
      <c r="F79" s="86">
        <v>32</v>
      </c>
      <c r="G79" s="86" t="s">
        <v>622</v>
      </c>
      <c r="H79" s="86" t="s">
        <v>385</v>
      </c>
      <c r="I79" s="86">
        <v>100</v>
      </c>
      <c r="J79" s="86"/>
      <c r="K79" s="86" t="s">
        <v>506</v>
      </c>
      <c r="L79" s="86"/>
      <c r="M79" s="86"/>
      <c r="N79" s="86" t="s">
        <v>525</v>
      </c>
      <c r="O79" s="86" t="s">
        <v>526</v>
      </c>
      <c r="P79" s="86" t="s">
        <v>623</v>
      </c>
      <c r="Q79" s="86" t="s">
        <v>528</v>
      </c>
      <c r="R79" s="86" t="s">
        <v>374</v>
      </c>
      <c r="S79" s="86" t="s">
        <v>386</v>
      </c>
      <c r="T79" s="86" t="s">
        <v>386</v>
      </c>
      <c r="U79" s="86" t="s">
        <v>650</v>
      </c>
      <c r="V79" s="86"/>
      <c r="W79" s="86"/>
      <c r="X79" s="86" t="s">
        <v>375</v>
      </c>
      <c r="Y79" s="86">
        <v>12</v>
      </c>
      <c r="Z79" s="86" t="s">
        <v>650</v>
      </c>
      <c r="AA79" s="86"/>
      <c r="AB79" s="86" t="s">
        <v>376</v>
      </c>
      <c r="AC79" s="86">
        <v>0</v>
      </c>
      <c r="AD79" s="86" t="s">
        <v>376</v>
      </c>
      <c r="AE79" s="86" t="s">
        <v>375</v>
      </c>
    </row>
    <row r="80" spans="1:31" s="18" customFormat="1" ht="15.75" x14ac:dyDescent="0.25">
      <c r="A80" s="80">
        <v>4</v>
      </c>
      <c r="B80" s="90">
        <v>46175</v>
      </c>
      <c r="C80" s="86" t="s">
        <v>377</v>
      </c>
      <c r="D80" s="86" t="s">
        <v>57</v>
      </c>
      <c r="E80" s="86" t="s">
        <v>627</v>
      </c>
      <c r="F80" s="86">
        <v>48</v>
      </c>
      <c r="G80" s="86" t="s">
        <v>628</v>
      </c>
      <c r="H80" s="86" t="s">
        <v>390</v>
      </c>
      <c r="I80" s="86">
        <v>230</v>
      </c>
      <c r="J80" s="86"/>
      <c r="K80" s="86" t="s">
        <v>512</v>
      </c>
      <c r="L80" s="86"/>
      <c r="M80" s="86"/>
      <c r="N80" s="86" t="s">
        <v>169</v>
      </c>
      <c r="O80" s="86" t="s">
        <v>629</v>
      </c>
      <c r="P80" s="86" t="s">
        <v>630</v>
      </c>
      <c r="Q80" s="86" t="s">
        <v>373</v>
      </c>
      <c r="R80" s="86" t="s">
        <v>539</v>
      </c>
      <c r="S80" s="86" t="s">
        <v>386</v>
      </c>
      <c r="T80" s="86" t="s">
        <v>169</v>
      </c>
      <c r="U80" s="86" t="s">
        <v>651</v>
      </c>
      <c r="V80" s="86"/>
      <c r="W80" s="86"/>
      <c r="X80" s="86" t="s">
        <v>375</v>
      </c>
      <c r="Y80" s="86">
        <v>13</v>
      </c>
      <c r="Z80" s="86" t="s">
        <v>651</v>
      </c>
      <c r="AA80" s="86"/>
      <c r="AB80" s="86" t="s">
        <v>376</v>
      </c>
      <c r="AC80" s="86">
        <v>0</v>
      </c>
      <c r="AD80" s="86" t="s">
        <v>376</v>
      </c>
      <c r="AE80" s="86" t="s">
        <v>375</v>
      </c>
    </row>
    <row r="81" spans="1:31" s="18" customFormat="1" ht="15.75" x14ac:dyDescent="0.25">
      <c r="A81" s="80">
        <v>4</v>
      </c>
      <c r="B81" s="90">
        <v>46175</v>
      </c>
      <c r="C81" s="86" t="s">
        <v>378</v>
      </c>
      <c r="D81" s="86" t="s">
        <v>41</v>
      </c>
      <c r="E81" s="86" t="s">
        <v>535</v>
      </c>
      <c r="F81" s="86">
        <v>6</v>
      </c>
      <c r="G81" s="86" t="s">
        <v>536</v>
      </c>
      <c r="H81" s="86" t="s">
        <v>391</v>
      </c>
      <c r="I81" s="86">
        <v>230</v>
      </c>
      <c r="J81" s="86"/>
      <c r="K81" s="86" t="s">
        <v>506</v>
      </c>
      <c r="L81" s="86"/>
      <c r="M81" s="86"/>
      <c r="N81" s="86" t="s">
        <v>169</v>
      </c>
      <c r="O81" s="86" t="s">
        <v>537</v>
      </c>
      <c r="P81" s="86" t="s">
        <v>538</v>
      </c>
      <c r="Q81" s="86" t="s">
        <v>373</v>
      </c>
      <c r="R81" s="86" t="s">
        <v>539</v>
      </c>
      <c r="S81" s="86" t="s">
        <v>386</v>
      </c>
      <c r="T81" s="86" t="s">
        <v>169</v>
      </c>
      <c r="U81" s="86" t="s">
        <v>652</v>
      </c>
      <c r="V81" s="86"/>
      <c r="W81" s="86"/>
      <c r="X81" s="86" t="s">
        <v>375</v>
      </c>
      <c r="Y81" s="86">
        <v>14</v>
      </c>
      <c r="Z81" s="86" t="s">
        <v>652</v>
      </c>
      <c r="AA81" s="86"/>
      <c r="AB81" s="86" t="s">
        <v>376</v>
      </c>
      <c r="AC81" s="86">
        <v>0</v>
      </c>
      <c r="AD81" s="86" t="s">
        <v>376</v>
      </c>
      <c r="AE81" s="86" t="s">
        <v>375</v>
      </c>
    </row>
    <row r="82" spans="1:31" s="18" customFormat="1" ht="15.75" x14ac:dyDescent="0.25">
      <c r="A82" s="80">
        <v>4</v>
      </c>
      <c r="B82" s="90">
        <v>46175</v>
      </c>
      <c r="C82" s="86" t="s">
        <v>379</v>
      </c>
      <c r="D82" s="86" t="s">
        <v>40</v>
      </c>
      <c r="E82" s="86" t="s">
        <v>621</v>
      </c>
      <c r="F82" s="86">
        <v>32</v>
      </c>
      <c r="G82" s="86" t="s">
        <v>622</v>
      </c>
      <c r="H82" s="86" t="s">
        <v>385</v>
      </c>
      <c r="I82" s="86">
        <v>100</v>
      </c>
      <c r="J82" s="86"/>
      <c r="K82" s="86" t="s">
        <v>506</v>
      </c>
      <c r="L82" s="86"/>
      <c r="M82" s="86"/>
      <c r="N82" s="86" t="s">
        <v>525</v>
      </c>
      <c r="O82" s="86" t="s">
        <v>526</v>
      </c>
      <c r="P82" s="86" t="s">
        <v>623</v>
      </c>
      <c r="Q82" s="86" t="s">
        <v>528</v>
      </c>
      <c r="R82" s="86" t="s">
        <v>374</v>
      </c>
      <c r="S82" s="86" t="s">
        <v>386</v>
      </c>
      <c r="T82" s="86" t="s">
        <v>386</v>
      </c>
      <c r="U82" s="86" t="s">
        <v>653</v>
      </c>
      <c r="V82" s="86"/>
      <c r="W82" s="86"/>
      <c r="X82" s="86" t="s">
        <v>375</v>
      </c>
      <c r="Y82" s="86">
        <v>15</v>
      </c>
      <c r="Z82" s="86" t="s">
        <v>653</v>
      </c>
      <c r="AA82" s="86"/>
      <c r="AB82" s="86" t="s">
        <v>376</v>
      </c>
      <c r="AC82" s="86">
        <v>0</v>
      </c>
      <c r="AD82" s="86" t="s">
        <v>376</v>
      </c>
      <c r="AE82" s="86" t="s">
        <v>375</v>
      </c>
    </row>
    <row r="83" spans="1:31" s="18" customFormat="1" ht="15.75" x14ac:dyDescent="0.25">
      <c r="A83" s="80">
        <v>4</v>
      </c>
      <c r="B83" s="90">
        <v>46175</v>
      </c>
      <c r="C83" s="86" t="s">
        <v>387</v>
      </c>
      <c r="D83" s="86" t="s">
        <v>38</v>
      </c>
      <c r="E83" s="86" t="s">
        <v>530</v>
      </c>
      <c r="F83" s="86">
        <v>18</v>
      </c>
      <c r="G83" s="86" t="s">
        <v>531</v>
      </c>
      <c r="H83" s="86" t="s">
        <v>390</v>
      </c>
      <c r="I83" s="86">
        <v>230</v>
      </c>
      <c r="J83" s="86"/>
      <c r="K83" s="86" t="s">
        <v>506</v>
      </c>
      <c r="L83" s="86"/>
      <c r="M83" s="86"/>
      <c r="N83" s="86" t="s">
        <v>169</v>
      </c>
      <c r="O83" s="86" t="s">
        <v>517</v>
      </c>
      <c r="P83" s="86" t="s">
        <v>532</v>
      </c>
      <c r="Q83" s="86" t="s">
        <v>373</v>
      </c>
      <c r="R83" s="86" t="s">
        <v>374</v>
      </c>
      <c r="S83" s="86" t="s">
        <v>386</v>
      </c>
      <c r="T83" s="86" t="s">
        <v>169</v>
      </c>
      <c r="U83" s="86" t="s">
        <v>654</v>
      </c>
      <c r="V83" s="86"/>
      <c r="W83" s="86"/>
      <c r="X83" s="86" t="s">
        <v>375</v>
      </c>
      <c r="Y83" s="86">
        <v>16</v>
      </c>
      <c r="Z83" s="86" t="s">
        <v>654</v>
      </c>
      <c r="AA83" s="86"/>
      <c r="AB83" s="86" t="s">
        <v>376</v>
      </c>
      <c r="AC83" s="86">
        <v>0</v>
      </c>
      <c r="AD83" s="86" t="s">
        <v>376</v>
      </c>
      <c r="AE83" s="86" t="s">
        <v>375</v>
      </c>
    </row>
    <row r="84" spans="1:31" s="18" customFormat="1" ht="15.75" x14ac:dyDescent="0.25">
      <c r="A84" s="80">
        <v>4</v>
      </c>
      <c r="B84" s="90">
        <v>46175</v>
      </c>
      <c r="C84" s="86" t="s">
        <v>388</v>
      </c>
      <c r="D84" s="86" t="s">
        <v>55</v>
      </c>
      <c r="E84" s="86" t="s">
        <v>641</v>
      </c>
      <c r="F84" s="86">
        <v>30</v>
      </c>
      <c r="G84" s="86" t="s">
        <v>642</v>
      </c>
      <c r="H84" s="86" t="s">
        <v>385</v>
      </c>
      <c r="I84" s="86">
        <v>100</v>
      </c>
      <c r="J84" s="86"/>
      <c r="K84" s="86" t="s">
        <v>381</v>
      </c>
      <c r="L84" s="86"/>
      <c r="M84" s="86"/>
      <c r="N84" s="86" t="s">
        <v>635</v>
      </c>
      <c r="O84" s="86" t="s">
        <v>636</v>
      </c>
      <c r="P84" s="86" t="s">
        <v>643</v>
      </c>
      <c r="Q84" s="86" t="s">
        <v>638</v>
      </c>
      <c r="R84" s="86" t="s">
        <v>539</v>
      </c>
      <c r="S84" s="86" t="s">
        <v>386</v>
      </c>
      <c r="T84" s="86" t="s">
        <v>386</v>
      </c>
      <c r="U84" s="86" t="s">
        <v>655</v>
      </c>
      <c r="V84" s="86" t="s">
        <v>380</v>
      </c>
      <c r="W84" s="86"/>
      <c r="X84" s="86" t="s">
        <v>375</v>
      </c>
      <c r="Y84" s="86">
        <v>17</v>
      </c>
      <c r="Z84" s="86" t="s">
        <v>395</v>
      </c>
      <c r="AA84" s="86"/>
      <c r="AB84" s="86" t="s">
        <v>380</v>
      </c>
      <c r="AC84" s="86">
        <v>1</v>
      </c>
      <c r="AD84" s="86" t="s">
        <v>381</v>
      </c>
      <c r="AE84" s="86" t="s">
        <v>382</v>
      </c>
    </row>
    <row r="85" spans="1:31" s="18" customFormat="1" ht="15.75" x14ac:dyDescent="0.25">
      <c r="A85" s="80">
        <v>4</v>
      </c>
      <c r="B85" s="90">
        <v>46175</v>
      </c>
      <c r="C85" s="86" t="s">
        <v>389</v>
      </c>
      <c r="D85" s="86" t="s">
        <v>38</v>
      </c>
      <c r="E85" s="86" t="s">
        <v>530</v>
      </c>
      <c r="F85" s="86">
        <v>50</v>
      </c>
      <c r="G85" s="86" t="s">
        <v>531</v>
      </c>
      <c r="H85" s="86" t="s">
        <v>390</v>
      </c>
      <c r="I85" s="86">
        <v>230</v>
      </c>
      <c r="J85" s="86"/>
      <c r="K85" s="86" t="s">
        <v>506</v>
      </c>
      <c r="L85" s="86"/>
      <c r="M85" s="86"/>
      <c r="N85" s="86" t="s">
        <v>169</v>
      </c>
      <c r="O85" s="86" t="s">
        <v>517</v>
      </c>
      <c r="P85" s="86" t="s">
        <v>532</v>
      </c>
      <c r="Q85" s="86" t="s">
        <v>373</v>
      </c>
      <c r="R85" s="86" t="s">
        <v>374</v>
      </c>
      <c r="S85" s="86" t="s">
        <v>386</v>
      </c>
      <c r="T85" s="86" t="s">
        <v>169</v>
      </c>
      <c r="U85" s="86" t="s">
        <v>656</v>
      </c>
      <c r="V85" s="86" t="s">
        <v>380</v>
      </c>
      <c r="W85" s="86"/>
      <c r="X85" s="86" t="s">
        <v>375</v>
      </c>
      <c r="Y85" s="86">
        <v>18</v>
      </c>
      <c r="Z85" s="86" t="s">
        <v>594</v>
      </c>
      <c r="AA85" s="86"/>
      <c r="AB85" s="86" t="s">
        <v>380</v>
      </c>
      <c r="AC85" s="86">
        <v>1</v>
      </c>
      <c r="AD85" s="86" t="s">
        <v>381</v>
      </c>
      <c r="AE85" s="86" t="s">
        <v>382</v>
      </c>
    </row>
    <row r="86" spans="1:31" s="18" customFormat="1" ht="15.75" x14ac:dyDescent="0.25">
      <c r="A86" s="80">
        <v>4</v>
      </c>
      <c r="B86" s="90">
        <v>46175</v>
      </c>
      <c r="C86" s="86" t="s">
        <v>393</v>
      </c>
      <c r="D86" s="86" t="s">
        <v>47</v>
      </c>
      <c r="E86" s="86" t="s">
        <v>569</v>
      </c>
      <c r="F86" s="86">
        <v>12</v>
      </c>
      <c r="G86" s="86" t="s">
        <v>505</v>
      </c>
      <c r="H86" s="86" t="s">
        <v>520</v>
      </c>
      <c r="I86" s="86">
        <v>120</v>
      </c>
      <c r="J86" s="86"/>
      <c r="K86" s="86" t="s">
        <v>550</v>
      </c>
      <c r="L86" s="86"/>
      <c r="M86" s="86"/>
      <c r="N86" s="86" t="s">
        <v>169</v>
      </c>
      <c r="O86" s="86" t="s">
        <v>517</v>
      </c>
      <c r="P86" s="86" t="s">
        <v>521</v>
      </c>
      <c r="Q86" s="86" t="s">
        <v>373</v>
      </c>
      <c r="R86" s="86" t="s">
        <v>374</v>
      </c>
      <c r="S86" s="86" t="s">
        <v>386</v>
      </c>
      <c r="T86" s="86" t="s">
        <v>169</v>
      </c>
      <c r="U86" s="86" t="s">
        <v>657</v>
      </c>
      <c r="V86" s="86" t="s">
        <v>380</v>
      </c>
      <c r="W86" s="86"/>
      <c r="X86" s="86" t="s">
        <v>375</v>
      </c>
      <c r="Y86" s="86">
        <v>19</v>
      </c>
      <c r="Z86" s="86" t="s">
        <v>648</v>
      </c>
      <c r="AA86" s="86"/>
      <c r="AB86" s="86" t="s">
        <v>380</v>
      </c>
      <c r="AC86" s="86">
        <v>1</v>
      </c>
      <c r="AD86" s="86" t="s">
        <v>381</v>
      </c>
      <c r="AE86" s="86" t="s">
        <v>382</v>
      </c>
    </row>
    <row r="87" spans="1:31" s="18" customFormat="1" ht="15.75" x14ac:dyDescent="0.25">
      <c r="A87" s="80">
        <v>4</v>
      </c>
      <c r="B87" s="90">
        <v>46175</v>
      </c>
      <c r="C87" s="86" t="s">
        <v>394</v>
      </c>
      <c r="D87" s="86" t="s">
        <v>46</v>
      </c>
      <c r="E87" s="86" t="s">
        <v>549</v>
      </c>
      <c r="F87" s="86">
        <v>21</v>
      </c>
      <c r="G87" s="86" t="s">
        <v>505</v>
      </c>
      <c r="H87" s="86" t="s">
        <v>390</v>
      </c>
      <c r="I87" s="86">
        <v>230</v>
      </c>
      <c r="J87" s="86"/>
      <c r="K87" s="86" t="s">
        <v>550</v>
      </c>
      <c r="L87" s="86"/>
      <c r="M87" s="86"/>
      <c r="N87" s="86" t="s">
        <v>169</v>
      </c>
      <c r="O87" s="86" t="s">
        <v>517</v>
      </c>
      <c r="P87" s="86" t="s">
        <v>518</v>
      </c>
      <c r="Q87" s="86" t="s">
        <v>373</v>
      </c>
      <c r="R87" s="86" t="s">
        <v>374</v>
      </c>
      <c r="S87" s="86" t="s">
        <v>386</v>
      </c>
      <c r="T87" s="86" t="s">
        <v>169</v>
      </c>
      <c r="U87" s="86" t="s">
        <v>658</v>
      </c>
      <c r="V87" s="86" t="s">
        <v>380</v>
      </c>
      <c r="W87" s="86"/>
      <c r="X87" s="86" t="s">
        <v>375</v>
      </c>
      <c r="Y87" s="86">
        <v>20</v>
      </c>
      <c r="Z87" s="86" t="s">
        <v>659</v>
      </c>
      <c r="AA87" s="86"/>
      <c r="AB87" s="86" t="s">
        <v>380</v>
      </c>
      <c r="AC87" s="86">
        <v>1</v>
      </c>
      <c r="AD87" s="86" t="s">
        <v>381</v>
      </c>
      <c r="AE87" s="86" t="s">
        <v>382</v>
      </c>
    </row>
    <row r="88" spans="1:31" s="18" customFormat="1" ht="15.75" x14ac:dyDescent="0.25">
      <c r="A88" s="80">
        <v>4</v>
      </c>
      <c r="B88" s="90">
        <v>46177</v>
      </c>
      <c r="C88" s="86" t="s">
        <v>372</v>
      </c>
      <c r="D88" s="86" t="s">
        <v>46</v>
      </c>
      <c r="E88" s="86" t="s">
        <v>549</v>
      </c>
      <c r="F88" s="86">
        <v>9</v>
      </c>
      <c r="G88" s="86" t="s">
        <v>505</v>
      </c>
      <c r="H88" s="86" t="s">
        <v>390</v>
      </c>
      <c r="I88" s="86">
        <v>230</v>
      </c>
      <c r="J88" s="86"/>
      <c r="K88" s="86" t="s">
        <v>550</v>
      </c>
      <c r="L88" s="86"/>
      <c r="M88" s="86"/>
      <c r="N88" s="86" t="s">
        <v>169</v>
      </c>
      <c r="O88" s="86" t="s">
        <v>517</v>
      </c>
      <c r="P88" s="86" t="s">
        <v>518</v>
      </c>
      <c r="Q88" s="86" t="s">
        <v>373</v>
      </c>
      <c r="R88" s="86" t="s">
        <v>374</v>
      </c>
      <c r="S88" s="86" t="s">
        <v>386</v>
      </c>
      <c r="T88" s="86" t="s">
        <v>169</v>
      </c>
      <c r="U88" s="86" t="s">
        <v>660</v>
      </c>
      <c r="V88" s="86" t="s">
        <v>380</v>
      </c>
      <c r="W88" s="86"/>
      <c r="X88" s="86" t="s">
        <v>375</v>
      </c>
      <c r="Y88" s="86">
        <v>20</v>
      </c>
      <c r="Z88" s="86" t="s">
        <v>394</v>
      </c>
      <c r="AA88" s="86"/>
      <c r="AB88" s="86" t="s">
        <v>380</v>
      </c>
      <c r="AC88" s="86">
        <v>1</v>
      </c>
      <c r="AD88" s="86" t="s">
        <v>381</v>
      </c>
      <c r="AE88" s="86" t="s">
        <v>382</v>
      </c>
    </row>
    <row r="89" spans="1:31" s="18" customFormat="1" ht="15.75" x14ac:dyDescent="0.25">
      <c r="A89" s="80">
        <v>4</v>
      </c>
      <c r="B89" s="90">
        <v>46177</v>
      </c>
      <c r="C89" s="86" t="s">
        <v>377</v>
      </c>
      <c r="D89" s="86" t="s">
        <v>55</v>
      </c>
      <c r="E89" s="86" t="s">
        <v>641</v>
      </c>
      <c r="F89" s="86">
        <v>27</v>
      </c>
      <c r="G89" s="86" t="s">
        <v>642</v>
      </c>
      <c r="H89" s="86" t="s">
        <v>385</v>
      </c>
      <c r="I89" s="86">
        <v>100</v>
      </c>
      <c r="J89" s="86"/>
      <c r="K89" s="86" t="s">
        <v>381</v>
      </c>
      <c r="L89" s="86"/>
      <c r="M89" s="86"/>
      <c r="N89" s="86" t="s">
        <v>635</v>
      </c>
      <c r="O89" s="86" t="s">
        <v>636</v>
      </c>
      <c r="P89" s="86" t="s">
        <v>643</v>
      </c>
      <c r="Q89" s="86" t="s">
        <v>638</v>
      </c>
      <c r="R89" s="86" t="s">
        <v>539</v>
      </c>
      <c r="S89" s="86" t="s">
        <v>386</v>
      </c>
      <c r="T89" s="86" t="s">
        <v>386</v>
      </c>
      <c r="U89" s="86" t="s">
        <v>661</v>
      </c>
      <c r="V89" s="86" t="s">
        <v>380</v>
      </c>
      <c r="W89" s="86"/>
      <c r="X89" s="86" t="s">
        <v>375</v>
      </c>
      <c r="Y89" s="86">
        <v>21</v>
      </c>
      <c r="Z89" s="86" t="s">
        <v>662</v>
      </c>
      <c r="AA89" s="86"/>
      <c r="AB89" s="86" t="s">
        <v>380</v>
      </c>
      <c r="AC89" s="86">
        <v>1</v>
      </c>
      <c r="AD89" s="86" t="s">
        <v>381</v>
      </c>
      <c r="AE89" s="86" t="s">
        <v>382</v>
      </c>
    </row>
    <row r="90" spans="1:31" s="18" customFormat="1" ht="15.75" x14ac:dyDescent="0.25">
      <c r="A90" s="80">
        <v>4</v>
      </c>
      <c r="B90" s="90">
        <v>46177</v>
      </c>
      <c r="C90" s="86" t="s">
        <v>378</v>
      </c>
      <c r="D90" s="86" t="s">
        <v>43</v>
      </c>
      <c r="E90" s="86" t="s">
        <v>663</v>
      </c>
      <c r="F90" s="86">
        <v>8</v>
      </c>
      <c r="G90" s="86" t="s">
        <v>513</v>
      </c>
      <c r="H90" s="86" t="s">
        <v>390</v>
      </c>
      <c r="I90" s="86">
        <v>230</v>
      </c>
      <c r="J90" s="86"/>
      <c r="K90" s="86" t="s">
        <v>550</v>
      </c>
      <c r="L90" s="86"/>
      <c r="M90" s="86"/>
      <c r="N90" s="86" t="s">
        <v>169</v>
      </c>
      <c r="O90" s="86" t="s">
        <v>517</v>
      </c>
      <c r="P90" s="86" t="s">
        <v>518</v>
      </c>
      <c r="Q90" s="86" t="s">
        <v>373</v>
      </c>
      <c r="R90" s="86" t="s">
        <v>374</v>
      </c>
      <c r="S90" s="86" t="s">
        <v>386</v>
      </c>
      <c r="T90" s="86" t="s">
        <v>169</v>
      </c>
      <c r="U90" s="86" t="s">
        <v>664</v>
      </c>
      <c r="V90" s="86" t="s">
        <v>380</v>
      </c>
      <c r="W90" s="86"/>
      <c r="X90" s="86" t="s">
        <v>375</v>
      </c>
      <c r="Y90" s="86">
        <v>22</v>
      </c>
      <c r="Z90" s="86" t="s">
        <v>393</v>
      </c>
      <c r="AA90" s="86"/>
      <c r="AB90" s="86" t="s">
        <v>380</v>
      </c>
      <c r="AC90" s="86">
        <v>1</v>
      </c>
      <c r="AD90" s="86" t="s">
        <v>381</v>
      </c>
      <c r="AE90" s="86" t="s">
        <v>382</v>
      </c>
    </row>
    <row r="91" spans="1:31" s="18" customFormat="1" ht="15.75" x14ac:dyDescent="0.25">
      <c r="A91" s="80">
        <v>4</v>
      </c>
      <c r="B91" s="90">
        <v>46177</v>
      </c>
      <c r="C91" s="86" t="s">
        <v>379</v>
      </c>
      <c r="D91" s="86" t="s">
        <v>38</v>
      </c>
      <c r="E91" s="86" t="s">
        <v>530</v>
      </c>
      <c r="F91" s="86">
        <v>28</v>
      </c>
      <c r="G91" s="86" t="s">
        <v>531</v>
      </c>
      <c r="H91" s="86" t="s">
        <v>390</v>
      </c>
      <c r="I91" s="86">
        <v>230</v>
      </c>
      <c r="J91" s="86"/>
      <c r="K91" s="86" t="s">
        <v>506</v>
      </c>
      <c r="L91" s="86"/>
      <c r="M91" s="86"/>
      <c r="N91" s="86" t="s">
        <v>169</v>
      </c>
      <c r="O91" s="86" t="s">
        <v>517</v>
      </c>
      <c r="P91" s="86" t="s">
        <v>532</v>
      </c>
      <c r="Q91" s="86" t="s">
        <v>373</v>
      </c>
      <c r="R91" s="86" t="s">
        <v>374</v>
      </c>
      <c r="S91" s="86" t="s">
        <v>386</v>
      </c>
      <c r="T91" s="86" t="s">
        <v>169</v>
      </c>
      <c r="U91" s="86" t="s">
        <v>665</v>
      </c>
      <c r="V91" s="86" t="s">
        <v>380</v>
      </c>
      <c r="W91" s="86"/>
      <c r="X91" s="86" t="s">
        <v>375</v>
      </c>
      <c r="Y91" s="86">
        <v>23</v>
      </c>
      <c r="Z91" s="86" t="s">
        <v>666</v>
      </c>
      <c r="AA91" s="86"/>
      <c r="AB91" s="86" t="s">
        <v>380</v>
      </c>
      <c r="AC91" s="86">
        <v>1</v>
      </c>
      <c r="AD91" s="86" t="s">
        <v>381</v>
      </c>
      <c r="AE91" s="86" t="s">
        <v>382</v>
      </c>
    </row>
    <row r="92" spans="1:31" s="18" customFormat="1" ht="15.75" x14ac:dyDescent="0.25">
      <c r="A92" s="80">
        <v>4</v>
      </c>
      <c r="B92" s="90">
        <v>46177</v>
      </c>
      <c r="C92" s="86" t="s">
        <v>387</v>
      </c>
      <c r="D92" s="86" t="s">
        <v>40</v>
      </c>
      <c r="E92" s="86" t="s">
        <v>621</v>
      </c>
      <c r="F92" s="86">
        <v>22</v>
      </c>
      <c r="G92" s="86" t="s">
        <v>622</v>
      </c>
      <c r="H92" s="86" t="s">
        <v>385</v>
      </c>
      <c r="I92" s="86">
        <v>100</v>
      </c>
      <c r="J92" s="86"/>
      <c r="K92" s="86" t="s">
        <v>506</v>
      </c>
      <c r="L92" s="86"/>
      <c r="M92" s="86"/>
      <c r="N92" s="86" t="s">
        <v>525</v>
      </c>
      <c r="O92" s="86" t="s">
        <v>526</v>
      </c>
      <c r="P92" s="86" t="s">
        <v>623</v>
      </c>
      <c r="Q92" s="86" t="s">
        <v>528</v>
      </c>
      <c r="R92" s="86" t="s">
        <v>374</v>
      </c>
      <c r="S92" s="86" t="s">
        <v>386</v>
      </c>
      <c r="T92" s="86" t="s">
        <v>386</v>
      </c>
      <c r="U92" s="86" t="s">
        <v>667</v>
      </c>
      <c r="V92" s="86" t="s">
        <v>380</v>
      </c>
      <c r="W92" s="86"/>
      <c r="X92" s="86" t="s">
        <v>375</v>
      </c>
      <c r="Y92" s="86">
        <v>24</v>
      </c>
      <c r="Z92" s="86" t="s">
        <v>668</v>
      </c>
      <c r="AA92" s="86"/>
      <c r="AB92" s="86" t="s">
        <v>380</v>
      </c>
      <c r="AC92" s="86">
        <v>1</v>
      </c>
      <c r="AD92" s="86" t="s">
        <v>381</v>
      </c>
      <c r="AE92" s="86" t="s">
        <v>382</v>
      </c>
    </row>
    <row r="93" spans="1:31" s="18" customFormat="1" ht="15.75" x14ac:dyDescent="0.25">
      <c r="A93" s="80">
        <v>4</v>
      </c>
      <c r="B93" s="90">
        <v>46177</v>
      </c>
      <c r="C93" s="86" t="s">
        <v>388</v>
      </c>
      <c r="D93" s="86" t="s">
        <v>46</v>
      </c>
      <c r="E93" s="86" t="s">
        <v>549</v>
      </c>
      <c r="F93" s="86">
        <v>15</v>
      </c>
      <c r="G93" s="86" t="s">
        <v>505</v>
      </c>
      <c r="H93" s="86" t="s">
        <v>390</v>
      </c>
      <c r="I93" s="86">
        <v>230</v>
      </c>
      <c r="J93" s="86"/>
      <c r="K93" s="86" t="s">
        <v>550</v>
      </c>
      <c r="L93" s="86"/>
      <c r="M93" s="86"/>
      <c r="N93" s="86" t="s">
        <v>169</v>
      </c>
      <c r="O93" s="86" t="s">
        <v>517</v>
      </c>
      <c r="P93" s="86" t="s">
        <v>518</v>
      </c>
      <c r="Q93" s="86" t="s">
        <v>373</v>
      </c>
      <c r="R93" s="86" t="s">
        <v>374</v>
      </c>
      <c r="S93" s="86" t="s">
        <v>386</v>
      </c>
      <c r="T93" s="86" t="s">
        <v>169</v>
      </c>
      <c r="U93" s="86" t="s">
        <v>669</v>
      </c>
      <c r="V93" s="86" t="s">
        <v>380</v>
      </c>
      <c r="W93" s="86"/>
      <c r="X93" s="86" t="s">
        <v>375</v>
      </c>
      <c r="Y93" s="86">
        <v>25</v>
      </c>
      <c r="Z93" s="86" t="s">
        <v>670</v>
      </c>
      <c r="AA93" s="86"/>
      <c r="AB93" s="86" t="s">
        <v>380</v>
      </c>
      <c r="AC93" s="86">
        <v>1</v>
      </c>
      <c r="AD93" s="86" t="s">
        <v>381</v>
      </c>
      <c r="AE93" s="86" t="s">
        <v>382</v>
      </c>
    </row>
    <row r="94" spans="1:31" s="18" customFormat="1" ht="15.75" x14ac:dyDescent="0.25">
      <c r="A94" s="80">
        <v>4</v>
      </c>
      <c r="B94" s="90">
        <v>46177</v>
      </c>
      <c r="C94" s="86" t="s">
        <v>389</v>
      </c>
      <c r="D94" s="86" t="s">
        <v>57</v>
      </c>
      <c r="E94" s="86" t="s">
        <v>627</v>
      </c>
      <c r="F94" s="86">
        <v>35</v>
      </c>
      <c r="G94" s="86" t="s">
        <v>628</v>
      </c>
      <c r="H94" s="86" t="s">
        <v>390</v>
      </c>
      <c r="I94" s="86">
        <v>230</v>
      </c>
      <c r="J94" s="86"/>
      <c r="K94" s="86" t="s">
        <v>512</v>
      </c>
      <c r="L94" s="86"/>
      <c r="M94" s="86"/>
      <c r="N94" s="86" t="s">
        <v>169</v>
      </c>
      <c r="O94" s="86" t="s">
        <v>629</v>
      </c>
      <c r="P94" s="86" t="s">
        <v>630</v>
      </c>
      <c r="Q94" s="86" t="s">
        <v>373</v>
      </c>
      <c r="R94" s="86" t="s">
        <v>539</v>
      </c>
      <c r="S94" s="86" t="s">
        <v>386</v>
      </c>
      <c r="T94" s="86" t="s">
        <v>169</v>
      </c>
      <c r="U94" s="86" t="s">
        <v>671</v>
      </c>
      <c r="V94" s="86" t="s">
        <v>380</v>
      </c>
      <c r="W94" s="86"/>
      <c r="X94" s="86" t="s">
        <v>375</v>
      </c>
      <c r="Y94" s="86">
        <v>26</v>
      </c>
      <c r="Z94" s="86" t="s">
        <v>672</v>
      </c>
      <c r="AA94" s="86"/>
      <c r="AB94" s="86" t="s">
        <v>380</v>
      </c>
      <c r="AC94" s="86">
        <v>1</v>
      </c>
      <c r="AD94" s="86" t="s">
        <v>381</v>
      </c>
      <c r="AE94" s="86" t="s">
        <v>382</v>
      </c>
    </row>
    <row r="95" spans="1:31" s="18" customFormat="1" ht="15.75" x14ac:dyDescent="0.25">
      <c r="A95" s="80">
        <v>4</v>
      </c>
      <c r="B95" s="90">
        <v>46177</v>
      </c>
      <c r="C95" s="86" t="s">
        <v>393</v>
      </c>
      <c r="D95" s="86" t="s">
        <v>58</v>
      </c>
      <c r="E95" s="86" t="s">
        <v>673</v>
      </c>
      <c r="F95" s="86">
        <v>29</v>
      </c>
      <c r="G95" s="86" t="s">
        <v>628</v>
      </c>
      <c r="H95" s="86" t="s">
        <v>520</v>
      </c>
      <c r="I95" s="86">
        <v>120</v>
      </c>
      <c r="J95" s="86"/>
      <c r="K95" s="86" t="s">
        <v>512</v>
      </c>
      <c r="L95" s="86"/>
      <c r="M95" s="86"/>
      <c r="N95" s="86" t="s">
        <v>635</v>
      </c>
      <c r="O95" s="86" t="s">
        <v>636</v>
      </c>
      <c r="P95" s="86" t="s">
        <v>674</v>
      </c>
      <c r="Q95" s="86" t="s">
        <v>638</v>
      </c>
      <c r="R95" s="86" t="s">
        <v>539</v>
      </c>
      <c r="S95" s="86" t="s">
        <v>386</v>
      </c>
      <c r="T95" s="86" t="s">
        <v>169</v>
      </c>
      <c r="U95" s="86" t="s">
        <v>675</v>
      </c>
      <c r="V95" s="86" t="s">
        <v>380</v>
      </c>
      <c r="W95" s="86"/>
      <c r="X95" s="86" t="s">
        <v>375</v>
      </c>
      <c r="Y95" s="86">
        <v>27</v>
      </c>
      <c r="Z95" s="86" t="s">
        <v>676</v>
      </c>
      <c r="AA95" s="86"/>
      <c r="AB95" s="86" t="s">
        <v>380</v>
      </c>
      <c r="AC95" s="86">
        <v>1</v>
      </c>
      <c r="AD95" s="86" t="s">
        <v>381</v>
      </c>
      <c r="AE95" s="86" t="s">
        <v>382</v>
      </c>
    </row>
    <row r="96" spans="1:31" s="18" customFormat="1" ht="15.75" x14ac:dyDescent="0.25">
      <c r="A96" s="80">
        <v>4</v>
      </c>
      <c r="B96" s="90">
        <v>46177</v>
      </c>
      <c r="C96" s="86" t="s">
        <v>394</v>
      </c>
      <c r="D96" s="86" t="s">
        <v>40</v>
      </c>
      <c r="E96" s="86" t="s">
        <v>621</v>
      </c>
      <c r="F96" s="86">
        <v>9</v>
      </c>
      <c r="G96" s="86" t="s">
        <v>622</v>
      </c>
      <c r="H96" s="86" t="s">
        <v>385</v>
      </c>
      <c r="I96" s="86">
        <v>100</v>
      </c>
      <c r="J96" s="86"/>
      <c r="K96" s="86" t="s">
        <v>506</v>
      </c>
      <c r="L96" s="86"/>
      <c r="M96" s="86"/>
      <c r="N96" s="86" t="s">
        <v>525</v>
      </c>
      <c r="O96" s="86" t="s">
        <v>526</v>
      </c>
      <c r="P96" s="86" t="s">
        <v>623</v>
      </c>
      <c r="Q96" s="86" t="s">
        <v>528</v>
      </c>
      <c r="R96" s="86" t="s">
        <v>374</v>
      </c>
      <c r="S96" s="86" t="s">
        <v>386</v>
      </c>
      <c r="T96" s="86" t="s">
        <v>386</v>
      </c>
      <c r="U96" s="86" t="s">
        <v>677</v>
      </c>
      <c r="V96" s="86" t="s">
        <v>380</v>
      </c>
      <c r="W96" s="86"/>
      <c r="X96" s="86" t="s">
        <v>375</v>
      </c>
      <c r="Y96" s="86">
        <v>28</v>
      </c>
      <c r="Z96" s="86" t="s">
        <v>394</v>
      </c>
      <c r="AA96" s="86"/>
      <c r="AB96" s="86" t="s">
        <v>380</v>
      </c>
      <c r="AC96" s="86">
        <v>1</v>
      </c>
      <c r="AD96" s="86" t="s">
        <v>381</v>
      </c>
      <c r="AE96" s="86" t="s">
        <v>382</v>
      </c>
    </row>
    <row r="97" spans="1:31" s="18" customFormat="1" ht="15.75" x14ac:dyDescent="0.25">
      <c r="A97" s="80">
        <v>4</v>
      </c>
      <c r="B97" s="90">
        <v>46177</v>
      </c>
      <c r="C97" s="86" t="s">
        <v>605</v>
      </c>
      <c r="D97" s="86" t="s">
        <v>30</v>
      </c>
      <c r="E97" s="86" t="s">
        <v>524</v>
      </c>
      <c r="F97" s="86">
        <v>21</v>
      </c>
      <c r="G97" s="86" t="s">
        <v>511</v>
      </c>
      <c r="H97" s="86" t="s">
        <v>385</v>
      </c>
      <c r="I97" s="86">
        <v>100</v>
      </c>
      <c r="J97" s="86"/>
      <c r="K97" s="86" t="s">
        <v>506</v>
      </c>
      <c r="L97" s="86"/>
      <c r="M97" s="86"/>
      <c r="N97" s="86" t="s">
        <v>525</v>
      </c>
      <c r="O97" s="86" t="s">
        <v>526</v>
      </c>
      <c r="P97" s="86" t="s">
        <v>527</v>
      </c>
      <c r="Q97" s="86" t="s">
        <v>528</v>
      </c>
      <c r="R97" s="86" t="s">
        <v>374</v>
      </c>
      <c r="S97" s="86" t="s">
        <v>386</v>
      </c>
      <c r="T97" s="86" t="s">
        <v>386</v>
      </c>
      <c r="U97" s="86" t="s">
        <v>678</v>
      </c>
      <c r="V97" s="86" t="s">
        <v>380</v>
      </c>
      <c r="W97" s="86"/>
      <c r="X97" s="86" t="s">
        <v>375</v>
      </c>
      <c r="Y97" s="86">
        <v>29</v>
      </c>
      <c r="Z97" s="86" t="s">
        <v>659</v>
      </c>
      <c r="AA97" s="86"/>
      <c r="AB97" s="86" t="s">
        <v>380</v>
      </c>
      <c r="AC97" s="86">
        <v>1</v>
      </c>
      <c r="AD97" s="86" t="s">
        <v>381</v>
      </c>
      <c r="AE97" s="86" t="s">
        <v>382</v>
      </c>
    </row>
    <row r="98" spans="1:31" s="18" customFormat="1" ht="15.75" x14ac:dyDescent="0.25">
      <c r="A98" s="80">
        <v>4</v>
      </c>
      <c r="B98" s="90">
        <v>46177</v>
      </c>
      <c r="C98" s="86" t="s">
        <v>646</v>
      </c>
      <c r="D98" s="86" t="s">
        <v>38</v>
      </c>
      <c r="E98" s="86" t="s">
        <v>530</v>
      </c>
      <c r="F98" s="86">
        <v>20</v>
      </c>
      <c r="G98" s="86" t="s">
        <v>531</v>
      </c>
      <c r="H98" s="86" t="s">
        <v>390</v>
      </c>
      <c r="I98" s="86">
        <v>230</v>
      </c>
      <c r="J98" s="86"/>
      <c r="K98" s="86" t="s">
        <v>506</v>
      </c>
      <c r="L98" s="86"/>
      <c r="M98" s="86"/>
      <c r="N98" s="86" t="s">
        <v>169</v>
      </c>
      <c r="O98" s="86" t="s">
        <v>517</v>
      </c>
      <c r="P98" s="86" t="s">
        <v>532</v>
      </c>
      <c r="Q98" s="86" t="s">
        <v>373</v>
      </c>
      <c r="R98" s="86" t="s">
        <v>374</v>
      </c>
      <c r="S98" s="86" t="s">
        <v>386</v>
      </c>
      <c r="T98" s="86" t="s">
        <v>169</v>
      </c>
      <c r="U98" s="86" t="s">
        <v>679</v>
      </c>
      <c r="V98" s="86" t="s">
        <v>380</v>
      </c>
      <c r="W98" s="86"/>
      <c r="X98" s="86" t="s">
        <v>375</v>
      </c>
      <c r="Y98" s="86">
        <v>30</v>
      </c>
      <c r="Z98" s="86" t="s">
        <v>591</v>
      </c>
      <c r="AA98" s="86"/>
      <c r="AB98" s="86" t="s">
        <v>380</v>
      </c>
      <c r="AC98" s="86">
        <v>1</v>
      </c>
      <c r="AD98" s="86" t="s">
        <v>381</v>
      </c>
      <c r="AE98" s="86" t="s">
        <v>382</v>
      </c>
    </row>
    <row r="99" spans="1:31" s="18" customFormat="1" ht="15.75" x14ac:dyDescent="0.25">
      <c r="A99" s="80">
        <v>4</v>
      </c>
      <c r="B99" s="90">
        <v>46177</v>
      </c>
      <c r="C99" s="86" t="s">
        <v>648</v>
      </c>
      <c r="D99" s="86" t="s">
        <v>57</v>
      </c>
      <c r="E99" s="86" t="s">
        <v>627</v>
      </c>
      <c r="F99" s="86">
        <v>6</v>
      </c>
      <c r="G99" s="86" t="s">
        <v>628</v>
      </c>
      <c r="H99" s="86" t="s">
        <v>390</v>
      </c>
      <c r="I99" s="86">
        <v>230</v>
      </c>
      <c r="J99" s="86"/>
      <c r="K99" s="86" t="s">
        <v>512</v>
      </c>
      <c r="L99" s="86"/>
      <c r="M99" s="86"/>
      <c r="N99" s="86" t="s">
        <v>169</v>
      </c>
      <c r="O99" s="86" t="s">
        <v>629</v>
      </c>
      <c r="P99" s="86" t="s">
        <v>630</v>
      </c>
      <c r="Q99" s="86" t="s">
        <v>373</v>
      </c>
      <c r="R99" s="86" t="s">
        <v>539</v>
      </c>
      <c r="S99" s="86" t="s">
        <v>386</v>
      </c>
      <c r="T99" s="86" t="s">
        <v>169</v>
      </c>
      <c r="U99" s="86" t="s">
        <v>680</v>
      </c>
      <c r="V99" s="86" t="s">
        <v>380</v>
      </c>
      <c r="W99" s="86"/>
      <c r="X99" s="86" t="s">
        <v>375</v>
      </c>
      <c r="Y99" s="86">
        <v>31</v>
      </c>
      <c r="Z99" s="86" t="s">
        <v>388</v>
      </c>
      <c r="AA99" s="86"/>
      <c r="AB99" s="86" t="s">
        <v>380</v>
      </c>
      <c r="AC99" s="86">
        <v>1</v>
      </c>
      <c r="AD99" s="86" t="s">
        <v>381</v>
      </c>
      <c r="AE99" s="86" t="s">
        <v>382</v>
      </c>
    </row>
    <row r="100" spans="1:31" s="18" customFormat="1" ht="15.75" x14ac:dyDescent="0.25">
      <c r="A100" s="80">
        <v>4</v>
      </c>
      <c r="B100" s="90">
        <v>46178</v>
      </c>
      <c r="C100" s="86" t="s">
        <v>372</v>
      </c>
      <c r="D100" s="86" t="s">
        <v>57</v>
      </c>
      <c r="E100" s="86" t="s">
        <v>627</v>
      </c>
      <c r="F100" s="86">
        <v>43</v>
      </c>
      <c r="G100" s="86" t="s">
        <v>628</v>
      </c>
      <c r="H100" s="86" t="s">
        <v>390</v>
      </c>
      <c r="I100" s="86">
        <v>230</v>
      </c>
      <c r="J100" s="86"/>
      <c r="K100" s="86" t="s">
        <v>512</v>
      </c>
      <c r="L100" s="86"/>
      <c r="M100" s="86"/>
      <c r="N100" s="86" t="s">
        <v>169</v>
      </c>
      <c r="O100" s="86" t="s">
        <v>629</v>
      </c>
      <c r="P100" s="86" t="s">
        <v>630</v>
      </c>
      <c r="Q100" s="86" t="s">
        <v>373</v>
      </c>
      <c r="R100" s="86" t="s">
        <v>539</v>
      </c>
      <c r="S100" s="86" t="s">
        <v>386</v>
      </c>
      <c r="T100" s="86" t="s">
        <v>169</v>
      </c>
      <c r="U100" s="86" t="s">
        <v>681</v>
      </c>
      <c r="V100" s="86" t="s">
        <v>380</v>
      </c>
      <c r="W100" s="86"/>
      <c r="X100" s="86" t="s">
        <v>375</v>
      </c>
      <c r="Y100" s="86">
        <v>31</v>
      </c>
      <c r="Z100" s="86" t="s">
        <v>682</v>
      </c>
      <c r="AA100" s="86"/>
      <c r="AB100" s="86" t="s">
        <v>380</v>
      </c>
      <c r="AC100" s="86">
        <v>1</v>
      </c>
      <c r="AD100" s="86" t="s">
        <v>381</v>
      </c>
      <c r="AE100" s="86" t="s">
        <v>382</v>
      </c>
    </row>
    <row r="101" spans="1:31" s="18" customFormat="1" ht="15.75" x14ac:dyDescent="0.25">
      <c r="A101" s="80">
        <v>4</v>
      </c>
      <c r="B101" s="90">
        <v>46178</v>
      </c>
      <c r="C101" s="86" t="s">
        <v>377</v>
      </c>
      <c r="D101" s="86" t="s">
        <v>55</v>
      </c>
      <c r="E101" s="86" t="s">
        <v>641</v>
      </c>
      <c r="F101" s="86">
        <v>22</v>
      </c>
      <c r="G101" s="86" t="s">
        <v>642</v>
      </c>
      <c r="H101" s="86" t="s">
        <v>385</v>
      </c>
      <c r="I101" s="86">
        <v>100</v>
      </c>
      <c r="J101" s="86"/>
      <c r="K101" s="86" t="s">
        <v>381</v>
      </c>
      <c r="L101" s="86"/>
      <c r="M101" s="86"/>
      <c r="N101" s="86" t="s">
        <v>635</v>
      </c>
      <c r="O101" s="86" t="s">
        <v>636</v>
      </c>
      <c r="P101" s="86" t="s">
        <v>643</v>
      </c>
      <c r="Q101" s="86" t="s">
        <v>638</v>
      </c>
      <c r="R101" s="86" t="s">
        <v>539</v>
      </c>
      <c r="S101" s="86" t="s">
        <v>386</v>
      </c>
      <c r="T101" s="86" t="s">
        <v>386</v>
      </c>
      <c r="U101" s="86" t="s">
        <v>683</v>
      </c>
      <c r="V101" s="86" t="s">
        <v>380</v>
      </c>
      <c r="W101" s="86"/>
      <c r="X101" s="86" t="s">
        <v>375</v>
      </c>
      <c r="Y101" s="86">
        <v>32</v>
      </c>
      <c r="Z101" s="86" t="s">
        <v>668</v>
      </c>
      <c r="AA101" s="86"/>
      <c r="AB101" s="86" t="s">
        <v>380</v>
      </c>
      <c r="AC101" s="86">
        <v>1</v>
      </c>
      <c r="AD101" s="86" t="s">
        <v>381</v>
      </c>
      <c r="AE101" s="86" t="s">
        <v>382</v>
      </c>
    </row>
    <row r="102" spans="1:31" s="18" customFormat="1" ht="15.75" x14ac:dyDescent="0.25">
      <c r="A102" s="80">
        <v>4</v>
      </c>
      <c r="B102" s="90">
        <v>46178</v>
      </c>
      <c r="C102" s="86" t="s">
        <v>378</v>
      </c>
      <c r="D102" s="86" t="s">
        <v>40</v>
      </c>
      <c r="E102" s="86" t="s">
        <v>621</v>
      </c>
      <c r="F102" s="86">
        <v>20</v>
      </c>
      <c r="G102" s="86" t="s">
        <v>622</v>
      </c>
      <c r="H102" s="86" t="s">
        <v>385</v>
      </c>
      <c r="I102" s="86">
        <v>100</v>
      </c>
      <c r="J102" s="86"/>
      <c r="K102" s="86" t="s">
        <v>506</v>
      </c>
      <c r="L102" s="86"/>
      <c r="M102" s="86"/>
      <c r="N102" s="86" t="s">
        <v>525</v>
      </c>
      <c r="O102" s="86" t="s">
        <v>526</v>
      </c>
      <c r="P102" s="86" t="s">
        <v>623</v>
      </c>
      <c r="Q102" s="86" t="s">
        <v>528</v>
      </c>
      <c r="R102" s="86" t="s">
        <v>374</v>
      </c>
      <c r="S102" s="86" t="s">
        <v>386</v>
      </c>
      <c r="T102" s="86" t="s">
        <v>386</v>
      </c>
      <c r="U102" s="86" t="s">
        <v>684</v>
      </c>
      <c r="V102" s="86" t="s">
        <v>380</v>
      </c>
      <c r="W102" s="86"/>
      <c r="X102" s="86" t="s">
        <v>375</v>
      </c>
      <c r="Y102" s="86">
        <v>33</v>
      </c>
      <c r="Z102" s="86" t="s">
        <v>591</v>
      </c>
      <c r="AA102" s="86"/>
      <c r="AB102" s="86" t="s">
        <v>380</v>
      </c>
      <c r="AC102" s="86">
        <v>1</v>
      </c>
      <c r="AD102" s="86" t="s">
        <v>381</v>
      </c>
      <c r="AE102" s="86" t="s">
        <v>382</v>
      </c>
    </row>
    <row r="103" spans="1:31" s="18" customFormat="1" ht="15.75" x14ac:dyDescent="0.25">
      <c r="A103" s="80">
        <v>4</v>
      </c>
      <c r="B103" s="90">
        <v>46178</v>
      </c>
      <c r="C103" s="86" t="s">
        <v>379</v>
      </c>
      <c r="D103" s="86" t="s">
        <v>30</v>
      </c>
      <c r="E103" s="86" t="s">
        <v>524</v>
      </c>
      <c r="F103" s="86">
        <v>18</v>
      </c>
      <c r="G103" s="86" t="s">
        <v>511</v>
      </c>
      <c r="H103" s="86" t="s">
        <v>385</v>
      </c>
      <c r="I103" s="86">
        <v>100</v>
      </c>
      <c r="J103" s="86"/>
      <c r="K103" s="86" t="s">
        <v>506</v>
      </c>
      <c r="L103" s="86"/>
      <c r="M103" s="86"/>
      <c r="N103" s="86" t="s">
        <v>525</v>
      </c>
      <c r="O103" s="86" t="s">
        <v>526</v>
      </c>
      <c r="P103" s="86" t="s">
        <v>527</v>
      </c>
      <c r="Q103" s="86" t="s">
        <v>528</v>
      </c>
      <c r="R103" s="86" t="s">
        <v>374</v>
      </c>
      <c r="S103" s="86" t="s">
        <v>386</v>
      </c>
      <c r="T103" s="86" t="s">
        <v>386</v>
      </c>
      <c r="U103" s="86" t="s">
        <v>685</v>
      </c>
      <c r="V103" s="86" t="s">
        <v>380</v>
      </c>
      <c r="W103" s="86"/>
      <c r="X103" s="86" t="s">
        <v>375</v>
      </c>
      <c r="Y103" s="86">
        <v>34</v>
      </c>
      <c r="Z103" s="86" t="s">
        <v>384</v>
      </c>
      <c r="AA103" s="86"/>
      <c r="AB103" s="86" t="s">
        <v>380</v>
      </c>
      <c r="AC103" s="86">
        <v>1</v>
      </c>
      <c r="AD103" s="86" t="s">
        <v>381</v>
      </c>
      <c r="AE103" s="86" t="s">
        <v>382</v>
      </c>
    </row>
    <row r="104" spans="1:31" s="18" customFormat="1" ht="15.75" x14ac:dyDescent="0.25">
      <c r="A104" s="80">
        <v>4</v>
      </c>
      <c r="B104" s="90">
        <v>46178</v>
      </c>
      <c r="C104" s="86" t="s">
        <v>387</v>
      </c>
      <c r="D104" s="86" t="s">
        <v>38</v>
      </c>
      <c r="E104" s="86" t="s">
        <v>530</v>
      </c>
      <c r="F104" s="86">
        <v>12</v>
      </c>
      <c r="G104" s="86" t="s">
        <v>531</v>
      </c>
      <c r="H104" s="86" t="s">
        <v>390</v>
      </c>
      <c r="I104" s="86">
        <v>230</v>
      </c>
      <c r="J104" s="86"/>
      <c r="K104" s="86" t="s">
        <v>506</v>
      </c>
      <c r="L104" s="86"/>
      <c r="M104" s="86"/>
      <c r="N104" s="86" t="s">
        <v>169</v>
      </c>
      <c r="O104" s="86" t="s">
        <v>517</v>
      </c>
      <c r="P104" s="86" t="s">
        <v>532</v>
      </c>
      <c r="Q104" s="86" t="s">
        <v>373</v>
      </c>
      <c r="R104" s="86" t="s">
        <v>374</v>
      </c>
      <c r="S104" s="86" t="s">
        <v>386</v>
      </c>
      <c r="T104" s="86" t="s">
        <v>169</v>
      </c>
      <c r="U104" s="86" t="s">
        <v>686</v>
      </c>
      <c r="V104" s="86" t="s">
        <v>380</v>
      </c>
      <c r="W104" s="86"/>
      <c r="X104" s="86" t="s">
        <v>375</v>
      </c>
      <c r="Y104" s="86">
        <v>35</v>
      </c>
      <c r="Z104" s="86" t="s">
        <v>648</v>
      </c>
      <c r="AA104" s="86"/>
      <c r="AB104" s="86" t="s">
        <v>380</v>
      </c>
      <c r="AC104" s="86">
        <v>1</v>
      </c>
      <c r="AD104" s="86" t="s">
        <v>381</v>
      </c>
      <c r="AE104" s="86" t="s">
        <v>382</v>
      </c>
    </row>
    <row r="105" spans="1:31" s="18" customFormat="1" ht="15.75" x14ac:dyDescent="0.25">
      <c r="A105" s="80">
        <v>4</v>
      </c>
      <c r="B105" s="90">
        <v>46178</v>
      </c>
      <c r="C105" s="86" t="s">
        <v>388</v>
      </c>
      <c r="D105" s="86" t="s">
        <v>51</v>
      </c>
      <c r="E105" s="86" t="s">
        <v>611</v>
      </c>
      <c r="F105" s="86">
        <v>10</v>
      </c>
      <c r="G105" s="86" t="s">
        <v>612</v>
      </c>
      <c r="H105" s="86" t="s">
        <v>390</v>
      </c>
      <c r="I105" s="86">
        <v>230</v>
      </c>
      <c r="J105" s="86"/>
      <c r="K105" s="86" t="s">
        <v>512</v>
      </c>
      <c r="L105" s="86"/>
      <c r="M105" s="86"/>
      <c r="N105" s="86" t="s">
        <v>169</v>
      </c>
      <c r="O105" s="86" t="s">
        <v>517</v>
      </c>
      <c r="P105" s="86" t="s">
        <v>532</v>
      </c>
      <c r="Q105" s="86" t="s">
        <v>373</v>
      </c>
      <c r="R105" s="86" t="s">
        <v>374</v>
      </c>
      <c r="S105" s="86" t="s">
        <v>386</v>
      </c>
      <c r="T105" s="86" t="s">
        <v>169</v>
      </c>
      <c r="U105" s="86" t="s">
        <v>687</v>
      </c>
      <c r="V105" s="86" t="s">
        <v>380</v>
      </c>
      <c r="W105" s="86"/>
      <c r="X105" s="86" t="s">
        <v>375</v>
      </c>
      <c r="Y105" s="86">
        <v>36</v>
      </c>
      <c r="Z105" s="86" t="s">
        <v>605</v>
      </c>
      <c r="AA105" s="86"/>
      <c r="AB105" s="86" t="s">
        <v>380</v>
      </c>
      <c r="AC105" s="86">
        <v>1</v>
      </c>
      <c r="AD105" s="86" t="s">
        <v>381</v>
      </c>
      <c r="AE105" s="86" t="s">
        <v>382</v>
      </c>
    </row>
    <row r="106" spans="1:31" s="18" customFormat="1" ht="15.75" x14ac:dyDescent="0.25">
      <c r="A106" s="80">
        <v>4</v>
      </c>
      <c r="B106" s="90">
        <v>46178</v>
      </c>
      <c r="C106" s="86" t="s">
        <v>389</v>
      </c>
      <c r="D106" s="86" t="s">
        <v>44</v>
      </c>
      <c r="E106" s="86" t="s">
        <v>688</v>
      </c>
      <c r="F106" s="86">
        <v>9</v>
      </c>
      <c r="G106" s="86" t="s">
        <v>513</v>
      </c>
      <c r="H106" s="86" t="s">
        <v>520</v>
      </c>
      <c r="I106" s="86">
        <v>120</v>
      </c>
      <c r="J106" s="86"/>
      <c r="K106" s="86" t="s">
        <v>550</v>
      </c>
      <c r="L106" s="86"/>
      <c r="M106" s="86"/>
      <c r="N106" s="86" t="s">
        <v>169</v>
      </c>
      <c r="O106" s="86" t="s">
        <v>517</v>
      </c>
      <c r="P106" s="86" t="s">
        <v>521</v>
      </c>
      <c r="Q106" s="86" t="s">
        <v>373</v>
      </c>
      <c r="R106" s="86" t="s">
        <v>374</v>
      </c>
      <c r="S106" s="86" t="s">
        <v>386</v>
      </c>
      <c r="T106" s="86" t="s">
        <v>169</v>
      </c>
      <c r="U106" s="86" t="s">
        <v>689</v>
      </c>
      <c r="V106" s="86" t="s">
        <v>380</v>
      </c>
      <c r="W106" s="86"/>
      <c r="X106" s="86" t="s">
        <v>375</v>
      </c>
      <c r="Y106" s="86">
        <v>37</v>
      </c>
      <c r="Z106" s="86" t="s">
        <v>394</v>
      </c>
      <c r="AA106" s="86"/>
      <c r="AB106" s="86" t="s">
        <v>380</v>
      </c>
      <c r="AC106" s="86">
        <v>1</v>
      </c>
      <c r="AD106" s="86" t="s">
        <v>381</v>
      </c>
      <c r="AE106" s="86" t="s">
        <v>382</v>
      </c>
    </row>
    <row r="107" spans="1:31" s="18" customFormat="1" ht="15.75" x14ac:dyDescent="0.25">
      <c r="A107" s="80">
        <v>4</v>
      </c>
      <c r="B107" s="90">
        <v>46178</v>
      </c>
      <c r="C107" s="86" t="s">
        <v>393</v>
      </c>
      <c r="D107" s="86" t="s">
        <v>57</v>
      </c>
      <c r="E107" s="86" t="s">
        <v>627</v>
      </c>
      <c r="F107" s="86">
        <v>34</v>
      </c>
      <c r="G107" s="86" t="s">
        <v>628</v>
      </c>
      <c r="H107" s="86" t="s">
        <v>390</v>
      </c>
      <c r="I107" s="86">
        <v>230</v>
      </c>
      <c r="J107" s="86"/>
      <c r="K107" s="86" t="s">
        <v>512</v>
      </c>
      <c r="L107" s="86"/>
      <c r="M107" s="86"/>
      <c r="N107" s="86" t="s">
        <v>169</v>
      </c>
      <c r="O107" s="86" t="s">
        <v>629</v>
      </c>
      <c r="P107" s="86" t="s">
        <v>630</v>
      </c>
      <c r="Q107" s="86" t="s">
        <v>373</v>
      </c>
      <c r="R107" s="86" t="s">
        <v>539</v>
      </c>
      <c r="S107" s="86" t="s">
        <v>386</v>
      </c>
      <c r="T107" s="86" t="s">
        <v>169</v>
      </c>
      <c r="U107" s="86" t="s">
        <v>690</v>
      </c>
      <c r="V107" s="86" t="s">
        <v>380</v>
      </c>
      <c r="W107" s="86"/>
      <c r="X107" s="86" t="s">
        <v>375</v>
      </c>
      <c r="Y107" s="86">
        <v>38</v>
      </c>
      <c r="Z107" s="86" t="s">
        <v>691</v>
      </c>
      <c r="AA107" s="86"/>
      <c r="AB107" s="86" t="s">
        <v>380</v>
      </c>
      <c r="AC107" s="86">
        <v>1</v>
      </c>
      <c r="AD107" s="86" t="s">
        <v>381</v>
      </c>
      <c r="AE107" s="86" t="s">
        <v>382</v>
      </c>
    </row>
    <row r="108" spans="1:31" s="18" customFormat="1" ht="15.75" x14ac:dyDescent="0.25">
      <c r="A108" s="80">
        <v>4</v>
      </c>
      <c r="B108" s="90">
        <v>46178</v>
      </c>
      <c r="C108" s="86" t="s">
        <v>394</v>
      </c>
      <c r="D108" s="86" t="s">
        <v>54</v>
      </c>
      <c r="E108" s="86" t="s">
        <v>692</v>
      </c>
      <c r="F108" s="86">
        <v>10</v>
      </c>
      <c r="G108" s="86" t="s">
        <v>634</v>
      </c>
      <c r="H108" s="86" t="s">
        <v>390</v>
      </c>
      <c r="I108" s="86">
        <v>230</v>
      </c>
      <c r="J108" s="86"/>
      <c r="K108" s="86" t="s">
        <v>512</v>
      </c>
      <c r="L108" s="86"/>
      <c r="M108" s="86"/>
      <c r="N108" s="86" t="s">
        <v>169</v>
      </c>
      <c r="O108" s="86" t="s">
        <v>629</v>
      </c>
      <c r="P108" s="86" t="s">
        <v>630</v>
      </c>
      <c r="Q108" s="86" t="s">
        <v>373</v>
      </c>
      <c r="R108" s="86" t="s">
        <v>539</v>
      </c>
      <c r="S108" s="86" t="s">
        <v>386</v>
      </c>
      <c r="T108" s="86" t="s">
        <v>169</v>
      </c>
      <c r="U108" s="86" t="s">
        <v>693</v>
      </c>
      <c r="V108" s="86" t="s">
        <v>694</v>
      </c>
      <c r="W108" s="86"/>
      <c r="X108" s="86"/>
      <c r="Y108" s="86">
        <v>39</v>
      </c>
      <c r="Z108" s="86" t="s">
        <v>394</v>
      </c>
      <c r="AA108" s="86"/>
      <c r="AB108" s="86" t="s">
        <v>694</v>
      </c>
      <c r="AC108" s="86">
        <v>1</v>
      </c>
      <c r="AD108" s="86" t="s">
        <v>372</v>
      </c>
      <c r="AE108" s="86" t="s">
        <v>382</v>
      </c>
    </row>
    <row r="109" spans="1:31" s="18" customFormat="1" ht="15.75" x14ac:dyDescent="0.25">
      <c r="A109" s="80">
        <v>4</v>
      </c>
      <c r="B109" s="90">
        <v>46178</v>
      </c>
      <c r="C109" s="86" t="s">
        <v>605</v>
      </c>
      <c r="D109" s="86" t="s">
        <v>40</v>
      </c>
      <c r="E109" s="86" t="s">
        <v>621</v>
      </c>
      <c r="F109" s="86">
        <v>11</v>
      </c>
      <c r="G109" s="86" t="s">
        <v>622</v>
      </c>
      <c r="H109" s="86" t="s">
        <v>385</v>
      </c>
      <c r="I109" s="86">
        <v>100</v>
      </c>
      <c r="J109" s="86"/>
      <c r="K109" s="86" t="s">
        <v>506</v>
      </c>
      <c r="L109" s="86"/>
      <c r="M109" s="86"/>
      <c r="N109" s="86" t="s">
        <v>525</v>
      </c>
      <c r="O109" s="86" t="s">
        <v>526</v>
      </c>
      <c r="P109" s="86" t="s">
        <v>623</v>
      </c>
      <c r="Q109" s="86" t="s">
        <v>528</v>
      </c>
      <c r="R109" s="86" t="s">
        <v>374</v>
      </c>
      <c r="S109" s="86" t="s">
        <v>386</v>
      </c>
      <c r="T109" s="86" t="s">
        <v>386</v>
      </c>
      <c r="U109" s="86" t="s">
        <v>695</v>
      </c>
      <c r="V109" s="86" t="s">
        <v>380</v>
      </c>
      <c r="W109" s="86"/>
      <c r="X109" s="86" t="s">
        <v>375</v>
      </c>
      <c r="Y109" s="86">
        <v>40</v>
      </c>
      <c r="Z109" s="86" t="s">
        <v>646</v>
      </c>
      <c r="AA109" s="86"/>
      <c r="AB109" s="86" t="s">
        <v>380</v>
      </c>
      <c r="AC109" s="86">
        <v>1</v>
      </c>
      <c r="AD109" s="86" t="s">
        <v>381</v>
      </c>
      <c r="AE109" s="86" t="s">
        <v>382</v>
      </c>
    </row>
    <row r="110" spans="1:31" s="18" customFormat="1" ht="15.75" x14ac:dyDescent="0.25">
      <c r="A110" s="80">
        <v>4</v>
      </c>
      <c r="B110" s="90">
        <v>46178</v>
      </c>
      <c r="C110" s="86" t="s">
        <v>646</v>
      </c>
      <c r="D110" s="86" t="s">
        <v>29</v>
      </c>
      <c r="E110" s="86" t="s">
        <v>625</v>
      </c>
      <c r="F110" s="86">
        <v>4</v>
      </c>
      <c r="G110" s="86" t="s">
        <v>515</v>
      </c>
      <c r="H110" s="86" t="s">
        <v>520</v>
      </c>
      <c r="I110" s="86">
        <v>120</v>
      </c>
      <c r="J110" s="86"/>
      <c r="K110" s="86" t="s">
        <v>506</v>
      </c>
      <c r="L110" s="86"/>
      <c r="M110" s="86"/>
      <c r="N110" s="86" t="s">
        <v>169</v>
      </c>
      <c r="O110" s="86" t="s">
        <v>517</v>
      </c>
      <c r="P110" s="86" t="s">
        <v>521</v>
      </c>
      <c r="Q110" s="86" t="s">
        <v>373</v>
      </c>
      <c r="R110" s="86" t="s">
        <v>374</v>
      </c>
      <c r="S110" s="86" t="s">
        <v>386</v>
      </c>
      <c r="T110" s="86" t="s">
        <v>169</v>
      </c>
      <c r="U110" s="86" t="s">
        <v>696</v>
      </c>
      <c r="V110" s="86" t="s">
        <v>380</v>
      </c>
      <c r="W110" s="86"/>
      <c r="X110" s="86" t="s">
        <v>375</v>
      </c>
      <c r="Y110" s="86">
        <v>41</v>
      </c>
      <c r="Z110" s="86" t="s">
        <v>379</v>
      </c>
      <c r="AA110" s="86"/>
      <c r="AB110" s="86" t="s">
        <v>380</v>
      </c>
      <c r="AC110" s="86">
        <v>1</v>
      </c>
      <c r="AD110" s="86" t="s">
        <v>381</v>
      </c>
      <c r="AE110" s="86" t="s">
        <v>382</v>
      </c>
    </row>
    <row r="111" spans="1:31" s="18" customFormat="1" ht="15.75" x14ac:dyDescent="0.25">
      <c r="A111" s="80">
        <v>4</v>
      </c>
      <c r="B111" s="90">
        <v>46178</v>
      </c>
      <c r="C111" s="86" t="s">
        <v>648</v>
      </c>
      <c r="D111" s="86" t="s">
        <v>25</v>
      </c>
      <c r="E111" s="86" t="s">
        <v>514</v>
      </c>
      <c r="F111" s="86">
        <v>24</v>
      </c>
      <c r="G111" s="86" t="s">
        <v>515</v>
      </c>
      <c r="H111" s="86" t="s">
        <v>385</v>
      </c>
      <c r="I111" s="86">
        <v>100</v>
      </c>
      <c r="J111" s="86"/>
      <c r="K111" s="86" t="s">
        <v>512</v>
      </c>
      <c r="L111" s="86"/>
      <c r="M111" s="86"/>
      <c r="N111" s="86" t="s">
        <v>507</v>
      </c>
      <c r="O111" s="86" t="s">
        <v>508</v>
      </c>
      <c r="P111" s="86" t="s">
        <v>509</v>
      </c>
      <c r="Q111" s="86" t="s">
        <v>510</v>
      </c>
      <c r="R111" s="86" t="s">
        <v>374</v>
      </c>
      <c r="S111" s="86" t="s">
        <v>386</v>
      </c>
      <c r="T111" s="86" t="s">
        <v>386</v>
      </c>
      <c r="U111" s="86" t="s">
        <v>697</v>
      </c>
      <c r="V111" s="86" t="s">
        <v>380</v>
      </c>
      <c r="W111" s="86"/>
      <c r="X111" s="86" t="s">
        <v>375</v>
      </c>
      <c r="Y111" s="86">
        <v>42</v>
      </c>
      <c r="Z111" s="86" t="s">
        <v>600</v>
      </c>
      <c r="AA111" s="86"/>
      <c r="AB111" s="86" t="s">
        <v>380</v>
      </c>
      <c r="AC111" s="86">
        <v>1</v>
      </c>
      <c r="AD111" s="86" t="s">
        <v>381</v>
      </c>
      <c r="AE111" s="86" t="s">
        <v>382</v>
      </c>
    </row>
    <row r="112" spans="1:31" s="18" customFormat="1" ht="15.75" x14ac:dyDescent="0.25">
      <c r="A112" s="80">
        <v>4</v>
      </c>
      <c r="B112" s="90">
        <v>46181</v>
      </c>
      <c r="C112" s="86" t="s">
        <v>372</v>
      </c>
      <c r="D112" s="86" t="s">
        <v>25</v>
      </c>
      <c r="E112" s="86" t="s">
        <v>514</v>
      </c>
      <c r="F112" s="86">
        <v>42</v>
      </c>
      <c r="G112" s="86" t="s">
        <v>515</v>
      </c>
      <c r="H112" s="86" t="s">
        <v>385</v>
      </c>
      <c r="I112" s="86">
        <v>100</v>
      </c>
      <c r="J112" s="86"/>
      <c r="K112" s="86" t="s">
        <v>512</v>
      </c>
      <c r="L112" s="86"/>
      <c r="M112" s="86"/>
      <c r="N112" s="86" t="s">
        <v>507</v>
      </c>
      <c r="O112" s="86" t="s">
        <v>508</v>
      </c>
      <c r="P112" s="86" t="s">
        <v>509</v>
      </c>
      <c r="Q112" s="86" t="s">
        <v>510</v>
      </c>
      <c r="R112" s="86" t="s">
        <v>374</v>
      </c>
      <c r="S112" s="86" t="s">
        <v>386</v>
      </c>
      <c r="T112" s="86" t="s">
        <v>386</v>
      </c>
      <c r="U112" s="86" t="s">
        <v>698</v>
      </c>
      <c r="V112" s="86" t="s">
        <v>380</v>
      </c>
      <c r="W112" s="86"/>
      <c r="X112" s="86" t="s">
        <v>375</v>
      </c>
      <c r="Y112" s="86">
        <v>42</v>
      </c>
      <c r="Z112" s="86" t="s">
        <v>699</v>
      </c>
      <c r="AA112" s="86"/>
      <c r="AB112" s="86" t="s">
        <v>380</v>
      </c>
      <c r="AC112" s="86">
        <v>1</v>
      </c>
      <c r="AD112" s="86" t="s">
        <v>381</v>
      </c>
      <c r="AE112" s="86" t="s">
        <v>382</v>
      </c>
    </row>
    <row r="113" spans="1:31" s="18" customFormat="1" ht="15.75" x14ac:dyDescent="0.25">
      <c r="A113" s="80">
        <v>4</v>
      </c>
      <c r="B113" s="90">
        <v>46181</v>
      </c>
      <c r="C113" s="86" t="s">
        <v>377</v>
      </c>
      <c r="D113" s="86" t="s">
        <v>30</v>
      </c>
      <c r="E113" s="86" t="s">
        <v>524</v>
      </c>
      <c r="F113" s="86">
        <v>43</v>
      </c>
      <c r="G113" s="86" t="s">
        <v>511</v>
      </c>
      <c r="H113" s="86" t="s">
        <v>385</v>
      </c>
      <c r="I113" s="86">
        <v>100</v>
      </c>
      <c r="J113" s="86"/>
      <c r="K113" s="86" t="s">
        <v>506</v>
      </c>
      <c r="L113" s="86"/>
      <c r="M113" s="86"/>
      <c r="N113" s="86" t="s">
        <v>525</v>
      </c>
      <c r="O113" s="86" t="s">
        <v>526</v>
      </c>
      <c r="P113" s="86" t="s">
        <v>527</v>
      </c>
      <c r="Q113" s="86" t="s">
        <v>528</v>
      </c>
      <c r="R113" s="86" t="s">
        <v>374</v>
      </c>
      <c r="S113" s="86" t="s">
        <v>386</v>
      </c>
      <c r="T113" s="86" t="s">
        <v>386</v>
      </c>
      <c r="U113" s="86" t="s">
        <v>700</v>
      </c>
      <c r="V113" s="86" t="s">
        <v>701</v>
      </c>
      <c r="W113" s="86"/>
      <c r="X113" s="86"/>
      <c r="Y113" s="86">
        <v>43</v>
      </c>
      <c r="Z113" s="86" t="s">
        <v>379</v>
      </c>
      <c r="AA113" s="86"/>
      <c r="AB113" s="86" t="s">
        <v>701</v>
      </c>
      <c r="AC113" s="86">
        <v>1</v>
      </c>
      <c r="AD113" s="86" t="s">
        <v>383</v>
      </c>
      <c r="AE113" s="86" t="s">
        <v>382</v>
      </c>
    </row>
    <row r="114" spans="1:31" s="18" customFormat="1" ht="15.75" x14ac:dyDescent="0.25">
      <c r="A114" s="80">
        <v>4</v>
      </c>
      <c r="B114" s="90">
        <v>46181</v>
      </c>
      <c r="C114" s="86" t="s">
        <v>378</v>
      </c>
      <c r="D114" s="86" t="s">
        <v>38</v>
      </c>
      <c r="E114" s="86" t="s">
        <v>530</v>
      </c>
      <c r="F114" s="86">
        <v>40</v>
      </c>
      <c r="G114" s="86" t="s">
        <v>531</v>
      </c>
      <c r="H114" s="86" t="s">
        <v>390</v>
      </c>
      <c r="I114" s="86">
        <v>230</v>
      </c>
      <c r="J114" s="86"/>
      <c r="K114" s="86" t="s">
        <v>506</v>
      </c>
      <c r="L114" s="86"/>
      <c r="M114" s="86"/>
      <c r="N114" s="86" t="s">
        <v>169</v>
      </c>
      <c r="O114" s="86" t="s">
        <v>517</v>
      </c>
      <c r="P114" s="86" t="s">
        <v>532</v>
      </c>
      <c r="Q114" s="86" t="s">
        <v>373</v>
      </c>
      <c r="R114" s="86" t="s">
        <v>374</v>
      </c>
      <c r="S114" s="86" t="s">
        <v>386</v>
      </c>
      <c r="T114" s="86" t="s">
        <v>169</v>
      </c>
      <c r="U114" s="86" t="s">
        <v>702</v>
      </c>
      <c r="V114" s="86"/>
      <c r="W114" s="86"/>
      <c r="X114" s="86"/>
      <c r="Y114" s="86">
        <v>44</v>
      </c>
      <c r="Z114" s="86" t="s">
        <v>703</v>
      </c>
      <c r="AA114" s="86"/>
      <c r="AB114" s="86" t="s">
        <v>376</v>
      </c>
      <c r="AC114" s="86">
        <v>0</v>
      </c>
      <c r="AD114" s="86" t="s">
        <v>376</v>
      </c>
      <c r="AE114" s="86" t="s">
        <v>382</v>
      </c>
    </row>
    <row r="115" spans="1:31" s="18" customFormat="1" ht="15.75" x14ac:dyDescent="0.25">
      <c r="A115" s="80">
        <v>4</v>
      </c>
      <c r="B115" s="90">
        <v>46182</v>
      </c>
      <c r="C115" s="86" t="s">
        <v>372</v>
      </c>
      <c r="D115" s="86" t="s">
        <v>30</v>
      </c>
      <c r="E115" s="86" t="s">
        <v>524</v>
      </c>
      <c r="F115" s="86">
        <v>43</v>
      </c>
      <c r="G115" s="86" t="s">
        <v>511</v>
      </c>
      <c r="H115" s="86" t="s">
        <v>385</v>
      </c>
      <c r="I115" s="86">
        <v>100</v>
      </c>
      <c r="J115" s="86"/>
      <c r="K115" s="86" t="s">
        <v>506</v>
      </c>
      <c r="L115" s="86"/>
      <c r="M115" s="86"/>
      <c r="N115" s="86" t="s">
        <v>525</v>
      </c>
      <c r="O115" s="86" t="s">
        <v>526</v>
      </c>
      <c r="P115" s="86" t="s">
        <v>527</v>
      </c>
      <c r="Q115" s="86" t="s">
        <v>528</v>
      </c>
      <c r="R115" s="86" t="s">
        <v>374</v>
      </c>
      <c r="S115" s="86" t="s">
        <v>386</v>
      </c>
      <c r="T115" s="86" t="s">
        <v>386</v>
      </c>
      <c r="U115" s="86" t="s">
        <v>704</v>
      </c>
      <c r="V115" s="86"/>
      <c r="W115" s="86"/>
      <c r="X115" s="86"/>
      <c r="Y115" s="86">
        <v>45</v>
      </c>
      <c r="Z115" s="86" t="s">
        <v>705</v>
      </c>
      <c r="AA115" s="86"/>
      <c r="AB115" s="86" t="s">
        <v>376</v>
      </c>
      <c r="AC115" s="86">
        <v>0</v>
      </c>
      <c r="AD115" s="86" t="s">
        <v>376</v>
      </c>
      <c r="AE115" s="86" t="s">
        <v>382</v>
      </c>
    </row>
    <row r="116" spans="1:31" s="18" customFormat="1" ht="15.75" x14ac:dyDescent="0.25">
      <c r="A116" s="80">
        <v>4</v>
      </c>
      <c r="B116" s="90">
        <v>46182</v>
      </c>
      <c r="C116" s="86" t="s">
        <v>377</v>
      </c>
      <c r="D116" s="86" t="s">
        <v>38</v>
      </c>
      <c r="E116" s="86" t="s">
        <v>530</v>
      </c>
      <c r="F116" s="86">
        <v>40</v>
      </c>
      <c r="G116" s="86" t="s">
        <v>531</v>
      </c>
      <c r="H116" s="86" t="s">
        <v>390</v>
      </c>
      <c r="I116" s="86">
        <v>230</v>
      </c>
      <c r="J116" s="86"/>
      <c r="K116" s="86" t="s">
        <v>506</v>
      </c>
      <c r="L116" s="86"/>
      <c r="M116" s="86"/>
      <c r="N116" s="86" t="s">
        <v>169</v>
      </c>
      <c r="O116" s="86" t="s">
        <v>517</v>
      </c>
      <c r="P116" s="86" t="s">
        <v>532</v>
      </c>
      <c r="Q116" s="86" t="s">
        <v>373</v>
      </c>
      <c r="R116" s="86" t="s">
        <v>374</v>
      </c>
      <c r="S116" s="86" t="s">
        <v>386</v>
      </c>
      <c r="T116" s="86" t="s">
        <v>169</v>
      </c>
      <c r="U116" s="86" t="s">
        <v>706</v>
      </c>
      <c r="V116" s="86"/>
      <c r="W116" s="86"/>
      <c r="X116" s="86"/>
      <c r="Y116" s="86">
        <v>46</v>
      </c>
      <c r="Z116" s="86" t="s">
        <v>707</v>
      </c>
      <c r="AA116" s="86"/>
      <c r="AB116" s="86" t="s">
        <v>376</v>
      </c>
      <c r="AC116" s="86">
        <v>0</v>
      </c>
      <c r="AD116" s="86" t="s">
        <v>376</v>
      </c>
      <c r="AE116" s="86" t="s">
        <v>382</v>
      </c>
    </row>
    <row r="117" spans="1:31" s="18" customFormat="1" ht="15.75" x14ac:dyDescent="0.25">
      <c r="A117" s="80">
        <v>4</v>
      </c>
      <c r="B117" s="90">
        <v>46182</v>
      </c>
      <c r="C117" s="86" t="s">
        <v>378</v>
      </c>
      <c r="D117" s="86" t="s">
        <v>57</v>
      </c>
      <c r="E117" s="86" t="s">
        <v>627</v>
      </c>
      <c r="F117" s="86">
        <v>40</v>
      </c>
      <c r="G117" s="86" t="s">
        <v>628</v>
      </c>
      <c r="H117" s="86" t="s">
        <v>390</v>
      </c>
      <c r="I117" s="86">
        <v>230</v>
      </c>
      <c r="J117" s="86"/>
      <c r="K117" s="86" t="s">
        <v>512</v>
      </c>
      <c r="L117" s="86"/>
      <c r="M117" s="86"/>
      <c r="N117" s="86" t="s">
        <v>169</v>
      </c>
      <c r="O117" s="86" t="s">
        <v>629</v>
      </c>
      <c r="P117" s="86" t="s">
        <v>630</v>
      </c>
      <c r="Q117" s="86" t="s">
        <v>373</v>
      </c>
      <c r="R117" s="86" t="s">
        <v>539</v>
      </c>
      <c r="S117" s="86" t="s">
        <v>386</v>
      </c>
      <c r="T117" s="86" t="s">
        <v>169</v>
      </c>
      <c r="U117" s="86" t="s">
        <v>708</v>
      </c>
      <c r="V117" s="86"/>
      <c r="W117" s="86"/>
      <c r="X117" s="86"/>
      <c r="Y117" s="86">
        <v>47</v>
      </c>
      <c r="Z117" s="86" t="s">
        <v>709</v>
      </c>
      <c r="AA117" s="86"/>
      <c r="AB117" s="86" t="s">
        <v>376</v>
      </c>
      <c r="AC117" s="86">
        <v>0</v>
      </c>
      <c r="AD117" s="86" t="s">
        <v>376</v>
      </c>
      <c r="AE117" s="86" t="s">
        <v>382</v>
      </c>
    </row>
    <row r="118" spans="1:31" s="18" customFormat="1" ht="15.75" x14ac:dyDescent="0.25">
      <c r="A118" s="80">
        <v>4</v>
      </c>
      <c r="B118" s="90">
        <v>46182</v>
      </c>
      <c r="C118" s="86" t="s">
        <v>379</v>
      </c>
      <c r="D118" s="86" t="s">
        <v>30</v>
      </c>
      <c r="E118" s="86" t="s">
        <v>524</v>
      </c>
      <c r="F118" s="86">
        <v>43</v>
      </c>
      <c r="G118" s="86" t="s">
        <v>511</v>
      </c>
      <c r="H118" s="86" t="s">
        <v>385</v>
      </c>
      <c r="I118" s="86">
        <v>100</v>
      </c>
      <c r="J118" s="86"/>
      <c r="K118" s="86" t="s">
        <v>506</v>
      </c>
      <c r="L118" s="86"/>
      <c r="M118" s="86"/>
      <c r="N118" s="86" t="s">
        <v>525</v>
      </c>
      <c r="O118" s="86" t="s">
        <v>526</v>
      </c>
      <c r="P118" s="86" t="s">
        <v>527</v>
      </c>
      <c r="Q118" s="86" t="s">
        <v>528</v>
      </c>
      <c r="R118" s="86" t="s">
        <v>374</v>
      </c>
      <c r="S118" s="86" t="s">
        <v>386</v>
      </c>
      <c r="T118" s="86" t="s">
        <v>386</v>
      </c>
      <c r="U118" s="86" t="s">
        <v>710</v>
      </c>
      <c r="V118" s="86"/>
      <c r="W118" s="86"/>
      <c r="X118" s="86"/>
      <c r="Y118" s="86">
        <v>48</v>
      </c>
      <c r="Z118" s="86" t="s">
        <v>711</v>
      </c>
      <c r="AA118" s="86"/>
      <c r="AB118" s="86" t="s">
        <v>376</v>
      </c>
      <c r="AC118" s="86">
        <v>0</v>
      </c>
      <c r="AD118" s="86" t="s">
        <v>376</v>
      </c>
      <c r="AE118" s="86" t="s">
        <v>382</v>
      </c>
    </row>
    <row r="119" spans="1:31" s="18" customFormat="1" ht="15.75" x14ac:dyDescent="0.25">
      <c r="A119" s="80">
        <v>4</v>
      </c>
      <c r="B119" s="90">
        <v>46182</v>
      </c>
      <c r="C119" s="86" t="s">
        <v>387</v>
      </c>
      <c r="D119" s="86" t="s">
        <v>38</v>
      </c>
      <c r="E119" s="86" t="s">
        <v>530</v>
      </c>
      <c r="F119" s="86">
        <v>28</v>
      </c>
      <c r="G119" s="86" t="s">
        <v>531</v>
      </c>
      <c r="H119" s="86" t="s">
        <v>390</v>
      </c>
      <c r="I119" s="86">
        <v>230</v>
      </c>
      <c r="J119" s="86"/>
      <c r="K119" s="86" t="s">
        <v>506</v>
      </c>
      <c r="L119" s="86"/>
      <c r="M119" s="86"/>
      <c r="N119" s="86" t="s">
        <v>169</v>
      </c>
      <c r="O119" s="86" t="s">
        <v>517</v>
      </c>
      <c r="P119" s="86" t="s">
        <v>532</v>
      </c>
      <c r="Q119" s="86" t="s">
        <v>373</v>
      </c>
      <c r="R119" s="86" t="s">
        <v>374</v>
      </c>
      <c r="S119" s="86" t="s">
        <v>386</v>
      </c>
      <c r="T119" s="86" t="s">
        <v>169</v>
      </c>
      <c r="U119" s="86" t="s">
        <v>712</v>
      </c>
      <c r="V119" s="86"/>
      <c r="W119" s="86"/>
      <c r="X119" s="86"/>
      <c r="Y119" s="86">
        <v>49</v>
      </c>
      <c r="Z119" s="86" t="s">
        <v>713</v>
      </c>
      <c r="AA119" s="86"/>
      <c r="AB119" s="86" t="s">
        <v>376</v>
      </c>
      <c r="AC119" s="86">
        <v>0</v>
      </c>
      <c r="AD119" s="86" t="s">
        <v>376</v>
      </c>
      <c r="AE119" s="86" t="s">
        <v>382</v>
      </c>
    </row>
    <row r="120" spans="1:31" s="18" customFormat="1" ht="15.75" x14ac:dyDescent="0.25">
      <c r="A120" s="80">
        <v>4</v>
      </c>
      <c r="B120" s="90">
        <v>46183</v>
      </c>
      <c r="C120" s="86" t="s">
        <v>372</v>
      </c>
      <c r="D120" s="86" t="s">
        <v>38</v>
      </c>
      <c r="E120" s="86" t="s">
        <v>530</v>
      </c>
      <c r="F120" s="86">
        <v>12</v>
      </c>
      <c r="G120" s="86" t="s">
        <v>531</v>
      </c>
      <c r="H120" s="86" t="s">
        <v>390</v>
      </c>
      <c r="I120" s="86">
        <v>230</v>
      </c>
      <c r="J120" s="86"/>
      <c r="K120" s="86" t="s">
        <v>506</v>
      </c>
      <c r="L120" s="86"/>
      <c r="M120" s="86"/>
      <c r="N120" s="86" t="s">
        <v>169</v>
      </c>
      <c r="O120" s="86" t="s">
        <v>517</v>
      </c>
      <c r="P120" s="86" t="s">
        <v>532</v>
      </c>
      <c r="Q120" s="86" t="s">
        <v>373</v>
      </c>
      <c r="R120" s="86" t="s">
        <v>374</v>
      </c>
      <c r="S120" s="86" t="s">
        <v>386</v>
      </c>
      <c r="T120" s="86" t="s">
        <v>169</v>
      </c>
      <c r="U120" s="86" t="s">
        <v>714</v>
      </c>
      <c r="V120" s="86"/>
      <c r="W120" s="86"/>
      <c r="X120" s="86"/>
      <c r="Y120" s="86">
        <v>49</v>
      </c>
      <c r="Z120" s="86" t="s">
        <v>715</v>
      </c>
      <c r="AA120" s="86"/>
      <c r="AB120" s="86" t="s">
        <v>376</v>
      </c>
      <c r="AC120" s="86">
        <v>0</v>
      </c>
      <c r="AD120" s="86" t="s">
        <v>376</v>
      </c>
      <c r="AE120" s="86" t="s">
        <v>382</v>
      </c>
    </row>
    <row r="121" spans="1:31" s="18" customFormat="1" ht="15.75" x14ac:dyDescent="0.25">
      <c r="A121" s="80">
        <v>4</v>
      </c>
      <c r="B121" s="90">
        <v>46183</v>
      </c>
      <c r="C121" s="86" t="s">
        <v>377</v>
      </c>
      <c r="D121" s="86" t="s">
        <v>57</v>
      </c>
      <c r="E121" s="86" t="s">
        <v>627</v>
      </c>
      <c r="F121" s="86">
        <v>40</v>
      </c>
      <c r="G121" s="86" t="s">
        <v>628</v>
      </c>
      <c r="H121" s="86" t="s">
        <v>390</v>
      </c>
      <c r="I121" s="86">
        <v>230</v>
      </c>
      <c r="J121" s="86"/>
      <c r="K121" s="86" t="s">
        <v>512</v>
      </c>
      <c r="L121" s="86"/>
      <c r="M121" s="86"/>
      <c r="N121" s="86" t="s">
        <v>169</v>
      </c>
      <c r="O121" s="86" t="s">
        <v>629</v>
      </c>
      <c r="P121" s="86" t="s">
        <v>630</v>
      </c>
      <c r="Q121" s="86" t="s">
        <v>373</v>
      </c>
      <c r="R121" s="86" t="s">
        <v>539</v>
      </c>
      <c r="S121" s="86" t="s">
        <v>386</v>
      </c>
      <c r="T121" s="86" t="s">
        <v>169</v>
      </c>
      <c r="U121" s="86" t="s">
        <v>716</v>
      </c>
      <c r="V121" s="86"/>
      <c r="W121" s="86"/>
      <c r="X121" s="86"/>
      <c r="Y121" s="86">
        <v>50</v>
      </c>
      <c r="Z121" s="86" t="s">
        <v>717</v>
      </c>
      <c r="AA121" s="86"/>
      <c r="AB121" s="86" t="s">
        <v>376</v>
      </c>
      <c r="AC121" s="86">
        <v>0</v>
      </c>
      <c r="AD121" s="86" t="s">
        <v>376</v>
      </c>
      <c r="AE121" s="86" t="s">
        <v>382</v>
      </c>
    </row>
    <row r="122" spans="1:31" s="18" customFormat="1" ht="15.75" x14ac:dyDescent="0.25">
      <c r="A122" s="80">
        <v>4</v>
      </c>
      <c r="B122" s="90">
        <v>46183</v>
      </c>
      <c r="C122" s="86" t="s">
        <v>378</v>
      </c>
      <c r="D122" s="86" t="s">
        <v>30</v>
      </c>
      <c r="E122" s="86" t="s">
        <v>524</v>
      </c>
      <c r="F122" s="86">
        <v>43</v>
      </c>
      <c r="G122" s="86" t="s">
        <v>511</v>
      </c>
      <c r="H122" s="86" t="s">
        <v>385</v>
      </c>
      <c r="I122" s="86">
        <v>100</v>
      </c>
      <c r="J122" s="86"/>
      <c r="K122" s="86" t="s">
        <v>506</v>
      </c>
      <c r="L122" s="86"/>
      <c r="M122" s="86"/>
      <c r="N122" s="86" t="s">
        <v>525</v>
      </c>
      <c r="O122" s="86" t="s">
        <v>526</v>
      </c>
      <c r="P122" s="86" t="s">
        <v>527</v>
      </c>
      <c r="Q122" s="86" t="s">
        <v>528</v>
      </c>
      <c r="R122" s="86" t="s">
        <v>374</v>
      </c>
      <c r="S122" s="86" t="s">
        <v>386</v>
      </c>
      <c r="T122" s="86" t="s">
        <v>386</v>
      </c>
      <c r="U122" s="86" t="s">
        <v>718</v>
      </c>
      <c r="V122" s="86"/>
      <c r="W122" s="86"/>
      <c r="X122" s="86"/>
      <c r="Y122" s="86">
        <v>51</v>
      </c>
      <c r="Z122" s="86" t="s">
        <v>719</v>
      </c>
      <c r="AA122" s="86"/>
      <c r="AB122" s="86" t="s">
        <v>376</v>
      </c>
      <c r="AC122" s="86">
        <v>0</v>
      </c>
      <c r="AD122" s="86" t="s">
        <v>376</v>
      </c>
      <c r="AE122" s="86" t="s">
        <v>382</v>
      </c>
    </row>
    <row r="123" spans="1:31" s="18" customFormat="1" ht="15.75" x14ac:dyDescent="0.25">
      <c r="A123" s="80">
        <v>4</v>
      </c>
      <c r="B123" s="90">
        <v>46183</v>
      </c>
      <c r="C123" s="86" t="s">
        <v>379</v>
      </c>
      <c r="D123" s="86" t="s">
        <v>38</v>
      </c>
      <c r="E123" s="86" t="s">
        <v>530</v>
      </c>
      <c r="F123" s="86">
        <v>40</v>
      </c>
      <c r="G123" s="86" t="s">
        <v>531</v>
      </c>
      <c r="H123" s="86" t="s">
        <v>390</v>
      </c>
      <c r="I123" s="86">
        <v>230</v>
      </c>
      <c r="J123" s="86"/>
      <c r="K123" s="86" t="s">
        <v>506</v>
      </c>
      <c r="L123" s="86"/>
      <c r="M123" s="86"/>
      <c r="N123" s="86" t="s">
        <v>169</v>
      </c>
      <c r="O123" s="86" t="s">
        <v>517</v>
      </c>
      <c r="P123" s="86" t="s">
        <v>532</v>
      </c>
      <c r="Q123" s="86" t="s">
        <v>373</v>
      </c>
      <c r="R123" s="86" t="s">
        <v>374</v>
      </c>
      <c r="S123" s="86" t="s">
        <v>386</v>
      </c>
      <c r="T123" s="86" t="s">
        <v>169</v>
      </c>
      <c r="U123" s="86" t="s">
        <v>720</v>
      </c>
      <c r="V123" s="86"/>
      <c r="W123" s="86"/>
      <c r="X123" s="86"/>
      <c r="Y123" s="86">
        <v>52</v>
      </c>
      <c r="Z123" s="86" t="s">
        <v>721</v>
      </c>
      <c r="AA123" s="86"/>
      <c r="AB123" s="86" t="s">
        <v>376</v>
      </c>
      <c r="AC123" s="86">
        <v>0</v>
      </c>
      <c r="AD123" s="86" t="s">
        <v>376</v>
      </c>
      <c r="AE123" s="86" t="s">
        <v>382</v>
      </c>
    </row>
    <row r="124" spans="1:31" s="18" customFormat="1" ht="15.75" x14ac:dyDescent="0.25">
      <c r="A124" s="80">
        <v>4</v>
      </c>
      <c r="B124" s="90">
        <v>46183</v>
      </c>
      <c r="C124" s="86" t="s">
        <v>387</v>
      </c>
      <c r="D124" s="86" t="s">
        <v>30</v>
      </c>
      <c r="E124" s="86" t="s">
        <v>524</v>
      </c>
      <c r="F124" s="86">
        <v>54</v>
      </c>
      <c r="G124" s="86" t="s">
        <v>511</v>
      </c>
      <c r="H124" s="86" t="s">
        <v>385</v>
      </c>
      <c r="I124" s="86">
        <v>100</v>
      </c>
      <c r="J124" s="86"/>
      <c r="K124" s="86" t="s">
        <v>506</v>
      </c>
      <c r="L124" s="86"/>
      <c r="M124" s="86"/>
      <c r="N124" s="86" t="s">
        <v>525</v>
      </c>
      <c r="O124" s="86" t="s">
        <v>526</v>
      </c>
      <c r="P124" s="86" t="s">
        <v>527</v>
      </c>
      <c r="Q124" s="86" t="s">
        <v>528</v>
      </c>
      <c r="R124" s="86" t="s">
        <v>374</v>
      </c>
      <c r="S124" s="86" t="s">
        <v>386</v>
      </c>
      <c r="T124" s="86" t="s">
        <v>386</v>
      </c>
      <c r="U124" s="86" t="s">
        <v>722</v>
      </c>
      <c r="V124" s="86"/>
      <c r="W124" s="86"/>
      <c r="X124" s="86"/>
      <c r="Y124" s="86">
        <v>53</v>
      </c>
      <c r="Z124" s="86" t="s">
        <v>723</v>
      </c>
      <c r="AA124" s="86"/>
      <c r="AB124" s="86" t="s">
        <v>376</v>
      </c>
      <c r="AC124" s="86">
        <v>0</v>
      </c>
      <c r="AD124" s="86" t="s">
        <v>376</v>
      </c>
      <c r="AE124" s="86" t="s">
        <v>382</v>
      </c>
    </row>
    <row r="125" spans="1:31" s="18" customFormat="1" ht="15.75" x14ac:dyDescent="0.25">
      <c r="A125" s="80">
        <v>4</v>
      </c>
      <c r="B125" s="90">
        <v>46183</v>
      </c>
      <c r="C125" s="86" t="s">
        <v>388</v>
      </c>
      <c r="D125" s="86" t="s">
        <v>57</v>
      </c>
      <c r="E125" s="86" t="s">
        <v>627</v>
      </c>
      <c r="F125" s="86">
        <v>33</v>
      </c>
      <c r="G125" s="86" t="s">
        <v>628</v>
      </c>
      <c r="H125" s="86" t="s">
        <v>390</v>
      </c>
      <c r="I125" s="86">
        <v>230</v>
      </c>
      <c r="J125" s="86"/>
      <c r="K125" s="86" t="s">
        <v>512</v>
      </c>
      <c r="L125" s="86"/>
      <c r="M125" s="86"/>
      <c r="N125" s="86" t="s">
        <v>169</v>
      </c>
      <c r="O125" s="86" t="s">
        <v>629</v>
      </c>
      <c r="P125" s="86" t="s">
        <v>630</v>
      </c>
      <c r="Q125" s="86" t="s">
        <v>373</v>
      </c>
      <c r="R125" s="86" t="s">
        <v>539</v>
      </c>
      <c r="S125" s="86" t="s">
        <v>386</v>
      </c>
      <c r="T125" s="86" t="s">
        <v>169</v>
      </c>
      <c r="U125" s="86" t="s">
        <v>724</v>
      </c>
      <c r="V125" s="86"/>
      <c r="W125" s="86"/>
      <c r="X125" s="86"/>
      <c r="Y125" s="86">
        <v>54</v>
      </c>
      <c r="Z125" s="86" t="s">
        <v>725</v>
      </c>
      <c r="AA125" s="86"/>
      <c r="AB125" s="86" t="s">
        <v>376</v>
      </c>
      <c r="AC125" s="86">
        <v>0</v>
      </c>
      <c r="AD125" s="86" t="s">
        <v>376</v>
      </c>
      <c r="AE125" s="86" t="s">
        <v>382</v>
      </c>
    </row>
    <row r="126" spans="1:31" s="18" customFormat="1" ht="15.75" x14ac:dyDescent="0.25">
      <c r="A126" s="80">
        <v>4</v>
      </c>
      <c r="B126" s="90">
        <v>46184</v>
      </c>
      <c r="C126" s="86" t="s">
        <v>372</v>
      </c>
      <c r="D126" s="86" t="s">
        <v>57</v>
      </c>
      <c r="E126" s="86" t="s">
        <v>627</v>
      </c>
      <c r="F126" s="86">
        <v>7</v>
      </c>
      <c r="G126" s="86" t="s">
        <v>628</v>
      </c>
      <c r="H126" s="86" t="s">
        <v>390</v>
      </c>
      <c r="I126" s="86">
        <v>230</v>
      </c>
      <c r="J126" s="86"/>
      <c r="K126" s="86" t="s">
        <v>512</v>
      </c>
      <c r="L126" s="86"/>
      <c r="M126" s="86"/>
      <c r="N126" s="86" t="s">
        <v>169</v>
      </c>
      <c r="O126" s="86" t="s">
        <v>629</v>
      </c>
      <c r="P126" s="86" t="s">
        <v>630</v>
      </c>
      <c r="Q126" s="86" t="s">
        <v>373</v>
      </c>
      <c r="R126" s="86" t="s">
        <v>539</v>
      </c>
      <c r="S126" s="86" t="s">
        <v>386</v>
      </c>
      <c r="T126" s="86" t="s">
        <v>169</v>
      </c>
      <c r="U126" s="86" t="s">
        <v>726</v>
      </c>
      <c r="V126" s="86"/>
      <c r="W126" s="86"/>
      <c r="X126" s="86"/>
      <c r="Y126" s="86">
        <v>54</v>
      </c>
      <c r="Z126" s="86" t="s">
        <v>727</v>
      </c>
      <c r="AA126" s="86"/>
      <c r="AB126" s="86" t="s">
        <v>376</v>
      </c>
      <c r="AC126" s="86">
        <v>0</v>
      </c>
      <c r="AD126" s="86" t="s">
        <v>376</v>
      </c>
      <c r="AE126" s="86" t="s">
        <v>382</v>
      </c>
    </row>
    <row r="127" spans="1:31" s="18" customFormat="1" ht="15.75" x14ac:dyDescent="0.25">
      <c r="A127" s="80">
        <v>4</v>
      </c>
      <c r="B127" s="90">
        <v>46184</v>
      </c>
      <c r="C127" s="86" t="s">
        <v>377</v>
      </c>
      <c r="D127" s="86" t="s">
        <v>34</v>
      </c>
      <c r="E127" s="86" t="s">
        <v>519</v>
      </c>
      <c r="F127" s="86">
        <v>2</v>
      </c>
      <c r="G127" s="86" t="s">
        <v>511</v>
      </c>
      <c r="H127" s="86" t="s">
        <v>520</v>
      </c>
      <c r="I127" s="86">
        <v>120</v>
      </c>
      <c r="J127" s="86"/>
      <c r="K127" s="86" t="s">
        <v>506</v>
      </c>
      <c r="L127" s="86"/>
      <c r="M127" s="86"/>
      <c r="N127" s="86" t="s">
        <v>169</v>
      </c>
      <c r="O127" s="86" t="s">
        <v>517</v>
      </c>
      <c r="P127" s="86" t="s">
        <v>521</v>
      </c>
      <c r="Q127" s="86" t="s">
        <v>373</v>
      </c>
      <c r="R127" s="86" t="s">
        <v>374</v>
      </c>
      <c r="S127" s="86" t="s">
        <v>386</v>
      </c>
      <c r="T127" s="86" t="s">
        <v>169</v>
      </c>
      <c r="U127" s="86" t="s">
        <v>705</v>
      </c>
      <c r="V127" s="86"/>
      <c r="W127" s="86"/>
      <c r="X127" s="86"/>
      <c r="Y127" s="86">
        <v>55</v>
      </c>
      <c r="Z127" s="86" t="s">
        <v>728</v>
      </c>
      <c r="AA127" s="86"/>
      <c r="AB127" s="86" t="s">
        <v>376</v>
      </c>
      <c r="AC127" s="86">
        <v>0</v>
      </c>
      <c r="AD127" s="86" t="s">
        <v>376</v>
      </c>
      <c r="AE127" s="86" t="s">
        <v>382</v>
      </c>
    </row>
    <row r="128" spans="1:31" s="18" customFormat="1" ht="15.75" x14ac:dyDescent="0.25">
      <c r="A128" s="80">
        <v>4</v>
      </c>
      <c r="B128" s="90">
        <v>46184</v>
      </c>
      <c r="C128" s="86" t="s">
        <v>378</v>
      </c>
      <c r="D128" s="86" t="s">
        <v>38</v>
      </c>
      <c r="E128" s="86" t="s">
        <v>530</v>
      </c>
      <c r="F128" s="86">
        <v>11</v>
      </c>
      <c r="G128" s="86" t="s">
        <v>531</v>
      </c>
      <c r="H128" s="86" t="s">
        <v>390</v>
      </c>
      <c r="I128" s="86">
        <v>230</v>
      </c>
      <c r="J128" s="86"/>
      <c r="K128" s="86" t="s">
        <v>506</v>
      </c>
      <c r="L128" s="86"/>
      <c r="M128" s="86"/>
      <c r="N128" s="86" t="s">
        <v>169</v>
      </c>
      <c r="O128" s="86" t="s">
        <v>517</v>
      </c>
      <c r="P128" s="86" t="s">
        <v>532</v>
      </c>
      <c r="Q128" s="86" t="s">
        <v>373</v>
      </c>
      <c r="R128" s="86" t="s">
        <v>374</v>
      </c>
      <c r="S128" s="86" t="s">
        <v>386</v>
      </c>
      <c r="T128" s="86" t="s">
        <v>169</v>
      </c>
      <c r="U128" s="86" t="s">
        <v>729</v>
      </c>
      <c r="V128" s="86"/>
      <c r="W128" s="86"/>
      <c r="X128" s="86"/>
      <c r="Y128" s="86">
        <v>56</v>
      </c>
      <c r="Z128" s="86" t="s">
        <v>730</v>
      </c>
      <c r="AA128" s="86"/>
      <c r="AB128" s="86" t="s">
        <v>376</v>
      </c>
      <c r="AC128" s="86">
        <v>0</v>
      </c>
      <c r="AD128" s="86" t="s">
        <v>376</v>
      </c>
      <c r="AE128" s="86" t="s">
        <v>382</v>
      </c>
    </row>
    <row r="129" spans="1:31" s="18" customFormat="1" ht="15.75" x14ac:dyDescent="0.25">
      <c r="A129" s="80">
        <v>4</v>
      </c>
      <c r="B129" s="90">
        <v>46184</v>
      </c>
      <c r="C129" s="86" t="s">
        <v>379</v>
      </c>
      <c r="D129" s="86" t="s">
        <v>40</v>
      </c>
      <c r="E129" s="86" t="s">
        <v>621</v>
      </c>
      <c r="F129" s="86">
        <v>196</v>
      </c>
      <c r="G129" s="86" t="s">
        <v>622</v>
      </c>
      <c r="H129" s="86" t="s">
        <v>385</v>
      </c>
      <c r="I129" s="86">
        <v>100</v>
      </c>
      <c r="J129" s="86"/>
      <c r="K129" s="86" t="s">
        <v>506</v>
      </c>
      <c r="L129" s="86"/>
      <c r="M129" s="86"/>
      <c r="N129" s="86" t="s">
        <v>525</v>
      </c>
      <c r="O129" s="86" t="s">
        <v>526</v>
      </c>
      <c r="P129" s="86" t="s">
        <v>623</v>
      </c>
      <c r="Q129" s="86" t="s">
        <v>528</v>
      </c>
      <c r="R129" s="86" t="s">
        <v>374</v>
      </c>
      <c r="S129" s="86" t="s">
        <v>386</v>
      </c>
      <c r="T129" s="86" t="s">
        <v>386</v>
      </c>
      <c r="U129" s="86" t="s">
        <v>731</v>
      </c>
      <c r="V129" s="86"/>
      <c r="W129" s="86"/>
      <c r="X129" s="86"/>
      <c r="Y129" s="86">
        <v>57</v>
      </c>
      <c r="Z129" s="86" t="s">
        <v>732</v>
      </c>
      <c r="AA129" s="86"/>
      <c r="AB129" s="86" t="s">
        <v>376</v>
      </c>
      <c r="AC129" s="86">
        <v>0</v>
      </c>
      <c r="AD129" s="86" t="s">
        <v>376</v>
      </c>
      <c r="AE129" s="86" t="s">
        <v>382</v>
      </c>
    </row>
    <row r="130" spans="1:31" s="18" customFormat="1" ht="15.75" x14ac:dyDescent="0.25">
      <c r="A130" s="80">
        <v>4</v>
      </c>
      <c r="B130" s="90">
        <v>46185</v>
      </c>
      <c r="C130" s="86" t="s">
        <v>372</v>
      </c>
      <c r="D130" s="86" t="s">
        <v>40</v>
      </c>
      <c r="E130" s="86" t="s">
        <v>621</v>
      </c>
      <c r="F130" s="86">
        <v>12</v>
      </c>
      <c r="G130" s="86" t="s">
        <v>622</v>
      </c>
      <c r="H130" s="86" t="s">
        <v>385</v>
      </c>
      <c r="I130" s="86">
        <v>100</v>
      </c>
      <c r="J130" s="86"/>
      <c r="K130" s="86" t="s">
        <v>506</v>
      </c>
      <c r="L130" s="86"/>
      <c r="M130" s="86"/>
      <c r="N130" s="86" t="s">
        <v>525</v>
      </c>
      <c r="O130" s="86" t="s">
        <v>526</v>
      </c>
      <c r="P130" s="86" t="s">
        <v>623</v>
      </c>
      <c r="Q130" s="86" t="s">
        <v>528</v>
      </c>
      <c r="R130" s="86" t="s">
        <v>374</v>
      </c>
      <c r="S130" s="86" t="s">
        <v>386</v>
      </c>
      <c r="T130" s="86" t="s">
        <v>386</v>
      </c>
      <c r="U130" s="86" t="s">
        <v>733</v>
      </c>
      <c r="V130" s="86"/>
      <c r="W130" s="86"/>
      <c r="X130" s="86"/>
      <c r="Y130" s="86">
        <v>57</v>
      </c>
      <c r="Z130" s="86" t="s">
        <v>734</v>
      </c>
      <c r="AA130" s="86"/>
      <c r="AB130" s="86" t="s">
        <v>376</v>
      </c>
      <c r="AC130" s="86">
        <v>0</v>
      </c>
      <c r="AD130" s="86" t="s">
        <v>376</v>
      </c>
      <c r="AE130" s="86" t="s">
        <v>382</v>
      </c>
    </row>
    <row r="131" spans="1:31" s="18" customFormat="1" ht="15.75" x14ac:dyDescent="0.25">
      <c r="A131" s="80">
        <v>4</v>
      </c>
      <c r="B131" s="90">
        <v>46185</v>
      </c>
      <c r="C131" s="86" t="s">
        <v>377</v>
      </c>
      <c r="D131" s="86" t="s">
        <v>43</v>
      </c>
      <c r="E131" s="86" t="s">
        <v>663</v>
      </c>
      <c r="F131" s="86">
        <v>8</v>
      </c>
      <c r="G131" s="86" t="s">
        <v>513</v>
      </c>
      <c r="H131" s="86" t="s">
        <v>390</v>
      </c>
      <c r="I131" s="86">
        <v>230</v>
      </c>
      <c r="J131" s="86"/>
      <c r="K131" s="86" t="s">
        <v>550</v>
      </c>
      <c r="L131" s="86"/>
      <c r="M131" s="86"/>
      <c r="N131" s="86" t="s">
        <v>169</v>
      </c>
      <c r="O131" s="86" t="s">
        <v>517</v>
      </c>
      <c r="P131" s="86" t="s">
        <v>518</v>
      </c>
      <c r="Q131" s="86" t="s">
        <v>373</v>
      </c>
      <c r="R131" s="86" t="s">
        <v>374</v>
      </c>
      <c r="S131" s="86" t="s">
        <v>386</v>
      </c>
      <c r="T131" s="86" t="s">
        <v>169</v>
      </c>
      <c r="U131" s="86" t="s">
        <v>715</v>
      </c>
      <c r="V131" s="86"/>
      <c r="W131" s="86"/>
      <c r="X131" s="86"/>
      <c r="Y131" s="86">
        <v>58</v>
      </c>
      <c r="Z131" s="86" t="s">
        <v>735</v>
      </c>
      <c r="AA131" s="86"/>
      <c r="AB131" s="86" t="s">
        <v>376</v>
      </c>
      <c r="AC131" s="86">
        <v>0</v>
      </c>
      <c r="AD131" s="86" t="s">
        <v>376</v>
      </c>
      <c r="AE131" s="86" t="s">
        <v>382</v>
      </c>
    </row>
    <row r="132" spans="1:31" s="18" customFormat="1" ht="15.75" x14ac:dyDescent="0.25">
      <c r="A132" s="80">
        <v>4</v>
      </c>
      <c r="B132" s="90">
        <v>46185</v>
      </c>
      <c r="C132" s="86" t="s">
        <v>378</v>
      </c>
      <c r="D132" s="86" t="s">
        <v>49</v>
      </c>
      <c r="E132" s="86" t="s">
        <v>561</v>
      </c>
      <c r="F132" s="86">
        <v>25</v>
      </c>
      <c r="G132" s="86" t="s">
        <v>562</v>
      </c>
      <c r="H132" s="86" t="s">
        <v>390</v>
      </c>
      <c r="I132" s="86">
        <v>230</v>
      </c>
      <c r="J132" s="86"/>
      <c r="K132" s="86" t="s">
        <v>550</v>
      </c>
      <c r="L132" s="86"/>
      <c r="M132" s="86"/>
      <c r="N132" s="86" t="s">
        <v>169</v>
      </c>
      <c r="O132" s="86" t="s">
        <v>517</v>
      </c>
      <c r="P132" s="86" t="s">
        <v>518</v>
      </c>
      <c r="Q132" s="86" t="s">
        <v>373</v>
      </c>
      <c r="R132" s="86" t="s">
        <v>374</v>
      </c>
      <c r="S132" s="86" t="s">
        <v>386</v>
      </c>
      <c r="T132" s="86" t="s">
        <v>169</v>
      </c>
      <c r="U132" s="86" t="s">
        <v>717</v>
      </c>
      <c r="V132" s="86"/>
      <c r="W132" s="86"/>
      <c r="X132" s="86"/>
      <c r="Y132" s="86">
        <v>59</v>
      </c>
      <c r="Z132" s="86" t="s">
        <v>736</v>
      </c>
      <c r="AA132" s="86"/>
      <c r="AB132" s="86" t="s">
        <v>376</v>
      </c>
      <c r="AC132" s="86">
        <v>0</v>
      </c>
      <c r="AD132" s="86" t="s">
        <v>376</v>
      </c>
      <c r="AE132" s="86" t="s">
        <v>382</v>
      </c>
    </row>
    <row r="133" spans="1:31" s="18" customFormat="1" ht="15.75" x14ac:dyDescent="0.25">
      <c r="A133" s="80">
        <v>4</v>
      </c>
      <c r="B133" s="90">
        <v>46185</v>
      </c>
      <c r="C133" s="86" t="s">
        <v>379</v>
      </c>
      <c r="D133" s="86" t="s">
        <v>47</v>
      </c>
      <c r="E133" s="86" t="s">
        <v>569</v>
      </c>
      <c r="F133" s="86">
        <v>4</v>
      </c>
      <c r="G133" s="86" t="s">
        <v>505</v>
      </c>
      <c r="H133" s="86" t="s">
        <v>520</v>
      </c>
      <c r="I133" s="86">
        <v>120</v>
      </c>
      <c r="J133" s="86"/>
      <c r="K133" s="86" t="s">
        <v>550</v>
      </c>
      <c r="L133" s="86"/>
      <c r="M133" s="86"/>
      <c r="N133" s="86" t="s">
        <v>169</v>
      </c>
      <c r="O133" s="86" t="s">
        <v>517</v>
      </c>
      <c r="P133" s="86" t="s">
        <v>521</v>
      </c>
      <c r="Q133" s="86" t="s">
        <v>373</v>
      </c>
      <c r="R133" s="86" t="s">
        <v>374</v>
      </c>
      <c r="S133" s="86" t="s">
        <v>386</v>
      </c>
      <c r="T133" s="86" t="s">
        <v>169</v>
      </c>
      <c r="U133" s="86" t="s">
        <v>719</v>
      </c>
      <c r="V133" s="86"/>
      <c r="W133" s="86"/>
      <c r="X133" s="86"/>
      <c r="Y133" s="86">
        <v>60</v>
      </c>
      <c r="Z133" s="86" t="s">
        <v>737</v>
      </c>
      <c r="AA133" s="86"/>
      <c r="AB133" s="86" t="s">
        <v>376</v>
      </c>
      <c r="AC133" s="86">
        <v>0</v>
      </c>
      <c r="AD133" s="86" t="s">
        <v>376</v>
      </c>
      <c r="AE133" s="86" t="s">
        <v>382</v>
      </c>
    </row>
    <row r="134" spans="1:31" s="18" customFormat="1" ht="15.75" x14ac:dyDescent="0.25">
      <c r="A134" s="80">
        <v>4</v>
      </c>
      <c r="B134" s="90">
        <v>46185</v>
      </c>
      <c r="C134" s="86" t="s">
        <v>387</v>
      </c>
      <c r="D134" s="86" t="s">
        <v>46</v>
      </c>
      <c r="E134" s="86" t="s">
        <v>549</v>
      </c>
      <c r="F134" s="86">
        <v>6</v>
      </c>
      <c r="G134" s="86" t="s">
        <v>505</v>
      </c>
      <c r="H134" s="86" t="s">
        <v>390</v>
      </c>
      <c r="I134" s="86">
        <v>230</v>
      </c>
      <c r="J134" s="86"/>
      <c r="K134" s="86" t="s">
        <v>550</v>
      </c>
      <c r="L134" s="86"/>
      <c r="M134" s="86"/>
      <c r="N134" s="86" t="s">
        <v>169</v>
      </c>
      <c r="O134" s="86" t="s">
        <v>517</v>
      </c>
      <c r="P134" s="86" t="s">
        <v>518</v>
      </c>
      <c r="Q134" s="86" t="s">
        <v>373</v>
      </c>
      <c r="R134" s="86" t="s">
        <v>374</v>
      </c>
      <c r="S134" s="86" t="s">
        <v>386</v>
      </c>
      <c r="T134" s="86" t="s">
        <v>169</v>
      </c>
      <c r="U134" s="86" t="s">
        <v>721</v>
      </c>
      <c r="V134" s="86"/>
      <c r="W134" s="86"/>
      <c r="X134" s="86"/>
      <c r="Y134" s="86">
        <v>61</v>
      </c>
      <c r="Z134" s="86" t="s">
        <v>738</v>
      </c>
      <c r="AA134" s="86"/>
      <c r="AB134" s="86" t="s">
        <v>376</v>
      </c>
      <c r="AC134" s="86">
        <v>0</v>
      </c>
      <c r="AD134" s="86" t="s">
        <v>376</v>
      </c>
      <c r="AE134" s="86" t="s">
        <v>382</v>
      </c>
    </row>
    <row r="135" spans="1:31" s="18" customFormat="1" ht="15.75" x14ac:dyDescent="0.25">
      <c r="A135" s="80">
        <v>4</v>
      </c>
      <c r="B135" s="90">
        <v>46185</v>
      </c>
      <c r="C135" s="86" t="s">
        <v>388</v>
      </c>
      <c r="D135" s="86" t="s">
        <v>51</v>
      </c>
      <c r="E135" s="86" t="s">
        <v>611</v>
      </c>
      <c r="F135" s="86">
        <v>10</v>
      </c>
      <c r="G135" s="86" t="s">
        <v>612</v>
      </c>
      <c r="H135" s="86" t="s">
        <v>390</v>
      </c>
      <c r="I135" s="86">
        <v>230</v>
      </c>
      <c r="J135" s="86"/>
      <c r="K135" s="86" t="s">
        <v>512</v>
      </c>
      <c r="L135" s="86"/>
      <c r="M135" s="86"/>
      <c r="N135" s="86" t="s">
        <v>169</v>
      </c>
      <c r="O135" s="86" t="s">
        <v>517</v>
      </c>
      <c r="P135" s="86" t="s">
        <v>532</v>
      </c>
      <c r="Q135" s="86" t="s">
        <v>373</v>
      </c>
      <c r="R135" s="86" t="s">
        <v>374</v>
      </c>
      <c r="S135" s="86" t="s">
        <v>386</v>
      </c>
      <c r="T135" s="86" t="s">
        <v>169</v>
      </c>
      <c r="U135" s="86" t="s">
        <v>723</v>
      </c>
      <c r="V135" s="86"/>
      <c r="W135" s="86"/>
      <c r="X135" s="86"/>
      <c r="Y135" s="86">
        <v>62</v>
      </c>
      <c r="Z135" s="86" t="s">
        <v>739</v>
      </c>
      <c r="AA135" s="86"/>
      <c r="AB135" s="86" t="s">
        <v>376</v>
      </c>
      <c r="AC135" s="86">
        <v>0</v>
      </c>
      <c r="AD135" s="86" t="s">
        <v>376</v>
      </c>
      <c r="AE135" s="86" t="s">
        <v>382</v>
      </c>
    </row>
    <row r="136" spans="1:31" s="18" customFormat="1" ht="15.75" x14ac:dyDescent="0.25">
      <c r="A136" s="80">
        <v>4</v>
      </c>
      <c r="B136" s="90">
        <v>46185</v>
      </c>
      <c r="C136" s="86" t="s">
        <v>389</v>
      </c>
      <c r="D136" s="86" t="s">
        <v>54</v>
      </c>
      <c r="E136" s="86" t="s">
        <v>692</v>
      </c>
      <c r="F136" s="86">
        <v>10</v>
      </c>
      <c r="G136" s="86" t="s">
        <v>634</v>
      </c>
      <c r="H136" s="86" t="s">
        <v>390</v>
      </c>
      <c r="I136" s="86">
        <v>230</v>
      </c>
      <c r="J136" s="86"/>
      <c r="K136" s="86" t="s">
        <v>512</v>
      </c>
      <c r="L136" s="86"/>
      <c r="M136" s="86"/>
      <c r="N136" s="86" t="s">
        <v>169</v>
      </c>
      <c r="O136" s="86" t="s">
        <v>629</v>
      </c>
      <c r="P136" s="86" t="s">
        <v>630</v>
      </c>
      <c r="Q136" s="86" t="s">
        <v>373</v>
      </c>
      <c r="R136" s="86" t="s">
        <v>539</v>
      </c>
      <c r="S136" s="86" t="s">
        <v>386</v>
      </c>
      <c r="T136" s="86" t="s">
        <v>169</v>
      </c>
      <c r="U136" s="86" t="s">
        <v>725</v>
      </c>
      <c r="V136" s="86"/>
      <c r="W136" s="86"/>
      <c r="X136" s="86"/>
      <c r="Y136" s="86">
        <v>63</v>
      </c>
      <c r="Z136" s="86" t="s">
        <v>740</v>
      </c>
      <c r="AA136" s="86"/>
      <c r="AB136" s="86" t="s">
        <v>376</v>
      </c>
      <c r="AC136" s="86">
        <v>0</v>
      </c>
      <c r="AD136" s="86" t="s">
        <v>376</v>
      </c>
      <c r="AE136" s="86" t="s">
        <v>382</v>
      </c>
    </row>
    <row r="137" spans="1:31" s="18" customFormat="1" ht="15.75" x14ac:dyDescent="0.25">
      <c r="A137" s="80">
        <v>4</v>
      </c>
      <c r="B137" s="90">
        <v>46185</v>
      </c>
      <c r="C137" s="86" t="s">
        <v>393</v>
      </c>
      <c r="D137" s="86" t="s">
        <v>44</v>
      </c>
      <c r="E137" s="86" t="s">
        <v>688</v>
      </c>
      <c r="F137" s="86">
        <v>1</v>
      </c>
      <c r="G137" s="86" t="s">
        <v>513</v>
      </c>
      <c r="H137" s="86" t="s">
        <v>520</v>
      </c>
      <c r="I137" s="86">
        <v>120</v>
      </c>
      <c r="J137" s="86"/>
      <c r="K137" s="86" t="s">
        <v>550</v>
      </c>
      <c r="L137" s="86"/>
      <c r="M137" s="86"/>
      <c r="N137" s="86" t="s">
        <v>169</v>
      </c>
      <c r="O137" s="86" t="s">
        <v>517</v>
      </c>
      <c r="P137" s="86" t="s">
        <v>521</v>
      </c>
      <c r="Q137" s="86" t="s">
        <v>373</v>
      </c>
      <c r="R137" s="86" t="s">
        <v>374</v>
      </c>
      <c r="S137" s="86" t="s">
        <v>386</v>
      </c>
      <c r="T137" s="86" t="s">
        <v>169</v>
      </c>
      <c r="U137" s="86" t="s">
        <v>727</v>
      </c>
      <c r="V137" s="86"/>
      <c r="W137" s="86"/>
      <c r="X137" s="86"/>
      <c r="Y137" s="86">
        <v>64</v>
      </c>
      <c r="Z137" s="86" t="s">
        <v>741</v>
      </c>
      <c r="AA137" s="86"/>
      <c r="AB137" s="86" t="s">
        <v>376</v>
      </c>
      <c r="AC137" s="86">
        <v>0</v>
      </c>
      <c r="AD137" s="86" t="s">
        <v>376</v>
      </c>
      <c r="AE137" s="86" t="s">
        <v>382</v>
      </c>
    </row>
    <row r="138" spans="1:31" s="18" customFormat="1" ht="15.75" x14ac:dyDescent="0.25">
      <c r="A138" s="80">
        <v>4</v>
      </c>
      <c r="B138" s="90">
        <v>46185</v>
      </c>
      <c r="C138" s="86" t="s">
        <v>394</v>
      </c>
      <c r="D138" s="86" t="s">
        <v>57</v>
      </c>
      <c r="E138" s="86" t="s">
        <v>627</v>
      </c>
      <c r="F138" s="86">
        <v>71</v>
      </c>
      <c r="G138" s="86" t="s">
        <v>628</v>
      </c>
      <c r="H138" s="86" t="s">
        <v>390</v>
      </c>
      <c r="I138" s="86">
        <v>230</v>
      </c>
      <c r="J138" s="86"/>
      <c r="K138" s="86" t="s">
        <v>512</v>
      </c>
      <c r="L138" s="86"/>
      <c r="M138" s="86"/>
      <c r="N138" s="86" t="s">
        <v>169</v>
      </c>
      <c r="O138" s="86" t="s">
        <v>629</v>
      </c>
      <c r="P138" s="86" t="s">
        <v>630</v>
      </c>
      <c r="Q138" s="86" t="s">
        <v>373</v>
      </c>
      <c r="R138" s="86" t="s">
        <v>539</v>
      </c>
      <c r="S138" s="86" t="s">
        <v>386</v>
      </c>
      <c r="T138" s="86" t="s">
        <v>169</v>
      </c>
      <c r="U138" s="86" t="s">
        <v>742</v>
      </c>
      <c r="V138" s="86"/>
      <c r="W138" s="86"/>
      <c r="X138" s="86"/>
      <c r="Y138" s="86">
        <v>65</v>
      </c>
      <c r="Z138" s="86" t="s">
        <v>743</v>
      </c>
      <c r="AA138" s="86"/>
      <c r="AB138" s="86" t="s">
        <v>376</v>
      </c>
      <c r="AC138" s="86">
        <v>0</v>
      </c>
      <c r="AD138" s="86" t="s">
        <v>376</v>
      </c>
      <c r="AE138" s="86" t="s">
        <v>382</v>
      </c>
    </row>
    <row r="139" spans="1:31" s="18" customFormat="1" ht="15.75" x14ac:dyDescent="0.25">
      <c r="A139" s="80">
        <v>4</v>
      </c>
      <c r="B139" s="90">
        <v>46185</v>
      </c>
      <c r="C139" s="86" t="s">
        <v>605</v>
      </c>
      <c r="D139" s="86" t="s">
        <v>58</v>
      </c>
      <c r="E139" s="86" t="s">
        <v>673</v>
      </c>
      <c r="F139" s="86">
        <v>3</v>
      </c>
      <c r="G139" s="86" t="s">
        <v>628</v>
      </c>
      <c r="H139" s="86" t="s">
        <v>520</v>
      </c>
      <c r="I139" s="86">
        <v>120</v>
      </c>
      <c r="J139" s="86"/>
      <c r="K139" s="86" t="s">
        <v>512</v>
      </c>
      <c r="L139" s="86"/>
      <c r="M139" s="86"/>
      <c r="N139" s="86" t="s">
        <v>635</v>
      </c>
      <c r="O139" s="86" t="s">
        <v>636</v>
      </c>
      <c r="P139" s="86" t="s">
        <v>674</v>
      </c>
      <c r="Q139" s="86" t="s">
        <v>638</v>
      </c>
      <c r="R139" s="86" t="s">
        <v>539</v>
      </c>
      <c r="S139" s="86" t="s">
        <v>386</v>
      </c>
      <c r="T139" s="86" t="s">
        <v>169</v>
      </c>
      <c r="U139" s="86" t="s">
        <v>732</v>
      </c>
      <c r="V139" s="86"/>
      <c r="W139" s="86"/>
      <c r="X139" s="86"/>
      <c r="Y139" s="86">
        <v>66</v>
      </c>
      <c r="Z139" s="86" t="s">
        <v>744</v>
      </c>
      <c r="AA139" s="86"/>
      <c r="AB139" s="86" t="s">
        <v>376</v>
      </c>
      <c r="AC139" s="86">
        <v>0</v>
      </c>
      <c r="AD139" s="86" t="s">
        <v>376</v>
      </c>
      <c r="AE139" s="86" t="s">
        <v>382</v>
      </c>
    </row>
    <row r="140" spans="1:31" s="18" customFormat="1" ht="15.75" x14ac:dyDescent="0.25">
      <c r="A140" s="80">
        <v>4</v>
      </c>
      <c r="B140" s="90">
        <v>46185</v>
      </c>
      <c r="C140" s="86" t="s">
        <v>646</v>
      </c>
      <c r="D140" s="86" t="s">
        <v>25</v>
      </c>
      <c r="E140" s="86" t="s">
        <v>514</v>
      </c>
      <c r="F140" s="86">
        <v>26</v>
      </c>
      <c r="G140" s="86" t="s">
        <v>515</v>
      </c>
      <c r="H140" s="86" t="s">
        <v>385</v>
      </c>
      <c r="I140" s="86">
        <v>100</v>
      </c>
      <c r="J140" s="86"/>
      <c r="K140" s="86" t="s">
        <v>512</v>
      </c>
      <c r="L140" s="86"/>
      <c r="M140" s="86"/>
      <c r="N140" s="86" t="s">
        <v>507</v>
      </c>
      <c r="O140" s="86" t="s">
        <v>508</v>
      </c>
      <c r="P140" s="86" t="s">
        <v>509</v>
      </c>
      <c r="Q140" s="86" t="s">
        <v>510</v>
      </c>
      <c r="R140" s="86" t="s">
        <v>374</v>
      </c>
      <c r="S140" s="86" t="s">
        <v>386</v>
      </c>
      <c r="T140" s="86" t="s">
        <v>386</v>
      </c>
      <c r="U140" s="86" t="s">
        <v>734</v>
      </c>
      <c r="V140" s="86"/>
      <c r="W140" s="86"/>
      <c r="X140" s="86"/>
      <c r="Y140" s="86">
        <v>67</v>
      </c>
      <c r="Z140" s="86" t="s">
        <v>745</v>
      </c>
      <c r="AA140" s="86"/>
      <c r="AB140" s="86" t="s">
        <v>376</v>
      </c>
      <c r="AC140" s="86">
        <v>0</v>
      </c>
      <c r="AD140" s="86" t="s">
        <v>376</v>
      </c>
      <c r="AE140" s="86" t="s">
        <v>382</v>
      </c>
    </row>
    <row r="141" spans="1:31" s="18" customFormat="1" ht="15.75" x14ac:dyDescent="0.25">
      <c r="A141" s="80">
        <v>4</v>
      </c>
      <c r="B141" s="90">
        <v>46185</v>
      </c>
      <c r="C141" s="86" t="s">
        <v>648</v>
      </c>
      <c r="D141" s="86" t="s">
        <v>30</v>
      </c>
      <c r="E141" s="86" t="s">
        <v>524</v>
      </c>
      <c r="F141" s="86">
        <v>1</v>
      </c>
      <c r="G141" s="86" t="s">
        <v>511</v>
      </c>
      <c r="H141" s="86" t="s">
        <v>385</v>
      </c>
      <c r="I141" s="86">
        <v>100</v>
      </c>
      <c r="J141" s="86"/>
      <c r="K141" s="86" t="s">
        <v>506</v>
      </c>
      <c r="L141" s="86"/>
      <c r="M141" s="86"/>
      <c r="N141" s="86" t="s">
        <v>525</v>
      </c>
      <c r="O141" s="86" t="s">
        <v>526</v>
      </c>
      <c r="P141" s="86" t="s">
        <v>527</v>
      </c>
      <c r="Q141" s="86" t="s">
        <v>528</v>
      </c>
      <c r="R141" s="86" t="s">
        <v>374</v>
      </c>
      <c r="S141" s="86" t="s">
        <v>386</v>
      </c>
      <c r="T141" s="86" t="s">
        <v>386</v>
      </c>
      <c r="U141" s="86" t="s">
        <v>746</v>
      </c>
      <c r="V141" s="86"/>
      <c r="W141" s="86"/>
      <c r="X141" s="86"/>
      <c r="Y141" s="86">
        <v>68</v>
      </c>
      <c r="Z141" s="86" t="s">
        <v>747</v>
      </c>
      <c r="AA141" s="86"/>
      <c r="AB141" s="86" t="s">
        <v>376</v>
      </c>
      <c r="AC141" s="86">
        <v>0</v>
      </c>
      <c r="AD141" s="86" t="s">
        <v>376</v>
      </c>
      <c r="AE141" s="86" t="s">
        <v>382</v>
      </c>
    </row>
    <row r="142" spans="1:31" s="18" customFormat="1" ht="15.75" x14ac:dyDescent="0.25">
      <c r="A142" s="80">
        <v>4</v>
      </c>
      <c r="B142" s="90">
        <v>46188</v>
      </c>
      <c r="C142" s="86" t="s">
        <v>372</v>
      </c>
      <c r="D142" s="86" t="s">
        <v>25</v>
      </c>
      <c r="E142" s="86" t="s">
        <v>514</v>
      </c>
      <c r="F142" s="86">
        <v>59</v>
      </c>
      <c r="G142" s="86" t="s">
        <v>515</v>
      </c>
      <c r="H142" s="86" t="s">
        <v>385</v>
      </c>
      <c r="I142" s="86">
        <v>100</v>
      </c>
      <c r="J142" s="86"/>
      <c r="K142" s="86" t="s">
        <v>512</v>
      </c>
      <c r="L142" s="86"/>
      <c r="M142" s="86"/>
      <c r="N142" s="86" t="s">
        <v>507</v>
      </c>
      <c r="O142" s="86" t="s">
        <v>508</v>
      </c>
      <c r="P142" s="86" t="s">
        <v>509</v>
      </c>
      <c r="Q142" s="86" t="s">
        <v>510</v>
      </c>
      <c r="R142" s="86" t="s">
        <v>374</v>
      </c>
      <c r="S142" s="86" t="s">
        <v>386</v>
      </c>
      <c r="T142" s="86" t="s">
        <v>386</v>
      </c>
      <c r="U142" s="86" t="s">
        <v>735</v>
      </c>
      <c r="V142" s="86"/>
      <c r="W142" s="86"/>
      <c r="X142" s="86"/>
      <c r="Y142" s="86">
        <v>69</v>
      </c>
      <c r="Z142" s="86" t="s">
        <v>748</v>
      </c>
      <c r="AA142" s="86"/>
      <c r="AB142" s="86" t="s">
        <v>376</v>
      </c>
      <c r="AC142" s="86">
        <v>0</v>
      </c>
      <c r="AD142" s="86" t="s">
        <v>376</v>
      </c>
      <c r="AE142" s="86" t="s">
        <v>382</v>
      </c>
    </row>
    <row r="143" spans="1:31" s="18" customFormat="1" ht="15.75" x14ac:dyDescent="0.25">
      <c r="A143" s="80">
        <v>4</v>
      </c>
      <c r="B143" s="90">
        <v>46188</v>
      </c>
      <c r="C143" s="86" t="s">
        <v>377</v>
      </c>
      <c r="D143" s="86" t="s">
        <v>29</v>
      </c>
      <c r="E143" s="86" t="s">
        <v>625</v>
      </c>
      <c r="F143" s="86">
        <v>4</v>
      </c>
      <c r="G143" s="86" t="s">
        <v>515</v>
      </c>
      <c r="H143" s="86" t="s">
        <v>520</v>
      </c>
      <c r="I143" s="86">
        <v>120</v>
      </c>
      <c r="J143" s="86"/>
      <c r="K143" s="86" t="s">
        <v>506</v>
      </c>
      <c r="L143" s="86"/>
      <c r="M143" s="86"/>
      <c r="N143" s="86" t="s">
        <v>169</v>
      </c>
      <c r="O143" s="86" t="s">
        <v>517</v>
      </c>
      <c r="P143" s="86" t="s">
        <v>521</v>
      </c>
      <c r="Q143" s="86" t="s">
        <v>373</v>
      </c>
      <c r="R143" s="86" t="s">
        <v>374</v>
      </c>
      <c r="S143" s="86" t="s">
        <v>386</v>
      </c>
      <c r="T143" s="86" t="s">
        <v>169</v>
      </c>
      <c r="U143" s="86" t="s">
        <v>736</v>
      </c>
      <c r="V143" s="86"/>
      <c r="W143" s="86"/>
      <c r="X143" s="86"/>
      <c r="Y143" s="86">
        <v>70</v>
      </c>
      <c r="Z143" s="86" t="s">
        <v>749</v>
      </c>
      <c r="AA143" s="86"/>
      <c r="AB143" s="86" t="s">
        <v>376</v>
      </c>
      <c r="AC143" s="86">
        <v>0</v>
      </c>
      <c r="AD143" s="86" t="s">
        <v>376</v>
      </c>
      <c r="AE143" s="86" t="s">
        <v>382</v>
      </c>
    </row>
    <row r="144" spans="1:31" s="18" customFormat="1" ht="15.75" x14ac:dyDescent="0.25">
      <c r="A144" s="80">
        <v>4</v>
      </c>
      <c r="B144" s="90">
        <v>46188</v>
      </c>
      <c r="C144" s="86" t="s">
        <v>378</v>
      </c>
      <c r="D144" s="86" t="s">
        <v>30</v>
      </c>
      <c r="E144" s="86" t="s">
        <v>524</v>
      </c>
      <c r="F144" s="86">
        <v>114</v>
      </c>
      <c r="G144" s="86" t="s">
        <v>511</v>
      </c>
      <c r="H144" s="86" t="s">
        <v>385</v>
      </c>
      <c r="I144" s="86">
        <v>100</v>
      </c>
      <c r="J144" s="86"/>
      <c r="K144" s="86" t="s">
        <v>506</v>
      </c>
      <c r="L144" s="86"/>
      <c r="M144" s="86"/>
      <c r="N144" s="86" t="s">
        <v>525</v>
      </c>
      <c r="O144" s="86" t="s">
        <v>526</v>
      </c>
      <c r="P144" s="86" t="s">
        <v>527</v>
      </c>
      <c r="Q144" s="86" t="s">
        <v>528</v>
      </c>
      <c r="R144" s="86" t="s">
        <v>374</v>
      </c>
      <c r="S144" s="86" t="s">
        <v>386</v>
      </c>
      <c r="T144" s="86" t="s">
        <v>386</v>
      </c>
      <c r="U144" s="86" t="s">
        <v>750</v>
      </c>
      <c r="V144" s="86"/>
      <c r="W144" s="86"/>
      <c r="X144" s="86"/>
      <c r="Y144" s="86">
        <v>71</v>
      </c>
      <c r="Z144" s="86" t="s">
        <v>751</v>
      </c>
      <c r="AA144" s="86"/>
      <c r="AB144" s="86" t="s">
        <v>376</v>
      </c>
      <c r="AC144" s="86">
        <v>0</v>
      </c>
      <c r="AD144" s="86" t="s">
        <v>376</v>
      </c>
      <c r="AE144" s="86" t="s">
        <v>382</v>
      </c>
    </row>
    <row r="145" spans="1:31" s="18" customFormat="1" ht="15.75" x14ac:dyDescent="0.25">
      <c r="A145" s="80">
        <v>4</v>
      </c>
      <c r="B145" s="90">
        <v>46189</v>
      </c>
      <c r="C145" s="86" t="s">
        <v>372</v>
      </c>
      <c r="D145" s="86" t="s">
        <v>30</v>
      </c>
      <c r="E145" s="86" t="s">
        <v>524</v>
      </c>
      <c r="F145" s="86">
        <v>221</v>
      </c>
      <c r="G145" s="86" t="s">
        <v>511</v>
      </c>
      <c r="H145" s="86" t="s">
        <v>385</v>
      </c>
      <c r="I145" s="86">
        <v>100</v>
      </c>
      <c r="J145" s="86"/>
      <c r="K145" s="86" t="s">
        <v>506</v>
      </c>
      <c r="L145" s="86"/>
      <c r="M145" s="86"/>
      <c r="N145" s="86" t="s">
        <v>525</v>
      </c>
      <c r="O145" s="86" t="s">
        <v>526</v>
      </c>
      <c r="P145" s="86" t="s">
        <v>527</v>
      </c>
      <c r="Q145" s="86" t="s">
        <v>528</v>
      </c>
      <c r="R145" s="86" t="s">
        <v>374</v>
      </c>
      <c r="S145" s="86" t="s">
        <v>386</v>
      </c>
      <c r="T145" s="86" t="s">
        <v>386</v>
      </c>
      <c r="U145" s="86" t="s">
        <v>752</v>
      </c>
      <c r="V145" s="86"/>
      <c r="W145" s="86"/>
      <c r="X145" s="86"/>
      <c r="Y145" s="86">
        <v>71</v>
      </c>
      <c r="Z145" s="86"/>
      <c r="AA145" s="86"/>
      <c r="AB145" s="86" t="s">
        <v>753</v>
      </c>
      <c r="AC145" s="86">
        <v>0</v>
      </c>
      <c r="AD145" s="86"/>
      <c r="AE145" s="86" t="s">
        <v>382</v>
      </c>
    </row>
    <row r="146" spans="1:31" s="18" customFormat="1" ht="15.75" x14ac:dyDescent="0.25">
      <c r="A146" s="80">
        <v>4</v>
      </c>
      <c r="B146" s="90">
        <v>46190</v>
      </c>
      <c r="C146" s="86" t="s">
        <v>372</v>
      </c>
      <c r="D146" s="86" t="s">
        <v>30</v>
      </c>
      <c r="E146" s="86" t="s">
        <v>524</v>
      </c>
      <c r="F146" s="86">
        <v>156</v>
      </c>
      <c r="G146" s="86" t="s">
        <v>511</v>
      </c>
      <c r="H146" s="86" t="s">
        <v>385</v>
      </c>
      <c r="I146" s="86">
        <v>100</v>
      </c>
      <c r="J146" s="86"/>
      <c r="K146" s="86" t="s">
        <v>506</v>
      </c>
      <c r="L146" s="86"/>
      <c r="M146" s="86"/>
      <c r="N146" s="86" t="s">
        <v>525</v>
      </c>
      <c r="O146" s="86" t="s">
        <v>526</v>
      </c>
      <c r="P146" s="86" t="s">
        <v>527</v>
      </c>
      <c r="Q146" s="86" t="s">
        <v>528</v>
      </c>
      <c r="R146" s="86" t="s">
        <v>374</v>
      </c>
      <c r="S146" s="86" t="s">
        <v>386</v>
      </c>
      <c r="T146" s="86" t="s">
        <v>386</v>
      </c>
      <c r="U146" s="86" t="s">
        <v>754</v>
      </c>
      <c r="V146" s="86"/>
      <c r="W146" s="86"/>
      <c r="X146" s="86"/>
      <c r="Y146" s="86">
        <v>71</v>
      </c>
      <c r="Z146" s="86"/>
      <c r="AA146" s="86"/>
      <c r="AB146" s="86" t="s">
        <v>753</v>
      </c>
      <c r="AC146" s="86">
        <v>0</v>
      </c>
      <c r="AD146" s="86"/>
      <c r="AE146" s="86" t="s">
        <v>382</v>
      </c>
    </row>
    <row r="147" spans="1:31" s="18" customFormat="1" ht="15.75" x14ac:dyDescent="0.25">
      <c r="A147" s="80">
        <v>4</v>
      </c>
      <c r="B147" s="90">
        <v>46190</v>
      </c>
      <c r="C147" s="86" t="s">
        <v>377</v>
      </c>
      <c r="D147" s="86" t="s">
        <v>34</v>
      </c>
      <c r="E147" s="86" t="s">
        <v>519</v>
      </c>
      <c r="F147" s="86">
        <v>2</v>
      </c>
      <c r="G147" s="86" t="s">
        <v>511</v>
      </c>
      <c r="H147" s="86" t="s">
        <v>520</v>
      </c>
      <c r="I147" s="86">
        <v>120</v>
      </c>
      <c r="J147" s="86"/>
      <c r="K147" s="86" t="s">
        <v>506</v>
      </c>
      <c r="L147" s="86"/>
      <c r="M147" s="86"/>
      <c r="N147" s="86" t="s">
        <v>169</v>
      </c>
      <c r="O147" s="86" t="s">
        <v>517</v>
      </c>
      <c r="P147" s="86" t="s">
        <v>521</v>
      </c>
      <c r="Q147" s="86" t="s">
        <v>373</v>
      </c>
      <c r="R147" s="86" t="s">
        <v>374</v>
      </c>
      <c r="S147" s="86" t="s">
        <v>386</v>
      </c>
      <c r="T147" s="86" t="s">
        <v>169</v>
      </c>
      <c r="U147" s="86" t="s">
        <v>740</v>
      </c>
      <c r="V147" s="86"/>
      <c r="W147" s="86"/>
      <c r="X147" s="86"/>
      <c r="Y147" s="86">
        <v>72</v>
      </c>
      <c r="Z147" s="86"/>
      <c r="AA147" s="86"/>
      <c r="AB147" s="86" t="s">
        <v>753</v>
      </c>
      <c r="AC147" s="86">
        <v>0</v>
      </c>
      <c r="AD147" s="86"/>
      <c r="AE147" s="86" t="s">
        <v>382</v>
      </c>
    </row>
    <row r="148" spans="1:31" s="18" customFormat="1" ht="15.75" x14ac:dyDescent="0.25">
      <c r="A148" s="80">
        <v>4</v>
      </c>
      <c r="B148" s="90">
        <v>46190</v>
      </c>
      <c r="C148" s="86" t="s">
        <v>378</v>
      </c>
      <c r="D148" s="86" t="s">
        <v>38</v>
      </c>
      <c r="E148" s="86" t="s">
        <v>530</v>
      </c>
      <c r="F148" s="86">
        <v>48</v>
      </c>
      <c r="G148" s="86" t="s">
        <v>531</v>
      </c>
      <c r="H148" s="86" t="s">
        <v>390</v>
      </c>
      <c r="I148" s="86">
        <v>230</v>
      </c>
      <c r="J148" s="86"/>
      <c r="K148" s="86" t="s">
        <v>506</v>
      </c>
      <c r="L148" s="86"/>
      <c r="M148" s="86"/>
      <c r="N148" s="86" t="s">
        <v>169</v>
      </c>
      <c r="O148" s="86" t="s">
        <v>517</v>
      </c>
      <c r="P148" s="86" t="s">
        <v>532</v>
      </c>
      <c r="Q148" s="86" t="s">
        <v>373</v>
      </c>
      <c r="R148" s="86" t="s">
        <v>374</v>
      </c>
      <c r="S148" s="86" t="s">
        <v>386</v>
      </c>
      <c r="T148" s="86" t="s">
        <v>169</v>
      </c>
      <c r="U148" s="86" t="s">
        <v>741</v>
      </c>
      <c r="V148" s="86"/>
      <c r="W148" s="86"/>
      <c r="X148" s="86"/>
      <c r="Y148" s="86">
        <v>73</v>
      </c>
      <c r="Z148" s="86"/>
      <c r="AA148" s="86"/>
      <c r="AB148" s="86" t="s">
        <v>753</v>
      </c>
      <c r="AC148" s="86">
        <v>0</v>
      </c>
      <c r="AD148" s="86"/>
      <c r="AE148" s="86" t="s">
        <v>382</v>
      </c>
    </row>
    <row r="149" spans="1:31" s="18" customFormat="1" ht="15.75" x14ac:dyDescent="0.25">
      <c r="A149" s="80">
        <v>4</v>
      </c>
      <c r="B149" s="90">
        <v>46191</v>
      </c>
      <c r="C149" s="86" t="s">
        <v>372</v>
      </c>
      <c r="D149" s="86" t="s">
        <v>38</v>
      </c>
      <c r="E149" s="86" t="s">
        <v>530</v>
      </c>
      <c r="F149" s="86">
        <v>50</v>
      </c>
      <c r="G149" s="86" t="s">
        <v>531</v>
      </c>
      <c r="H149" s="86" t="s">
        <v>390</v>
      </c>
      <c r="I149" s="86">
        <v>230</v>
      </c>
      <c r="J149" s="86"/>
      <c r="K149" s="86" t="s">
        <v>506</v>
      </c>
      <c r="L149" s="86"/>
      <c r="M149" s="86"/>
      <c r="N149" s="86" t="s">
        <v>169</v>
      </c>
      <c r="O149" s="86" t="s">
        <v>517</v>
      </c>
      <c r="P149" s="86" t="s">
        <v>532</v>
      </c>
      <c r="Q149" s="86" t="s">
        <v>373</v>
      </c>
      <c r="R149" s="86" t="s">
        <v>374</v>
      </c>
      <c r="S149" s="86" t="s">
        <v>386</v>
      </c>
      <c r="T149" s="86" t="s">
        <v>169</v>
      </c>
      <c r="U149" s="86" t="s">
        <v>743</v>
      </c>
      <c r="V149" s="86"/>
      <c r="W149" s="86"/>
      <c r="X149" s="86"/>
      <c r="Y149" s="86">
        <v>73</v>
      </c>
      <c r="Z149" s="86"/>
      <c r="AA149" s="86"/>
      <c r="AB149" s="86" t="s">
        <v>753</v>
      </c>
      <c r="AC149" s="86">
        <v>0</v>
      </c>
      <c r="AD149" s="86"/>
      <c r="AE149" s="86" t="s">
        <v>382</v>
      </c>
    </row>
    <row r="150" spans="1:31" s="18" customFormat="1" ht="15.75" x14ac:dyDescent="0.25">
      <c r="A150" s="80">
        <v>4</v>
      </c>
      <c r="B150" s="90">
        <v>46191</v>
      </c>
      <c r="C150" s="86" t="s">
        <v>377</v>
      </c>
      <c r="D150" s="86" t="s">
        <v>47</v>
      </c>
      <c r="E150" s="86" t="s">
        <v>569</v>
      </c>
      <c r="F150" s="86">
        <v>3</v>
      </c>
      <c r="G150" s="86" t="s">
        <v>505</v>
      </c>
      <c r="H150" s="86" t="s">
        <v>520</v>
      </c>
      <c r="I150" s="86">
        <v>120</v>
      </c>
      <c r="J150" s="86"/>
      <c r="K150" s="86" t="s">
        <v>550</v>
      </c>
      <c r="L150" s="86"/>
      <c r="M150" s="86"/>
      <c r="N150" s="86" t="s">
        <v>169</v>
      </c>
      <c r="O150" s="86" t="s">
        <v>517</v>
      </c>
      <c r="P150" s="86" t="s">
        <v>521</v>
      </c>
      <c r="Q150" s="86" t="s">
        <v>373</v>
      </c>
      <c r="R150" s="86" t="s">
        <v>374</v>
      </c>
      <c r="S150" s="86" t="s">
        <v>386</v>
      </c>
      <c r="T150" s="86" t="s">
        <v>169</v>
      </c>
      <c r="U150" s="86" t="s">
        <v>744</v>
      </c>
      <c r="V150" s="86"/>
      <c r="W150" s="86"/>
      <c r="X150" s="86"/>
      <c r="Y150" s="86">
        <v>74</v>
      </c>
      <c r="Z150" s="86"/>
      <c r="AA150" s="86"/>
      <c r="AB150" s="86" t="s">
        <v>753</v>
      </c>
      <c r="AC150" s="86">
        <v>0</v>
      </c>
      <c r="AD150" s="86"/>
      <c r="AE150" s="86" t="s">
        <v>382</v>
      </c>
    </row>
    <row r="151" spans="1:31" s="18" customFormat="1" ht="15.75" x14ac:dyDescent="0.25">
      <c r="A151" s="80">
        <v>4</v>
      </c>
      <c r="B151" s="90">
        <v>46191</v>
      </c>
      <c r="C151" s="86" t="s">
        <v>378</v>
      </c>
      <c r="D151" s="86" t="s">
        <v>49</v>
      </c>
      <c r="E151" s="86" t="s">
        <v>561</v>
      </c>
      <c r="F151" s="86">
        <v>25</v>
      </c>
      <c r="G151" s="86" t="s">
        <v>562</v>
      </c>
      <c r="H151" s="86" t="s">
        <v>390</v>
      </c>
      <c r="I151" s="86">
        <v>230</v>
      </c>
      <c r="J151" s="86"/>
      <c r="K151" s="86" t="s">
        <v>550</v>
      </c>
      <c r="L151" s="86"/>
      <c r="M151" s="86"/>
      <c r="N151" s="86" t="s">
        <v>169</v>
      </c>
      <c r="O151" s="86" t="s">
        <v>517</v>
      </c>
      <c r="P151" s="86" t="s">
        <v>518</v>
      </c>
      <c r="Q151" s="86" t="s">
        <v>373</v>
      </c>
      <c r="R151" s="86" t="s">
        <v>374</v>
      </c>
      <c r="S151" s="86" t="s">
        <v>386</v>
      </c>
      <c r="T151" s="86" t="s">
        <v>169</v>
      </c>
      <c r="U151" s="86" t="s">
        <v>745</v>
      </c>
      <c r="V151" s="86"/>
      <c r="W151" s="86"/>
      <c r="X151" s="86"/>
      <c r="Y151" s="86">
        <v>75</v>
      </c>
      <c r="Z151" s="86"/>
      <c r="AA151" s="86"/>
      <c r="AB151" s="86" t="s">
        <v>753</v>
      </c>
      <c r="AC151" s="86">
        <v>0</v>
      </c>
      <c r="AD151" s="86"/>
      <c r="AE151" s="86" t="s">
        <v>382</v>
      </c>
    </row>
    <row r="152" spans="1:31" s="18" customFormat="1" ht="15.75" x14ac:dyDescent="0.25">
      <c r="A152" s="80">
        <v>4</v>
      </c>
      <c r="B152" s="90">
        <v>46191</v>
      </c>
      <c r="C152" s="86" t="s">
        <v>379</v>
      </c>
      <c r="D152" s="86" t="s">
        <v>57</v>
      </c>
      <c r="E152" s="86" t="s">
        <v>627</v>
      </c>
      <c r="F152" s="86">
        <v>90</v>
      </c>
      <c r="G152" s="86" t="s">
        <v>628</v>
      </c>
      <c r="H152" s="86" t="s">
        <v>390</v>
      </c>
      <c r="I152" s="86">
        <v>230</v>
      </c>
      <c r="J152" s="86"/>
      <c r="K152" s="86" t="s">
        <v>512</v>
      </c>
      <c r="L152" s="86"/>
      <c r="M152" s="86"/>
      <c r="N152" s="86" t="s">
        <v>169</v>
      </c>
      <c r="O152" s="86" t="s">
        <v>629</v>
      </c>
      <c r="P152" s="86" t="s">
        <v>630</v>
      </c>
      <c r="Q152" s="86" t="s">
        <v>373</v>
      </c>
      <c r="R152" s="86" t="s">
        <v>539</v>
      </c>
      <c r="S152" s="86" t="s">
        <v>386</v>
      </c>
      <c r="T152" s="86" t="s">
        <v>169</v>
      </c>
      <c r="U152" s="86" t="s">
        <v>747</v>
      </c>
      <c r="V152" s="86"/>
      <c r="W152" s="86"/>
      <c r="X152" s="86"/>
      <c r="Y152" s="86">
        <v>76</v>
      </c>
      <c r="Z152" s="86"/>
      <c r="AA152" s="86"/>
      <c r="AB152" s="86" t="s">
        <v>753</v>
      </c>
      <c r="AC152" s="86">
        <v>0</v>
      </c>
      <c r="AD152" s="86"/>
      <c r="AE152" s="86" t="s">
        <v>382</v>
      </c>
    </row>
    <row r="153" spans="1:31" s="18" customFormat="1" ht="15.75" x14ac:dyDescent="0.25">
      <c r="A153" s="80">
        <v>4</v>
      </c>
      <c r="B153" s="90">
        <v>46192</v>
      </c>
      <c r="C153" s="86" t="s">
        <v>372</v>
      </c>
      <c r="D153" s="86" t="s">
        <v>57</v>
      </c>
      <c r="E153" s="86" t="s">
        <v>627</v>
      </c>
      <c r="F153" s="86">
        <v>135</v>
      </c>
      <c r="G153" s="86" t="s">
        <v>628</v>
      </c>
      <c r="H153" s="86" t="s">
        <v>390</v>
      </c>
      <c r="I153" s="86">
        <v>230</v>
      </c>
      <c r="J153" s="86"/>
      <c r="K153" s="86" t="s">
        <v>512</v>
      </c>
      <c r="L153" s="86"/>
      <c r="M153" s="86"/>
      <c r="N153" s="86" t="s">
        <v>169</v>
      </c>
      <c r="O153" s="86" t="s">
        <v>629</v>
      </c>
      <c r="P153" s="86" t="s">
        <v>630</v>
      </c>
      <c r="Q153" s="86" t="s">
        <v>373</v>
      </c>
      <c r="R153" s="86" t="s">
        <v>539</v>
      </c>
      <c r="S153" s="86" t="s">
        <v>386</v>
      </c>
      <c r="T153" s="86" t="s">
        <v>169</v>
      </c>
      <c r="U153" s="86" t="s">
        <v>748</v>
      </c>
      <c r="V153" s="86"/>
      <c r="W153" s="86"/>
      <c r="X153" s="86"/>
      <c r="Y153" s="86">
        <v>76</v>
      </c>
      <c r="Z153" s="86"/>
      <c r="AA153" s="86"/>
      <c r="AB153" s="86" t="s">
        <v>753</v>
      </c>
      <c r="AC153" s="86">
        <v>0</v>
      </c>
      <c r="AD153" s="86"/>
      <c r="AE153" s="86" t="s">
        <v>382</v>
      </c>
    </row>
    <row r="154" spans="1:31" s="18" customFormat="1" ht="15.75" x14ac:dyDescent="0.25">
      <c r="A154" s="80">
        <v>4</v>
      </c>
      <c r="B154" s="90">
        <v>46192</v>
      </c>
      <c r="C154" s="86" t="s">
        <v>377</v>
      </c>
      <c r="D154" s="86" t="s">
        <v>58</v>
      </c>
      <c r="E154" s="86" t="s">
        <v>673</v>
      </c>
      <c r="F154" s="86">
        <v>2</v>
      </c>
      <c r="G154" s="86" t="s">
        <v>628</v>
      </c>
      <c r="H154" s="86" t="s">
        <v>520</v>
      </c>
      <c r="I154" s="86">
        <v>120</v>
      </c>
      <c r="J154" s="86"/>
      <c r="K154" s="86" t="s">
        <v>512</v>
      </c>
      <c r="L154" s="86"/>
      <c r="M154" s="86"/>
      <c r="N154" s="86" t="s">
        <v>635</v>
      </c>
      <c r="O154" s="86" t="s">
        <v>636</v>
      </c>
      <c r="P154" s="86" t="s">
        <v>674</v>
      </c>
      <c r="Q154" s="86" t="s">
        <v>638</v>
      </c>
      <c r="R154" s="86" t="s">
        <v>539</v>
      </c>
      <c r="S154" s="86" t="s">
        <v>386</v>
      </c>
      <c r="T154" s="86" t="s">
        <v>169</v>
      </c>
      <c r="U154" s="86" t="s">
        <v>749</v>
      </c>
      <c r="V154" s="86"/>
      <c r="W154" s="86"/>
      <c r="X154" s="86"/>
      <c r="Y154" s="86">
        <v>77</v>
      </c>
      <c r="Z154" s="86"/>
      <c r="AA154" s="86"/>
      <c r="AB154" s="86" t="s">
        <v>753</v>
      </c>
      <c r="AC154" s="86">
        <v>0</v>
      </c>
      <c r="AD154" s="86"/>
      <c r="AE154" s="86" t="s">
        <v>382</v>
      </c>
    </row>
    <row r="155" spans="1:31" s="18" customFormat="1" ht="15.75" x14ac:dyDescent="0.25">
      <c r="A155" s="80">
        <v>4</v>
      </c>
      <c r="B155" s="90">
        <v>46192</v>
      </c>
      <c r="C155" s="86" t="s">
        <v>378</v>
      </c>
      <c r="D155" s="86" t="s">
        <v>25</v>
      </c>
      <c r="E155" s="86" t="s">
        <v>514</v>
      </c>
      <c r="F155" s="86">
        <v>26</v>
      </c>
      <c r="G155" s="86" t="s">
        <v>515</v>
      </c>
      <c r="H155" s="86" t="s">
        <v>385</v>
      </c>
      <c r="I155" s="86">
        <v>100</v>
      </c>
      <c r="J155" s="86"/>
      <c r="K155" s="86" t="s">
        <v>512</v>
      </c>
      <c r="L155" s="86"/>
      <c r="M155" s="86"/>
      <c r="N155" s="86" t="s">
        <v>507</v>
      </c>
      <c r="O155" s="86" t="s">
        <v>508</v>
      </c>
      <c r="P155" s="86" t="s">
        <v>509</v>
      </c>
      <c r="Q155" s="86" t="s">
        <v>510</v>
      </c>
      <c r="R155" s="86" t="s">
        <v>374</v>
      </c>
      <c r="S155" s="86" t="s">
        <v>386</v>
      </c>
      <c r="T155" s="86" t="s">
        <v>386</v>
      </c>
      <c r="U155" s="86" t="s">
        <v>751</v>
      </c>
      <c r="V155" s="86"/>
      <c r="W155" s="86"/>
      <c r="X155" s="86"/>
      <c r="Y155" s="86">
        <v>78</v>
      </c>
      <c r="Z155" s="86"/>
      <c r="AA155" s="86"/>
      <c r="AB155" s="86" t="s">
        <v>753</v>
      </c>
      <c r="AC155" s="86">
        <v>0</v>
      </c>
      <c r="AD155" s="86"/>
      <c r="AE155" s="86" t="s">
        <v>382</v>
      </c>
    </row>
    <row r="156" spans="1:31" s="18" customFormat="1" ht="15.75" x14ac:dyDescent="0.25">
      <c r="A156" s="80">
        <v>4</v>
      </c>
      <c r="B156" s="90">
        <v>46195</v>
      </c>
      <c r="C156" s="86" t="s">
        <v>372</v>
      </c>
      <c r="D156" s="86" t="s">
        <v>25</v>
      </c>
      <c r="E156" s="86" t="s">
        <v>514</v>
      </c>
      <c r="F156" s="86">
        <v>16</v>
      </c>
      <c r="G156" s="86" t="s">
        <v>515</v>
      </c>
      <c r="H156" s="86" t="s">
        <v>385</v>
      </c>
      <c r="I156" s="86">
        <v>100</v>
      </c>
      <c r="J156" s="86"/>
      <c r="K156" s="86" t="s">
        <v>512</v>
      </c>
      <c r="L156" s="86"/>
      <c r="M156" s="86"/>
      <c r="N156" s="86" t="s">
        <v>507</v>
      </c>
      <c r="O156" s="86" t="s">
        <v>508</v>
      </c>
      <c r="P156" s="86" t="s">
        <v>509</v>
      </c>
      <c r="Q156" s="86" t="s">
        <v>510</v>
      </c>
      <c r="R156" s="86" t="s">
        <v>374</v>
      </c>
      <c r="S156" s="86" t="s">
        <v>386</v>
      </c>
      <c r="T156" s="86" t="s">
        <v>386</v>
      </c>
      <c r="U156" s="86" t="s">
        <v>755</v>
      </c>
      <c r="V156" s="86"/>
      <c r="W156" s="86"/>
      <c r="X156" s="86"/>
      <c r="Y156" s="86">
        <v>78</v>
      </c>
      <c r="Z156" s="86"/>
      <c r="AA156" s="86"/>
      <c r="AB156" s="86" t="s">
        <v>753</v>
      </c>
      <c r="AC156" s="86">
        <v>0</v>
      </c>
      <c r="AD156" s="86"/>
      <c r="AE156" s="86" t="s">
        <v>382</v>
      </c>
    </row>
    <row r="157" spans="1:31" s="18" customFormat="1" ht="15.75" x14ac:dyDescent="0.25">
      <c r="A157" s="80">
        <v>4</v>
      </c>
      <c r="B157" s="90">
        <v>46195</v>
      </c>
      <c r="C157" s="86" t="s">
        <v>377</v>
      </c>
      <c r="D157" s="86" t="s">
        <v>57</v>
      </c>
      <c r="E157" s="86" t="s">
        <v>627</v>
      </c>
      <c r="F157" s="86">
        <v>27</v>
      </c>
      <c r="G157" s="86" t="s">
        <v>628</v>
      </c>
      <c r="H157" s="86" t="s">
        <v>390</v>
      </c>
      <c r="I157" s="86">
        <v>230</v>
      </c>
      <c r="J157" s="86"/>
      <c r="K157" s="86" t="s">
        <v>512</v>
      </c>
      <c r="L157" s="86"/>
      <c r="M157" s="86"/>
      <c r="N157" s="86" t="s">
        <v>169</v>
      </c>
      <c r="O157" s="86" t="s">
        <v>629</v>
      </c>
      <c r="P157" s="86" t="s">
        <v>630</v>
      </c>
      <c r="Q157" s="86" t="s">
        <v>373</v>
      </c>
      <c r="R157" s="86" t="s">
        <v>539</v>
      </c>
      <c r="S157" s="86" t="s">
        <v>386</v>
      </c>
      <c r="T157" s="86" t="s">
        <v>169</v>
      </c>
      <c r="U157" s="86" t="s">
        <v>756</v>
      </c>
      <c r="V157" s="86"/>
      <c r="W157" s="86"/>
      <c r="X157" s="86"/>
      <c r="Y157" s="86">
        <v>79</v>
      </c>
      <c r="Z157" s="86"/>
      <c r="AA157" s="86"/>
      <c r="AB157" s="86" t="s">
        <v>753</v>
      </c>
      <c r="AC157" s="86">
        <v>0</v>
      </c>
      <c r="AD157" s="86"/>
      <c r="AE157" s="86" t="s">
        <v>382</v>
      </c>
    </row>
    <row r="158" spans="1:31" s="18" customFormat="1" ht="15.75" x14ac:dyDescent="0.25">
      <c r="A158" s="80">
        <v>4</v>
      </c>
      <c r="B158" s="90">
        <v>46195</v>
      </c>
      <c r="C158" s="86" t="s">
        <v>378</v>
      </c>
      <c r="D158" s="86" t="s">
        <v>49</v>
      </c>
      <c r="E158" s="86" t="s">
        <v>561</v>
      </c>
      <c r="F158" s="86">
        <v>5</v>
      </c>
      <c r="G158" s="86" t="s">
        <v>562</v>
      </c>
      <c r="H158" s="86" t="s">
        <v>390</v>
      </c>
      <c r="I158" s="86">
        <v>230</v>
      </c>
      <c r="J158" s="86"/>
      <c r="K158" s="86" t="s">
        <v>550</v>
      </c>
      <c r="L158" s="86"/>
      <c r="M158" s="86"/>
      <c r="N158" s="86" t="s">
        <v>169</v>
      </c>
      <c r="O158" s="86" t="s">
        <v>517</v>
      </c>
      <c r="P158" s="86" t="s">
        <v>518</v>
      </c>
      <c r="Q158" s="86" t="s">
        <v>373</v>
      </c>
      <c r="R158" s="86" t="s">
        <v>374</v>
      </c>
      <c r="S158" s="86" t="s">
        <v>386</v>
      </c>
      <c r="T158" s="86" t="s">
        <v>169</v>
      </c>
      <c r="U158" s="86" t="s">
        <v>757</v>
      </c>
      <c r="V158" s="86"/>
      <c r="W158" s="86"/>
      <c r="X158" s="86"/>
      <c r="Y158" s="86">
        <v>80</v>
      </c>
      <c r="Z158" s="86"/>
      <c r="AA158" s="86"/>
      <c r="AB158" s="86" t="s">
        <v>753</v>
      </c>
      <c r="AC158" s="86">
        <v>0</v>
      </c>
      <c r="AD158" s="86"/>
      <c r="AE158" s="86" t="s">
        <v>382</v>
      </c>
    </row>
    <row r="159" spans="1:31" s="18" customFormat="1" ht="15.75" x14ac:dyDescent="0.25">
      <c r="A159" s="80">
        <v>4</v>
      </c>
      <c r="B159" s="90">
        <v>46195</v>
      </c>
      <c r="C159" s="86" t="s">
        <v>379</v>
      </c>
      <c r="D159" s="86" t="s">
        <v>30</v>
      </c>
      <c r="E159" s="86" t="s">
        <v>524</v>
      </c>
      <c r="F159" s="86">
        <v>67</v>
      </c>
      <c r="G159" s="86" t="s">
        <v>511</v>
      </c>
      <c r="H159" s="86" t="s">
        <v>385</v>
      </c>
      <c r="I159" s="86">
        <v>100</v>
      </c>
      <c r="J159" s="86"/>
      <c r="K159" s="86" t="s">
        <v>506</v>
      </c>
      <c r="L159" s="86"/>
      <c r="M159" s="86"/>
      <c r="N159" s="86" t="s">
        <v>525</v>
      </c>
      <c r="O159" s="86" t="s">
        <v>526</v>
      </c>
      <c r="P159" s="86" t="s">
        <v>527</v>
      </c>
      <c r="Q159" s="86" t="s">
        <v>528</v>
      </c>
      <c r="R159" s="86" t="s">
        <v>374</v>
      </c>
      <c r="S159" s="86" t="s">
        <v>386</v>
      </c>
      <c r="T159" s="86" t="s">
        <v>386</v>
      </c>
      <c r="U159" s="86" t="s">
        <v>758</v>
      </c>
      <c r="V159" s="86"/>
      <c r="W159" s="86"/>
      <c r="X159" s="86"/>
      <c r="Y159" s="86">
        <v>81</v>
      </c>
      <c r="Z159" s="86"/>
      <c r="AA159" s="86"/>
      <c r="AB159" s="86" t="s">
        <v>753</v>
      </c>
      <c r="AC159" s="86">
        <v>0</v>
      </c>
      <c r="AD159" s="86"/>
      <c r="AE159" s="86" t="s">
        <v>382</v>
      </c>
    </row>
    <row r="160" spans="1:31" s="18" customFormat="1" ht="15.75" x14ac:dyDescent="0.25">
      <c r="A160" s="80">
        <v>4</v>
      </c>
      <c r="B160" s="90">
        <v>46195</v>
      </c>
      <c r="C160" s="86" t="s">
        <v>387</v>
      </c>
      <c r="D160" s="86" t="s">
        <v>38</v>
      </c>
      <c r="E160" s="86" t="s">
        <v>530</v>
      </c>
      <c r="F160" s="86">
        <v>58</v>
      </c>
      <c r="G160" s="86" t="s">
        <v>531</v>
      </c>
      <c r="H160" s="86" t="s">
        <v>390</v>
      </c>
      <c r="I160" s="86">
        <v>230</v>
      </c>
      <c r="J160" s="86"/>
      <c r="K160" s="86" t="s">
        <v>506</v>
      </c>
      <c r="L160" s="86"/>
      <c r="M160" s="86"/>
      <c r="N160" s="86" t="s">
        <v>169</v>
      </c>
      <c r="O160" s="86" t="s">
        <v>517</v>
      </c>
      <c r="P160" s="86" t="s">
        <v>532</v>
      </c>
      <c r="Q160" s="86" t="s">
        <v>373</v>
      </c>
      <c r="R160" s="86" t="s">
        <v>374</v>
      </c>
      <c r="S160" s="86" t="s">
        <v>386</v>
      </c>
      <c r="T160" s="86" t="s">
        <v>169</v>
      </c>
      <c r="U160" s="86" t="s">
        <v>759</v>
      </c>
      <c r="V160" s="86"/>
      <c r="W160" s="86"/>
      <c r="X160" s="86"/>
      <c r="Y160" s="86">
        <v>82</v>
      </c>
      <c r="Z160" s="86"/>
      <c r="AA160" s="86"/>
      <c r="AB160" s="86" t="s">
        <v>753</v>
      </c>
      <c r="AC160" s="86">
        <v>0</v>
      </c>
      <c r="AD160" s="86"/>
      <c r="AE160" s="86" t="s">
        <v>382</v>
      </c>
    </row>
    <row r="161" spans="1:31" s="18" customFormat="1" ht="15.75" x14ac:dyDescent="0.25">
      <c r="A161" s="80">
        <v>4</v>
      </c>
      <c r="B161" s="90">
        <v>46195</v>
      </c>
      <c r="C161" s="86" t="s">
        <v>388</v>
      </c>
      <c r="D161" s="86" t="s">
        <v>25</v>
      </c>
      <c r="E161" s="86" t="s">
        <v>514</v>
      </c>
      <c r="F161" s="86">
        <v>4</v>
      </c>
      <c r="G161" s="86" t="s">
        <v>515</v>
      </c>
      <c r="H161" s="86" t="s">
        <v>385</v>
      </c>
      <c r="I161" s="86">
        <v>100</v>
      </c>
      <c r="J161" s="86"/>
      <c r="K161" s="86" t="s">
        <v>512</v>
      </c>
      <c r="L161" s="86"/>
      <c r="M161" s="86"/>
      <c r="N161" s="86" t="s">
        <v>507</v>
      </c>
      <c r="O161" s="86" t="s">
        <v>508</v>
      </c>
      <c r="P161" s="86" t="s">
        <v>509</v>
      </c>
      <c r="Q161" s="86" t="s">
        <v>510</v>
      </c>
      <c r="R161" s="86" t="s">
        <v>374</v>
      </c>
      <c r="S161" s="86" t="s">
        <v>386</v>
      </c>
      <c r="T161" s="86" t="s">
        <v>386</v>
      </c>
      <c r="U161" s="86" t="s">
        <v>760</v>
      </c>
      <c r="V161" s="86"/>
      <c r="W161" s="86"/>
      <c r="X161" s="86"/>
      <c r="Y161" s="86">
        <v>83</v>
      </c>
      <c r="Z161" s="86"/>
      <c r="AA161" s="86"/>
      <c r="AB161" s="86" t="s">
        <v>753</v>
      </c>
      <c r="AC161" s="86">
        <v>0</v>
      </c>
      <c r="AD161" s="86"/>
      <c r="AE161" s="86" t="s">
        <v>382</v>
      </c>
    </row>
    <row r="162" spans="1:31" s="18" customFormat="1" ht="15.75" x14ac:dyDescent="0.25">
      <c r="A162" s="80">
        <v>4</v>
      </c>
      <c r="B162" s="90">
        <v>46196</v>
      </c>
      <c r="C162" s="86" t="s">
        <v>372</v>
      </c>
      <c r="D162" s="86" t="s">
        <v>25</v>
      </c>
      <c r="E162" s="86" t="s">
        <v>514</v>
      </c>
      <c r="F162" s="86">
        <v>37</v>
      </c>
      <c r="G162" s="86" t="s">
        <v>515</v>
      </c>
      <c r="H162" s="86" t="s">
        <v>385</v>
      </c>
      <c r="I162" s="86">
        <v>100</v>
      </c>
      <c r="J162" s="86"/>
      <c r="K162" s="86" t="s">
        <v>512</v>
      </c>
      <c r="L162" s="86"/>
      <c r="M162" s="86"/>
      <c r="N162" s="86" t="s">
        <v>507</v>
      </c>
      <c r="O162" s="86" t="s">
        <v>508</v>
      </c>
      <c r="P162" s="86" t="s">
        <v>509</v>
      </c>
      <c r="Q162" s="86" t="s">
        <v>510</v>
      </c>
      <c r="R162" s="86" t="s">
        <v>374</v>
      </c>
      <c r="S162" s="86" t="s">
        <v>386</v>
      </c>
      <c r="T162" s="86" t="s">
        <v>386</v>
      </c>
      <c r="U162" s="86" t="s">
        <v>761</v>
      </c>
      <c r="V162" s="86"/>
      <c r="W162" s="86"/>
      <c r="X162" s="86"/>
      <c r="Y162" s="86">
        <v>83</v>
      </c>
      <c r="Z162" s="86"/>
      <c r="AA162" s="86"/>
      <c r="AB162" s="86" t="s">
        <v>753</v>
      </c>
      <c r="AC162" s="86">
        <v>0</v>
      </c>
      <c r="AD162" s="86"/>
      <c r="AE162" s="86" t="s">
        <v>382</v>
      </c>
    </row>
    <row r="163" spans="1:31" s="18" customFormat="1" ht="15.75" x14ac:dyDescent="0.25">
      <c r="A163" s="80">
        <v>4</v>
      </c>
      <c r="B163" s="90">
        <v>46196</v>
      </c>
      <c r="C163" s="86" t="s">
        <v>377</v>
      </c>
      <c r="D163" s="86" t="s">
        <v>29</v>
      </c>
      <c r="E163" s="86" t="s">
        <v>625</v>
      </c>
      <c r="F163" s="86">
        <v>4</v>
      </c>
      <c r="G163" s="86" t="s">
        <v>515</v>
      </c>
      <c r="H163" s="86" t="s">
        <v>520</v>
      </c>
      <c r="I163" s="86">
        <v>120</v>
      </c>
      <c r="J163" s="86"/>
      <c r="K163" s="86" t="s">
        <v>506</v>
      </c>
      <c r="L163" s="86"/>
      <c r="M163" s="86"/>
      <c r="N163" s="86" t="s">
        <v>169</v>
      </c>
      <c r="O163" s="86" t="s">
        <v>517</v>
      </c>
      <c r="P163" s="86" t="s">
        <v>521</v>
      </c>
      <c r="Q163" s="86" t="s">
        <v>373</v>
      </c>
      <c r="R163" s="86" t="s">
        <v>374</v>
      </c>
      <c r="S163" s="86" t="s">
        <v>386</v>
      </c>
      <c r="T163" s="86" t="s">
        <v>169</v>
      </c>
      <c r="U163" s="86" t="s">
        <v>762</v>
      </c>
      <c r="V163" s="86"/>
      <c r="W163" s="86"/>
      <c r="X163" s="86"/>
      <c r="Y163" s="86">
        <v>84</v>
      </c>
      <c r="Z163" s="86"/>
      <c r="AA163" s="86"/>
      <c r="AB163" s="86" t="s">
        <v>753</v>
      </c>
      <c r="AC163" s="86">
        <v>0</v>
      </c>
      <c r="AD163" s="86"/>
      <c r="AE163" s="86" t="s">
        <v>382</v>
      </c>
    </row>
    <row r="164" spans="1:31" s="18" customFormat="1" ht="15.75" x14ac:dyDescent="0.25">
      <c r="A164" s="80">
        <v>4</v>
      </c>
      <c r="B164" s="90">
        <v>46196</v>
      </c>
      <c r="C164" s="86" t="s">
        <v>378</v>
      </c>
      <c r="D164" s="86" t="s">
        <v>30</v>
      </c>
      <c r="E164" s="86" t="s">
        <v>524</v>
      </c>
      <c r="F164" s="86">
        <v>111</v>
      </c>
      <c r="G164" s="86" t="s">
        <v>511</v>
      </c>
      <c r="H164" s="86" t="s">
        <v>385</v>
      </c>
      <c r="I164" s="86">
        <v>100</v>
      </c>
      <c r="J164" s="86"/>
      <c r="K164" s="86" t="s">
        <v>506</v>
      </c>
      <c r="L164" s="86"/>
      <c r="M164" s="86"/>
      <c r="N164" s="86" t="s">
        <v>525</v>
      </c>
      <c r="O164" s="86" t="s">
        <v>526</v>
      </c>
      <c r="P164" s="86" t="s">
        <v>527</v>
      </c>
      <c r="Q164" s="86" t="s">
        <v>528</v>
      </c>
      <c r="R164" s="86" t="s">
        <v>374</v>
      </c>
      <c r="S164" s="86" t="s">
        <v>386</v>
      </c>
      <c r="T164" s="86" t="s">
        <v>386</v>
      </c>
      <c r="U164" s="86" t="s">
        <v>763</v>
      </c>
      <c r="V164" s="86"/>
      <c r="W164" s="86"/>
      <c r="X164" s="86"/>
      <c r="Y164" s="86">
        <v>85</v>
      </c>
      <c r="Z164" s="86"/>
      <c r="AA164" s="86"/>
      <c r="AB164" s="86" t="s">
        <v>753</v>
      </c>
      <c r="AC164" s="86">
        <v>0</v>
      </c>
      <c r="AD164" s="86"/>
      <c r="AE164" s="86" t="s">
        <v>382</v>
      </c>
    </row>
    <row r="165" spans="1:31" s="18" customFormat="1" ht="15.75" x14ac:dyDescent="0.25">
      <c r="A165" s="80">
        <v>4</v>
      </c>
      <c r="B165" s="90">
        <v>46196</v>
      </c>
      <c r="C165" s="86" t="s">
        <v>379</v>
      </c>
      <c r="D165" s="86" t="s">
        <v>49</v>
      </c>
      <c r="E165" s="86" t="s">
        <v>561</v>
      </c>
      <c r="F165" s="86">
        <v>5</v>
      </c>
      <c r="G165" s="86" t="s">
        <v>562</v>
      </c>
      <c r="H165" s="86" t="s">
        <v>390</v>
      </c>
      <c r="I165" s="86">
        <v>230</v>
      </c>
      <c r="J165" s="86"/>
      <c r="K165" s="86" t="s">
        <v>550</v>
      </c>
      <c r="L165" s="86"/>
      <c r="M165" s="86"/>
      <c r="N165" s="86" t="s">
        <v>169</v>
      </c>
      <c r="O165" s="86" t="s">
        <v>517</v>
      </c>
      <c r="P165" s="86" t="s">
        <v>518</v>
      </c>
      <c r="Q165" s="86" t="s">
        <v>373</v>
      </c>
      <c r="R165" s="86" t="s">
        <v>374</v>
      </c>
      <c r="S165" s="86" t="s">
        <v>386</v>
      </c>
      <c r="T165" s="86" t="s">
        <v>169</v>
      </c>
      <c r="U165" s="86" t="s">
        <v>764</v>
      </c>
      <c r="V165" s="86"/>
      <c r="W165" s="86"/>
      <c r="X165" s="86"/>
      <c r="Y165" s="86">
        <v>86</v>
      </c>
      <c r="Z165" s="86"/>
      <c r="AA165" s="86"/>
      <c r="AB165" s="86" t="s">
        <v>753</v>
      </c>
      <c r="AC165" s="86">
        <v>0</v>
      </c>
      <c r="AD165" s="86"/>
      <c r="AE165" s="86" t="s">
        <v>382</v>
      </c>
    </row>
    <row r="166" spans="1:31" s="18" customFormat="1" ht="15.75" x14ac:dyDescent="0.25">
      <c r="A166" s="80">
        <v>4</v>
      </c>
      <c r="B166" s="90">
        <v>46196</v>
      </c>
      <c r="C166" s="86" t="s">
        <v>387</v>
      </c>
      <c r="D166" s="86" t="s">
        <v>57</v>
      </c>
      <c r="E166" s="86" t="s">
        <v>627</v>
      </c>
      <c r="F166" s="86">
        <v>54</v>
      </c>
      <c r="G166" s="86" t="s">
        <v>628</v>
      </c>
      <c r="H166" s="86" t="s">
        <v>390</v>
      </c>
      <c r="I166" s="86">
        <v>230</v>
      </c>
      <c r="J166" s="86"/>
      <c r="K166" s="86" t="s">
        <v>512</v>
      </c>
      <c r="L166" s="86"/>
      <c r="M166" s="86"/>
      <c r="N166" s="86" t="s">
        <v>169</v>
      </c>
      <c r="O166" s="86" t="s">
        <v>629</v>
      </c>
      <c r="P166" s="86" t="s">
        <v>630</v>
      </c>
      <c r="Q166" s="86" t="s">
        <v>373</v>
      </c>
      <c r="R166" s="86" t="s">
        <v>539</v>
      </c>
      <c r="S166" s="86" t="s">
        <v>386</v>
      </c>
      <c r="T166" s="86" t="s">
        <v>169</v>
      </c>
      <c r="U166" s="86" t="s">
        <v>765</v>
      </c>
      <c r="V166" s="86"/>
      <c r="W166" s="86"/>
      <c r="X166" s="86"/>
      <c r="Y166" s="86">
        <v>87</v>
      </c>
      <c r="Z166" s="86"/>
      <c r="AA166" s="86"/>
      <c r="AB166" s="86" t="s">
        <v>753</v>
      </c>
      <c r="AC166" s="86">
        <v>0</v>
      </c>
      <c r="AD166" s="86"/>
      <c r="AE166" s="86" t="s">
        <v>382</v>
      </c>
    </row>
    <row r="167" spans="1:31" s="18" customFormat="1" ht="15.75" x14ac:dyDescent="0.25">
      <c r="A167" s="80">
        <v>4</v>
      </c>
      <c r="B167" s="90">
        <v>46196</v>
      </c>
      <c r="C167" s="86" t="s">
        <v>388</v>
      </c>
      <c r="D167" s="86" t="s">
        <v>30</v>
      </c>
      <c r="E167" s="86" t="s">
        <v>524</v>
      </c>
      <c r="F167" s="86">
        <v>5</v>
      </c>
      <c r="G167" s="86" t="s">
        <v>511</v>
      </c>
      <c r="H167" s="86" t="s">
        <v>385</v>
      </c>
      <c r="I167" s="86">
        <v>100</v>
      </c>
      <c r="J167" s="86"/>
      <c r="K167" s="86" t="s">
        <v>506</v>
      </c>
      <c r="L167" s="86"/>
      <c r="M167" s="86"/>
      <c r="N167" s="86" t="s">
        <v>525</v>
      </c>
      <c r="O167" s="86" t="s">
        <v>526</v>
      </c>
      <c r="P167" s="86" t="s">
        <v>527</v>
      </c>
      <c r="Q167" s="86" t="s">
        <v>528</v>
      </c>
      <c r="R167" s="86" t="s">
        <v>374</v>
      </c>
      <c r="S167" s="86" t="s">
        <v>386</v>
      </c>
      <c r="T167" s="86" t="s">
        <v>386</v>
      </c>
      <c r="U167" s="86" t="s">
        <v>766</v>
      </c>
      <c r="V167" s="86"/>
      <c r="W167" s="86"/>
      <c r="X167" s="86"/>
      <c r="Y167" s="86">
        <v>88</v>
      </c>
      <c r="Z167" s="86"/>
      <c r="AA167" s="86"/>
      <c r="AB167" s="86" t="s">
        <v>753</v>
      </c>
      <c r="AC167" s="86">
        <v>0</v>
      </c>
      <c r="AD167" s="86"/>
      <c r="AE167" s="86" t="s">
        <v>382</v>
      </c>
    </row>
    <row r="168" spans="1:31" s="18" customFormat="1" ht="15.75" x14ac:dyDescent="0.25">
      <c r="A168" s="80">
        <v>4</v>
      </c>
      <c r="B168" s="90">
        <v>46197</v>
      </c>
      <c r="C168" s="86" t="s">
        <v>372</v>
      </c>
      <c r="D168" s="86" t="s">
        <v>30</v>
      </c>
      <c r="E168" s="86" t="s">
        <v>524</v>
      </c>
      <c r="F168" s="86">
        <v>103</v>
      </c>
      <c r="G168" s="86" t="s">
        <v>511</v>
      </c>
      <c r="H168" s="86" t="s">
        <v>385</v>
      </c>
      <c r="I168" s="86">
        <v>100</v>
      </c>
      <c r="J168" s="86"/>
      <c r="K168" s="86" t="s">
        <v>506</v>
      </c>
      <c r="L168" s="86"/>
      <c r="M168" s="86"/>
      <c r="N168" s="86" t="s">
        <v>525</v>
      </c>
      <c r="O168" s="86" t="s">
        <v>526</v>
      </c>
      <c r="P168" s="86" t="s">
        <v>527</v>
      </c>
      <c r="Q168" s="86" t="s">
        <v>528</v>
      </c>
      <c r="R168" s="86" t="s">
        <v>374</v>
      </c>
      <c r="S168" s="86" t="s">
        <v>386</v>
      </c>
      <c r="T168" s="86" t="s">
        <v>386</v>
      </c>
      <c r="U168" s="86" t="s">
        <v>767</v>
      </c>
      <c r="V168" s="86"/>
      <c r="W168" s="86"/>
      <c r="X168" s="86"/>
      <c r="Y168" s="86">
        <v>88</v>
      </c>
      <c r="Z168" s="86"/>
      <c r="AA168" s="86"/>
      <c r="AB168" s="86" t="s">
        <v>753</v>
      </c>
      <c r="AC168" s="86">
        <v>0</v>
      </c>
      <c r="AD168" s="86"/>
      <c r="AE168" s="86" t="s">
        <v>382</v>
      </c>
    </row>
    <row r="169" spans="1:31" s="18" customFormat="1" ht="15.75" x14ac:dyDescent="0.25">
      <c r="A169" s="80">
        <v>4</v>
      </c>
      <c r="B169" s="90">
        <v>46197</v>
      </c>
      <c r="C169" s="86" t="s">
        <v>377</v>
      </c>
      <c r="D169" s="86" t="s">
        <v>25</v>
      </c>
      <c r="E169" s="86" t="s">
        <v>514</v>
      </c>
      <c r="F169" s="86">
        <v>43</v>
      </c>
      <c r="G169" s="86" t="s">
        <v>515</v>
      </c>
      <c r="H169" s="86" t="s">
        <v>385</v>
      </c>
      <c r="I169" s="86">
        <v>100</v>
      </c>
      <c r="J169" s="86"/>
      <c r="K169" s="86" t="s">
        <v>512</v>
      </c>
      <c r="L169" s="86"/>
      <c r="M169" s="86"/>
      <c r="N169" s="86" t="s">
        <v>507</v>
      </c>
      <c r="O169" s="86" t="s">
        <v>508</v>
      </c>
      <c r="P169" s="86" t="s">
        <v>509</v>
      </c>
      <c r="Q169" s="86" t="s">
        <v>510</v>
      </c>
      <c r="R169" s="86" t="s">
        <v>374</v>
      </c>
      <c r="S169" s="86" t="s">
        <v>386</v>
      </c>
      <c r="T169" s="86" t="s">
        <v>386</v>
      </c>
      <c r="U169" s="86" t="s">
        <v>768</v>
      </c>
      <c r="V169" s="86"/>
      <c r="W169" s="86"/>
      <c r="X169" s="86"/>
      <c r="Y169" s="86">
        <v>89</v>
      </c>
      <c r="Z169" s="86"/>
      <c r="AA169" s="86"/>
      <c r="AB169" s="86" t="s">
        <v>753</v>
      </c>
      <c r="AC169" s="86">
        <v>0</v>
      </c>
      <c r="AD169" s="86"/>
      <c r="AE169" s="86" t="s">
        <v>382</v>
      </c>
    </row>
    <row r="170" spans="1:31" s="18" customFormat="1" ht="15.75" x14ac:dyDescent="0.25">
      <c r="A170" s="80">
        <v>4</v>
      </c>
      <c r="B170" s="90">
        <v>46197</v>
      </c>
      <c r="C170" s="86" t="s">
        <v>378</v>
      </c>
      <c r="D170" s="86" t="s">
        <v>38</v>
      </c>
      <c r="E170" s="86" t="s">
        <v>530</v>
      </c>
      <c r="F170" s="86">
        <v>29</v>
      </c>
      <c r="G170" s="86" t="s">
        <v>531</v>
      </c>
      <c r="H170" s="86" t="s">
        <v>390</v>
      </c>
      <c r="I170" s="86">
        <v>230</v>
      </c>
      <c r="J170" s="86"/>
      <c r="K170" s="86" t="s">
        <v>506</v>
      </c>
      <c r="L170" s="86"/>
      <c r="M170" s="86"/>
      <c r="N170" s="86" t="s">
        <v>169</v>
      </c>
      <c r="O170" s="86" t="s">
        <v>517</v>
      </c>
      <c r="P170" s="86" t="s">
        <v>532</v>
      </c>
      <c r="Q170" s="86" t="s">
        <v>373</v>
      </c>
      <c r="R170" s="86" t="s">
        <v>374</v>
      </c>
      <c r="S170" s="86" t="s">
        <v>386</v>
      </c>
      <c r="T170" s="86" t="s">
        <v>169</v>
      </c>
      <c r="U170" s="86" t="s">
        <v>769</v>
      </c>
      <c r="V170" s="86"/>
      <c r="W170" s="86"/>
      <c r="X170" s="86"/>
      <c r="Y170" s="86">
        <v>90</v>
      </c>
      <c r="Z170" s="86"/>
      <c r="AA170" s="86"/>
      <c r="AB170" s="86" t="s">
        <v>753</v>
      </c>
      <c r="AC170" s="86">
        <v>0</v>
      </c>
      <c r="AD170" s="86"/>
      <c r="AE170" s="86" t="s">
        <v>382</v>
      </c>
    </row>
    <row r="171" spans="1:31" s="18" customFormat="1" ht="15.75" x14ac:dyDescent="0.25">
      <c r="A171" s="80">
        <v>4</v>
      </c>
      <c r="B171" s="90">
        <v>46197</v>
      </c>
      <c r="C171" s="86" t="s">
        <v>379</v>
      </c>
      <c r="D171" s="86" t="s">
        <v>49</v>
      </c>
      <c r="E171" s="86" t="s">
        <v>561</v>
      </c>
      <c r="F171" s="86">
        <v>10</v>
      </c>
      <c r="G171" s="86" t="s">
        <v>562</v>
      </c>
      <c r="H171" s="86" t="s">
        <v>390</v>
      </c>
      <c r="I171" s="86">
        <v>230</v>
      </c>
      <c r="J171" s="86"/>
      <c r="K171" s="86" t="s">
        <v>550</v>
      </c>
      <c r="L171" s="86"/>
      <c r="M171" s="86"/>
      <c r="N171" s="86" t="s">
        <v>169</v>
      </c>
      <c r="O171" s="86" t="s">
        <v>517</v>
      </c>
      <c r="P171" s="86" t="s">
        <v>518</v>
      </c>
      <c r="Q171" s="86" t="s">
        <v>373</v>
      </c>
      <c r="R171" s="86" t="s">
        <v>374</v>
      </c>
      <c r="S171" s="86" t="s">
        <v>386</v>
      </c>
      <c r="T171" s="86" t="s">
        <v>169</v>
      </c>
      <c r="U171" s="86" t="s">
        <v>770</v>
      </c>
      <c r="V171" s="86"/>
      <c r="W171" s="86"/>
      <c r="X171" s="86"/>
      <c r="Y171" s="86">
        <v>91</v>
      </c>
      <c r="Z171" s="86"/>
      <c r="AA171" s="86"/>
      <c r="AB171" s="86" t="s">
        <v>753</v>
      </c>
      <c r="AC171" s="86">
        <v>0</v>
      </c>
      <c r="AD171" s="86"/>
      <c r="AE171" s="86" t="s">
        <v>382</v>
      </c>
    </row>
    <row r="172" spans="1:31" s="18" customFormat="1" ht="15.75" x14ac:dyDescent="0.25">
      <c r="A172" s="80">
        <v>4</v>
      </c>
      <c r="B172" s="90">
        <v>46197</v>
      </c>
      <c r="C172" s="86" t="s">
        <v>387</v>
      </c>
      <c r="D172" s="86" t="s">
        <v>47</v>
      </c>
      <c r="E172" s="86" t="s">
        <v>569</v>
      </c>
      <c r="F172" s="86">
        <v>1</v>
      </c>
      <c r="G172" s="86" t="s">
        <v>505</v>
      </c>
      <c r="H172" s="86" t="s">
        <v>520</v>
      </c>
      <c r="I172" s="86">
        <v>120</v>
      </c>
      <c r="J172" s="86"/>
      <c r="K172" s="86" t="s">
        <v>550</v>
      </c>
      <c r="L172" s="86"/>
      <c r="M172" s="86"/>
      <c r="N172" s="86" t="s">
        <v>169</v>
      </c>
      <c r="O172" s="86" t="s">
        <v>517</v>
      </c>
      <c r="P172" s="86" t="s">
        <v>521</v>
      </c>
      <c r="Q172" s="86" t="s">
        <v>373</v>
      </c>
      <c r="R172" s="86" t="s">
        <v>374</v>
      </c>
      <c r="S172" s="86" t="s">
        <v>386</v>
      </c>
      <c r="T172" s="86" t="s">
        <v>169</v>
      </c>
      <c r="U172" s="86" t="s">
        <v>771</v>
      </c>
      <c r="V172" s="86"/>
      <c r="W172" s="86"/>
      <c r="X172" s="86"/>
      <c r="Y172" s="86">
        <v>92</v>
      </c>
      <c r="Z172" s="86"/>
      <c r="AA172" s="86"/>
      <c r="AB172" s="86" t="s">
        <v>753</v>
      </c>
      <c r="AC172" s="86">
        <v>0</v>
      </c>
      <c r="AD172" s="86"/>
      <c r="AE172" s="86" t="s">
        <v>382</v>
      </c>
    </row>
    <row r="173" spans="1:31" s="18" customFormat="1" ht="15.75" x14ac:dyDescent="0.25">
      <c r="A173" s="80">
        <v>4</v>
      </c>
      <c r="B173" s="90">
        <v>46197</v>
      </c>
      <c r="C173" s="86" t="s">
        <v>388</v>
      </c>
      <c r="D173" s="86" t="s">
        <v>30</v>
      </c>
      <c r="E173" s="86" t="s">
        <v>524</v>
      </c>
      <c r="F173" s="86">
        <v>20</v>
      </c>
      <c r="G173" s="86" t="s">
        <v>511</v>
      </c>
      <c r="H173" s="86" t="s">
        <v>385</v>
      </c>
      <c r="I173" s="86">
        <v>100</v>
      </c>
      <c r="J173" s="86"/>
      <c r="K173" s="86" t="s">
        <v>506</v>
      </c>
      <c r="L173" s="86"/>
      <c r="M173" s="86"/>
      <c r="N173" s="86" t="s">
        <v>525</v>
      </c>
      <c r="O173" s="86" t="s">
        <v>526</v>
      </c>
      <c r="P173" s="86" t="s">
        <v>527</v>
      </c>
      <c r="Q173" s="86" t="s">
        <v>528</v>
      </c>
      <c r="R173" s="86" t="s">
        <v>374</v>
      </c>
      <c r="S173" s="86" t="s">
        <v>386</v>
      </c>
      <c r="T173" s="86" t="s">
        <v>386</v>
      </c>
      <c r="U173" s="86" t="s">
        <v>772</v>
      </c>
      <c r="V173" s="86"/>
      <c r="W173" s="86"/>
      <c r="X173" s="86"/>
      <c r="Y173" s="86">
        <v>93</v>
      </c>
      <c r="Z173" s="86"/>
      <c r="AA173" s="86"/>
      <c r="AB173" s="86" t="s">
        <v>753</v>
      </c>
      <c r="AC173" s="86">
        <v>0</v>
      </c>
      <c r="AD173" s="86"/>
      <c r="AE173" s="86" t="s">
        <v>382</v>
      </c>
    </row>
    <row r="174" spans="1:31" s="18" customFormat="1" ht="15.75" x14ac:dyDescent="0.25">
      <c r="A174" s="80">
        <v>4</v>
      </c>
      <c r="B174" s="90">
        <v>46198</v>
      </c>
      <c r="C174" s="86" t="s">
        <v>372</v>
      </c>
      <c r="D174" s="86" t="s">
        <v>30</v>
      </c>
      <c r="E174" s="86" t="s">
        <v>524</v>
      </c>
      <c r="F174" s="86">
        <v>42</v>
      </c>
      <c r="G174" s="86" t="s">
        <v>511</v>
      </c>
      <c r="H174" s="86" t="s">
        <v>385</v>
      </c>
      <c r="I174" s="86">
        <v>100</v>
      </c>
      <c r="J174" s="86"/>
      <c r="K174" s="86" t="s">
        <v>506</v>
      </c>
      <c r="L174" s="86"/>
      <c r="M174" s="86"/>
      <c r="N174" s="86" t="s">
        <v>525</v>
      </c>
      <c r="O174" s="86" t="s">
        <v>526</v>
      </c>
      <c r="P174" s="86" t="s">
        <v>527</v>
      </c>
      <c r="Q174" s="86" t="s">
        <v>528</v>
      </c>
      <c r="R174" s="86" t="s">
        <v>374</v>
      </c>
      <c r="S174" s="86" t="s">
        <v>386</v>
      </c>
      <c r="T174" s="86" t="s">
        <v>386</v>
      </c>
      <c r="U174" s="86" t="s">
        <v>773</v>
      </c>
      <c r="V174" s="86"/>
      <c r="W174" s="86"/>
      <c r="X174" s="86"/>
      <c r="Y174" s="86">
        <v>93</v>
      </c>
      <c r="Z174" s="86"/>
      <c r="AA174" s="86"/>
      <c r="AB174" s="86" t="s">
        <v>753</v>
      </c>
      <c r="AC174" s="86">
        <v>0</v>
      </c>
      <c r="AD174" s="86"/>
      <c r="AE174" s="86" t="s">
        <v>382</v>
      </c>
    </row>
    <row r="175" spans="1:31" s="18" customFormat="1" ht="15.75" x14ac:dyDescent="0.25">
      <c r="A175" s="80">
        <v>4</v>
      </c>
      <c r="B175" s="90">
        <v>46198</v>
      </c>
      <c r="C175" s="86" t="s">
        <v>377</v>
      </c>
      <c r="D175" s="86" t="s">
        <v>38</v>
      </c>
      <c r="E175" s="86" t="s">
        <v>530</v>
      </c>
      <c r="F175" s="86">
        <v>29</v>
      </c>
      <c r="G175" s="86" t="s">
        <v>531</v>
      </c>
      <c r="H175" s="86" t="s">
        <v>390</v>
      </c>
      <c r="I175" s="86">
        <v>230</v>
      </c>
      <c r="J175" s="86"/>
      <c r="K175" s="86" t="s">
        <v>506</v>
      </c>
      <c r="L175" s="86"/>
      <c r="M175" s="86"/>
      <c r="N175" s="86" t="s">
        <v>169</v>
      </c>
      <c r="O175" s="86" t="s">
        <v>517</v>
      </c>
      <c r="P175" s="86" t="s">
        <v>532</v>
      </c>
      <c r="Q175" s="86" t="s">
        <v>373</v>
      </c>
      <c r="R175" s="86" t="s">
        <v>374</v>
      </c>
      <c r="S175" s="86" t="s">
        <v>386</v>
      </c>
      <c r="T175" s="86" t="s">
        <v>169</v>
      </c>
      <c r="U175" s="86" t="s">
        <v>774</v>
      </c>
      <c r="V175" s="86"/>
      <c r="W175" s="86"/>
      <c r="X175" s="86"/>
      <c r="Y175" s="86">
        <v>94</v>
      </c>
      <c r="Z175" s="86"/>
      <c r="AA175" s="86"/>
      <c r="AB175" s="86" t="s">
        <v>753</v>
      </c>
      <c r="AC175" s="86">
        <v>0</v>
      </c>
      <c r="AD175" s="86"/>
      <c r="AE175" s="86" t="s">
        <v>382</v>
      </c>
    </row>
    <row r="176" spans="1:31" s="18" customFormat="1" ht="15.75" x14ac:dyDescent="0.25">
      <c r="A176" s="80">
        <v>4</v>
      </c>
      <c r="B176" s="90">
        <v>46198</v>
      </c>
      <c r="C176" s="86" t="s">
        <v>378</v>
      </c>
      <c r="D176" s="86" t="s">
        <v>34</v>
      </c>
      <c r="E176" s="86" t="s">
        <v>519</v>
      </c>
      <c r="F176" s="86">
        <v>2</v>
      </c>
      <c r="G176" s="86" t="s">
        <v>511</v>
      </c>
      <c r="H176" s="86" t="s">
        <v>520</v>
      </c>
      <c r="I176" s="86">
        <v>120</v>
      </c>
      <c r="J176" s="86"/>
      <c r="K176" s="86" t="s">
        <v>506</v>
      </c>
      <c r="L176" s="86"/>
      <c r="M176" s="86"/>
      <c r="N176" s="86" t="s">
        <v>169</v>
      </c>
      <c r="O176" s="86" t="s">
        <v>517</v>
      </c>
      <c r="P176" s="86" t="s">
        <v>521</v>
      </c>
      <c r="Q176" s="86" t="s">
        <v>373</v>
      </c>
      <c r="R176" s="86" t="s">
        <v>374</v>
      </c>
      <c r="S176" s="86" t="s">
        <v>386</v>
      </c>
      <c r="T176" s="86" t="s">
        <v>169</v>
      </c>
      <c r="U176" s="86" t="s">
        <v>775</v>
      </c>
      <c r="V176" s="86"/>
      <c r="W176" s="86"/>
      <c r="X176" s="86"/>
      <c r="Y176" s="86">
        <v>95</v>
      </c>
      <c r="Z176" s="86"/>
      <c r="AA176" s="86"/>
      <c r="AB176" s="86" t="s">
        <v>753</v>
      </c>
      <c r="AC176" s="86">
        <v>0</v>
      </c>
      <c r="AD176" s="86"/>
      <c r="AE176" s="86" t="s">
        <v>382</v>
      </c>
    </row>
    <row r="177" spans="1:31" s="18" customFormat="1" ht="15.75" x14ac:dyDescent="0.25">
      <c r="A177" s="80">
        <v>4</v>
      </c>
      <c r="B177" s="90">
        <v>46198</v>
      </c>
      <c r="C177" s="86" t="s">
        <v>379</v>
      </c>
      <c r="D177" s="86" t="s">
        <v>44</v>
      </c>
      <c r="E177" s="86" t="s">
        <v>688</v>
      </c>
      <c r="F177" s="86">
        <v>1</v>
      </c>
      <c r="G177" s="86" t="s">
        <v>513</v>
      </c>
      <c r="H177" s="86" t="s">
        <v>520</v>
      </c>
      <c r="I177" s="86">
        <v>120</v>
      </c>
      <c r="J177" s="86"/>
      <c r="K177" s="86" t="s">
        <v>550</v>
      </c>
      <c r="L177" s="86"/>
      <c r="M177" s="86"/>
      <c r="N177" s="86" t="s">
        <v>169</v>
      </c>
      <c r="O177" s="86" t="s">
        <v>517</v>
      </c>
      <c r="P177" s="86" t="s">
        <v>521</v>
      </c>
      <c r="Q177" s="86" t="s">
        <v>373</v>
      </c>
      <c r="R177" s="86" t="s">
        <v>374</v>
      </c>
      <c r="S177" s="86" t="s">
        <v>386</v>
      </c>
      <c r="T177" s="86" t="s">
        <v>169</v>
      </c>
      <c r="U177" s="86" t="s">
        <v>776</v>
      </c>
      <c r="V177" s="86"/>
      <c r="W177" s="86"/>
      <c r="X177" s="86"/>
      <c r="Y177" s="86">
        <v>96</v>
      </c>
      <c r="Z177" s="86"/>
      <c r="AA177" s="86"/>
      <c r="AB177" s="86" t="s">
        <v>753</v>
      </c>
      <c r="AC177" s="86">
        <v>0</v>
      </c>
      <c r="AD177" s="86"/>
      <c r="AE177" s="86" t="s">
        <v>382</v>
      </c>
    </row>
    <row r="178" spans="1:31" s="18" customFormat="1" ht="15.75" x14ac:dyDescent="0.25">
      <c r="A178" s="80">
        <v>4</v>
      </c>
      <c r="B178" s="90">
        <v>46198</v>
      </c>
      <c r="C178" s="86" t="s">
        <v>387</v>
      </c>
      <c r="D178" s="86" t="s">
        <v>57</v>
      </c>
      <c r="E178" s="86" t="s">
        <v>627</v>
      </c>
      <c r="F178" s="86">
        <v>27</v>
      </c>
      <c r="G178" s="86" t="s">
        <v>628</v>
      </c>
      <c r="H178" s="86" t="s">
        <v>390</v>
      </c>
      <c r="I178" s="86">
        <v>230</v>
      </c>
      <c r="J178" s="86"/>
      <c r="K178" s="86" t="s">
        <v>512</v>
      </c>
      <c r="L178" s="86"/>
      <c r="M178" s="86"/>
      <c r="N178" s="86" t="s">
        <v>169</v>
      </c>
      <c r="O178" s="86" t="s">
        <v>629</v>
      </c>
      <c r="P178" s="86" t="s">
        <v>630</v>
      </c>
      <c r="Q178" s="86" t="s">
        <v>373</v>
      </c>
      <c r="R178" s="86" t="s">
        <v>539</v>
      </c>
      <c r="S178" s="86" t="s">
        <v>386</v>
      </c>
      <c r="T178" s="86" t="s">
        <v>169</v>
      </c>
      <c r="U178" s="86" t="s">
        <v>777</v>
      </c>
      <c r="V178" s="86"/>
      <c r="W178" s="86"/>
      <c r="X178" s="86"/>
      <c r="Y178" s="86">
        <v>97</v>
      </c>
      <c r="Z178" s="86"/>
      <c r="AA178" s="86"/>
      <c r="AB178" s="86" t="s">
        <v>753</v>
      </c>
      <c r="AC178" s="86">
        <v>0</v>
      </c>
      <c r="AD178" s="86"/>
      <c r="AE178" s="86" t="s">
        <v>382</v>
      </c>
    </row>
    <row r="179" spans="1:31" s="18" customFormat="1" ht="15.75" x14ac:dyDescent="0.25">
      <c r="A179" s="80">
        <v>4</v>
      </c>
      <c r="B179" s="90">
        <v>46198</v>
      </c>
      <c r="C179" s="86" t="s">
        <v>388</v>
      </c>
      <c r="D179" s="86" t="s">
        <v>25</v>
      </c>
      <c r="E179" s="86" t="s">
        <v>514</v>
      </c>
      <c r="F179" s="86">
        <v>68</v>
      </c>
      <c r="G179" s="86" t="s">
        <v>515</v>
      </c>
      <c r="H179" s="86" t="s">
        <v>385</v>
      </c>
      <c r="I179" s="86">
        <v>100</v>
      </c>
      <c r="J179" s="86"/>
      <c r="K179" s="86" t="s">
        <v>512</v>
      </c>
      <c r="L179" s="86"/>
      <c r="M179" s="86"/>
      <c r="N179" s="86" t="s">
        <v>507</v>
      </c>
      <c r="O179" s="86" t="s">
        <v>508</v>
      </c>
      <c r="P179" s="86" t="s">
        <v>509</v>
      </c>
      <c r="Q179" s="86" t="s">
        <v>510</v>
      </c>
      <c r="R179" s="86" t="s">
        <v>374</v>
      </c>
      <c r="S179" s="86" t="s">
        <v>386</v>
      </c>
      <c r="T179" s="86" t="s">
        <v>386</v>
      </c>
      <c r="U179" s="86" t="s">
        <v>778</v>
      </c>
      <c r="V179" s="86"/>
      <c r="W179" s="86"/>
      <c r="X179" s="86"/>
      <c r="Y179" s="86">
        <v>98</v>
      </c>
      <c r="Z179" s="86"/>
      <c r="AA179" s="86"/>
      <c r="AB179" s="86" t="s">
        <v>753</v>
      </c>
      <c r="AC179" s="86">
        <v>0</v>
      </c>
      <c r="AD179" s="86"/>
      <c r="AE179" s="86" t="s">
        <v>382</v>
      </c>
    </row>
    <row r="180" spans="1:31" s="18" customFormat="1" ht="15.75" x14ac:dyDescent="0.25">
      <c r="A180" s="80">
        <v>4</v>
      </c>
      <c r="B180" s="90">
        <v>46199</v>
      </c>
      <c r="C180" s="86" t="s">
        <v>372</v>
      </c>
      <c r="D180" s="86" t="s">
        <v>25</v>
      </c>
      <c r="E180" s="86" t="s">
        <v>514</v>
      </c>
      <c r="F180" s="86">
        <v>18</v>
      </c>
      <c r="G180" s="86" t="s">
        <v>515</v>
      </c>
      <c r="H180" s="86" t="s">
        <v>385</v>
      </c>
      <c r="I180" s="86">
        <v>100</v>
      </c>
      <c r="J180" s="86"/>
      <c r="K180" s="86" t="s">
        <v>512</v>
      </c>
      <c r="L180" s="86"/>
      <c r="M180" s="86"/>
      <c r="N180" s="86" t="s">
        <v>507</v>
      </c>
      <c r="O180" s="86" t="s">
        <v>508</v>
      </c>
      <c r="P180" s="86" t="s">
        <v>509</v>
      </c>
      <c r="Q180" s="86" t="s">
        <v>510</v>
      </c>
      <c r="R180" s="86" t="s">
        <v>374</v>
      </c>
      <c r="S180" s="86" t="s">
        <v>386</v>
      </c>
      <c r="T180" s="86" t="s">
        <v>386</v>
      </c>
      <c r="U180" s="86" t="s">
        <v>779</v>
      </c>
      <c r="V180" s="86"/>
      <c r="W180" s="86"/>
      <c r="X180" s="86"/>
      <c r="Y180" s="86">
        <v>98</v>
      </c>
      <c r="Z180" s="86"/>
      <c r="AA180" s="86"/>
      <c r="AB180" s="86" t="s">
        <v>753</v>
      </c>
      <c r="AC180" s="86">
        <v>0</v>
      </c>
      <c r="AD180" s="86"/>
      <c r="AE180" s="86" t="s">
        <v>382</v>
      </c>
    </row>
    <row r="181" spans="1:31" s="18" customFormat="1" ht="15.75" x14ac:dyDescent="0.25">
      <c r="A181" s="80">
        <v>4</v>
      </c>
      <c r="B181" s="90">
        <v>46199</v>
      </c>
      <c r="C181" s="86" t="s">
        <v>377</v>
      </c>
      <c r="D181" s="86" t="s">
        <v>58</v>
      </c>
      <c r="E181" s="86" t="s">
        <v>673</v>
      </c>
      <c r="F181" s="86">
        <v>3</v>
      </c>
      <c r="G181" s="86" t="s">
        <v>628</v>
      </c>
      <c r="H181" s="86" t="s">
        <v>520</v>
      </c>
      <c r="I181" s="86">
        <v>120</v>
      </c>
      <c r="J181" s="86"/>
      <c r="K181" s="86" t="s">
        <v>512</v>
      </c>
      <c r="L181" s="86"/>
      <c r="M181" s="86"/>
      <c r="N181" s="86" t="s">
        <v>635</v>
      </c>
      <c r="O181" s="86" t="s">
        <v>636</v>
      </c>
      <c r="P181" s="86" t="s">
        <v>674</v>
      </c>
      <c r="Q181" s="86" t="s">
        <v>638</v>
      </c>
      <c r="R181" s="86" t="s">
        <v>539</v>
      </c>
      <c r="S181" s="86" t="s">
        <v>386</v>
      </c>
      <c r="T181" s="86" t="s">
        <v>169</v>
      </c>
      <c r="U181" s="86" t="s">
        <v>780</v>
      </c>
      <c r="V181" s="86"/>
      <c r="W181" s="86"/>
      <c r="X181" s="86"/>
      <c r="Y181" s="86">
        <v>99</v>
      </c>
      <c r="Z181" s="86"/>
      <c r="AA181" s="86"/>
      <c r="AB181" s="86" t="s">
        <v>753</v>
      </c>
      <c r="AC181" s="86">
        <v>0</v>
      </c>
      <c r="AD181" s="86"/>
      <c r="AE181" s="86" t="s">
        <v>382</v>
      </c>
    </row>
    <row r="182" spans="1:31" s="18" customFormat="1" ht="15.75" x14ac:dyDescent="0.25">
      <c r="A182" s="80">
        <v>4</v>
      </c>
      <c r="B182" s="90">
        <v>46199</v>
      </c>
      <c r="C182" s="86" t="s">
        <v>378</v>
      </c>
      <c r="D182" s="86" t="s">
        <v>49</v>
      </c>
      <c r="E182" s="86" t="s">
        <v>561</v>
      </c>
      <c r="F182" s="86">
        <v>5</v>
      </c>
      <c r="G182" s="86" t="s">
        <v>562</v>
      </c>
      <c r="H182" s="86" t="s">
        <v>390</v>
      </c>
      <c r="I182" s="86">
        <v>230</v>
      </c>
      <c r="J182" s="86"/>
      <c r="K182" s="86" t="s">
        <v>550</v>
      </c>
      <c r="L182" s="86"/>
      <c r="M182" s="86"/>
      <c r="N182" s="86" t="s">
        <v>169</v>
      </c>
      <c r="O182" s="86" t="s">
        <v>517</v>
      </c>
      <c r="P182" s="86" t="s">
        <v>518</v>
      </c>
      <c r="Q182" s="86" t="s">
        <v>373</v>
      </c>
      <c r="R182" s="86" t="s">
        <v>374</v>
      </c>
      <c r="S182" s="86" t="s">
        <v>386</v>
      </c>
      <c r="T182" s="86" t="s">
        <v>169</v>
      </c>
      <c r="U182" s="86" t="s">
        <v>781</v>
      </c>
      <c r="V182" s="86"/>
      <c r="W182" s="86"/>
      <c r="X182" s="86"/>
      <c r="Y182" s="86">
        <v>100</v>
      </c>
      <c r="Z182" s="86"/>
      <c r="AA182" s="86"/>
      <c r="AB182" s="86" t="s">
        <v>753</v>
      </c>
      <c r="AC182" s="86">
        <v>0</v>
      </c>
      <c r="AD182" s="86"/>
      <c r="AE182" s="86" t="s">
        <v>382</v>
      </c>
    </row>
    <row r="183" spans="1:31" s="18" customFormat="1" ht="15.75" x14ac:dyDescent="0.25">
      <c r="A183" s="80">
        <v>4</v>
      </c>
      <c r="B183" s="90">
        <v>46199</v>
      </c>
      <c r="C183" s="86" t="s">
        <v>379</v>
      </c>
      <c r="D183" s="86" t="s">
        <v>57</v>
      </c>
      <c r="E183" s="86" t="s">
        <v>627</v>
      </c>
      <c r="F183" s="86">
        <v>27</v>
      </c>
      <c r="G183" s="86" t="s">
        <v>628</v>
      </c>
      <c r="H183" s="86" t="s">
        <v>390</v>
      </c>
      <c r="I183" s="86">
        <v>230</v>
      </c>
      <c r="J183" s="86"/>
      <c r="K183" s="86" t="s">
        <v>512</v>
      </c>
      <c r="L183" s="86"/>
      <c r="M183" s="86"/>
      <c r="N183" s="86" t="s">
        <v>169</v>
      </c>
      <c r="O183" s="86" t="s">
        <v>629</v>
      </c>
      <c r="P183" s="86" t="s">
        <v>630</v>
      </c>
      <c r="Q183" s="86" t="s">
        <v>373</v>
      </c>
      <c r="R183" s="86" t="s">
        <v>539</v>
      </c>
      <c r="S183" s="86" t="s">
        <v>386</v>
      </c>
      <c r="T183" s="86" t="s">
        <v>169</v>
      </c>
      <c r="U183" s="86" t="s">
        <v>782</v>
      </c>
      <c r="V183" s="86"/>
      <c r="W183" s="86"/>
      <c r="X183" s="86"/>
      <c r="Y183" s="86">
        <v>101</v>
      </c>
      <c r="Z183" s="86"/>
      <c r="AA183" s="86"/>
      <c r="AB183" s="86" t="s">
        <v>753</v>
      </c>
      <c r="AC183" s="86">
        <v>0</v>
      </c>
      <c r="AD183" s="86"/>
      <c r="AE183" s="86" t="s">
        <v>382</v>
      </c>
    </row>
    <row r="184" spans="1:31" s="18" customFormat="1" ht="15.75" x14ac:dyDescent="0.25">
      <c r="A184" s="80">
        <v>4</v>
      </c>
      <c r="B184" s="90">
        <v>46199</v>
      </c>
      <c r="C184" s="86" t="s">
        <v>387</v>
      </c>
      <c r="D184" s="86" t="s">
        <v>38</v>
      </c>
      <c r="E184" s="86" t="s">
        <v>530</v>
      </c>
      <c r="F184" s="86">
        <v>28</v>
      </c>
      <c r="G184" s="86" t="s">
        <v>531</v>
      </c>
      <c r="H184" s="86" t="s">
        <v>390</v>
      </c>
      <c r="I184" s="86">
        <v>230</v>
      </c>
      <c r="J184" s="86"/>
      <c r="K184" s="86" t="s">
        <v>506</v>
      </c>
      <c r="L184" s="86"/>
      <c r="M184" s="86"/>
      <c r="N184" s="86" t="s">
        <v>169</v>
      </c>
      <c r="O184" s="86" t="s">
        <v>517</v>
      </c>
      <c r="P184" s="86" t="s">
        <v>532</v>
      </c>
      <c r="Q184" s="86" t="s">
        <v>373</v>
      </c>
      <c r="R184" s="86" t="s">
        <v>374</v>
      </c>
      <c r="S184" s="86" t="s">
        <v>386</v>
      </c>
      <c r="T184" s="86" t="s">
        <v>169</v>
      </c>
      <c r="U184" s="86" t="s">
        <v>783</v>
      </c>
      <c r="V184" s="86"/>
      <c r="W184" s="86"/>
      <c r="X184" s="86"/>
      <c r="Y184" s="86">
        <v>102</v>
      </c>
      <c r="Z184" s="86"/>
      <c r="AA184" s="86"/>
      <c r="AB184" s="86" t="s">
        <v>753</v>
      </c>
      <c r="AC184" s="86">
        <v>0</v>
      </c>
      <c r="AD184" s="86"/>
      <c r="AE184" s="86" t="s">
        <v>382</v>
      </c>
    </row>
    <row r="185" spans="1:31" s="18" customFormat="1" ht="15.75" x14ac:dyDescent="0.25">
      <c r="A185" s="80">
        <v>4</v>
      </c>
      <c r="B185" s="90">
        <v>46199</v>
      </c>
      <c r="C185" s="86" t="s">
        <v>388</v>
      </c>
      <c r="D185" s="86" t="s">
        <v>47</v>
      </c>
      <c r="E185" s="86" t="s">
        <v>569</v>
      </c>
      <c r="F185" s="86">
        <v>3</v>
      </c>
      <c r="G185" s="86" t="s">
        <v>505</v>
      </c>
      <c r="H185" s="86" t="s">
        <v>520</v>
      </c>
      <c r="I185" s="86">
        <v>120</v>
      </c>
      <c r="J185" s="86"/>
      <c r="K185" s="86" t="s">
        <v>550</v>
      </c>
      <c r="L185" s="86"/>
      <c r="M185" s="86"/>
      <c r="N185" s="86" t="s">
        <v>169</v>
      </c>
      <c r="O185" s="86" t="s">
        <v>517</v>
      </c>
      <c r="P185" s="86" t="s">
        <v>521</v>
      </c>
      <c r="Q185" s="86" t="s">
        <v>373</v>
      </c>
      <c r="R185" s="86" t="s">
        <v>374</v>
      </c>
      <c r="S185" s="86" t="s">
        <v>386</v>
      </c>
      <c r="T185" s="86" t="s">
        <v>169</v>
      </c>
      <c r="U185" s="86" t="s">
        <v>784</v>
      </c>
      <c r="V185" s="86"/>
      <c r="W185" s="86"/>
      <c r="X185" s="86"/>
      <c r="Y185" s="86">
        <v>103</v>
      </c>
      <c r="Z185" s="86"/>
      <c r="AA185" s="86"/>
      <c r="AB185" s="86" t="s">
        <v>753</v>
      </c>
      <c r="AC185" s="86">
        <v>0</v>
      </c>
      <c r="AD185" s="86"/>
      <c r="AE185" s="86" t="s">
        <v>382</v>
      </c>
    </row>
    <row r="186" spans="1:31" s="18" customFormat="1" ht="15.75" x14ac:dyDescent="0.25">
      <c r="A186" s="80">
        <v>4</v>
      </c>
      <c r="B186" s="90">
        <v>46199</v>
      </c>
      <c r="C186" s="86" t="s">
        <v>389</v>
      </c>
      <c r="D186" s="86" t="s">
        <v>30</v>
      </c>
      <c r="E186" s="86" t="s">
        <v>524</v>
      </c>
      <c r="F186" s="86">
        <v>83</v>
      </c>
      <c r="G186" s="86" t="s">
        <v>511</v>
      </c>
      <c r="H186" s="86" t="s">
        <v>385</v>
      </c>
      <c r="I186" s="86">
        <v>100</v>
      </c>
      <c r="J186" s="86"/>
      <c r="K186" s="86" t="s">
        <v>506</v>
      </c>
      <c r="L186" s="86"/>
      <c r="M186" s="86"/>
      <c r="N186" s="86" t="s">
        <v>525</v>
      </c>
      <c r="O186" s="86" t="s">
        <v>526</v>
      </c>
      <c r="P186" s="86" t="s">
        <v>527</v>
      </c>
      <c r="Q186" s="86" t="s">
        <v>528</v>
      </c>
      <c r="R186" s="86" t="s">
        <v>374</v>
      </c>
      <c r="S186" s="86" t="s">
        <v>386</v>
      </c>
      <c r="T186" s="86" t="s">
        <v>386</v>
      </c>
      <c r="U186" s="86" t="s">
        <v>785</v>
      </c>
      <c r="V186" s="86"/>
      <c r="W186" s="86"/>
      <c r="X186" s="86"/>
      <c r="Y186" s="86">
        <v>104</v>
      </c>
      <c r="Z186" s="86"/>
      <c r="AA186" s="86"/>
      <c r="AB186" s="86" t="s">
        <v>753</v>
      </c>
      <c r="AC186" s="86">
        <v>0</v>
      </c>
      <c r="AD186" s="86"/>
      <c r="AE186" s="86" t="s">
        <v>382</v>
      </c>
    </row>
    <row r="187" spans="1:31" s="18" customFormat="1" ht="15.75" x14ac:dyDescent="0.25">
      <c r="A187" s="80">
        <v>4</v>
      </c>
      <c r="B187" s="90">
        <v>46202</v>
      </c>
      <c r="C187" s="86" t="s">
        <v>372</v>
      </c>
      <c r="D187" s="86" t="s">
        <v>30</v>
      </c>
      <c r="E187" s="86" t="s">
        <v>524</v>
      </c>
      <c r="F187" s="86">
        <v>50</v>
      </c>
      <c r="G187" s="86" t="s">
        <v>511</v>
      </c>
      <c r="H187" s="86" t="s">
        <v>385</v>
      </c>
      <c r="I187" s="86">
        <v>100</v>
      </c>
      <c r="J187" s="86"/>
      <c r="K187" s="86" t="s">
        <v>506</v>
      </c>
      <c r="L187" s="86"/>
      <c r="M187" s="86"/>
      <c r="N187" s="86" t="s">
        <v>525</v>
      </c>
      <c r="O187" s="86" t="s">
        <v>526</v>
      </c>
      <c r="P187" s="86" t="s">
        <v>527</v>
      </c>
      <c r="Q187" s="86" t="s">
        <v>528</v>
      </c>
      <c r="R187" s="86" t="s">
        <v>374</v>
      </c>
      <c r="S187" s="86" t="s">
        <v>386</v>
      </c>
      <c r="T187" s="86" t="s">
        <v>386</v>
      </c>
      <c r="U187" s="86" t="s">
        <v>786</v>
      </c>
      <c r="V187" s="86"/>
      <c r="W187" s="86"/>
      <c r="X187" s="86"/>
      <c r="Y187" s="86">
        <v>104</v>
      </c>
      <c r="Z187" s="86"/>
      <c r="AA187" s="86"/>
      <c r="AB187" s="86" t="s">
        <v>753</v>
      </c>
      <c r="AC187" s="86">
        <v>0</v>
      </c>
      <c r="AD187" s="86"/>
      <c r="AE187" s="86" t="s">
        <v>382</v>
      </c>
    </row>
    <row r="188" spans="1:31" s="18" customFormat="1" ht="15.75" x14ac:dyDescent="0.25">
      <c r="A188" s="80">
        <v>4</v>
      </c>
      <c r="B188" s="90">
        <v>46202</v>
      </c>
      <c r="C188" s="86" t="s">
        <v>377</v>
      </c>
      <c r="D188" s="86" t="s">
        <v>25</v>
      </c>
      <c r="E188" s="86" t="s">
        <v>514</v>
      </c>
      <c r="F188" s="86">
        <v>60</v>
      </c>
      <c r="G188" s="86" t="s">
        <v>515</v>
      </c>
      <c r="H188" s="86" t="s">
        <v>385</v>
      </c>
      <c r="I188" s="86">
        <v>100</v>
      </c>
      <c r="J188" s="86"/>
      <c r="K188" s="86" t="s">
        <v>512</v>
      </c>
      <c r="L188" s="86"/>
      <c r="M188" s="86"/>
      <c r="N188" s="86" t="s">
        <v>507</v>
      </c>
      <c r="O188" s="86" t="s">
        <v>508</v>
      </c>
      <c r="P188" s="86" t="s">
        <v>509</v>
      </c>
      <c r="Q188" s="86" t="s">
        <v>510</v>
      </c>
      <c r="R188" s="86" t="s">
        <v>374</v>
      </c>
      <c r="S188" s="86" t="s">
        <v>386</v>
      </c>
      <c r="T188" s="86" t="s">
        <v>386</v>
      </c>
      <c r="U188" s="86" t="s">
        <v>787</v>
      </c>
      <c r="V188" s="86"/>
      <c r="W188" s="86"/>
      <c r="X188" s="86"/>
      <c r="Y188" s="86">
        <v>105</v>
      </c>
      <c r="Z188" s="86"/>
      <c r="AA188" s="86"/>
      <c r="AB188" s="86" t="s">
        <v>753</v>
      </c>
      <c r="AC188" s="86">
        <v>0</v>
      </c>
      <c r="AD188" s="86"/>
      <c r="AE188" s="86" t="s">
        <v>382</v>
      </c>
    </row>
    <row r="189" spans="1:31" s="18" customFormat="1" ht="15.75" x14ac:dyDescent="0.25">
      <c r="A189" s="80">
        <v>4</v>
      </c>
      <c r="B189" s="90">
        <v>46202</v>
      </c>
      <c r="C189" s="86" t="s">
        <v>378</v>
      </c>
      <c r="D189" s="86" t="s">
        <v>22</v>
      </c>
      <c r="E189" s="86" t="s">
        <v>523</v>
      </c>
      <c r="F189" s="86">
        <v>29</v>
      </c>
      <c r="G189" s="86" t="s">
        <v>516</v>
      </c>
      <c r="H189" s="86" t="s">
        <v>385</v>
      </c>
      <c r="I189" s="86">
        <v>100</v>
      </c>
      <c r="J189" s="86"/>
      <c r="K189" s="86" t="s">
        <v>512</v>
      </c>
      <c r="L189" s="86"/>
      <c r="M189" s="86"/>
      <c r="N189" s="86" t="s">
        <v>507</v>
      </c>
      <c r="O189" s="86" t="s">
        <v>508</v>
      </c>
      <c r="P189" s="86" t="s">
        <v>509</v>
      </c>
      <c r="Q189" s="86" t="s">
        <v>510</v>
      </c>
      <c r="R189" s="86" t="s">
        <v>374</v>
      </c>
      <c r="S189" s="86" t="s">
        <v>386</v>
      </c>
      <c r="T189" s="86" t="s">
        <v>386</v>
      </c>
      <c r="U189" s="86" t="s">
        <v>788</v>
      </c>
      <c r="V189" s="86"/>
      <c r="W189" s="86"/>
      <c r="X189" s="86"/>
      <c r="Y189" s="86">
        <v>106</v>
      </c>
      <c r="Z189" s="86"/>
      <c r="AA189" s="86"/>
      <c r="AB189" s="86" t="s">
        <v>753</v>
      </c>
      <c r="AC189" s="86">
        <v>0</v>
      </c>
      <c r="AD189" s="86"/>
      <c r="AE189" s="86" t="s">
        <v>382</v>
      </c>
    </row>
    <row r="190" spans="1:31" s="18" customFormat="1" ht="15.75" x14ac:dyDescent="0.25">
      <c r="A190" s="80">
        <v>4</v>
      </c>
      <c r="B190" s="90">
        <v>46202</v>
      </c>
      <c r="C190" s="86" t="s">
        <v>379</v>
      </c>
      <c r="D190" s="86" t="s">
        <v>49</v>
      </c>
      <c r="E190" s="86" t="s">
        <v>561</v>
      </c>
      <c r="F190" s="86">
        <v>10</v>
      </c>
      <c r="G190" s="86" t="s">
        <v>562</v>
      </c>
      <c r="H190" s="86" t="s">
        <v>390</v>
      </c>
      <c r="I190" s="86">
        <v>230</v>
      </c>
      <c r="J190" s="86"/>
      <c r="K190" s="86" t="s">
        <v>550</v>
      </c>
      <c r="L190" s="86"/>
      <c r="M190" s="86"/>
      <c r="N190" s="86" t="s">
        <v>169</v>
      </c>
      <c r="O190" s="86" t="s">
        <v>517</v>
      </c>
      <c r="P190" s="86" t="s">
        <v>518</v>
      </c>
      <c r="Q190" s="86" t="s">
        <v>373</v>
      </c>
      <c r="R190" s="86" t="s">
        <v>374</v>
      </c>
      <c r="S190" s="86" t="s">
        <v>386</v>
      </c>
      <c r="T190" s="86" t="s">
        <v>169</v>
      </c>
      <c r="U190" s="86" t="s">
        <v>789</v>
      </c>
      <c r="V190" s="86"/>
      <c r="W190" s="86"/>
      <c r="X190" s="86"/>
      <c r="Y190" s="86">
        <v>107</v>
      </c>
      <c r="Z190" s="86"/>
      <c r="AA190" s="86"/>
      <c r="AB190" s="86" t="s">
        <v>753</v>
      </c>
      <c r="AC190" s="86">
        <v>0</v>
      </c>
      <c r="AD190" s="86"/>
      <c r="AE190" s="86" t="s">
        <v>382</v>
      </c>
    </row>
    <row r="191" spans="1:31" s="18" customFormat="1" ht="15.75" x14ac:dyDescent="0.25">
      <c r="A191" s="80">
        <v>4</v>
      </c>
      <c r="B191" s="90">
        <v>46202</v>
      </c>
      <c r="C191" s="86" t="s">
        <v>387</v>
      </c>
      <c r="D191" s="86" t="s">
        <v>25</v>
      </c>
      <c r="E191" s="86" t="s">
        <v>514</v>
      </c>
      <c r="F191" s="86">
        <v>25</v>
      </c>
      <c r="G191" s="86" t="s">
        <v>515</v>
      </c>
      <c r="H191" s="86" t="s">
        <v>385</v>
      </c>
      <c r="I191" s="86">
        <v>100</v>
      </c>
      <c r="J191" s="86"/>
      <c r="K191" s="86" t="s">
        <v>512</v>
      </c>
      <c r="L191" s="86"/>
      <c r="M191" s="86"/>
      <c r="N191" s="86" t="s">
        <v>507</v>
      </c>
      <c r="O191" s="86" t="s">
        <v>508</v>
      </c>
      <c r="P191" s="86" t="s">
        <v>509</v>
      </c>
      <c r="Q191" s="86" t="s">
        <v>510</v>
      </c>
      <c r="R191" s="86" t="s">
        <v>374</v>
      </c>
      <c r="S191" s="86" t="s">
        <v>386</v>
      </c>
      <c r="T191" s="86" t="s">
        <v>386</v>
      </c>
      <c r="U191" s="86" t="s">
        <v>790</v>
      </c>
      <c r="V191" s="86"/>
      <c r="W191" s="86"/>
      <c r="X191" s="86"/>
      <c r="Y191" s="86">
        <v>108</v>
      </c>
      <c r="Z191" s="86"/>
      <c r="AA191" s="86"/>
      <c r="AB191" s="86" t="s">
        <v>753</v>
      </c>
      <c r="AC191" s="86">
        <v>0</v>
      </c>
      <c r="AD191" s="86"/>
      <c r="AE191" s="86" t="s">
        <v>382</v>
      </c>
    </row>
    <row r="192" spans="1:31" s="18" customFormat="1" ht="15.75" x14ac:dyDescent="0.25">
      <c r="A192" s="80">
        <v>4</v>
      </c>
      <c r="B192" s="90">
        <v>46203</v>
      </c>
      <c r="C192" s="86" t="s">
        <v>372</v>
      </c>
      <c r="D192" s="86" t="s">
        <v>25</v>
      </c>
      <c r="E192" s="86" t="s">
        <v>514</v>
      </c>
      <c r="F192" s="86">
        <v>35</v>
      </c>
      <c r="G192" s="86" t="s">
        <v>515</v>
      </c>
      <c r="H192" s="86" t="s">
        <v>385</v>
      </c>
      <c r="I192" s="86">
        <v>100</v>
      </c>
      <c r="J192" s="86"/>
      <c r="K192" s="86" t="s">
        <v>512</v>
      </c>
      <c r="L192" s="86"/>
      <c r="M192" s="86"/>
      <c r="N192" s="86" t="s">
        <v>507</v>
      </c>
      <c r="O192" s="86" t="s">
        <v>508</v>
      </c>
      <c r="P192" s="86" t="s">
        <v>509</v>
      </c>
      <c r="Q192" s="86" t="s">
        <v>510</v>
      </c>
      <c r="R192" s="86" t="s">
        <v>374</v>
      </c>
      <c r="S192" s="86" t="s">
        <v>386</v>
      </c>
      <c r="T192" s="86" t="s">
        <v>386</v>
      </c>
      <c r="U192" s="86" t="s">
        <v>791</v>
      </c>
      <c r="V192" s="86"/>
      <c r="W192" s="86"/>
      <c r="X192" s="86"/>
      <c r="Y192" s="86">
        <v>108</v>
      </c>
      <c r="Z192" s="86"/>
      <c r="AA192" s="86"/>
      <c r="AB192" s="86" t="s">
        <v>753</v>
      </c>
      <c r="AC192" s="86">
        <v>0</v>
      </c>
      <c r="AD192" s="86"/>
      <c r="AE192" s="86" t="s">
        <v>382</v>
      </c>
    </row>
    <row r="193" spans="1:31" s="18" customFormat="1" ht="15.75" x14ac:dyDescent="0.25">
      <c r="A193" s="80">
        <v>4</v>
      </c>
      <c r="B193" s="90">
        <v>46203</v>
      </c>
      <c r="C193" s="86" t="s">
        <v>377</v>
      </c>
      <c r="D193" s="86" t="s">
        <v>30</v>
      </c>
      <c r="E193" s="86" t="s">
        <v>524</v>
      </c>
      <c r="F193" s="86">
        <v>100</v>
      </c>
      <c r="G193" s="86" t="s">
        <v>511</v>
      </c>
      <c r="H193" s="86" t="s">
        <v>385</v>
      </c>
      <c r="I193" s="86">
        <v>100</v>
      </c>
      <c r="J193" s="86"/>
      <c r="K193" s="86" t="s">
        <v>506</v>
      </c>
      <c r="L193" s="86"/>
      <c r="M193" s="86"/>
      <c r="N193" s="86" t="s">
        <v>525</v>
      </c>
      <c r="O193" s="86" t="s">
        <v>526</v>
      </c>
      <c r="P193" s="86" t="s">
        <v>527</v>
      </c>
      <c r="Q193" s="86" t="s">
        <v>528</v>
      </c>
      <c r="R193" s="86" t="s">
        <v>374</v>
      </c>
      <c r="S193" s="86" t="s">
        <v>386</v>
      </c>
      <c r="T193" s="86" t="s">
        <v>386</v>
      </c>
      <c r="U193" s="86" t="s">
        <v>792</v>
      </c>
      <c r="V193" s="86"/>
      <c r="W193" s="86"/>
      <c r="X193" s="86"/>
      <c r="Y193" s="86">
        <v>109</v>
      </c>
      <c r="Z193" s="86"/>
      <c r="AA193" s="86"/>
      <c r="AB193" s="86" t="s">
        <v>753</v>
      </c>
      <c r="AC193" s="86">
        <v>0</v>
      </c>
      <c r="AD193" s="86"/>
      <c r="AE193" s="86" t="s">
        <v>382</v>
      </c>
    </row>
    <row r="194" spans="1:31" s="18" customFormat="1" ht="15.75" x14ac:dyDescent="0.25">
      <c r="A194" s="80">
        <v>4</v>
      </c>
      <c r="B194" s="90">
        <v>46203</v>
      </c>
      <c r="C194" s="86" t="s">
        <v>378</v>
      </c>
      <c r="D194" s="86" t="s">
        <v>34</v>
      </c>
      <c r="E194" s="86" t="s">
        <v>519</v>
      </c>
      <c r="F194" s="86">
        <v>2</v>
      </c>
      <c r="G194" s="86" t="s">
        <v>511</v>
      </c>
      <c r="H194" s="86" t="s">
        <v>520</v>
      </c>
      <c r="I194" s="86">
        <v>120</v>
      </c>
      <c r="J194" s="86"/>
      <c r="K194" s="86" t="s">
        <v>506</v>
      </c>
      <c r="L194" s="86"/>
      <c r="M194" s="86"/>
      <c r="N194" s="86" t="s">
        <v>169</v>
      </c>
      <c r="O194" s="86" t="s">
        <v>517</v>
      </c>
      <c r="P194" s="86" t="s">
        <v>521</v>
      </c>
      <c r="Q194" s="86" t="s">
        <v>373</v>
      </c>
      <c r="R194" s="86" t="s">
        <v>374</v>
      </c>
      <c r="S194" s="86" t="s">
        <v>386</v>
      </c>
      <c r="T194" s="86" t="s">
        <v>169</v>
      </c>
      <c r="U194" s="86" t="s">
        <v>793</v>
      </c>
      <c r="V194" s="86"/>
      <c r="W194" s="86"/>
      <c r="X194" s="86"/>
      <c r="Y194" s="86">
        <v>110</v>
      </c>
      <c r="Z194" s="86"/>
      <c r="AA194" s="86"/>
      <c r="AB194" s="86" t="s">
        <v>753</v>
      </c>
      <c r="AC194" s="86">
        <v>0</v>
      </c>
      <c r="AD194" s="86"/>
      <c r="AE194" s="86" t="s">
        <v>382</v>
      </c>
    </row>
    <row r="195" spans="1:31" s="18" customFormat="1" ht="15.75" x14ac:dyDescent="0.25">
      <c r="A195" s="80">
        <v>4</v>
      </c>
      <c r="B195" s="90">
        <v>46203</v>
      </c>
      <c r="C195" s="86" t="s">
        <v>379</v>
      </c>
      <c r="D195" s="86" t="s">
        <v>22</v>
      </c>
      <c r="E195" s="86" t="s">
        <v>523</v>
      </c>
      <c r="F195" s="86">
        <v>58</v>
      </c>
      <c r="G195" s="86" t="s">
        <v>516</v>
      </c>
      <c r="H195" s="86" t="s">
        <v>385</v>
      </c>
      <c r="I195" s="86">
        <v>100</v>
      </c>
      <c r="J195" s="86"/>
      <c r="K195" s="86" t="s">
        <v>512</v>
      </c>
      <c r="L195" s="86"/>
      <c r="M195" s="86"/>
      <c r="N195" s="86" t="s">
        <v>507</v>
      </c>
      <c r="O195" s="86" t="s">
        <v>508</v>
      </c>
      <c r="P195" s="86" t="s">
        <v>509</v>
      </c>
      <c r="Q195" s="86" t="s">
        <v>510</v>
      </c>
      <c r="R195" s="86" t="s">
        <v>374</v>
      </c>
      <c r="S195" s="86" t="s">
        <v>386</v>
      </c>
      <c r="T195" s="86" t="s">
        <v>386</v>
      </c>
      <c r="U195" s="86" t="s">
        <v>794</v>
      </c>
      <c r="V195" s="86"/>
      <c r="W195" s="86"/>
      <c r="X195" s="86"/>
      <c r="Y195" s="86">
        <v>111</v>
      </c>
      <c r="Z195" s="86"/>
      <c r="AA195" s="86"/>
      <c r="AB195" s="86" t="s">
        <v>753</v>
      </c>
      <c r="AC195" s="86">
        <v>0</v>
      </c>
      <c r="AD195" s="86"/>
      <c r="AE195" s="86" t="s">
        <v>382</v>
      </c>
    </row>
    <row r="196" spans="1:31" s="18" customFormat="1" ht="15.75" x14ac:dyDescent="0.25">
      <c r="A196" s="80">
        <v>4</v>
      </c>
      <c r="B196" s="90">
        <v>46203</v>
      </c>
      <c r="C196" s="86" t="s">
        <v>387</v>
      </c>
      <c r="D196" s="86" t="s">
        <v>30</v>
      </c>
      <c r="E196" s="86" t="s">
        <v>524</v>
      </c>
      <c r="F196" s="86">
        <v>4</v>
      </c>
      <c r="G196" s="86" t="s">
        <v>511</v>
      </c>
      <c r="H196" s="86" t="s">
        <v>385</v>
      </c>
      <c r="I196" s="86">
        <v>100</v>
      </c>
      <c r="J196" s="86"/>
      <c r="K196" s="86" t="s">
        <v>506</v>
      </c>
      <c r="L196" s="86"/>
      <c r="M196" s="86"/>
      <c r="N196" s="86" t="s">
        <v>525</v>
      </c>
      <c r="O196" s="86" t="s">
        <v>526</v>
      </c>
      <c r="P196" s="86" t="s">
        <v>527</v>
      </c>
      <c r="Q196" s="86" t="s">
        <v>528</v>
      </c>
      <c r="R196" s="86" t="s">
        <v>374</v>
      </c>
      <c r="S196" s="86" t="s">
        <v>386</v>
      </c>
      <c r="T196" s="86" t="s">
        <v>386</v>
      </c>
      <c r="U196" s="86" t="s">
        <v>795</v>
      </c>
      <c r="V196" s="86"/>
      <c r="W196" s="86"/>
      <c r="X196" s="86"/>
      <c r="Y196" s="86">
        <v>112</v>
      </c>
      <c r="Z196" s="86"/>
      <c r="AA196" s="86"/>
      <c r="AB196" s="86" t="s">
        <v>753</v>
      </c>
      <c r="AC196" s="86">
        <v>0</v>
      </c>
      <c r="AD196" s="86"/>
      <c r="AE196" s="86" t="s">
        <v>382</v>
      </c>
    </row>
    <row r="197" spans="1:31" s="18" customFormat="1" ht="15.75" x14ac:dyDescent="0.25">
      <c r="A197" s="80">
        <v>4</v>
      </c>
      <c r="B197" s="90">
        <v>46204</v>
      </c>
      <c r="C197" s="86" t="s">
        <v>372</v>
      </c>
      <c r="D197" s="86" t="s">
        <v>30</v>
      </c>
      <c r="E197" s="86" t="s">
        <v>524</v>
      </c>
      <c r="F197" s="86">
        <v>34</v>
      </c>
      <c r="G197" s="86" t="s">
        <v>511</v>
      </c>
      <c r="H197" s="86" t="s">
        <v>385</v>
      </c>
      <c r="I197" s="86">
        <v>100</v>
      </c>
      <c r="J197" s="86"/>
      <c r="K197" s="86" t="s">
        <v>506</v>
      </c>
      <c r="L197" s="86"/>
      <c r="M197" s="86"/>
      <c r="N197" s="86" t="s">
        <v>525</v>
      </c>
      <c r="O197" s="86" t="s">
        <v>526</v>
      </c>
      <c r="P197" s="86" t="s">
        <v>527</v>
      </c>
      <c r="Q197" s="86" t="s">
        <v>528</v>
      </c>
      <c r="R197" s="86" t="s">
        <v>374</v>
      </c>
      <c r="S197" s="86" t="s">
        <v>386</v>
      </c>
      <c r="T197" s="86" t="s">
        <v>386</v>
      </c>
      <c r="U197" s="86" t="s">
        <v>796</v>
      </c>
      <c r="V197" s="86"/>
      <c r="W197" s="86"/>
      <c r="X197" s="86"/>
      <c r="Y197" s="86">
        <v>112</v>
      </c>
      <c r="Z197" s="86"/>
      <c r="AA197" s="86"/>
      <c r="AB197" s="86" t="s">
        <v>753</v>
      </c>
      <c r="AC197" s="86">
        <v>0</v>
      </c>
      <c r="AD197" s="86"/>
      <c r="AE197" s="86" t="s">
        <v>382</v>
      </c>
    </row>
    <row r="198" spans="1:31" s="18" customFormat="1" ht="15.75" x14ac:dyDescent="0.25">
      <c r="A198" s="80">
        <v>4</v>
      </c>
      <c r="B198" s="90">
        <v>46204</v>
      </c>
      <c r="C198" s="86" t="s">
        <v>377</v>
      </c>
      <c r="D198" s="86" t="s">
        <v>25</v>
      </c>
      <c r="E198" s="86" t="s">
        <v>514</v>
      </c>
      <c r="F198" s="86">
        <v>85</v>
      </c>
      <c r="G198" s="86" t="s">
        <v>515</v>
      </c>
      <c r="H198" s="86" t="s">
        <v>385</v>
      </c>
      <c r="I198" s="86">
        <v>100</v>
      </c>
      <c r="J198" s="86"/>
      <c r="K198" s="86" t="s">
        <v>512</v>
      </c>
      <c r="L198" s="86"/>
      <c r="M198" s="86"/>
      <c r="N198" s="86" t="s">
        <v>507</v>
      </c>
      <c r="O198" s="86" t="s">
        <v>508</v>
      </c>
      <c r="P198" s="86" t="s">
        <v>509</v>
      </c>
      <c r="Q198" s="86" t="s">
        <v>510</v>
      </c>
      <c r="R198" s="86" t="s">
        <v>374</v>
      </c>
      <c r="S198" s="86" t="s">
        <v>386</v>
      </c>
      <c r="T198" s="86" t="s">
        <v>386</v>
      </c>
      <c r="U198" s="86" t="s">
        <v>797</v>
      </c>
      <c r="V198" s="86"/>
      <c r="W198" s="86"/>
      <c r="X198" s="86"/>
      <c r="Y198" s="86">
        <v>113</v>
      </c>
      <c r="Z198" s="86"/>
      <c r="AA198" s="86"/>
      <c r="AB198" s="86" t="s">
        <v>753</v>
      </c>
      <c r="AC198" s="86">
        <v>0</v>
      </c>
      <c r="AD198" s="86"/>
      <c r="AE198" s="86" t="s">
        <v>382</v>
      </c>
    </row>
    <row r="199" spans="1:31" s="18" customFormat="1" ht="15.75" x14ac:dyDescent="0.25">
      <c r="A199" s="80">
        <v>4</v>
      </c>
      <c r="B199" s="90">
        <v>46204</v>
      </c>
      <c r="C199" s="86" t="s">
        <v>378</v>
      </c>
      <c r="D199" s="86" t="s">
        <v>29</v>
      </c>
      <c r="E199" s="86" t="s">
        <v>625</v>
      </c>
      <c r="F199" s="86">
        <v>4</v>
      </c>
      <c r="G199" s="86" t="s">
        <v>515</v>
      </c>
      <c r="H199" s="86" t="s">
        <v>520</v>
      </c>
      <c r="I199" s="86">
        <v>120</v>
      </c>
      <c r="J199" s="86"/>
      <c r="K199" s="86" t="s">
        <v>506</v>
      </c>
      <c r="L199" s="86"/>
      <c r="M199" s="86"/>
      <c r="N199" s="86" t="s">
        <v>169</v>
      </c>
      <c r="O199" s="86" t="s">
        <v>517</v>
      </c>
      <c r="P199" s="86" t="s">
        <v>521</v>
      </c>
      <c r="Q199" s="86" t="s">
        <v>373</v>
      </c>
      <c r="R199" s="86" t="s">
        <v>374</v>
      </c>
      <c r="S199" s="86" t="s">
        <v>386</v>
      </c>
      <c r="T199" s="86" t="s">
        <v>169</v>
      </c>
      <c r="U199" s="86" t="s">
        <v>798</v>
      </c>
      <c r="V199" s="86"/>
      <c r="W199" s="86"/>
      <c r="X199" s="86"/>
      <c r="Y199" s="86">
        <v>114</v>
      </c>
      <c r="Z199" s="86"/>
      <c r="AA199" s="86"/>
      <c r="AB199" s="86" t="s">
        <v>753</v>
      </c>
      <c r="AC199" s="86">
        <v>0</v>
      </c>
      <c r="AD199" s="86"/>
      <c r="AE199" s="86" t="s">
        <v>382</v>
      </c>
    </row>
    <row r="200" spans="1:31" s="18" customFormat="1" ht="15.75" x14ac:dyDescent="0.25">
      <c r="A200" s="80">
        <v>4</v>
      </c>
      <c r="B200" s="90">
        <v>46204</v>
      </c>
      <c r="C200" s="86" t="s">
        <v>379</v>
      </c>
      <c r="D200" s="86" t="s">
        <v>47</v>
      </c>
      <c r="E200" s="86" t="s">
        <v>569</v>
      </c>
      <c r="F200" s="86">
        <v>3</v>
      </c>
      <c r="G200" s="86" t="s">
        <v>505</v>
      </c>
      <c r="H200" s="86" t="s">
        <v>520</v>
      </c>
      <c r="I200" s="86">
        <v>120</v>
      </c>
      <c r="J200" s="86"/>
      <c r="K200" s="86" t="s">
        <v>550</v>
      </c>
      <c r="L200" s="86"/>
      <c r="M200" s="86"/>
      <c r="N200" s="86" t="s">
        <v>169</v>
      </c>
      <c r="O200" s="86" t="s">
        <v>517</v>
      </c>
      <c r="P200" s="86" t="s">
        <v>521</v>
      </c>
      <c r="Q200" s="86" t="s">
        <v>373</v>
      </c>
      <c r="R200" s="86" t="s">
        <v>374</v>
      </c>
      <c r="S200" s="86" t="s">
        <v>386</v>
      </c>
      <c r="T200" s="86" t="s">
        <v>169</v>
      </c>
      <c r="U200" s="86" t="s">
        <v>799</v>
      </c>
      <c r="V200" s="86"/>
      <c r="W200" s="86"/>
      <c r="X200" s="86"/>
      <c r="Y200" s="86">
        <v>115</v>
      </c>
      <c r="Z200" s="86"/>
      <c r="AA200" s="86"/>
      <c r="AB200" s="86" t="s">
        <v>753</v>
      </c>
      <c r="AC200" s="86">
        <v>0</v>
      </c>
      <c r="AD200" s="86"/>
      <c r="AE200" s="86" t="s">
        <v>382</v>
      </c>
    </row>
    <row r="201" spans="1:31" s="18" customFormat="1" ht="15.75" x14ac:dyDescent="0.25">
      <c r="A201" s="80">
        <v>4</v>
      </c>
      <c r="B201" s="90">
        <v>46204</v>
      </c>
      <c r="C201" s="86" t="s">
        <v>387</v>
      </c>
      <c r="D201" s="86" t="s">
        <v>58</v>
      </c>
      <c r="E201" s="86" t="s">
        <v>673</v>
      </c>
      <c r="F201" s="86">
        <v>2</v>
      </c>
      <c r="G201" s="86" t="s">
        <v>628</v>
      </c>
      <c r="H201" s="86" t="s">
        <v>520</v>
      </c>
      <c r="I201" s="86">
        <v>120</v>
      </c>
      <c r="J201" s="86"/>
      <c r="K201" s="86" t="s">
        <v>512</v>
      </c>
      <c r="L201" s="86"/>
      <c r="M201" s="86"/>
      <c r="N201" s="86" t="s">
        <v>635</v>
      </c>
      <c r="O201" s="86" t="s">
        <v>636</v>
      </c>
      <c r="P201" s="86" t="s">
        <v>674</v>
      </c>
      <c r="Q201" s="86" t="s">
        <v>638</v>
      </c>
      <c r="R201" s="86" t="s">
        <v>539</v>
      </c>
      <c r="S201" s="86" t="s">
        <v>386</v>
      </c>
      <c r="T201" s="86" t="s">
        <v>169</v>
      </c>
      <c r="U201" s="86" t="s">
        <v>800</v>
      </c>
      <c r="V201" s="86"/>
      <c r="W201" s="86"/>
      <c r="X201" s="86"/>
      <c r="Y201" s="86">
        <v>116</v>
      </c>
      <c r="Z201" s="86"/>
      <c r="AA201" s="86"/>
      <c r="AB201" s="86" t="s">
        <v>753</v>
      </c>
      <c r="AC201" s="86">
        <v>0</v>
      </c>
      <c r="AD201" s="86"/>
      <c r="AE201" s="86" t="s">
        <v>382</v>
      </c>
    </row>
    <row r="202" spans="1:31" s="18" customFormat="1" ht="15.75" x14ac:dyDescent="0.25">
      <c r="A202" s="80">
        <v>4</v>
      </c>
      <c r="B202" s="90">
        <v>46204</v>
      </c>
      <c r="C202" s="86" t="s">
        <v>388</v>
      </c>
      <c r="D202" s="86" t="s">
        <v>40</v>
      </c>
      <c r="E202" s="86" t="s">
        <v>621</v>
      </c>
      <c r="F202" s="86">
        <v>52</v>
      </c>
      <c r="G202" s="86" t="s">
        <v>622</v>
      </c>
      <c r="H202" s="86" t="s">
        <v>385</v>
      </c>
      <c r="I202" s="86">
        <v>100</v>
      </c>
      <c r="J202" s="86"/>
      <c r="K202" s="86" t="s">
        <v>506</v>
      </c>
      <c r="L202" s="86"/>
      <c r="M202" s="86"/>
      <c r="N202" s="86" t="s">
        <v>525</v>
      </c>
      <c r="O202" s="86" t="s">
        <v>526</v>
      </c>
      <c r="P202" s="86" t="s">
        <v>623</v>
      </c>
      <c r="Q202" s="86" t="s">
        <v>528</v>
      </c>
      <c r="R202" s="86" t="s">
        <v>374</v>
      </c>
      <c r="S202" s="86" t="s">
        <v>386</v>
      </c>
      <c r="T202" s="86" t="s">
        <v>386</v>
      </c>
      <c r="U202" s="86" t="s">
        <v>801</v>
      </c>
      <c r="V202" s="86"/>
      <c r="W202" s="86"/>
      <c r="X202" s="86"/>
      <c r="Y202" s="86">
        <v>117</v>
      </c>
      <c r="Z202" s="86"/>
      <c r="AA202" s="86"/>
      <c r="AB202" s="86" t="s">
        <v>753</v>
      </c>
      <c r="AC202" s="86">
        <v>0</v>
      </c>
      <c r="AD202" s="86"/>
      <c r="AE202" s="86" t="s">
        <v>382</v>
      </c>
    </row>
    <row r="203" spans="1:31" s="18" customFormat="1" ht="15.75" x14ac:dyDescent="0.25">
      <c r="A203" s="80">
        <v>4</v>
      </c>
      <c r="B203" s="90">
        <v>46204</v>
      </c>
      <c r="C203" s="86" t="s">
        <v>389</v>
      </c>
      <c r="D203" s="86" t="s">
        <v>49</v>
      </c>
      <c r="E203" s="86" t="s">
        <v>561</v>
      </c>
      <c r="F203" s="86">
        <v>10</v>
      </c>
      <c r="G203" s="86" t="s">
        <v>562</v>
      </c>
      <c r="H203" s="86" t="s">
        <v>390</v>
      </c>
      <c r="I203" s="86">
        <v>230</v>
      </c>
      <c r="J203" s="86"/>
      <c r="K203" s="86" t="s">
        <v>550</v>
      </c>
      <c r="L203" s="86"/>
      <c r="M203" s="86"/>
      <c r="N203" s="86" t="s">
        <v>169</v>
      </c>
      <c r="O203" s="86" t="s">
        <v>517</v>
      </c>
      <c r="P203" s="86" t="s">
        <v>518</v>
      </c>
      <c r="Q203" s="86" t="s">
        <v>373</v>
      </c>
      <c r="R203" s="86" t="s">
        <v>374</v>
      </c>
      <c r="S203" s="86" t="s">
        <v>386</v>
      </c>
      <c r="T203" s="86" t="s">
        <v>169</v>
      </c>
      <c r="U203" s="86" t="s">
        <v>802</v>
      </c>
      <c r="V203" s="86"/>
      <c r="W203" s="86"/>
      <c r="X203" s="86"/>
      <c r="Y203" s="86">
        <v>118</v>
      </c>
      <c r="Z203" s="86"/>
      <c r="AA203" s="86"/>
      <c r="AB203" s="86" t="s">
        <v>753</v>
      </c>
      <c r="AC203" s="86">
        <v>0</v>
      </c>
      <c r="AD203" s="86"/>
      <c r="AE203" s="86" t="s">
        <v>382</v>
      </c>
    </row>
    <row r="204" spans="1:31" s="18" customFormat="1" ht="15.75" x14ac:dyDescent="0.25">
      <c r="A204" s="80">
        <v>4</v>
      </c>
      <c r="B204" s="90">
        <v>46204</v>
      </c>
      <c r="C204" s="86" t="s">
        <v>393</v>
      </c>
      <c r="D204" s="86" t="s">
        <v>30</v>
      </c>
      <c r="E204" s="86" t="s">
        <v>524</v>
      </c>
      <c r="F204" s="86">
        <v>24</v>
      </c>
      <c r="G204" s="86" t="s">
        <v>511</v>
      </c>
      <c r="H204" s="86" t="s">
        <v>385</v>
      </c>
      <c r="I204" s="86">
        <v>100</v>
      </c>
      <c r="J204" s="86"/>
      <c r="K204" s="86" t="s">
        <v>506</v>
      </c>
      <c r="L204" s="86"/>
      <c r="M204" s="86"/>
      <c r="N204" s="86" t="s">
        <v>525</v>
      </c>
      <c r="O204" s="86" t="s">
        <v>526</v>
      </c>
      <c r="P204" s="86" t="s">
        <v>527</v>
      </c>
      <c r="Q204" s="86" t="s">
        <v>528</v>
      </c>
      <c r="R204" s="86" t="s">
        <v>374</v>
      </c>
      <c r="S204" s="86" t="s">
        <v>386</v>
      </c>
      <c r="T204" s="86" t="s">
        <v>386</v>
      </c>
      <c r="U204" s="86" t="s">
        <v>803</v>
      </c>
      <c r="V204" s="86"/>
      <c r="W204" s="86"/>
      <c r="X204" s="86"/>
      <c r="Y204" s="86">
        <v>119</v>
      </c>
      <c r="Z204" s="86"/>
      <c r="AA204" s="86"/>
      <c r="AB204" s="86" t="s">
        <v>753</v>
      </c>
      <c r="AC204" s="86">
        <v>0</v>
      </c>
      <c r="AD204" s="86"/>
      <c r="AE204" s="86" t="s">
        <v>382</v>
      </c>
    </row>
    <row r="205" spans="1:31" s="18" customFormat="1" ht="15.75" x14ac:dyDescent="0.25">
      <c r="A205" s="80">
        <v>4</v>
      </c>
      <c r="B205" s="90">
        <v>46205</v>
      </c>
      <c r="C205" s="86" t="s">
        <v>372</v>
      </c>
      <c r="D205" s="86" t="s">
        <v>30</v>
      </c>
      <c r="E205" s="86" t="s">
        <v>524</v>
      </c>
      <c r="F205" s="86">
        <v>75</v>
      </c>
      <c r="G205" s="86" t="s">
        <v>511</v>
      </c>
      <c r="H205" s="86" t="s">
        <v>385</v>
      </c>
      <c r="I205" s="86">
        <v>100</v>
      </c>
      <c r="J205" s="86"/>
      <c r="K205" s="86" t="s">
        <v>506</v>
      </c>
      <c r="L205" s="86"/>
      <c r="M205" s="86"/>
      <c r="N205" s="86" t="s">
        <v>525</v>
      </c>
      <c r="O205" s="86" t="s">
        <v>526</v>
      </c>
      <c r="P205" s="86" t="s">
        <v>527</v>
      </c>
      <c r="Q205" s="86" t="s">
        <v>528</v>
      </c>
      <c r="R205" s="86" t="s">
        <v>374</v>
      </c>
      <c r="S205" s="86" t="s">
        <v>386</v>
      </c>
      <c r="T205" s="86" t="s">
        <v>386</v>
      </c>
      <c r="U205" s="86" t="s">
        <v>804</v>
      </c>
      <c r="V205" s="86"/>
      <c r="W205" s="86"/>
      <c r="X205" s="86"/>
      <c r="Y205" s="86">
        <v>119</v>
      </c>
      <c r="Z205" s="86"/>
      <c r="AA205" s="86"/>
      <c r="AB205" s="86" t="s">
        <v>753</v>
      </c>
      <c r="AC205" s="86">
        <v>0</v>
      </c>
      <c r="AD205" s="86"/>
      <c r="AE205" s="86" t="s">
        <v>382</v>
      </c>
    </row>
    <row r="206" spans="1:31" s="18" customFormat="1" ht="15.75" x14ac:dyDescent="0.25">
      <c r="A206" s="80">
        <v>4</v>
      </c>
      <c r="B206" s="90">
        <v>46205</v>
      </c>
      <c r="C206" s="86" t="s">
        <v>377</v>
      </c>
      <c r="D206" s="86" t="s">
        <v>22</v>
      </c>
      <c r="E206" s="86" t="s">
        <v>523</v>
      </c>
      <c r="F206" s="86">
        <v>29</v>
      </c>
      <c r="G206" s="86" t="s">
        <v>516</v>
      </c>
      <c r="H206" s="86" t="s">
        <v>385</v>
      </c>
      <c r="I206" s="86">
        <v>100</v>
      </c>
      <c r="J206" s="86"/>
      <c r="K206" s="86" t="s">
        <v>512</v>
      </c>
      <c r="L206" s="86"/>
      <c r="M206" s="86"/>
      <c r="N206" s="86" t="s">
        <v>507</v>
      </c>
      <c r="O206" s="86" t="s">
        <v>508</v>
      </c>
      <c r="P206" s="86" t="s">
        <v>509</v>
      </c>
      <c r="Q206" s="86" t="s">
        <v>510</v>
      </c>
      <c r="R206" s="86" t="s">
        <v>374</v>
      </c>
      <c r="S206" s="86" t="s">
        <v>386</v>
      </c>
      <c r="T206" s="86" t="s">
        <v>386</v>
      </c>
      <c r="U206" s="86" t="s">
        <v>805</v>
      </c>
      <c r="V206" s="86"/>
      <c r="W206" s="86"/>
      <c r="X206" s="86"/>
      <c r="Y206" s="86">
        <v>120</v>
      </c>
      <c r="Z206" s="86"/>
      <c r="AA206" s="86"/>
      <c r="AB206" s="86" t="s">
        <v>753</v>
      </c>
      <c r="AC206" s="86">
        <v>0</v>
      </c>
      <c r="AD206" s="86"/>
      <c r="AE206" s="86" t="s">
        <v>382</v>
      </c>
    </row>
    <row r="207" spans="1:31" s="18" customFormat="1" ht="15.75" x14ac:dyDescent="0.25">
      <c r="A207" s="80">
        <v>4</v>
      </c>
      <c r="B207" s="90">
        <v>46205</v>
      </c>
      <c r="C207" s="86" t="s">
        <v>378</v>
      </c>
      <c r="D207" s="86" t="s">
        <v>25</v>
      </c>
      <c r="E207" s="86" t="s">
        <v>514</v>
      </c>
      <c r="F207" s="86">
        <v>82</v>
      </c>
      <c r="G207" s="86" t="s">
        <v>515</v>
      </c>
      <c r="H207" s="86" t="s">
        <v>385</v>
      </c>
      <c r="I207" s="86">
        <v>100</v>
      </c>
      <c r="J207" s="86"/>
      <c r="K207" s="86" t="s">
        <v>512</v>
      </c>
      <c r="L207" s="86"/>
      <c r="M207" s="86"/>
      <c r="N207" s="86" t="s">
        <v>507</v>
      </c>
      <c r="O207" s="86" t="s">
        <v>508</v>
      </c>
      <c r="P207" s="86" t="s">
        <v>509</v>
      </c>
      <c r="Q207" s="86" t="s">
        <v>510</v>
      </c>
      <c r="R207" s="86" t="s">
        <v>374</v>
      </c>
      <c r="S207" s="86" t="s">
        <v>386</v>
      </c>
      <c r="T207" s="86" t="s">
        <v>386</v>
      </c>
      <c r="U207" s="86" t="s">
        <v>806</v>
      </c>
      <c r="V207" s="86"/>
      <c r="W207" s="86"/>
      <c r="X207" s="86"/>
      <c r="Y207" s="86">
        <v>121</v>
      </c>
      <c r="Z207" s="86"/>
      <c r="AA207" s="86"/>
      <c r="AB207" s="86" t="s">
        <v>753</v>
      </c>
      <c r="AC207" s="86">
        <v>0</v>
      </c>
      <c r="AD207" s="86"/>
      <c r="AE207" s="86" t="s">
        <v>382</v>
      </c>
    </row>
    <row r="208" spans="1:31" s="18" customFormat="1" ht="15.75" x14ac:dyDescent="0.25">
      <c r="A208" s="80">
        <v>4</v>
      </c>
      <c r="B208" s="90">
        <v>46206</v>
      </c>
      <c r="C208" s="86" t="s">
        <v>372</v>
      </c>
      <c r="D208" s="86" t="s">
        <v>25</v>
      </c>
      <c r="E208" s="86" t="s">
        <v>514</v>
      </c>
      <c r="F208" s="86">
        <v>34</v>
      </c>
      <c r="G208" s="86" t="s">
        <v>515</v>
      </c>
      <c r="H208" s="86" t="s">
        <v>385</v>
      </c>
      <c r="I208" s="86">
        <v>100</v>
      </c>
      <c r="J208" s="86"/>
      <c r="K208" s="86" t="s">
        <v>512</v>
      </c>
      <c r="L208" s="86"/>
      <c r="M208" s="86"/>
      <c r="N208" s="86" t="s">
        <v>507</v>
      </c>
      <c r="O208" s="86" t="s">
        <v>508</v>
      </c>
      <c r="P208" s="86" t="s">
        <v>509</v>
      </c>
      <c r="Q208" s="86" t="s">
        <v>510</v>
      </c>
      <c r="R208" s="86" t="s">
        <v>374</v>
      </c>
      <c r="S208" s="86" t="s">
        <v>386</v>
      </c>
      <c r="T208" s="86" t="s">
        <v>386</v>
      </c>
      <c r="U208" s="86" t="s">
        <v>807</v>
      </c>
      <c r="V208" s="86"/>
      <c r="W208" s="86"/>
      <c r="X208" s="86"/>
      <c r="Y208" s="86">
        <v>121</v>
      </c>
      <c r="Z208" s="86"/>
      <c r="AA208" s="86"/>
      <c r="AB208" s="86" t="s">
        <v>753</v>
      </c>
      <c r="AC208" s="86">
        <v>0</v>
      </c>
      <c r="AD208" s="86"/>
      <c r="AE208" s="86" t="s">
        <v>382</v>
      </c>
    </row>
    <row r="209" spans="1:31" s="18" customFormat="1" ht="15.75" x14ac:dyDescent="0.25">
      <c r="A209" s="80">
        <v>4</v>
      </c>
      <c r="B209" s="90">
        <v>46206</v>
      </c>
      <c r="C209" s="86" t="s">
        <v>377</v>
      </c>
      <c r="D209" s="86" t="s">
        <v>49</v>
      </c>
      <c r="E209" s="86" t="s">
        <v>561</v>
      </c>
      <c r="F209" s="86">
        <v>5</v>
      </c>
      <c r="G209" s="86" t="s">
        <v>562</v>
      </c>
      <c r="H209" s="86" t="s">
        <v>390</v>
      </c>
      <c r="I209" s="86">
        <v>230</v>
      </c>
      <c r="J209" s="86"/>
      <c r="K209" s="86" t="s">
        <v>550</v>
      </c>
      <c r="L209" s="86"/>
      <c r="M209" s="86"/>
      <c r="N209" s="86" t="s">
        <v>169</v>
      </c>
      <c r="O209" s="86" t="s">
        <v>517</v>
      </c>
      <c r="P209" s="86" t="s">
        <v>518</v>
      </c>
      <c r="Q209" s="86" t="s">
        <v>373</v>
      </c>
      <c r="R209" s="86" t="s">
        <v>374</v>
      </c>
      <c r="S209" s="86" t="s">
        <v>386</v>
      </c>
      <c r="T209" s="86" t="s">
        <v>169</v>
      </c>
      <c r="U209" s="86" t="s">
        <v>808</v>
      </c>
      <c r="V209" s="86"/>
      <c r="W209" s="86"/>
      <c r="X209" s="86"/>
      <c r="Y209" s="86">
        <v>122</v>
      </c>
      <c r="Z209" s="86"/>
      <c r="AA209" s="86"/>
      <c r="AB209" s="86" t="s">
        <v>753</v>
      </c>
      <c r="AC209" s="86">
        <v>0</v>
      </c>
      <c r="AD209" s="86"/>
      <c r="AE209" s="86" t="s">
        <v>382</v>
      </c>
    </row>
    <row r="210" spans="1:31" s="18" customFormat="1" ht="15.75" x14ac:dyDescent="0.25">
      <c r="A210" s="80">
        <v>4</v>
      </c>
      <c r="B210" s="90">
        <v>46206</v>
      </c>
      <c r="C210" s="86" t="s">
        <v>378</v>
      </c>
      <c r="D210" s="86" t="s">
        <v>40</v>
      </c>
      <c r="E210" s="86" t="s">
        <v>621</v>
      </c>
      <c r="F210" s="86">
        <v>48</v>
      </c>
      <c r="G210" s="86" t="s">
        <v>622</v>
      </c>
      <c r="H210" s="86" t="s">
        <v>385</v>
      </c>
      <c r="I210" s="86">
        <v>100</v>
      </c>
      <c r="J210" s="86"/>
      <c r="K210" s="86" t="s">
        <v>506</v>
      </c>
      <c r="L210" s="86"/>
      <c r="M210" s="86"/>
      <c r="N210" s="86" t="s">
        <v>525</v>
      </c>
      <c r="O210" s="86" t="s">
        <v>526</v>
      </c>
      <c r="P210" s="86" t="s">
        <v>623</v>
      </c>
      <c r="Q210" s="86" t="s">
        <v>528</v>
      </c>
      <c r="R210" s="86" t="s">
        <v>374</v>
      </c>
      <c r="S210" s="86" t="s">
        <v>386</v>
      </c>
      <c r="T210" s="86" t="s">
        <v>386</v>
      </c>
      <c r="U210" s="86" t="s">
        <v>809</v>
      </c>
      <c r="V210" s="86"/>
      <c r="W210" s="86"/>
      <c r="X210" s="86"/>
      <c r="Y210" s="86">
        <v>123</v>
      </c>
      <c r="Z210" s="86"/>
      <c r="AA210" s="86"/>
      <c r="AB210" s="86" t="s">
        <v>753</v>
      </c>
      <c r="AC210" s="86">
        <v>0</v>
      </c>
      <c r="AD210" s="86"/>
      <c r="AE210" s="86" t="s">
        <v>382</v>
      </c>
    </row>
    <row r="211" spans="1:31" s="18" customFormat="1" ht="15.75" x14ac:dyDescent="0.25">
      <c r="A211" s="80">
        <v>4</v>
      </c>
      <c r="B211" s="90">
        <v>46206</v>
      </c>
      <c r="C211" s="86" t="s">
        <v>379</v>
      </c>
      <c r="D211" s="86" t="s">
        <v>30</v>
      </c>
      <c r="E211" s="86" t="s">
        <v>524</v>
      </c>
      <c r="F211" s="86">
        <v>20</v>
      </c>
      <c r="G211" s="86" t="s">
        <v>511</v>
      </c>
      <c r="H211" s="86" t="s">
        <v>385</v>
      </c>
      <c r="I211" s="86">
        <v>100</v>
      </c>
      <c r="J211" s="86"/>
      <c r="K211" s="86" t="s">
        <v>506</v>
      </c>
      <c r="L211" s="86"/>
      <c r="M211" s="86"/>
      <c r="N211" s="86" t="s">
        <v>525</v>
      </c>
      <c r="O211" s="86" t="s">
        <v>526</v>
      </c>
      <c r="P211" s="86" t="s">
        <v>527</v>
      </c>
      <c r="Q211" s="86" t="s">
        <v>528</v>
      </c>
      <c r="R211" s="86" t="s">
        <v>374</v>
      </c>
      <c r="S211" s="86" t="s">
        <v>386</v>
      </c>
      <c r="T211" s="86" t="s">
        <v>386</v>
      </c>
      <c r="U211" s="86" t="s">
        <v>810</v>
      </c>
      <c r="V211" s="86"/>
      <c r="W211" s="86"/>
      <c r="X211" s="86"/>
      <c r="Y211" s="86">
        <v>124</v>
      </c>
      <c r="Z211" s="86"/>
      <c r="AA211" s="86"/>
      <c r="AB211" s="86" t="s">
        <v>753</v>
      </c>
      <c r="AC211" s="86">
        <v>0</v>
      </c>
      <c r="AD211" s="86"/>
      <c r="AE211" s="86" t="s">
        <v>382</v>
      </c>
    </row>
    <row r="212" spans="1:31" s="18" customFormat="1" ht="15.75" x14ac:dyDescent="0.25">
      <c r="A212" s="80">
        <v>4</v>
      </c>
      <c r="B212" s="90">
        <v>46206</v>
      </c>
      <c r="C212" s="86" t="s">
        <v>387</v>
      </c>
      <c r="D212" s="86" t="s">
        <v>22</v>
      </c>
      <c r="E212" s="86" t="s">
        <v>523</v>
      </c>
      <c r="F212" s="86">
        <v>55</v>
      </c>
      <c r="G212" s="86" t="s">
        <v>516</v>
      </c>
      <c r="H212" s="86" t="s">
        <v>385</v>
      </c>
      <c r="I212" s="86">
        <v>100</v>
      </c>
      <c r="J212" s="86"/>
      <c r="K212" s="86" t="s">
        <v>512</v>
      </c>
      <c r="L212" s="86"/>
      <c r="M212" s="86"/>
      <c r="N212" s="86" t="s">
        <v>507</v>
      </c>
      <c r="O212" s="86" t="s">
        <v>508</v>
      </c>
      <c r="P212" s="86" t="s">
        <v>509</v>
      </c>
      <c r="Q212" s="86" t="s">
        <v>510</v>
      </c>
      <c r="R212" s="86" t="s">
        <v>374</v>
      </c>
      <c r="S212" s="86" t="s">
        <v>386</v>
      </c>
      <c r="T212" s="86" t="s">
        <v>386</v>
      </c>
      <c r="U212" s="86" t="s">
        <v>811</v>
      </c>
      <c r="V212" s="86"/>
      <c r="W212" s="86"/>
      <c r="X212" s="86"/>
      <c r="Y212" s="86">
        <v>125</v>
      </c>
      <c r="Z212" s="86"/>
      <c r="AA212" s="86"/>
      <c r="AB212" s="86" t="s">
        <v>753</v>
      </c>
      <c r="AC212" s="86">
        <v>0</v>
      </c>
      <c r="AD212" s="86"/>
      <c r="AE212" s="86" t="s">
        <v>382</v>
      </c>
    </row>
    <row r="213" spans="1:31" s="18" customFormat="1" ht="15.75" x14ac:dyDescent="0.25">
      <c r="A213" s="80"/>
      <c r="B213" s="90"/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</row>
    <row r="214" spans="1:31" s="18" customFormat="1" ht="15.75" x14ac:dyDescent="0.25">
      <c r="A214" s="80"/>
      <c r="B214" s="90"/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</row>
    <row r="215" spans="1:31" s="18" customFormat="1" ht="15.75" x14ac:dyDescent="0.25">
      <c r="A215" s="80"/>
      <c r="B215" s="90"/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</row>
    <row r="216" spans="1:31" s="18" customFormat="1" ht="15.75" x14ac:dyDescent="0.25">
      <c r="A216" s="80"/>
      <c r="B216" s="90"/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</row>
    <row r="217" spans="1:31" s="18" customFormat="1" ht="15.75" x14ac:dyDescent="0.25">
      <c r="A217" s="80"/>
      <c r="B217" s="90"/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</row>
    <row r="218" spans="1:31" s="18" customFormat="1" ht="15.75" x14ac:dyDescent="0.25">
      <c r="A218" s="80"/>
      <c r="B218" s="90"/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</row>
    <row r="219" spans="1:31" s="18" customFormat="1" ht="15.75" x14ac:dyDescent="0.25">
      <c r="A219" s="80"/>
      <c r="B219" s="90"/>
      <c r="C219" s="86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</row>
    <row r="220" spans="1:31" s="18" customFormat="1" ht="15.75" x14ac:dyDescent="0.25">
      <c r="A220" s="80"/>
      <c r="B220" s="90"/>
      <c r="C220" s="86"/>
      <c r="D220" s="86"/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  <c r="AC220" s="86"/>
      <c r="AD220" s="86"/>
      <c r="AE220" s="86"/>
    </row>
    <row r="221" spans="1:31" s="18" customFormat="1" ht="15.75" x14ac:dyDescent="0.25">
      <c r="A221" s="80"/>
      <c r="B221" s="90"/>
      <c r="C221" s="86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  <c r="AC221" s="86"/>
      <c r="AD221" s="86"/>
      <c r="AE221" s="86"/>
    </row>
    <row r="222" spans="1:31" s="18" customFormat="1" ht="15.75" x14ac:dyDescent="0.25">
      <c r="A222" s="80"/>
      <c r="B222" s="90"/>
      <c r="C222" s="86"/>
      <c r="D222" s="86"/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  <c r="S222" s="86"/>
      <c r="T222" s="86"/>
      <c r="U222" s="86"/>
      <c r="V222" s="86"/>
      <c r="W222" s="86"/>
      <c r="X222" s="86"/>
      <c r="Y222" s="86"/>
      <c r="Z222" s="86"/>
      <c r="AA222" s="86"/>
      <c r="AB222" s="86"/>
      <c r="AC222" s="86"/>
      <c r="AD222" s="86"/>
      <c r="AE222" s="86"/>
    </row>
    <row r="223" spans="1:31" s="18" customFormat="1" ht="15.75" x14ac:dyDescent="0.25">
      <c r="A223" s="80"/>
      <c r="B223" s="90"/>
      <c r="C223" s="86"/>
      <c r="D223" s="86"/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  <c r="S223" s="86"/>
      <c r="T223" s="86"/>
      <c r="U223" s="86"/>
      <c r="V223" s="86"/>
      <c r="W223" s="86"/>
      <c r="X223" s="86"/>
      <c r="Y223" s="86"/>
      <c r="Z223" s="86"/>
      <c r="AA223" s="86"/>
      <c r="AB223" s="86"/>
      <c r="AC223" s="86"/>
      <c r="AD223" s="86"/>
      <c r="AE223" s="86"/>
    </row>
    <row r="224" spans="1:31" s="18" customFormat="1" ht="15.75" x14ac:dyDescent="0.25">
      <c r="A224" s="80"/>
      <c r="B224" s="90"/>
      <c r="C224" s="86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  <c r="S224" s="86"/>
      <c r="T224" s="86"/>
      <c r="U224" s="86"/>
      <c r="V224" s="86"/>
      <c r="W224" s="86"/>
      <c r="X224" s="86"/>
      <c r="Y224" s="86"/>
      <c r="Z224" s="86"/>
      <c r="AA224" s="86"/>
      <c r="AB224" s="86"/>
      <c r="AC224" s="86"/>
      <c r="AD224" s="86"/>
      <c r="AE224" s="86"/>
    </row>
    <row r="225" spans="1:31" s="18" customFormat="1" ht="15.75" x14ac:dyDescent="0.25">
      <c r="A225" s="80"/>
      <c r="B225" s="90"/>
      <c r="C225" s="86"/>
      <c r="D225" s="86"/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  <c r="S225" s="86"/>
      <c r="T225" s="86"/>
      <c r="U225" s="86"/>
      <c r="V225" s="86"/>
      <c r="W225" s="86"/>
      <c r="X225" s="86"/>
      <c r="Y225" s="86"/>
      <c r="Z225" s="86"/>
      <c r="AA225" s="86"/>
      <c r="AB225" s="86"/>
      <c r="AC225" s="86"/>
      <c r="AD225" s="86"/>
      <c r="AE225" s="86"/>
    </row>
    <row r="226" spans="1:31" s="18" customFormat="1" ht="15.75" x14ac:dyDescent="0.25">
      <c r="A226" s="80"/>
      <c r="B226" s="90"/>
      <c r="C226" s="86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  <c r="AC226" s="86"/>
      <c r="AD226" s="86"/>
      <c r="AE226" s="86"/>
    </row>
    <row r="227" spans="1:31" s="18" customFormat="1" ht="15.75" x14ac:dyDescent="0.25">
      <c r="A227" s="80"/>
      <c r="B227" s="90"/>
      <c r="C227" s="86"/>
      <c r="D227" s="86"/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  <c r="AC227" s="86"/>
      <c r="AD227" s="86"/>
      <c r="AE227" s="86"/>
    </row>
    <row r="228" spans="1:31" s="18" customFormat="1" ht="15.75" x14ac:dyDescent="0.25">
      <c r="A228" s="80"/>
      <c r="B228" s="90"/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  <c r="S228" s="86"/>
      <c r="T228" s="86"/>
      <c r="U228" s="86"/>
      <c r="V228" s="86"/>
      <c r="W228" s="86"/>
      <c r="X228" s="86"/>
      <c r="Y228" s="86"/>
      <c r="Z228" s="86"/>
      <c r="AA228" s="86"/>
      <c r="AB228" s="86"/>
      <c r="AC228" s="86"/>
      <c r="AD228" s="86"/>
      <c r="AE228" s="86"/>
    </row>
    <row r="229" spans="1:31" s="18" customFormat="1" ht="15.75" x14ac:dyDescent="0.25">
      <c r="A229" s="80"/>
      <c r="B229" s="90"/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  <c r="S229" s="86"/>
      <c r="T229" s="86"/>
      <c r="U229" s="86"/>
      <c r="V229" s="86"/>
      <c r="W229" s="86"/>
      <c r="X229" s="86"/>
      <c r="Y229" s="86"/>
      <c r="Z229" s="86"/>
      <c r="AA229" s="86"/>
      <c r="AB229" s="86"/>
      <c r="AC229" s="86"/>
      <c r="AD229" s="86"/>
      <c r="AE229" s="86"/>
    </row>
    <row r="230" spans="1:31" s="18" customFormat="1" ht="15.75" x14ac:dyDescent="0.25">
      <c r="A230" s="80"/>
      <c r="B230" s="90"/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  <c r="S230" s="86"/>
      <c r="T230" s="86"/>
      <c r="U230" s="86"/>
      <c r="V230" s="86"/>
      <c r="W230" s="86"/>
      <c r="X230" s="86"/>
      <c r="Y230" s="86"/>
      <c r="Z230" s="86"/>
      <c r="AA230" s="86"/>
      <c r="AB230" s="86"/>
      <c r="AC230" s="86"/>
      <c r="AD230" s="86"/>
      <c r="AE230" s="86"/>
    </row>
    <row r="231" spans="1:31" s="18" customFormat="1" ht="15.75" x14ac:dyDescent="0.25">
      <c r="A231" s="80"/>
      <c r="B231" s="90"/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  <c r="AC231" s="86"/>
      <c r="AD231" s="86"/>
      <c r="AE231" s="86"/>
    </row>
    <row r="232" spans="1:31" s="18" customFormat="1" ht="15.75" x14ac:dyDescent="0.25">
      <c r="A232" s="80"/>
      <c r="B232" s="90"/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  <c r="S232" s="86"/>
      <c r="T232" s="86"/>
      <c r="U232" s="86"/>
      <c r="V232" s="86"/>
      <c r="W232" s="86"/>
      <c r="X232" s="86"/>
      <c r="Y232" s="86"/>
      <c r="Z232" s="86"/>
      <c r="AA232" s="86"/>
      <c r="AB232" s="86"/>
      <c r="AC232" s="86"/>
      <c r="AD232" s="86"/>
      <c r="AE232" s="86"/>
    </row>
    <row r="233" spans="1:31" s="18" customFormat="1" ht="15.75" x14ac:dyDescent="0.25">
      <c r="A233" s="80"/>
      <c r="B233" s="90"/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  <c r="R233" s="86"/>
      <c r="S233" s="86"/>
      <c r="T233" s="86"/>
      <c r="U233" s="86"/>
      <c r="V233" s="86"/>
      <c r="W233" s="86"/>
      <c r="X233" s="86"/>
      <c r="Y233" s="86"/>
      <c r="Z233" s="86"/>
      <c r="AA233" s="86"/>
      <c r="AB233" s="86"/>
      <c r="AC233" s="86"/>
      <c r="AD233" s="86"/>
      <c r="AE233" s="86"/>
    </row>
    <row r="234" spans="1:31" s="18" customFormat="1" ht="15.75" x14ac:dyDescent="0.25">
      <c r="A234" s="80"/>
      <c r="B234" s="90"/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  <c r="R234" s="86"/>
      <c r="S234" s="86"/>
      <c r="T234" s="86"/>
      <c r="U234" s="86"/>
      <c r="V234" s="86"/>
      <c r="W234" s="86"/>
      <c r="X234" s="86"/>
      <c r="Y234" s="86"/>
      <c r="Z234" s="86"/>
      <c r="AA234" s="86"/>
      <c r="AB234" s="86"/>
      <c r="AC234" s="86"/>
      <c r="AD234" s="86"/>
      <c r="AE234" s="86"/>
    </row>
    <row r="235" spans="1:31" s="18" customFormat="1" ht="15.75" x14ac:dyDescent="0.25">
      <c r="A235" s="80"/>
      <c r="B235" s="90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</row>
    <row r="236" spans="1:31" s="18" customFormat="1" ht="15.75" x14ac:dyDescent="0.25">
      <c r="A236" s="80"/>
      <c r="B236" s="90"/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  <c r="R236" s="86"/>
      <c r="S236" s="86"/>
      <c r="T236" s="86"/>
      <c r="U236" s="86"/>
      <c r="V236" s="86"/>
      <c r="W236" s="86"/>
      <c r="X236" s="86"/>
      <c r="Y236" s="86"/>
      <c r="Z236" s="86"/>
      <c r="AA236" s="86"/>
      <c r="AB236" s="86"/>
      <c r="AC236" s="86"/>
      <c r="AD236" s="86"/>
      <c r="AE236" s="86"/>
    </row>
    <row r="237" spans="1:31" s="18" customFormat="1" ht="15.75" x14ac:dyDescent="0.25">
      <c r="A237" s="80"/>
      <c r="B237" s="90"/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  <c r="R237" s="86"/>
      <c r="S237" s="86"/>
      <c r="T237" s="86"/>
      <c r="U237" s="86"/>
      <c r="V237" s="86"/>
      <c r="W237" s="86"/>
      <c r="X237" s="86"/>
      <c r="Y237" s="86"/>
      <c r="Z237" s="86"/>
      <c r="AA237" s="86"/>
      <c r="AB237" s="86"/>
      <c r="AC237" s="86"/>
      <c r="AD237" s="86"/>
      <c r="AE237" s="86"/>
    </row>
    <row r="238" spans="1:31" s="18" customFormat="1" ht="15.75" x14ac:dyDescent="0.25">
      <c r="A238" s="80"/>
      <c r="B238" s="90"/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  <c r="R238" s="86"/>
      <c r="S238" s="86"/>
      <c r="T238" s="86"/>
      <c r="U238" s="86"/>
      <c r="V238" s="86"/>
      <c r="W238" s="86"/>
      <c r="X238" s="86"/>
      <c r="Y238" s="86"/>
      <c r="Z238" s="86"/>
      <c r="AA238" s="86"/>
      <c r="AB238" s="86"/>
      <c r="AC238" s="86"/>
      <c r="AD238" s="86"/>
      <c r="AE238" s="86"/>
    </row>
    <row r="239" spans="1:31" s="18" customFormat="1" ht="15.75" x14ac:dyDescent="0.25">
      <c r="A239" s="80"/>
      <c r="B239" s="90"/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  <c r="R239" s="86"/>
      <c r="S239" s="86"/>
      <c r="T239" s="86"/>
      <c r="U239" s="86"/>
      <c r="V239" s="86"/>
      <c r="W239" s="86"/>
      <c r="X239" s="86"/>
      <c r="Y239" s="86"/>
      <c r="Z239" s="86"/>
      <c r="AA239" s="86"/>
      <c r="AB239" s="86"/>
      <c r="AC239" s="86"/>
      <c r="AD239" s="86"/>
      <c r="AE239" s="86"/>
    </row>
    <row r="240" spans="1:31" s="18" customFormat="1" ht="15.75" x14ac:dyDescent="0.25">
      <c r="A240" s="80"/>
      <c r="B240" s="90"/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  <c r="R240" s="86"/>
      <c r="S240" s="86"/>
      <c r="T240" s="86"/>
      <c r="U240" s="86"/>
      <c r="V240" s="86"/>
      <c r="W240" s="86"/>
      <c r="X240" s="86"/>
      <c r="Y240" s="86"/>
      <c r="Z240" s="86"/>
      <c r="AA240" s="86"/>
      <c r="AB240" s="86"/>
      <c r="AC240" s="86"/>
      <c r="AD240" s="86"/>
      <c r="AE240" s="86"/>
    </row>
    <row r="241" spans="1:31" s="18" customFormat="1" ht="15.75" x14ac:dyDescent="0.25">
      <c r="A241" s="80"/>
      <c r="B241" s="90"/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  <c r="R241" s="86"/>
      <c r="S241" s="86"/>
      <c r="T241" s="86"/>
      <c r="U241" s="86"/>
      <c r="V241" s="86"/>
      <c r="W241" s="86"/>
      <c r="X241" s="86"/>
      <c r="Y241" s="86"/>
      <c r="Z241" s="86"/>
      <c r="AA241" s="86"/>
      <c r="AB241" s="86"/>
      <c r="AC241" s="86"/>
      <c r="AD241" s="86"/>
      <c r="AE241" s="86"/>
    </row>
    <row r="242" spans="1:31" s="18" customFormat="1" ht="15.75" x14ac:dyDescent="0.25">
      <c r="A242" s="80"/>
      <c r="B242" s="90"/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  <c r="R242" s="86"/>
      <c r="S242" s="86"/>
      <c r="T242" s="86"/>
      <c r="U242" s="86"/>
      <c r="V242" s="86"/>
      <c r="W242" s="86"/>
      <c r="X242" s="86"/>
      <c r="Y242" s="86"/>
      <c r="Z242" s="86"/>
      <c r="AA242" s="86"/>
      <c r="AB242" s="86"/>
      <c r="AC242" s="86"/>
      <c r="AD242" s="86"/>
      <c r="AE242" s="86"/>
    </row>
    <row r="243" spans="1:31" s="18" customFormat="1" ht="15.75" x14ac:dyDescent="0.25">
      <c r="A243" s="80"/>
      <c r="B243" s="90"/>
      <c r="C243" s="86"/>
      <c r="D243" s="86"/>
      <c r="E243" s="86"/>
      <c r="F243" s="86"/>
      <c r="G243" s="86"/>
      <c r="H243" s="86"/>
      <c r="I243" s="86"/>
      <c r="J243" s="86"/>
      <c r="K243" s="86"/>
      <c r="L243" s="86"/>
      <c r="M243" s="86"/>
      <c r="N243" s="86"/>
      <c r="O243" s="86"/>
      <c r="P243" s="86"/>
      <c r="Q243" s="86"/>
      <c r="R243" s="86"/>
      <c r="S243" s="86"/>
      <c r="T243" s="86"/>
      <c r="U243" s="86"/>
      <c r="V243" s="86"/>
      <c r="W243" s="86"/>
      <c r="X243" s="86"/>
      <c r="Y243" s="86"/>
      <c r="Z243" s="86"/>
      <c r="AA243" s="86"/>
      <c r="AB243" s="86"/>
      <c r="AC243" s="86"/>
      <c r="AD243" s="86"/>
      <c r="AE243" s="86"/>
    </row>
    <row r="244" spans="1:31" s="18" customFormat="1" ht="15.75" x14ac:dyDescent="0.25">
      <c r="A244" s="80"/>
      <c r="B244" s="90"/>
      <c r="C244" s="86"/>
      <c r="D244" s="86"/>
      <c r="E244" s="86"/>
      <c r="F244" s="86"/>
      <c r="G244" s="86"/>
      <c r="H244" s="86"/>
      <c r="I244" s="86"/>
      <c r="J244" s="86"/>
      <c r="K244" s="86"/>
      <c r="L244" s="86"/>
      <c r="M244" s="86"/>
      <c r="N244" s="86"/>
      <c r="O244" s="86"/>
      <c r="P244" s="86"/>
      <c r="Q244" s="86"/>
      <c r="R244" s="86"/>
      <c r="S244" s="86"/>
      <c r="T244" s="86"/>
      <c r="U244" s="86"/>
      <c r="V244" s="86"/>
      <c r="W244" s="86"/>
      <c r="X244" s="86"/>
      <c r="Y244" s="86"/>
      <c r="Z244" s="86"/>
      <c r="AA244" s="86"/>
      <c r="AB244" s="86"/>
      <c r="AC244" s="86"/>
      <c r="AD244" s="86"/>
      <c r="AE244" s="86"/>
    </row>
    <row r="245" spans="1:31" s="18" customFormat="1" ht="15.75" x14ac:dyDescent="0.25">
      <c r="A245" s="80"/>
      <c r="B245" s="90"/>
      <c r="C245" s="86"/>
      <c r="D245" s="86"/>
      <c r="E245" s="86"/>
      <c r="F245" s="86"/>
      <c r="G245" s="86"/>
      <c r="H245" s="86"/>
      <c r="I245" s="86"/>
      <c r="J245" s="86"/>
      <c r="K245" s="86"/>
      <c r="L245" s="86"/>
      <c r="M245" s="86"/>
      <c r="N245" s="86"/>
      <c r="O245" s="86"/>
      <c r="P245" s="86"/>
      <c r="Q245" s="86"/>
      <c r="R245" s="86"/>
      <c r="S245" s="86"/>
      <c r="T245" s="86"/>
      <c r="U245" s="86"/>
      <c r="V245" s="86"/>
      <c r="W245" s="86"/>
      <c r="X245" s="86"/>
      <c r="Y245" s="86"/>
      <c r="Z245" s="86"/>
      <c r="AA245" s="86"/>
      <c r="AB245" s="86"/>
      <c r="AC245" s="86"/>
      <c r="AD245" s="86"/>
      <c r="AE245" s="86"/>
    </row>
    <row r="246" spans="1:31" s="18" customFormat="1" ht="15.75" x14ac:dyDescent="0.25">
      <c r="A246" s="80"/>
      <c r="B246" s="90"/>
      <c r="C246" s="86"/>
      <c r="D246" s="86"/>
      <c r="E246" s="86"/>
      <c r="F246" s="86"/>
      <c r="G246" s="86"/>
      <c r="H246" s="86"/>
      <c r="I246" s="86"/>
      <c r="J246" s="86"/>
      <c r="K246" s="86"/>
      <c r="L246" s="86"/>
      <c r="M246" s="86"/>
      <c r="N246" s="86"/>
      <c r="O246" s="86"/>
      <c r="P246" s="86"/>
      <c r="Q246" s="86"/>
      <c r="R246" s="86"/>
      <c r="S246" s="86"/>
      <c r="T246" s="86"/>
      <c r="U246" s="86"/>
      <c r="V246" s="86"/>
      <c r="W246" s="86"/>
      <c r="X246" s="86"/>
      <c r="Y246" s="86"/>
      <c r="Z246" s="86"/>
      <c r="AA246" s="86"/>
      <c r="AB246" s="86"/>
      <c r="AC246" s="86"/>
      <c r="AD246" s="86"/>
      <c r="AE246" s="86"/>
    </row>
    <row r="247" spans="1:31" s="18" customFormat="1" ht="15.75" x14ac:dyDescent="0.25">
      <c r="A247" s="80"/>
      <c r="B247" s="90"/>
      <c r="C247" s="86"/>
      <c r="D247" s="86"/>
      <c r="E247" s="86"/>
      <c r="F247" s="86"/>
      <c r="G247" s="86"/>
      <c r="H247" s="86"/>
      <c r="I247" s="86"/>
      <c r="J247" s="86"/>
      <c r="K247" s="86"/>
      <c r="L247" s="86"/>
      <c r="M247" s="86"/>
      <c r="N247" s="86"/>
      <c r="O247" s="86"/>
      <c r="P247" s="86"/>
      <c r="Q247" s="86"/>
      <c r="R247" s="86"/>
      <c r="S247" s="86"/>
      <c r="T247" s="86"/>
      <c r="U247" s="86"/>
      <c r="V247" s="86"/>
      <c r="W247" s="86"/>
      <c r="X247" s="86"/>
      <c r="Y247" s="86"/>
      <c r="Z247" s="86"/>
      <c r="AA247" s="86"/>
      <c r="AB247" s="86"/>
      <c r="AC247" s="86"/>
      <c r="AD247" s="86"/>
      <c r="AE247" s="86"/>
    </row>
    <row r="248" spans="1:31" s="18" customFormat="1" ht="15.75" x14ac:dyDescent="0.25">
      <c r="A248" s="80"/>
      <c r="B248" s="90"/>
      <c r="C248" s="86"/>
      <c r="D248" s="86"/>
      <c r="E248" s="86"/>
      <c r="F248" s="86"/>
      <c r="G248" s="86"/>
      <c r="H248" s="86"/>
      <c r="I248" s="86"/>
      <c r="J248" s="86"/>
      <c r="K248" s="86"/>
      <c r="L248" s="86"/>
      <c r="M248" s="86"/>
      <c r="N248" s="86"/>
      <c r="O248" s="86"/>
      <c r="P248" s="86"/>
      <c r="Q248" s="86"/>
      <c r="R248" s="86"/>
      <c r="S248" s="86"/>
      <c r="T248" s="86"/>
      <c r="U248" s="86"/>
      <c r="V248" s="86"/>
      <c r="W248" s="86"/>
      <c r="X248" s="86"/>
      <c r="Y248" s="86"/>
      <c r="Z248" s="86"/>
      <c r="AA248" s="86"/>
      <c r="AB248" s="86"/>
      <c r="AC248" s="86"/>
      <c r="AD248" s="86"/>
      <c r="AE248" s="86"/>
    </row>
    <row r="249" spans="1:31" s="18" customFormat="1" ht="15.75" x14ac:dyDescent="0.25">
      <c r="A249" s="80"/>
      <c r="B249" s="90"/>
      <c r="C249" s="86"/>
      <c r="D249" s="86"/>
      <c r="E249" s="86"/>
      <c r="F249" s="86"/>
      <c r="G249" s="86"/>
      <c r="H249" s="86"/>
      <c r="I249" s="86"/>
      <c r="J249" s="86"/>
      <c r="K249" s="86"/>
      <c r="L249" s="86"/>
      <c r="M249" s="86"/>
      <c r="N249" s="86"/>
      <c r="O249" s="86"/>
      <c r="P249" s="86"/>
      <c r="Q249" s="86"/>
      <c r="R249" s="86"/>
      <c r="S249" s="86"/>
      <c r="T249" s="86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E249" s="86"/>
    </row>
    <row r="250" spans="1:31" s="18" customFormat="1" ht="15.75" x14ac:dyDescent="0.25">
      <c r="A250" s="80"/>
      <c r="B250" s="90"/>
      <c r="C250" s="86"/>
      <c r="D250" s="86"/>
      <c r="E250" s="86"/>
      <c r="F250" s="86"/>
      <c r="G250" s="86"/>
      <c r="H250" s="86"/>
      <c r="I250" s="86"/>
      <c r="J250" s="86"/>
      <c r="K250" s="86"/>
      <c r="L250" s="86"/>
      <c r="M250" s="86"/>
      <c r="N250" s="86"/>
      <c r="O250" s="86"/>
      <c r="P250" s="86"/>
      <c r="Q250" s="86"/>
      <c r="R250" s="86"/>
      <c r="S250" s="86"/>
      <c r="T250" s="86"/>
      <c r="U250" s="86"/>
      <c r="V250" s="86"/>
      <c r="W250" s="86"/>
      <c r="X250" s="86"/>
      <c r="Y250" s="86"/>
      <c r="Z250" s="86"/>
      <c r="AA250" s="86"/>
      <c r="AB250" s="86"/>
      <c r="AC250" s="86"/>
      <c r="AD250" s="86"/>
      <c r="AE250" s="86"/>
    </row>
    <row r="251" spans="1:31" s="18" customFormat="1" ht="15.75" x14ac:dyDescent="0.25">
      <c r="A251" s="80"/>
      <c r="B251" s="90"/>
      <c r="C251" s="86"/>
      <c r="D251" s="86"/>
      <c r="E251" s="86"/>
      <c r="F251" s="86"/>
      <c r="G251" s="86"/>
      <c r="H251" s="86"/>
      <c r="I251" s="86"/>
      <c r="J251" s="86"/>
      <c r="K251" s="86"/>
      <c r="L251" s="86"/>
      <c r="M251" s="86"/>
      <c r="N251" s="86"/>
      <c r="O251" s="86"/>
      <c r="P251" s="86"/>
      <c r="Q251" s="86"/>
      <c r="R251" s="86"/>
      <c r="S251" s="86"/>
      <c r="T251" s="86"/>
      <c r="U251" s="86"/>
      <c r="V251" s="86"/>
      <c r="W251" s="86"/>
      <c r="X251" s="86"/>
      <c r="Y251" s="86"/>
      <c r="Z251" s="86"/>
      <c r="AA251" s="86"/>
      <c r="AB251" s="86"/>
      <c r="AC251" s="86"/>
      <c r="AD251" s="86"/>
      <c r="AE251" s="86"/>
    </row>
    <row r="252" spans="1:31" s="18" customFormat="1" ht="15.75" x14ac:dyDescent="0.25">
      <c r="A252" s="80"/>
      <c r="B252" s="90"/>
      <c r="C252" s="86"/>
      <c r="D252" s="86"/>
      <c r="E252" s="86"/>
      <c r="F252" s="86"/>
      <c r="G252" s="86"/>
      <c r="H252" s="86"/>
      <c r="I252" s="86"/>
      <c r="J252" s="86"/>
      <c r="K252" s="86"/>
      <c r="L252" s="86"/>
      <c r="M252" s="86"/>
      <c r="N252" s="86"/>
      <c r="O252" s="86"/>
      <c r="P252" s="86"/>
      <c r="Q252" s="86"/>
      <c r="R252" s="86"/>
      <c r="S252" s="86"/>
      <c r="T252" s="86"/>
      <c r="U252" s="86"/>
      <c r="V252" s="86"/>
      <c r="W252" s="86"/>
      <c r="X252" s="86"/>
      <c r="Y252" s="86"/>
      <c r="Z252" s="86"/>
      <c r="AA252" s="86"/>
      <c r="AB252" s="86"/>
      <c r="AC252" s="86"/>
      <c r="AD252" s="86"/>
      <c r="AE252" s="86"/>
    </row>
    <row r="253" spans="1:31" s="18" customFormat="1" ht="15.75" x14ac:dyDescent="0.25">
      <c r="A253" s="80"/>
      <c r="B253" s="90"/>
      <c r="C253" s="86"/>
      <c r="D253" s="86"/>
      <c r="E253" s="86"/>
      <c r="F253" s="86"/>
      <c r="G253" s="86"/>
      <c r="H253" s="86"/>
      <c r="I253" s="86"/>
      <c r="J253" s="86"/>
      <c r="K253" s="86"/>
      <c r="L253" s="86"/>
      <c r="M253" s="86"/>
      <c r="N253" s="86"/>
      <c r="O253" s="86"/>
      <c r="P253" s="86"/>
      <c r="Q253" s="86"/>
      <c r="R253" s="86"/>
      <c r="S253" s="86"/>
      <c r="T253" s="86"/>
      <c r="U253" s="86"/>
      <c r="V253" s="86"/>
      <c r="W253" s="86"/>
      <c r="X253" s="86"/>
      <c r="Y253" s="86"/>
      <c r="Z253" s="86"/>
      <c r="AA253" s="86"/>
      <c r="AB253" s="86"/>
      <c r="AC253" s="86"/>
      <c r="AD253" s="86"/>
      <c r="AE253" s="86"/>
    </row>
    <row r="254" spans="1:31" s="18" customFormat="1" ht="15.75" x14ac:dyDescent="0.25">
      <c r="A254" s="80"/>
      <c r="B254" s="90"/>
      <c r="C254" s="86"/>
      <c r="D254" s="86"/>
      <c r="E254" s="86"/>
      <c r="F254" s="86"/>
      <c r="G254" s="86"/>
      <c r="H254" s="86"/>
      <c r="I254" s="86"/>
      <c r="J254" s="86"/>
      <c r="K254" s="86"/>
      <c r="L254" s="86"/>
      <c r="M254" s="86"/>
      <c r="N254" s="86"/>
      <c r="O254" s="86"/>
      <c r="P254" s="86"/>
      <c r="Q254" s="86"/>
      <c r="R254" s="86"/>
      <c r="S254" s="86"/>
      <c r="T254" s="86"/>
      <c r="U254" s="86"/>
      <c r="V254" s="86"/>
      <c r="W254" s="86"/>
      <c r="X254" s="86"/>
      <c r="Y254" s="86"/>
      <c r="Z254" s="86"/>
      <c r="AA254" s="86"/>
      <c r="AB254" s="86"/>
      <c r="AC254" s="86"/>
      <c r="AD254" s="86"/>
      <c r="AE254" s="86"/>
    </row>
    <row r="255" spans="1:31" s="18" customFormat="1" ht="15.75" x14ac:dyDescent="0.25">
      <c r="A255" s="80"/>
      <c r="B255" s="90"/>
      <c r="C255" s="86"/>
      <c r="D255" s="86"/>
      <c r="E255" s="86"/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  <c r="R255" s="86"/>
      <c r="S255" s="86"/>
      <c r="T255" s="86"/>
      <c r="U255" s="86"/>
      <c r="V255" s="86"/>
      <c r="W255" s="86"/>
      <c r="X255" s="86"/>
      <c r="Y255" s="86"/>
      <c r="Z255" s="86"/>
      <c r="AA255" s="86"/>
      <c r="AB255" s="86"/>
      <c r="AC255" s="86"/>
      <c r="AD255" s="86"/>
      <c r="AE255" s="86"/>
    </row>
    <row r="256" spans="1:31" s="18" customFormat="1" ht="15.75" x14ac:dyDescent="0.25">
      <c r="A256" s="80"/>
      <c r="B256" s="90"/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  <c r="R256" s="86"/>
      <c r="S256" s="86"/>
      <c r="T256" s="86"/>
      <c r="U256" s="86"/>
      <c r="V256" s="86"/>
      <c r="W256" s="86"/>
      <c r="X256" s="86"/>
      <c r="Y256" s="86"/>
      <c r="Z256" s="86"/>
      <c r="AA256" s="86"/>
      <c r="AB256" s="86"/>
      <c r="AC256" s="86"/>
      <c r="AD256" s="86"/>
      <c r="AE256" s="86"/>
    </row>
    <row r="257" spans="1:31" s="18" customFormat="1" ht="15.75" x14ac:dyDescent="0.25">
      <c r="A257" s="80"/>
      <c r="B257" s="90"/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  <c r="R257" s="86"/>
      <c r="S257" s="86"/>
      <c r="T257" s="86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</row>
    <row r="258" spans="1:31" s="18" customFormat="1" ht="15.75" x14ac:dyDescent="0.25">
      <c r="A258" s="80"/>
      <c r="B258" s="90"/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  <c r="R258" s="86"/>
      <c r="S258" s="86"/>
      <c r="T258" s="86"/>
      <c r="U258" s="86"/>
      <c r="V258" s="86"/>
      <c r="W258" s="86"/>
      <c r="X258" s="86"/>
      <c r="Y258" s="86"/>
      <c r="Z258" s="86"/>
      <c r="AA258" s="86"/>
      <c r="AB258" s="86"/>
      <c r="AC258" s="86"/>
      <c r="AD258" s="86"/>
      <c r="AE258" s="86"/>
    </row>
    <row r="259" spans="1:31" s="18" customFormat="1" ht="15.75" x14ac:dyDescent="0.25">
      <c r="A259" s="80"/>
      <c r="B259" s="90"/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  <c r="R259" s="86"/>
      <c r="S259" s="86"/>
      <c r="T259" s="86"/>
      <c r="U259" s="86"/>
      <c r="V259" s="86"/>
      <c r="W259" s="86"/>
      <c r="X259" s="86"/>
      <c r="Y259" s="86"/>
      <c r="Z259" s="86"/>
      <c r="AA259" s="86"/>
      <c r="AB259" s="86"/>
      <c r="AC259" s="86"/>
      <c r="AD259" s="86"/>
      <c r="AE259" s="86"/>
    </row>
    <row r="260" spans="1:31" s="18" customFormat="1" ht="15.75" x14ac:dyDescent="0.25">
      <c r="A260" s="80"/>
      <c r="B260" s="90"/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  <c r="AC260" s="86"/>
      <c r="AD260" s="86"/>
      <c r="AE260" s="86"/>
    </row>
    <row r="261" spans="1:31" s="18" customFormat="1" ht="15.75" x14ac:dyDescent="0.25">
      <c r="A261" s="80"/>
      <c r="B261" s="90"/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  <c r="AC261" s="86"/>
      <c r="AD261" s="86"/>
      <c r="AE261" s="86"/>
    </row>
    <row r="262" spans="1:31" s="18" customFormat="1" ht="15.75" x14ac:dyDescent="0.25">
      <c r="A262" s="80"/>
      <c r="B262" s="90"/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  <c r="R262" s="86"/>
      <c r="S262" s="86"/>
      <c r="T262" s="86"/>
      <c r="U262" s="86"/>
      <c r="V262" s="86"/>
      <c r="W262" s="86"/>
      <c r="X262" s="86"/>
      <c r="Y262" s="86"/>
      <c r="Z262" s="86"/>
      <c r="AA262" s="86"/>
      <c r="AB262" s="86"/>
      <c r="AC262" s="86"/>
      <c r="AD262" s="86"/>
      <c r="AE262" s="86"/>
    </row>
    <row r="263" spans="1:31" s="18" customFormat="1" ht="15.75" x14ac:dyDescent="0.25">
      <c r="A263" s="80"/>
      <c r="B263" s="90"/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  <c r="R263" s="86"/>
      <c r="S263" s="86"/>
      <c r="T263" s="86"/>
      <c r="U263" s="86"/>
      <c r="V263" s="86"/>
      <c r="W263" s="86"/>
      <c r="X263" s="86"/>
      <c r="Y263" s="86"/>
      <c r="Z263" s="86"/>
      <c r="AA263" s="86"/>
      <c r="AB263" s="86"/>
      <c r="AC263" s="86"/>
      <c r="AD263" s="86"/>
      <c r="AE263" s="86"/>
    </row>
    <row r="264" spans="1:31" s="18" customFormat="1" ht="15.75" x14ac:dyDescent="0.25">
      <c r="A264" s="80"/>
      <c r="B264" s="90"/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  <c r="R264" s="86"/>
      <c r="S264" s="86"/>
      <c r="T264" s="86"/>
      <c r="U264" s="86"/>
      <c r="V264" s="86"/>
      <c r="W264" s="86"/>
      <c r="X264" s="86"/>
      <c r="Y264" s="86"/>
      <c r="Z264" s="86"/>
      <c r="AA264" s="86"/>
      <c r="AB264" s="86"/>
      <c r="AC264" s="86"/>
      <c r="AD264" s="86"/>
      <c r="AE264" s="86"/>
    </row>
    <row r="265" spans="1:31" s="18" customFormat="1" ht="15.75" x14ac:dyDescent="0.25">
      <c r="A265" s="80"/>
      <c r="B265" s="90"/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  <c r="R265" s="86"/>
      <c r="S265" s="86"/>
      <c r="T265" s="86"/>
      <c r="U265" s="86"/>
      <c r="V265" s="86"/>
      <c r="W265" s="86"/>
      <c r="X265" s="86"/>
      <c r="Y265" s="86"/>
      <c r="Z265" s="86"/>
      <c r="AA265" s="86"/>
      <c r="AB265" s="86"/>
      <c r="AC265" s="86"/>
      <c r="AD265" s="86"/>
      <c r="AE265" s="86"/>
    </row>
    <row r="266" spans="1:31" s="18" customFormat="1" ht="15.75" x14ac:dyDescent="0.25">
      <c r="A266" s="80"/>
      <c r="B266" s="90"/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  <c r="R266" s="86"/>
      <c r="S266" s="86"/>
      <c r="T266" s="86"/>
      <c r="U266" s="86"/>
      <c r="V266" s="86"/>
      <c r="W266" s="86"/>
      <c r="X266" s="86"/>
      <c r="Y266" s="86"/>
      <c r="Z266" s="86"/>
      <c r="AA266" s="86"/>
      <c r="AB266" s="86"/>
      <c r="AC266" s="86"/>
      <c r="AD266" s="86"/>
      <c r="AE266" s="86"/>
    </row>
    <row r="267" spans="1:31" s="18" customFormat="1" ht="15.75" x14ac:dyDescent="0.25">
      <c r="A267" s="80"/>
      <c r="B267" s="90"/>
      <c r="C267" s="86"/>
      <c r="D267" s="86"/>
      <c r="E267" s="86"/>
      <c r="F267" s="86"/>
      <c r="G267" s="86"/>
      <c r="H267" s="86"/>
      <c r="I267" s="86"/>
      <c r="J267" s="86"/>
      <c r="K267" s="86"/>
      <c r="L267" s="86"/>
      <c r="M267" s="86"/>
      <c r="N267" s="86"/>
      <c r="O267" s="86"/>
      <c r="P267" s="86"/>
      <c r="Q267" s="86"/>
      <c r="R267" s="86"/>
      <c r="S267" s="86"/>
      <c r="T267" s="86"/>
      <c r="U267" s="86"/>
      <c r="V267" s="86"/>
      <c r="W267" s="86"/>
      <c r="X267" s="86"/>
      <c r="Y267" s="86"/>
      <c r="Z267" s="86"/>
      <c r="AA267" s="86"/>
      <c r="AB267" s="86"/>
      <c r="AC267" s="86"/>
      <c r="AD267" s="86"/>
      <c r="AE267" s="86"/>
    </row>
    <row r="268" spans="1:31" s="18" customFormat="1" ht="15.75" x14ac:dyDescent="0.25">
      <c r="A268" s="80"/>
      <c r="B268" s="90"/>
      <c r="C268" s="86"/>
      <c r="D268" s="86"/>
      <c r="E268" s="86"/>
      <c r="F268" s="86"/>
      <c r="G268" s="86"/>
      <c r="H268" s="86"/>
      <c r="I268" s="86"/>
      <c r="J268" s="86"/>
      <c r="K268" s="86"/>
      <c r="L268" s="86"/>
      <c r="M268" s="86"/>
      <c r="N268" s="86"/>
      <c r="O268" s="86"/>
      <c r="P268" s="86"/>
      <c r="Q268" s="86"/>
      <c r="R268" s="86"/>
      <c r="S268" s="86"/>
      <c r="T268" s="86"/>
      <c r="U268" s="86"/>
      <c r="V268" s="86"/>
      <c r="W268" s="86"/>
      <c r="X268" s="86"/>
      <c r="Y268" s="86"/>
      <c r="Z268" s="86"/>
      <c r="AA268" s="86"/>
      <c r="AB268" s="86"/>
      <c r="AC268" s="86"/>
      <c r="AD268" s="86"/>
      <c r="AE268" s="86"/>
    </row>
    <row r="269" spans="1:31" s="18" customFormat="1" ht="15.75" x14ac:dyDescent="0.25">
      <c r="A269" s="80"/>
      <c r="B269" s="90"/>
      <c r="C269" s="86"/>
      <c r="D269" s="86"/>
      <c r="E269" s="86"/>
      <c r="F269" s="86"/>
      <c r="G269" s="86"/>
      <c r="H269" s="86"/>
      <c r="I269" s="86"/>
      <c r="J269" s="86"/>
      <c r="K269" s="86"/>
      <c r="L269" s="86"/>
      <c r="M269" s="86"/>
      <c r="N269" s="86"/>
      <c r="O269" s="86"/>
      <c r="P269" s="86"/>
      <c r="Q269" s="86"/>
      <c r="R269" s="86"/>
      <c r="S269" s="86"/>
      <c r="T269" s="86"/>
      <c r="U269" s="86"/>
      <c r="V269" s="86"/>
      <c r="W269" s="86"/>
      <c r="X269" s="86"/>
      <c r="Y269" s="86"/>
      <c r="Z269" s="86"/>
      <c r="AA269" s="86"/>
      <c r="AB269" s="86"/>
      <c r="AC269" s="86"/>
      <c r="AD269" s="86"/>
      <c r="AE269" s="86"/>
    </row>
    <row r="270" spans="1:31" s="18" customFormat="1" ht="15.75" x14ac:dyDescent="0.25">
      <c r="A270" s="80"/>
      <c r="B270" s="90"/>
      <c r="C270" s="86"/>
      <c r="D270" s="86"/>
      <c r="E270" s="86"/>
      <c r="F270" s="86"/>
      <c r="G270" s="86"/>
      <c r="H270" s="86"/>
      <c r="I270" s="86"/>
      <c r="J270" s="86"/>
      <c r="K270" s="86"/>
      <c r="L270" s="86"/>
      <c r="M270" s="86"/>
      <c r="N270" s="86"/>
      <c r="O270" s="86"/>
      <c r="P270" s="86"/>
      <c r="Q270" s="86"/>
      <c r="R270" s="86"/>
      <c r="S270" s="86"/>
      <c r="T270" s="86"/>
      <c r="U270" s="86"/>
      <c r="V270" s="86"/>
      <c r="W270" s="86"/>
      <c r="X270" s="86"/>
      <c r="Y270" s="86"/>
      <c r="Z270" s="86"/>
      <c r="AA270" s="86"/>
      <c r="AB270" s="86"/>
      <c r="AC270" s="86"/>
      <c r="AD270" s="86"/>
      <c r="AE270" s="86"/>
    </row>
    <row r="271" spans="1:31" s="18" customFormat="1" ht="15.75" x14ac:dyDescent="0.25">
      <c r="A271" s="80"/>
      <c r="B271" s="90"/>
      <c r="C271" s="86"/>
      <c r="D271" s="86"/>
      <c r="E271" s="86"/>
      <c r="F271" s="86"/>
      <c r="G271" s="86"/>
      <c r="H271" s="86"/>
      <c r="I271" s="86"/>
      <c r="J271" s="86"/>
      <c r="K271" s="86"/>
      <c r="L271" s="86"/>
      <c r="M271" s="86"/>
      <c r="N271" s="86"/>
      <c r="O271" s="86"/>
      <c r="P271" s="86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  <c r="AC271" s="86"/>
      <c r="AD271" s="86"/>
      <c r="AE271" s="86"/>
    </row>
    <row r="272" spans="1:31" s="18" customFormat="1" ht="15.75" x14ac:dyDescent="0.25">
      <c r="A272" s="80"/>
      <c r="B272" s="90"/>
      <c r="C272" s="86"/>
      <c r="D272" s="86"/>
      <c r="E272" s="86"/>
      <c r="F272" s="86"/>
      <c r="G272" s="86"/>
      <c r="H272" s="86"/>
      <c r="I272" s="86"/>
      <c r="J272" s="86"/>
      <c r="K272" s="86"/>
      <c r="L272" s="86"/>
      <c r="M272" s="86"/>
      <c r="N272" s="86"/>
      <c r="O272" s="86"/>
      <c r="P272" s="86"/>
      <c r="Q272" s="86"/>
      <c r="R272" s="86"/>
      <c r="S272" s="86"/>
      <c r="T272" s="86"/>
      <c r="U272" s="86"/>
      <c r="V272" s="86"/>
      <c r="W272" s="86"/>
      <c r="X272" s="86"/>
      <c r="Y272" s="86"/>
      <c r="Z272" s="86"/>
      <c r="AA272" s="86"/>
      <c r="AB272" s="86"/>
      <c r="AC272" s="86"/>
      <c r="AD272" s="86"/>
      <c r="AE272" s="86"/>
    </row>
    <row r="273" spans="1:31" s="18" customFormat="1" x14ac:dyDescent="0.25">
      <c r="A273" s="86"/>
      <c r="B273" s="89"/>
      <c r="C273" s="86"/>
      <c r="D273" s="86"/>
      <c r="E273" s="86"/>
      <c r="F273" s="86"/>
      <c r="G273" s="86"/>
      <c r="H273" s="86"/>
      <c r="I273" s="86"/>
      <c r="J273" s="86"/>
      <c r="K273" s="86"/>
      <c r="L273" s="86"/>
      <c r="M273" s="86"/>
      <c r="N273" s="86"/>
      <c r="O273" s="86"/>
      <c r="P273" s="86"/>
      <c r="Q273" s="86"/>
      <c r="R273" s="86"/>
      <c r="S273" s="86"/>
      <c r="T273" s="86"/>
      <c r="U273" s="86"/>
      <c r="V273" s="86"/>
      <c r="W273" s="86"/>
      <c r="X273" s="86"/>
      <c r="Y273" s="86"/>
      <c r="Z273" s="86"/>
      <c r="AA273" s="86"/>
      <c r="AB273" s="86"/>
      <c r="AC273" s="86"/>
      <c r="AD273" s="86"/>
      <c r="AE273" s="86"/>
    </row>
    <row r="274" spans="1:31" s="18" customFormat="1" x14ac:dyDescent="0.25">
      <c r="A274" s="86"/>
      <c r="B274" s="89"/>
      <c r="C274" s="86"/>
      <c r="D274" s="86"/>
      <c r="E274" s="86"/>
      <c r="F274" s="86"/>
      <c r="G274" s="8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  <c r="S274" s="86"/>
      <c r="T274" s="86"/>
      <c r="U274" s="86"/>
      <c r="V274" s="86"/>
      <c r="W274" s="86"/>
      <c r="X274" s="86"/>
      <c r="Y274" s="86"/>
      <c r="Z274" s="86"/>
      <c r="AA274" s="86"/>
      <c r="AB274" s="86"/>
      <c r="AC274" s="86"/>
      <c r="AD274" s="86"/>
      <c r="AE274" s="86"/>
    </row>
    <row r="275" spans="1:31" s="18" customFormat="1" x14ac:dyDescent="0.25">
      <c r="A275" s="86"/>
      <c r="B275" s="89"/>
      <c r="C275" s="86"/>
      <c r="D275" s="86"/>
      <c r="E275" s="86"/>
      <c r="F275" s="86"/>
      <c r="G275" s="86"/>
      <c r="H275" s="86"/>
      <c r="I275" s="86"/>
      <c r="J275" s="86"/>
      <c r="K275" s="86"/>
      <c r="L275" s="86"/>
      <c r="M275" s="86"/>
      <c r="N275" s="86"/>
      <c r="O275" s="86"/>
      <c r="P275" s="86"/>
      <c r="Q275" s="86"/>
      <c r="R275" s="86"/>
      <c r="S275" s="86"/>
      <c r="T275" s="86"/>
      <c r="U275" s="86"/>
      <c r="V275" s="86"/>
      <c r="W275" s="86"/>
      <c r="X275" s="86"/>
      <c r="Y275" s="86"/>
      <c r="Z275" s="86"/>
      <c r="AA275" s="86"/>
      <c r="AB275" s="86"/>
      <c r="AC275" s="86"/>
      <c r="AD275" s="86"/>
      <c r="AE275" s="86"/>
    </row>
    <row r="276" spans="1:31" s="18" customFormat="1" x14ac:dyDescent="0.25">
      <c r="A276" s="86"/>
      <c r="B276" s="89"/>
      <c r="C276" s="86"/>
      <c r="D276" s="86"/>
      <c r="E276" s="86"/>
      <c r="F276" s="86"/>
      <c r="G276" s="86"/>
      <c r="H276" s="86"/>
      <c r="I276" s="86"/>
      <c r="J276" s="86"/>
      <c r="K276" s="86"/>
      <c r="L276" s="86"/>
      <c r="M276" s="86"/>
      <c r="N276" s="86"/>
      <c r="O276" s="86"/>
      <c r="P276" s="86"/>
      <c r="Q276" s="86"/>
      <c r="R276" s="86"/>
      <c r="S276" s="86"/>
      <c r="T276" s="86"/>
      <c r="U276" s="86"/>
      <c r="V276" s="86"/>
      <c r="W276" s="86"/>
      <c r="X276" s="86"/>
      <c r="Y276" s="86"/>
      <c r="Z276" s="86"/>
      <c r="AA276" s="86"/>
      <c r="AB276" s="86"/>
      <c r="AC276" s="86"/>
      <c r="AD276" s="86"/>
      <c r="AE276" s="86"/>
    </row>
    <row r="277" spans="1:31" s="18" customFormat="1" x14ac:dyDescent="0.25">
      <c r="A277" s="86"/>
      <c r="B277" s="89"/>
      <c r="C277" s="86"/>
      <c r="D277" s="86"/>
      <c r="E277" s="86"/>
      <c r="F277" s="86"/>
      <c r="G277" s="86"/>
      <c r="H277" s="86"/>
      <c r="I277" s="86"/>
      <c r="J277" s="86"/>
      <c r="K277" s="86"/>
      <c r="L277" s="86"/>
      <c r="M277" s="86"/>
      <c r="N277" s="86"/>
      <c r="O277" s="86"/>
      <c r="P277" s="86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  <c r="AC277" s="86"/>
      <c r="AD277" s="86"/>
      <c r="AE277" s="86"/>
    </row>
    <row r="278" spans="1:31" s="18" customFormat="1" x14ac:dyDescent="0.25">
      <c r="A278" s="86"/>
      <c r="B278" s="89"/>
      <c r="C278" s="86"/>
      <c r="D278" s="86"/>
      <c r="E278" s="86"/>
      <c r="F278" s="86"/>
      <c r="G278" s="86"/>
      <c r="H278" s="86"/>
      <c r="I278" s="86"/>
      <c r="J278" s="86"/>
      <c r="K278" s="86"/>
      <c r="L278" s="86"/>
      <c r="M278" s="86"/>
      <c r="N278" s="86"/>
      <c r="O278" s="86"/>
      <c r="P278" s="86"/>
      <c r="Q278" s="86"/>
      <c r="R278" s="86"/>
      <c r="S278" s="86"/>
      <c r="T278" s="86"/>
      <c r="U278" s="86"/>
      <c r="V278" s="86"/>
      <c r="W278" s="86"/>
      <c r="X278" s="86"/>
      <c r="Y278" s="86"/>
      <c r="Z278" s="86"/>
      <c r="AA278" s="86"/>
      <c r="AB278" s="86"/>
      <c r="AC278" s="86"/>
      <c r="AD278" s="86"/>
      <c r="AE278" s="86"/>
    </row>
    <row r="279" spans="1:31" s="18" customFormat="1" x14ac:dyDescent="0.25">
      <c r="A279" s="86"/>
      <c r="B279" s="89"/>
      <c r="C279" s="86"/>
      <c r="D279" s="86"/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  <c r="AC279" s="86"/>
      <c r="AD279" s="86"/>
      <c r="AE279" s="86"/>
    </row>
    <row r="280" spans="1:31" s="18" customFormat="1" x14ac:dyDescent="0.25">
      <c r="A280" s="86"/>
      <c r="B280" s="89"/>
      <c r="C280" s="86"/>
      <c r="D280" s="86"/>
      <c r="E280" s="86"/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  <c r="AC280" s="86"/>
      <c r="AD280" s="86"/>
      <c r="AE280" s="86"/>
    </row>
    <row r="281" spans="1:31" s="18" customFormat="1" x14ac:dyDescent="0.25">
      <c r="A281" s="86"/>
      <c r="B281" s="89"/>
      <c r="C281" s="86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  <c r="AC281" s="86"/>
      <c r="AD281" s="86"/>
      <c r="AE281" s="86"/>
    </row>
    <row r="282" spans="1:31" s="18" customFormat="1" x14ac:dyDescent="0.25">
      <c r="A282" s="86"/>
      <c r="B282" s="89"/>
      <c r="C282" s="86"/>
      <c r="D282" s="86"/>
      <c r="E282" s="86"/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  <c r="AC282" s="86"/>
      <c r="AD282" s="86"/>
      <c r="AE282" s="86"/>
    </row>
    <row r="283" spans="1:31" s="18" customFormat="1" x14ac:dyDescent="0.25">
      <c r="A283" s="86"/>
      <c r="B283" s="89"/>
      <c r="C283" s="86"/>
      <c r="D283" s="86"/>
      <c r="E283" s="86"/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  <c r="AC283" s="86"/>
      <c r="AD283" s="86"/>
      <c r="AE283" s="86"/>
    </row>
    <row r="284" spans="1:31" s="18" customFormat="1" x14ac:dyDescent="0.25">
      <c r="A284" s="86"/>
      <c r="B284" s="89"/>
      <c r="C284" s="86"/>
      <c r="D284" s="86"/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  <c r="AC284" s="86"/>
      <c r="AD284" s="86"/>
      <c r="AE284" s="86"/>
    </row>
    <row r="285" spans="1:31" s="18" customFormat="1" x14ac:dyDescent="0.25">
      <c r="A285" s="86"/>
      <c r="B285" s="89"/>
      <c r="C285" s="86"/>
      <c r="D285" s="86"/>
      <c r="E285" s="86"/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  <c r="AC285" s="86"/>
      <c r="AD285" s="86"/>
      <c r="AE285" s="86"/>
    </row>
    <row r="286" spans="1:31" s="18" customFormat="1" x14ac:dyDescent="0.25">
      <c r="A286" s="86"/>
      <c r="B286" s="89"/>
      <c r="C286" s="86"/>
      <c r="D286" s="86"/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  <c r="AC286" s="86"/>
      <c r="AD286" s="86"/>
      <c r="AE286" s="86"/>
    </row>
    <row r="287" spans="1:31" s="18" customFormat="1" x14ac:dyDescent="0.25">
      <c r="A287" s="86"/>
      <c r="B287" s="89"/>
      <c r="C287" s="86"/>
      <c r="D287" s="86"/>
      <c r="E287" s="86"/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  <c r="AC287" s="86"/>
      <c r="AD287" s="86"/>
      <c r="AE287" s="86"/>
    </row>
    <row r="288" spans="1:31" s="18" customFormat="1" x14ac:dyDescent="0.25">
      <c r="A288" s="86"/>
      <c r="B288" s="89"/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  <c r="AC288" s="86"/>
      <c r="AD288" s="86"/>
      <c r="AE288" s="86"/>
    </row>
    <row r="289" spans="1:31" s="18" customFormat="1" x14ac:dyDescent="0.25">
      <c r="A289" s="86"/>
      <c r="B289" s="89"/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  <c r="AC289" s="86"/>
      <c r="AD289" s="86"/>
      <c r="AE289" s="86"/>
    </row>
    <row r="290" spans="1:31" s="18" customFormat="1" x14ac:dyDescent="0.25">
      <c r="A290" s="86"/>
      <c r="B290" s="89"/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  <c r="R290" s="86"/>
      <c r="S290" s="86"/>
      <c r="T290" s="86"/>
      <c r="U290" s="86"/>
      <c r="V290" s="86"/>
      <c r="W290" s="86"/>
      <c r="X290" s="86"/>
      <c r="Y290" s="86"/>
      <c r="Z290" s="86"/>
      <c r="AA290" s="86"/>
      <c r="AB290" s="86"/>
      <c r="AC290" s="86"/>
      <c r="AD290" s="86"/>
      <c r="AE290" s="86"/>
    </row>
    <row r="291" spans="1:31" s="18" customFormat="1" x14ac:dyDescent="0.25">
      <c r="A291" s="86"/>
      <c r="B291" s="89"/>
      <c r="C291" s="86"/>
      <c r="D291" s="86"/>
      <c r="E291" s="86"/>
      <c r="F291" s="86"/>
      <c r="G291" s="86"/>
      <c r="H291" s="86"/>
      <c r="I291" s="86"/>
      <c r="J291" s="86"/>
      <c r="K291" s="86"/>
      <c r="L291" s="86"/>
      <c r="M291" s="86"/>
      <c r="N291" s="86"/>
      <c r="O291" s="86"/>
      <c r="P291" s="86"/>
      <c r="Q291" s="86"/>
      <c r="R291" s="86"/>
      <c r="S291" s="86"/>
      <c r="T291" s="86"/>
      <c r="U291" s="86"/>
      <c r="V291" s="86"/>
      <c r="W291" s="86"/>
      <c r="X291" s="86"/>
      <c r="Y291" s="86"/>
      <c r="Z291" s="86"/>
      <c r="AA291" s="86"/>
      <c r="AB291" s="86"/>
      <c r="AC291" s="86"/>
      <c r="AD291" s="86"/>
      <c r="AE291" s="86"/>
    </row>
    <row r="292" spans="1:31" s="18" customFormat="1" x14ac:dyDescent="0.25">
      <c r="A292" s="86"/>
      <c r="B292" s="89"/>
      <c r="C292" s="86"/>
      <c r="D292" s="86"/>
      <c r="E292" s="86"/>
      <c r="F292" s="86"/>
      <c r="G292" s="86"/>
      <c r="H292" s="86"/>
      <c r="I292" s="86"/>
      <c r="J292" s="86"/>
      <c r="K292" s="86"/>
      <c r="L292" s="86"/>
      <c r="M292" s="86"/>
      <c r="N292" s="86"/>
      <c r="O292" s="86"/>
      <c r="P292" s="86"/>
      <c r="Q292" s="86"/>
      <c r="R292" s="86"/>
      <c r="S292" s="86"/>
      <c r="T292" s="86"/>
      <c r="U292" s="86"/>
      <c r="V292" s="86"/>
      <c r="W292" s="86"/>
      <c r="X292" s="86"/>
      <c r="Y292" s="86"/>
      <c r="Z292" s="86"/>
      <c r="AA292" s="86"/>
      <c r="AB292" s="86"/>
      <c r="AC292" s="86"/>
      <c r="AD292" s="86"/>
      <c r="AE292" s="86"/>
    </row>
    <row r="293" spans="1:31" s="18" customFormat="1" x14ac:dyDescent="0.25">
      <c r="A293" s="86"/>
      <c r="B293" s="89"/>
      <c r="C293" s="86"/>
      <c r="D293" s="86"/>
      <c r="E293" s="86"/>
      <c r="F293" s="86"/>
      <c r="G293" s="86"/>
      <c r="H293" s="86"/>
      <c r="I293" s="86"/>
      <c r="J293" s="86"/>
      <c r="K293" s="86"/>
      <c r="L293" s="86"/>
      <c r="M293" s="86"/>
      <c r="N293" s="86"/>
      <c r="O293" s="86"/>
      <c r="P293" s="86"/>
      <c r="Q293" s="86"/>
      <c r="R293" s="86"/>
      <c r="S293" s="86"/>
      <c r="T293" s="86"/>
      <c r="U293" s="86"/>
      <c r="V293" s="86"/>
      <c r="W293" s="86"/>
      <c r="X293" s="86"/>
      <c r="Y293" s="86"/>
      <c r="Z293" s="86"/>
      <c r="AA293" s="86"/>
      <c r="AB293" s="86"/>
      <c r="AC293" s="86"/>
      <c r="AD293" s="86"/>
      <c r="AE293" s="86"/>
    </row>
    <row r="294" spans="1:31" s="18" customFormat="1" x14ac:dyDescent="0.25">
      <c r="A294" s="86"/>
      <c r="B294" s="89"/>
      <c r="C294" s="86"/>
      <c r="D294" s="86"/>
      <c r="E294" s="86"/>
      <c r="F294" s="86"/>
      <c r="G294" s="86"/>
      <c r="H294" s="86"/>
      <c r="I294" s="86"/>
      <c r="J294" s="86"/>
      <c r="K294" s="86"/>
      <c r="L294" s="86"/>
      <c r="M294" s="86"/>
      <c r="N294" s="86"/>
      <c r="O294" s="86"/>
      <c r="P294" s="86"/>
      <c r="Q294" s="86"/>
      <c r="R294" s="86"/>
      <c r="S294" s="86"/>
      <c r="T294" s="86"/>
      <c r="U294" s="86"/>
      <c r="V294" s="86"/>
      <c r="W294" s="86"/>
      <c r="X294" s="86"/>
      <c r="Y294" s="86"/>
      <c r="Z294" s="86"/>
      <c r="AA294" s="86"/>
      <c r="AB294" s="86"/>
      <c r="AC294" s="86"/>
      <c r="AD294" s="86"/>
      <c r="AE294" s="86"/>
    </row>
    <row r="295" spans="1:31" s="18" customFormat="1" x14ac:dyDescent="0.25">
      <c r="A295" s="86"/>
      <c r="B295" s="89"/>
      <c r="C295" s="86"/>
      <c r="D295" s="86"/>
      <c r="E295" s="86"/>
      <c r="F295" s="86"/>
      <c r="G295" s="86"/>
      <c r="H295" s="86"/>
      <c r="I295" s="86"/>
      <c r="J295" s="86"/>
      <c r="K295" s="86"/>
      <c r="L295" s="86"/>
      <c r="M295" s="86"/>
      <c r="N295" s="86"/>
      <c r="O295" s="86"/>
      <c r="P295" s="86"/>
      <c r="Q295" s="86"/>
      <c r="R295" s="86"/>
      <c r="S295" s="86"/>
      <c r="T295" s="86"/>
      <c r="U295" s="86"/>
      <c r="V295" s="86"/>
      <c r="W295" s="86"/>
      <c r="X295" s="86"/>
      <c r="Y295" s="86"/>
      <c r="Z295" s="86"/>
      <c r="AA295" s="86"/>
      <c r="AB295" s="86"/>
      <c r="AC295" s="86"/>
      <c r="AD295" s="86"/>
      <c r="AE295" s="86"/>
    </row>
    <row r="296" spans="1:31" s="18" customFormat="1" x14ac:dyDescent="0.25">
      <c r="A296" s="86"/>
      <c r="B296" s="89"/>
      <c r="C296" s="86"/>
      <c r="D296" s="86"/>
      <c r="E296" s="86"/>
      <c r="F296" s="86"/>
      <c r="G296" s="86"/>
      <c r="H296" s="86"/>
      <c r="I296" s="86"/>
      <c r="J296" s="86"/>
      <c r="K296" s="86"/>
      <c r="L296" s="86"/>
      <c r="M296" s="86"/>
      <c r="N296" s="86"/>
      <c r="O296" s="86"/>
      <c r="P296" s="86"/>
      <c r="Q296" s="86"/>
      <c r="R296" s="86"/>
      <c r="S296" s="86"/>
      <c r="T296" s="86"/>
      <c r="U296" s="86"/>
      <c r="V296" s="86"/>
      <c r="W296" s="86"/>
      <c r="X296" s="86"/>
      <c r="Y296" s="86"/>
      <c r="Z296" s="86"/>
      <c r="AA296" s="86"/>
      <c r="AB296" s="86"/>
      <c r="AC296" s="86"/>
      <c r="AD296" s="86"/>
      <c r="AE296" s="86"/>
    </row>
    <row r="297" spans="1:31" s="18" customFormat="1" x14ac:dyDescent="0.25">
      <c r="A297" s="86"/>
      <c r="B297" s="89"/>
      <c r="C297" s="86"/>
      <c r="D297" s="86"/>
      <c r="E297" s="86"/>
      <c r="F297" s="86"/>
      <c r="G297" s="86"/>
      <c r="H297" s="86"/>
      <c r="I297" s="86"/>
      <c r="J297" s="86"/>
      <c r="K297" s="86"/>
      <c r="L297" s="86"/>
      <c r="M297" s="86"/>
      <c r="N297" s="86"/>
      <c r="O297" s="86"/>
      <c r="P297" s="86"/>
      <c r="Q297" s="86"/>
      <c r="R297" s="86"/>
      <c r="S297" s="86"/>
      <c r="T297" s="86"/>
      <c r="U297" s="86"/>
      <c r="V297" s="86"/>
      <c r="W297" s="86"/>
      <c r="X297" s="86"/>
      <c r="Y297" s="86"/>
      <c r="Z297" s="86"/>
      <c r="AA297" s="86"/>
      <c r="AB297" s="86"/>
      <c r="AC297" s="86"/>
      <c r="AD297" s="86"/>
      <c r="AE297" s="86"/>
    </row>
    <row r="298" spans="1:31" s="18" customFormat="1" x14ac:dyDescent="0.25">
      <c r="A298" s="86"/>
      <c r="B298" s="89"/>
      <c r="C298" s="86"/>
      <c r="D298" s="86"/>
      <c r="E298" s="86"/>
      <c r="F298" s="86"/>
      <c r="G298" s="86"/>
      <c r="H298" s="86"/>
      <c r="I298" s="86"/>
      <c r="J298" s="86"/>
      <c r="K298" s="86"/>
      <c r="L298" s="86"/>
      <c r="M298" s="86"/>
      <c r="N298" s="86"/>
      <c r="O298" s="86"/>
      <c r="P298" s="86"/>
      <c r="Q298" s="86"/>
      <c r="R298" s="86"/>
      <c r="S298" s="86"/>
      <c r="T298" s="86"/>
      <c r="U298" s="86"/>
      <c r="V298" s="86"/>
      <c r="W298" s="86"/>
      <c r="X298" s="86"/>
      <c r="Y298" s="86"/>
      <c r="Z298" s="86"/>
      <c r="AA298" s="86"/>
      <c r="AB298" s="86"/>
      <c r="AC298" s="86"/>
      <c r="AD298" s="86"/>
      <c r="AE298" s="86"/>
    </row>
    <row r="299" spans="1:31" s="18" customFormat="1" x14ac:dyDescent="0.25">
      <c r="A299" s="86"/>
      <c r="B299" s="89"/>
      <c r="C299" s="86"/>
      <c r="D299" s="86"/>
      <c r="E299" s="86"/>
      <c r="F299" s="86"/>
      <c r="G299" s="86"/>
      <c r="H299" s="86"/>
      <c r="I299" s="86"/>
      <c r="J299" s="86"/>
      <c r="K299" s="86"/>
      <c r="L299" s="86"/>
      <c r="M299" s="86"/>
      <c r="N299" s="86"/>
      <c r="O299" s="86"/>
      <c r="P299" s="86"/>
      <c r="Q299" s="86"/>
      <c r="R299" s="86"/>
      <c r="S299" s="86"/>
      <c r="T299" s="86"/>
      <c r="U299" s="86"/>
      <c r="V299" s="86"/>
      <c r="W299" s="86"/>
      <c r="X299" s="86"/>
      <c r="Y299" s="86"/>
      <c r="Z299" s="86"/>
      <c r="AA299" s="86"/>
      <c r="AB299" s="86"/>
      <c r="AC299" s="86"/>
      <c r="AD299" s="86"/>
      <c r="AE299" s="86"/>
    </row>
    <row r="300" spans="1:31" s="18" customFormat="1" x14ac:dyDescent="0.25">
      <c r="A300" s="86"/>
      <c r="B300" s="89"/>
      <c r="C300" s="86"/>
      <c r="D300" s="86"/>
      <c r="E300" s="86"/>
      <c r="F300" s="86"/>
      <c r="G300" s="86"/>
      <c r="H300" s="86"/>
      <c r="I300" s="86"/>
      <c r="J300" s="86"/>
      <c r="K300" s="86"/>
      <c r="L300" s="86"/>
      <c r="M300" s="86"/>
      <c r="N300" s="86"/>
      <c r="O300" s="86"/>
      <c r="P300" s="86"/>
      <c r="Q300" s="86"/>
      <c r="R300" s="86"/>
      <c r="S300" s="86"/>
      <c r="T300" s="86"/>
      <c r="U300" s="86"/>
      <c r="V300" s="86"/>
      <c r="W300" s="86"/>
      <c r="X300" s="86"/>
      <c r="Y300" s="86"/>
      <c r="Z300" s="86"/>
      <c r="AA300" s="86"/>
      <c r="AB300" s="86"/>
      <c r="AC300" s="86"/>
      <c r="AD300" s="86"/>
      <c r="AE300" s="86"/>
    </row>
    <row r="301" spans="1:31" x14ac:dyDescent="0.25">
      <c r="B301" s="8"/>
    </row>
    <row r="302" spans="1:31" x14ac:dyDescent="0.25">
      <c r="B302" s="8"/>
    </row>
    <row r="303" spans="1:31" x14ac:dyDescent="0.25">
      <c r="B303" s="8"/>
    </row>
    <row r="304" spans="1:31" x14ac:dyDescent="0.25">
      <c r="B304" s="8"/>
    </row>
    <row r="305" spans="2:2" x14ac:dyDescent="0.25">
      <c r="B305" s="8"/>
    </row>
    <row r="306" spans="2:2" x14ac:dyDescent="0.25">
      <c r="B306" s="8"/>
    </row>
    <row r="307" spans="2:2" x14ac:dyDescent="0.25">
      <c r="B307" s="8"/>
    </row>
    <row r="308" spans="2:2" x14ac:dyDescent="0.25">
      <c r="B308" s="8"/>
    </row>
    <row r="309" spans="2:2" x14ac:dyDescent="0.25">
      <c r="B309" s="8"/>
    </row>
    <row r="310" spans="2:2" x14ac:dyDescent="0.25">
      <c r="B310" s="8"/>
    </row>
    <row r="311" spans="2:2" x14ac:dyDescent="0.25">
      <c r="B311" s="8"/>
    </row>
    <row r="312" spans="2:2" x14ac:dyDescent="0.25">
      <c r="B312" s="8"/>
    </row>
    <row r="313" spans="2:2" x14ac:dyDescent="0.25">
      <c r="B313" s="8"/>
    </row>
    <row r="314" spans="2:2" x14ac:dyDescent="0.25">
      <c r="B314" s="8"/>
    </row>
    <row r="315" spans="2:2" x14ac:dyDescent="0.25">
      <c r="B315" s="8"/>
    </row>
    <row r="316" spans="2:2" x14ac:dyDescent="0.25">
      <c r="B316" s="8"/>
    </row>
    <row r="317" spans="2:2" x14ac:dyDescent="0.25">
      <c r="B317" s="8"/>
    </row>
    <row r="318" spans="2:2" x14ac:dyDescent="0.25">
      <c r="B318" s="8"/>
    </row>
    <row r="319" spans="2:2" x14ac:dyDescent="0.25">
      <c r="B319" s="8"/>
    </row>
    <row r="320" spans="2:2" x14ac:dyDescent="0.25">
      <c r="B320" s="8"/>
    </row>
    <row r="321" spans="2:2" x14ac:dyDescent="0.25">
      <c r="B321" s="8"/>
    </row>
    <row r="322" spans="2:2" x14ac:dyDescent="0.25">
      <c r="B322" s="8"/>
    </row>
    <row r="323" spans="2:2" x14ac:dyDescent="0.25">
      <c r="B323" s="8"/>
    </row>
    <row r="324" spans="2:2" x14ac:dyDescent="0.25">
      <c r="B324" s="8"/>
    </row>
    <row r="325" spans="2:2" x14ac:dyDescent="0.25">
      <c r="B325" s="8"/>
    </row>
    <row r="326" spans="2:2" x14ac:dyDescent="0.25">
      <c r="B326" s="8"/>
    </row>
    <row r="327" spans="2:2" x14ac:dyDescent="0.25">
      <c r="B327" s="8"/>
    </row>
    <row r="328" spans="2:2" x14ac:dyDescent="0.25">
      <c r="B328" s="8"/>
    </row>
    <row r="329" spans="2:2" x14ac:dyDescent="0.25">
      <c r="B329" s="8"/>
    </row>
    <row r="330" spans="2:2" x14ac:dyDescent="0.25">
      <c r="B330" s="8"/>
    </row>
    <row r="331" spans="2:2" x14ac:dyDescent="0.25">
      <c r="B331" s="8"/>
    </row>
    <row r="332" spans="2:2" x14ac:dyDescent="0.25">
      <c r="B332" s="8"/>
    </row>
    <row r="333" spans="2:2" x14ac:dyDescent="0.25">
      <c r="B333" s="8"/>
    </row>
    <row r="334" spans="2:2" x14ac:dyDescent="0.25">
      <c r="B334" s="8"/>
    </row>
    <row r="335" spans="2:2" x14ac:dyDescent="0.25">
      <c r="B335" s="8"/>
    </row>
    <row r="336" spans="2:2" x14ac:dyDescent="0.25">
      <c r="B336" s="8"/>
    </row>
    <row r="337" spans="2:2" x14ac:dyDescent="0.25">
      <c r="B337" s="8"/>
    </row>
    <row r="338" spans="2:2" x14ac:dyDescent="0.25">
      <c r="B338" s="8"/>
    </row>
    <row r="339" spans="2:2" x14ac:dyDescent="0.25">
      <c r="B339" s="8"/>
    </row>
    <row r="340" spans="2:2" x14ac:dyDescent="0.25">
      <c r="B340" s="8"/>
    </row>
    <row r="341" spans="2:2" x14ac:dyDescent="0.25">
      <c r="B341" s="8"/>
    </row>
    <row r="342" spans="2:2" x14ac:dyDescent="0.25">
      <c r="B342" s="8"/>
    </row>
    <row r="343" spans="2:2" x14ac:dyDescent="0.25">
      <c r="B343" s="8"/>
    </row>
    <row r="344" spans="2:2" x14ac:dyDescent="0.25">
      <c r="B344" s="8"/>
    </row>
    <row r="345" spans="2:2" x14ac:dyDescent="0.25">
      <c r="B345" s="8"/>
    </row>
    <row r="346" spans="2:2" x14ac:dyDescent="0.25">
      <c r="B346" s="8"/>
    </row>
    <row r="347" spans="2:2" x14ac:dyDescent="0.25">
      <c r="B347" s="8"/>
    </row>
    <row r="348" spans="2:2" x14ac:dyDescent="0.25">
      <c r="B348" s="8"/>
    </row>
    <row r="349" spans="2:2" x14ac:dyDescent="0.25">
      <c r="B349" s="8"/>
    </row>
    <row r="350" spans="2:2" x14ac:dyDescent="0.25">
      <c r="B350" s="8"/>
    </row>
    <row r="351" spans="2:2" x14ac:dyDescent="0.25">
      <c r="B351" s="8"/>
    </row>
    <row r="352" spans="2:2" x14ac:dyDescent="0.25">
      <c r="B352" s="8"/>
    </row>
    <row r="353" spans="2:2" x14ac:dyDescent="0.25">
      <c r="B353" s="8"/>
    </row>
    <row r="354" spans="2:2" x14ac:dyDescent="0.25">
      <c r="B354" s="8"/>
    </row>
    <row r="355" spans="2:2" x14ac:dyDescent="0.25">
      <c r="B355" s="8"/>
    </row>
    <row r="356" spans="2:2" x14ac:dyDescent="0.25">
      <c r="B356" s="8"/>
    </row>
    <row r="357" spans="2:2" x14ac:dyDescent="0.25">
      <c r="B357" s="8"/>
    </row>
    <row r="358" spans="2:2" x14ac:dyDescent="0.25">
      <c r="B358" s="8"/>
    </row>
    <row r="359" spans="2:2" x14ac:dyDescent="0.25">
      <c r="B359" s="8"/>
    </row>
    <row r="360" spans="2:2" x14ac:dyDescent="0.25">
      <c r="B360" s="8"/>
    </row>
    <row r="361" spans="2:2" x14ac:dyDescent="0.25">
      <c r="B361" s="8"/>
    </row>
    <row r="362" spans="2:2" x14ac:dyDescent="0.25">
      <c r="B362" s="8"/>
    </row>
    <row r="363" spans="2:2" x14ac:dyDescent="0.25">
      <c r="B363" s="8"/>
    </row>
    <row r="364" spans="2:2" x14ac:dyDescent="0.25">
      <c r="B364" s="8"/>
    </row>
    <row r="365" spans="2:2" x14ac:dyDescent="0.25">
      <c r="B365" s="8"/>
    </row>
    <row r="366" spans="2:2" x14ac:dyDescent="0.25">
      <c r="B366" s="8"/>
    </row>
    <row r="367" spans="2:2" x14ac:dyDescent="0.25">
      <c r="B367" s="8"/>
    </row>
    <row r="368" spans="2:2" x14ac:dyDescent="0.25">
      <c r="B368" s="8"/>
    </row>
    <row r="369" spans="2:2" x14ac:dyDescent="0.25">
      <c r="B369" s="8"/>
    </row>
    <row r="370" spans="2:2" x14ac:dyDescent="0.25">
      <c r="B370" s="8"/>
    </row>
    <row r="371" spans="2:2" x14ac:dyDescent="0.25">
      <c r="B371" s="8"/>
    </row>
    <row r="372" spans="2:2" x14ac:dyDescent="0.25">
      <c r="B372" s="8"/>
    </row>
    <row r="373" spans="2:2" x14ac:dyDescent="0.25">
      <c r="B373" s="8"/>
    </row>
    <row r="374" spans="2:2" x14ac:dyDescent="0.25">
      <c r="B374" s="8"/>
    </row>
    <row r="375" spans="2:2" x14ac:dyDescent="0.25">
      <c r="B375" s="8"/>
    </row>
    <row r="376" spans="2:2" x14ac:dyDescent="0.25">
      <c r="B376" s="8"/>
    </row>
    <row r="377" spans="2:2" x14ac:dyDescent="0.25">
      <c r="B377" s="8"/>
    </row>
    <row r="378" spans="2:2" x14ac:dyDescent="0.25">
      <c r="B378" s="8"/>
    </row>
    <row r="379" spans="2:2" x14ac:dyDescent="0.25">
      <c r="B379" s="8"/>
    </row>
    <row r="380" spans="2:2" x14ac:dyDescent="0.25">
      <c r="B380" s="8"/>
    </row>
    <row r="381" spans="2:2" x14ac:dyDescent="0.25">
      <c r="B381" s="8"/>
    </row>
    <row r="382" spans="2:2" x14ac:dyDescent="0.25">
      <c r="B382" s="8"/>
    </row>
    <row r="383" spans="2:2" x14ac:dyDescent="0.25">
      <c r="B383" s="8"/>
    </row>
    <row r="384" spans="2:2" x14ac:dyDescent="0.25">
      <c r="B384" s="8"/>
    </row>
    <row r="385" spans="2:2" x14ac:dyDescent="0.25">
      <c r="B385" s="8"/>
    </row>
    <row r="386" spans="2:2" x14ac:dyDescent="0.25">
      <c r="B386" s="8"/>
    </row>
    <row r="387" spans="2:2" x14ac:dyDescent="0.25">
      <c r="B387" s="8"/>
    </row>
    <row r="388" spans="2:2" x14ac:dyDescent="0.25">
      <c r="B388" s="8"/>
    </row>
    <row r="389" spans="2:2" x14ac:dyDescent="0.25">
      <c r="B389" s="8"/>
    </row>
    <row r="390" spans="2:2" x14ac:dyDescent="0.25">
      <c r="B390" s="8"/>
    </row>
    <row r="391" spans="2:2" x14ac:dyDescent="0.25">
      <c r="B391" s="8"/>
    </row>
    <row r="392" spans="2:2" x14ac:dyDescent="0.25">
      <c r="B392" s="8"/>
    </row>
    <row r="393" spans="2:2" x14ac:dyDescent="0.25">
      <c r="B393" s="8"/>
    </row>
    <row r="394" spans="2:2" x14ac:dyDescent="0.25">
      <c r="B394" s="8"/>
    </row>
    <row r="395" spans="2:2" x14ac:dyDescent="0.25">
      <c r="B395" s="8"/>
    </row>
    <row r="396" spans="2:2" x14ac:dyDescent="0.25">
      <c r="B396" s="8"/>
    </row>
    <row r="397" spans="2:2" x14ac:dyDescent="0.25">
      <c r="B397" s="8"/>
    </row>
    <row r="398" spans="2:2" x14ac:dyDescent="0.25">
      <c r="B398" s="8"/>
    </row>
    <row r="399" spans="2:2" x14ac:dyDescent="0.25">
      <c r="B399" s="8"/>
    </row>
    <row r="400" spans="2:2" x14ac:dyDescent="0.25">
      <c r="B400" s="8"/>
    </row>
    <row r="401" spans="2:2" x14ac:dyDescent="0.25">
      <c r="B401" s="8"/>
    </row>
    <row r="402" spans="2:2" x14ac:dyDescent="0.25">
      <c r="B402" s="8"/>
    </row>
    <row r="403" spans="2:2" x14ac:dyDescent="0.25">
      <c r="B403" s="8"/>
    </row>
    <row r="404" spans="2:2" x14ac:dyDescent="0.25">
      <c r="B404" s="8"/>
    </row>
    <row r="405" spans="2:2" x14ac:dyDescent="0.25">
      <c r="B405" s="8"/>
    </row>
    <row r="406" spans="2:2" x14ac:dyDescent="0.25">
      <c r="B406" s="8"/>
    </row>
    <row r="407" spans="2:2" x14ac:dyDescent="0.25">
      <c r="B407" s="8"/>
    </row>
    <row r="408" spans="2:2" x14ac:dyDescent="0.25">
      <c r="B408" s="8"/>
    </row>
    <row r="409" spans="2:2" x14ac:dyDescent="0.25">
      <c r="B409" s="8"/>
    </row>
    <row r="410" spans="2:2" x14ac:dyDescent="0.25">
      <c r="B410" s="8"/>
    </row>
    <row r="411" spans="2:2" x14ac:dyDescent="0.25">
      <c r="B411" s="8"/>
    </row>
    <row r="412" spans="2:2" x14ac:dyDescent="0.25">
      <c r="B412" s="8"/>
    </row>
    <row r="413" spans="2:2" x14ac:dyDescent="0.25">
      <c r="B413" s="8"/>
    </row>
    <row r="414" spans="2:2" x14ac:dyDescent="0.25">
      <c r="B414" s="8"/>
    </row>
    <row r="415" spans="2:2" x14ac:dyDescent="0.25">
      <c r="B415" s="8"/>
    </row>
    <row r="416" spans="2:2" x14ac:dyDescent="0.25">
      <c r="B416" s="8"/>
    </row>
    <row r="417" spans="2:2" x14ac:dyDescent="0.25">
      <c r="B417" s="8"/>
    </row>
    <row r="418" spans="2:2" x14ac:dyDescent="0.25">
      <c r="B418" s="8"/>
    </row>
    <row r="419" spans="2:2" x14ac:dyDescent="0.25">
      <c r="B419" s="8"/>
    </row>
    <row r="420" spans="2:2" x14ac:dyDescent="0.25">
      <c r="B420" s="8"/>
    </row>
    <row r="421" spans="2:2" x14ac:dyDescent="0.25">
      <c r="B421" s="8"/>
    </row>
    <row r="422" spans="2:2" x14ac:dyDescent="0.25">
      <c r="B422" s="8"/>
    </row>
    <row r="423" spans="2:2" x14ac:dyDescent="0.25">
      <c r="B423" s="8"/>
    </row>
    <row r="424" spans="2:2" x14ac:dyDescent="0.25">
      <c r="B424" s="8"/>
    </row>
    <row r="425" spans="2:2" x14ac:dyDescent="0.25">
      <c r="B425" s="8"/>
    </row>
    <row r="426" spans="2:2" x14ac:dyDescent="0.25">
      <c r="B426" s="8"/>
    </row>
    <row r="427" spans="2:2" x14ac:dyDescent="0.25">
      <c r="B427" s="8"/>
    </row>
    <row r="428" spans="2:2" x14ac:dyDescent="0.25">
      <c r="B428" s="8"/>
    </row>
    <row r="429" spans="2:2" x14ac:dyDescent="0.25">
      <c r="B429" s="8"/>
    </row>
    <row r="430" spans="2:2" x14ac:dyDescent="0.25">
      <c r="B430" s="8"/>
    </row>
    <row r="431" spans="2:2" x14ac:dyDescent="0.25">
      <c r="B431" s="8"/>
    </row>
    <row r="432" spans="2:2" x14ac:dyDescent="0.25">
      <c r="B432" s="8"/>
    </row>
    <row r="433" spans="2:2" x14ac:dyDescent="0.25">
      <c r="B433" s="8"/>
    </row>
    <row r="434" spans="2:2" x14ac:dyDescent="0.25">
      <c r="B434" s="8"/>
    </row>
    <row r="435" spans="2:2" x14ac:dyDescent="0.25">
      <c r="B435" s="8"/>
    </row>
    <row r="436" spans="2:2" x14ac:dyDescent="0.25">
      <c r="B436" s="8"/>
    </row>
    <row r="437" spans="2:2" x14ac:dyDescent="0.25">
      <c r="B437" s="8"/>
    </row>
    <row r="438" spans="2:2" x14ac:dyDescent="0.25">
      <c r="B438" s="8"/>
    </row>
    <row r="439" spans="2:2" x14ac:dyDescent="0.25">
      <c r="B439" s="8"/>
    </row>
    <row r="440" spans="2:2" x14ac:dyDescent="0.25">
      <c r="B440" s="8"/>
    </row>
    <row r="441" spans="2:2" x14ac:dyDescent="0.25">
      <c r="B441" s="8"/>
    </row>
    <row r="442" spans="2:2" x14ac:dyDescent="0.25">
      <c r="B442" s="8"/>
    </row>
    <row r="443" spans="2:2" x14ac:dyDescent="0.25">
      <c r="B443" s="8"/>
    </row>
    <row r="444" spans="2:2" x14ac:dyDescent="0.25">
      <c r="B444" s="8"/>
    </row>
    <row r="445" spans="2:2" x14ac:dyDescent="0.25">
      <c r="B445" s="8"/>
    </row>
    <row r="446" spans="2:2" x14ac:dyDescent="0.25">
      <c r="B446" s="8"/>
    </row>
    <row r="447" spans="2:2" x14ac:dyDescent="0.25">
      <c r="B447" s="8"/>
    </row>
    <row r="448" spans="2:2" x14ac:dyDescent="0.25">
      <c r="B448" s="8"/>
    </row>
    <row r="449" spans="2:2" x14ac:dyDescent="0.25">
      <c r="B449" s="8"/>
    </row>
    <row r="450" spans="2:2" x14ac:dyDescent="0.25">
      <c r="B450" s="8"/>
    </row>
    <row r="451" spans="2:2" x14ac:dyDescent="0.25">
      <c r="B451" s="8"/>
    </row>
    <row r="452" spans="2:2" x14ac:dyDescent="0.25">
      <c r="B452" s="8"/>
    </row>
    <row r="453" spans="2:2" x14ac:dyDescent="0.25">
      <c r="B453" s="8"/>
    </row>
    <row r="454" spans="2:2" x14ac:dyDescent="0.25">
      <c r="B454" s="8"/>
    </row>
    <row r="455" spans="2:2" x14ac:dyDescent="0.25">
      <c r="B455" s="8"/>
    </row>
    <row r="456" spans="2:2" x14ac:dyDescent="0.25">
      <c r="B456" s="8"/>
    </row>
    <row r="457" spans="2:2" x14ac:dyDescent="0.25">
      <c r="B457" s="8"/>
    </row>
    <row r="458" spans="2:2" x14ac:dyDescent="0.25">
      <c r="B458" s="8"/>
    </row>
    <row r="459" spans="2:2" x14ac:dyDescent="0.25">
      <c r="B459" s="8"/>
    </row>
    <row r="460" spans="2:2" x14ac:dyDescent="0.25">
      <c r="B460" s="8"/>
    </row>
    <row r="461" spans="2:2" x14ac:dyDescent="0.25">
      <c r="B461" s="8"/>
    </row>
    <row r="462" spans="2:2" x14ac:dyDescent="0.25">
      <c r="B462" s="8"/>
    </row>
    <row r="463" spans="2:2" x14ac:dyDescent="0.25">
      <c r="B463" s="8"/>
    </row>
    <row r="464" spans="2:2" x14ac:dyDescent="0.25">
      <c r="B464" s="8"/>
    </row>
    <row r="465" spans="2:2" x14ac:dyDescent="0.25">
      <c r="B465" s="8"/>
    </row>
    <row r="466" spans="2:2" x14ac:dyDescent="0.25">
      <c r="B466" s="8"/>
    </row>
    <row r="467" spans="2:2" x14ac:dyDescent="0.25">
      <c r="B467" s="8"/>
    </row>
    <row r="468" spans="2:2" x14ac:dyDescent="0.25">
      <c r="B468" s="8"/>
    </row>
    <row r="469" spans="2:2" x14ac:dyDescent="0.25">
      <c r="B469" s="8"/>
    </row>
    <row r="470" spans="2:2" x14ac:dyDescent="0.25">
      <c r="B470" s="8"/>
    </row>
    <row r="471" spans="2:2" x14ac:dyDescent="0.25">
      <c r="B471" s="8"/>
    </row>
    <row r="472" spans="2:2" x14ac:dyDescent="0.25">
      <c r="B472" s="8"/>
    </row>
    <row r="473" spans="2:2" x14ac:dyDescent="0.25">
      <c r="B473" s="8"/>
    </row>
    <row r="474" spans="2:2" x14ac:dyDescent="0.25">
      <c r="B474" s="8"/>
    </row>
    <row r="475" spans="2:2" x14ac:dyDescent="0.25">
      <c r="B475" s="8"/>
    </row>
    <row r="476" spans="2:2" x14ac:dyDescent="0.25">
      <c r="B476" s="8"/>
    </row>
    <row r="477" spans="2:2" x14ac:dyDescent="0.25">
      <c r="B477" s="8"/>
    </row>
    <row r="478" spans="2:2" x14ac:dyDescent="0.25">
      <c r="B478" s="8"/>
    </row>
    <row r="479" spans="2:2" x14ac:dyDescent="0.25">
      <c r="B479" s="8"/>
    </row>
    <row r="480" spans="2:2" x14ac:dyDescent="0.25">
      <c r="B480" s="8"/>
    </row>
    <row r="481" spans="2:2" x14ac:dyDescent="0.25">
      <c r="B481" s="8"/>
    </row>
    <row r="482" spans="2:2" x14ac:dyDescent="0.25">
      <c r="B482" s="8"/>
    </row>
    <row r="483" spans="2:2" x14ac:dyDescent="0.25">
      <c r="B483" s="8"/>
    </row>
    <row r="484" spans="2:2" x14ac:dyDescent="0.25">
      <c r="B484" s="8"/>
    </row>
    <row r="485" spans="2:2" x14ac:dyDescent="0.25">
      <c r="B485" s="8"/>
    </row>
    <row r="486" spans="2:2" x14ac:dyDescent="0.25">
      <c r="B486" s="8"/>
    </row>
    <row r="487" spans="2:2" x14ac:dyDescent="0.25">
      <c r="B487" s="8"/>
    </row>
    <row r="488" spans="2:2" x14ac:dyDescent="0.25">
      <c r="B488" s="8"/>
    </row>
    <row r="489" spans="2:2" x14ac:dyDescent="0.25">
      <c r="B489" s="8"/>
    </row>
    <row r="490" spans="2:2" x14ac:dyDescent="0.25">
      <c r="B490" s="8"/>
    </row>
    <row r="491" spans="2:2" x14ac:dyDescent="0.25">
      <c r="B491" s="8"/>
    </row>
    <row r="492" spans="2:2" x14ac:dyDescent="0.25">
      <c r="B492" s="8"/>
    </row>
    <row r="493" spans="2:2" x14ac:dyDescent="0.25">
      <c r="B493" s="8"/>
    </row>
    <row r="494" spans="2:2" x14ac:dyDescent="0.25">
      <c r="B494" s="8"/>
    </row>
    <row r="495" spans="2:2" x14ac:dyDescent="0.25">
      <c r="B495" s="8"/>
    </row>
    <row r="496" spans="2:2" x14ac:dyDescent="0.25">
      <c r="B496" s="8"/>
    </row>
    <row r="497" spans="2:2" x14ac:dyDescent="0.25">
      <c r="B497" s="8"/>
    </row>
    <row r="498" spans="2:2" x14ac:dyDescent="0.25">
      <c r="B498" s="8"/>
    </row>
    <row r="499" spans="2:2" x14ac:dyDescent="0.25">
      <c r="B499" s="8"/>
    </row>
    <row r="500" spans="2:2" x14ac:dyDescent="0.25">
      <c r="B500" s="8"/>
    </row>
    <row r="501" spans="2:2" x14ac:dyDescent="0.25">
      <c r="B501" s="8"/>
    </row>
    <row r="502" spans="2:2" x14ac:dyDescent="0.25">
      <c r="B502" s="8"/>
    </row>
    <row r="503" spans="2:2" x14ac:dyDescent="0.25">
      <c r="B503" s="8"/>
    </row>
    <row r="504" spans="2:2" x14ac:dyDescent="0.25">
      <c r="B504" s="8"/>
    </row>
    <row r="505" spans="2:2" x14ac:dyDescent="0.25">
      <c r="B505" s="8"/>
    </row>
    <row r="506" spans="2:2" x14ac:dyDescent="0.25">
      <c r="B506" s="8"/>
    </row>
    <row r="507" spans="2:2" x14ac:dyDescent="0.25">
      <c r="B507" s="8"/>
    </row>
    <row r="508" spans="2:2" x14ac:dyDescent="0.25">
      <c r="B508" s="8"/>
    </row>
    <row r="509" spans="2:2" x14ac:dyDescent="0.25">
      <c r="B509" s="8"/>
    </row>
    <row r="510" spans="2:2" x14ac:dyDescent="0.25">
      <c r="B510" s="8"/>
    </row>
    <row r="511" spans="2:2" x14ac:dyDescent="0.25">
      <c r="B511" s="8"/>
    </row>
    <row r="512" spans="2:2" x14ac:dyDescent="0.25">
      <c r="B512" s="8"/>
    </row>
    <row r="513" spans="2:2" x14ac:dyDescent="0.25">
      <c r="B513" s="8"/>
    </row>
    <row r="514" spans="2:2" x14ac:dyDescent="0.25">
      <c r="B514" s="8"/>
    </row>
    <row r="515" spans="2:2" x14ac:dyDescent="0.25">
      <c r="B515" s="8"/>
    </row>
    <row r="516" spans="2:2" x14ac:dyDescent="0.25">
      <c r="B516" s="8"/>
    </row>
    <row r="517" spans="2:2" x14ac:dyDescent="0.25">
      <c r="B517" s="8"/>
    </row>
    <row r="518" spans="2:2" x14ac:dyDescent="0.25">
      <c r="B518" s="8"/>
    </row>
    <row r="519" spans="2:2" x14ac:dyDescent="0.25">
      <c r="B519" s="8"/>
    </row>
    <row r="520" spans="2:2" x14ac:dyDescent="0.25">
      <c r="B520" s="8"/>
    </row>
    <row r="521" spans="2:2" x14ac:dyDescent="0.25">
      <c r="B521" s="8"/>
    </row>
    <row r="522" spans="2:2" x14ac:dyDescent="0.25">
      <c r="B522" s="8"/>
    </row>
    <row r="523" spans="2:2" x14ac:dyDescent="0.25">
      <c r="B523" s="8"/>
    </row>
    <row r="524" spans="2:2" x14ac:dyDescent="0.25">
      <c r="B524" s="8"/>
    </row>
    <row r="525" spans="2:2" x14ac:dyDescent="0.25">
      <c r="B525" s="8"/>
    </row>
    <row r="526" spans="2:2" x14ac:dyDescent="0.25">
      <c r="B526" s="8"/>
    </row>
    <row r="527" spans="2:2" x14ac:dyDescent="0.25">
      <c r="B527" s="8"/>
    </row>
    <row r="528" spans="2:2" x14ac:dyDescent="0.25">
      <c r="B528" s="8"/>
    </row>
    <row r="529" spans="2:2" x14ac:dyDescent="0.25">
      <c r="B529" s="8"/>
    </row>
    <row r="530" spans="2:2" x14ac:dyDescent="0.25">
      <c r="B530" s="8"/>
    </row>
    <row r="531" spans="2:2" x14ac:dyDescent="0.25">
      <c r="B531" s="8"/>
    </row>
    <row r="532" spans="2:2" x14ac:dyDescent="0.25">
      <c r="B532" s="8"/>
    </row>
    <row r="533" spans="2:2" x14ac:dyDescent="0.25">
      <c r="B533" s="8"/>
    </row>
    <row r="534" spans="2:2" x14ac:dyDescent="0.25">
      <c r="B534" s="8"/>
    </row>
    <row r="535" spans="2:2" x14ac:dyDescent="0.25">
      <c r="B535" s="8"/>
    </row>
    <row r="536" spans="2:2" x14ac:dyDescent="0.25">
      <c r="B536" s="8"/>
    </row>
    <row r="537" spans="2:2" x14ac:dyDescent="0.25">
      <c r="B537" s="8"/>
    </row>
    <row r="538" spans="2:2" x14ac:dyDescent="0.25">
      <c r="B538" s="8"/>
    </row>
    <row r="539" spans="2:2" x14ac:dyDescent="0.25">
      <c r="B539" s="8"/>
    </row>
    <row r="540" spans="2:2" x14ac:dyDescent="0.25">
      <c r="B540" s="8"/>
    </row>
    <row r="541" spans="2:2" x14ac:dyDescent="0.25">
      <c r="B541" s="8"/>
    </row>
    <row r="542" spans="2:2" x14ac:dyDescent="0.25">
      <c r="B542" s="8"/>
    </row>
    <row r="543" spans="2:2" x14ac:dyDescent="0.25">
      <c r="B543" s="8"/>
    </row>
    <row r="544" spans="2:2" x14ac:dyDescent="0.25">
      <c r="B544" s="8"/>
    </row>
    <row r="545" spans="2:2" x14ac:dyDescent="0.25">
      <c r="B545" s="8"/>
    </row>
    <row r="546" spans="2:2" x14ac:dyDescent="0.25">
      <c r="B546" s="8"/>
    </row>
    <row r="547" spans="2:2" x14ac:dyDescent="0.25">
      <c r="B547" s="8"/>
    </row>
    <row r="548" spans="2:2" x14ac:dyDescent="0.25">
      <c r="B548" s="8"/>
    </row>
    <row r="549" spans="2:2" x14ac:dyDescent="0.25">
      <c r="B549" s="8"/>
    </row>
    <row r="550" spans="2:2" x14ac:dyDescent="0.25">
      <c r="B550" s="8"/>
    </row>
    <row r="551" spans="2:2" x14ac:dyDescent="0.25">
      <c r="B551" s="8"/>
    </row>
    <row r="552" spans="2:2" x14ac:dyDescent="0.25">
      <c r="B552" s="8"/>
    </row>
    <row r="553" spans="2:2" x14ac:dyDescent="0.25">
      <c r="B553" s="8"/>
    </row>
    <row r="554" spans="2:2" x14ac:dyDescent="0.25">
      <c r="B554" s="8"/>
    </row>
    <row r="555" spans="2:2" x14ac:dyDescent="0.25">
      <c r="B555" s="8"/>
    </row>
    <row r="556" spans="2:2" x14ac:dyDescent="0.25">
      <c r="B556" s="8"/>
    </row>
    <row r="557" spans="2:2" x14ac:dyDescent="0.25">
      <c r="B557" s="8"/>
    </row>
    <row r="558" spans="2:2" x14ac:dyDescent="0.25">
      <c r="B558" s="8"/>
    </row>
    <row r="559" spans="2:2" x14ac:dyDescent="0.25">
      <c r="B559" s="8"/>
    </row>
    <row r="560" spans="2:2" x14ac:dyDescent="0.25">
      <c r="B560" s="8"/>
    </row>
    <row r="561" spans="2:2" x14ac:dyDescent="0.25">
      <c r="B561" s="8"/>
    </row>
    <row r="562" spans="2:2" x14ac:dyDescent="0.25">
      <c r="B562" s="8"/>
    </row>
    <row r="563" spans="2:2" x14ac:dyDescent="0.25">
      <c r="B563" s="8"/>
    </row>
    <row r="564" spans="2:2" x14ac:dyDescent="0.25">
      <c r="B564" s="8"/>
    </row>
    <row r="565" spans="2:2" x14ac:dyDescent="0.25">
      <c r="B565" s="8"/>
    </row>
    <row r="566" spans="2:2" x14ac:dyDescent="0.25">
      <c r="B566" s="8"/>
    </row>
    <row r="567" spans="2:2" x14ac:dyDescent="0.25">
      <c r="B567" s="8"/>
    </row>
    <row r="568" spans="2:2" x14ac:dyDescent="0.25">
      <c r="B568" s="8"/>
    </row>
    <row r="569" spans="2:2" x14ac:dyDescent="0.25">
      <c r="B569" s="8"/>
    </row>
    <row r="570" spans="2:2" x14ac:dyDescent="0.25">
      <c r="B570" s="8"/>
    </row>
    <row r="571" spans="2:2" x14ac:dyDescent="0.25">
      <c r="B571" s="8"/>
    </row>
    <row r="572" spans="2:2" x14ac:dyDescent="0.25">
      <c r="B572" s="8"/>
    </row>
    <row r="573" spans="2:2" x14ac:dyDescent="0.25">
      <c r="B573" s="8"/>
    </row>
    <row r="574" spans="2:2" x14ac:dyDescent="0.25">
      <c r="B574" s="8"/>
    </row>
    <row r="575" spans="2:2" x14ac:dyDescent="0.25">
      <c r="B575" s="8"/>
    </row>
    <row r="576" spans="2:2" x14ac:dyDescent="0.25">
      <c r="B576" s="8"/>
    </row>
    <row r="577" spans="2:2" x14ac:dyDescent="0.25">
      <c r="B577" s="8"/>
    </row>
    <row r="578" spans="2:2" x14ac:dyDescent="0.25">
      <c r="B578" s="8"/>
    </row>
    <row r="579" spans="2:2" x14ac:dyDescent="0.25">
      <c r="B579" s="8"/>
    </row>
    <row r="580" spans="2:2" x14ac:dyDescent="0.25">
      <c r="B580" s="8"/>
    </row>
    <row r="581" spans="2:2" x14ac:dyDescent="0.25">
      <c r="B581" s="8"/>
    </row>
    <row r="582" spans="2:2" x14ac:dyDescent="0.25">
      <c r="B582" s="8"/>
    </row>
    <row r="583" spans="2:2" x14ac:dyDescent="0.25">
      <c r="B583" s="8"/>
    </row>
    <row r="584" spans="2:2" x14ac:dyDescent="0.25">
      <c r="B584" s="8"/>
    </row>
    <row r="585" spans="2:2" x14ac:dyDescent="0.25">
      <c r="B585" s="8"/>
    </row>
    <row r="586" spans="2:2" x14ac:dyDescent="0.25">
      <c r="B586" s="8"/>
    </row>
    <row r="587" spans="2:2" x14ac:dyDescent="0.25">
      <c r="B587" s="8"/>
    </row>
    <row r="588" spans="2:2" x14ac:dyDescent="0.25">
      <c r="B588" s="8"/>
    </row>
    <row r="589" spans="2:2" x14ac:dyDescent="0.25">
      <c r="B589" s="8"/>
    </row>
    <row r="590" spans="2:2" x14ac:dyDescent="0.25">
      <c r="B590" s="8"/>
    </row>
    <row r="591" spans="2:2" x14ac:dyDescent="0.25">
      <c r="B591" s="8"/>
    </row>
    <row r="592" spans="2:2" x14ac:dyDescent="0.25">
      <c r="B592" s="8"/>
    </row>
    <row r="593" spans="2:2" x14ac:dyDescent="0.25">
      <c r="B593" s="8"/>
    </row>
    <row r="594" spans="2:2" x14ac:dyDescent="0.25">
      <c r="B594" s="8"/>
    </row>
    <row r="595" spans="2:2" x14ac:dyDescent="0.25">
      <c r="B595" s="8"/>
    </row>
    <row r="596" spans="2:2" x14ac:dyDescent="0.25">
      <c r="B596" s="8"/>
    </row>
    <row r="597" spans="2:2" x14ac:dyDescent="0.25">
      <c r="B597" s="8"/>
    </row>
    <row r="598" spans="2:2" x14ac:dyDescent="0.25">
      <c r="B598" s="8"/>
    </row>
    <row r="599" spans="2:2" x14ac:dyDescent="0.25">
      <c r="B599" s="8"/>
    </row>
    <row r="600" spans="2:2" x14ac:dyDescent="0.25">
      <c r="B600" s="8"/>
    </row>
    <row r="601" spans="2:2" x14ac:dyDescent="0.25">
      <c r="B601" s="8"/>
    </row>
    <row r="602" spans="2:2" x14ac:dyDescent="0.25">
      <c r="B602" s="8"/>
    </row>
    <row r="603" spans="2:2" x14ac:dyDescent="0.25">
      <c r="B603" s="8"/>
    </row>
    <row r="604" spans="2:2" x14ac:dyDescent="0.25">
      <c r="B604" s="8"/>
    </row>
    <row r="605" spans="2:2" x14ac:dyDescent="0.25">
      <c r="B605" s="8"/>
    </row>
    <row r="606" spans="2:2" x14ac:dyDescent="0.25">
      <c r="B606" s="8"/>
    </row>
    <row r="607" spans="2:2" x14ac:dyDescent="0.25">
      <c r="B607" s="8"/>
    </row>
    <row r="608" spans="2:2" x14ac:dyDescent="0.25">
      <c r="B608" s="8"/>
    </row>
    <row r="609" spans="2:2" x14ac:dyDescent="0.25">
      <c r="B609" s="8"/>
    </row>
    <row r="610" spans="2:2" x14ac:dyDescent="0.25">
      <c r="B610" s="8"/>
    </row>
    <row r="611" spans="2:2" x14ac:dyDescent="0.25">
      <c r="B611" s="8"/>
    </row>
    <row r="612" spans="2:2" x14ac:dyDescent="0.25">
      <c r="B612" s="8"/>
    </row>
    <row r="613" spans="2:2" x14ac:dyDescent="0.25">
      <c r="B613" s="8"/>
    </row>
    <row r="614" spans="2:2" x14ac:dyDescent="0.25">
      <c r="B614" s="8"/>
    </row>
    <row r="615" spans="2:2" x14ac:dyDescent="0.25">
      <c r="B615" s="8"/>
    </row>
    <row r="616" spans="2:2" x14ac:dyDescent="0.25">
      <c r="B616" s="8"/>
    </row>
    <row r="617" spans="2:2" x14ac:dyDescent="0.25">
      <c r="B617" s="8"/>
    </row>
    <row r="618" spans="2:2" x14ac:dyDescent="0.25">
      <c r="B618" s="8"/>
    </row>
    <row r="619" spans="2:2" x14ac:dyDescent="0.25">
      <c r="B619" s="8"/>
    </row>
    <row r="620" spans="2:2" x14ac:dyDescent="0.25">
      <c r="B620" s="8"/>
    </row>
    <row r="621" spans="2:2" x14ac:dyDescent="0.25">
      <c r="B621" s="8"/>
    </row>
    <row r="622" spans="2:2" x14ac:dyDescent="0.25">
      <c r="B622" s="8"/>
    </row>
    <row r="623" spans="2:2" x14ac:dyDescent="0.25">
      <c r="B623" s="8"/>
    </row>
    <row r="624" spans="2:2" x14ac:dyDescent="0.25">
      <c r="B624" s="8"/>
    </row>
    <row r="625" spans="2:2" x14ac:dyDescent="0.25">
      <c r="B625" s="8"/>
    </row>
    <row r="626" spans="2:2" x14ac:dyDescent="0.25">
      <c r="B626" s="8"/>
    </row>
    <row r="627" spans="2:2" x14ac:dyDescent="0.25">
      <c r="B627" s="8"/>
    </row>
    <row r="628" spans="2:2" x14ac:dyDescent="0.25">
      <c r="B628" s="8"/>
    </row>
    <row r="629" spans="2:2" x14ac:dyDescent="0.25">
      <c r="B629" s="8"/>
    </row>
    <row r="630" spans="2:2" x14ac:dyDescent="0.25">
      <c r="B630" s="8"/>
    </row>
    <row r="631" spans="2:2" x14ac:dyDescent="0.25">
      <c r="B631" s="8"/>
    </row>
    <row r="632" spans="2:2" x14ac:dyDescent="0.25">
      <c r="B632" s="8"/>
    </row>
    <row r="633" spans="2:2" x14ac:dyDescent="0.25">
      <c r="B633" s="8"/>
    </row>
    <row r="634" spans="2:2" x14ac:dyDescent="0.25">
      <c r="B634" s="8"/>
    </row>
    <row r="635" spans="2:2" x14ac:dyDescent="0.25">
      <c r="B635" s="8"/>
    </row>
    <row r="636" spans="2:2" x14ac:dyDescent="0.25">
      <c r="B636" s="8"/>
    </row>
    <row r="637" spans="2:2" x14ac:dyDescent="0.25">
      <c r="B637" s="8"/>
    </row>
    <row r="638" spans="2:2" x14ac:dyDescent="0.25">
      <c r="B638" s="8"/>
    </row>
    <row r="639" spans="2:2" x14ac:dyDescent="0.25">
      <c r="B639" s="8"/>
    </row>
    <row r="640" spans="2:2" x14ac:dyDescent="0.25">
      <c r="B640" s="8"/>
    </row>
    <row r="641" spans="2:2" x14ac:dyDescent="0.25">
      <c r="B641" s="8"/>
    </row>
    <row r="642" spans="2:2" x14ac:dyDescent="0.25">
      <c r="B642" s="8"/>
    </row>
    <row r="643" spans="2:2" x14ac:dyDescent="0.25">
      <c r="B643" s="8"/>
    </row>
    <row r="644" spans="2:2" x14ac:dyDescent="0.25">
      <c r="B644" s="8"/>
    </row>
    <row r="645" spans="2:2" x14ac:dyDescent="0.25">
      <c r="B645" s="8"/>
    </row>
    <row r="646" spans="2:2" x14ac:dyDescent="0.25">
      <c r="B646" s="8"/>
    </row>
    <row r="647" spans="2:2" x14ac:dyDescent="0.25">
      <c r="B647" s="8"/>
    </row>
    <row r="648" spans="2:2" x14ac:dyDescent="0.25">
      <c r="B648" s="8"/>
    </row>
    <row r="649" spans="2:2" x14ac:dyDescent="0.25">
      <c r="B649" s="8"/>
    </row>
    <row r="650" spans="2:2" x14ac:dyDescent="0.25">
      <c r="B650" s="8"/>
    </row>
    <row r="651" spans="2:2" x14ac:dyDescent="0.25">
      <c r="B651" s="8"/>
    </row>
    <row r="652" spans="2:2" x14ac:dyDescent="0.25">
      <c r="B652" s="8"/>
    </row>
    <row r="653" spans="2:2" x14ac:dyDescent="0.25">
      <c r="B653" s="8"/>
    </row>
    <row r="654" spans="2:2" x14ac:dyDescent="0.25">
      <c r="B654" s="8"/>
    </row>
    <row r="655" spans="2:2" x14ac:dyDescent="0.25">
      <c r="B655" s="8"/>
    </row>
    <row r="656" spans="2:2" x14ac:dyDescent="0.25">
      <c r="B656" s="8"/>
    </row>
    <row r="657" spans="2:2" x14ac:dyDescent="0.25">
      <c r="B657" s="8"/>
    </row>
    <row r="658" spans="2:2" x14ac:dyDescent="0.25">
      <c r="B658" s="8"/>
    </row>
    <row r="659" spans="2:2" x14ac:dyDescent="0.25">
      <c r="B659" s="8"/>
    </row>
    <row r="660" spans="2:2" x14ac:dyDescent="0.25">
      <c r="B660" s="8"/>
    </row>
    <row r="661" spans="2:2" x14ac:dyDescent="0.25">
      <c r="B661" s="8"/>
    </row>
    <row r="662" spans="2:2" x14ac:dyDescent="0.25">
      <c r="B662" s="8"/>
    </row>
    <row r="663" spans="2:2" x14ac:dyDescent="0.25">
      <c r="B663" s="8"/>
    </row>
    <row r="664" spans="2:2" x14ac:dyDescent="0.25">
      <c r="B664" s="8"/>
    </row>
    <row r="665" spans="2:2" x14ac:dyDescent="0.25">
      <c r="B665" s="8"/>
    </row>
    <row r="666" spans="2:2" x14ac:dyDescent="0.25">
      <c r="B666" s="8"/>
    </row>
    <row r="667" spans="2:2" x14ac:dyDescent="0.25">
      <c r="B667" s="8"/>
    </row>
    <row r="668" spans="2:2" x14ac:dyDescent="0.25">
      <c r="B668" s="8"/>
    </row>
    <row r="669" spans="2:2" x14ac:dyDescent="0.25">
      <c r="B669" s="8"/>
    </row>
    <row r="670" spans="2:2" x14ac:dyDescent="0.25">
      <c r="B670" s="8"/>
    </row>
    <row r="671" spans="2:2" x14ac:dyDescent="0.25">
      <c r="B671" s="8"/>
    </row>
    <row r="672" spans="2:2" x14ac:dyDescent="0.25">
      <c r="B672" s="8"/>
    </row>
    <row r="673" spans="2:2" x14ac:dyDescent="0.25">
      <c r="B673" s="8"/>
    </row>
    <row r="674" spans="2:2" x14ac:dyDescent="0.25">
      <c r="B674" s="8"/>
    </row>
    <row r="675" spans="2:2" x14ac:dyDescent="0.25">
      <c r="B675" s="8"/>
    </row>
    <row r="676" spans="2:2" x14ac:dyDescent="0.25">
      <c r="B676" s="8"/>
    </row>
    <row r="677" spans="2:2" x14ac:dyDescent="0.25">
      <c r="B677" s="8"/>
    </row>
    <row r="678" spans="2:2" x14ac:dyDescent="0.25">
      <c r="B678" s="8"/>
    </row>
    <row r="679" spans="2:2" x14ac:dyDescent="0.25">
      <c r="B679" s="8"/>
    </row>
    <row r="680" spans="2:2" x14ac:dyDescent="0.25">
      <c r="B680" s="8"/>
    </row>
    <row r="681" spans="2:2" x14ac:dyDescent="0.25">
      <c r="B681" s="8"/>
    </row>
    <row r="682" spans="2:2" x14ac:dyDescent="0.25">
      <c r="B682" s="8"/>
    </row>
    <row r="683" spans="2:2" x14ac:dyDescent="0.25">
      <c r="B683" s="8"/>
    </row>
    <row r="684" spans="2:2" x14ac:dyDescent="0.25">
      <c r="B684" s="8"/>
    </row>
    <row r="685" spans="2:2" x14ac:dyDescent="0.25">
      <c r="B685" s="8"/>
    </row>
    <row r="686" spans="2:2" x14ac:dyDescent="0.25">
      <c r="B686" s="8"/>
    </row>
    <row r="687" spans="2:2" x14ac:dyDescent="0.25">
      <c r="B687" s="8"/>
    </row>
    <row r="688" spans="2:2" x14ac:dyDescent="0.25">
      <c r="B688" s="8"/>
    </row>
    <row r="689" spans="2:2" x14ac:dyDescent="0.25">
      <c r="B689" s="8"/>
    </row>
    <row r="690" spans="2:2" x14ac:dyDescent="0.25">
      <c r="B690" s="8"/>
    </row>
    <row r="691" spans="2:2" x14ac:dyDescent="0.25">
      <c r="B691" s="8"/>
    </row>
    <row r="692" spans="2:2" x14ac:dyDescent="0.25">
      <c r="B692" s="8"/>
    </row>
    <row r="693" spans="2:2" x14ac:dyDescent="0.25">
      <c r="B693" s="8"/>
    </row>
    <row r="694" spans="2:2" x14ac:dyDescent="0.25">
      <c r="B694" s="8"/>
    </row>
    <row r="695" spans="2:2" x14ac:dyDescent="0.25">
      <c r="B695" s="8"/>
    </row>
    <row r="696" spans="2:2" x14ac:dyDescent="0.25">
      <c r="B696" s="8"/>
    </row>
    <row r="697" spans="2:2" x14ac:dyDescent="0.25">
      <c r="B697" s="8"/>
    </row>
    <row r="698" spans="2:2" x14ac:dyDescent="0.25">
      <c r="B698" s="8"/>
    </row>
    <row r="699" spans="2:2" x14ac:dyDescent="0.25">
      <c r="B699" s="8"/>
    </row>
    <row r="700" spans="2:2" x14ac:dyDescent="0.25">
      <c r="B700" s="8"/>
    </row>
    <row r="701" spans="2:2" x14ac:dyDescent="0.25">
      <c r="B701" s="8"/>
    </row>
    <row r="702" spans="2:2" x14ac:dyDescent="0.25">
      <c r="B702" s="8"/>
    </row>
    <row r="703" spans="2:2" x14ac:dyDescent="0.25">
      <c r="B703" s="8"/>
    </row>
    <row r="704" spans="2:2" x14ac:dyDescent="0.25">
      <c r="B704" s="8"/>
    </row>
    <row r="705" spans="2:2" x14ac:dyDescent="0.25">
      <c r="B705" s="8"/>
    </row>
    <row r="706" spans="2:2" x14ac:dyDescent="0.25">
      <c r="B706" s="8"/>
    </row>
    <row r="707" spans="2:2" x14ac:dyDescent="0.25">
      <c r="B707" s="8"/>
    </row>
    <row r="708" spans="2:2" x14ac:dyDescent="0.25">
      <c r="B708" s="8"/>
    </row>
    <row r="709" spans="2:2" x14ac:dyDescent="0.25">
      <c r="B709" s="8"/>
    </row>
    <row r="710" spans="2:2" x14ac:dyDescent="0.25">
      <c r="B710" s="8"/>
    </row>
    <row r="711" spans="2:2" x14ac:dyDescent="0.25">
      <c r="B711" s="8"/>
    </row>
    <row r="712" spans="2:2" x14ac:dyDescent="0.25">
      <c r="B712" s="8"/>
    </row>
    <row r="713" spans="2:2" x14ac:dyDescent="0.25">
      <c r="B713" s="8"/>
    </row>
    <row r="714" spans="2:2" x14ac:dyDescent="0.25">
      <c r="B714" s="8"/>
    </row>
    <row r="715" spans="2:2" x14ac:dyDescent="0.25">
      <c r="B715" s="8"/>
    </row>
    <row r="716" spans="2:2" x14ac:dyDescent="0.25">
      <c r="B716" s="8"/>
    </row>
    <row r="717" spans="2:2" x14ac:dyDescent="0.25">
      <c r="B717" s="8"/>
    </row>
    <row r="718" spans="2:2" x14ac:dyDescent="0.25">
      <c r="B718" s="8"/>
    </row>
    <row r="719" spans="2:2" x14ac:dyDescent="0.25">
      <c r="B719" s="8"/>
    </row>
    <row r="720" spans="2:2" x14ac:dyDescent="0.25">
      <c r="B720" s="8"/>
    </row>
    <row r="721" spans="2:2" x14ac:dyDescent="0.25">
      <c r="B721" s="8"/>
    </row>
    <row r="722" spans="2:2" x14ac:dyDescent="0.25">
      <c r="B722" s="8"/>
    </row>
    <row r="723" spans="2:2" x14ac:dyDescent="0.25">
      <c r="B723" s="8"/>
    </row>
    <row r="724" spans="2:2" x14ac:dyDescent="0.25">
      <c r="B724" s="8"/>
    </row>
    <row r="725" spans="2:2" x14ac:dyDescent="0.25">
      <c r="B725" s="8"/>
    </row>
    <row r="726" spans="2:2" x14ac:dyDescent="0.25">
      <c r="B726" s="8"/>
    </row>
    <row r="727" spans="2:2" x14ac:dyDescent="0.25">
      <c r="B727" s="8"/>
    </row>
    <row r="728" spans="2:2" x14ac:dyDescent="0.25">
      <c r="B728" s="8"/>
    </row>
    <row r="729" spans="2:2" x14ac:dyDescent="0.25">
      <c r="B729" s="8"/>
    </row>
    <row r="730" spans="2:2" x14ac:dyDescent="0.25">
      <c r="B730" s="8"/>
    </row>
    <row r="731" spans="2:2" x14ac:dyDescent="0.25">
      <c r="B731" s="8"/>
    </row>
    <row r="732" spans="2:2" x14ac:dyDescent="0.25">
      <c r="B732" s="8"/>
    </row>
    <row r="733" spans="2:2" x14ac:dyDescent="0.25">
      <c r="B733" s="8"/>
    </row>
    <row r="734" spans="2:2" x14ac:dyDescent="0.25">
      <c r="B734" s="8"/>
    </row>
    <row r="735" spans="2:2" x14ac:dyDescent="0.25">
      <c r="B735" s="8"/>
    </row>
    <row r="736" spans="2:2" x14ac:dyDescent="0.25">
      <c r="B736" s="8"/>
    </row>
    <row r="737" spans="2:2" x14ac:dyDescent="0.25">
      <c r="B737" s="8"/>
    </row>
    <row r="738" spans="2:2" x14ac:dyDescent="0.25">
      <c r="B738" s="8"/>
    </row>
    <row r="739" spans="2:2" x14ac:dyDescent="0.25">
      <c r="B739" s="8"/>
    </row>
    <row r="740" spans="2:2" x14ac:dyDescent="0.25">
      <c r="B740" s="8"/>
    </row>
    <row r="741" spans="2:2" x14ac:dyDescent="0.25">
      <c r="B741" s="8"/>
    </row>
    <row r="742" spans="2:2" x14ac:dyDescent="0.25">
      <c r="B742" s="8"/>
    </row>
    <row r="743" spans="2:2" x14ac:dyDescent="0.25">
      <c r="B743" s="8"/>
    </row>
    <row r="744" spans="2:2" x14ac:dyDescent="0.25">
      <c r="B744" s="8"/>
    </row>
    <row r="745" spans="2:2" x14ac:dyDescent="0.25">
      <c r="B745" s="8"/>
    </row>
    <row r="746" spans="2:2" x14ac:dyDescent="0.25">
      <c r="B746" s="8"/>
    </row>
    <row r="747" spans="2:2" x14ac:dyDescent="0.25">
      <c r="B747" s="8"/>
    </row>
    <row r="748" spans="2:2" x14ac:dyDescent="0.25">
      <c r="B748" s="8"/>
    </row>
    <row r="749" spans="2:2" x14ac:dyDescent="0.25">
      <c r="B749" s="8"/>
    </row>
    <row r="750" spans="2:2" x14ac:dyDescent="0.25">
      <c r="B750" s="8"/>
    </row>
    <row r="751" spans="2:2" x14ac:dyDescent="0.25">
      <c r="B751" s="8"/>
    </row>
    <row r="752" spans="2:2" x14ac:dyDescent="0.25">
      <c r="B752" s="8"/>
    </row>
    <row r="753" spans="2:2" x14ac:dyDescent="0.25">
      <c r="B753" s="8"/>
    </row>
    <row r="754" spans="2:2" x14ac:dyDescent="0.25">
      <c r="B754" s="8"/>
    </row>
    <row r="755" spans="2:2" x14ac:dyDescent="0.25">
      <c r="B755" s="8"/>
    </row>
    <row r="756" spans="2:2" x14ac:dyDescent="0.25">
      <c r="B756" s="8"/>
    </row>
    <row r="757" spans="2:2" x14ac:dyDescent="0.25">
      <c r="B757" s="8"/>
    </row>
    <row r="758" spans="2:2" x14ac:dyDescent="0.25">
      <c r="B758" s="8"/>
    </row>
    <row r="759" spans="2:2" x14ac:dyDescent="0.25">
      <c r="B759" s="8"/>
    </row>
    <row r="760" spans="2:2" x14ac:dyDescent="0.25">
      <c r="B760" s="8"/>
    </row>
    <row r="761" spans="2:2" x14ac:dyDescent="0.25">
      <c r="B761" s="8"/>
    </row>
    <row r="762" spans="2:2" x14ac:dyDescent="0.25">
      <c r="B762" s="8"/>
    </row>
    <row r="763" spans="2:2" x14ac:dyDescent="0.25">
      <c r="B763" s="8"/>
    </row>
    <row r="764" spans="2:2" x14ac:dyDescent="0.25">
      <c r="B764" s="8"/>
    </row>
    <row r="765" spans="2:2" x14ac:dyDescent="0.25">
      <c r="B765" s="8"/>
    </row>
    <row r="766" spans="2:2" x14ac:dyDescent="0.25">
      <c r="B766" s="8"/>
    </row>
    <row r="767" spans="2:2" x14ac:dyDescent="0.25">
      <c r="B767" s="8"/>
    </row>
    <row r="768" spans="2:2" x14ac:dyDescent="0.25">
      <c r="B768" s="8"/>
    </row>
    <row r="769" spans="2:2" x14ac:dyDescent="0.25">
      <c r="B769" s="8"/>
    </row>
    <row r="770" spans="2:2" x14ac:dyDescent="0.25">
      <c r="B770" s="8"/>
    </row>
    <row r="771" spans="2:2" x14ac:dyDescent="0.25">
      <c r="B771" s="8"/>
    </row>
    <row r="772" spans="2:2" x14ac:dyDescent="0.25">
      <c r="B772" s="8"/>
    </row>
    <row r="773" spans="2:2" x14ac:dyDescent="0.25">
      <c r="B773" s="8"/>
    </row>
    <row r="774" spans="2:2" x14ac:dyDescent="0.25">
      <c r="B774" s="8"/>
    </row>
    <row r="775" spans="2:2" x14ac:dyDescent="0.25">
      <c r="B775" s="8"/>
    </row>
    <row r="776" spans="2:2" x14ac:dyDescent="0.25">
      <c r="B776" s="8"/>
    </row>
    <row r="777" spans="2:2" x14ac:dyDescent="0.25">
      <c r="B777" s="8"/>
    </row>
    <row r="778" spans="2:2" x14ac:dyDescent="0.25">
      <c r="B778" s="8"/>
    </row>
    <row r="779" spans="2:2" x14ac:dyDescent="0.25">
      <c r="B779" s="8"/>
    </row>
    <row r="780" spans="2:2" x14ac:dyDescent="0.25">
      <c r="B780" s="8"/>
    </row>
    <row r="781" spans="2:2" x14ac:dyDescent="0.25">
      <c r="B781" s="8"/>
    </row>
    <row r="782" spans="2:2" x14ac:dyDescent="0.25">
      <c r="B782" s="8"/>
    </row>
    <row r="783" spans="2:2" x14ac:dyDescent="0.25">
      <c r="B783" s="8"/>
    </row>
    <row r="784" spans="2:2" x14ac:dyDescent="0.25">
      <c r="B784" s="8"/>
    </row>
    <row r="785" spans="2:2" x14ac:dyDescent="0.25">
      <c r="B785" s="8"/>
    </row>
    <row r="786" spans="2:2" x14ac:dyDescent="0.25">
      <c r="B786" s="8"/>
    </row>
    <row r="787" spans="2:2" x14ac:dyDescent="0.25">
      <c r="B787" s="8"/>
    </row>
    <row r="788" spans="2:2" x14ac:dyDescent="0.25">
      <c r="B788" s="8"/>
    </row>
    <row r="789" spans="2:2" x14ac:dyDescent="0.25">
      <c r="B789" s="8"/>
    </row>
    <row r="790" spans="2:2" x14ac:dyDescent="0.25">
      <c r="B790" s="8"/>
    </row>
    <row r="791" spans="2:2" x14ac:dyDescent="0.25">
      <c r="B791" s="8"/>
    </row>
    <row r="792" spans="2:2" x14ac:dyDescent="0.25">
      <c r="B792" s="8"/>
    </row>
    <row r="793" spans="2:2" x14ac:dyDescent="0.25">
      <c r="B793" s="8"/>
    </row>
    <row r="794" spans="2:2" x14ac:dyDescent="0.25">
      <c r="B794" s="8"/>
    </row>
    <row r="795" spans="2:2" x14ac:dyDescent="0.25">
      <c r="B795" s="8"/>
    </row>
    <row r="796" spans="2:2" x14ac:dyDescent="0.25">
      <c r="B796" s="8"/>
    </row>
    <row r="797" spans="2:2" x14ac:dyDescent="0.25">
      <c r="B797" s="8"/>
    </row>
    <row r="798" spans="2:2" x14ac:dyDescent="0.25">
      <c r="B798" s="8"/>
    </row>
    <row r="799" spans="2:2" x14ac:dyDescent="0.25">
      <c r="B799" s="8"/>
    </row>
    <row r="800" spans="2:2" x14ac:dyDescent="0.25">
      <c r="B800" s="8"/>
    </row>
    <row r="801" spans="2:2" x14ac:dyDescent="0.25">
      <c r="B801" s="8"/>
    </row>
    <row r="802" spans="2:2" x14ac:dyDescent="0.25">
      <c r="B802" s="8"/>
    </row>
    <row r="803" spans="2:2" x14ac:dyDescent="0.25">
      <c r="B803" s="8"/>
    </row>
    <row r="804" spans="2:2" x14ac:dyDescent="0.25">
      <c r="B804" s="8"/>
    </row>
    <row r="805" spans="2:2" x14ac:dyDescent="0.25">
      <c r="B805" s="8"/>
    </row>
    <row r="806" spans="2:2" x14ac:dyDescent="0.25">
      <c r="B806" s="8"/>
    </row>
    <row r="807" spans="2:2" x14ac:dyDescent="0.25">
      <c r="B807" s="8"/>
    </row>
    <row r="808" spans="2:2" x14ac:dyDescent="0.25">
      <c r="B808" s="8"/>
    </row>
    <row r="809" spans="2:2" x14ac:dyDescent="0.25">
      <c r="B809" s="8"/>
    </row>
    <row r="810" spans="2:2" x14ac:dyDescent="0.25">
      <c r="B810" s="8"/>
    </row>
    <row r="811" spans="2:2" x14ac:dyDescent="0.25">
      <c r="B811" s="8"/>
    </row>
    <row r="812" spans="2:2" x14ac:dyDescent="0.25">
      <c r="B812" s="8"/>
    </row>
    <row r="813" spans="2:2" x14ac:dyDescent="0.25">
      <c r="B813" s="8"/>
    </row>
    <row r="814" spans="2:2" x14ac:dyDescent="0.25">
      <c r="B814" s="8"/>
    </row>
    <row r="815" spans="2:2" x14ac:dyDescent="0.25">
      <c r="B815" s="8"/>
    </row>
    <row r="816" spans="2:2" x14ac:dyDescent="0.25">
      <c r="B816" s="8"/>
    </row>
    <row r="817" spans="2:2" x14ac:dyDescent="0.25">
      <c r="B817" s="8"/>
    </row>
    <row r="818" spans="2:2" x14ac:dyDescent="0.25">
      <c r="B818" s="8"/>
    </row>
    <row r="819" spans="2:2" x14ac:dyDescent="0.25">
      <c r="B819" s="8"/>
    </row>
    <row r="820" spans="2:2" x14ac:dyDescent="0.25">
      <c r="B820" s="8"/>
    </row>
    <row r="821" spans="2:2" x14ac:dyDescent="0.25">
      <c r="B821" s="8"/>
    </row>
    <row r="822" spans="2:2" x14ac:dyDescent="0.25">
      <c r="B822" s="8"/>
    </row>
    <row r="823" spans="2:2" x14ac:dyDescent="0.25">
      <c r="B823" s="8"/>
    </row>
    <row r="824" spans="2:2" x14ac:dyDescent="0.25">
      <c r="B824" s="8"/>
    </row>
    <row r="825" spans="2:2" x14ac:dyDescent="0.25">
      <c r="B825" s="8"/>
    </row>
    <row r="826" spans="2:2" x14ac:dyDescent="0.25">
      <c r="B826" s="8"/>
    </row>
    <row r="827" spans="2:2" x14ac:dyDescent="0.25">
      <c r="B827" s="8"/>
    </row>
    <row r="828" spans="2:2" x14ac:dyDescent="0.25">
      <c r="B828" s="8"/>
    </row>
    <row r="829" spans="2:2" x14ac:dyDescent="0.25">
      <c r="B829" s="8"/>
    </row>
    <row r="830" spans="2:2" x14ac:dyDescent="0.25">
      <c r="B830" s="8"/>
    </row>
    <row r="831" spans="2:2" x14ac:dyDescent="0.25">
      <c r="B831" s="8"/>
    </row>
    <row r="832" spans="2:2" x14ac:dyDescent="0.25">
      <c r="B832" s="8"/>
    </row>
    <row r="833" spans="2:2" x14ac:dyDescent="0.25">
      <c r="B833" s="8"/>
    </row>
    <row r="834" spans="2:2" x14ac:dyDescent="0.25">
      <c r="B834" s="8"/>
    </row>
    <row r="835" spans="2:2" x14ac:dyDescent="0.25">
      <c r="B835" s="8"/>
    </row>
    <row r="836" spans="2:2" x14ac:dyDescent="0.25">
      <c r="B836" s="8"/>
    </row>
    <row r="837" spans="2:2" x14ac:dyDescent="0.25">
      <c r="B837" s="8"/>
    </row>
    <row r="838" spans="2:2" x14ac:dyDescent="0.25">
      <c r="B838" s="8"/>
    </row>
    <row r="839" spans="2:2" x14ac:dyDescent="0.25">
      <c r="B839" s="8"/>
    </row>
    <row r="840" spans="2:2" x14ac:dyDescent="0.25">
      <c r="B840" s="8"/>
    </row>
    <row r="841" spans="2:2" x14ac:dyDescent="0.25">
      <c r="B841" s="8"/>
    </row>
    <row r="842" spans="2:2" x14ac:dyDescent="0.25">
      <c r="B842" s="8"/>
    </row>
    <row r="843" spans="2:2" x14ac:dyDescent="0.25">
      <c r="B843" s="8"/>
    </row>
    <row r="844" spans="2:2" x14ac:dyDescent="0.25">
      <c r="B844" s="8"/>
    </row>
    <row r="845" spans="2:2" x14ac:dyDescent="0.25">
      <c r="B845" s="8"/>
    </row>
    <row r="846" spans="2:2" x14ac:dyDescent="0.25">
      <c r="B846" s="8"/>
    </row>
    <row r="847" spans="2:2" x14ac:dyDescent="0.25">
      <c r="B847" s="8"/>
    </row>
    <row r="848" spans="2:2" x14ac:dyDescent="0.25">
      <c r="B848" s="8"/>
    </row>
    <row r="849" spans="2:2" x14ac:dyDescent="0.25">
      <c r="B849" s="8"/>
    </row>
    <row r="850" spans="2:2" x14ac:dyDescent="0.25">
      <c r="B850" s="8"/>
    </row>
    <row r="851" spans="2:2" x14ac:dyDescent="0.25">
      <c r="B851" s="8"/>
    </row>
    <row r="852" spans="2:2" x14ac:dyDescent="0.25">
      <c r="B852" s="8"/>
    </row>
    <row r="853" spans="2:2" x14ac:dyDescent="0.25">
      <c r="B853" s="8"/>
    </row>
    <row r="854" spans="2:2" x14ac:dyDescent="0.25">
      <c r="B854" s="8"/>
    </row>
    <row r="855" spans="2:2" x14ac:dyDescent="0.25">
      <c r="B855" s="8"/>
    </row>
    <row r="856" spans="2:2" x14ac:dyDescent="0.25">
      <c r="B856" s="8"/>
    </row>
    <row r="857" spans="2:2" x14ac:dyDescent="0.25">
      <c r="B857" s="8"/>
    </row>
    <row r="858" spans="2:2" x14ac:dyDescent="0.25">
      <c r="B858" s="8"/>
    </row>
    <row r="859" spans="2:2" x14ac:dyDescent="0.25">
      <c r="B859" s="8"/>
    </row>
    <row r="860" spans="2:2" x14ac:dyDescent="0.25">
      <c r="B860" s="8"/>
    </row>
    <row r="861" spans="2:2" x14ac:dyDescent="0.25">
      <c r="B861" s="8"/>
    </row>
    <row r="862" spans="2:2" x14ac:dyDescent="0.25">
      <c r="B862" s="8"/>
    </row>
    <row r="863" spans="2:2" x14ac:dyDescent="0.25">
      <c r="B863" s="8"/>
    </row>
    <row r="864" spans="2:2" x14ac:dyDescent="0.25">
      <c r="B864" s="8"/>
    </row>
    <row r="865" spans="2:2" x14ac:dyDescent="0.25">
      <c r="B865" s="8"/>
    </row>
    <row r="866" spans="2:2" x14ac:dyDescent="0.25">
      <c r="B866" s="8"/>
    </row>
    <row r="867" spans="2:2" x14ac:dyDescent="0.25">
      <c r="B867" s="8"/>
    </row>
    <row r="868" spans="2:2" x14ac:dyDescent="0.25">
      <c r="B868" s="8"/>
    </row>
    <row r="869" spans="2:2" x14ac:dyDescent="0.25">
      <c r="B869" s="8"/>
    </row>
    <row r="870" spans="2:2" x14ac:dyDescent="0.25">
      <c r="B870" s="8"/>
    </row>
    <row r="871" spans="2:2" x14ac:dyDescent="0.25">
      <c r="B871" s="8"/>
    </row>
    <row r="872" spans="2:2" x14ac:dyDescent="0.25">
      <c r="B872" s="8"/>
    </row>
    <row r="873" spans="2:2" x14ac:dyDescent="0.25">
      <c r="B873" s="8"/>
    </row>
    <row r="874" spans="2:2" x14ac:dyDescent="0.25">
      <c r="B874" s="8"/>
    </row>
    <row r="875" spans="2:2" x14ac:dyDescent="0.25">
      <c r="B875" s="8"/>
    </row>
    <row r="876" spans="2:2" x14ac:dyDescent="0.25">
      <c r="B876" s="8"/>
    </row>
    <row r="877" spans="2:2" x14ac:dyDescent="0.25">
      <c r="B877" s="8"/>
    </row>
    <row r="878" spans="2:2" x14ac:dyDescent="0.25">
      <c r="B878" s="8"/>
    </row>
    <row r="879" spans="2:2" x14ac:dyDescent="0.25">
      <c r="B879" s="8"/>
    </row>
    <row r="880" spans="2:2" x14ac:dyDescent="0.25">
      <c r="B880" s="8"/>
    </row>
    <row r="881" spans="2:2" x14ac:dyDescent="0.25">
      <c r="B881" s="8"/>
    </row>
    <row r="882" spans="2:2" x14ac:dyDescent="0.25">
      <c r="B882" s="8"/>
    </row>
    <row r="883" spans="2:2" x14ac:dyDescent="0.25">
      <c r="B883" s="8"/>
    </row>
    <row r="884" spans="2:2" x14ac:dyDescent="0.25">
      <c r="B884" s="8"/>
    </row>
    <row r="885" spans="2:2" x14ac:dyDescent="0.25">
      <c r="B885" s="8"/>
    </row>
    <row r="886" spans="2:2" x14ac:dyDescent="0.25">
      <c r="B886" s="8"/>
    </row>
    <row r="887" spans="2:2" x14ac:dyDescent="0.25">
      <c r="B887" s="8"/>
    </row>
    <row r="888" spans="2:2" x14ac:dyDescent="0.25">
      <c r="B888" s="8"/>
    </row>
    <row r="889" spans="2:2" x14ac:dyDescent="0.25">
      <c r="B889" s="8"/>
    </row>
    <row r="890" spans="2:2" x14ac:dyDescent="0.25">
      <c r="B890" s="8"/>
    </row>
    <row r="891" spans="2:2" x14ac:dyDescent="0.25">
      <c r="B891" s="8"/>
    </row>
    <row r="892" spans="2:2" x14ac:dyDescent="0.25">
      <c r="B892" s="8"/>
    </row>
    <row r="893" spans="2:2" x14ac:dyDescent="0.25">
      <c r="B893" s="8"/>
    </row>
    <row r="894" spans="2:2" x14ac:dyDescent="0.25">
      <c r="B894" s="8"/>
    </row>
    <row r="895" spans="2:2" x14ac:dyDescent="0.25">
      <c r="B895" s="8"/>
    </row>
    <row r="896" spans="2:2" x14ac:dyDescent="0.25">
      <c r="B896" s="8"/>
    </row>
    <row r="897" spans="2:2" x14ac:dyDescent="0.25">
      <c r="B897" s="8"/>
    </row>
    <row r="898" spans="2:2" x14ac:dyDescent="0.25">
      <c r="B898" s="8"/>
    </row>
    <row r="899" spans="2:2" x14ac:dyDescent="0.25">
      <c r="B899" s="8"/>
    </row>
    <row r="900" spans="2:2" x14ac:dyDescent="0.25">
      <c r="B900" s="8"/>
    </row>
    <row r="901" spans="2:2" x14ac:dyDescent="0.25">
      <c r="B901" s="8"/>
    </row>
    <row r="902" spans="2:2" x14ac:dyDescent="0.25">
      <c r="B902" s="8"/>
    </row>
    <row r="903" spans="2:2" x14ac:dyDescent="0.25">
      <c r="B903" s="8"/>
    </row>
    <row r="904" spans="2:2" x14ac:dyDescent="0.25">
      <c r="B904" s="8"/>
    </row>
    <row r="905" spans="2:2" x14ac:dyDescent="0.25">
      <c r="B905" s="8"/>
    </row>
    <row r="906" spans="2:2" x14ac:dyDescent="0.25">
      <c r="B906" s="8"/>
    </row>
    <row r="907" spans="2:2" x14ac:dyDescent="0.25">
      <c r="B907" s="8"/>
    </row>
    <row r="908" spans="2:2" x14ac:dyDescent="0.25">
      <c r="B908" s="8"/>
    </row>
    <row r="909" spans="2:2" x14ac:dyDescent="0.25">
      <c r="B909" s="8"/>
    </row>
    <row r="910" spans="2:2" x14ac:dyDescent="0.25">
      <c r="B910" s="8"/>
    </row>
    <row r="911" spans="2:2" x14ac:dyDescent="0.25">
      <c r="B911" s="8"/>
    </row>
    <row r="912" spans="2:2" x14ac:dyDescent="0.25">
      <c r="B912" s="8"/>
    </row>
    <row r="913" spans="2:2" x14ac:dyDescent="0.25">
      <c r="B913" s="8"/>
    </row>
    <row r="914" spans="2:2" x14ac:dyDescent="0.25">
      <c r="B914" s="8"/>
    </row>
    <row r="915" spans="2:2" x14ac:dyDescent="0.25">
      <c r="B915" s="8"/>
    </row>
    <row r="916" spans="2:2" x14ac:dyDescent="0.25">
      <c r="B916" s="8"/>
    </row>
    <row r="917" spans="2:2" x14ac:dyDescent="0.25">
      <c r="B917" s="8"/>
    </row>
    <row r="918" spans="2:2" x14ac:dyDescent="0.25">
      <c r="B918" s="8"/>
    </row>
    <row r="919" spans="2:2" x14ac:dyDescent="0.25">
      <c r="B919" s="8"/>
    </row>
    <row r="920" spans="2:2" x14ac:dyDescent="0.25">
      <c r="B920" s="8"/>
    </row>
    <row r="921" spans="2:2" x14ac:dyDescent="0.25">
      <c r="B921" s="8"/>
    </row>
    <row r="922" spans="2:2" x14ac:dyDescent="0.25">
      <c r="B922" s="8"/>
    </row>
    <row r="923" spans="2:2" x14ac:dyDescent="0.25">
      <c r="B923" s="8"/>
    </row>
    <row r="924" spans="2:2" x14ac:dyDescent="0.25">
      <c r="B924" s="8"/>
    </row>
    <row r="925" spans="2:2" x14ac:dyDescent="0.25">
      <c r="B925" s="8"/>
    </row>
    <row r="926" spans="2:2" x14ac:dyDescent="0.25">
      <c r="B926" s="8"/>
    </row>
    <row r="927" spans="2:2" x14ac:dyDescent="0.25">
      <c r="B927" s="8"/>
    </row>
    <row r="928" spans="2:2" x14ac:dyDescent="0.25">
      <c r="B928" s="8"/>
    </row>
    <row r="929" spans="2:2" x14ac:dyDescent="0.25">
      <c r="B929" s="8"/>
    </row>
    <row r="930" spans="2:2" x14ac:dyDescent="0.25">
      <c r="B930" s="8"/>
    </row>
    <row r="931" spans="2:2" x14ac:dyDescent="0.25">
      <c r="B931" s="8"/>
    </row>
    <row r="932" spans="2:2" x14ac:dyDescent="0.25">
      <c r="B932" s="8"/>
    </row>
    <row r="933" spans="2:2" x14ac:dyDescent="0.25">
      <c r="B933" s="8"/>
    </row>
    <row r="934" spans="2:2" x14ac:dyDescent="0.25">
      <c r="B934" s="8"/>
    </row>
    <row r="935" spans="2:2" x14ac:dyDescent="0.25">
      <c r="B935" s="8"/>
    </row>
    <row r="936" spans="2:2" x14ac:dyDescent="0.25">
      <c r="B936" s="8"/>
    </row>
    <row r="937" spans="2:2" x14ac:dyDescent="0.25">
      <c r="B937" s="8"/>
    </row>
    <row r="938" spans="2:2" x14ac:dyDescent="0.25">
      <c r="B938" s="8"/>
    </row>
    <row r="939" spans="2:2" x14ac:dyDescent="0.25">
      <c r="B939" s="8"/>
    </row>
    <row r="940" spans="2:2" x14ac:dyDescent="0.25">
      <c r="B940" s="8"/>
    </row>
    <row r="941" spans="2:2" x14ac:dyDescent="0.25">
      <c r="B941" s="8"/>
    </row>
    <row r="942" spans="2:2" x14ac:dyDescent="0.25">
      <c r="B942" s="8"/>
    </row>
    <row r="943" spans="2:2" x14ac:dyDescent="0.25">
      <c r="B943" s="8"/>
    </row>
    <row r="944" spans="2:2" x14ac:dyDescent="0.25">
      <c r="B944" s="8"/>
    </row>
    <row r="945" spans="2:2" x14ac:dyDescent="0.25">
      <c r="B945" s="8"/>
    </row>
    <row r="946" spans="2:2" x14ac:dyDescent="0.25">
      <c r="B946" s="8"/>
    </row>
    <row r="947" spans="2:2" x14ac:dyDescent="0.25">
      <c r="B947" s="8"/>
    </row>
    <row r="948" spans="2:2" x14ac:dyDescent="0.25">
      <c r="B948" s="8"/>
    </row>
    <row r="949" spans="2:2" x14ac:dyDescent="0.25">
      <c r="B949" s="8"/>
    </row>
    <row r="950" spans="2:2" x14ac:dyDescent="0.25">
      <c r="B950" s="8"/>
    </row>
    <row r="951" spans="2:2" x14ac:dyDescent="0.25">
      <c r="B951" s="8"/>
    </row>
    <row r="952" spans="2:2" x14ac:dyDescent="0.25">
      <c r="B952" s="8"/>
    </row>
    <row r="953" spans="2:2" x14ac:dyDescent="0.25">
      <c r="B953" s="8"/>
    </row>
    <row r="954" spans="2:2" x14ac:dyDescent="0.25">
      <c r="B954" s="8"/>
    </row>
    <row r="955" spans="2:2" x14ac:dyDescent="0.25">
      <c r="B955" s="8"/>
    </row>
    <row r="956" spans="2:2" x14ac:dyDescent="0.25">
      <c r="B956" s="8"/>
    </row>
    <row r="957" spans="2:2" x14ac:dyDescent="0.25">
      <c r="B957" s="8"/>
    </row>
    <row r="958" spans="2:2" x14ac:dyDescent="0.25">
      <c r="B958" s="8"/>
    </row>
    <row r="959" spans="2:2" x14ac:dyDescent="0.25">
      <c r="B959" s="8"/>
    </row>
    <row r="960" spans="2:2" x14ac:dyDescent="0.25">
      <c r="B960" s="8"/>
    </row>
    <row r="961" spans="2:2" x14ac:dyDescent="0.25">
      <c r="B961" s="8"/>
    </row>
    <row r="962" spans="2:2" x14ac:dyDescent="0.25">
      <c r="B962" s="8"/>
    </row>
    <row r="963" spans="2:2" x14ac:dyDescent="0.25">
      <c r="B963" s="8"/>
    </row>
    <row r="964" spans="2:2" x14ac:dyDescent="0.25">
      <c r="B964" s="8"/>
    </row>
    <row r="965" spans="2:2" x14ac:dyDescent="0.25">
      <c r="B965" s="8"/>
    </row>
    <row r="966" spans="2:2" x14ac:dyDescent="0.25">
      <c r="B966" s="8"/>
    </row>
    <row r="967" spans="2:2" x14ac:dyDescent="0.25">
      <c r="B967" s="8"/>
    </row>
    <row r="968" spans="2:2" x14ac:dyDescent="0.25">
      <c r="B968" s="8"/>
    </row>
    <row r="969" spans="2:2" x14ac:dyDescent="0.25">
      <c r="B969" s="8"/>
    </row>
    <row r="970" spans="2:2" x14ac:dyDescent="0.25">
      <c r="B970" s="8"/>
    </row>
    <row r="971" spans="2:2" x14ac:dyDescent="0.25">
      <c r="B971" s="8"/>
    </row>
    <row r="972" spans="2:2" x14ac:dyDescent="0.25">
      <c r="B972" s="8"/>
    </row>
    <row r="973" spans="2:2" x14ac:dyDescent="0.25">
      <c r="B973" s="8"/>
    </row>
    <row r="974" spans="2:2" x14ac:dyDescent="0.25">
      <c r="B974" s="8"/>
    </row>
  </sheetData>
  <conditionalFormatting sqref="F5:F300">
    <cfRule type="containsBlanks" dxfId="6" priority="1">
      <formula>LEN(TRIM(F5))=0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learContentsOnly">
                <anchor moveWithCells="1" sizeWithCells="1">
                  <from>
                    <xdr:col>5</xdr:col>
                    <xdr:colOff>19050</xdr:colOff>
                    <xdr:row>0</xdr:row>
                    <xdr:rowOff>47625</xdr:rowOff>
                  </from>
                  <to>
                    <xdr:col>6</xdr:col>
                    <xdr:colOff>590550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ImportProgressive">
                <anchor moveWithCells="1" sizeWithCells="1">
                  <from>
                    <xdr:col>2</xdr:col>
                    <xdr:colOff>590550</xdr:colOff>
                    <xdr:row>0</xdr:row>
                    <xdr:rowOff>47625</xdr:rowOff>
                  </from>
                  <to>
                    <xdr:col>3</xdr:col>
                    <xdr:colOff>1257300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9FF7E-D595-4118-A919-186F22E11A0C}">
  <sheetPr codeName="Sheet1"/>
  <dimension ref="A1:D928"/>
  <sheetViews>
    <sheetView showGridLines="0" topLeftCell="A88" zoomScaleNormal="100" workbookViewId="0">
      <selection activeCell="J10" sqref="J10"/>
    </sheetView>
  </sheetViews>
  <sheetFormatPr defaultRowHeight="15" x14ac:dyDescent="0.25"/>
  <cols>
    <col min="1" max="1" width="10.42578125" style="84" bestFit="1" customWidth="1"/>
    <col min="2" max="2" width="16" style="84" bestFit="1" customWidth="1"/>
    <col min="3" max="4" width="9.140625" style="84"/>
    <col min="5" max="5" width="12.5703125" bestFit="1" customWidth="1"/>
    <col min="6" max="6" width="14.42578125" customWidth="1"/>
    <col min="7" max="7" width="16.85546875" bestFit="1" customWidth="1"/>
    <col min="8" max="8" width="7.85546875" customWidth="1"/>
    <col min="9" max="9" width="17.5703125" customWidth="1"/>
    <col min="10" max="10" width="15.85546875" customWidth="1"/>
  </cols>
  <sheetData>
    <row r="1" spans="1:4" x14ac:dyDescent="0.25">
      <c r="A1" s="76" t="s">
        <v>11</v>
      </c>
      <c r="B1" s="76" t="s">
        <v>0</v>
      </c>
      <c r="C1" s="76" t="s">
        <v>1</v>
      </c>
      <c r="D1" s="76" t="s">
        <v>4</v>
      </c>
    </row>
    <row r="2" spans="1:4" x14ac:dyDescent="0.25">
      <c r="A2" s="24">
        <v>46178</v>
      </c>
      <c r="B2" s="3" t="s">
        <v>54</v>
      </c>
      <c r="C2" s="3">
        <v>1</v>
      </c>
      <c r="D2" s="3">
        <v>4</v>
      </c>
    </row>
    <row r="3" spans="1:4" x14ac:dyDescent="0.25">
      <c r="A3" s="24">
        <v>46181</v>
      </c>
      <c r="B3" s="3" t="s">
        <v>30</v>
      </c>
      <c r="C3" s="3">
        <v>39</v>
      </c>
      <c r="D3" s="3">
        <v>4</v>
      </c>
    </row>
    <row r="4" spans="1:4" x14ac:dyDescent="0.25">
      <c r="A4" s="24">
        <v>46181</v>
      </c>
      <c r="B4" s="3" t="s">
        <v>38</v>
      </c>
      <c r="C4" s="3">
        <v>40</v>
      </c>
      <c r="D4" s="3">
        <v>4</v>
      </c>
    </row>
    <row r="5" spans="1:4" x14ac:dyDescent="0.25">
      <c r="A5" s="24">
        <v>46182</v>
      </c>
      <c r="B5" s="3" t="s">
        <v>30</v>
      </c>
      <c r="C5" s="3">
        <v>43</v>
      </c>
      <c r="D5" s="3">
        <v>4</v>
      </c>
    </row>
    <row r="6" spans="1:4" x14ac:dyDescent="0.25">
      <c r="A6" s="24">
        <v>46182</v>
      </c>
      <c r="B6" s="3" t="s">
        <v>38</v>
      </c>
      <c r="C6" s="3">
        <v>40</v>
      </c>
      <c r="D6" s="3">
        <v>4</v>
      </c>
    </row>
    <row r="7" spans="1:4" x14ac:dyDescent="0.25">
      <c r="A7" s="24">
        <v>46182</v>
      </c>
      <c r="B7" s="3" t="s">
        <v>57</v>
      </c>
      <c r="C7" s="3">
        <v>40</v>
      </c>
      <c r="D7" s="3">
        <v>4</v>
      </c>
    </row>
    <row r="8" spans="1:4" x14ac:dyDescent="0.25">
      <c r="A8" s="24">
        <v>46182</v>
      </c>
      <c r="B8" s="3" t="s">
        <v>30</v>
      </c>
      <c r="C8" s="3">
        <v>43</v>
      </c>
      <c r="D8" s="3">
        <v>4</v>
      </c>
    </row>
    <row r="9" spans="1:4" x14ac:dyDescent="0.25">
      <c r="A9" s="24">
        <v>46182</v>
      </c>
      <c r="B9" s="3" t="s">
        <v>38</v>
      </c>
      <c r="C9" s="3">
        <v>28</v>
      </c>
      <c r="D9" s="3">
        <v>4</v>
      </c>
    </row>
    <row r="10" spans="1:4" x14ac:dyDescent="0.25">
      <c r="A10" s="24">
        <v>46183</v>
      </c>
      <c r="B10" s="3" t="s">
        <v>38</v>
      </c>
      <c r="C10" s="3">
        <v>12</v>
      </c>
      <c r="D10" s="3">
        <v>4</v>
      </c>
    </row>
    <row r="11" spans="1:4" x14ac:dyDescent="0.25">
      <c r="A11" s="24">
        <v>46183</v>
      </c>
      <c r="B11" s="3" t="s">
        <v>57</v>
      </c>
      <c r="C11" s="3">
        <v>40</v>
      </c>
      <c r="D11" s="3">
        <v>4</v>
      </c>
    </row>
    <row r="12" spans="1:4" x14ac:dyDescent="0.25">
      <c r="A12" s="24">
        <v>46183</v>
      </c>
      <c r="B12" s="3" t="s">
        <v>30</v>
      </c>
      <c r="C12" s="3">
        <v>43</v>
      </c>
      <c r="D12" s="3">
        <v>4</v>
      </c>
    </row>
    <row r="13" spans="1:4" x14ac:dyDescent="0.25">
      <c r="A13" s="24">
        <v>46183</v>
      </c>
      <c r="B13" s="3" t="s">
        <v>38</v>
      </c>
      <c r="C13" s="3">
        <v>40</v>
      </c>
      <c r="D13" s="3">
        <v>4</v>
      </c>
    </row>
    <row r="14" spans="1:4" x14ac:dyDescent="0.25">
      <c r="A14" s="24">
        <v>46183</v>
      </c>
      <c r="B14" s="3" t="s">
        <v>30</v>
      </c>
      <c r="C14" s="3">
        <v>54</v>
      </c>
      <c r="D14" s="3">
        <v>4</v>
      </c>
    </row>
    <row r="15" spans="1:4" x14ac:dyDescent="0.25">
      <c r="A15" s="24">
        <v>46183</v>
      </c>
      <c r="B15" s="3" t="s">
        <v>57</v>
      </c>
      <c r="C15" s="3">
        <v>33</v>
      </c>
      <c r="D15" s="3">
        <v>4</v>
      </c>
    </row>
    <row r="16" spans="1:4" x14ac:dyDescent="0.25">
      <c r="A16" s="24">
        <v>46184</v>
      </c>
      <c r="B16" s="3" t="s">
        <v>57</v>
      </c>
      <c r="C16" s="3">
        <v>7</v>
      </c>
      <c r="D16" s="3">
        <v>4</v>
      </c>
    </row>
    <row r="17" spans="1:4" x14ac:dyDescent="0.25">
      <c r="A17" s="24">
        <v>46184</v>
      </c>
      <c r="B17" s="3" t="s">
        <v>34</v>
      </c>
      <c r="C17" s="3">
        <v>2</v>
      </c>
      <c r="D17" s="3">
        <v>4</v>
      </c>
    </row>
    <row r="18" spans="1:4" x14ac:dyDescent="0.25">
      <c r="A18" s="24">
        <v>46184</v>
      </c>
      <c r="B18" s="3" t="s">
        <v>38</v>
      </c>
      <c r="C18" s="3">
        <v>11</v>
      </c>
      <c r="D18" s="3">
        <v>4</v>
      </c>
    </row>
    <row r="19" spans="1:4" x14ac:dyDescent="0.25">
      <c r="A19" s="24">
        <v>46184</v>
      </c>
      <c r="B19" s="3" t="s">
        <v>40</v>
      </c>
      <c r="C19" s="3">
        <v>196</v>
      </c>
      <c r="D19" s="3">
        <v>4</v>
      </c>
    </row>
    <row r="20" spans="1:4" x14ac:dyDescent="0.25">
      <c r="A20" s="24">
        <v>46185</v>
      </c>
      <c r="B20" s="3" t="s">
        <v>40</v>
      </c>
      <c r="C20" s="3">
        <v>12</v>
      </c>
      <c r="D20" s="3">
        <v>4</v>
      </c>
    </row>
    <row r="21" spans="1:4" x14ac:dyDescent="0.25">
      <c r="A21" s="24">
        <v>46185</v>
      </c>
      <c r="B21" s="3" t="s">
        <v>43</v>
      </c>
      <c r="C21" s="3">
        <v>8</v>
      </c>
      <c r="D21" s="3">
        <v>4</v>
      </c>
    </row>
    <row r="22" spans="1:4" x14ac:dyDescent="0.25">
      <c r="A22" s="24">
        <v>46185</v>
      </c>
      <c r="B22" s="3" t="s">
        <v>49</v>
      </c>
      <c r="C22" s="3">
        <v>25</v>
      </c>
      <c r="D22" s="3">
        <v>4</v>
      </c>
    </row>
    <row r="23" spans="1:4" x14ac:dyDescent="0.25">
      <c r="A23" s="24">
        <v>46185</v>
      </c>
      <c r="B23" s="3" t="s">
        <v>47</v>
      </c>
      <c r="C23" s="3">
        <v>4</v>
      </c>
      <c r="D23" s="3">
        <v>4</v>
      </c>
    </row>
    <row r="24" spans="1:4" x14ac:dyDescent="0.25">
      <c r="A24" s="24">
        <v>46185</v>
      </c>
      <c r="B24" s="3" t="s">
        <v>46</v>
      </c>
      <c r="C24" s="3">
        <v>6</v>
      </c>
      <c r="D24" s="3">
        <v>4</v>
      </c>
    </row>
    <row r="25" spans="1:4" x14ac:dyDescent="0.25">
      <c r="A25" s="24">
        <v>46185</v>
      </c>
      <c r="B25" s="3" t="s">
        <v>51</v>
      </c>
      <c r="C25" s="3">
        <v>10</v>
      </c>
      <c r="D25" s="3">
        <v>4</v>
      </c>
    </row>
    <row r="26" spans="1:4" x14ac:dyDescent="0.25">
      <c r="A26" s="24">
        <v>46185</v>
      </c>
      <c r="B26" s="3" t="s">
        <v>54</v>
      </c>
      <c r="C26" s="3">
        <v>10</v>
      </c>
      <c r="D26" s="3">
        <v>4</v>
      </c>
    </row>
    <row r="27" spans="1:4" x14ac:dyDescent="0.25">
      <c r="A27" s="24">
        <v>46185</v>
      </c>
      <c r="B27" s="3" t="s">
        <v>44</v>
      </c>
      <c r="C27" s="3">
        <v>1</v>
      </c>
      <c r="D27" s="3">
        <v>4</v>
      </c>
    </row>
    <row r="28" spans="1:4" x14ac:dyDescent="0.25">
      <c r="A28" s="24">
        <v>46185</v>
      </c>
      <c r="B28" s="3" t="s">
        <v>57</v>
      </c>
      <c r="C28" s="3">
        <v>71</v>
      </c>
      <c r="D28" s="3">
        <v>4</v>
      </c>
    </row>
    <row r="29" spans="1:4" x14ac:dyDescent="0.25">
      <c r="A29" s="24">
        <v>46185</v>
      </c>
      <c r="B29" s="3" t="s">
        <v>58</v>
      </c>
      <c r="C29" s="3">
        <v>3</v>
      </c>
      <c r="D29" s="3">
        <v>4</v>
      </c>
    </row>
    <row r="30" spans="1:4" x14ac:dyDescent="0.25">
      <c r="A30" s="24">
        <v>46185</v>
      </c>
      <c r="B30" s="3" t="s">
        <v>25</v>
      </c>
      <c r="C30" s="3">
        <v>26</v>
      </c>
      <c r="D30" s="3">
        <v>4</v>
      </c>
    </row>
    <row r="31" spans="1:4" x14ac:dyDescent="0.25">
      <c r="A31" s="24">
        <v>46185</v>
      </c>
      <c r="B31" s="3" t="s">
        <v>30</v>
      </c>
      <c r="C31" s="3">
        <v>1</v>
      </c>
      <c r="D31" s="3">
        <v>4</v>
      </c>
    </row>
    <row r="32" spans="1:4" x14ac:dyDescent="0.25">
      <c r="A32" s="24">
        <v>46188</v>
      </c>
      <c r="B32" s="3" t="s">
        <v>25</v>
      </c>
      <c r="C32" s="3">
        <v>59</v>
      </c>
      <c r="D32" s="3">
        <v>4</v>
      </c>
    </row>
    <row r="33" spans="1:4" x14ac:dyDescent="0.25">
      <c r="A33" s="24">
        <v>46188</v>
      </c>
      <c r="B33" s="3" t="s">
        <v>29</v>
      </c>
      <c r="C33" s="3">
        <v>4</v>
      </c>
      <c r="D33" s="3">
        <v>4</v>
      </c>
    </row>
    <row r="34" spans="1:4" x14ac:dyDescent="0.25">
      <c r="A34" s="24">
        <v>46188</v>
      </c>
      <c r="B34" s="3" t="s">
        <v>30</v>
      </c>
      <c r="C34" s="3">
        <v>114</v>
      </c>
      <c r="D34" s="3">
        <v>4</v>
      </c>
    </row>
    <row r="35" spans="1:4" x14ac:dyDescent="0.25">
      <c r="A35" s="24">
        <v>46189</v>
      </c>
      <c r="B35" s="3" t="s">
        <v>30</v>
      </c>
      <c r="C35" s="3">
        <v>221</v>
      </c>
      <c r="D35" s="3">
        <v>4</v>
      </c>
    </row>
    <row r="36" spans="1:4" x14ac:dyDescent="0.25">
      <c r="A36" s="24">
        <v>46190</v>
      </c>
      <c r="B36" s="3" t="s">
        <v>30</v>
      </c>
      <c r="C36" s="3">
        <v>156</v>
      </c>
      <c r="D36" s="3">
        <v>4</v>
      </c>
    </row>
    <row r="37" spans="1:4" x14ac:dyDescent="0.25">
      <c r="A37" s="24">
        <v>46190</v>
      </c>
      <c r="B37" s="3" t="s">
        <v>34</v>
      </c>
      <c r="C37" s="3">
        <v>2</v>
      </c>
      <c r="D37" s="3">
        <v>4</v>
      </c>
    </row>
    <row r="38" spans="1:4" x14ac:dyDescent="0.25">
      <c r="A38" s="24">
        <v>46190</v>
      </c>
      <c r="B38" s="3" t="s">
        <v>38</v>
      </c>
      <c r="C38" s="3">
        <v>48</v>
      </c>
      <c r="D38" s="3">
        <v>4</v>
      </c>
    </row>
    <row r="39" spans="1:4" x14ac:dyDescent="0.25">
      <c r="A39" s="24">
        <v>46191</v>
      </c>
      <c r="B39" s="3" t="s">
        <v>38</v>
      </c>
      <c r="C39" s="3">
        <v>50</v>
      </c>
      <c r="D39" s="3">
        <v>4</v>
      </c>
    </row>
    <row r="40" spans="1:4" x14ac:dyDescent="0.25">
      <c r="A40" s="24">
        <v>46191</v>
      </c>
      <c r="B40" s="3" t="s">
        <v>47</v>
      </c>
      <c r="C40" s="3">
        <v>3</v>
      </c>
      <c r="D40" s="3">
        <v>4</v>
      </c>
    </row>
    <row r="41" spans="1:4" x14ac:dyDescent="0.25">
      <c r="A41" s="24">
        <v>46191</v>
      </c>
      <c r="B41" s="3" t="s">
        <v>49</v>
      </c>
      <c r="C41" s="3">
        <v>25</v>
      </c>
      <c r="D41" s="3">
        <v>4</v>
      </c>
    </row>
    <row r="42" spans="1:4" x14ac:dyDescent="0.25">
      <c r="A42" s="24">
        <v>46191</v>
      </c>
      <c r="B42" s="3" t="s">
        <v>57</v>
      </c>
      <c r="C42" s="3">
        <v>90</v>
      </c>
      <c r="D42" s="3">
        <v>4</v>
      </c>
    </row>
    <row r="43" spans="1:4" x14ac:dyDescent="0.25">
      <c r="A43" s="24">
        <v>46192</v>
      </c>
      <c r="B43" s="3" t="s">
        <v>57</v>
      </c>
      <c r="C43" s="3">
        <v>135</v>
      </c>
      <c r="D43" s="3">
        <v>4</v>
      </c>
    </row>
    <row r="44" spans="1:4" x14ac:dyDescent="0.25">
      <c r="A44" s="24">
        <v>46192</v>
      </c>
      <c r="B44" s="3" t="s">
        <v>58</v>
      </c>
      <c r="C44" s="3">
        <v>2</v>
      </c>
      <c r="D44" s="3">
        <v>4</v>
      </c>
    </row>
    <row r="45" spans="1:4" x14ac:dyDescent="0.25">
      <c r="A45" s="24">
        <v>46192</v>
      </c>
      <c r="B45" s="3" t="s">
        <v>25</v>
      </c>
      <c r="C45" s="3">
        <v>26</v>
      </c>
      <c r="D45" s="3">
        <v>4</v>
      </c>
    </row>
    <row r="46" spans="1:4" x14ac:dyDescent="0.25">
      <c r="A46" s="24">
        <v>46195</v>
      </c>
      <c r="B46" s="3" t="s">
        <v>25</v>
      </c>
      <c r="C46" s="3">
        <v>16</v>
      </c>
      <c r="D46" s="3">
        <v>4</v>
      </c>
    </row>
    <row r="47" spans="1:4" x14ac:dyDescent="0.25">
      <c r="A47" s="24">
        <v>46195</v>
      </c>
      <c r="B47" s="3" t="s">
        <v>57</v>
      </c>
      <c r="C47" s="3">
        <v>27</v>
      </c>
      <c r="D47" s="3">
        <v>4</v>
      </c>
    </row>
    <row r="48" spans="1:4" x14ac:dyDescent="0.25">
      <c r="A48" s="24">
        <v>46195</v>
      </c>
      <c r="B48" s="3" t="s">
        <v>49</v>
      </c>
      <c r="C48" s="3">
        <v>5</v>
      </c>
      <c r="D48" s="3">
        <v>4</v>
      </c>
    </row>
    <row r="49" spans="1:4" x14ac:dyDescent="0.25">
      <c r="A49" s="24">
        <v>46195</v>
      </c>
      <c r="B49" s="3" t="s">
        <v>30</v>
      </c>
      <c r="C49" s="3">
        <v>67</v>
      </c>
      <c r="D49" s="3">
        <v>4</v>
      </c>
    </row>
    <row r="50" spans="1:4" x14ac:dyDescent="0.25">
      <c r="A50" s="24">
        <v>46195</v>
      </c>
      <c r="B50" s="3" t="s">
        <v>38</v>
      </c>
      <c r="C50" s="3">
        <v>58</v>
      </c>
      <c r="D50" s="3">
        <v>4</v>
      </c>
    </row>
    <row r="51" spans="1:4" x14ac:dyDescent="0.25">
      <c r="A51" s="24">
        <v>46195</v>
      </c>
      <c r="B51" s="3" t="s">
        <v>25</v>
      </c>
      <c r="C51" s="3">
        <v>4</v>
      </c>
      <c r="D51" s="3">
        <v>4</v>
      </c>
    </row>
    <row r="52" spans="1:4" x14ac:dyDescent="0.25">
      <c r="A52" s="24">
        <v>46196</v>
      </c>
      <c r="B52" s="3" t="s">
        <v>25</v>
      </c>
      <c r="C52" s="3">
        <v>37</v>
      </c>
      <c r="D52" s="3">
        <v>4</v>
      </c>
    </row>
    <row r="53" spans="1:4" x14ac:dyDescent="0.25">
      <c r="A53" s="24">
        <v>46196</v>
      </c>
      <c r="B53" s="3" t="s">
        <v>29</v>
      </c>
      <c r="C53" s="3">
        <v>4</v>
      </c>
      <c r="D53" s="3">
        <v>4</v>
      </c>
    </row>
    <row r="54" spans="1:4" x14ac:dyDescent="0.25">
      <c r="A54" s="24">
        <v>46196</v>
      </c>
      <c r="B54" s="3" t="s">
        <v>30</v>
      </c>
      <c r="C54" s="3">
        <v>111</v>
      </c>
      <c r="D54" s="3">
        <v>4</v>
      </c>
    </row>
    <row r="55" spans="1:4" x14ac:dyDescent="0.25">
      <c r="A55" s="24">
        <v>46196</v>
      </c>
      <c r="B55" s="3" t="s">
        <v>49</v>
      </c>
      <c r="C55" s="3">
        <v>5</v>
      </c>
      <c r="D55" s="3">
        <v>4</v>
      </c>
    </row>
    <row r="56" spans="1:4" x14ac:dyDescent="0.25">
      <c r="A56" s="24">
        <v>46196</v>
      </c>
      <c r="B56" s="3" t="s">
        <v>57</v>
      </c>
      <c r="C56" s="3">
        <v>54</v>
      </c>
      <c r="D56" s="3">
        <v>4</v>
      </c>
    </row>
    <row r="57" spans="1:4" x14ac:dyDescent="0.25">
      <c r="A57" s="24">
        <v>46196</v>
      </c>
      <c r="B57" s="3" t="s">
        <v>30</v>
      </c>
      <c r="C57" s="3">
        <v>5</v>
      </c>
      <c r="D57" s="3">
        <v>4</v>
      </c>
    </row>
    <row r="58" spans="1:4" x14ac:dyDescent="0.25">
      <c r="A58" s="24">
        <v>46197</v>
      </c>
      <c r="B58" s="3" t="s">
        <v>30</v>
      </c>
      <c r="C58" s="3">
        <v>103</v>
      </c>
      <c r="D58" s="3">
        <v>4</v>
      </c>
    </row>
    <row r="59" spans="1:4" x14ac:dyDescent="0.25">
      <c r="A59" s="24">
        <v>46197</v>
      </c>
      <c r="B59" s="3" t="s">
        <v>25</v>
      </c>
      <c r="C59" s="3">
        <v>43</v>
      </c>
      <c r="D59" s="3">
        <v>4</v>
      </c>
    </row>
    <row r="60" spans="1:4" x14ac:dyDescent="0.25">
      <c r="A60" s="24">
        <v>46197</v>
      </c>
      <c r="B60" s="3" t="s">
        <v>38</v>
      </c>
      <c r="C60" s="3">
        <v>29</v>
      </c>
      <c r="D60" s="3">
        <v>4</v>
      </c>
    </row>
    <row r="61" spans="1:4" x14ac:dyDescent="0.25">
      <c r="A61" s="24">
        <v>46197</v>
      </c>
      <c r="B61" s="3" t="s">
        <v>49</v>
      </c>
      <c r="C61" s="3">
        <v>10</v>
      </c>
      <c r="D61" s="3">
        <v>4</v>
      </c>
    </row>
    <row r="62" spans="1:4" x14ac:dyDescent="0.25">
      <c r="A62" s="24">
        <v>46197</v>
      </c>
      <c r="B62" s="3" t="s">
        <v>47</v>
      </c>
      <c r="C62" s="3">
        <v>1</v>
      </c>
      <c r="D62" s="3">
        <v>4</v>
      </c>
    </row>
    <row r="63" spans="1:4" x14ac:dyDescent="0.25">
      <c r="A63" s="24">
        <v>46197</v>
      </c>
      <c r="B63" s="3" t="s">
        <v>30</v>
      </c>
      <c r="C63" s="3">
        <v>20</v>
      </c>
      <c r="D63" s="3">
        <v>4</v>
      </c>
    </row>
    <row r="64" spans="1:4" x14ac:dyDescent="0.25">
      <c r="A64" s="24">
        <v>46198</v>
      </c>
      <c r="B64" s="3" t="s">
        <v>30</v>
      </c>
      <c r="C64" s="3">
        <v>42</v>
      </c>
      <c r="D64" s="3">
        <v>4</v>
      </c>
    </row>
    <row r="65" spans="1:4" x14ac:dyDescent="0.25">
      <c r="A65" s="24">
        <v>46198</v>
      </c>
      <c r="B65" s="3" t="s">
        <v>38</v>
      </c>
      <c r="C65" s="3">
        <v>29</v>
      </c>
      <c r="D65" s="3">
        <v>4</v>
      </c>
    </row>
    <row r="66" spans="1:4" x14ac:dyDescent="0.25">
      <c r="A66" s="24">
        <v>46198</v>
      </c>
      <c r="B66" s="3" t="s">
        <v>34</v>
      </c>
      <c r="C66" s="3">
        <v>2</v>
      </c>
      <c r="D66" s="3">
        <v>4</v>
      </c>
    </row>
    <row r="67" spans="1:4" x14ac:dyDescent="0.25">
      <c r="A67" s="24">
        <v>46198</v>
      </c>
      <c r="B67" s="3" t="s">
        <v>44</v>
      </c>
      <c r="C67" s="3">
        <v>1</v>
      </c>
      <c r="D67" s="3">
        <v>4</v>
      </c>
    </row>
    <row r="68" spans="1:4" x14ac:dyDescent="0.25">
      <c r="A68" s="24">
        <v>46198</v>
      </c>
      <c r="B68" s="3" t="s">
        <v>57</v>
      </c>
      <c r="C68" s="3">
        <v>27</v>
      </c>
      <c r="D68" s="3">
        <v>4</v>
      </c>
    </row>
    <row r="69" spans="1:4" x14ac:dyDescent="0.25">
      <c r="A69" s="24">
        <v>46198</v>
      </c>
      <c r="B69" s="3" t="s">
        <v>25</v>
      </c>
      <c r="C69" s="3">
        <v>68</v>
      </c>
      <c r="D69" s="3">
        <v>4</v>
      </c>
    </row>
    <row r="70" spans="1:4" x14ac:dyDescent="0.25">
      <c r="A70" s="24">
        <v>46199</v>
      </c>
      <c r="B70" s="3" t="s">
        <v>25</v>
      </c>
      <c r="C70" s="3">
        <v>18</v>
      </c>
      <c r="D70" s="3">
        <v>4</v>
      </c>
    </row>
    <row r="71" spans="1:4" x14ac:dyDescent="0.25">
      <c r="A71" s="24">
        <v>46199</v>
      </c>
      <c r="B71" s="3" t="s">
        <v>58</v>
      </c>
      <c r="C71" s="3">
        <v>3</v>
      </c>
      <c r="D71" s="3">
        <v>4</v>
      </c>
    </row>
    <row r="72" spans="1:4" x14ac:dyDescent="0.25">
      <c r="A72" s="24">
        <v>46199</v>
      </c>
      <c r="B72" s="3" t="s">
        <v>49</v>
      </c>
      <c r="C72" s="3">
        <v>5</v>
      </c>
      <c r="D72" s="3">
        <v>4</v>
      </c>
    </row>
    <row r="73" spans="1:4" x14ac:dyDescent="0.25">
      <c r="A73" s="24">
        <v>46199</v>
      </c>
      <c r="B73" s="3" t="s">
        <v>57</v>
      </c>
      <c r="C73" s="3">
        <v>27</v>
      </c>
      <c r="D73" s="3">
        <v>4</v>
      </c>
    </row>
    <row r="74" spans="1:4" x14ac:dyDescent="0.25">
      <c r="A74" s="24">
        <v>46199</v>
      </c>
      <c r="B74" s="3" t="s">
        <v>38</v>
      </c>
      <c r="C74" s="3">
        <v>28</v>
      </c>
      <c r="D74" s="3">
        <v>4</v>
      </c>
    </row>
    <row r="75" spans="1:4" x14ac:dyDescent="0.25">
      <c r="A75" s="24">
        <v>46199</v>
      </c>
      <c r="B75" s="3" t="s">
        <v>47</v>
      </c>
      <c r="C75" s="3">
        <v>3</v>
      </c>
      <c r="D75" s="3">
        <v>4</v>
      </c>
    </row>
    <row r="76" spans="1:4" x14ac:dyDescent="0.25">
      <c r="A76" s="24">
        <v>46199</v>
      </c>
      <c r="B76" s="3" t="s">
        <v>30</v>
      </c>
      <c r="C76" s="3">
        <v>83</v>
      </c>
      <c r="D76" s="3">
        <v>4</v>
      </c>
    </row>
    <row r="77" spans="1:4" x14ac:dyDescent="0.25">
      <c r="A77" s="24">
        <v>46202</v>
      </c>
      <c r="B77" s="3" t="s">
        <v>30</v>
      </c>
      <c r="C77" s="3">
        <v>50</v>
      </c>
      <c r="D77" s="3">
        <v>4</v>
      </c>
    </row>
    <row r="78" spans="1:4" x14ac:dyDescent="0.25">
      <c r="A78" s="24">
        <v>46202</v>
      </c>
      <c r="B78" s="3" t="s">
        <v>25</v>
      </c>
      <c r="C78" s="3">
        <v>60</v>
      </c>
      <c r="D78" s="3">
        <v>4</v>
      </c>
    </row>
    <row r="79" spans="1:4" x14ac:dyDescent="0.25">
      <c r="A79" s="24">
        <v>46202</v>
      </c>
      <c r="B79" s="3" t="s">
        <v>22</v>
      </c>
      <c r="C79" s="3">
        <v>29</v>
      </c>
      <c r="D79" s="3">
        <v>4</v>
      </c>
    </row>
    <row r="80" spans="1:4" x14ac:dyDescent="0.25">
      <c r="A80" s="24">
        <v>46202</v>
      </c>
      <c r="B80" s="3" t="s">
        <v>49</v>
      </c>
      <c r="C80" s="3">
        <v>10</v>
      </c>
      <c r="D80" s="3">
        <v>4</v>
      </c>
    </row>
    <row r="81" spans="1:4" x14ac:dyDescent="0.25">
      <c r="A81" s="24">
        <v>46202</v>
      </c>
      <c r="B81" s="3" t="s">
        <v>25</v>
      </c>
      <c r="C81" s="3">
        <v>25</v>
      </c>
      <c r="D81" s="3">
        <v>4</v>
      </c>
    </row>
    <row r="82" spans="1:4" x14ac:dyDescent="0.25">
      <c r="A82" s="24">
        <v>46203</v>
      </c>
      <c r="B82" s="3" t="s">
        <v>25</v>
      </c>
      <c r="C82" s="3">
        <v>35</v>
      </c>
      <c r="D82" s="3">
        <v>4</v>
      </c>
    </row>
    <row r="83" spans="1:4" x14ac:dyDescent="0.25">
      <c r="A83" s="24">
        <v>46203</v>
      </c>
      <c r="B83" s="3" t="s">
        <v>30</v>
      </c>
      <c r="C83" s="3">
        <v>100</v>
      </c>
      <c r="D83" s="3">
        <v>4</v>
      </c>
    </row>
    <row r="84" spans="1:4" x14ac:dyDescent="0.25">
      <c r="A84" s="24">
        <v>46203</v>
      </c>
      <c r="B84" s="3" t="s">
        <v>34</v>
      </c>
      <c r="C84" s="3">
        <v>2</v>
      </c>
      <c r="D84" s="3">
        <v>4</v>
      </c>
    </row>
    <row r="85" spans="1:4" x14ac:dyDescent="0.25">
      <c r="A85" s="24">
        <v>46203</v>
      </c>
      <c r="B85" s="3" t="s">
        <v>22</v>
      </c>
      <c r="C85" s="3">
        <v>58</v>
      </c>
      <c r="D85" s="3">
        <v>4</v>
      </c>
    </row>
    <row r="86" spans="1:4" x14ac:dyDescent="0.25">
      <c r="A86" s="24">
        <v>46203</v>
      </c>
      <c r="B86" s="3" t="s">
        <v>30</v>
      </c>
      <c r="C86" s="3">
        <v>4</v>
      </c>
      <c r="D86" s="3">
        <v>4</v>
      </c>
    </row>
    <row r="87" spans="1:4" x14ac:dyDescent="0.25">
      <c r="A87" s="24">
        <v>46204</v>
      </c>
      <c r="B87" s="3" t="s">
        <v>30</v>
      </c>
      <c r="C87" s="3">
        <v>34</v>
      </c>
      <c r="D87" s="3">
        <v>4</v>
      </c>
    </row>
    <row r="88" spans="1:4" x14ac:dyDescent="0.25">
      <c r="A88" s="24">
        <v>46204</v>
      </c>
      <c r="B88" s="3" t="s">
        <v>25</v>
      </c>
      <c r="C88" s="3">
        <v>85</v>
      </c>
      <c r="D88" s="3">
        <v>4</v>
      </c>
    </row>
    <row r="89" spans="1:4" x14ac:dyDescent="0.25">
      <c r="A89" s="24">
        <v>46204</v>
      </c>
      <c r="B89" s="3" t="s">
        <v>29</v>
      </c>
      <c r="C89" s="3">
        <v>4</v>
      </c>
      <c r="D89" s="3">
        <v>4</v>
      </c>
    </row>
    <row r="90" spans="1:4" x14ac:dyDescent="0.25">
      <c r="A90" s="24">
        <v>46204</v>
      </c>
      <c r="B90" s="3" t="s">
        <v>47</v>
      </c>
      <c r="C90" s="3">
        <v>3</v>
      </c>
      <c r="D90" s="3">
        <v>4</v>
      </c>
    </row>
    <row r="91" spans="1:4" x14ac:dyDescent="0.25">
      <c r="A91" s="24">
        <v>46204</v>
      </c>
      <c r="B91" s="3" t="s">
        <v>58</v>
      </c>
      <c r="C91" s="3">
        <v>2</v>
      </c>
      <c r="D91" s="3">
        <v>4</v>
      </c>
    </row>
    <row r="92" spans="1:4" x14ac:dyDescent="0.25">
      <c r="A92" s="24">
        <v>46204</v>
      </c>
      <c r="B92" s="3" t="s">
        <v>40</v>
      </c>
      <c r="C92" s="3">
        <v>52</v>
      </c>
      <c r="D92" s="3">
        <v>4</v>
      </c>
    </row>
    <row r="93" spans="1:4" x14ac:dyDescent="0.25">
      <c r="A93" s="24">
        <v>46204</v>
      </c>
      <c r="B93" s="3" t="s">
        <v>49</v>
      </c>
      <c r="C93" s="3">
        <v>10</v>
      </c>
      <c r="D93" s="3">
        <v>4</v>
      </c>
    </row>
    <row r="94" spans="1:4" x14ac:dyDescent="0.25">
      <c r="A94" s="24">
        <v>46204</v>
      </c>
      <c r="B94" s="3" t="s">
        <v>30</v>
      </c>
      <c r="C94" s="3">
        <v>24</v>
      </c>
      <c r="D94" s="3">
        <v>4</v>
      </c>
    </row>
    <row r="95" spans="1:4" x14ac:dyDescent="0.25">
      <c r="A95" s="24">
        <v>46205</v>
      </c>
      <c r="B95" s="3" t="s">
        <v>30</v>
      </c>
      <c r="C95" s="3">
        <v>75</v>
      </c>
      <c r="D95" s="3">
        <v>4</v>
      </c>
    </row>
    <row r="96" spans="1:4" x14ac:dyDescent="0.25">
      <c r="A96" s="24">
        <v>46205</v>
      </c>
      <c r="B96" s="3" t="s">
        <v>22</v>
      </c>
      <c r="C96" s="3">
        <v>29</v>
      </c>
      <c r="D96" s="3">
        <v>4</v>
      </c>
    </row>
    <row r="97" spans="1:4" x14ac:dyDescent="0.25">
      <c r="A97" s="24">
        <v>46205</v>
      </c>
      <c r="B97" s="3" t="s">
        <v>25</v>
      </c>
      <c r="C97" s="3">
        <v>82</v>
      </c>
      <c r="D97" s="3">
        <v>4</v>
      </c>
    </row>
    <row r="98" spans="1:4" x14ac:dyDescent="0.25">
      <c r="A98" s="24">
        <v>46206</v>
      </c>
      <c r="B98" s="3" t="s">
        <v>25</v>
      </c>
      <c r="C98" s="3">
        <v>34</v>
      </c>
      <c r="D98" s="3">
        <v>4</v>
      </c>
    </row>
    <row r="99" spans="1:4" x14ac:dyDescent="0.25">
      <c r="A99" s="24">
        <v>46206</v>
      </c>
      <c r="B99" s="3" t="s">
        <v>49</v>
      </c>
      <c r="C99" s="3">
        <v>5</v>
      </c>
      <c r="D99" s="3">
        <v>4</v>
      </c>
    </row>
    <row r="100" spans="1:4" x14ac:dyDescent="0.25">
      <c r="A100" s="24">
        <v>46206</v>
      </c>
      <c r="B100" s="3" t="s">
        <v>40</v>
      </c>
      <c r="C100" s="3">
        <v>48</v>
      </c>
      <c r="D100" s="3">
        <v>4</v>
      </c>
    </row>
    <row r="101" spans="1:4" x14ac:dyDescent="0.25">
      <c r="A101" s="24">
        <v>46206</v>
      </c>
      <c r="B101" s="3" t="s">
        <v>30</v>
      </c>
      <c r="C101" s="3">
        <v>20</v>
      </c>
      <c r="D101" s="3">
        <v>4</v>
      </c>
    </row>
    <row r="102" spans="1:4" x14ac:dyDescent="0.25">
      <c r="A102" s="24">
        <v>46206</v>
      </c>
      <c r="B102" s="3" t="s">
        <v>22</v>
      </c>
      <c r="C102" s="3">
        <v>55</v>
      </c>
      <c r="D102" s="3">
        <v>4</v>
      </c>
    </row>
    <row r="103" spans="1:4" x14ac:dyDescent="0.25">
      <c r="A103" s="24"/>
      <c r="B103" s="3"/>
      <c r="C103" s="3"/>
      <c r="D103" s="3"/>
    </row>
    <row r="104" spans="1:4" x14ac:dyDescent="0.25">
      <c r="A104" s="24"/>
      <c r="B104" s="3"/>
      <c r="C104" s="3"/>
      <c r="D104" s="3"/>
    </row>
    <row r="105" spans="1:4" x14ac:dyDescent="0.25">
      <c r="A105" s="24"/>
      <c r="B105" s="3"/>
      <c r="C105" s="3"/>
      <c r="D105" s="3"/>
    </row>
    <row r="106" spans="1:4" x14ac:dyDescent="0.25">
      <c r="A106" s="24"/>
      <c r="B106" s="3"/>
      <c r="C106" s="3"/>
      <c r="D106" s="3"/>
    </row>
    <row r="107" spans="1:4" x14ac:dyDescent="0.25">
      <c r="A107" s="24"/>
      <c r="B107" s="3"/>
      <c r="C107" s="3"/>
      <c r="D107" s="3"/>
    </row>
    <row r="108" spans="1:4" x14ac:dyDescent="0.25">
      <c r="A108" s="24"/>
      <c r="B108" s="3"/>
      <c r="C108" s="3"/>
      <c r="D108" s="3"/>
    </row>
    <row r="109" spans="1:4" x14ac:dyDescent="0.25">
      <c r="A109" s="24"/>
      <c r="B109" s="3"/>
      <c r="C109" s="3"/>
      <c r="D109" s="3"/>
    </row>
    <row r="110" spans="1:4" x14ac:dyDescent="0.25">
      <c r="A110" s="24"/>
      <c r="B110" s="3"/>
      <c r="C110" s="3"/>
      <c r="D110" s="3"/>
    </row>
    <row r="111" spans="1:4" x14ac:dyDescent="0.25">
      <c r="A111" s="24"/>
      <c r="B111" s="3"/>
      <c r="C111" s="3"/>
      <c r="D111" s="3"/>
    </row>
    <row r="112" spans="1:4" x14ac:dyDescent="0.25">
      <c r="A112" s="24"/>
      <c r="B112" s="3"/>
      <c r="C112" s="3"/>
      <c r="D112" s="3"/>
    </row>
    <row r="113" spans="1:4" x14ac:dyDescent="0.25">
      <c r="A113" s="24"/>
      <c r="B113" s="3"/>
      <c r="C113" s="3"/>
      <c r="D113" s="3"/>
    </row>
    <row r="114" spans="1:4" x14ac:dyDescent="0.25">
      <c r="A114" s="24"/>
      <c r="B114" s="3"/>
      <c r="C114" s="3"/>
      <c r="D114" s="3"/>
    </row>
    <row r="115" spans="1:4" x14ac:dyDescent="0.25">
      <c r="A115" s="24"/>
      <c r="B115" s="3"/>
      <c r="C115" s="3"/>
      <c r="D115" s="3"/>
    </row>
    <row r="116" spans="1:4" x14ac:dyDescent="0.25">
      <c r="A116" s="24"/>
      <c r="B116" s="3"/>
      <c r="C116" s="3"/>
      <c r="D116" s="3"/>
    </row>
    <row r="117" spans="1:4" x14ac:dyDescent="0.25">
      <c r="A117" s="24"/>
      <c r="B117" s="3"/>
      <c r="C117" s="3"/>
      <c r="D117" s="3"/>
    </row>
    <row r="118" spans="1:4" x14ac:dyDescent="0.25">
      <c r="A118" s="24"/>
      <c r="B118" s="3"/>
      <c r="C118" s="3"/>
      <c r="D118" s="3"/>
    </row>
    <row r="119" spans="1:4" x14ac:dyDescent="0.25">
      <c r="A119" s="24"/>
      <c r="B119" s="3"/>
      <c r="C119" s="3"/>
      <c r="D119" s="3"/>
    </row>
    <row r="120" spans="1:4" x14ac:dyDescent="0.25">
      <c r="A120" s="24"/>
      <c r="B120" s="3"/>
      <c r="C120" s="3"/>
      <c r="D120" s="3"/>
    </row>
    <row r="121" spans="1:4" x14ac:dyDescent="0.25">
      <c r="A121" s="24"/>
      <c r="B121" s="3"/>
      <c r="C121" s="3"/>
      <c r="D121" s="3"/>
    </row>
    <row r="122" spans="1:4" x14ac:dyDescent="0.25">
      <c r="A122" s="24"/>
      <c r="B122" s="3"/>
      <c r="C122" s="3"/>
      <c r="D122" s="3"/>
    </row>
    <row r="123" spans="1:4" x14ac:dyDescent="0.25">
      <c r="A123" s="24"/>
      <c r="B123" s="3"/>
      <c r="C123" s="3"/>
      <c r="D123" s="3"/>
    </row>
    <row r="124" spans="1:4" x14ac:dyDescent="0.25">
      <c r="A124" s="24"/>
      <c r="B124" s="3"/>
      <c r="C124" s="3"/>
      <c r="D124" s="3"/>
    </row>
    <row r="125" spans="1:4" x14ac:dyDescent="0.25">
      <c r="A125" s="24"/>
      <c r="B125" s="3"/>
      <c r="C125" s="3"/>
      <c r="D125" s="3"/>
    </row>
    <row r="126" spans="1:4" x14ac:dyDescent="0.25">
      <c r="A126" s="24"/>
      <c r="B126" s="3"/>
      <c r="C126" s="3"/>
      <c r="D126" s="3"/>
    </row>
    <row r="127" spans="1:4" x14ac:dyDescent="0.25">
      <c r="A127" s="24"/>
      <c r="B127" s="3"/>
      <c r="C127" s="3"/>
      <c r="D127" s="3"/>
    </row>
    <row r="128" spans="1:4" x14ac:dyDescent="0.25">
      <c r="A128" s="24"/>
      <c r="B128" s="3"/>
      <c r="C128" s="3"/>
      <c r="D128" s="3"/>
    </row>
    <row r="129" spans="1:4" x14ac:dyDescent="0.25">
      <c r="A129" s="24"/>
      <c r="B129" s="3"/>
      <c r="C129" s="3"/>
      <c r="D129" s="3"/>
    </row>
    <row r="130" spans="1:4" x14ac:dyDescent="0.25">
      <c r="A130" s="24"/>
      <c r="B130" s="3"/>
      <c r="C130" s="3"/>
      <c r="D130" s="3"/>
    </row>
    <row r="131" spans="1:4" x14ac:dyDescent="0.25">
      <c r="A131" s="24"/>
      <c r="B131" s="3"/>
      <c r="C131" s="3"/>
      <c r="D131" s="3"/>
    </row>
    <row r="132" spans="1:4" x14ac:dyDescent="0.25">
      <c r="A132" s="24"/>
      <c r="B132" s="3"/>
      <c r="C132" s="3"/>
      <c r="D132" s="3"/>
    </row>
    <row r="133" spans="1:4" x14ac:dyDescent="0.25">
      <c r="A133" s="24"/>
      <c r="B133" s="3"/>
      <c r="C133" s="3"/>
      <c r="D133" s="3"/>
    </row>
    <row r="134" spans="1:4" x14ac:dyDescent="0.25">
      <c r="A134" s="24"/>
      <c r="B134" s="3"/>
      <c r="C134" s="3"/>
      <c r="D134" s="3"/>
    </row>
    <row r="135" spans="1:4" x14ac:dyDescent="0.25">
      <c r="A135" s="24"/>
      <c r="B135" s="3"/>
      <c r="C135" s="3"/>
      <c r="D135" s="3"/>
    </row>
    <row r="136" spans="1:4" x14ac:dyDescent="0.25">
      <c r="A136" s="24"/>
      <c r="B136" s="3"/>
      <c r="C136" s="3"/>
      <c r="D136" s="3"/>
    </row>
    <row r="137" spans="1:4" x14ac:dyDescent="0.25">
      <c r="A137" s="24"/>
      <c r="B137" s="3"/>
      <c r="C137" s="3"/>
      <c r="D137" s="3"/>
    </row>
    <row r="138" spans="1:4" x14ac:dyDescent="0.25">
      <c r="A138" s="24"/>
      <c r="B138" s="3"/>
      <c r="C138" s="3"/>
      <c r="D138" s="3"/>
    </row>
    <row r="139" spans="1:4" x14ac:dyDescent="0.25">
      <c r="A139" s="24"/>
      <c r="B139" s="3"/>
      <c r="C139" s="3"/>
      <c r="D139" s="3"/>
    </row>
    <row r="140" spans="1:4" x14ac:dyDescent="0.25">
      <c r="A140" s="24"/>
      <c r="B140" s="3"/>
      <c r="C140" s="3"/>
      <c r="D140" s="3"/>
    </row>
    <row r="141" spans="1:4" x14ac:dyDescent="0.25">
      <c r="A141" s="24"/>
      <c r="B141" s="3"/>
      <c r="C141" s="3"/>
      <c r="D141" s="3"/>
    </row>
    <row r="142" spans="1:4" x14ac:dyDescent="0.25">
      <c r="A142" s="24"/>
      <c r="B142" s="3"/>
      <c r="C142" s="3"/>
      <c r="D142" s="3"/>
    </row>
    <row r="143" spans="1:4" x14ac:dyDescent="0.25">
      <c r="A143" s="24"/>
      <c r="B143" s="3"/>
      <c r="C143" s="3"/>
      <c r="D143" s="3"/>
    </row>
    <row r="144" spans="1:4" x14ac:dyDescent="0.25">
      <c r="A144" s="24"/>
      <c r="B144" s="3"/>
      <c r="C144" s="3"/>
      <c r="D144" s="3"/>
    </row>
    <row r="145" spans="1:4" x14ac:dyDescent="0.25">
      <c r="A145" s="24"/>
      <c r="B145" s="3"/>
      <c r="C145" s="3"/>
      <c r="D145" s="3"/>
    </row>
    <row r="146" spans="1:4" x14ac:dyDescent="0.25">
      <c r="A146" s="24"/>
      <c r="B146" s="3"/>
      <c r="C146" s="3"/>
      <c r="D146" s="3"/>
    </row>
    <row r="147" spans="1:4" x14ac:dyDescent="0.25">
      <c r="A147" s="24"/>
      <c r="B147" s="3"/>
      <c r="C147" s="3"/>
      <c r="D147" s="3"/>
    </row>
    <row r="148" spans="1:4" x14ac:dyDescent="0.25">
      <c r="A148" s="24"/>
      <c r="B148" s="3"/>
      <c r="C148" s="3"/>
      <c r="D148" s="3"/>
    </row>
    <row r="149" spans="1:4" x14ac:dyDescent="0.25">
      <c r="A149" s="24"/>
      <c r="B149" s="3"/>
      <c r="C149" s="3"/>
      <c r="D149" s="3"/>
    </row>
    <row r="150" spans="1:4" x14ac:dyDescent="0.25">
      <c r="A150" s="24"/>
      <c r="B150" s="3"/>
      <c r="C150" s="3"/>
      <c r="D150" s="3"/>
    </row>
    <row r="151" spans="1:4" x14ac:dyDescent="0.25">
      <c r="A151" s="24"/>
      <c r="B151" s="3"/>
      <c r="C151" s="3"/>
      <c r="D151" s="3"/>
    </row>
    <row r="152" spans="1:4" x14ac:dyDescent="0.25">
      <c r="A152" s="24"/>
      <c r="B152" s="3"/>
      <c r="C152" s="3"/>
      <c r="D152" s="3"/>
    </row>
    <row r="153" spans="1:4" x14ac:dyDescent="0.25">
      <c r="A153" s="24"/>
      <c r="B153" s="3"/>
      <c r="C153" s="3"/>
      <c r="D153" s="3"/>
    </row>
    <row r="154" spans="1:4" x14ac:dyDescent="0.25">
      <c r="A154" s="24"/>
      <c r="B154" s="3"/>
      <c r="C154" s="3"/>
      <c r="D154" s="3"/>
    </row>
    <row r="155" spans="1:4" x14ac:dyDescent="0.25">
      <c r="A155" s="24"/>
      <c r="B155" s="3"/>
      <c r="C155" s="3"/>
      <c r="D155" s="3"/>
    </row>
    <row r="156" spans="1:4" x14ac:dyDescent="0.25">
      <c r="A156" s="24"/>
      <c r="B156" s="3"/>
      <c r="C156" s="3"/>
      <c r="D156" s="3"/>
    </row>
    <row r="157" spans="1:4" x14ac:dyDescent="0.25">
      <c r="A157" s="24"/>
      <c r="B157" s="3"/>
      <c r="C157" s="3"/>
      <c r="D157" s="3"/>
    </row>
    <row r="158" spans="1:4" x14ac:dyDescent="0.25">
      <c r="A158" s="24"/>
      <c r="B158" s="3"/>
      <c r="C158" s="3"/>
      <c r="D158" s="3"/>
    </row>
    <row r="159" spans="1:4" x14ac:dyDescent="0.25">
      <c r="A159" s="24"/>
      <c r="B159" s="3"/>
      <c r="C159" s="3"/>
      <c r="D159" s="3"/>
    </row>
    <row r="160" spans="1:4" x14ac:dyDescent="0.25">
      <c r="A160" s="24"/>
      <c r="B160" s="3"/>
      <c r="C160" s="3"/>
      <c r="D160" s="3"/>
    </row>
    <row r="161" spans="1:4" x14ac:dyDescent="0.25">
      <c r="A161" s="24"/>
      <c r="B161" s="3"/>
      <c r="C161" s="3"/>
      <c r="D161" s="3"/>
    </row>
    <row r="162" spans="1:4" x14ac:dyDescent="0.25">
      <c r="A162" s="24"/>
      <c r="B162" s="3"/>
      <c r="C162" s="3"/>
      <c r="D162" s="3"/>
    </row>
    <row r="163" spans="1:4" x14ac:dyDescent="0.25">
      <c r="A163" s="24"/>
      <c r="B163" s="3"/>
      <c r="C163" s="3"/>
      <c r="D163" s="3"/>
    </row>
    <row r="164" spans="1:4" x14ac:dyDescent="0.25">
      <c r="A164" s="24"/>
      <c r="B164" s="3"/>
      <c r="C164" s="3"/>
      <c r="D164" s="3"/>
    </row>
    <row r="165" spans="1:4" x14ac:dyDescent="0.25">
      <c r="A165" s="24"/>
      <c r="B165" s="3"/>
      <c r="C165" s="3"/>
      <c r="D165" s="3"/>
    </row>
    <row r="166" spans="1:4" x14ac:dyDescent="0.25">
      <c r="A166" s="24"/>
      <c r="B166" s="3"/>
      <c r="C166" s="3"/>
      <c r="D166" s="3"/>
    </row>
    <row r="167" spans="1:4" x14ac:dyDescent="0.25">
      <c r="A167" s="24"/>
      <c r="B167" s="3"/>
      <c r="C167" s="3"/>
      <c r="D167" s="3"/>
    </row>
    <row r="168" spans="1:4" x14ac:dyDescent="0.25">
      <c r="A168" s="24"/>
      <c r="B168" s="3"/>
      <c r="C168" s="3"/>
      <c r="D168" s="3"/>
    </row>
    <row r="169" spans="1:4" x14ac:dyDescent="0.25">
      <c r="A169" s="24"/>
      <c r="B169" s="3"/>
      <c r="C169" s="3"/>
      <c r="D169" s="3"/>
    </row>
    <row r="170" spans="1:4" x14ac:dyDescent="0.25">
      <c r="A170" s="24"/>
      <c r="B170" s="3"/>
      <c r="C170" s="3"/>
      <c r="D170" s="3"/>
    </row>
    <row r="171" spans="1:4" x14ac:dyDescent="0.25">
      <c r="A171" s="24"/>
      <c r="B171" s="3"/>
      <c r="C171" s="3"/>
      <c r="D171" s="3"/>
    </row>
    <row r="172" spans="1:4" x14ac:dyDescent="0.25">
      <c r="A172" s="24"/>
      <c r="B172" s="3"/>
      <c r="C172" s="3"/>
      <c r="D172" s="3"/>
    </row>
    <row r="173" spans="1:4" x14ac:dyDescent="0.25">
      <c r="A173" s="24"/>
      <c r="B173" s="3"/>
      <c r="C173" s="3"/>
      <c r="D173" s="3"/>
    </row>
    <row r="174" spans="1:4" x14ac:dyDescent="0.25">
      <c r="A174" s="24"/>
      <c r="B174" s="3"/>
      <c r="C174" s="3"/>
      <c r="D174" s="3"/>
    </row>
    <row r="175" spans="1:4" x14ac:dyDescent="0.25">
      <c r="A175" s="24"/>
      <c r="B175" s="3"/>
      <c r="C175" s="3"/>
      <c r="D175" s="3"/>
    </row>
    <row r="176" spans="1:4" x14ac:dyDescent="0.25">
      <c r="A176" s="24"/>
      <c r="B176" s="3"/>
      <c r="C176" s="3"/>
      <c r="D176" s="3"/>
    </row>
    <row r="177" spans="1:4" x14ac:dyDescent="0.25">
      <c r="A177" s="24"/>
      <c r="B177" s="3"/>
      <c r="C177" s="3"/>
      <c r="D177" s="3"/>
    </row>
    <row r="178" spans="1:4" x14ac:dyDescent="0.25">
      <c r="A178" s="24"/>
      <c r="B178" s="3"/>
      <c r="C178" s="3"/>
      <c r="D178" s="3"/>
    </row>
    <row r="179" spans="1:4" x14ac:dyDescent="0.25">
      <c r="A179" s="24"/>
      <c r="B179" s="3"/>
      <c r="C179" s="3"/>
      <c r="D179" s="3"/>
    </row>
    <row r="180" spans="1:4" x14ac:dyDescent="0.25">
      <c r="A180" s="24"/>
      <c r="B180" s="3"/>
      <c r="C180" s="3"/>
      <c r="D180" s="3"/>
    </row>
    <row r="181" spans="1:4" x14ac:dyDescent="0.25">
      <c r="A181" s="24"/>
      <c r="B181" s="3"/>
      <c r="C181" s="3"/>
      <c r="D181" s="3"/>
    </row>
    <row r="182" spans="1:4" x14ac:dyDescent="0.25">
      <c r="A182" s="24"/>
      <c r="B182" s="3"/>
      <c r="C182" s="3"/>
      <c r="D182" s="3"/>
    </row>
    <row r="183" spans="1:4" x14ac:dyDescent="0.25">
      <c r="A183" s="24"/>
      <c r="B183" s="3"/>
      <c r="C183" s="3"/>
      <c r="D183" s="3"/>
    </row>
    <row r="184" spans="1:4" x14ac:dyDescent="0.25">
      <c r="A184" s="24"/>
      <c r="B184" s="3"/>
      <c r="C184" s="3"/>
      <c r="D184" s="3"/>
    </row>
    <row r="185" spans="1:4" x14ac:dyDescent="0.25">
      <c r="A185" s="24"/>
      <c r="B185" s="3"/>
      <c r="C185" s="3"/>
      <c r="D185" s="3"/>
    </row>
    <row r="186" spans="1:4" x14ac:dyDescent="0.25">
      <c r="A186" s="24"/>
      <c r="B186" s="3"/>
      <c r="C186" s="3"/>
      <c r="D186" s="3"/>
    </row>
    <row r="187" spans="1:4" x14ac:dyDescent="0.25">
      <c r="A187" s="24"/>
      <c r="B187" s="3"/>
      <c r="C187" s="3"/>
      <c r="D187" s="3"/>
    </row>
    <row r="188" spans="1:4" x14ac:dyDescent="0.25">
      <c r="A188" s="24"/>
      <c r="B188" s="3"/>
      <c r="C188" s="3"/>
      <c r="D188" s="3"/>
    </row>
    <row r="189" spans="1:4" x14ac:dyDescent="0.25">
      <c r="A189" s="24"/>
      <c r="B189" s="3"/>
      <c r="C189" s="3"/>
      <c r="D189" s="3"/>
    </row>
    <row r="190" spans="1:4" x14ac:dyDescent="0.25">
      <c r="A190" s="24"/>
      <c r="B190" s="3"/>
      <c r="C190" s="3"/>
      <c r="D190" s="3"/>
    </row>
    <row r="191" spans="1:4" x14ac:dyDescent="0.25">
      <c r="A191" s="24"/>
      <c r="B191" s="3"/>
      <c r="C191" s="3"/>
      <c r="D191" s="3"/>
    </row>
    <row r="192" spans="1:4" x14ac:dyDescent="0.25">
      <c r="A192" s="24"/>
      <c r="B192" s="3"/>
      <c r="C192" s="3"/>
      <c r="D192" s="3"/>
    </row>
    <row r="193" spans="1:4" x14ac:dyDescent="0.25">
      <c r="A193" s="24"/>
      <c r="B193" s="3"/>
      <c r="C193" s="3"/>
      <c r="D193" s="3"/>
    </row>
    <row r="194" spans="1:4" x14ac:dyDescent="0.25">
      <c r="A194" s="24"/>
      <c r="B194" s="3"/>
      <c r="C194" s="3"/>
      <c r="D194" s="3"/>
    </row>
    <row r="195" spans="1:4" x14ac:dyDescent="0.25">
      <c r="A195" s="24"/>
      <c r="B195" s="3"/>
      <c r="C195" s="3"/>
      <c r="D195" s="3"/>
    </row>
    <row r="196" spans="1:4" x14ac:dyDescent="0.25">
      <c r="A196" s="24"/>
      <c r="B196" s="3"/>
      <c r="C196" s="3"/>
      <c r="D196" s="3"/>
    </row>
    <row r="197" spans="1:4" x14ac:dyDescent="0.25">
      <c r="A197" s="24"/>
      <c r="B197" s="3"/>
      <c r="C197" s="3"/>
      <c r="D197" s="3"/>
    </row>
    <row r="198" spans="1:4" x14ac:dyDescent="0.25">
      <c r="A198" s="24"/>
      <c r="B198" s="3"/>
      <c r="C198" s="3"/>
      <c r="D198" s="3"/>
    </row>
    <row r="199" spans="1:4" x14ac:dyDescent="0.25">
      <c r="A199" s="24"/>
      <c r="B199" s="3"/>
      <c r="C199" s="3"/>
      <c r="D199" s="3"/>
    </row>
    <row r="200" spans="1:4" x14ac:dyDescent="0.25">
      <c r="A200" s="24"/>
      <c r="B200" s="3"/>
      <c r="C200" s="3"/>
      <c r="D200" s="3"/>
    </row>
    <row r="201" spans="1:4" x14ac:dyDescent="0.25">
      <c r="A201" s="24"/>
      <c r="B201" s="3"/>
      <c r="C201" s="3"/>
      <c r="D201" s="3"/>
    </row>
    <row r="202" spans="1:4" x14ac:dyDescent="0.25">
      <c r="A202" s="24"/>
      <c r="B202" s="3"/>
      <c r="C202" s="3"/>
      <c r="D202" s="3"/>
    </row>
    <row r="203" spans="1:4" x14ac:dyDescent="0.25">
      <c r="A203" s="24"/>
      <c r="B203" s="3"/>
      <c r="C203" s="3"/>
      <c r="D203" s="3"/>
    </row>
    <row r="204" spans="1:4" x14ac:dyDescent="0.25">
      <c r="A204" s="24"/>
      <c r="B204" s="3"/>
      <c r="C204" s="3"/>
      <c r="D204" s="3"/>
    </row>
    <row r="205" spans="1:4" x14ac:dyDescent="0.25">
      <c r="A205" s="24"/>
      <c r="B205" s="3"/>
      <c r="C205" s="3"/>
      <c r="D205" s="3"/>
    </row>
    <row r="206" spans="1:4" x14ac:dyDescent="0.25">
      <c r="A206" s="24"/>
      <c r="B206" s="3"/>
      <c r="C206" s="3"/>
      <c r="D206" s="3"/>
    </row>
    <row r="207" spans="1:4" x14ac:dyDescent="0.25">
      <c r="A207" s="24"/>
      <c r="B207" s="3"/>
      <c r="C207" s="3"/>
      <c r="D207" s="3"/>
    </row>
    <row r="208" spans="1:4" x14ac:dyDescent="0.25">
      <c r="A208" s="24"/>
      <c r="B208" s="3"/>
      <c r="C208" s="3"/>
      <c r="D208" s="3"/>
    </row>
    <row r="209" spans="1:4" x14ac:dyDescent="0.25">
      <c r="A209" s="24"/>
      <c r="B209" s="3"/>
      <c r="C209" s="3"/>
      <c r="D209" s="3"/>
    </row>
    <row r="210" spans="1:4" x14ac:dyDescent="0.25">
      <c r="A210" s="24"/>
      <c r="B210" s="3"/>
      <c r="C210" s="3"/>
      <c r="D210" s="3"/>
    </row>
    <row r="211" spans="1:4" x14ac:dyDescent="0.25">
      <c r="A211" s="24"/>
      <c r="B211" s="3"/>
      <c r="C211" s="3"/>
      <c r="D211" s="3"/>
    </row>
    <row r="212" spans="1:4" x14ac:dyDescent="0.25">
      <c r="A212" s="24"/>
      <c r="B212" s="3"/>
      <c r="C212" s="3"/>
      <c r="D212" s="3"/>
    </row>
    <row r="213" spans="1:4" x14ac:dyDescent="0.25">
      <c r="A213" s="24"/>
      <c r="B213" s="3"/>
      <c r="C213" s="3"/>
      <c r="D213" s="3"/>
    </row>
    <row r="214" spans="1:4" x14ac:dyDescent="0.25">
      <c r="A214" s="24"/>
      <c r="B214" s="3"/>
      <c r="C214" s="3"/>
      <c r="D214" s="3"/>
    </row>
    <row r="215" spans="1:4" x14ac:dyDescent="0.25">
      <c r="A215" s="24"/>
      <c r="B215" s="3"/>
      <c r="C215" s="3"/>
      <c r="D215" s="3"/>
    </row>
    <row r="216" spans="1:4" x14ac:dyDescent="0.25">
      <c r="A216" s="24"/>
      <c r="B216" s="3"/>
      <c r="C216" s="3"/>
      <c r="D216" s="3"/>
    </row>
    <row r="217" spans="1:4" x14ac:dyDescent="0.25">
      <c r="A217" s="24"/>
      <c r="B217" s="3"/>
      <c r="C217" s="3"/>
      <c r="D217" s="3"/>
    </row>
    <row r="218" spans="1:4" x14ac:dyDescent="0.25">
      <c r="A218" s="24"/>
      <c r="B218" s="3"/>
      <c r="C218" s="3"/>
      <c r="D218" s="3"/>
    </row>
    <row r="219" spans="1:4" x14ac:dyDescent="0.25">
      <c r="A219" s="24"/>
      <c r="B219" s="3"/>
      <c r="C219" s="3"/>
      <c r="D219" s="3"/>
    </row>
    <row r="220" spans="1:4" x14ac:dyDescent="0.25">
      <c r="A220" s="24"/>
      <c r="B220" s="3"/>
      <c r="C220" s="3"/>
      <c r="D220" s="3"/>
    </row>
    <row r="221" spans="1:4" x14ac:dyDescent="0.25">
      <c r="A221" s="24"/>
      <c r="B221" s="3"/>
      <c r="C221" s="3"/>
      <c r="D221" s="3"/>
    </row>
    <row r="222" spans="1:4" x14ac:dyDescent="0.25">
      <c r="A222" s="24"/>
      <c r="B222" s="3"/>
      <c r="C222" s="3"/>
      <c r="D222" s="3"/>
    </row>
    <row r="223" spans="1:4" x14ac:dyDescent="0.25">
      <c r="A223" s="24"/>
      <c r="B223" s="3"/>
      <c r="C223" s="3"/>
      <c r="D223" s="3"/>
    </row>
    <row r="224" spans="1:4" x14ac:dyDescent="0.25">
      <c r="A224" s="24"/>
      <c r="B224" s="3"/>
      <c r="C224" s="3"/>
      <c r="D224" s="3"/>
    </row>
    <row r="225" spans="1:4" x14ac:dyDescent="0.25">
      <c r="A225" s="24"/>
      <c r="B225" s="3"/>
      <c r="C225" s="3"/>
      <c r="D225" s="3"/>
    </row>
    <row r="226" spans="1:4" x14ac:dyDescent="0.25">
      <c r="A226" s="24"/>
      <c r="B226" s="3"/>
      <c r="C226" s="3"/>
      <c r="D226" s="3"/>
    </row>
    <row r="227" spans="1:4" x14ac:dyDescent="0.25">
      <c r="A227" s="24"/>
      <c r="B227" s="3"/>
      <c r="C227" s="3"/>
      <c r="D227" s="3"/>
    </row>
    <row r="228" spans="1:4" x14ac:dyDescent="0.25">
      <c r="A228" s="24"/>
      <c r="B228" s="3"/>
      <c r="C228" s="3"/>
      <c r="D228" s="3"/>
    </row>
    <row r="229" spans="1:4" x14ac:dyDescent="0.25">
      <c r="A229" s="24"/>
      <c r="B229" s="3"/>
      <c r="C229" s="3"/>
      <c r="D229" s="3"/>
    </row>
    <row r="230" spans="1:4" x14ac:dyDescent="0.25">
      <c r="A230" s="24"/>
      <c r="B230" s="3"/>
      <c r="C230" s="3"/>
      <c r="D230" s="3"/>
    </row>
    <row r="231" spans="1:4" x14ac:dyDescent="0.25">
      <c r="A231" s="24"/>
      <c r="B231" s="3"/>
      <c r="C231" s="3"/>
      <c r="D231" s="3"/>
    </row>
    <row r="232" spans="1:4" x14ac:dyDescent="0.25">
      <c r="A232" s="24"/>
      <c r="B232" s="3"/>
      <c r="C232" s="3"/>
      <c r="D232" s="3"/>
    </row>
    <row r="233" spans="1:4" x14ac:dyDescent="0.25">
      <c r="A233" s="24"/>
      <c r="B233" s="3"/>
      <c r="C233" s="3"/>
      <c r="D233" s="3"/>
    </row>
    <row r="234" spans="1:4" x14ac:dyDescent="0.25">
      <c r="A234" s="24"/>
      <c r="B234" s="3"/>
      <c r="C234" s="3"/>
      <c r="D234" s="3"/>
    </row>
    <row r="235" spans="1:4" x14ac:dyDescent="0.25">
      <c r="A235" s="24"/>
      <c r="B235" s="3"/>
      <c r="C235" s="3"/>
      <c r="D235" s="3"/>
    </row>
    <row r="236" spans="1:4" x14ac:dyDescent="0.25">
      <c r="A236" s="24"/>
      <c r="B236" s="3"/>
      <c r="C236" s="3"/>
      <c r="D236" s="3"/>
    </row>
    <row r="237" spans="1:4" x14ac:dyDescent="0.25">
      <c r="A237" s="24"/>
      <c r="B237" s="3"/>
      <c r="C237" s="3"/>
      <c r="D237" s="3"/>
    </row>
    <row r="238" spans="1:4" x14ac:dyDescent="0.25">
      <c r="A238" s="24"/>
      <c r="B238" s="3"/>
      <c r="C238" s="3"/>
      <c r="D238" s="3"/>
    </row>
    <row r="239" spans="1:4" x14ac:dyDescent="0.25">
      <c r="A239" s="24"/>
      <c r="B239" s="3"/>
      <c r="C239" s="3"/>
      <c r="D239" s="3"/>
    </row>
    <row r="240" spans="1:4" x14ac:dyDescent="0.25">
      <c r="A240" s="24"/>
      <c r="B240" s="3"/>
      <c r="C240" s="3"/>
      <c r="D240" s="3"/>
    </row>
    <row r="241" spans="1:4" x14ac:dyDescent="0.25">
      <c r="A241" s="24"/>
      <c r="B241" s="3"/>
      <c r="C241" s="3"/>
      <c r="D241" s="3"/>
    </row>
    <row r="242" spans="1:4" x14ac:dyDescent="0.25">
      <c r="A242" s="24"/>
      <c r="B242" s="3"/>
      <c r="C242" s="3"/>
      <c r="D242" s="3"/>
    </row>
    <row r="243" spans="1:4" x14ac:dyDescent="0.25">
      <c r="A243" s="24"/>
      <c r="B243" s="3"/>
      <c r="C243" s="3"/>
      <c r="D243" s="3"/>
    </row>
    <row r="244" spans="1:4" x14ac:dyDescent="0.25">
      <c r="A244" s="24"/>
      <c r="B244" s="3"/>
      <c r="C244" s="3"/>
      <c r="D244" s="3"/>
    </row>
    <row r="245" spans="1:4" x14ac:dyDescent="0.25">
      <c r="A245" s="24"/>
      <c r="B245" s="3"/>
      <c r="C245" s="3"/>
      <c r="D245" s="3"/>
    </row>
    <row r="246" spans="1:4" x14ac:dyDescent="0.25">
      <c r="A246" s="24"/>
      <c r="B246" s="3"/>
      <c r="C246" s="3"/>
      <c r="D246" s="3"/>
    </row>
    <row r="247" spans="1:4" x14ac:dyDescent="0.25">
      <c r="A247" s="24"/>
      <c r="B247" s="3"/>
      <c r="C247" s="3"/>
      <c r="D247" s="3"/>
    </row>
    <row r="248" spans="1:4" x14ac:dyDescent="0.25">
      <c r="A248" s="24"/>
      <c r="B248" s="3"/>
      <c r="C248" s="3"/>
      <c r="D248" s="3"/>
    </row>
    <row r="249" spans="1:4" x14ac:dyDescent="0.25">
      <c r="A249" s="24"/>
      <c r="B249" s="3"/>
      <c r="C249" s="3"/>
      <c r="D249" s="3"/>
    </row>
    <row r="250" spans="1:4" x14ac:dyDescent="0.25">
      <c r="A250" s="24"/>
      <c r="B250" s="3"/>
      <c r="C250" s="3"/>
      <c r="D250" s="3"/>
    </row>
    <row r="251" spans="1:4" x14ac:dyDescent="0.25">
      <c r="A251" s="24"/>
      <c r="B251" s="3"/>
      <c r="C251" s="3"/>
      <c r="D251" s="3"/>
    </row>
    <row r="252" spans="1:4" x14ac:dyDescent="0.25">
      <c r="A252" s="24"/>
      <c r="B252" s="3"/>
      <c r="C252" s="3"/>
      <c r="D252" s="3"/>
    </row>
    <row r="253" spans="1:4" x14ac:dyDescent="0.25">
      <c r="A253" s="24"/>
      <c r="B253" s="3"/>
      <c r="C253" s="3"/>
      <c r="D253" s="3"/>
    </row>
    <row r="254" spans="1:4" x14ac:dyDescent="0.25">
      <c r="A254" s="24"/>
      <c r="B254" s="3"/>
      <c r="C254" s="3"/>
      <c r="D254" s="3"/>
    </row>
    <row r="255" spans="1:4" x14ac:dyDescent="0.25">
      <c r="A255" s="24"/>
      <c r="B255" s="3"/>
      <c r="C255" s="3"/>
      <c r="D255" s="3"/>
    </row>
    <row r="256" spans="1:4" x14ac:dyDescent="0.25">
      <c r="A256" s="24"/>
      <c r="B256" s="3"/>
      <c r="C256" s="3"/>
      <c r="D256" s="3"/>
    </row>
    <row r="257" spans="1:4" x14ac:dyDescent="0.25">
      <c r="A257" s="24"/>
      <c r="B257" s="3"/>
      <c r="C257" s="3"/>
      <c r="D257" s="3"/>
    </row>
    <row r="258" spans="1:4" x14ac:dyDescent="0.25">
      <c r="A258" s="24"/>
      <c r="B258" s="3"/>
      <c r="C258" s="3"/>
      <c r="D258" s="3"/>
    </row>
    <row r="259" spans="1:4" x14ac:dyDescent="0.25">
      <c r="A259" s="24"/>
      <c r="B259" s="3"/>
      <c r="C259" s="3"/>
      <c r="D259" s="3"/>
    </row>
    <row r="260" spans="1:4" x14ac:dyDescent="0.25">
      <c r="A260" s="24"/>
      <c r="B260" s="3"/>
      <c r="C260" s="3"/>
      <c r="D260" s="3"/>
    </row>
    <row r="261" spans="1:4" x14ac:dyDescent="0.25">
      <c r="A261" s="24"/>
      <c r="B261" s="3"/>
      <c r="C261" s="3"/>
      <c r="D261" s="3"/>
    </row>
    <row r="262" spans="1:4" x14ac:dyDescent="0.25">
      <c r="A262" s="24"/>
      <c r="B262" s="3"/>
      <c r="C262" s="3"/>
      <c r="D262" s="3"/>
    </row>
    <row r="263" spans="1:4" x14ac:dyDescent="0.25">
      <c r="A263" s="24"/>
      <c r="B263" s="3"/>
      <c r="C263" s="3"/>
      <c r="D263" s="3"/>
    </row>
    <row r="264" spans="1:4" x14ac:dyDescent="0.25">
      <c r="A264" s="24"/>
      <c r="B264" s="3"/>
      <c r="C264" s="3"/>
      <c r="D264" s="3"/>
    </row>
    <row r="265" spans="1:4" x14ac:dyDescent="0.25">
      <c r="A265" s="24"/>
      <c r="B265" s="3"/>
      <c r="C265" s="3"/>
      <c r="D265" s="3"/>
    </row>
    <row r="266" spans="1:4" x14ac:dyDescent="0.25">
      <c r="A266" s="24"/>
      <c r="B266" s="3"/>
      <c r="C266" s="3"/>
      <c r="D266" s="3"/>
    </row>
    <row r="267" spans="1:4" x14ac:dyDescent="0.25">
      <c r="A267" s="24"/>
      <c r="B267" s="3"/>
      <c r="C267" s="3"/>
      <c r="D267" s="3"/>
    </row>
    <row r="268" spans="1:4" x14ac:dyDescent="0.25">
      <c r="A268" s="24"/>
      <c r="B268" s="3"/>
      <c r="C268" s="3"/>
      <c r="D268" s="3"/>
    </row>
    <row r="269" spans="1:4" x14ac:dyDescent="0.25">
      <c r="A269" s="24"/>
      <c r="B269" s="3"/>
      <c r="C269" s="3"/>
      <c r="D269" s="3"/>
    </row>
    <row r="270" spans="1:4" x14ac:dyDescent="0.25">
      <c r="A270" s="24"/>
      <c r="B270" s="3"/>
      <c r="C270" s="3"/>
      <c r="D270" s="3"/>
    </row>
    <row r="271" spans="1:4" x14ac:dyDescent="0.25">
      <c r="A271" s="24"/>
      <c r="B271" s="3"/>
      <c r="C271" s="3"/>
      <c r="D271" s="3"/>
    </row>
    <row r="272" spans="1:4" x14ac:dyDescent="0.25">
      <c r="A272" s="24"/>
      <c r="B272" s="3"/>
      <c r="C272" s="3"/>
      <c r="D272" s="3"/>
    </row>
    <row r="273" spans="1:4" x14ac:dyDescent="0.25">
      <c r="A273" s="24"/>
      <c r="B273" s="3"/>
      <c r="C273" s="3"/>
      <c r="D273" s="3"/>
    </row>
    <row r="274" spans="1:4" x14ac:dyDescent="0.25">
      <c r="A274" s="24"/>
      <c r="B274" s="3"/>
      <c r="C274" s="3"/>
      <c r="D274" s="3"/>
    </row>
    <row r="275" spans="1:4" x14ac:dyDescent="0.25">
      <c r="A275" s="24"/>
      <c r="B275" s="3"/>
      <c r="C275" s="3"/>
      <c r="D275" s="3"/>
    </row>
    <row r="276" spans="1:4" x14ac:dyDescent="0.25">
      <c r="A276" s="24"/>
      <c r="B276" s="3"/>
      <c r="C276" s="3"/>
      <c r="D276" s="3"/>
    </row>
    <row r="277" spans="1:4" x14ac:dyDescent="0.25">
      <c r="A277" s="24"/>
      <c r="B277" s="3"/>
      <c r="C277" s="3"/>
      <c r="D277" s="3"/>
    </row>
    <row r="278" spans="1:4" x14ac:dyDescent="0.25">
      <c r="A278" s="24"/>
      <c r="B278" s="3"/>
      <c r="C278" s="3"/>
      <c r="D278" s="3"/>
    </row>
    <row r="279" spans="1:4" x14ac:dyDescent="0.25">
      <c r="A279" s="24"/>
      <c r="B279" s="3"/>
      <c r="C279" s="3"/>
      <c r="D279" s="3"/>
    </row>
    <row r="280" spans="1:4" x14ac:dyDescent="0.25">
      <c r="A280" s="24"/>
      <c r="B280" s="3"/>
      <c r="C280" s="3"/>
      <c r="D280" s="3"/>
    </row>
    <row r="281" spans="1:4" x14ac:dyDescent="0.25">
      <c r="A281" s="24"/>
      <c r="B281" s="3"/>
      <c r="C281" s="3"/>
      <c r="D281" s="3"/>
    </row>
    <row r="282" spans="1:4" x14ac:dyDescent="0.25">
      <c r="A282" s="24"/>
      <c r="B282" s="3"/>
      <c r="C282" s="3"/>
      <c r="D282" s="3"/>
    </row>
    <row r="283" spans="1:4" x14ac:dyDescent="0.25">
      <c r="A283" s="24"/>
      <c r="B283" s="3"/>
      <c r="C283" s="3"/>
      <c r="D283" s="3"/>
    </row>
    <row r="284" spans="1:4" x14ac:dyDescent="0.25">
      <c r="A284" s="24"/>
      <c r="B284" s="3"/>
      <c r="C284" s="3"/>
      <c r="D284" s="3"/>
    </row>
    <row r="285" spans="1:4" x14ac:dyDescent="0.25">
      <c r="A285" s="24"/>
      <c r="B285" s="3"/>
      <c r="C285" s="3"/>
      <c r="D285" s="3"/>
    </row>
    <row r="286" spans="1:4" x14ac:dyDescent="0.25">
      <c r="A286" s="24"/>
      <c r="B286" s="3"/>
      <c r="C286" s="3"/>
      <c r="D286" s="3"/>
    </row>
    <row r="287" spans="1:4" x14ac:dyDescent="0.25">
      <c r="A287" s="24"/>
      <c r="B287" s="3"/>
      <c r="C287" s="3"/>
      <c r="D287" s="3"/>
    </row>
    <row r="288" spans="1:4" x14ac:dyDescent="0.25">
      <c r="A288" s="24"/>
      <c r="B288" s="3"/>
      <c r="C288" s="3"/>
      <c r="D288" s="3"/>
    </row>
    <row r="289" spans="1:4" x14ac:dyDescent="0.25">
      <c r="A289" s="24"/>
      <c r="B289" s="3"/>
      <c r="C289" s="3"/>
      <c r="D289" s="3"/>
    </row>
    <row r="290" spans="1:4" x14ac:dyDescent="0.25">
      <c r="A290" s="24"/>
      <c r="B290" s="3"/>
      <c r="C290" s="3"/>
      <c r="D290" s="3"/>
    </row>
    <row r="291" spans="1:4" x14ac:dyDescent="0.25">
      <c r="A291" s="24"/>
      <c r="B291" s="3"/>
      <c r="C291" s="3"/>
      <c r="D291" s="3"/>
    </row>
    <row r="292" spans="1:4" x14ac:dyDescent="0.25">
      <c r="A292" s="24"/>
      <c r="B292" s="3"/>
      <c r="C292" s="3"/>
      <c r="D292" s="3"/>
    </row>
    <row r="293" spans="1:4" x14ac:dyDescent="0.25">
      <c r="A293" s="24"/>
      <c r="B293" s="3"/>
      <c r="C293" s="3"/>
      <c r="D293" s="3"/>
    </row>
    <row r="294" spans="1:4" x14ac:dyDescent="0.25">
      <c r="A294" s="24"/>
      <c r="B294" s="3"/>
      <c r="C294" s="3"/>
      <c r="D294" s="3"/>
    </row>
    <row r="295" spans="1:4" x14ac:dyDescent="0.25">
      <c r="A295" s="24"/>
      <c r="B295" s="3"/>
      <c r="C295" s="3"/>
      <c r="D295" s="3"/>
    </row>
    <row r="296" spans="1:4" x14ac:dyDescent="0.25">
      <c r="A296" s="24"/>
      <c r="B296" s="3"/>
      <c r="C296" s="3"/>
      <c r="D296" s="3"/>
    </row>
    <row r="297" spans="1:4" x14ac:dyDescent="0.25">
      <c r="A297" s="24"/>
      <c r="B297" s="3"/>
      <c r="C297" s="3"/>
      <c r="D297" s="3"/>
    </row>
    <row r="298" spans="1:4" x14ac:dyDescent="0.25">
      <c r="A298" s="24"/>
      <c r="B298" s="3"/>
      <c r="C298" s="3"/>
      <c r="D298" s="3"/>
    </row>
    <row r="299" spans="1:4" x14ac:dyDescent="0.25">
      <c r="A299" s="24"/>
      <c r="B299" s="3"/>
      <c r="C299" s="3"/>
      <c r="D299" s="3"/>
    </row>
    <row r="300" spans="1:4" x14ac:dyDescent="0.25">
      <c r="A300" s="83"/>
    </row>
    <row r="301" spans="1:4" x14ac:dyDescent="0.25">
      <c r="A301" s="83"/>
    </row>
    <row r="302" spans="1:4" x14ac:dyDescent="0.25">
      <c r="A302" s="83"/>
    </row>
    <row r="303" spans="1:4" x14ac:dyDescent="0.25">
      <c r="A303" s="83"/>
    </row>
    <row r="304" spans="1:4" x14ac:dyDescent="0.25">
      <c r="A304" s="83"/>
    </row>
    <row r="305" spans="1:1" x14ac:dyDescent="0.25">
      <c r="A305" s="83"/>
    </row>
    <row r="306" spans="1:1" x14ac:dyDescent="0.25">
      <c r="A306" s="83"/>
    </row>
    <row r="307" spans="1:1" x14ac:dyDescent="0.25">
      <c r="A307" s="83"/>
    </row>
    <row r="308" spans="1:1" x14ac:dyDescent="0.25">
      <c r="A308" s="83"/>
    </row>
    <row r="309" spans="1:1" x14ac:dyDescent="0.25">
      <c r="A309" s="83"/>
    </row>
    <row r="310" spans="1:1" x14ac:dyDescent="0.25">
      <c r="A310" s="83"/>
    </row>
    <row r="311" spans="1:1" x14ac:dyDescent="0.25">
      <c r="A311" s="83"/>
    </row>
    <row r="312" spans="1:1" x14ac:dyDescent="0.25">
      <c r="A312" s="83"/>
    </row>
    <row r="313" spans="1:1" x14ac:dyDescent="0.25">
      <c r="A313" s="83"/>
    </row>
    <row r="314" spans="1:1" x14ac:dyDescent="0.25">
      <c r="A314" s="83"/>
    </row>
    <row r="315" spans="1:1" x14ac:dyDescent="0.25">
      <c r="A315" s="83"/>
    </row>
    <row r="316" spans="1:1" x14ac:dyDescent="0.25">
      <c r="A316" s="83"/>
    </row>
    <row r="317" spans="1:1" x14ac:dyDescent="0.25">
      <c r="A317" s="83"/>
    </row>
    <row r="318" spans="1:1" x14ac:dyDescent="0.25">
      <c r="A318" s="83"/>
    </row>
    <row r="319" spans="1:1" x14ac:dyDescent="0.25">
      <c r="A319" s="83"/>
    </row>
    <row r="320" spans="1:1" x14ac:dyDescent="0.25">
      <c r="A320" s="83"/>
    </row>
    <row r="321" spans="1:1" x14ac:dyDescent="0.25">
      <c r="A321" s="83"/>
    </row>
    <row r="322" spans="1:1" x14ac:dyDescent="0.25">
      <c r="A322" s="83"/>
    </row>
    <row r="323" spans="1:1" x14ac:dyDescent="0.25">
      <c r="A323" s="83"/>
    </row>
    <row r="324" spans="1:1" x14ac:dyDescent="0.25">
      <c r="A324" s="83"/>
    </row>
    <row r="325" spans="1:1" x14ac:dyDescent="0.25">
      <c r="A325" s="83"/>
    </row>
    <row r="326" spans="1:1" x14ac:dyDescent="0.25">
      <c r="A326" s="83"/>
    </row>
    <row r="327" spans="1:1" x14ac:dyDescent="0.25">
      <c r="A327" s="83"/>
    </row>
    <row r="328" spans="1:1" x14ac:dyDescent="0.25">
      <c r="A328" s="83"/>
    </row>
    <row r="329" spans="1:1" x14ac:dyDescent="0.25">
      <c r="A329" s="83"/>
    </row>
    <row r="330" spans="1:1" x14ac:dyDescent="0.25">
      <c r="A330" s="83"/>
    </row>
    <row r="331" spans="1:1" x14ac:dyDescent="0.25">
      <c r="A331" s="83"/>
    </row>
    <row r="332" spans="1:1" x14ac:dyDescent="0.25">
      <c r="A332" s="83"/>
    </row>
    <row r="333" spans="1:1" x14ac:dyDescent="0.25">
      <c r="A333" s="83"/>
    </row>
    <row r="334" spans="1:1" x14ac:dyDescent="0.25">
      <c r="A334" s="83"/>
    </row>
    <row r="335" spans="1:1" x14ac:dyDescent="0.25">
      <c r="A335" s="83"/>
    </row>
    <row r="336" spans="1:1" x14ac:dyDescent="0.25">
      <c r="A336" s="83"/>
    </row>
    <row r="337" spans="1:1" x14ac:dyDescent="0.25">
      <c r="A337" s="83"/>
    </row>
    <row r="338" spans="1:1" x14ac:dyDescent="0.25">
      <c r="A338" s="83"/>
    </row>
    <row r="339" spans="1:1" x14ac:dyDescent="0.25">
      <c r="A339" s="83"/>
    </row>
    <row r="340" spans="1:1" x14ac:dyDescent="0.25">
      <c r="A340" s="83"/>
    </row>
    <row r="341" spans="1:1" x14ac:dyDescent="0.25">
      <c r="A341" s="83"/>
    </row>
    <row r="342" spans="1:1" x14ac:dyDescent="0.25">
      <c r="A342" s="83"/>
    </row>
    <row r="343" spans="1:1" x14ac:dyDescent="0.25">
      <c r="A343" s="83"/>
    </row>
    <row r="344" spans="1:1" x14ac:dyDescent="0.25">
      <c r="A344" s="83"/>
    </row>
    <row r="345" spans="1:1" x14ac:dyDescent="0.25">
      <c r="A345" s="83"/>
    </row>
    <row r="346" spans="1:1" x14ac:dyDescent="0.25">
      <c r="A346" s="83"/>
    </row>
    <row r="347" spans="1:1" x14ac:dyDescent="0.25">
      <c r="A347" s="83"/>
    </row>
    <row r="348" spans="1:1" x14ac:dyDescent="0.25">
      <c r="A348" s="83"/>
    </row>
    <row r="349" spans="1:1" x14ac:dyDescent="0.25">
      <c r="A349" s="83"/>
    </row>
    <row r="350" spans="1:1" x14ac:dyDescent="0.25">
      <c r="A350" s="83"/>
    </row>
    <row r="351" spans="1:1" x14ac:dyDescent="0.25">
      <c r="A351" s="83"/>
    </row>
    <row r="352" spans="1:1" x14ac:dyDescent="0.25">
      <c r="A352" s="83"/>
    </row>
    <row r="353" spans="1:1" x14ac:dyDescent="0.25">
      <c r="A353" s="83"/>
    </row>
    <row r="354" spans="1:1" x14ac:dyDescent="0.25">
      <c r="A354" s="83"/>
    </row>
    <row r="355" spans="1:1" x14ac:dyDescent="0.25">
      <c r="A355" s="83"/>
    </row>
    <row r="356" spans="1:1" x14ac:dyDescent="0.25">
      <c r="A356" s="83"/>
    </row>
    <row r="357" spans="1:1" x14ac:dyDescent="0.25">
      <c r="A357" s="83"/>
    </row>
    <row r="358" spans="1:1" x14ac:dyDescent="0.25">
      <c r="A358" s="83"/>
    </row>
    <row r="359" spans="1:1" x14ac:dyDescent="0.25">
      <c r="A359" s="83"/>
    </row>
    <row r="360" spans="1:1" x14ac:dyDescent="0.25">
      <c r="A360" s="83"/>
    </row>
    <row r="361" spans="1:1" x14ac:dyDescent="0.25">
      <c r="A361" s="83"/>
    </row>
    <row r="362" spans="1:1" x14ac:dyDescent="0.25">
      <c r="A362" s="83"/>
    </row>
    <row r="363" spans="1:1" x14ac:dyDescent="0.25">
      <c r="A363" s="83"/>
    </row>
    <row r="364" spans="1:1" x14ac:dyDescent="0.25">
      <c r="A364" s="83"/>
    </row>
    <row r="365" spans="1:1" x14ac:dyDescent="0.25">
      <c r="A365" s="83"/>
    </row>
    <row r="366" spans="1:1" x14ac:dyDescent="0.25">
      <c r="A366" s="83"/>
    </row>
    <row r="367" spans="1:1" x14ac:dyDescent="0.25">
      <c r="A367" s="83"/>
    </row>
    <row r="368" spans="1:1" x14ac:dyDescent="0.25">
      <c r="A368" s="83"/>
    </row>
    <row r="369" spans="1:1" x14ac:dyDescent="0.25">
      <c r="A369" s="83"/>
    </row>
    <row r="370" spans="1:1" x14ac:dyDescent="0.25">
      <c r="A370" s="83"/>
    </row>
    <row r="371" spans="1:1" x14ac:dyDescent="0.25">
      <c r="A371" s="83"/>
    </row>
    <row r="372" spans="1:1" x14ac:dyDescent="0.25">
      <c r="A372" s="83"/>
    </row>
    <row r="373" spans="1:1" x14ac:dyDescent="0.25">
      <c r="A373" s="83"/>
    </row>
    <row r="374" spans="1:1" x14ac:dyDescent="0.25">
      <c r="A374" s="83"/>
    </row>
    <row r="375" spans="1:1" x14ac:dyDescent="0.25">
      <c r="A375" s="83"/>
    </row>
    <row r="376" spans="1:1" x14ac:dyDescent="0.25">
      <c r="A376" s="83"/>
    </row>
    <row r="377" spans="1:1" x14ac:dyDescent="0.25">
      <c r="A377" s="83"/>
    </row>
    <row r="378" spans="1:1" x14ac:dyDescent="0.25">
      <c r="A378" s="83"/>
    </row>
    <row r="379" spans="1:1" x14ac:dyDescent="0.25">
      <c r="A379" s="83"/>
    </row>
    <row r="380" spans="1:1" x14ac:dyDescent="0.25">
      <c r="A380" s="83"/>
    </row>
    <row r="381" spans="1:1" x14ac:dyDescent="0.25">
      <c r="A381" s="83"/>
    </row>
    <row r="382" spans="1:1" x14ac:dyDescent="0.25">
      <c r="A382" s="83"/>
    </row>
    <row r="383" spans="1:1" x14ac:dyDescent="0.25">
      <c r="A383" s="83"/>
    </row>
    <row r="384" spans="1:1" x14ac:dyDescent="0.25">
      <c r="A384" s="83"/>
    </row>
    <row r="385" spans="1:1" x14ac:dyDescent="0.25">
      <c r="A385" s="83"/>
    </row>
    <row r="386" spans="1:1" x14ac:dyDescent="0.25">
      <c r="A386" s="83"/>
    </row>
    <row r="387" spans="1:1" x14ac:dyDescent="0.25">
      <c r="A387" s="83"/>
    </row>
    <row r="388" spans="1:1" x14ac:dyDescent="0.25">
      <c r="A388" s="83"/>
    </row>
    <row r="389" spans="1:1" x14ac:dyDescent="0.25">
      <c r="A389" s="83"/>
    </row>
    <row r="390" spans="1:1" x14ac:dyDescent="0.25">
      <c r="A390" s="83"/>
    </row>
    <row r="391" spans="1:1" x14ac:dyDescent="0.25">
      <c r="A391" s="83"/>
    </row>
    <row r="392" spans="1:1" x14ac:dyDescent="0.25">
      <c r="A392" s="83"/>
    </row>
    <row r="393" spans="1:1" x14ac:dyDescent="0.25">
      <c r="A393" s="83"/>
    </row>
    <row r="394" spans="1:1" x14ac:dyDescent="0.25">
      <c r="A394" s="83"/>
    </row>
    <row r="395" spans="1:1" x14ac:dyDescent="0.25">
      <c r="A395" s="83"/>
    </row>
    <row r="396" spans="1:1" x14ac:dyDescent="0.25">
      <c r="A396" s="83"/>
    </row>
    <row r="397" spans="1:1" x14ac:dyDescent="0.25">
      <c r="A397" s="83"/>
    </row>
    <row r="398" spans="1:1" x14ac:dyDescent="0.25">
      <c r="A398" s="83"/>
    </row>
    <row r="399" spans="1:1" x14ac:dyDescent="0.25">
      <c r="A399" s="83"/>
    </row>
    <row r="400" spans="1:1" x14ac:dyDescent="0.25">
      <c r="A400" s="83"/>
    </row>
    <row r="401" spans="1:1" x14ac:dyDescent="0.25">
      <c r="A401" s="83"/>
    </row>
    <row r="402" spans="1:1" x14ac:dyDescent="0.25">
      <c r="A402" s="83"/>
    </row>
    <row r="403" spans="1:1" x14ac:dyDescent="0.25">
      <c r="A403" s="83"/>
    </row>
    <row r="404" spans="1:1" x14ac:dyDescent="0.25">
      <c r="A404" s="83"/>
    </row>
    <row r="405" spans="1:1" x14ac:dyDescent="0.25">
      <c r="A405" s="83"/>
    </row>
    <row r="406" spans="1:1" x14ac:dyDescent="0.25">
      <c r="A406" s="83"/>
    </row>
    <row r="407" spans="1:1" x14ac:dyDescent="0.25">
      <c r="A407" s="83"/>
    </row>
    <row r="408" spans="1:1" x14ac:dyDescent="0.25">
      <c r="A408" s="83"/>
    </row>
    <row r="409" spans="1:1" x14ac:dyDescent="0.25">
      <c r="A409" s="83"/>
    </row>
    <row r="410" spans="1:1" x14ac:dyDescent="0.25">
      <c r="A410" s="83"/>
    </row>
    <row r="411" spans="1:1" x14ac:dyDescent="0.25">
      <c r="A411" s="83"/>
    </row>
    <row r="412" spans="1:1" x14ac:dyDescent="0.25">
      <c r="A412" s="83"/>
    </row>
    <row r="413" spans="1:1" x14ac:dyDescent="0.25">
      <c r="A413" s="83"/>
    </row>
    <row r="414" spans="1:1" x14ac:dyDescent="0.25">
      <c r="A414" s="83"/>
    </row>
    <row r="415" spans="1:1" x14ac:dyDescent="0.25">
      <c r="A415" s="83"/>
    </row>
    <row r="416" spans="1:1" x14ac:dyDescent="0.25">
      <c r="A416" s="83"/>
    </row>
    <row r="417" spans="1:1" x14ac:dyDescent="0.25">
      <c r="A417" s="83"/>
    </row>
    <row r="418" spans="1:1" x14ac:dyDescent="0.25">
      <c r="A418" s="83"/>
    </row>
    <row r="419" spans="1:1" x14ac:dyDescent="0.25">
      <c r="A419" s="83"/>
    </row>
    <row r="420" spans="1:1" x14ac:dyDescent="0.25">
      <c r="A420" s="83"/>
    </row>
    <row r="421" spans="1:1" x14ac:dyDescent="0.25">
      <c r="A421" s="83"/>
    </row>
    <row r="422" spans="1:1" x14ac:dyDescent="0.25">
      <c r="A422" s="83"/>
    </row>
    <row r="423" spans="1:1" x14ac:dyDescent="0.25">
      <c r="A423" s="83"/>
    </row>
    <row r="424" spans="1:1" x14ac:dyDescent="0.25">
      <c r="A424" s="83"/>
    </row>
    <row r="425" spans="1:1" x14ac:dyDescent="0.25">
      <c r="A425" s="83"/>
    </row>
    <row r="426" spans="1:1" x14ac:dyDescent="0.25">
      <c r="A426" s="83"/>
    </row>
    <row r="427" spans="1:1" x14ac:dyDescent="0.25">
      <c r="A427" s="83"/>
    </row>
    <row r="428" spans="1:1" x14ac:dyDescent="0.25">
      <c r="A428" s="83"/>
    </row>
    <row r="429" spans="1:1" x14ac:dyDescent="0.25">
      <c r="A429" s="83"/>
    </row>
    <row r="430" spans="1:1" x14ac:dyDescent="0.25">
      <c r="A430" s="83"/>
    </row>
    <row r="431" spans="1:1" x14ac:dyDescent="0.25">
      <c r="A431" s="83"/>
    </row>
    <row r="432" spans="1:1" x14ac:dyDescent="0.25">
      <c r="A432" s="83"/>
    </row>
    <row r="433" spans="1:1" x14ac:dyDescent="0.25">
      <c r="A433" s="83"/>
    </row>
    <row r="434" spans="1:1" x14ac:dyDescent="0.25">
      <c r="A434" s="83"/>
    </row>
    <row r="435" spans="1:1" x14ac:dyDescent="0.25">
      <c r="A435" s="83"/>
    </row>
    <row r="436" spans="1:1" x14ac:dyDescent="0.25">
      <c r="A436" s="83"/>
    </row>
    <row r="437" spans="1:1" x14ac:dyDescent="0.25">
      <c r="A437" s="83"/>
    </row>
    <row r="438" spans="1:1" x14ac:dyDescent="0.25">
      <c r="A438" s="83"/>
    </row>
    <row r="439" spans="1:1" x14ac:dyDescent="0.25">
      <c r="A439" s="83"/>
    </row>
    <row r="440" spans="1:1" x14ac:dyDescent="0.25">
      <c r="A440" s="83"/>
    </row>
    <row r="441" spans="1:1" x14ac:dyDescent="0.25">
      <c r="A441" s="83"/>
    </row>
    <row r="442" spans="1:1" x14ac:dyDescent="0.25">
      <c r="A442" s="83"/>
    </row>
    <row r="443" spans="1:1" x14ac:dyDescent="0.25">
      <c r="A443" s="83"/>
    </row>
    <row r="444" spans="1:1" x14ac:dyDescent="0.25">
      <c r="A444" s="83"/>
    </row>
    <row r="445" spans="1:1" x14ac:dyDescent="0.25">
      <c r="A445" s="83"/>
    </row>
    <row r="446" spans="1:1" x14ac:dyDescent="0.25">
      <c r="A446" s="83"/>
    </row>
    <row r="447" spans="1:1" x14ac:dyDescent="0.25">
      <c r="A447" s="83"/>
    </row>
    <row r="448" spans="1:1" x14ac:dyDescent="0.25">
      <c r="A448" s="83"/>
    </row>
    <row r="449" spans="1:1" x14ac:dyDescent="0.25">
      <c r="A449" s="83"/>
    </row>
    <row r="450" spans="1:1" x14ac:dyDescent="0.25">
      <c r="A450" s="83"/>
    </row>
    <row r="451" spans="1:1" x14ac:dyDescent="0.25">
      <c r="A451" s="83"/>
    </row>
    <row r="452" spans="1:1" x14ac:dyDescent="0.25">
      <c r="A452" s="83"/>
    </row>
    <row r="453" spans="1:1" x14ac:dyDescent="0.25">
      <c r="A453" s="83"/>
    </row>
    <row r="454" spans="1:1" x14ac:dyDescent="0.25">
      <c r="A454" s="83"/>
    </row>
    <row r="455" spans="1:1" x14ac:dyDescent="0.25">
      <c r="A455" s="83"/>
    </row>
    <row r="456" spans="1:1" x14ac:dyDescent="0.25">
      <c r="A456" s="83"/>
    </row>
    <row r="457" spans="1:1" x14ac:dyDescent="0.25">
      <c r="A457" s="83"/>
    </row>
    <row r="458" spans="1:1" x14ac:dyDescent="0.25">
      <c r="A458" s="83"/>
    </row>
    <row r="459" spans="1:1" x14ac:dyDescent="0.25">
      <c r="A459" s="83"/>
    </row>
    <row r="460" spans="1:1" x14ac:dyDescent="0.25">
      <c r="A460" s="83"/>
    </row>
    <row r="461" spans="1:1" x14ac:dyDescent="0.25">
      <c r="A461" s="83"/>
    </row>
    <row r="462" spans="1:1" x14ac:dyDescent="0.25">
      <c r="A462" s="83"/>
    </row>
    <row r="463" spans="1:1" x14ac:dyDescent="0.25">
      <c r="A463" s="83"/>
    </row>
    <row r="464" spans="1:1" x14ac:dyDescent="0.25">
      <c r="A464" s="83"/>
    </row>
    <row r="465" spans="1:1" x14ac:dyDescent="0.25">
      <c r="A465" s="83"/>
    </row>
    <row r="466" spans="1:1" x14ac:dyDescent="0.25">
      <c r="A466" s="83"/>
    </row>
    <row r="467" spans="1:1" x14ac:dyDescent="0.25">
      <c r="A467" s="83"/>
    </row>
    <row r="468" spans="1:1" x14ac:dyDescent="0.25">
      <c r="A468" s="83"/>
    </row>
    <row r="469" spans="1:1" x14ac:dyDescent="0.25">
      <c r="A469" s="83"/>
    </row>
    <row r="470" spans="1:1" x14ac:dyDescent="0.25">
      <c r="A470" s="83"/>
    </row>
    <row r="471" spans="1:1" x14ac:dyDescent="0.25">
      <c r="A471" s="83"/>
    </row>
    <row r="472" spans="1:1" x14ac:dyDescent="0.25">
      <c r="A472" s="83"/>
    </row>
    <row r="473" spans="1:1" x14ac:dyDescent="0.25">
      <c r="A473" s="83"/>
    </row>
    <row r="474" spans="1:1" x14ac:dyDescent="0.25">
      <c r="A474" s="83"/>
    </row>
    <row r="475" spans="1:1" x14ac:dyDescent="0.25">
      <c r="A475" s="83"/>
    </row>
    <row r="476" spans="1:1" x14ac:dyDescent="0.25">
      <c r="A476" s="83"/>
    </row>
    <row r="477" spans="1:1" x14ac:dyDescent="0.25">
      <c r="A477" s="83"/>
    </row>
    <row r="478" spans="1:1" x14ac:dyDescent="0.25">
      <c r="A478" s="83"/>
    </row>
    <row r="479" spans="1:1" x14ac:dyDescent="0.25">
      <c r="A479" s="83"/>
    </row>
    <row r="480" spans="1:1" x14ac:dyDescent="0.25">
      <c r="A480" s="83"/>
    </row>
    <row r="481" spans="1:1" x14ac:dyDescent="0.25">
      <c r="A481" s="83"/>
    </row>
    <row r="482" spans="1:1" x14ac:dyDescent="0.25">
      <c r="A482" s="83"/>
    </row>
    <row r="483" spans="1:1" x14ac:dyDescent="0.25">
      <c r="A483" s="83"/>
    </row>
    <row r="484" spans="1:1" x14ac:dyDescent="0.25">
      <c r="A484" s="83"/>
    </row>
    <row r="485" spans="1:1" x14ac:dyDescent="0.25">
      <c r="A485" s="83"/>
    </row>
    <row r="486" spans="1:1" x14ac:dyDescent="0.25">
      <c r="A486" s="83"/>
    </row>
    <row r="487" spans="1:1" x14ac:dyDescent="0.25">
      <c r="A487" s="83"/>
    </row>
    <row r="488" spans="1:1" x14ac:dyDescent="0.25">
      <c r="A488" s="83"/>
    </row>
    <row r="489" spans="1:1" x14ac:dyDescent="0.25">
      <c r="A489" s="83"/>
    </row>
    <row r="490" spans="1:1" x14ac:dyDescent="0.25">
      <c r="A490" s="83"/>
    </row>
    <row r="491" spans="1:1" x14ac:dyDescent="0.25">
      <c r="A491" s="83"/>
    </row>
    <row r="492" spans="1:1" x14ac:dyDescent="0.25">
      <c r="A492" s="83"/>
    </row>
    <row r="493" spans="1:1" x14ac:dyDescent="0.25">
      <c r="A493" s="83"/>
    </row>
    <row r="494" spans="1:1" x14ac:dyDescent="0.25">
      <c r="A494" s="83"/>
    </row>
    <row r="495" spans="1:1" x14ac:dyDescent="0.25">
      <c r="A495" s="83"/>
    </row>
    <row r="496" spans="1:1" x14ac:dyDescent="0.25">
      <c r="A496" s="83"/>
    </row>
    <row r="497" spans="1:1" x14ac:dyDescent="0.25">
      <c r="A497" s="83"/>
    </row>
    <row r="498" spans="1:1" x14ac:dyDescent="0.25">
      <c r="A498" s="83"/>
    </row>
    <row r="499" spans="1:1" x14ac:dyDescent="0.25">
      <c r="A499" s="83"/>
    </row>
    <row r="500" spans="1:1" x14ac:dyDescent="0.25">
      <c r="A500" s="83"/>
    </row>
    <row r="501" spans="1:1" x14ac:dyDescent="0.25">
      <c r="A501" s="83"/>
    </row>
    <row r="502" spans="1:1" x14ac:dyDescent="0.25">
      <c r="A502" s="83"/>
    </row>
    <row r="503" spans="1:1" x14ac:dyDescent="0.25">
      <c r="A503" s="83"/>
    </row>
    <row r="504" spans="1:1" x14ac:dyDescent="0.25">
      <c r="A504" s="83"/>
    </row>
    <row r="505" spans="1:1" x14ac:dyDescent="0.25">
      <c r="A505" s="83"/>
    </row>
    <row r="506" spans="1:1" x14ac:dyDescent="0.25">
      <c r="A506" s="83"/>
    </row>
    <row r="507" spans="1:1" x14ac:dyDescent="0.25">
      <c r="A507" s="83"/>
    </row>
    <row r="508" spans="1:1" x14ac:dyDescent="0.25">
      <c r="A508" s="83"/>
    </row>
    <row r="509" spans="1:1" x14ac:dyDescent="0.25">
      <c r="A509" s="83"/>
    </row>
    <row r="510" spans="1:1" x14ac:dyDescent="0.25">
      <c r="A510" s="83"/>
    </row>
    <row r="511" spans="1:1" x14ac:dyDescent="0.25">
      <c r="A511" s="83"/>
    </row>
    <row r="512" spans="1:1" x14ac:dyDescent="0.25">
      <c r="A512" s="83"/>
    </row>
    <row r="513" spans="1:1" x14ac:dyDescent="0.25">
      <c r="A513" s="83"/>
    </row>
    <row r="514" spans="1:1" x14ac:dyDescent="0.25">
      <c r="A514" s="83"/>
    </row>
    <row r="515" spans="1:1" x14ac:dyDescent="0.25">
      <c r="A515" s="83"/>
    </row>
    <row r="516" spans="1:1" x14ac:dyDescent="0.25">
      <c r="A516" s="83"/>
    </row>
    <row r="517" spans="1:1" x14ac:dyDescent="0.25">
      <c r="A517" s="83"/>
    </row>
    <row r="518" spans="1:1" x14ac:dyDescent="0.25">
      <c r="A518" s="83"/>
    </row>
    <row r="519" spans="1:1" x14ac:dyDescent="0.25">
      <c r="A519" s="83"/>
    </row>
    <row r="520" spans="1:1" x14ac:dyDescent="0.25">
      <c r="A520" s="83"/>
    </row>
    <row r="521" spans="1:1" x14ac:dyDescent="0.25">
      <c r="A521" s="83"/>
    </row>
    <row r="522" spans="1:1" x14ac:dyDescent="0.25">
      <c r="A522" s="83"/>
    </row>
    <row r="523" spans="1:1" x14ac:dyDescent="0.25">
      <c r="A523" s="83"/>
    </row>
    <row r="524" spans="1:1" x14ac:dyDescent="0.25">
      <c r="A524" s="83"/>
    </row>
    <row r="525" spans="1:1" x14ac:dyDescent="0.25">
      <c r="A525" s="83"/>
    </row>
    <row r="526" spans="1:1" x14ac:dyDescent="0.25">
      <c r="A526" s="83"/>
    </row>
    <row r="527" spans="1:1" x14ac:dyDescent="0.25">
      <c r="A527" s="83"/>
    </row>
    <row r="528" spans="1:1" x14ac:dyDescent="0.25">
      <c r="A528" s="83"/>
    </row>
    <row r="529" spans="1:1" x14ac:dyDescent="0.25">
      <c r="A529" s="83"/>
    </row>
    <row r="530" spans="1:1" x14ac:dyDescent="0.25">
      <c r="A530" s="83"/>
    </row>
    <row r="531" spans="1:1" x14ac:dyDescent="0.25">
      <c r="A531" s="83"/>
    </row>
    <row r="532" spans="1:1" x14ac:dyDescent="0.25">
      <c r="A532" s="83"/>
    </row>
    <row r="533" spans="1:1" x14ac:dyDescent="0.25">
      <c r="A533" s="83"/>
    </row>
    <row r="534" spans="1:1" x14ac:dyDescent="0.25">
      <c r="A534" s="83"/>
    </row>
    <row r="535" spans="1:1" x14ac:dyDescent="0.25">
      <c r="A535" s="83"/>
    </row>
    <row r="536" spans="1:1" x14ac:dyDescent="0.25">
      <c r="A536" s="83"/>
    </row>
    <row r="537" spans="1:1" x14ac:dyDescent="0.25">
      <c r="A537" s="83"/>
    </row>
    <row r="538" spans="1:1" x14ac:dyDescent="0.25">
      <c r="A538" s="83"/>
    </row>
    <row r="539" spans="1:1" x14ac:dyDescent="0.25">
      <c r="A539" s="83"/>
    </row>
    <row r="540" spans="1:1" x14ac:dyDescent="0.25">
      <c r="A540" s="83"/>
    </row>
    <row r="541" spans="1:1" x14ac:dyDescent="0.25">
      <c r="A541" s="83"/>
    </row>
    <row r="542" spans="1:1" x14ac:dyDescent="0.25">
      <c r="A542" s="83"/>
    </row>
    <row r="543" spans="1:1" x14ac:dyDescent="0.25">
      <c r="A543" s="83"/>
    </row>
    <row r="544" spans="1:1" x14ac:dyDescent="0.25">
      <c r="A544" s="83"/>
    </row>
    <row r="545" spans="1:1" x14ac:dyDescent="0.25">
      <c r="A545" s="83"/>
    </row>
    <row r="546" spans="1:1" x14ac:dyDescent="0.25">
      <c r="A546" s="83"/>
    </row>
    <row r="547" spans="1:1" x14ac:dyDescent="0.25">
      <c r="A547" s="83"/>
    </row>
    <row r="548" spans="1:1" x14ac:dyDescent="0.25">
      <c r="A548" s="83"/>
    </row>
    <row r="549" spans="1:1" x14ac:dyDescent="0.25">
      <c r="A549" s="83"/>
    </row>
    <row r="550" spans="1:1" x14ac:dyDescent="0.25">
      <c r="A550" s="83"/>
    </row>
    <row r="551" spans="1:1" x14ac:dyDescent="0.25">
      <c r="A551" s="83"/>
    </row>
    <row r="552" spans="1:1" x14ac:dyDescent="0.25">
      <c r="A552" s="83"/>
    </row>
    <row r="553" spans="1:1" x14ac:dyDescent="0.25">
      <c r="A553" s="83"/>
    </row>
    <row r="554" spans="1:1" x14ac:dyDescent="0.25">
      <c r="A554" s="83"/>
    </row>
    <row r="555" spans="1:1" x14ac:dyDescent="0.25">
      <c r="A555" s="83"/>
    </row>
    <row r="556" spans="1:1" x14ac:dyDescent="0.25">
      <c r="A556" s="83"/>
    </row>
    <row r="557" spans="1:1" x14ac:dyDescent="0.25">
      <c r="A557" s="83"/>
    </row>
    <row r="558" spans="1:1" x14ac:dyDescent="0.25">
      <c r="A558" s="83"/>
    </row>
    <row r="559" spans="1:1" x14ac:dyDescent="0.25">
      <c r="A559" s="83"/>
    </row>
    <row r="560" spans="1:1" x14ac:dyDescent="0.25">
      <c r="A560" s="83"/>
    </row>
    <row r="561" spans="1:1" x14ac:dyDescent="0.25">
      <c r="A561" s="83"/>
    </row>
    <row r="562" spans="1:1" x14ac:dyDescent="0.25">
      <c r="A562" s="83"/>
    </row>
    <row r="563" spans="1:1" x14ac:dyDescent="0.25">
      <c r="A563" s="83"/>
    </row>
    <row r="564" spans="1:1" x14ac:dyDescent="0.25">
      <c r="A564" s="83"/>
    </row>
    <row r="565" spans="1:1" x14ac:dyDescent="0.25">
      <c r="A565" s="83"/>
    </row>
    <row r="566" spans="1:1" x14ac:dyDescent="0.25">
      <c r="A566" s="83"/>
    </row>
    <row r="567" spans="1:1" x14ac:dyDescent="0.25">
      <c r="A567" s="83"/>
    </row>
    <row r="568" spans="1:1" x14ac:dyDescent="0.25">
      <c r="A568" s="83"/>
    </row>
    <row r="569" spans="1:1" x14ac:dyDescent="0.25">
      <c r="A569" s="83"/>
    </row>
    <row r="570" spans="1:1" x14ac:dyDescent="0.25">
      <c r="A570" s="83"/>
    </row>
    <row r="571" spans="1:1" x14ac:dyDescent="0.25">
      <c r="A571" s="83"/>
    </row>
    <row r="572" spans="1:1" x14ac:dyDescent="0.25">
      <c r="A572" s="83"/>
    </row>
    <row r="573" spans="1:1" x14ac:dyDescent="0.25">
      <c r="A573" s="83"/>
    </row>
    <row r="574" spans="1:1" x14ac:dyDescent="0.25">
      <c r="A574" s="83"/>
    </row>
    <row r="575" spans="1:1" x14ac:dyDescent="0.25">
      <c r="A575" s="83"/>
    </row>
    <row r="576" spans="1:1" x14ac:dyDescent="0.25">
      <c r="A576" s="83"/>
    </row>
    <row r="577" spans="1:1" x14ac:dyDescent="0.25">
      <c r="A577" s="83"/>
    </row>
    <row r="578" spans="1:1" x14ac:dyDescent="0.25">
      <c r="A578" s="83"/>
    </row>
    <row r="579" spans="1:1" x14ac:dyDescent="0.25">
      <c r="A579" s="83"/>
    </row>
    <row r="580" spans="1:1" x14ac:dyDescent="0.25">
      <c r="A580" s="83"/>
    </row>
    <row r="581" spans="1:1" x14ac:dyDescent="0.25">
      <c r="A581" s="83"/>
    </row>
    <row r="582" spans="1:1" x14ac:dyDescent="0.25">
      <c r="A582" s="83"/>
    </row>
    <row r="583" spans="1:1" x14ac:dyDescent="0.25">
      <c r="A583" s="83"/>
    </row>
    <row r="584" spans="1:1" x14ac:dyDescent="0.25">
      <c r="A584" s="83"/>
    </row>
    <row r="585" spans="1:1" x14ac:dyDescent="0.25">
      <c r="A585" s="83"/>
    </row>
    <row r="586" spans="1:1" x14ac:dyDescent="0.25">
      <c r="A586" s="83"/>
    </row>
    <row r="587" spans="1:1" x14ac:dyDescent="0.25">
      <c r="A587" s="83"/>
    </row>
    <row r="588" spans="1:1" x14ac:dyDescent="0.25">
      <c r="A588" s="83"/>
    </row>
    <row r="589" spans="1:1" x14ac:dyDescent="0.25">
      <c r="A589" s="83"/>
    </row>
    <row r="590" spans="1:1" x14ac:dyDescent="0.25">
      <c r="A590" s="83"/>
    </row>
    <row r="591" spans="1:1" x14ac:dyDescent="0.25">
      <c r="A591" s="83"/>
    </row>
    <row r="592" spans="1:1" x14ac:dyDescent="0.25">
      <c r="A592" s="83"/>
    </row>
    <row r="593" spans="1:1" x14ac:dyDescent="0.25">
      <c r="A593" s="83"/>
    </row>
    <row r="594" spans="1:1" x14ac:dyDescent="0.25">
      <c r="A594" s="83"/>
    </row>
    <row r="595" spans="1:1" x14ac:dyDescent="0.25">
      <c r="A595" s="83"/>
    </row>
    <row r="596" spans="1:1" x14ac:dyDescent="0.25">
      <c r="A596" s="83"/>
    </row>
    <row r="597" spans="1:1" x14ac:dyDescent="0.25">
      <c r="A597" s="83"/>
    </row>
    <row r="598" spans="1:1" x14ac:dyDescent="0.25">
      <c r="A598" s="83"/>
    </row>
    <row r="599" spans="1:1" x14ac:dyDescent="0.25">
      <c r="A599" s="83"/>
    </row>
    <row r="600" spans="1:1" x14ac:dyDescent="0.25">
      <c r="A600" s="83"/>
    </row>
    <row r="601" spans="1:1" x14ac:dyDescent="0.25">
      <c r="A601" s="83"/>
    </row>
    <row r="602" spans="1:1" x14ac:dyDescent="0.25">
      <c r="A602" s="83"/>
    </row>
    <row r="603" spans="1:1" x14ac:dyDescent="0.25">
      <c r="A603" s="83"/>
    </row>
    <row r="604" spans="1:1" x14ac:dyDescent="0.25">
      <c r="A604" s="83"/>
    </row>
    <row r="605" spans="1:1" x14ac:dyDescent="0.25">
      <c r="A605" s="83"/>
    </row>
    <row r="606" spans="1:1" x14ac:dyDescent="0.25">
      <c r="A606" s="83"/>
    </row>
    <row r="607" spans="1:1" x14ac:dyDescent="0.25">
      <c r="A607" s="83"/>
    </row>
    <row r="608" spans="1:1" x14ac:dyDescent="0.25">
      <c r="A608" s="83"/>
    </row>
    <row r="609" spans="1:1" x14ac:dyDescent="0.25">
      <c r="A609" s="83"/>
    </row>
    <row r="610" spans="1:1" x14ac:dyDescent="0.25">
      <c r="A610" s="83"/>
    </row>
    <row r="611" spans="1:1" x14ac:dyDescent="0.25">
      <c r="A611" s="83"/>
    </row>
    <row r="612" spans="1:1" x14ac:dyDescent="0.25">
      <c r="A612" s="83"/>
    </row>
    <row r="613" spans="1:1" x14ac:dyDescent="0.25">
      <c r="A613" s="83"/>
    </row>
    <row r="614" spans="1:1" x14ac:dyDescent="0.25">
      <c r="A614" s="83"/>
    </row>
    <row r="615" spans="1:1" x14ac:dyDescent="0.25">
      <c r="A615" s="83"/>
    </row>
    <row r="616" spans="1:1" x14ac:dyDescent="0.25">
      <c r="A616" s="83"/>
    </row>
    <row r="617" spans="1:1" x14ac:dyDescent="0.25">
      <c r="A617" s="83"/>
    </row>
    <row r="618" spans="1:1" x14ac:dyDescent="0.25">
      <c r="A618" s="83"/>
    </row>
    <row r="619" spans="1:1" x14ac:dyDescent="0.25">
      <c r="A619" s="83"/>
    </row>
    <row r="620" spans="1:1" x14ac:dyDescent="0.25">
      <c r="A620" s="83"/>
    </row>
    <row r="621" spans="1:1" x14ac:dyDescent="0.25">
      <c r="A621" s="83"/>
    </row>
    <row r="622" spans="1:1" x14ac:dyDescent="0.25">
      <c r="A622" s="83"/>
    </row>
    <row r="623" spans="1:1" x14ac:dyDescent="0.25">
      <c r="A623" s="83"/>
    </row>
    <row r="624" spans="1:1" x14ac:dyDescent="0.25">
      <c r="A624" s="83"/>
    </row>
    <row r="625" spans="1:1" x14ac:dyDescent="0.25">
      <c r="A625" s="83"/>
    </row>
    <row r="626" spans="1:1" x14ac:dyDescent="0.25">
      <c r="A626" s="83"/>
    </row>
    <row r="627" spans="1:1" x14ac:dyDescent="0.25">
      <c r="A627" s="83"/>
    </row>
    <row r="628" spans="1:1" x14ac:dyDescent="0.25">
      <c r="A628" s="83"/>
    </row>
    <row r="629" spans="1:1" x14ac:dyDescent="0.25">
      <c r="A629" s="83"/>
    </row>
    <row r="630" spans="1:1" x14ac:dyDescent="0.25">
      <c r="A630" s="83"/>
    </row>
    <row r="631" spans="1:1" x14ac:dyDescent="0.25">
      <c r="A631" s="83"/>
    </row>
    <row r="632" spans="1:1" x14ac:dyDescent="0.25">
      <c r="A632" s="83"/>
    </row>
    <row r="633" spans="1:1" x14ac:dyDescent="0.25">
      <c r="A633" s="83"/>
    </row>
    <row r="634" spans="1:1" x14ac:dyDescent="0.25">
      <c r="A634" s="83"/>
    </row>
    <row r="635" spans="1:1" x14ac:dyDescent="0.25">
      <c r="A635" s="83"/>
    </row>
    <row r="636" spans="1:1" x14ac:dyDescent="0.25">
      <c r="A636" s="83"/>
    </row>
    <row r="637" spans="1:1" x14ac:dyDescent="0.25">
      <c r="A637" s="83"/>
    </row>
    <row r="638" spans="1:1" x14ac:dyDescent="0.25">
      <c r="A638" s="83"/>
    </row>
    <row r="639" spans="1:1" x14ac:dyDescent="0.25">
      <c r="A639" s="83"/>
    </row>
    <row r="640" spans="1:1" x14ac:dyDescent="0.25">
      <c r="A640" s="83"/>
    </row>
    <row r="641" spans="1:1" x14ac:dyDescent="0.25">
      <c r="A641" s="83"/>
    </row>
    <row r="642" spans="1:1" x14ac:dyDescent="0.25">
      <c r="A642" s="83"/>
    </row>
    <row r="643" spans="1:1" x14ac:dyDescent="0.25">
      <c r="A643" s="83"/>
    </row>
    <row r="644" spans="1:1" x14ac:dyDescent="0.25">
      <c r="A644" s="83"/>
    </row>
    <row r="645" spans="1:1" x14ac:dyDescent="0.25">
      <c r="A645" s="83"/>
    </row>
    <row r="646" spans="1:1" x14ac:dyDescent="0.25">
      <c r="A646" s="83"/>
    </row>
    <row r="647" spans="1:1" x14ac:dyDescent="0.25">
      <c r="A647" s="83"/>
    </row>
    <row r="648" spans="1:1" x14ac:dyDescent="0.25">
      <c r="A648" s="83"/>
    </row>
    <row r="649" spans="1:1" x14ac:dyDescent="0.25">
      <c r="A649" s="83"/>
    </row>
    <row r="650" spans="1:1" x14ac:dyDescent="0.25">
      <c r="A650" s="83"/>
    </row>
    <row r="651" spans="1:1" x14ac:dyDescent="0.25">
      <c r="A651" s="83"/>
    </row>
    <row r="652" spans="1:1" x14ac:dyDescent="0.25">
      <c r="A652" s="83"/>
    </row>
    <row r="653" spans="1:1" x14ac:dyDescent="0.25">
      <c r="A653" s="83"/>
    </row>
    <row r="654" spans="1:1" x14ac:dyDescent="0.25">
      <c r="A654" s="83"/>
    </row>
    <row r="655" spans="1:1" x14ac:dyDescent="0.25">
      <c r="A655" s="83"/>
    </row>
    <row r="656" spans="1:1" x14ac:dyDescent="0.25">
      <c r="A656" s="83"/>
    </row>
    <row r="657" spans="1:1" x14ac:dyDescent="0.25">
      <c r="A657" s="83"/>
    </row>
    <row r="658" spans="1:1" x14ac:dyDescent="0.25">
      <c r="A658" s="83"/>
    </row>
    <row r="659" spans="1:1" x14ac:dyDescent="0.25">
      <c r="A659" s="83"/>
    </row>
    <row r="660" spans="1:1" x14ac:dyDescent="0.25">
      <c r="A660" s="83"/>
    </row>
    <row r="661" spans="1:1" x14ac:dyDescent="0.25">
      <c r="A661" s="83"/>
    </row>
    <row r="662" spans="1:1" x14ac:dyDescent="0.25">
      <c r="A662" s="83"/>
    </row>
    <row r="663" spans="1:1" x14ac:dyDescent="0.25">
      <c r="A663" s="83"/>
    </row>
    <row r="664" spans="1:1" x14ac:dyDescent="0.25">
      <c r="A664" s="83"/>
    </row>
    <row r="665" spans="1:1" x14ac:dyDescent="0.25">
      <c r="A665" s="83"/>
    </row>
    <row r="666" spans="1:1" x14ac:dyDescent="0.25">
      <c r="A666" s="83"/>
    </row>
    <row r="667" spans="1:1" x14ac:dyDescent="0.25">
      <c r="A667" s="83"/>
    </row>
    <row r="668" spans="1:1" x14ac:dyDescent="0.25">
      <c r="A668" s="83"/>
    </row>
    <row r="669" spans="1:1" x14ac:dyDescent="0.25">
      <c r="A669" s="83"/>
    </row>
    <row r="670" spans="1:1" x14ac:dyDescent="0.25">
      <c r="A670" s="83"/>
    </row>
    <row r="671" spans="1:1" x14ac:dyDescent="0.25">
      <c r="A671" s="83"/>
    </row>
    <row r="672" spans="1:1" x14ac:dyDescent="0.25">
      <c r="A672" s="83"/>
    </row>
    <row r="673" spans="1:1" x14ac:dyDescent="0.25">
      <c r="A673" s="83"/>
    </row>
    <row r="674" spans="1:1" x14ac:dyDescent="0.25">
      <c r="A674" s="83"/>
    </row>
    <row r="675" spans="1:1" x14ac:dyDescent="0.25">
      <c r="A675" s="83"/>
    </row>
    <row r="676" spans="1:1" x14ac:dyDescent="0.25">
      <c r="A676" s="83"/>
    </row>
    <row r="677" spans="1:1" x14ac:dyDescent="0.25">
      <c r="A677" s="83"/>
    </row>
    <row r="678" spans="1:1" x14ac:dyDescent="0.25">
      <c r="A678" s="83"/>
    </row>
    <row r="679" spans="1:1" x14ac:dyDescent="0.25">
      <c r="A679" s="83"/>
    </row>
    <row r="680" spans="1:1" x14ac:dyDescent="0.25">
      <c r="A680" s="83"/>
    </row>
    <row r="681" spans="1:1" x14ac:dyDescent="0.25">
      <c r="A681" s="83"/>
    </row>
    <row r="682" spans="1:1" x14ac:dyDescent="0.25">
      <c r="A682" s="83"/>
    </row>
    <row r="683" spans="1:1" x14ac:dyDescent="0.25">
      <c r="A683" s="83"/>
    </row>
    <row r="684" spans="1:1" x14ac:dyDescent="0.25">
      <c r="A684" s="83"/>
    </row>
    <row r="685" spans="1:1" x14ac:dyDescent="0.25">
      <c r="A685" s="83"/>
    </row>
    <row r="686" spans="1:1" x14ac:dyDescent="0.25">
      <c r="A686" s="83"/>
    </row>
    <row r="687" spans="1:1" x14ac:dyDescent="0.25">
      <c r="A687" s="83"/>
    </row>
    <row r="688" spans="1:1" x14ac:dyDescent="0.25">
      <c r="A688" s="83"/>
    </row>
    <row r="689" spans="1:1" x14ac:dyDescent="0.25">
      <c r="A689" s="83"/>
    </row>
    <row r="690" spans="1:1" x14ac:dyDescent="0.25">
      <c r="A690" s="83"/>
    </row>
    <row r="691" spans="1:1" x14ac:dyDescent="0.25">
      <c r="A691" s="83"/>
    </row>
    <row r="692" spans="1:1" x14ac:dyDescent="0.25">
      <c r="A692" s="83"/>
    </row>
    <row r="693" spans="1:1" x14ac:dyDescent="0.25">
      <c r="A693" s="83"/>
    </row>
    <row r="694" spans="1:1" x14ac:dyDescent="0.25">
      <c r="A694" s="83"/>
    </row>
    <row r="695" spans="1:1" x14ac:dyDescent="0.25">
      <c r="A695" s="83"/>
    </row>
    <row r="696" spans="1:1" x14ac:dyDescent="0.25">
      <c r="A696" s="83"/>
    </row>
    <row r="697" spans="1:1" x14ac:dyDescent="0.25">
      <c r="A697" s="83"/>
    </row>
    <row r="698" spans="1:1" x14ac:dyDescent="0.25">
      <c r="A698" s="83"/>
    </row>
    <row r="699" spans="1:1" x14ac:dyDescent="0.25">
      <c r="A699" s="83"/>
    </row>
    <row r="700" spans="1:1" x14ac:dyDescent="0.25">
      <c r="A700" s="83"/>
    </row>
    <row r="701" spans="1:1" x14ac:dyDescent="0.25">
      <c r="A701" s="83"/>
    </row>
    <row r="702" spans="1:1" x14ac:dyDescent="0.25">
      <c r="A702" s="83"/>
    </row>
    <row r="703" spans="1:1" x14ac:dyDescent="0.25">
      <c r="A703" s="83"/>
    </row>
    <row r="704" spans="1:1" x14ac:dyDescent="0.25">
      <c r="A704" s="83"/>
    </row>
    <row r="705" spans="1:1" x14ac:dyDescent="0.25">
      <c r="A705" s="83"/>
    </row>
    <row r="706" spans="1:1" x14ac:dyDescent="0.25">
      <c r="A706" s="83"/>
    </row>
    <row r="707" spans="1:1" x14ac:dyDescent="0.25">
      <c r="A707" s="83"/>
    </row>
    <row r="708" spans="1:1" x14ac:dyDescent="0.25">
      <c r="A708" s="83"/>
    </row>
    <row r="709" spans="1:1" x14ac:dyDescent="0.25">
      <c r="A709" s="83"/>
    </row>
    <row r="710" spans="1:1" x14ac:dyDescent="0.25">
      <c r="A710" s="83"/>
    </row>
    <row r="711" spans="1:1" x14ac:dyDescent="0.25">
      <c r="A711" s="83"/>
    </row>
    <row r="712" spans="1:1" x14ac:dyDescent="0.25">
      <c r="A712" s="83"/>
    </row>
    <row r="713" spans="1:1" x14ac:dyDescent="0.25">
      <c r="A713" s="83"/>
    </row>
    <row r="714" spans="1:1" x14ac:dyDescent="0.25">
      <c r="A714" s="83"/>
    </row>
    <row r="715" spans="1:1" x14ac:dyDescent="0.25">
      <c r="A715" s="83"/>
    </row>
    <row r="716" spans="1:1" x14ac:dyDescent="0.25">
      <c r="A716" s="83"/>
    </row>
    <row r="717" spans="1:1" x14ac:dyDescent="0.25">
      <c r="A717" s="83"/>
    </row>
    <row r="718" spans="1:1" x14ac:dyDescent="0.25">
      <c r="A718" s="83"/>
    </row>
    <row r="719" spans="1:1" x14ac:dyDescent="0.25">
      <c r="A719" s="83"/>
    </row>
    <row r="720" spans="1:1" x14ac:dyDescent="0.25">
      <c r="A720" s="83"/>
    </row>
    <row r="721" spans="1:1" x14ac:dyDescent="0.25">
      <c r="A721" s="83"/>
    </row>
    <row r="722" spans="1:1" x14ac:dyDescent="0.25">
      <c r="A722" s="83"/>
    </row>
    <row r="723" spans="1:1" x14ac:dyDescent="0.25">
      <c r="A723" s="83"/>
    </row>
    <row r="724" spans="1:1" x14ac:dyDescent="0.25">
      <c r="A724" s="83"/>
    </row>
    <row r="725" spans="1:1" x14ac:dyDescent="0.25">
      <c r="A725" s="83"/>
    </row>
    <row r="726" spans="1:1" x14ac:dyDescent="0.25">
      <c r="A726" s="83"/>
    </row>
    <row r="727" spans="1:1" x14ac:dyDescent="0.25">
      <c r="A727" s="83"/>
    </row>
    <row r="728" spans="1:1" x14ac:dyDescent="0.25">
      <c r="A728" s="83"/>
    </row>
    <row r="729" spans="1:1" x14ac:dyDescent="0.25">
      <c r="A729" s="83"/>
    </row>
    <row r="730" spans="1:1" x14ac:dyDescent="0.25">
      <c r="A730" s="83"/>
    </row>
    <row r="731" spans="1:1" x14ac:dyDescent="0.25">
      <c r="A731" s="83"/>
    </row>
    <row r="732" spans="1:1" x14ac:dyDescent="0.25">
      <c r="A732" s="83"/>
    </row>
    <row r="733" spans="1:1" x14ac:dyDescent="0.25">
      <c r="A733" s="83"/>
    </row>
    <row r="734" spans="1:1" x14ac:dyDescent="0.25">
      <c r="A734" s="83"/>
    </row>
    <row r="735" spans="1:1" x14ac:dyDescent="0.25">
      <c r="A735" s="83"/>
    </row>
    <row r="736" spans="1:1" x14ac:dyDescent="0.25">
      <c r="A736" s="83"/>
    </row>
    <row r="737" spans="1:1" x14ac:dyDescent="0.25">
      <c r="A737" s="83"/>
    </row>
    <row r="738" spans="1:1" x14ac:dyDescent="0.25">
      <c r="A738" s="83"/>
    </row>
    <row r="739" spans="1:1" x14ac:dyDescent="0.25">
      <c r="A739" s="83"/>
    </row>
    <row r="740" spans="1:1" x14ac:dyDescent="0.25">
      <c r="A740" s="83"/>
    </row>
    <row r="741" spans="1:1" x14ac:dyDescent="0.25">
      <c r="A741" s="83"/>
    </row>
    <row r="742" spans="1:1" x14ac:dyDescent="0.25">
      <c r="A742" s="83"/>
    </row>
    <row r="743" spans="1:1" x14ac:dyDescent="0.25">
      <c r="A743" s="83"/>
    </row>
    <row r="744" spans="1:1" x14ac:dyDescent="0.25">
      <c r="A744" s="83"/>
    </row>
    <row r="745" spans="1:1" x14ac:dyDescent="0.25">
      <c r="A745" s="83"/>
    </row>
    <row r="746" spans="1:1" x14ac:dyDescent="0.25">
      <c r="A746" s="83"/>
    </row>
    <row r="747" spans="1:1" x14ac:dyDescent="0.25">
      <c r="A747" s="83"/>
    </row>
    <row r="748" spans="1:1" x14ac:dyDescent="0.25">
      <c r="A748" s="83"/>
    </row>
    <row r="749" spans="1:1" x14ac:dyDescent="0.25">
      <c r="A749" s="83"/>
    </row>
    <row r="750" spans="1:1" x14ac:dyDescent="0.25">
      <c r="A750" s="83"/>
    </row>
    <row r="751" spans="1:1" x14ac:dyDescent="0.25">
      <c r="A751" s="83"/>
    </row>
    <row r="752" spans="1:1" x14ac:dyDescent="0.25">
      <c r="A752" s="83"/>
    </row>
    <row r="753" spans="1:1" x14ac:dyDescent="0.25">
      <c r="A753" s="83"/>
    </row>
    <row r="754" spans="1:1" x14ac:dyDescent="0.25">
      <c r="A754" s="83"/>
    </row>
    <row r="755" spans="1:1" x14ac:dyDescent="0.25">
      <c r="A755" s="83"/>
    </row>
    <row r="756" spans="1:1" x14ac:dyDescent="0.25">
      <c r="A756" s="83"/>
    </row>
    <row r="757" spans="1:1" x14ac:dyDescent="0.25">
      <c r="A757" s="83"/>
    </row>
    <row r="758" spans="1:1" x14ac:dyDescent="0.25">
      <c r="A758" s="83"/>
    </row>
    <row r="759" spans="1:1" x14ac:dyDescent="0.25">
      <c r="A759" s="83"/>
    </row>
    <row r="760" spans="1:1" x14ac:dyDescent="0.25">
      <c r="A760" s="83"/>
    </row>
    <row r="761" spans="1:1" x14ac:dyDescent="0.25">
      <c r="A761" s="83"/>
    </row>
    <row r="762" spans="1:1" x14ac:dyDescent="0.25">
      <c r="A762" s="83"/>
    </row>
    <row r="763" spans="1:1" x14ac:dyDescent="0.25">
      <c r="A763" s="83"/>
    </row>
    <row r="764" spans="1:1" x14ac:dyDescent="0.25">
      <c r="A764" s="83"/>
    </row>
    <row r="765" spans="1:1" x14ac:dyDescent="0.25">
      <c r="A765" s="83"/>
    </row>
    <row r="766" spans="1:1" x14ac:dyDescent="0.25">
      <c r="A766" s="83"/>
    </row>
    <row r="767" spans="1:1" x14ac:dyDescent="0.25">
      <c r="A767" s="83"/>
    </row>
    <row r="768" spans="1:1" x14ac:dyDescent="0.25">
      <c r="A768" s="83"/>
    </row>
    <row r="769" spans="1:1" x14ac:dyDescent="0.25">
      <c r="A769" s="83"/>
    </row>
    <row r="770" spans="1:1" x14ac:dyDescent="0.25">
      <c r="A770" s="83"/>
    </row>
    <row r="771" spans="1:1" x14ac:dyDescent="0.25">
      <c r="A771" s="83"/>
    </row>
    <row r="772" spans="1:1" x14ac:dyDescent="0.25">
      <c r="A772" s="83"/>
    </row>
    <row r="773" spans="1:1" x14ac:dyDescent="0.25">
      <c r="A773" s="83"/>
    </row>
    <row r="774" spans="1:1" x14ac:dyDescent="0.25">
      <c r="A774" s="83"/>
    </row>
    <row r="775" spans="1:1" x14ac:dyDescent="0.25">
      <c r="A775" s="83"/>
    </row>
    <row r="776" spans="1:1" x14ac:dyDescent="0.25">
      <c r="A776" s="83"/>
    </row>
    <row r="777" spans="1:1" x14ac:dyDescent="0.25">
      <c r="A777" s="83"/>
    </row>
    <row r="778" spans="1:1" x14ac:dyDescent="0.25">
      <c r="A778" s="83"/>
    </row>
    <row r="779" spans="1:1" x14ac:dyDescent="0.25">
      <c r="A779" s="83"/>
    </row>
    <row r="780" spans="1:1" x14ac:dyDescent="0.25">
      <c r="A780" s="83"/>
    </row>
    <row r="781" spans="1:1" x14ac:dyDescent="0.25">
      <c r="A781" s="83"/>
    </row>
    <row r="782" spans="1:1" x14ac:dyDescent="0.25">
      <c r="A782" s="83"/>
    </row>
    <row r="783" spans="1:1" x14ac:dyDescent="0.25">
      <c r="A783" s="83"/>
    </row>
    <row r="784" spans="1:1" x14ac:dyDescent="0.25">
      <c r="A784" s="83"/>
    </row>
    <row r="785" spans="1:1" x14ac:dyDescent="0.25">
      <c r="A785" s="83"/>
    </row>
    <row r="786" spans="1:1" x14ac:dyDescent="0.25">
      <c r="A786" s="83"/>
    </row>
    <row r="787" spans="1:1" x14ac:dyDescent="0.25">
      <c r="A787" s="83"/>
    </row>
    <row r="788" spans="1:1" x14ac:dyDescent="0.25">
      <c r="A788" s="83"/>
    </row>
    <row r="789" spans="1:1" x14ac:dyDescent="0.25">
      <c r="A789" s="83"/>
    </row>
    <row r="790" spans="1:1" x14ac:dyDescent="0.25">
      <c r="A790" s="83"/>
    </row>
    <row r="791" spans="1:1" x14ac:dyDescent="0.25">
      <c r="A791" s="83"/>
    </row>
    <row r="792" spans="1:1" x14ac:dyDescent="0.25">
      <c r="A792" s="83"/>
    </row>
    <row r="793" spans="1:1" x14ac:dyDescent="0.25">
      <c r="A793" s="83"/>
    </row>
    <row r="794" spans="1:1" x14ac:dyDescent="0.25">
      <c r="A794" s="83"/>
    </row>
    <row r="795" spans="1:1" x14ac:dyDescent="0.25">
      <c r="A795" s="83"/>
    </row>
    <row r="796" spans="1:1" x14ac:dyDescent="0.25">
      <c r="A796" s="83"/>
    </row>
    <row r="797" spans="1:1" x14ac:dyDescent="0.25">
      <c r="A797" s="83"/>
    </row>
    <row r="798" spans="1:1" x14ac:dyDescent="0.25">
      <c r="A798" s="83"/>
    </row>
    <row r="799" spans="1:1" x14ac:dyDescent="0.25">
      <c r="A799" s="83"/>
    </row>
    <row r="800" spans="1:1" x14ac:dyDescent="0.25">
      <c r="A800" s="83"/>
    </row>
    <row r="801" spans="1:1" x14ac:dyDescent="0.25">
      <c r="A801" s="83"/>
    </row>
    <row r="802" spans="1:1" x14ac:dyDescent="0.25">
      <c r="A802" s="83"/>
    </row>
    <row r="803" spans="1:1" x14ac:dyDescent="0.25">
      <c r="A803" s="83"/>
    </row>
    <row r="804" spans="1:1" x14ac:dyDescent="0.25">
      <c r="A804" s="83"/>
    </row>
    <row r="805" spans="1:1" x14ac:dyDescent="0.25">
      <c r="A805" s="83"/>
    </row>
    <row r="806" spans="1:1" x14ac:dyDescent="0.25">
      <c r="A806" s="83"/>
    </row>
    <row r="807" spans="1:1" x14ac:dyDescent="0.25">
      <c r="A807" s="83"/>
    </row>
    <row r="808" spans="1:1" x14ac:dyDescent="0.25">
      <c r="A808" s="83"/>
    </row>
    <row r="809" spans="1:1" x14ac:dyDescent="0.25">
      <c r="A809" s="83"/>
    </row>
    <row r="810" spans="1:1" x14ac:dyDescent="0.25">
      <c r="A810" s="83"/>
    </row>
    <row r="811" spans="1:1" x14ac:dyDescent="0.25">
      <c r="A811" s="83"/>
    </row>
    <row r="812" spans="1:1" x14ac:dyDescent="0.25">
      <c r="A812" s="83"/>
    </row>
    <row r="813" spans="1:1" x14ac:dyDescent="0.25">
      <c r="A813" s="83"/>
    </row>
    <row r="814" spans="1:1" x14ac:dyDescent="0.25">
      <c r="A814" s="83"/>
    </row>
    <row r="815" spans="1:1" x14ac:dyDescent="0.25">
      <c r="A815" s="83"/>
    </row>
    <row r="816" spans="1:1" x14ac:dyDescent="0.25">
      <c r="A816" s="83"/>
    </row>
    <row r="817" spans="1:1" x14ac:dyDescent="0.25">
      <c r="A817" s="83"/>
    </row>
    <row r="818" spans="1:1" x14ac:dyDescent="0.25">
      <c r="A818" s="83"/>
    </row>
    <row r="819" spans="1:1" x14ac:dyDescent="0.25">
      <c r="A819" s="83"/>
    </row>
    <row r="820" spans="1:1" x14ac:dyDescent="0.25">
      <c r="A820" s="83"/>
    </row>
    <row r="821" spans="1:1" x14ac:dyDescent="0.25">
      <c r="A821" s="83"/>
    </row>
    <row r="822" spans="1:1" x14ac:dyDescent="0.25">
      <c r="A822" s="83"/>
    </row>
    <row r="823" spans="1:1" x14ac:dyDescent="0.25">
      <c r="A823" s="83"/>
    </row>
    <row r="824" spans="1:1" x14ac:dyDescent="0.25">
      <c r="A824" s="83"/>
    </row>
    <row r="825" spans="1:1" x14ac:dyDescent="0.25">
      <c r="A825" s="83"/>
    </row>
    <row r="826" spans="1:1" x14ac:dyDescent="0.25">
      <c r="A826" s="83"/>
    </row>
    <row r="827" spans="1:1" x14ac:dyDescent="0.25">
      <c r="A827" s="83"/>
    </row>
    <row r="828" spans="1:1" x14ac:dyDescent="0.25">
      <c r="A828" s="83"/>
    </row>
    <row r="829" spans="1:1" x14ac:dyDescent="0.25">
      <c r="A829" s="83"/>
    </row>
    <row r="830" spans="1:1" x14ac:dyDescent="0.25">
      <c r="A830" s="83"/>
    </row>
    <row r="831" spans="1:1" x14ac:dyDescent="0.25">
      <c r="A831" s="83"/>
    </row>
    <row r="832" spans="1:1" x14ac:dyDescent="0.25">
      <c r="A832" s="83"/>
    </row>
    <row r="833" spans="1:1" x14ac:dyDescent="0.25">
      <c r="A833" s="83"/>
    </row>
    <row r="834" spans="1:1" x14ac:dyDescent="0.25">
      <c r="A834" s="83"/>
    </row>
    <row r="835" spans="1:1" x14ac:dyDescent="0.25">
      <c r="A835" s="83"/>
    </row>
    <row r="836" spans="1:1" x14ac:dyDescent="0.25">
      <c r="A836" s="83"/>
    </row>
    <row r="837" spans="1:1" x14ac:dyDescent="0.25">
      <c r="A837" s="83"/>
    </row>
    <row r="838" spans="1:1" x14ac:dyDescent="0.25">
      <c r="A838" s="83"/>
    </row>
    <row r="839" spans="1:1" x14ac:dyDescent="0.25">
      <c r="A839" s="83"/>
    </row>
    <row r="840" spans="1:1" x14ac:dyDescent="0.25">
      <c r="A840" s="83"/>
    </row>
    <row r="841" spans="1:1" x14ac:dyDescent="0.25">
      <c r="A841" s="83"/>
    </row>
    <row r="842" spans="1:1" x14ac:dyDescent="0.25">
      <c r="A842" s="83"/>
    </row>
    <row r="843" spans="1:1" x14ac:dyDescent="0.25">
      <c r="A843" s="83"/>
    </row>
    <row r="844" spans="1:1" x14ac:dyDescent="0.25">
      <c r="A844" s="83"/>
    </row>
    <row r="845" spans="1:1" x14ac:dyDescent="0.25">
      <c r="A845" s="83"/>
    </row>
    <row r="846" spans="1:1" x14ac:dyDescent="0.25">
      <c r="A846" s="83"/>
    </row>
    <row r="847" spans="1:1" x14ac:dyDescent="0.25">
      <c r="A847" s="83"/>
    </row>
    <row r="848" spans="1:1" x14ac:dyDescent="0.25">
      <c r="A848" s="83"/>
    </row>
    <row r="849" spans="1:1" x14ac:dyDescent="0.25">
      <c r="A849" s="83"/>
    </row>
    <row r="850" spans="1:1" x14ac:dyDescent="0.25">
      <c r="A850" s="83"/>
    </row>
    <row r="851" spans="1:1" x14ac:dyDescent="0.25">
      <c r="A851" s="83"/>
    </row>
    <row r="852" spans="1:1" x14ac:dyDescent="0.25">
      <c r="A852" s="83"/>
    </row>
    <row r="853" spans="1:1" x14ac:dyDescent="0.25">
      <c r="A853" s="83"/>
    </row>
    <row r="854" spans="1:1" x14ac:dyDescent="0.25">
      <c r="A854" s="83"/>
    </row>
    <row r="855" spans="1:1" x14ac:dyDescent="0.25">
      <c r="A855" s="83"/>
    </row>
    <row r="856" spans="1:1" x14ac:dyDescent="0.25">
      <c r="A856" s="83"/>
    </row>
    <row r="857" spans="1:1" x14ac:dyDescent="0.25">
      <c r="A857" s="83"/>
    </row>
    <row r="858" spans="1:1" x14ac:dyDescent="0.25">
      <c r="A858" s="83"/>
    </row>
    <row r="859" spans="1:1" x14ac:dyDescent="0.25">
      <c r="A859" s="83"/>
    </row>
    <row r="860" spans="1:1" x14ac:dyDescent="0.25">
      <c r="A860" s="83"/>
    </row>
    <row r="861" spans="1:1" x14ac:dyDescent="0.25">
      <c r="A861" s="83"/>
    </row>
    <row r="862" spans="1:1" x14ac:dyDescent="0.25">
      <c r="A862" s="83"/>
    </row>
    <row r="863" spans="1:1" x14ac:dyDescent="0.25">
      <c r="A863" s="83"/>
    </row>
    <row r="864" spans="1:1" x14ac:dyDescent="0.25">
      <c r="A864" s="83"/>
    </row>
    <row r="865" spans="1:1" x14ac:dyDescent="0.25">
      <c r="A865" s="83"/>
    </row>
    <row r="866" spans="1:1" x14ac:dyDescent="0.25">
      <c r="A866" s="83"/>
    </row>
    <row r="867" spans="1:1" x14ac:dyDescent="0.25">
      <c r="A867" s="83"/>
    </row>
    <row r="868" spans="1:1" x14ac:dyDescent="0.25">
      <c r="A868" s="83"/>
    </row>
    <row r="869" spans="1:1" x14ac:dyDescent="0.25">
      <c r="A869" s="83"/>
    </row>
    <row r="870" spans="1:1" x14ac:dyDescent="0.25">
      <c r="A870" s="83"/>
    </row>
    <row r="871" spans="1:1" x14ac:dyDescent="0.25">
      <c r="A871" s="83"/>
    </row>
    <row r="872" spans="1:1" x14ac:dyDescent="0.25">
      <c r="A872" s="83"/>
    </row>
    <row r="873" spans="1:1" x14ac:dyDescent="0.25">
      <c r="A873" s="83"/>
    </row>
    <row r="874" spans="1:1" x14ac:dyDescent="0.25">
      <c r="A874" s="83"/>
    </row>
    <row r="875" spans="1:1" x14ac:dyDescent="0.25">
      <c r="A875" s="83"/>
    </row>
    <row r="876" spans="1:1" x14ac:dyDescent="0.25">
      <c r="A876" s="83"/>
    </row>
    <row r="877" spans="1:1" x14ac:dyDescent="0.25">
      <c r="A877" s="83"/>
    </row>
    <row r="878" spans="1:1" x14ac:dyDescent="0.25">
      <c r="A878" s="83"/>
    </row>
    <row r="879" spans="1:1" x14ac:dyDescent="0.25">
      <c r="A879" s="83"/>
    </row>
    <row r="880" spans="1:1" x14ac:dyDescent="0.25">
      <c r="A880" s="83"/>
    </row>
    <row r="881" spans="1:1" x14ac:dyDescent="0.25">
      <c r="A881" s="83"/>
    </row>
    <row r="882" spans="1:1" x14ac:dyDescent="0.25">
      <c r="A882" s="83"/>
    </row>
    <row r="883" spans="1:1" x14ac:dyDescent="0.25">
      <c r="A883" s="83"/>
    </row>
    <row r="884" spans="1:1" x14ac:dyDescent="0.25">
      <c r="A884" s="83"/>
    </row>
    <row r="885" spans="1:1" x14ac:dyDescent="0.25">
      <c r="A885" s="83"/>
    </row>
    <row r="886" spans="1:1" x14ac:dyDescent="0.25">
      <c r="A886" s="83"/>
    </row>
    <row r="887" spans="1:1" x14ac:dyDescent="0.25">
      <c r="A887" s="83"/>
    </row>
    <row r="888" spans="1:1" x14ac:dyDescent="0.25">
      <c r="A888" s="83"/>
    </row>
    <row r="889" spans="1:1" x14ac:dyDescent="0.25">
      <c r="A889" s="83"/>
    </row>
    <row r="890" spans="1:1" x14ac:dyDescent="0.25">
      <c r="A890" s="83"/>
    </row>
    <row r="891" spans="1:1" x14ac:dyDescent="0.25">
      <c r="A891" s="83"/>
    </row>
    <row r="892" spans="1:1" x14ac:dyDescent="0.25">
      <c r="A892" s="83"/>
    </row>
    <row r="893" spans="1:1" x14ac:dyDescent="0.25">
      <c r="A893" s="83"/>
    </row>
    <row r="894" spans="1:1" x14ac:dyDescent="0.25">
      <c r="A894" s="83"/>
    </row>
    <row r="895" spans="1:1" x14ac:dyDescent="0.25">
      <c r="A895" s="83"/>
    </row>
    <row r="896" spans="1:1" x14ac:dyDescent="0.25">
      <c r="A896" s="83"/>
    </row>
    <row r="897" spans="1:1" x14ac:dyDescent="0.25">
      <c r="A897" s="83"/>
    </row>
    <row r="898" spans="1:1" x14ac:dyDescent="0.25">
      <c r="A898" s="83"/>
    </row>
    <row r="899" spans="1:1" x14ac:dyDescent="0.25">
      <c r="A899" s="83"/>
    </row>
    <row r="900" spans="1:1" x14ac:dyDescent="0.25">
      <c r="A900" s="83"/>
    </row>
    <row r="901" spans="1:1" x14ac:dyDescent="0.25">
      <c r="A901" s="83"/>
    </row>
    <row r="902" spans="1:1" x14ac:dyDescent="0.25">
      <c r="A902" s="83"/>
    </row>
    <row r="903" spans="1:1" x14ac:dyDescent="0.25">
      <c r="A903" s="83"/>
    </row>
    <row r="904" spans="1:1" x14ac:dyDescent="0.25">
      <c r="A904" s="83"/>
    </row>
    <row r="905" spans="1:1" x14ac:dyDescent="0.25">
      <c r="A905" s="83"/>
    </row>
    <row r="906" spans="1:1" x14ac:dyDescent="0.25">
      <c r="A906" s="83"/>
    </row>
    <row r="907" spans="1:1" x14ac:dyDescent="0.25">
      <c r="A907" s="83"/>
    </row>
    <row r="908" spans="1:1" x14ac:dyDescent="0.25">
      <c r="A908" s="83"/>
    </row>
    <row r="909" spans="1:1" x14ac:dyDescent="0.25">
      <c r="A909" s="83"/>
    </row>
    <row r="910" spans="1:1" x14ac:dyDescent="0.25">
      <c r="A910" s="83"/>
    </row>
    <row r="911" spans="1:1" x14ac:dyDescent="0.25">
      <c r="A911" s="83"/>
    </row>
    <row r="912" spans="1:1" x14ac:dyDescent="0.25">
      <c r="A912" s="83"/>
    </row>
    <row r="913" spans="1:1" x14ac:dyDescent="0.25">
      <c r="A913" s="83"/>
    </row>
    <row r="914" spans="1:1" x14ac:dyDescent="0.25">
      <c r="A914" s="83"/>
    </row>
    <row r="915" spans="1:1" x14ac:dyDescent="0.25">
      <c r="A915" s="83"/>
    </row>
    <row r="916" spans="1:1" x14ac:dyDescent="0.25">
      <c r="A916" s="83"/>
    </row>
    <row r="917" spans="1:1" x14ac:dyDescent="0.25">
      <c r="A917" s="83"/>
    </row>
    <row r="918" spans="1:1" x14ac:dyDescent="0.25">
      <c r="A918" s="83"/>
    </row>
    <row r="919" spans="1:1" x14ac:dyDescent="0.25">
      <c r="A919" s="83"/>
    </row>
    <row r="920" spans="1:1" x14ac:dyDescent="0.25">
      <c r="A920" s="83"/>
    </row>
    <row r="921" spans="1:1" x14ac:dyDescent="0.25">
      <c r="A921" s="83"/>
    </row>
    <row r="922" spans="1:1" x14ac:dyDescent="0.25">
      <c r="A922" s="83"/>
    </row>
    <row r="923" spans="1:1" x14ac:dyDescent="0.25">
      <c r="A923" s="83"/>
    </row>
    <row r="924" spans="1:1" x14ac:dyDescent="0.25">
      <c r="A924" s="83"/>
    </row>
    <row r="925" spans="1:1" x14ac:dyDescent="0.25">
      <c r="A925" s="83"/>
    </row>
    <row r="926" spans="1:1" x14ac:dyDescent="0.25">
      <c r="A926" s="83"/>
    </row>
    <row r="927" spans="1:1" x14ac:dyDescent="0.25">
      <c r="A927" s="83"/>
    </row>
    <row r="928" spans="1:1" x14ac:dyDescent="0.25">
      <c r="A928" s="83"/>
    </row>
  </sheetData>
  <autoFilter ref="A1:D928" xr:uid="{64C9FF7E-D595-4118-A919-186F22E11A0C}"/>
  <sortState xmlns:xlrd2="http://schemas.microsoft.com/office/spreadsheetml/2017/richdata2" ref="A2:D102">
    <sortCondition ref="A1:A102"/>
  </sortState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pyDataNoBlanks">
                <anchor moveWithCells="1" sizeWithCells="1">
                  <from>
                    <xdr:col>4</xdr:col>
                    <xdr:colOff>323850</xdr:colOff>
                    <xdr:row>0</xdr:row>
                    <xdr:rowOff>123825</xdr:rowOff>
                  </from>
                  <to>
                    <xdr:col>5</xdr:col>
                    <xdr:colOff>485775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learList">
                <anchor moveWithCells="1" sizeWithCells="1">
                  <from>
                    <xdr:col>5</xdr:col>
                    <xdr:colOff>742950</xdr:colOff>
                    <xdr:row>0</xdr:row>
                    <xdr:rowOff>114300</xdr:rowOff>
                  </from>
                  <to>
                    <xdr:col>6</xdr:col>
                    <xdr:colOff>781050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F8B3A-9F1B-4E52-B73C-93687D20615C}">
  <sheetPr codeName="Sheet17"/>
  <dimension ref="A1:O35"/>
  <sheetViews>
    <sheetView workbookViewId="0">
      <selection activeCell="I32" sqref="I32"/>
    </sheetView>
  </sheetViews>
  <sheetFormatPr defaultRowHeight="15" x14ac:dyDescent="0.25"/>
  <cols>
    <col min="12" max="12" width="11.28515625" bestFit="1" customWidth="1"/>
  </cols>
  <sheetData>
    <row r="1" spans="1:15" x14ac:dyDescent="0.25">
      <c r="A1" t="s">
        <v>345</v>
      </c>
      <c r="B1" t="s">
        <v>346</v>
      </c>
      <c r="C1" t="s">
        <v>347</v>
      </c>
      <c r="D1" t="s">
        <v>348</v>
      </c>
      <c r="E1" t="s">
        <v>344</v>
      </c>
      <c r="F1" t="s">
        <v>11</v>
      </c>
      <c r="G1" t="s">
        <v>355</v>
      </c>
      <c r="H1" t="s">
        <v>349</v>
      </c>
    </row>
    <row r="2" spans="1:15" x14ac:dyDescent="0.25">
      <c r="A2" t="s">
        <v>350</v>
      </c>
      <c r="B2" t="s">
        <v>351</v>
      </c>
      <c r="C2">
        <v>330626</v>
      </c>
      <c r="D2" t="s">
        <v>352</v>
      </c>
      <c r="E2">
        <v>100</v>
      </c>
      <c r="F2" s="8">
        <v>46181</v>
      </c>
      <c r="G2" s="14">
        <v>0.375</v>
      </c>
      <c r="H2" s="14">
        <v>0.41319444444444442</v>
      </c>
      <c r="I2" s="14">
        <f>H2+TIME(1,0,0)</f>
        <v>0.4548611111111111</v>
      </c>
      <c r="K2" s="8" t="e" cm="1">
        <f t="array" ref="K2">_xlfn.XLOOKUP(C2,Simulator!AR:AR,Simulator!A:B)</f>
        <v>#N/A</v>
      </c>
      <c r="L2" s="15"/>
      <c r="N2">
        <f>INT(RIGHT(TEXT(I2,"hh:mm"),2))</f>
        <v>55</v>
      </c>
      <c r="O2">
        <f>IF(N2&gt;30, 1,0)</f>
        <v>1</v>
      </c>
    </row>
    <row r="3" spans="1:15" x14ac:dyDescent="0.25">
      <c r="A3" t="s">
        <v>350</v>
      </c>
      <c r="B3" t="s">
        <v>351</v>
      </c>
      <c r="C3">
        <v>340626</v>
      </c>
      <c r="D3" t="s">
        <v>352</v>
      </c>
      <c r="E3">
        <v>100</v>
      </c>
      <c r="F3" s="8">
        <v>46181</v>
      </c>
      <c r="G3" s="14">
        <v>0.41319444444444442</v>
      </c>
      <c r="H3" s="14">
        <v>0.4513888888888889</v>
      </c>
      <c r="I3" s="14">
        <f t="shared" ref="I3:I35" si="0">H3+TIME(1,0,0)</f>
        <v>0.49305555555555558</v>
      </c>
      <c r="J3" s="14"/>
      <c r="K3" s="8" t="e" cm="1">
        <f t="array" ref="K3">_xlfn.XLOOKUP(C3,Simulator!AR:AR,Simulator!A:B)</f>
        <v>#N/A</v>
      </c>
      <c r="L3" s="15"/>
      <c r="N3">
        <f t="shared" ref="N3:N35" si="1">INT(RIGHT(TEXT(I3,"hh:mm"),2))</f>
        <v>50</v>
      </c>
      <c r="O3">
        <f t="shared" ref="O3:O35" si="2">IF(N3&gt;30, 1,0)</f>
        <v>1</v>
      </c>
    </row>
    <row r="4" spans="1:15" x14ac:dyDescent="0.25">
      <c r="A4" t="s">
        <v>350</v>
      </c>
      <c r="B4" t="s">
        <v>353</v>
      </c>
      <c r="C4">
        <v>350626</v>
      </c>
      <c r="D4" t="s">
        <v>352</v>
      </c>
      <c r="E4">
        <v>100</v>
      </c>
      <c r="F4" s="8">
        <v>46181</v>
      </c>
      <c r="G4" s="14">
        <v>0.56736111111111109</v>
      </c>
      <c r="H4" s="14">
        <v>0.69236111111111109</v>
      </c>
      <c r="I4" s="14">
        <f t="shared" si="0"/>
        <v>0.73402777777777772</v>
      </c>
      <c r="J4" s="14"/>
      <c r="K4" s="8" t="e" cm="1">
        <f t="array" ref="K4">_xlfn.XLOOKUP(C4,Simulator!AR:AR,Simulator!A:B)</f>
        <v>#N/A</v>
      </c>
      <c r="L4" s="15"/>
      <c r="N4">
        <f t="shared" si="1"/>
        <v>37</v>
      </c>
      <c r="O4">
        <f t="shared" si="2"/>
        <v>1</v>
      </c>
    </row>
    <row r="5" spans="1:15" x14ac:dyDescent="0.25">
      <c r="A5" t="s">
        <v>350</v>
      </c>
      <c r="B5" t="s">
        <v>353</v>
      </c>
      <c r="C5">
        <v>360626</v>
      </c>
      <c r="D5" t="s">
        <v>352</v>
      </c>
      <c r="E5">
        <v>100</v>
      </c>
      <c r="F5" s="8">
        <v>46181</v>
      </c>
      <c r="G5" s="14">
        <v>0.69236111111111109</v>
      </c>
      <c r="H5" s="14">
        <v>0.81736111111111109</v>
      </c>
      <c r="I5" s="14">
        <f t="shared" si="0"/>
        <v>0.85902777777777772</v>
      </c>
      <c r="J5" s="14"/>
      <c r="K5" s="8" t="e" cm="1">
        <f t="array" ref="K5">_xlfn.XLOOKUP(C5,Simulator!AR:AR,Simulator!A:B)</f>
        <v>#N/A</v>
      </c>
      <c r="L5" s="15"/>
      <c r="N5">
        <f t="shared" si="1"/>
        <v>37</v>
      </c>
      <c r="O5">
        <f t="shared" si="2"/>
        <v>1</v>
      </c>
    </row>
    <row r="6" spans="1:15" x14ac:dyDescent="0.25">
      <c r="A6" t="s">
        <v>350</v>
      </c>
      <c r="B6" t="s">
        <v>351</v>
      </c>
      <c r="C6">
        <v>370626</v>
      </c>
      <c r="D6" t="s">
        <v>352</v>
      </c>
      <c r="E6">
        <v>100</v>
      </c>
      <c r="F6" s="8">
        <v>46182</v>
      </c>
      <c r="G6" s="14">
        <v>0.24861111111111112</v>
      </c>
      <c r="H6" s="14">
        <v>0.28680555555555554</v>
      </c>
      <c r="I6" s="14">
        <f t="shared" si="0"/>
        <v>0.32847222222222222</v>
      </c>
      <c r="J6" s="14"/>
      <c r="K6" s="8" t="e" cm="1">
        <f t="array" ref="K6">_xlfn.XLOOKUP(C6,Simulator!AR:AR,Simulator!A:B)</f>
        <v>#N/A</v>
      </c>
      <c r="L6" s="15"/>
      <c r="N6">
        <f t="shared" si="1"/>
        <v>53</v>
      </c>
      <c r="O6">
        <f t="shared" si="2"/>
        <v>1</v>
      </c>
    </row>
    <row r="7" spans="1:15" x14ac:dyDescent="0.25">
      <c r="A7" t="s">
        <v>350</v>
      </c>
      <c r="B7" t="s">
        <v>351</v>
      </c>
      <c r="C7">
        <v>380626</v>
      </c>
      <c r="D7" t="s">
        <v>352</v>
      </c>
      <c r="E7">
        <v>100</v>
      </c>
      <c r="F7" s="8">
        <v>46182</v>
      </c>
      <c r="G7" s="14">
        <v>0.28680555555555554</v>
      </c>
      <c r="H7" s="14">
        <v>0.32500000000000001</v>
      </c>
      <c r="I7" s="14">
        <f t="shared" si="0"/>
        <v>0.3666666666666667</v>
      </c>
      <c r="J7" s="14"/>
      <c r="K7" s="8" t="e" cm="1">
        <f t="array" ref="K7">_xlfn.XLOOKUP(C7,Simulator!AR:AR,Simulator!A:B)</f>
        <v>#N/A</v>
      </c>
      <c r="L7" s="15"/>
      <c r="N7">
        <f t="shared" si="1"/>
        <v>48</v>
      </c>
      <c r="O7">
        <f t="shared" si="2"/>
        <v>1</v>
      </c>
    </row>
    <row r="8" spans="1:15" x14ac:dyDescent="0.25">
      <c r="A8" t="s">
        <v>350</v>
      </c>
      <c r="B8" t="s">
        <v>351</v>
      </c>
      <c r="C8">
        <v>390626</v>
      </c>
      <c r="D8" t="s">
        <v>352</v>
      </c>
      <c r="E8">
        <v>100</v>
      </c>
      <c r="F8" s="8">
        <v>46182</v>
      </c>
      <c r="G8" s="14">
        <v>0.32500000000000001</v>
      </c>
      <c r="H8" s="14">
        <v>0.37708333333333333</v>
      </c>
      <c r="I8" s="14">
        <f t="shared" si="0"/>
        <v>0.41875000000000001</v>
      </c>
      <c r="J8" s="14"/>
      <c r="K8" s="8" t="e" cm="1">
        <f t="array" ref="K8">_xlfn.XLOOKUP(C8,Simulator!AR:AR,Simulator!A:B)</f>
        <v>#N/A</v>
      </c>
      <c r="L8" s="15"/>
      <c r="N8">
        <f t="shared" si="1"/>
        <v>3</v>
      </c>
      <c r="O8">
        <f t="shared" si="2"/>
        <v>0</v>
      </c>
    </row>
    <row r="9" spans="1:15" x14ac:dyDescent="0.25">
      <c r="A9" t="s">
        <v>350</v>
      </c>
      <c r="B9" t="s">
        <v>351</v>
      </c>
      <c r="C9">
        <v>400626</v>
      </c>
      <c r="D9" t="s">
        <v>352</v>
      </c>
      <c r="E9">
        <v>100</v>
      </c>
      <c r="F9" s="8">
        <v>46182</v>
      </c>
      <c r="G9" s="14">
        <v>0.54652777777777772</v>
      </c>
      <c r="H9" s="14">
        <v>0.58472222222222225</v>
      </c>
      <c r="I9" s="14">
        <f t="shared" si="0"/>
        <v>0.62638888888888888</v>
      </c>
      <c r="J9" s="14"/>
      <c r="K9" s="8" t="e" cm="1">
        <f t="array" ref="K9">_xlfn.XLOOKUP(C9,Simulator!AR:AR,Simulator!A:B)</f>
        <v>#N/A</v>
      </c>
      <c r="L9" s="15"/>
      <c r="N9">
        <f t="shared" si="1"/>
        <v>2</v>
      </c>
      <c r="O9">
        <f t="shared" si="2"/>
        <v>0</v>
      </c>
    </row>
    <row r="10" spans="1:15" x14ac:dyDescent="0.25">
      <c r="A10" t="s">
        <v>350</v>
      </c>
      <c r="B10" t="s">
        <v>351</v>
      </c>
      <c r="C10">
        <v>410626</v>
      </c>
      <c r="D10" t="s">
        <v>352</v>
      </c>
      <c r="E10">
        <v>100</v>
      </c>
      <c r="F10" s="8">
        <v>46182</v>
      </c>
      <c r="G10" s="14">
        <v>0.58472222222222225</v>
      </c>
      <c r="H10" s="14">
        <v>0.62291666666666667</v>
      </c>
      <c r="I10" s="14">
        <f t="shared" si="0"/>
        <v>0.6645833333333333</v>
      </c>
      <c r="J10" s="14"/>
      <c r="K10" s="8" t="e" cm="1">
        <f t="array" ref="K10">_xlfn.XLOOKUP(C10,Simulator!AR:AR,Simulator!A:B)</f>
        <v>#N/A</v>
      </c>
      <c r="L10" s="15"/>
      <c r="N10">
        <f t="shared" si="1"/>
        <v>57</v>
      </c>
      <c r="O10">
        <f t="shared" si="2"/>
        <v>1</v>
      </c>
    </row>
    <row r="11" spans="1:15" x14ac:dyDescent="0.25">
      <c r="A11" t="s">
        <v>350</v>
      </c>
      <c r="B11" t="s">
        <v>351</v>
      </c>
      <c r="C11">
        <v>420626</v>
      </c>
      <c r="D11" t="s">
        <v>352</v>
      </c>
      <c r="E11">
        <v>100</v>
      </c>
      <c r="F11" s="8">
        <v>46182</v>
      </c>
      <c r="G11" s="14">
        <v>0.62291666666666667</v>
      </c>
      <c r="H11" s="14">
        <v>0.66111111111111109</v>
      </c>
      <c r="I11" s="14">
        <f t="shared" si="0"/>
        <v>0.70277777777777772</v>
      </c>
      <c r="J11" s="14"/>
      <c r="K11" s="8" t="e" cm="1">
        <f t="array" ref="K11">_xlfn.XLOOKUP(C11,Simulator!AR:AR,Simulator!A:B)</f>
        <v>#N/A</v>
      </c>
      <c r="L11" s="15"/>
      <c r="N11">
        <f t="shared" si="1"/>
        <v>52</v>
      </c>
      <c r="O11">
        <f t="shared" si="2"/>
        <v>1</v>
      </c>
    </row>
    <row r="12" spans="1:15" x14ac:dyDescent="0.25">
      <c r="A12" t="s">
        <v>350</v>
      </c>
      <c r="B12" t="s">
        <v>351</v>
      </c>
      <c r="C12">
        <v>430626</v>
      </c>
      <c r="D12" t="s">
        <v>352</v>
      </c>
      <c r="E12">
        <v>100</v>
      </c>
      <c r="F12" s="8">
        <v>46182</v>
      </c>
      <c r="G12" s="14">
        <v>0.66111111111111109</v>
      </c>
      <c r="H12" s="14">
        <v>0.69930555555555551</v>
      </c>
      <c r="I12" s="14">
        <f t="shared" si="0"/>
        <v>0.74097222222222214</v>
      </c>
      <c r="J12" s="14"/>
      <c r="K12" s="8" t="e" cm="1">
        <f t="array" ref="K12">_xlfn.XLOOKUP(C12,Simulator!AR:AR,Simulator!A:B)</f>
        <v>#N/A</v>
      </c>
      <c r="L12" s="15"/>
      <c r="N12">
        <f t="shared" si="1"/>
        <v>47</v>
      </c>
      <c r="O12">
        <f t="shared" si="2"/>
        <v>1</v>
      </c>
    </row>
    <row r="13" spans="1:15" x14ac:dyDescent="0.25">
      <c r="A13" t="s">
        <v>350</v>
      </c>
      <c r="B13" t="s">
        <v>351</v>
      </c>
      <c r="C13">
        <v>440626</v>
      </c>
      <c r="D13" t="s">
        <v>352</v>
      </c>
      <c r="E13">
        <v>100</v>
      </c>
      <c r="F13" s="8">
        <v>46183</v>
      </c>
      <c r="G13" s="14">
        <v>0.14374999999999999</v>
      </c>
      <c r="H13" s="14">
        <v>0.18194444444444444</v>
      </c>
      <c r="I13" s="14">
        <f t="shared" si="0"/>
        <v>0.22361111111111109</v>
      </c>
      <c r="J13" s="14"/>
      <c r="K13" s="8" t="e" cm="1">
        <f t="array" ref="K13">_xlfn.XLOOKUP(C13,Simulator!AR:AR,Simulator!A:B)</f>
        <v>#N/A</v>
      </c>
      <c r="L13" s="15"/>
      <c r="N13">
        <f t="shared" si="1"/>
        <v>22</v>
      </c>
      <c r="O13">
        <f t="shared" si="2"/>
        <v>0</v>
      </c>
    </row>
    <row r="14" spans="1:15" x14ac:dyDescent="0.25">
      <c r="A14" t="s">
        <v>350</v>
      </c>
      <c r="B14" t="s">
        <v>351</v>
      </c>
      <c r="C14">
        <v>450626</v>
      </c>
      <c r="D14" t="s">
        <v>352</v>
      </c>
      <c r="E14">
        <v>100</v>
      </c>
      <c r="F14" s="8">
        <v>46183</v>
      </c>
      <c r="G14" s="14">
        <v>0.18194444444444444</v>
      </c>
      <c r="H14" s="14">
        <v>0.22013888888888888</v>
      </c>
      <c r="I14" s="14">
        <f t="shared" si="0"/>
        <v>0.26180555555555557</v>
      </c>
      <c r="J14" s="14"/>
      <c r="K14" s="8" t="e" cm="1">
        <f t="array" ref="K14">_xlfn.XLOOKUP(C14,Simulator!AR:AR,Simulator!A:B)</f>
        <v>#N/A</v>
      </c>
      <c r="L14" s="15"/>
      <c r="N14">
        <f t="shared" si="1"/>
        <v>17</v>
      </c>
      <c r="O14">
        <f t="shared" si="2"/>
        <v>0</v>
      </c>
    </row>
    <row r="15" spans="1:15" x14ac:dyDescent="0.25">
      <c r="A15" t="s">
        <v>350</v>
      </c>
      <c r="B15" t="s">
        <v>351</v>
      </c>
      <c r="C15">
        <v>460626</v>
      </c>
      <c r="D15" t="s">
        <v>352</v>
      </c>
      <c r="E15">
        <v>100</v>
      </c>
      <c r="F15" s="8">
        <v>46183</v>
      </c>
      <c r="G15" s="14">
        <v>0.22013888888888888</v>
      </c>
      <c r="H15" s="14">
        <v>0.25833333333333336</v>
      </c>
      <c r="I15" s="14">
        <f t="shared" si="0"/>
        <v>0.30000000000000004</v>
      </c>
      <c r="J15" s="14"/>
      <c r="K15" s="8" t="e" cm="1">
        <f t="array" ref="K15">_xlfn.XLOOKUP(C15,Simulator!AR:AR,Simulator!A:B)</f>
        <v>#N/A</v>
      </c>
      <c r="L15" s="15"/>
      <c r="N15">
        <f t="shared" si="1"/>
        <v>12</v>
      </c>
      <c r="O15">
        <f t="shared" si="2"/>
        <v>0</v>
      </c>
    </row>
    <row r="16" spans="1:15" x14ac:dyDescent="0.25">
      <c r="A16" t="s">
        <v>350</v>
      </c>
      <c r="B16" t="s">
        <v>351</v>
      </c>
      <c r="C16">
        <v>470626</v>
      </c>
      <c r="D16" t="s">
        <v>352</v>
      </c>
      <c r="E16">
        <v>100</v>
      </c>
      <c r="F16" s="8">
        <v>46183</v>
      </c>
      <c r="G16" s="14">
        <v>0.5625</v>
      </c>
      <c r="H16" s="14">
        <v>0.60069444444444442</v>
      </c>
      <c r="I16" s="14">
        <f t="shared" si="0"/>
        <v>0.64236111111111105</v>
      </c>
      <c r="J16" s="14"/>
      <c r="K16" s="8" t="e" cm="1">
        <f t="array" ref="K16">_xlfn.XLOOKUP(C16,Simulator!AR:AR,Simulator!A:B)</f>
        <v>#N/A</v>
      </c>
      <c r="L16" s="15"/>
      <c r="N16">
        <f t="shared" si="1"/>
        <v>25</v>
      </c>
      <c r="O16">
        <f t="shared" si="2"/>
        <v>0</v>
      </c>
    </row>
    <row r="17" spans="1:15" x14ac:dyDescent="0.25">
      <c r="A17" t="s">
        <v>350</v>
      </c>
      <c r="B17" t="s">
        <v>351</v>
      </c>
      <c r="C17">
        <v>480626</v>
      </c>
      <c r="D17" t="s">
        <v>352</v>
      </c>
      <c r="E17">
        <v>100</v>
      </c>
      <c r="F17" s="8">
        <v>46183</v>
      </c>
      <c r="G17" s="14">
        <v>0.60069444444444442</v>
      </c>
      <c r="H17" s="14">
        <v>0.63888888888888884</v>
      </c>
      <c r="I17" s="14">
        <f t="shared" si="0"/>
        <v>0.68055555555555547</v>
      </c>
      <c r="J17" s="14"/>
      <c r="K17" s="8" t="e" cm="1">
        <f t="array" ref="K17">_xlfn.XLOOKUP(C17,Simulator!AR:AR,Simulator!A:B)</f>
        <v>#N/A</v>
      </c>
      <c r="L17" s="15"/>
      <c r="N17">
        <f t="shared" si="1"/>
        <v>20</v>
      </c>
      <c r="O17">
        <f t="shared" si="2"/>
        <v>0</v>
      </c>
    </row>
    <row r="18" spans="1:15" x14ac:dyDescent="0.25">
      <c r="A18" t="s">
        <v>350</v>
      </c>
      <c r="B18" t="s">
        <v>351</v>
      </c>
      <c r="C18">
        <v>490626</v>
      </c>
      <c r="D18" t="s">
        <v>352</v>
      </c>
      <c r="E18">
        <v>100</v>
      </c>
      <c r="F18" s="8">
        <v>46183</v>
      </c>
      <c r="G18" s="14">
        <v>0.63888888888888884</v>
      </c>
      <c r="H18" s="14">
        <v>0.67708333333333337</v>
      </c>
      <c r="I18" s="14">
        <f t="shared" si="0"/>
        <v>0.71875</v>
      </c>
      <c r="J18" s="14"/>
      <c r="K18" s="8" t="e" cm="1">
        <f t="array" ref="K18">_xlfn.XLOOKUP(C18,Simulator!AR:AR,Simulator!A:B)</f>
        <v>#N/A</v>
      </c>
      <c r="L18" s="15"/>
      <c r="N18">
        <f t="shared" si="1"/>
        <v>15</v>
      </c>
      <c r="O18">
        <f t="shared" si="2"/>
        <v>0</v>
      </c>
    </row>
    <row r="19" spans="1:15" x14ac:dyDescent="0.25">
      <c r="A19" t="s">
        <v>350</v>
      </c>
      <c r="B19" t="s">
        <v>351</v>
      </c>
      <c r="C19">
        <v>500626</v>
      </c>
      <c r="D19" t="s">
        <v>352</v>
      </c>
      <c r="E19">
        <v>100</v>
      </c>
      <c r="F19" s="8">
        <v>46183</v>
      </c>
      <c r="G19" s="14">
        <v>0.67708333333333337</v>
      </c>
      <c r="H19" s="14">
        <v>0.71527777777777779</v>
      </c>
      <c r="I19" s="14">
        <f t="shared" si="0"/>
        <v>0.75694444444444442</v>
      </c>
      <c r="J19" s="14"/>
      <c r="K19" s="8" t="e" cm="1">
        <f t="array" ref="K19">_xlfn.XLOOKUP(C19,Simulator!AR:AR,Simulator!A:B)</f>
        <v>#N/A</v>
      </c>
      <c r="L19" s="15"/>
      <c r="N19">
        <f t="shared" si="1"/>
        <v>10</v>
      </c>
      <c r="O19">
        <f t="shared" si="2"/>
        <v>0</v>
      </c>
    </row>
    <row r="20" spans="1:15" x14ac:dyDescent="0.25">
      <c r="A20" t="s">
        <v>350</v>
      </c>
      <c r="B20" t="s">
        <v>351</v>
      </c>
      <c r="C20">
        <v>510626</v>
      </c>
      <c r="D20" t="s">
        <v>352</v>
      </c>
      <c r="E20">
        <v>100</v>
      </c>
      <c r="F20" s="8">
        <v>46184</v>
      </c>
      <c r="G20" s="14">
        <v>0.15277777777777779</v>
      </c>
      <c r="H20" s="14">
        <v>0.19097222222222221</v>
      </c>
      <c r="I20" s="14">
        <f t="shared" si="0"/>
        <v>0.23263888888888887</v>
      </c>
      <c r="J20" s="14"/>
      <c r="K20" s="8" t="e" cm="1">
        <f t="array" ref="K20">_xlfn.XLOOKUP(C20,Simulator!AR:AR,Simulator!A:B)</f>
        <v>#N/A</v>
      </c>
      <c r="L20" s="15"/>
      <c r="N20">
        <f t="shared" si="1"/>
        <v>35</v>
      </c>
      <c r="O20">
        <f t="shared" si="2"/>
        <v>1</v>
      </c>
    </row>
    <row r="21" spans="1:15" x14ac:dyDescent="0.25">
      <c r="A21" t="s">
        <v>350</v>
      </c>
      <c r="B21" t="s">
        <v>351</v>
      </c>
      <c r="C21">
        <v>520626</v>
      </c>
      <c r="D21" t="s">
        <v>352</v>
      </c>
      <c r="E21">
        <v>100</v>
      </c>
      <c r="F21" s="8">
        <v>46184</v>
      </c>
      <c r="G21" s="14">
        <v>0.19097222222222221</v>
      </c>
      <c r="H21" s="14">
        <v>0.22916666666666666</v>
      </c>
      <c r="I21" s="14">
        <f t="shared" si="0"/>
        <v>0.27083333333333331</v>
      </c>
      <c r="J21" s="14"/>
      <c r="K21" s="8" t="e" cm="1">
        <f t="array" ref="K21">_xlfn.XLOOKUP(C21,Simulator!AR:AR,Simulator!A:B)</f>
        <v>#N/A</v>
      </c>
      <c r="L21" s="15"/>
      <c r="N21">
        <f t="shared" si="1"/>
        <v>30</v>
      </c>
      <c r="O21">
        <f t="shared" si="2"/>
        <v>0</v>
      </c>
    </row>
    <row r="22" spans="1:15" x14ac:dyDescent="0.25">
      <c r="A22" t="s">
        <v>350</v>
      </c>
      <c r="B22" t="s">
        <v>351</v>
      </c>
      <c r="C22">
        <v>530626</v>
      </c>
      <c r="D22" t="s">
        <v>352</v>
      </c>
      <c r="E22">
        <v>100</v>
      </c>
      <c r="F22" s="8">
        <v>46184</v>
      </c>
      <c r="G22" s="14">
        <v>0.22916666666666666</v>
      </c>
      <c r="H22" s="14">
        <v>0.2673611111111111</v>
      </c>
      <c r="I22" s="14">
        <f t="shared" si="0"/>
        <v>0.30902777777777779</v>
      </c>
      <c r="J22" s="14"/>
      <c r="K22" s="8" t="e" cm="1">
        <f t="array" ref="K22">_xlfn.XLOOKUP(C22,Simulator!AR:AR,Simulator!A:B)</f>
        <v>#N/A</v>
      </c>
      <c r="L22" s="15"/>
      <c r="N22">
        <f t="shared" si="1"/>
        <v>25</v>
      </c>
      <c r="O22">
        <f t="shared" si="2"/>
        <v>0</v>
      </c>
    </row>
    <row r="23" spans="1:15" x14ac:dyDescent="0.25">
      <c r="A23" t="s">
        <v>350</v>
      </c>
      <c r="B23" t="s">
        <v>353</v>
      </c>
      <c r="C23">
        <v>540626</v>
      </c>
      <c r="D23" t="s">
        <v>352</v>
      </c>
      <c r="E23">
        <v>100</v>
      </c>
      <c r="F23" s="8">
        <v>46184</v>
      </c>
      <c r="G23" s="14">
        <v>0.4777777777777778</v>
      </c>
      <c r="H23" s="14">
        <v>0.60277777777777775</v>
      </c>
      <c r="I23" s="14">
        <f t="shared" si="0"/>
        <v>0.64444444444444438</v>
      </c>
      <c r="J23" s="14"/>
      <c r="K23" s="8" t="e" cm="1">
        <f t="array" ref="K23">_xlfn.XLOOKUP(C23,Simulator!AR:AR,Simulator!A:B)</f>
        <v>#N/A</v>
      </c>
      <c r="L23" s="15"/>
      <c r="N23">
        <f t="shared" si="1"/>
        <v>28</v>
      </c>
      <c r="O23">
        <f t="shared" si="2"/>
        <v>0</v>
      </c>
    </row>
    <row r="24" spans="1:15" x14ac:dyDescent="0.25">
      <c r="A24" t="s">
        <v>350</v>
      </c>
      <c r="B24" t="s">
        <v>353</v>
      </c>
      <c r="C24">
        <v>550626</v>
      </c>
      <c r="D24" t="s">
        <v>352</v>
      </c>
      <c r="E24">
        <v>100</v>
      </c>
      <c r="F24" s="8">
        <v>46184</v>
      </c>
      <c r="G24" s="14">
        <v>0.60277777777777775</v>
      </c>
      <c r="H24" s="14">
        <v>0.72777777777777775</v>
      </c>
      <c r="I24" s="14">
        <f t="shared" si="0"/>
        <v>0.76944444444444438</v>
      </c>
      <c r="J24" s="14"/>
      <c r="K24" s="8" t="e" cm="1">
        <f t="array" ref="K24">_xlfn.XLOOKUP(C24,Simulator!AR:AR,Simulator!A:B)</f>
        <v>#N/A</v>
      </c>
      <c r="L24" s="15"/>
      <c r="N24">
        <f t="shared" si="1"/>
        <v>28</v>
      </c>
      <c r="O24">
        <f t="shared" si="2"/>
        <v>0</v>
      </c>
    </row>
    <row r="25" spans="1:15" x14ac:dyDescent="0.25">
      <c r="A25" t="s">
        <v>350</v>
      </c>
      <c r="B25" t="s">
        <v>351</v>
      </c>
      <c r="C25">
        <v>560626</v>
      </c>
      <c r="D25" t="s">
        <v>352</v>
      </c>
      <c r="E25">
        <v>100</v>
      </c>
      <c r="F25" s="8">
        <v>46184</v>
      </c>
      <c r="G25" s="14">
        <v>0.72777777777777775</v>
      </c>
      <c r="H25" s="14">
        <v>0.76597222222222228</v>
      </c>
      <c r="I25" s="14">
        <f t="shared" si="0"/>
        <v>0.80763888888888891</v>
      </c>
      <c r="J25" s="14"/>
      <c r="K25" s="8" t="e" cm="1">
        <f t="array" ref="K25">_xlfn.XLOOKUP(C25,Simulator!AR:AR,Simulator!A:B)</f>
        <v>#N/A</v>
      </c>
      <c r="L25" s="15"/>
      <c r="N25">
        <f t="shared" si="1"/>
        <v>23</v>
      </c>
      <c r="O25">
        <f t="shared" si="2"/>
        <v>0</v>
      </c>
    </row>
    <row r="26" spans="1:15" x14ac:dyDescent="0.25">
      <c r="A26" t="s">
        <v>350</v>
      </c>
      <c r="B26" t="s">
        <v>351</v>
      </c>
      <c r="C26">
        <v>570626</v>
      </c>
      <c r="D26" t="s">
        <v>352</v>
      </c>
      <c r="E26">
        <v>100</v>
      </c>
      <c r="F26" s="8">
        <v>46184</v>
      </c>
      <c r="G26" s="14">
        <v>0.92847222222222225</v>
      </c>
      <c r="H26" s="14">
        <v>0.96666666666666667</v>
      </c>
      <c r="I26" s="14">
        <f t="shared" si="0"/>
        <v>1.0083333333333333</v>
      </c>
      <c r="J26" s="14"/>
      <c r="K26" s="8" t="e" cm="1">
        <f t="array" ref="K26">_xlfn.XLOOKUP(C26,Simulator!AR:AR,Simulator!A:B)</f>
        <v>#N/A</v>
      </c>
      <c r="L26" s="15"/>
      <c r="N26">
        <f t="shared" si="1"/>
        <v>12</v>
      </c>
      <c r="O26">
        <f t="shared" si="2"/>
        <v>0</v>
      </c>
    </row>
    <row r="27" spans="1:15" x14ac:dyDescent="0.25">
      <c r="A27" t="s">
        <v>350</v>
      </c>
      <c r="B27" t="s">
        <v>351</v>
      </c>
      <c r="C27">
        <v>580626</v>
      </c>
      <c r="D27" t="s">
        <v>352</v>
      </c>
      <c r="E27">
        <v>100</v>
      </c>
      <c r="F27" s="8">
        <v>46185</v>
      </c>
      <c r="G27" s="14">
        <v>0.96666666666666667</v>
      </c>
      <c r="H27" s="14">
        <v>4.8611111111111112E-3</v>
      </c>
      <c r="I27" s="14">
        <f t="shared" si="0"/>
        <v>4.6527777777777779E-2</v>
      </c>
      <c r="J27" s="14"/>
      <c r="K27" s="8" t="e" cm="1">
        <f t="array" ref="K27">_xlfn.XLOOKUP(C27,Simulator!AR:AR,Simulator!A:B)</f>
        <v>#N/A</v>
      </c>
      <c r="L27" s="15"/>
      <c r="N27">
        <f t="shared" si="1"/>
        <v>7</v>
      </c>
      <c r="O27">
        <f t="shared" si="2"/>
        <v>0</v>
      </c>
    </row>
    <row r="28" spans="1:15" x14ac:dyDescent="0.25">
      <c r="A28" t="s">
        <v>350</v>
      </c>
      <c r="B28" t="s">
        <v>351</v>
      </c>
      <c r="C28">
        <v>590626</v>
      </c>
      <c r="D28" t="s">
        <v>352</v>
      </c>
      <c r="E28">
        <v>100</v>
      </c>
      <c r="F28" s="8">
        <v>46185</v>
      </c>
      <c r="G28" s="14">
        <v>4.8611111111111112E-3</v>
      </c>
      <c r="H28" s="14">
        <v>4.3055555555555555E-2</v>
      </c>
      <c r="I28" s="14">
        <f t="shared" si="0"/>
        <v>8.4722222222222227E-2</v>
      </c>
      <c r="J28" s="14"/>
      <c r="K28" s="8" t="e" cm="1">
        <f t="array" ref="K28">_xlfn.XLOOKUP(C28,Simulator!AR:AR,Simulator!A:B)</f>
        <v>#N/A</v>
      </c>
      <c r="L28" s="15"/>
      <c r="N28">
        <f t="shared" si="1"/>
        <v>2</v>
      </c>
      <c r="O28">
        <f t="shared" si="2"/>
        <v>0</v>
      </c>
    </row>
    <row r="29" spans="1:15" x14ac:dyDescent="0.25">
      <c r="A29" t="s">
        <v>350</v>
      </c>
      <c r="B29" t="s">
        <v>354</v>
      </c>
      <c r="C29">
        <v>10626</v>
      </c>
      <c r="D29" t="s">
        <v>352</v>
      </c>
      <c r="E29">
        <v>75</v>
      </c>
      <c r="F29" s="8">
        <v>46185</v>
      </c>
      <c r="G29" s="14">
        <v>0.27361111111111114</v>
      </c>
      <c r="H29" s="14">
        <v>0.36388888888888887</v>
      </c>
      <c r="I29" s="14">
        <f t="shared" si="0"/>
        <v>0.40555555555555556</v>
      </c>
      <c r="J29" s="14"/>
      <c r="K29" s="8" t="e" cm="1">
        <f t="array" ref="K29">_xlfn.XLOOKUP(C29,Simulator!AR:AR,Simulator!A:B)</f>
        <v>#N/A</v>
      </c>
      <c r="L29" s="15"/>
      <c r="N29">
        <f t="shared" si="1"/>
        <v>44</v>
      </c>
      <c r="O29">
        <f t="shared" si="2"/>
        <v>1</v>
      </c>
    </row>
    <row r="30" spans="1:15" x14ac:dyDescent="0.25">
      <c r="A30" t="s">
        <v>350</v>
      </c>
      <c r="B30" t="s">
        <v>351</v>
      </c>
      <c r="C30">
        <v>600626</v>
      </c>
      <c r="D30" t="s">
        <v>352</v>
      </c>
      <c r="E30">
        <v>100</v>
      </c>
      <c r="F30" s="8">
        <v>46185</v>
      </c>
      <c r="G30" s="14">
        <v>0.44513888888888886</v>
      </c>
      <c r="H30" s="14">
        <v>0.48333333333333334</v>
      </c>
      <c r="I30" s="14">
        <f t="shared" si="0"/>
        <v>0.52500000000000002</v>
      </c>
      <c r="J30" s="14"/>
      <c r="K30" s="8" t="e" cm="1">
        <f t="array" ref="K30">_xlfn.XLOOKUP(C30,Simulator!AR:AR,Simulator!A:B)</f>
        <v>#N/A</v>
      </c>
      <c r="L30" s="15"/>
      <c r="N30">
        <f t="shared" si="1"/>
        <v>36</v>
      </c>
      <c r="O30">
        <f t="shared" si="2"/>
        <v>1</v>
      </c>
    </row>
    <row r="31" spans="1:15" x14ac:dyDescent="0.25">
      <c r="A31" t="s">
        <v>350</v>
      </c>
      <c r="B31" t="s">
        <v>351</v>
      </c>
      <c r="C31">
        <v>610626</v>
      </c>
      <c r="D31" t="s">
        <v>352</v>
      </c>
      <c r="E31">
        <v>100</v>
      </c>
      <c r="F31" s="8">
        <v>46185</v>
      </c>
      <c r="G31" s="14">
        <v>0.48333333333333334</v>
      </c>
      <c r="H31" s="14">
        <v>0.55277777777777781</v>
      </c>
      <c r="I31" s="14">
        <f t="shared" si="0"/>
        <v>0.59444444444444444</v>
      </c>
      <c r="J31" s="14"/>
      <c r="K31" s="8" t="e" cm="1">
        <f t="array" ref="K31">_xlfn.XLOOKUP(C31,Simulator!AR:AR,Simulator!A:B)</f>
        <v>#N/A</v>
      </c>
      <c r="L31" s="15"/>
      <c r="N31">
        <f t="shared" si="1"/>
        <v>16</v>
      </c>
      <c r="O31">
        <f t="shared" si="2"/>
        <v>0</v>
      </c>
    </row>
    <row r="32" spans="1:15" x14ac:dyDescent="0.25">
      <c r="A32" t="s">
        <v>350</v>
      </c>
      <c r="B32" t="s">
        <v>351</v>
      </c>
      <c r="C32">
        <v>620626</v>
      </c>
      <c r="D32" t="s">
        <v>352</v>
      </c>
      <c r="E32">
        <v>100</v>
      </c>
      <c r="F32" s="8">
        <v>46185</v>
      </c>
      <c r="G32" s="14">
        <v>0.55277777777777781</v>
      </c>
      <c r="H32" s="14">
        <v>0.59097222222222223</v>
      </c>
      <c r="I32" s="14">
        <f t="shared" si="0"/>
        <v>0.63263888888888886</v>
      </c>
      <c r="J32" s="14"/>
      <c r="K32" s="8" t="e" cm="1">
        <f t="array" ref="K32">_xlfn.XLOOKUP(C32,Simulator!AR:AR,Simulator!A:B)</f>
        <v>#N/A</v>
      </c>
      <c r="L32" s="15"/>
      <c r="N32">
        <f t="shared" si="1"/>
        <v>11</v>
      </c>
      <c r="O32">
        <f t="shared" si="2"/>
        <v>0</v>
      </c>
    </row>
    <row r="33" spans="1:15" x14ac:dyDescent="0.25">
      <c r="A33" t="s">
        <v>350</v>
      </c>
      <c r="B33" t="s">
        <v>351</v>
      </c>
      <c r="C33">
        <v>630626</v>
      </c>
      <c r="D33" t="s">
        <v>352</v>
      </c>
      <c r="E33">
        <v>100</v>
      </c>
      <c r="F33" s="8">
        <v>46185</v>
      </c>
      <c r="G33" s="14">
        <v>0.88888888888888884</v>
      </c>
      <c r="H33" s="14">
        <v>0.93263888888888891</v>
      </c>
      <c r="I33" s="14">
        <f t="shared" si="0"/>
        <v>0.97430555555555554</v>
      </c>
      <c r="J33" s="14"/>
      <c r="K33" s="8" t="e" cm="1">
        <f t="array" ref="K33">_xlfn.XLOOKUP(C33,Simulator!AR:AR,Simulator!A:B)</f>
        <v>#N/A</v>
      </c>
      <c r="L33" s="15"/>
      <c r="N33">
        <f t="shared" si="1"/>
        <v>23</v>
      </c>
      <c r="O33">
        <f t="shared" si="2"/>
        <v>0</v>
      </c>
    </row>
    <row r="34" spans="1:15" x14ac:dyDescent="0.25">
      <c r="A34" t="s">
        <v>350</v>
      </c>
      <c r="B34" t="s">
        <v>351</v>
      </c>
      <c r="C34">
        <v>640626</v>
      </c>
      <c r="D34" t="s">
        <v>352</v>
      </c>
      <c r="E34">
        <v>100</v>
      </c>
      <c r="F34" s="8">
        <v>46185</v>
      </c>
      <c r="G34" s="14">
        <v>0.93263888888888891</v>
      </c>
      <c r="H34" s="14">
        <v>0.97083333333333333</v>
      </c>
      <c r="I34" s="14">
        <f t="shared" si="0"/>
        <v>1.0125</v>
      </c>
      <c r="J34" s="14"/>
      <c r="K34" s="8" t="e" cm="1">
        <f t="array" ref="K34">_xlfn.XLOOKUP(C34,Simulator!AR:AR,Simulator!A:B)</f>
        <v>#N/A</v>
      </c>
      <c r="L34" s="15"/>
      <c r="N34">
        <f t="shared" si="1"/>
        <v>18</v>
      </c>
      <c r="O34">
        <f t="shared" si="2"/>
        <v>0</v>
      </c>
    </row>
    <row r="35" spans="1:15" x14ac:dyDescent="0.25">
      <c r="A35" t="s">
        <v>350</v>
      </c>
      <c r="B35" t="s">
        <v>351</v>
      </c>
      <c r="C35">
        <v>650626</v>
      </c>
      <c r="D35" t="s">
        <v>352</v>
      </c>
      <c r="E35">
        <v>100</v>
      </c>
      <c r="F35" s="8">
        <v>46186</v>
      </c>
      <c r="G35" s="14">
        <v>0.97083333333333333</v>
      </c>
      <c r="H35" s="14">
        <v>4.027777777777778E-2</v>
      </c>
      <c r="I35" s="14">
        <f t="shared" si="0"/>
        <v>8.1944444444444445E-2</v>
      </c>
      <c r="J35" s="14"/>
      <c r="K35" s="8" t="e" cm="1">
        <f t="array" ref="K35">_xlfn.XLOOKUP(C35,Simulator!AR:AR,Simulator!A:B)</f>
        <v>#N/A</v>
      </c>
      <c r="L35" s="15"/>
      <c r="N35">
        <f t="shared" si="1"/>
        <v>58</v>
      </c>
      <c r="O35">
        <f t="shared" si="2"/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6706E-BEDA-415E-968D-20F755659DD8}">
  <sheetPr codeName="Sheet7"/>
  <dimension ref="A1:AX13"/>
  <sheetViews>
    <sheetView showGridLines="0" zoomScale="85" zoomScaleNormal="85" workbookViewId="0">
      <selection activeCell="I8" sqref="I8"/>
    </sheetView>
  </sheetViews>
  <sheetFormatPr defaultRowHeight="15" x14ac:dyDescent="0.25"/>
  <cols>
    <col min="1" max="1" width="19.140625" bestFit="1" customWidth="1"/>
    <col min="6" max="6" width="13.28515625" bestFit="1" customWidth="1"/>
    <col min="10" max="10" width="12.7109375" customWidth="1"/>
  </cols>
  <sheetData>
    <row r="1" spans="1:50" ht="26.25" x14ac:dyDescent="0.25">
      <c r="A1" s="26"/>
      <c r="B1" s="169" t="s">
        <v>425</v>
      </c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70" t="s">
        <v>437</v>
      </c>
      <c r="O1" s="170"/>
      <c r="P1" s="170"/>
      <c r="Q1" s="170"/>
      <c r="R1" s="170"/>
      <c r="S1" s="170"/>
      <c r="T1" s="170"/>
      <c r="U1" s="170"/>
      <c r="V1" s="170"/>
      <c r="W1" s="170"/>
      <c r="X1" s="171"/>
      <c r="Y1" s="172" t="s">
        <v>446</v>
      </c>
      <c r="Z1" s="172"/>
      <c r="AA1" s="172"/>
      <c r="AB1" s="172"/>
      <c r="AC1" s="172"/>
      <c r="AD1" s="172"/>
      <c r="AE1" s="172"/>
      <c r="AF1" s="173"/>
      <c r="AG1" s="159" t="s">
        <v>458</v>
      </c>
      <c r="AH1" s="160"/>
      <c r="AI1" s="161" t="s">
        <v>463</v>
      </c>
      <c r="AJ1" s="162"/>
      <c r="AK1" s="163" t="s">
        <v>466</v>
      </c>
      <c r="AL1" s="164"/>
      <c r="AM1" s="126"/>
      <c r="AN1" s="165" t="s">
        <v>471</v>
      </c>
      <c r="AO1" s="166"/>
      <c r="AP1" s="167"/>
      <c r="AQ1" s="168" t="s">
        <v>475</v>
      </c>
      <c r="AR1" s="166"/>
      <c r="AS1" s="167"/>
      <c r="AT1" s="146" t="s">
        <v>479</v>
      </c>
      <c r="AU1" s="147"/>
      <c r="AV1" s="148" t="s">
        <v>483</v>
      </c>
      <c r="AW1" s="149"/>
      <c r="AX1" s="144"/>
    </row>
    <row r="2" spans="1:50" ht="66.75" customHeight="1" thickBot="1" x14ac:dyDescent="0.3">
      <c r="A2" s="27" t="s">
        <v>356</v>
      </c>
      <c r="B2" s="150" t="s">
        <v>426</v>
      </c>
      <c r="C2" s="151"/>
      <c r="D2" s="151"/>
      <c r="E2" s="151"/>
      <c r="F2" s="152"/>
      <c r="G2" s="92" t="s">
        <v>429</v>
      </c>
      <c r="H2" s="94" t="s">
        <v>430</v>
      </c>
      <c r="I2" s="96" t="s">
        <v>431</v>
      </c>
      <c r="J2" s="96" t="s">
        <v>431</v>
      </c>
      <c r="K2" s="98" t="s">
        <v>433</v>
      </c>
      <c r="L2" s="100" t="s">
        <v>434</v>
      </c>
      <c r="M2" s="101" t="s">
        <v>435</v>
      </c>
      <c r="N2" s="153" t="s">
        <v>426</v>
      </c>
      <c r="O2" s="154"/>
      <c r="P2" s="154"/>
      <c r="Q2" s="155"/>
      <c r="R2" s="105" t="s">
        <v>429</v>
      </c>
      <c r="S2" s="105" t="s">
        <v>440</v>
      </c>
      <c r="T2" s="98" t="s">
        <v>441</v>
      </c>
      <c r="U2" s="98" t="s">
        <v>442</v>
      </c>
      <c r="V2" s="98" t="s">
        <v>443</v>
      </c>
      <c r="W2" s="96" t="s">
        <v>444</v>
      </c>
      <c r="X2" s="107" t="s">
        <v>435</v>
      </c>
      <c r="Y2" s="109" t="s">
        <v>447</v>
      </c>
      <c r="Z2" s="111" t="s">
        <v>449</v>
      </c>
      <c r="AA2" s="113" t="s">
        <v>357</v>
      </c>
      <c r="AB2" s="156" t="s">
        <v>452</v>
      </c>
      <c r="AC2" s="157"/>
      <c r="AD2" s="157"/>
      <c r="AE2" s="157"/>
      <c r="AF2" s="158"/>
      <c r="AG2" s="117" t="s">
        <v>459</v>
      </c>
      <c r="AH2" s="119" t="s">
        <v>461</v>
      </c>
      <c r="AI2" s="121" t="s">
        <v>449</v>
      </c>
      <c r="AJ2" s="121" t="s">
        <v>357</v>
      </c>
      <c r="AK2" s="124" t="s">
        <v>467</v>
      </c>
      <c r="AL2" s="124" t="s">
        <v>357</v>
      </c>
      <c r="AM2" s="127" t="s">
        <v>435</v>
      </c>
      <c r="AN2" s="129" t="s">
        <v>357</v>
      </c>
      <c r="AO2" s="131" t="s">
        <v>452</v>
      </c>
      <c r="AP2" s="133"/>
      <c r="AQ2" s="134" t="s">
        <v>357</v>
      </c>
      <c r="AR2" s="136" t="s">
        <v>452</v>
      </c>
      <c r="AS2" s="136"/>
      <c r="AT2" s="138" t="s">
        <v>357</v>
      </c>
      <c r="AU2" s="139" t="s">
        <v>481</v>
      </c>
      <c r="AV2" s="141" t="s">
        <v>357</v>
      </c>
      <c r="AW2" s="139" t="s">
        <v>485</v>
      </c>
      <c r="AX2" s="107" t="s">
        <v>487</v>
      </c>
    </row>
    <row r="3" spans="1:50" ht="96.75" x14ac:dyDescent="0.25">
      <c r="A3" s="28" t="s">
        <v>361</v>
      </c>
      <c r="B3" s="91" t="s">
        <v>121</v>
      </c>
      <c r="C3" s="91" t="s">
        <v>427</v>
      </c>
      <c r="D3" s="91" t="s">
        <v>123</v>
      </c>
      <c r="E3" s="91" t="s">
        <v>428</v>
      </c>
      <c r="F3" s="91" t="s">
        <v>125</v>
      </c>
      <c r="G3" s="93" t="s">
        <v>113</v>
      </c>
      <c r="H3" s="95" t="s">
        <v>115</v>
      </c>
      <c r="I3" s="97" t="s">
        <v>140</v>
      </c>
      <c r="J3" s="97" t="s">
        <v>432</v>
      </c>
      <c r="K3" s="99" t="s">
        <v>101</v>
      </c>
      <c r="L3" s="97" t="s">
        <v>103</v>
      </c>
      <c r="M3" s="102" t="s">
        <v>436</v>
      </c>
      <c r="N3" s="103" t="s">
        <v>127</v>
      </c>
      <c r="O3" s="103" t="s">
        <v>438</v>
      </c>
      <c r="P3" s="104" t="s">
        <v>129</v>
      </c>
      <c r="Q3" s="103" t="s">
        <v>439</v>
      </c>
      <c r="R3" s="106" t="s">
        <v>117</v>
      </c>
      <c r="S3" s="93" t="s">
        <v>119</v>
      </c>
      <c r="T3" s="97" t="s">
        <v>105</v>
      </c>
      <c r="U3" s="97" t="s">
        <v>107</v>
      </c>
      <c r="V3" s="97" t="s">
        <v>109</v>
      </c>
      <c r="W3" s="97" t="s">
        <v>111</v>
      </c>
      <c r="X3" s="108" t="s">
        <v>445</v>
      </c>
      <c r="Y3" s="110" t="s">
        <v>448</v>
      </c>
      <c r="Z3" s="112" t="s">
        <v>450</v>
      </c>
      <c r="AA3" s="114" t="s">
        <v>451</v>
      </c>
      <c r="AB3" s="115" t="s">
        <v>453</v>
      </c>
      <c r="AC3" s="115" t="s">
        <v>454</v>
      </c>
      <c r="AD3" s="115" t="s">
        <v>455</v>
      </c>
      <c r="AE3" s="115" t="s">
        <v>456</v>
      </c>
      <c r="AF3" s="116" t="s">
        <v>457</v>
      </c>
      <c r="AG3" s="118" t="s">
        <v>460</v>
      </c>
      <c r="AH3" s="120" t="s">
        <v>462</v>
      </c>
      <c r="AI3" s="122" t="s">
        <v>464</v>
      </c>
      <c r="AJ3" s="123" t="s">
        <v>465</v>
      </c>
      <c r="AK3" s="125" t="s">
        <v>468</v>
      </c>
      <c r="AL3" s="125" t="s">
        <v>469</v>
      </c>
      <c r="AM3" s="128" t="s">
        <v>470</v>
      </c>
      <c r="AN3" s="130" t="s">
        <v>472</v>
      </c>
      <c r="AO3" s="132" t="s">
        <v>473</v>
      </c>
      <c r="AP3" s="132" t="s">
        <v>474</v>
      </c>
      <c r="AQ3" s="135" t="s">
        <v>476</v>
      </c>
      <c r="AR3" s="132" t="s">
        <v>477</v>
      </c>
      <c r="AS3" s="137" t="s">
        <v>478</v>
      </c>
      <c r="AT3" s="135" t="s">
        <v>480</v>
      </c>
      <c r="AU3" s="140" t="s">
        <v>482</v>
      </c>
      <c r="AV3" s="142" t="s">
        <v>484</v>
      </c>
      <c r="AW3" s="143" t="s">
        <v>486</v>
      </c>
      <c r="AX3" s="145" t="s">
        <v>488</v>
      </c>
    </row>
    <row r="4" spans="1:50" x14ac:dyDescent="0.25">
      <c r="A4" s="29" t="s">
        <v>362</v>
      </c>
      <c r="B4" s="30"/>
      <c r="C4" s="30"/>
      <c r="D4" s="30"/>
      <c r="E4" s="31"/>
      <c r="F4" s="32">
        <v>1</v>
      </c>
      <c r="G4" s="33"/>
      <c r="H4" s="34"/>
      <c r="I4" s="31"/>
      <c r="J4" s="31"/>
      <c r="K4" s="34"/>
      <c r="L4" s="33"/>
      <c r="M4" s="33"/>
      <c r="N4" s="33"/>
      <c r="O4" s="33"/>
      <c r="P4" s="33"/>
      <c r="Q4" s="30"/>
      <c r="R4" s="33"/>
      <c r="S4" s="30"/>
      <c r="T4" s="33"/>
      <c r="U4" s="35"/>
      <c r="V4" s="33"/>
      <c r="W4" s="33"/>
      <c r="X4" s="33"/>
      <c r="Y4" s="33"/>
      <c r="Z4" s="33"/>
      <c r="AA4" s="33"/>
      <c r="AB4" s="33"/>
      <c r="AC4" s="33"/>
      <c r="AD4" s="35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</row>
    <row r="5" spans="1:50" ht="15.75" x14ac:dyDescent="0.25">
      <c r="A5" s="36" t="s">
        <v>365</v>
      </c>
      <c r="B5" s="37"/>
      <c r="C5" s="37"/>
      <c r="D5" s="37"/>
      <c r="E5" s="31"/>
      <c r="F5" s="31"/>
      <c r="G5" s="37"/>
      <c r="H5" s="38"/>
      <c r="I5" s="38">
        <v>1</v>
      </c>
      <c r="J5" s="38"/>
      <c r="K5" s="38"/>
      <c r="L5" s="39"/>
      <c r="M5" s="37"/>
      <c r="N5" s="39"/>
      <c r="O5" s="39"/>
      <c r="P5" s="39"/>
      <c r="Q5" s="37"/>
      <c r="R5" s="37"/>
      <c r="S5" s="37"/>
      <c r="T5" s="37"/>
      <c r="U5" s="37"/>
      <c r="V5" s="38"/>
      <c r="W5" s="40"/>
      <c r="X5" s="38"/>
      <c r="Y5" s="38"/>
      <c r="Z5" s="40"/>
      <c r="AA5" s="37"/>
      <c r="AB5" s="37"/>
      <c r="AC5" s="37"/>
      <c r="AD5" s="41"/>
      <c r="AE5" s="42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</row>
    <row r="6" spans="1:50" ht="15.75" x14ac:dyDescent="0.25">
      <c r="A6" s="43" t="s">
        <v>366</v>
      </c>
      <c r="B6" s="44"/>
      <c r="C6" s="44"/>
      <c r="D6" s="44"/>
      <c r="E6" s="31"/>
      <c r="F6" s="31"/>
      <c r="G6" s="45"/>
      <c r="H6" s="31"/>
      <c r="I6" s="31"/>
      <c r="J6" s="31"/>
      <c r="K6" s="31"/>
      <c r="L6" s="33"/>
      <c r="M6" s="45"/>
      <c r="N6" s="33"/>
      <c r="O6" s="33"/>
      <c r="P6" s="33"/>
      <c r="Q6" s="33"/>
      <c r="R6" s="33"/>
      <c r="S6" s="33"/>
      <c r="T6" s="33"/>
      <c r="U6" s="33"/>
      <c r="V6" s="33"/>
      <c r="W6" s="34"/>
      <c r="X6" s="34"/>
      <c r="Y6" s="34"/>
      <c r="Z6" s="46"/>
      <c r="AA6" s="46"/>
      <c r="AB6" s="46"/>
      <c r="AC6" s="46"/>
      <c r="AD6" s="46"/>
      <c r="AE6" s="34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</row>
    <row r="7" spans="1:50" ht="15.75" x14ac:dyDescent="0.25">
      <c r="A7" s="43" t="s">
        <v>367</v>
      </c>
      <c r="B7" s="37"/>
      <c r="C7" s="48"/>
      <c r="D7" s="37"/>
      <c r="E7" s="31"/>
      <c r="F7" s="31"/>
      <c r="G7" s="49">
        <v>172</v>
      </c>
      <c r="H7" s="31"/>
      <c r="I7" s="31"/>
      <c r="J7" s="31"/>
      <c r="K7" s="39"/>
      <c r="L7" s="39"/>
      <c r="M7" s="50"/>
      <c r="N7" s="39">
        <v>16</v>
      </c>
      <c r="O7" s="39"/>
      <c r="P7" s="39"/>
      <c r="Q7" s="39"/>
      <c r="R7" s="39"/>
      <c r="S7" s="39"/>
      <c r="T7" s="39"/>
      <c r="U7" s="39"/>
      <c r="V7" s="39"/>
      <c r="W7" s="51"/>
      <c r="X7" s="51">
        <v>100</v>
      </c>
      <c r="Y7" s="52"/>
      <c r="Z7" s="51"/>
      <c r="AA7" s="52"/>
      <c r="AB7" s="51"/>
      <c r="AC7" s="51"/>
      <c r="AD7" s="51"/>
      <c r="AE7" s="51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</row>
    <row r="8" spans="1:50" ht="15.75" x14ac:dyDescent="0.25">
      <c r="A8" s="53" t="s">
        <v>363</v>
      </c>
      <c r="B8" s="30"/>
      <c r="C8" s="54"/>
      <c r="D8" s="30"/>
      <c r="E8" s="32"/>
      <c r="F8" s="55">
        <v>27</v>
      </c>
      <c r="G8" s="56">
        <v>12</v>
      </c>
      <c r="H8" s="32"/>
      <c r="I8" s="32">
        <v>46</v>
      </c>
      <c r="J8" s="32"/>
      <c r="K8" s="55"/>
      <c r="L8" s="30"/>
      <c r="M8" s="49"/>
      <c r="N8" s="30">
        <v>3</v>
      </c>
      <c r="O8" s="30"/>
      <c r="P8" s="30"/>
      <c r="Q8" s="30"/>
      <c r="R8" s="30"/>
      <c r="S8" s="30">
        <v>28</v>
      </c>
      <c r="T8" s="57"/>
      <c r="U8" s="30">
        <v>1</v>
      </c>
      <c r="V8" s="30">
        <v>1</v>
      </c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</row>
    <row r="9" spans="1:50" x14ac:dyDescent="0.25">
      <c r="A9" s="58" t="s">
        <v>368</v>
      </c>
      <c r="B9" s="58">
        <v>0</v>
      </c>
      <c r="C9" s="58">
        <v>0</v>
      </c>
      <c r="D9" s="58">
        <v>0</v>
      </c>
      <c r="E9" s="58">
        <v>0</v>
      </c>
      <c r="F9" s="58">
        <v>27</v>
      </c>
      <c r="G9" s="58">
        <v>184</v>
      </c>
      <c r="H9" s="58">
        <v>0</v>
      </c>
      <c r="I9" s="58">
        <v>47</v>
      </c>
      <c r="J9" s="58">
        <v>0</v>
      </c>
      <c r="K9" s="58">
        <v>0</v>
      </c>
      <c r="L9" s="58">
        <v>0</v>
      </c>
      <c r="M9" s="58">
        <v>0</v>
      </c>
      <c r="N9" s="58">
        <v>19</v>
      </c>
      <c r="O9" s="58">
        <v>0</v>
      </c>
      <c r="P9" s="58">
        <v>0</v>
      </c>
      <c r="Q9" s="58">
        <v>0</v>
      </c>
      <c r="R9" s="58">
        <v>0</v>
      </c>
      <c r="S9" s="58">
        <v>28</v>
      </c>
      <c r="T9" s="58">
        <v>0</v>
      </c>
      <c r="U9" s="58">
        <v>1</v>
      </c>
      <c r="V9" s="58">
        <v>1</v>
      </c>
      <c r="W9" s="58">
        <v>0</v>
      </c>
      <c r="X9" s="58">
        <v>100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  <c r="AO9" s="58">
        <v>0</v>
      </c>
      <c r="AP9" s="58">
        <v>0</v>
      </c>
      <c r="AQ9" s="58">
        <v>0</v>
      </c>
      <c r="AR9" s="58">
        <v>0</v>
      </c>
      <c r="AS9" s="58">
        <v>0</v>
      </c>
      <c r="AT9" s="58">
        <v>0</v>
      </c>
      <c r="AU9" s="58">
        <v>0</v>
      </c>
      <c r="AV9" s="58">
        <v>0</v>
      </c>
      <c r="AW9" s="58">
        <v>0</v>
      </c>
      <c r="AX9" s="58">
        <v>0</v>
      </c>
    </row>
    <row r="10" spans="1:50" x14ac:dyDescent="0.25">
      <c r="A10" s="38" t="s">
        <v>364</v>
      </c>
      <c r="B10" s="47"/>
      <c r="C10" s="47"/>
      <c r="D10" s="47"/>
      <c r="E10" s="59"/>
      <c r="F10" s="47"/>
      <c r="G10" s="59">
        <v>36</v>
      </c>
      <c r="H10" s="47"/>
      <c r="I10" s="47">
        <v>18</v>
      </c>
      <c r="J10" s="47"/>
      <c r="K10" s="47">
        <v>18</v>
      </c>
      <c r="L10" s="47"/>
      <c r="M10" s="47"/>
      <c r="N10" s="47">
        <v>9</v>
      </c>
      <c r="O10" s="47"/>
      <c r="P10" s="47"/>
      <c r="Q10" s="38"/>
      <c r="R10" s="38"/>
      <c r="S10" s="38"/>
      <c r="T10" s="38"/>
      <c r="U10" s="47"/>
      <c r="V10" s="47"/>
      <c r="W10" s="47">
        <v>18</v>
      </c>
      <c r="X10" s="37"/>
      <c r="Y10" s="37"/>
      <c r="Z10" s="37"/>
      <c r="AA10" s="37"/>
      <c r="AB10" s="37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</row>
    <row r="11" spans="1:50" x14ac:dyDescent="0.25">
      <c r="A11" s="38" t="s">
        <v>369</v>
      </c>
      <c r="B11" s="47"/>
      <c r="C11" s="47"/>
      <c r="D11" s="47">
        <v>5</v>
      </c>
      <c r="E11" s="47"/>
      <c r="F11" s="47">
        <v>36</v>
      </c>
      <c r="G11" s="47">
        <v>44</v>
      </c>
      <c r="H11" s="47"/>
      <c r="I11" s="47">
        <v>18</v>
      </c>
      <c r="J11" s="47"/>
      <c r="K11" s="47">
        <v>67</v>
      </c>
      <c r="L11" s="47">
        <v>4</v>
      </c>
      <c r="M11" s="47"/>
      <c r="N11" s="47">
        <v>6</v>
      </c>
      <c r="O11" s="38"/>
      <c r="P11" s="47"/>
      <c r="Q11" s="38"/>
      <c r="R11" s="38">
        <v>4</v>
      </c>
      <c r="S11" s="38">
        <v>22</v>
      </c>
      <c r="T11" s="38">
        <v>23</v>
      </c>
      <c r="U11" s="47"/>
      <c r="V11" s="47"/>
      <c r="W11" s="47">
        <v>44</v>
      </c>
      <c r="X11" s="37"/>
      <c r="Y11" s="37"/>
      <c r="Z11" s="37"/>
      <c r="AA11" s="37"/>
      <c r="AB11" s="37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</row>
    <row r="12" spans="1:50" x14ac:dyDescent="0.25">
      <c r="A12" s="60" t="s">
        <v>368</v>
      </c>
      <c r="B12" s="58">
        <v>0</v>
      </c>
      <c r="C12" s="58">
        <v>0</v>
      </c>
      <c r="D12" s="58">
        <v>5</v>
      </c>
      <c r="E12" s="58">
        <v>0</v>
      </c>
      <c r="F12" s="58">
        <v>36</v>
      </c>
      <c r="G12" s="58">
        <v>80</v>
      </c>
      <c r="H12" s="58">
        <v>0</v>
      </c>
      <c r="I12" s="58">
        <v>36</v>
      </c>
      <c r="J12" s="58">
        <v>0</v>
      </c>
      <c r="K12" s="58">
        <v>85</v>
      </c>
      <c r="L12" s="58">
        <v>4</v>
      </c>
      <c r="M12" s="58">
        <v>0</v>
      </c>
      <c r="N12" s="58">
        <v>15</v>
      </c>
      <c r="O12" s="58">
        <v>0</v>
      </c>
      <c r="P12" s="58">
        <v>0</v>
      </c>
      <c r="Q12" s="58">
        <v>0</v>
      </c>
      <c r="R12" s="58">
        <v>4</v>
      </c>
      <c r="S12" s="58">
        <v>22</v>
      </c>
      <c r="T12" s="58">
        <v>23</v>
      </c>
      <c r="U12" s="58">
        <v>0</v>
      </c>
      <c r="V12" s="58">
        <v>0</v>
      </c>
      <c r="W12" s="58">
        <v>62</v>
      </c>
      <c r="X12" s="58">
        <v>0</v>
      </c>
      <c r="Y12" s="58">
        <v>0</v>
      </c>
      <c r="Z12" s="58">
        <v>0</v>
      </c>
      <c r="AA12" s="58">
        <v>0</v>
      </c>
      <c r="AB12" s="58">
        <v>0</v>
      </c>
      <c r="AC12" s="58">
        <v>0</v>
      </c>
      <c r="AD12" s="58">
        <v>0</v>
      </c>
      <c r="AE12" s="58">
        <v>0</v>
      </c>
      <c r="AF12" s="58">
        <v>0</v>
      </c>
      <c r="AG12" s="58">
        <v>0</v>
      </c>
      <c r="AH12" s="58">
        <v>0</v>
      </c>
      <c r="AI12" s="58">
        <v>0</v>
      </c>
      <c r="AJ12" s="58">
        <v>0</v>
      </c>
      <c r="AK12" s="58">
        <v>0</v>
      </c>
      <c r="AL12" s="58">
        <v>0</v>
      </c>
      <c r="AM12" s="58">
        <v>0</v>
      </c>
      <c r="AN12" s="58">
        <v>0</v>
      </c>
      <c r="AO12" s="58">
        <v>0</v>
      </c>
      <c r="AP12" s="58">
        <v>0</v>
      </c>
      <c r="AQ12" s="58">
        <v>0</v>
      </c>
      <c r="AR12" s="58">
        <v>0</v>
      </c>
      <c r="AS12" s="58">
        <v>0</v>
      </c>
      <c r="AT12" s="58">
        <v>0</v>
      </c>
      <c r="AU12" s="58">
        <v>0</v>
      </c>
      <c r="AV12" s="58">
        <v>0</v>
      </c>
      <c r="AW12" s="58">
        <v>0</v>
      </c>
      <c r="AX12" s="58">
        <v>0</v>
      </c>
    </row>
    <row r="13" spans="1:50" x14ac:dyDescent="0.25">
      <c r="A13" s="61" t="s">
        <v>370</v>
      </c>
      <c r="B13" s="62">
        <v>0</v>
      </c>
      <c r="C13" s="62">
        <v>0</v>
      </c>
      <c r="D13" s="62">
        <v>5</v>
      </c>
      <c r="E13" s="62">
        <v>0</v>
      </c>
      <c r="F13" s="62">
        <v>63</v>
      </c>
      <c r="G13" s="62">
        <v>264</v>
      </c>
      <c r="H13" s="62">
        <v>0</v>
      </c>
      <c r="I13" s="62">
        <v>83</v>
      </c>
      <c r="J13" s="62">
        <v>0</v>
      </c>
      <c r="K13" s="62">
        <v>85</v>
      </c>
      <c r="L13" s="62">
        <v>4</v>
      </c>
      <c r="M13" s="62">
        <v>0</v>
      </c>
      <c r="N13" s="62">
        <v>34</v>
      </c>
      <c r="O13" s="62">
        <v>0</v>
      </c>
      <c r="P13" s="62">
        <v>0</v>
      </c>
      <c r="Q13" s="62">
        <v>0</v>
      </c>
      <c r="R13" s="62">
        <v>4</v>
      </c>
      <c r="S13" s="62">
        <v>50</v>
      </c>
      <c r="T13" s="62">
        <v>23</v>
      </c>
      <c r="U13" s="62">
        <v>1</v>
      </c>
      <c r="V13" s="62">
        <v>1</v>
      </c>
      <c r="W13" s="62">
        <v>62</v>
      </c>
      <c r="X13" s="62">
        <v>100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2">
        <v>0</v>
      </c>
      <c r="AE13" s="62">
        <v>0</v>
      </c>
      <c r="AF13" s="62">
        <v>0</v>
      </c>
      <c r="AG13" s="62">
        <v>0</v>
      </c>
      <c r="AH13" s="62">
        <v>0</v>
      </c>
      <c r="AI13" s="62">
        <v>0</v>
      </c>
      <c r="AJ13" s="62">
        <v>0</v>
      </c>
      <c r="AK13" s="62">
        <v>0</v>
      </c>
      <c r="AL13" s="62">
        <v>0</v>
      </c>
      <c r="AM13" s="62">
        <v>0</v>
      </c>
      <c r="AN13" s="62">
        <v>0</v>
      </c>
      <c r="AO13" s="62">
        <v>0</v>
      </c>
      <c r="AP13" s="62">
        <v>0</v>
      </c>
      <c r="AQ13" s="62">
        <v>0</v>
      </c>
      <c r="AR13" s="62">
        <v>0</v>
      </c>
      <c r="AS13" s="62">
        <v>0</v>
      </c>
      <c r="AT13" s="62">
        <v>0</v>
      </c>
      <c r="AU13" s="62">
        <v>0</v>
      </c>
      <c r="AV13" s="62">
        <v>0</v>
      </c>
      <c r="AW13" s="62">
        <v>0</v>
      </c>
      <c r="AX13" s="62">
        <v>0</v>
      </c>
    </row>
  </sheetData>
  <mergeCells count="13">
    <mergeCell ref="AT1:AU1"/>
    <mergeCell ref="AV1:AW1"/>
    <mergeCell ref="B2:F2"/>
    <mergeCell ref="N2:Q2"/>
    <mergeCell ref="AB2:AF2"/>
    <mergeCell ref="AG1:AH1"/>
    <mergeCell ref="AI1:AJ1"/>
    <mergeCell ref="AK1:AL1"/>
    <mergeCell ref="AN1:AP1"/>
    <mergeCell ref="AQ1:AS1"/>
    <mergeCell ref="B1:M1"/>
    <mergeCell ref="N1:X1"/>
    <mergeCell ref="Y1:AF1"/>
  </mergeCells>
  <conditionalFormatting sqref="B8:AX8">
    <cfRule type="cellIs" dxfId="5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18" r:id="rId3" name="Button 30">
              <controlPr defaultSize="0" print="0" autoFill="0" autoPict="0" macro="[0]!ImportDataADO">
                <anchor moveWithCells="1" sizeWithCells="1">
                  <from>
                    <xdr:col>0</xdr:col>
                    <xdr:colOff>104775</xdr:colOff>
                    <xdr:row>0</xdr:row>
                    <xdr:rowOff>57150</xdr:rowOff>
                  </from>
                  <to>
                    <xdr:col>0</xdr:col>
                    <xdr:colOff>1219200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061BA-0328-4FB2-AEC3-3A57C05CBBAD}">
  <sheetPr codeName="Sheet2"/>
  <dimension ref="A1:DM476"/>
  <sheetViews>
    <sheetView showGridLines="0" tabSelected="1" zoomScale="72" zoomScaleNormal="72" workbookViewId="0">
      <pane xSplit="46" ySplit="3" topLeftCell="AU4" activePane="bottomRight" state="frozen"/>
      <selection pane="topRight" activeCell="AU1" sqref="AU1"/>
      <selection pane="bottomLeft" activeCell="A4" sqref="A4"/>
      <selection pane="bottomRight" activeCell="AV14" sqref="AV14"/>
    </sheetView>
  </sheetViews>
  <sheetFormatPr defaultRowHeight="15" outlineLevelCol="1" x14ac:dyDescent="0.25"/>
  <cols>
    <col min="1" max="1" width="15.7109375" style="1" bestFit="1" customWidth="1"/>
    <col min="2" max="2" width="11.42578125" style="2" customWidth="1"/>
    <col min="3" max="3" width="13.85546875" customWidth="1" outlineLevel="1"/>
    <col min="4" max="4" width="7.140625" customWidth="1" outlineLevel="1"/>
    <col min="5" max="5" width="14.28515625" bestFit="1" customWidth="1"/>
    <col min="6" max="6" width="7" customWidth="1"/>
    <col min="7" max="7" width="13.85546875" hidden="1" customWidth="1" outlineLevel="1"/>
    <col min="8" max="8" width="7.140625" hidden="1" customWidth="1" outlineLevel="1"/>
    <col min="9" max="9" width="9.28515625" hidden="1" customWidth="1" outlineLevel="1" collapsed="1"/>
    <col min="10" max="43" width="9.28515625" hidden="1" customWidth="1" outlineLevel="1"/>
    <col min="44" max="44" width="18.140625" style="19" bestFit="1" customWidth="1" collapsed="1"/>
    <col min="46" max="46" width="12.5703125" customWidth="1"/>
    <col min="47" max="67" width="9.140625" customWidth="1"/>
    <col min="68" max="81" width="9.140625" hidden="1" customWidth="1" outlineLevel="1"/>
    <col min="82" max="82" width="9.140625" customWidth="1" collapsed="1"/>
    <col min="83" max="102" width="9.140625" customWidth="1"/>
    <col min="103" max="116" width="9.140625" hidden="1" customWidth="1" outlineLevel="1"/>
    <col min="117" max="117" width="9.140625" collapsed="1"/>
  </cols>
  <sheetData>
    <row r="1" spans="1:116" ht="34.5" customHeight="1" thickBot="1" x14ac:dyDescent="0.3">
      <c r="A1" s="74">
        <v>46183</v>
      </c>
      <c r="C1" s="73"/>
      <c r="D1" s="73"/>
      <c r="E1" s="73"/>
      <c r="F1" s="73"/>
      <c r="G1" s="73"/>
      <c r="H1" s="25"/>
      <c r="I1" s="7">
        <v>2</v>
      </c>
      <c r="J1" s="7">
        <v>3</v>
      </c>
      <c r="K1" s="7">
        <v>4</v>
      </c>
      <c r="L1" s="7">
        <v>5</v>
      </c>
      <c r="M1" s="7">
        <v>6</v>
      </c>
      <c r="N1" s="7">
        <v>7</v>
      </c>
      <c r="O1" s="7">
        <v>8</v>
      </c>
      <c r="P1" s="7">
        <v>9</v>
      </c>
      <c r="Q1" s="7">
        <v>10</v>
      </c>
      <c r="R1" s="7">
        <v>11</v>
      </c>
      <c r="S1" s="7">
        <v>12</v>
      </c>
      <c r="T1" s="7">
        <v>13</v>
      </c>
      <c r="U1" s="7">
        <v>14</v>
      </c>
      <c r="V1" s="7">
        <v>15</v>
      </c>
      <c r="W1" s="7">
        <v>16</v>
      </c>
      <c r="X1" s="7">
        <v>17</v>
      </c>
      <c r="Y1" s="7">
        <v>18</v>
      </c>
      <c r="Z1" s="7">
        <v>19</v>
      </c>
      <c r="AA1" s="7">
        <v>20</v>
      </c>
      <c r="AB1" s="7">
        <v>21</v>
      </c>
      <c r="AC1" s="7">
        <v>22</v>
      </c>
      <c r="AD1" s="7">
        <v>23</v>
      </c>
      <c r="AE1" s="7">
        <v>24</v>
      </c>
      <c r="AF1" s="7">
        <v>25</v>
      </c>
      <c r="AG1" s="7">
        <v>26</v>
      </c>
      <c r="AH1" s="7">
        <v>27</v>
      </c>
      <c r="AI1" s="7">
        <v>28</v>
      </c>
      <c r="AJ1" s="7">
        <v>29</v>
      </c>
      <c r="AK1" s="7">
        <v>30</v>
      </c>
      <c r="AL1" s="7">
        <v>31</v>
      </c>
      <c r="AM1" s="7">
        <v>32</v>
      </c>
      <c r="AN1" s="7">
        <v>33</v>
      </c>
      <c r="AO1" s="7">
        <v>34</v>
      </c>
      <c r="AP1" s="7">
        <v>35</v>
      </c>
      <c r="AQ1" s="7">
        <v>36</v>
      </c>
      <c r="AT1">
        <f>COUNTA(AT4:AT1048576)</f>
        <v>15</v>
      </c>
      <c r="AU1" s="71">
        <f>IFERROR(HLOOKUP(AU3,Progress!$B$3:$AF$13,7,FALSE),0)</f>
        <v>0</v>
      </c>
      <c r="AV1" s="71">
        <f>IFERROR(HLOOKUP(AV3,Progress!$B$3:$AF$13,7,FALSE),0)</f>
        <v>0</v>
      </c>
      <c r="AW1" s="71">
        <f>IFERROR(HLOOKUP(AW3,Progress!$B$3:$AF$13,7,FALSE),0)</f>
        <v>0</v>
      </c>
      <c r="AX1" s="71">
        <f>IFERROR(HLOOKUP(AX3,Progress!$B$3:$AF$13,7,FALSE),0)</f>
        <v>0</v>
      </c>
      <c r="AY1" s="71">
        <f>IFERROR(HLOOKUP(AY3,Progress!$B$3:$AF$13,7,FALSE),0)</f>
        <v>1</v>
      </c>
      <c r="AZ1" s="71">
        <f>IFERROR(HLOOKUP(AZ3,Progress!$B$3:$AF$13,7,FALSE),0)</f>
        <v>1</v>
      </c>
      <c r="BA1" s="71">
        <f>IFERROR(HLOOKUP(BA3,Progress!$B$3:$AF$13,7,FALSE),0)</f>
        <v>0</v>
      </c>
      <c r="BB1" s="71">
        <f>IFERROR(HLOOKUP(BB3,Progress!$B$3:$AF$13,7,FALSE),0)</f>
        <v>184</v>
      </c>
      <c r="BC1" s="71">
        <f>IFERROR(HLOOKUP(BC3,Progress!$B$3:$AF$13,7,FALSE),0)</f>
        <v>0</v>
      </c>
      <c r="BD1" s="71">
        <f>IFERROR(HLOOKUP(BD3,Progress!$B$3:$AF$13,7,FALSE),0)</f>
        <v>0</v>
      </c>
      <c r="BE1" s="71">
        <f>IFERROR(HLOOKUP(BE3,Progress!$B$3:$AF$13,7,FALSE),0)</f>
        <v>28</v>
      </c>
      <c r="BF1" s="71">
        <f>IFERROR(HLOOKUP(BF3,Progress!$B$3:$AF$13,7,FALSE),0)</f>
        <v>0</v>
      </c>
      <c r="BG1" s="71">
        <f>IFERROR(HLOOKUP(BG3,Progress!$B$3:$AF$13,7,FALSE),0)</f>
        <v>0</v>
      </c>
      <c r="BH1" s="71">
        <f>IFERROR(HLOOKUP(BH3,Progress!$B$3:$AF$13,7,FALSE),0)</f>
        <v>27</v>
      </c>
      <c r="BI1" s="71">
        <f>IFERROR(HLOOKUP(BI3,Progress!$B$3:$AF$13,7,FALSE),0)</f>
        <v>19</v>
      </c>
      <c r="BJ1" s="71">
        <f>IFERROR(HLOOKUP(BJ3,Progress!$B$3:$AF$13,7,FALSE),0)</f>
        <v>0</v>
      </c>
      <c r="BK1" s="71">
        <f>IFERROR(HLOOKUP(BK3,Progress!$B$3:$AF$13,7,FALSE),0)</f>
        <v>0</v>
      </c>
      <c r="BL1" s="71">
        <f>IFERROR(HLOOKUP(BL3,Progress!$B$3:$AF$13,7,FALSE),0)</f>
        <v>0</v>
      </c>
      <c r="BM1" s="71">
        <f>IFERROR(HLOOKUP(BM3,Progress!$B$3:$AF$13,7,FALSE),0)</f>
        <v>0</v>
      </c>
      <c r="BN1" s="71">
        <f>IFERROR(HLOOKUP(BN3,Progress!$B$3:$AF$13,7,FALSE),0)</f>
        <v>0</v>
      </c>
      <c r="BO1" s="71">
        <f>IFERROR(HLOOKUP(BO3,Progress!$B$3:$AF$13,7,FALSE),0)</f>
        <v>47</v>
      </c>
      <c r="BP1" s="71">
        <f>IFERROR(HLOOKUP(BP3,Progress!$B$3:$AF$13,7,FALSE),0)</f>
        <v>0</v>
      </c>
      <c r="BQ1" s="71">
        <f>IFERROR(HLOOKUP(BQ3,Progress!$B$3:$AF$13,7,FALSE),0)</f>
        <v>0</v>
      </c>
      <c r="BR1" s="71">
        <f>IFERROR(HLOOKUP(BR3,Progress!$B$3:$AF$13,7,FALSE),0)</f>
        <v>0</v>
      </c>
      <c r="BS1" s="71">
        <f>IFERROR(HLOOKUP(BS3,Progress!$B$3:$AF$13,7,FALSE),0)</f>
        <v>0</v>
      </c>
      <c r="BT1" s="71">
        <f>IFERROR(HLOOKUP(BT3,Progress!$B$3:$AF$13,7,FALSE),0)</f>
        <v>0</v>
      </c>
      <c r="BU1" s="71">
        <f>IFERROR(HLOOKUP(BU3,Progress!$B$3:$AF$13,7,FALSE),0)</f>
        <v>0</v>
      </c>
      <c r="BV1" s="71">
        <f>IFERROR(HLOOKUP(BV3,Progress!$B$3:$AF$13,7,FALSE),0)</f>
        <v>0</v>
      </c>
      <c r="BW1" s="71">
        <f>IFERROR(HLOOKUP(BW3,Progress!$B$3:$AF$13,7,FALSE),0)</f>
        <v>0</v>
      </c>
      <c r="BX1" s="71">
        <f>IFERROR(HLOOKUP(BX3,Progress!$B$3:$AF$13,7,FALSE),0)</f>
        <v>0</v>
      </c>
      <c r="BY1" s="71">
        <f>IFERROR(HLOOKUP(BY3,Progress!$B$3:$AF$13,7,FALSE),0)</f>
        <v>0</v>
      </c>
      <c r="BZ1" s="71">
        <f>IFERROR(HLOOKUP(BZ3,Progress!$B$3:$AF$13,7,FALSE),0)</f>
        <v>0</v>
      </c>
      <c r="CA1" s="71">
        <f>IFERROR(HLOOKUP(CA3,Progress!$B$3:$AF$13,7,FALSE),0)</f>
        <v>0</v>
      </c>
      <c r="CB1" s="71">
        <f>IFERROR(HLOOKUP(CB3,Progress!$B$3:$AF$13,7,FALSE),0)</f>
        <v>0</v>
      </c>
      <c r="CC1" s="71">
        <f>IFERROR(HLOOKUP(CC3,Progress!$B$3:$AF$13,7,FALSE),0)</f>
        <v>0</v>
      </c>
      <c r="CD1" s="13">
        <f>IFERROR(HLOOKUP(CD3,Progress!$B$3:$AF$13,10,FALSE),0)</f>
        <v>0</v>
      </c>
      <c r="CE1" s="13">
        <f>IFERROR(HLOOKUP(CE3,Progress!$B$3:$AF$13,10,FALSE),0)</f>
        <v>85</v>
      </c>
      <c r="CF1" s="13">
        <f>IFERROR(HLOOKUP(CF3,Progress!$B$3:$AF$13,10,FALSE),0)</f>
        <v>4</v>
      </c>
      <c r="CG1" s="13">
        <f>IFERROR(HLOOKUP(CG3,Progress!$B$3:$AF$13,10,FALSE),0)</f>
        <v>23</v>
      </c>
      <c r="CH1" s="13">
        <f>IFERROR(HLOOKUP(CH3,Progress!$B$3:$AF$13,10,FALSE),0)</f>
        <v>0</v>
      </c>
      <c r="CI1" s="13">
        <f>IFERROR(HLOOKUP(CI3,Progress!$B$3:$AF$13,10,FALSE),0)</f>
        <v>0</v>
      </c>
      <c r="CJ1" s="13">
        <f>IFERROR(HLOOKUP(CJ3,Progress!$B$3:$AF$13,10,FALSE),0)</f>
        <v>62</v>
      </c>
      <c r="CK1" s="13">
        <f>IFERROR(HLOOKUP(CK3,Progress!$B$3:$AF$13,10,FALSE),0)</f>
        <v>80</v>
      </c>
      <c r="CL1" s="13">
        <f>IFERROR(HLOOKUP(CL3,Progress!$B$3:$AF$13,10,FALSE),0)</f>
        <v>0</v>
      </c>
      <c r="CM1" s="13">
        <f>IFERROR(HLOOKUP(CM3,Progress!$B$3:$AF$13,10,FALSE),0)</f>
        <v>4</v>
      </c>
      <c r="CN1" s="13">
        <f>IFERROR(HLOOKUP(CN3,Progress!$B$3:$AF$13,10,FALSE),0)</f>
        <v>22</v>
      </c>
      <c r="CO1" s="13">
        <f>IFERROR(HLOOKUP(CO3,Progress!$B$3:$AF$13,10,FALSE),0)</f>
        <v>0</v>
      </c>
      <c r="CP1" s="13">
        <f>IFERROR(HLOOKUP(CP3,Progress!$B$3:$AF$13,10,FALSE),0)</f>
        <v>5</v>
      </c>
      <c r="CQ1" s="13">
        <f>IFERROR(HLOOKUP(CQ3,Progress!$B$3:$AF$13,10,FALSE),0)</f>
        <v>36</v>
      </c>
      <c r="CR1" s="13">
        <f>IFERROR(HLOOKUP(CR3,Progress!$B$3:$AF$13,10,FALSE),0)</f>
        <v>15</v>
      </c>
      <c r="CS1" s="13">
        <f>IFERROR(HLOOKUP(CS3,Progress!$B$3:$AF$13,10,FALSE),0)</f>
        <v>0</v>
      </c>
      <c r="CT1" s="13">
        <f>IFERROR(HLOOKUP(CT3,Progress!$B$3:$AF$13,10,FALSE),0)</f>
        <v>0</v>
      </c>
      <c r="CU1" s="13">
        <f>IFERROR(HLOOKUP(CU3,Progress!$B$3:$AF$13,10,FALSE),0)</f>
        <v>0</v>
      </c>
      <c r="CV1" s="13">
        <f>IFERROR(HLOOKUP(CV3,Progress!$B$3:$AF$13,10,FALSE),0)</f>
        <v>0</v>
      </c>
      <c r="CW1" s="13">
        <f>IFERROR(HLOOKUP(CW3,Progress!$B$3:$AF$13,10,FALSE),0)</f>
        <v>0</v>
      </c>
      <c r="CX1" s="13">
        <f>IFERROR(HLOOKUP(CX3,Progress!$B$3:$AF$13,10,FALSE),0)</f>
        <v>36</v>
      </c>
      <c r="CY1" s="13">
        <f>IFERROR(HLOOKUP(CY3,Progress!$B$3:$AF$13,10,FALSE),0)</f>
        <v>0</v>
      </c>
      <c r="CZ1" s="13">
        <f>IFERROR(HLOOKUP(CZ3,Progress!$B$3:$AF$13,10,FALSE),0)</f>
        <v>0</v>
      </c>
      <c r="DA1" s="13">
        <f>IFERROR(HLOOKUP(DA3,Progress!$B$3:$AF$13,10,FALSE),0)</f>
        <v>0</v>
      </c>
      <c r="DB1" s="13">
        <f>IFERROR(HLOOKUP(DB3,Progress!$B$3:$AF$13,10,FALSE),0)</f>
        <v>0</v>
      </c>
      <c r="DC1" s="13">
        <f>IFERROR(HLOOKUP(DC3,Progress!$B$3:$AF$13,10,FALSE),0)</f>
        <v>0</v>
      </c>
      <c r="DD1" s="13">
        <f>IFERROR(HLOOKUP(DD3,Progress!$B$3:$AF$13,10,FALSE),0)</f>
        <v>0</v>
      </c>
      <c r="DE1" s="13">
        <f>IFERROR(HLOOKUP(DE3,Progress!$B$3:$AF$13,10,FALSE),0)</f>
        <v>0</v>
      </c>
      <c r="DF1" s="13">
        <f>IFERROR(HLOOKUP(DF3,Progress!$B$3:$AF$13,10,FALSE),0)</f>
        <v>0</v>
      </c>
      <c r="DG1" s="13">
        <f>IFERROR(HLOOKUP(DG3,Progress!$B$3:$AF$13,10,FALSE),0)</f>
        <v>0</v>
      </c>
      <c r="DH1" s="13">
        <f>IFERROR(HLOOKUP(DH3,Progress!$B$3:$AF$13,10,FALSE),0)</f>
        <v>0</v>
      </c>
      <c r="DI1" s="13">
        <f>IFERROR(HLOOKUP(DI3,Progress!$B$3:$AF$13,10,FALSE),0)</f>
        <v>0</v>
      </c>
      <c r="DJ1" s="13">
        <f>IFERROR(HLOOKUP(DJ3,Progress!$B$3:$AF$13,10,FALSE),0)</f>
        <v>0</v>
      </c>
      <c r="DK1" s="13">
        <f>IFERROR(HLOOKUP(DK3,Progress!$B$3:$AF$13,10,FALSE),0)</f>
        <v>0</v>
      </c>
      <c r="DL1" s="13">
        <f>IFERROR(HLOOKUP(DL3,Progress!$B$3:$AF$13,10,FALSE),0)</f>
        <v>0</v>
      </c>
    </row>
    <row r="2" spans="1:116" ht="34.5" customHeight="1" thickTop="1" x14ac:dyDescent="0.25">
      <c r="A2" s="63"/>
      <c r="C2" s="73"/>
      <c r="D2" s="73"/>
      <c r="E2" s="73"/>
      <c r="F2" s="73"/>
      <c r="G2" s="73"/>
      <c r="H2" s="73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U2" s="75"/>
      <c r="AV2" s="75"/>
      <c r="AW2" s="75"/>
      <c r="AX2" s="75"/>
      <c r="AY2" s="75"/>
      <c r="AZ2" s="75"/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75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0"/>
      <c r="CE2" s="70"/>
      <c r="CF2" s="70"/>
      <c r="CG2" s="70"/>
      <c r="CH2" s="70"/>
      <c r="CI2" s="70"/>
      <c r="CJ2" s="70"/>
      <c r="CK2" s="70"/>
      <c r="CL2" s="70"/>
      <c r="CM2" s="70"/>
      <c r="CN2" s="70"/>
      <c r="CO2" s="70"/>
      <c r="CP2" s="70"/>
      <c r="CQ2" s="70"/>
      <c r="CR2" s="70"/>
      <c r="CS2" s="70"/>
      <c r="CT2" s="70"/>
      <c r="CU2" s="70"/>
      <c r="CV2" s="70"/>
      <c r="CW2" s="70"/>
      <c r="CX2" s="70"/>
      <c r="CY2" s="70"/>
      <c r="CZ2" s="70"/>
      <c r="DA2" s="70"/>
      <c r="DB2" s="70"/>
      <c r="DC2" s="70"/>
      <c r="DD2" s="70"/>
      <c r="DE2" s="70"/>
      <c r="DF2" s="70"/>
      <c r="DG2" s="70"/>
      <c r="DH2" s="70"/>
      <c r="DI2" s="70"/>
      <c r="DJ2" s="70"/>
      <c r="DK2" s="70"/>
      <c r="DL2" s="70"/>
    </row>
    <row r="3" spans="1:116" ht="108" thickBot="1" x14ac:dyDescent="0.3">
      <c r="A3" s="64" t="s">
        <v>11</v>
      </c>
      <c r="B3" s="65" t="s">
        <v>371</v>
      </c>
      <c r="C3" s="66" t="s">
        <v>812</v>
      </c>
      <c r="D3" s="66" t="s">
        <v>813</v>
      </c>
      <c r="E3" s="66" t="s">
        <v>814</v>
      </c>
      <c r="F3" s="66" t="s">
        <v>815</v>
      </c>
      <c r="G3" s="66" t="s">
        <v>816</v>
      </c>
      <c r="H3" s="66" t="s">
        <v>817</v>
      </c>
      <c r="I3" s="67" t="s">
        <v>96</v>
      </c>
      <c r="J3" s="67" t="s">
        <v>101</v>
      </c>
      <c r="K3" s="67" t="s">
        <v>103</v>
      </c>
      <c r="L3" s="67" t="s">
        <v>105</v>
      </c>
      <c r="M3" s="67" t="s">
        <v>107</v>
      </c>
      <c r="N3" s="67" t="s">
        <v>109</v>
      </c>
      <c r="O3" s="67" t="s">
        <v>111</v>
      </c>
      <c r="P3" s="67" t="s">
        <v>113</v>
      </c>
      <c r="Q3" s="67" t="s">
        <v>115</v>
      </c>
      <c r="R3" s="67" t="s">
        <v>117</v>
      </c>
      <c r="S3" s="67" t="s">
        <v>119</v>
      </c>
      <c r="T3" s="67" t="s">
        <v>121</v>
      </c>
      <c r="U3" s="67" t="s">
        <v>123</v>
      </c>
      <c r="V3" s="67" t="s">
        <v>125</v>
      </c>
      <c r="W3" s="67" t="s">
        <v>127</v>
      </c>
      <c r="X3" s="67" t="s">
        <v>129</v>
      </c>
      <c r="Y3" s="67" t="s">
        <v>131</v>
      </c>
      <c r="Z3" s="67" t="s">
        <v>134</v>
      </c>
      <c r="AA3" s="67" t="s">
        <v>136</v>
      </c>
      <c r="AB3" s="67" t="s">
        <v>138</v>
      </c>
      <c r="AC3" s="67" t="s">
        <v>140</v>
      </c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8" t="s">
        <v>342</v>
      </c>
      <c r="AS3" s="69" t="s">
        <v>343</v>
      </c>
      <c r="AT3" s="69" t="s">
        <v>345</v>
      </c>
      <c r="AU3" s="11" t="s">
        <v>96</v>
      </c>
      <c r="AV3" s="11" t="s">
        <v>101</v>
      </c>
      <c r="AW3" s="11" t="s">
        <v>103</v>
      </c>
      <c r="AX3" s="11" t="s">
        <v>105</v>
      </c>
      <c r="AY3" s="11" t="s">
        <v>107</v>
      </c>
      <c r="AZ3" s="11" t="s">
        <v>109</v>
      </c>
      <c r="BA3" s="11" t="s">
        <v>111</v>
      </c>
      <c r="BB3" s="11" t="s">
        <v>113</v>
      </c>
      <c r="BC3" s="11" t="s">
        <v>115</v>
      </c>
      <c r="BD3" s="11" t="s">
        <v>117</v>
      </c>
      <c r="BE3" s="11" t="s">
        <v>119</v>
      </c>
      <c r="BF3" s="11" t="s">
        <v>121</v>
      </c>
      <c r="BG3" s="11" t="s">
        <v>123</v>
      </c>
      <c r="BH3" s="11" t="s">
        <v>125</v>
      </c>
      <c r="BI3" s="11" t="s">
        <v>127</v>
      </c>
      <c r="BJ3" s="11" t="s">
        <v>129</v>
      </c>
      <c r="BK3" s="11" t="s">
        <v>131</v>
      </c>
      <c r="BL3" s="11" t="s">
        <v>134</v>
      </c>
      <c r="BM3" s="11" t="s">
        <v>136</v>
      </c>
      <c r="BN3" s="11" t="s">
        <v>138</v>
      </c>
      <c r="BO3" s="11" t="s">
        <v>140</v>
      </c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2" t="s">
        <v>96</v>
      </c>
      <c r="CE3" s="12" t="s">
        <v>101</v>
      </c>
      <c r="CF3" s="12" t="s">
        <v>103</v>
      </c>
      <c r="CG3" s="12" t="s">
        <v>105</v>
      </c>
      <c r="CH3" s="12" t="s">
        <v>107</v>
      </c>
      <c r="CI3" s="12" t="s">
        <v>109</v>
      </c>
      <c r="CJ3" s="12" t="s">
        <v>111</v>
      </c>
      <c r="CK3" s="12" t="s">
        <v>113</v>
      </c>
      <c r="CL3" s="12" t="s">
        <v>115</v>
      </c>
      <c r="CM3" s="12" t="s">
        <v>117</v>
      </c>
      <c r="CN3" s="12" t="s">
        <v>119</v>
      </c>
      <c r="CO3" s="12" t="s">
        <v>121</v>
      </c>
      <c r="CP3" s="12" t="s">
        <v>123</v>
      </c>
      <c r="CQ3" s="12" t="s">
        <v>125</v>
      </c>
      <c r="CR3" s="12" t="s">
        <v>127</v>
      </c>
      <c r="CS3" s="12" t="s">
        <v>129</v>
      </c>
      <c r="CT3" s="12" t="s">
        <v>131</v>
      </c>
      <c r="CU3" s="12" t="s">
        <v>134</v>
      </c>
      <c r="CV3" s="12" t="s">
        <v>136</v>
      </c>
      <c r="CW3" s="12" t="s">
        <v>138</v>
      </c>
      <c r="CX3" s="12" t="s">
        <v>140</v>
      </c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</row>
    <row r="4" spans="1:116" ht="15.75" thickTop="1" x14ac:dyDescent="0.25">
      <c r="A4" s="23">
        <v>46183</v>
      </c>
      <c r="B4" s="22">
        <v>0.33333333333575865</v>
      </c>
      <c r="C4" s="9"/>
      <c r="D4" s="9"/>
      <c r="E4" s="9" t="s">
        <v>54</v>
      </c>
      <c r="F4" s="9">
        <v>1</v>
      </c>
      <c r="G4" s="9"/>
      <c r="H4" s="9"/>
      <c r="I4" s="9">
        <f>SUM(IFERROR(VLOOKUP($C:$C,Structure!$A:$AJ,I$1,0)*$D4,0),IFERROR(VLOOKUP($E:$E,Structure!$A:$AJ,I$1,0)*$F4,0),IFERROR(VLOOKUP($G:$G,Structure!$A:$AJ,I$1,0)*$H4,0))</f>
        <v>0</v>
      </c>
      <c r="J4" s="9">
        <f>SUM(IFERROR(VLOOKUP($C:$C,Structure!$A:$AJ,J$1,0)*$D4,0),IFERROR(VLOOKUP($E:$E,Structure!$A:$AJ,J$1,0)*$F4,0),IFERROR(VLOOKUP($G:$G,Structure!$A:$AJ,J$1,0)*$H4,0))</f>
        <v>0</v>
      </c>
      <c r="K4" s="9">
        <f>SUM(IFERROR(VLOOKUP($C:$C,Structure!$A:$AJ,K$1,0)*$D4,0),IFERROR(VLOOKUP($E:$E,Structure!$A:$AJ,K$1,0)*$F4,0),IFERROR(VLOOKUP($G:$G,Structure!$A:$AJ,K$1,0)*$H4,0))</f>
        <v>0</v>
      </c>
      <c r="L4" s="9">
        <f>SUM(IFERROR(VLOOKUP($C:$C,Structure!$A:$AJ,L$1,0)*$D4,0),IFERROR(VLOOKUP($E:$E,Structure!$A:$AJ,L$1,0)*$F4,0),IFERROR(VLOOKUP($G:$G,Structure!$A:$AJ,L$1,0)*$H4,0))</f>
        <v>0</v>
      </c>
      <c r="M4" s="9">
        <f>SUM(IFERROR(VLOOKUP($C:$C,Structure!$A:$AJ,M$1,0)*$D4,0),IFERROR(VLOOKUP($E:$E,Structure!$A:$AJ,M$1,0)*$F4,0),IFERROR(VLOOKUP($G:$G,Structure!$A:$AJ,M$1,0)*$H4,0))</f>
        <v>0</v>
      </c>
      <c r="N4" s="9">
        <f>SUM(IFERROR(VLOOKUP($C:$C,Structure!$A:$AJ,N$1,0)*$D4,0),IFERROR(VLOOKUP($E:$E,Structure!$A:$AJ,N$1,0)*$F4,0),IFERROR(VLOOKUP($G:$G,Structure!$A:$AJ,N$1,0)*$H4,0))</f>
        <v>0</v>
      </c>
      <c r="O4" s="9">
        <f>SUM(IFERROR(VLOOKUP($C:$C,Structure!$A:$AJ,O$1,0)*$D4,0),IFERROR(VLOOKUP($E:$E,Structure!$A:$AJ,O$1,0)*$F4,0),IFERROR(VLOOKUP($G:$G,Structure!$A:$AJ,O$1,0)*$H4,0))</f>
        <v>1</v>
      </c>
      <c r="P4" s="9">
        <f>SUM(IFERROR(VLOOKUP($C:$C,Structure!$A:$AJ,P$1,0)*$D4,0),IFERROR(VLOOKUP($E:$E,Structure!$A:$AJ,P$1,0)*$F4,0),IFERROR(VLOOKUP($G:$G,Structure!$A:$AJ,P$1,0)*$H4,0))</f>
        <v>0</v>
      </c>
      <c r="Q4" s="9">
        <f>SUM(IFERROR(VLOOKUP($C:$C,Structure!$A:$AJ,Q$1,0)*$D4,0),IFERROR(VLOOKUP($E:$E,Structure!$A:$AJ,Q$1,0)*$F4,0),IFERROR(VLOOKUP($G:$G,Structure!$A:$AJ,Q$1,0)*$H4,0))</f>
        <v>0</v>
      </c>
      <c r="R4" s="9">
        <f>SUM(IFERROR(VLOOKUP($C:$C,Structure!$A:$AJ,R$1,0)*$D4,0),IFERROR(VLOOKUP($E:$E,Structure!$A:$AJ,R$1,0)*$F4,0),IFERROR(VLOOKUP($G:$G,Structure!$A:$AJ,R$1,0)*$H4,0))</f>
        <v>0</v>
      </c>
      <c r="S4" s="9">
        <f>SUM(IFERROR(VLOOKUP($C:$C,Structure!$A:$AJ,S$1,0)*$D4,0),IFERROR(VLOOKUP($E:$E,Structure!$A:$AJ,S$1,0)*$F4,0),IFERROR(VLOOKUP($G:$G,Structure!$A:$AJ,S$1,0)*$H4,0))</f>
        <v>1</v>
      </c>
      <c r="T4" s="9">
        <f>SUM(IFERROR(VLOOKUP($C:$C,Structure!$A:$AJ,T$1,0)*$D4,0),IFERROR(VLOOKUP($E:$E,Structure!$A:$AJ,T$1,0)*$F4,0),IFERROR(VLOOKUP($G:$G,Structure!$A:$AJ,T$1,0)*$H4,0))</f>
        <v>0</v>
      </c>
      <c r="U4" s="9">
        <f>SUM(IFERROR(VLOOKUP($C:$C,Structure!$A:$AJ,U$1,0)*$D4,0),IFERROR(VLOOKUP($E:$E,Structure!$A:$AJ,U$1,0)*$F4,0),IFERROR(VLOOKUP($G:$G,Structure!$A:$AJ,U$1,0)*$H4,0))</f>
        <v>0</v>
      </c>
      <c r="V4" s="9">
        <f>SUM(IFERROR(VLOOKUP($C:$C,Structure!$A:$AJ,V$1,0)*$D4,0),IFERROR(VLOOKUP($E:$E,Structure!$A:$AJ,V$1,0)*$F4,0),IFERROR(VLOOKUP($G:$G,Structure!$A:$AJ,V$1,0)*$H4,0))</f>
        <v>0</v>
      </c>
      <c r="W4" s="9">
        <f>SUM(IFERROR(VLOOKUP($C:$C,Structure!$A:$AJ,W$1,0)*$D4,0),IFERROR(VLOOKUP($E:$E,Structure!$A:$AJ,W$1,0)*$F4,0),IFERROR(VLOOKUP($G:$G,Structure!$A:$AJ,W$1,0)*$H4,0))</f>
        <v>0</v>
      </c>
      <c r="X4" s="9">
        <f>SUM(IFERROR(VLOOKUP($C:$C,Structure!$A:$AJ,X$1,0)*$D4,0),IFERROR(VLOOKUP($E:$E,Structure!$A:$AJ,X$1,0)*$F4,0),IFERROR(VLOOKUP($G:$G,Structure!$A:$AJ,X$1,0)*$H4,0))</f>
        <v>0</v>
      </c>
      <c r="Y4" s="9">
        <f>SUM(IFERROR(VLOOKUP($C:$C,Structure!$A:$AJ,Y$1,0)*$D4,0),IFERROR(VLOOKUP($E:$E,Structure!$A:$AJ,Y$1,0)*$F4,0),IFERROR(VLOOKUP($G:$G,Structure!$A:$AJ,Y$1,0)*$H4,0))</f>
        <v>0</v>
      </c>
      <c r="Z4" s="9">
        <f>SUM(IFERROR(VLOOKUP($C:$C,Structure!$A:$AJ,Z$1,0)*$D4,0),IFERROR(VLOOKUP($E:$E,Structure!$A:$AJ,Z$1,0)*$F4,0),IFERROR(VLOOKUP($G:$G,Structure!$A:$AJ,Z$1,0)*$H4,0))</f>
        <v>0</v>
      </c>
      <c r="AA4" s="9">
        <f>SUM(IFERROR(VLOOKUP($C:$C,Structure!$A:$AJ,AA$1,0)*$D4,0),IFERROR(VLOOKUP($E:$E,Structure!$A:$AJ,AA$1,0)*$F4,0),IFERROR(VLOOKUP($G:$G,Structure!$A:$AJ,AA$1,0)*$H4,0))</f>
        <v>0</v>
      </c>
      <c r="AB4" s="9">
        <f>SUM(IFERROR(VLOOKUP($C:$C,Structure!$A:$AJ,AB$1,0)*$D4,0),IFERROR(VLOOKUP($E:$E,Structure!$A:$AJ,AB$1,0)*$F4,0),IFERROR(VLOOKUP($G:$G,Structure!$A:$AJ,AB$1,0)*$H4,0))</f>
        <v>0</v>
      </c>
      <c r="AC4" s="9">
        <f>SUM(IFERROR(VLOOKUP($C:$C,Structure!$A:$AJ,AC$1,0)*$D4,0),IFERROR(VLOOKUP($E:$E,Structure!$A:$AJ,AC$1,0)*$F4,0),IFERROR(VLOOKUP($G:$G,Structure!$A:$AJ,AC$1,0)*$H4,0))</f>
        <v>0</v>
      </c>
      <c r="AD4" s="9">
        <f>SUM(IFERROR(VLOOKUP($C:$C,Structure!$A:$AJ,AD$1,0)*$D4,0),IFERROR(VLOOKUP($E:$E,Structure!$A:$AJ,AD$1,0)*$F4,0),IFERROR(VLOOKUP($G:$G,Structure!$A:$AJ,AD$1,0)*$H4,0))</f>
        <v>0</v>
      </c>
      <c r="AE4" s="9">
        <f>SUM(IFERROR(VLOOKUP($C:$C,Structure!$A:$AJ,AE$1,0)*$D4,0),IFERROR(VLOOKUP($E:$E,Structure!$A:$AJ,AE$1,0)*$F4,0),IFERROR(VLOOKUP($G:$G,Structure!$A:$AJ,AE$1,0)*$H4,0))</f>
        <v>0</v>
      </c>
      <c r="AF4" s="9">
        <f>SUM(IFERROR(VLOOKUP($C:$C,Structure!$A:$AJ,AF$1,0)*$D4,0),IFERROR(VLOOKUP($E:$E,Structure!$A:$AJ,AF$1,0)*$F4,0),IFERROR(VLOOKUP($G:$G,Structure!$A:$AJ,AF$1,0)*$H4,0))</f>
        <v>0</v>
      </c>
      <c r="AG4" s="9">
        <f>SUM(IFERROR(VLOOKUP($C:$C,Structure!$A:$AJ,AG$1,0)*$D4,0),IFERROR(VLOOKUP($E:$E,Structure!$A:$AJ,AG$1,0)*$F4,0),IFERROR(VLOOKUP($G:$G,Structure!$A:$AJ,AG$1,0)*$H4,0))</f>
        <v>0</v>
      </c>
      <c r="AH4" s="9">
        <f>SUM(IFERROR(VLOOKUP($C:$C,Structure!$A:$AJ,AH$1,0)*$D4,0),IFERROR(VLOOKUP($E:$E,Structure!$A:$AJ,AH$1,0)*$F4,0),IFERROR(VLOOKUP($G:$G,Structure!$A:$AJ,AH$1,0)*$H4,0))</f>
        <v>0</v>
      </c>
      <c r="AI4" s="9">
        <f>SUM(IFERROR(VLOOKUP($C:$C,Structure!$A:$AJ,AI$1,0)*$D4,0),IFERROR(VLOOKUP($E:$E,Structure!$A:$AJ,AI$1,0)*$F4,0),IFERROR(VLOOKUP($G:$G,Structure!$A:$AJ,AI$1,0)*$H4,0))</f>
        <v>0</v>
      </c>
      <c r="AJ4" s="9">
        <f>SUM(IFERROR(VLOOKUP($C:$C,Structure!$A:$AJ,AJ$1,0)*$D4,0),IFERROR(VLOOKUP($E:$E,Structure!$A:$AJ,AJ$1,0)*$F4,0),IFERROR(VLOOKUP($G:$G,Structure!$A:$AJ,AJ$1,0)*$H4,0))</f>
        <v>0</v>
      </c>
      <c r="AK4" s="9">
        <f>SUM(IFERROR(VLOOKUP($C:$C,Structure!$A:$AJ,AK$1,0)*$D4,0),IFERROR(VLOOKUP($E:$E,Structure!$A:$AJ,AK$1,0)*$F4,0),IFERROR(VLOOKUP($G:$G,Structure!$A:$AJ,AK$1,0)*$H4,0))</f>
        <v>0</v>
      </c>
      <c r="AL4" s="9">
        <f>SUM(IFERROR(VLOOKUP($C:$C,Structure!$A:$AJ,AL$1,0)*$D4,0),IFERROR(VLOOKUP($E:$E,Structure!$A:$AJ,AL$1,0)*$F4,0),IFERROR(VLOOKUP($G:$G,Structure!$A:$AJ,AL$1,0)*$H4,0))</f>
        <v>0</v>
      </c>
      <c r="AM4" s="9">
        <f>SUM(IFERROR(VLOOKUP($C:$C,Structure!$A:$AJ,AM$1,0)*$D4,0),IFERROR(VLOOKUP($E:$E,Structure!$A:$AJ,AM$1,0)*$F4,0),IFERROR(VLOOKUP($G:$G,Structure!$A:$AJ,AM$1,0)*$H4,0))</f>
        <v>0</v>
      </c>
      <c r="AN4" s="9">
        <f>SUM(IFERROR(VLOOKUP($C:$C,Structure!$A:$AJ,AN$1,0)*$D4,0),IFERROR(VLOOKUP($E:$E,Structure!$A:$AJ,AN$1,0)*$F4,0),IFERROR(VLOOKUP($G:$G,Structure!$A:$AJ,AN$1,0)*$H4,0))</f>
        <v>0</v>
      </c>
      <c r="AO4" s="9">
        <f>SUM(IFERROR(VLOOKUP($C:$C,Structure!$A:$AJ,AO$1,0)*$D4,0),IFERROR(VLOOKUP($E:$E,Structure!$A:$AJ,AO$1,0)*$F4,0),IFERROR(VLOOKUP($G:$G,Structure!$A:$AJ,AO$1,0)*$H4,0))</f>
        <v>0</v>
      </c>
      <c r="AP4" s="9">
        <f>SUM(IFERROR(VLOOKUP($C:$C,Structure!$A:$AJ,AP$1,0)*$D4,0),IFERROR(VLOOKUP($E:$E,Structure!$A:$AJ,AP$1,0)*$F4,0),IFERROR(VLOOKUP($G:$G,Structure!$A:$AJ,AP$1,0)*$H4,0))</f>
        <v>0</v>
      </c>
      <c r="AQ4" s="9">
        <f>SUM(IFERROR(VLOOKUP($C:$C,Structure!$A:$AJ,AQ$1,0)*$D4,0),IFERROR(VLOOKUP($E:$E,Structure!$A:$AJ,AQ$1,0)*$F4,0),IFERROR(VLOOKUP($G:$G,Structure!$A:$AJ,AQ$1,0)*$H4,0))</f>
        <v>0</v>
      </c>
      <c r="AR4" s="20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10">
        <f t="shared" ref="CD4" si="0">CD1+CD2+AU1+AU2-I4</f>
        <v>0</v>
      </c>
      <c r="CE4" s="10">
        <f t="shared" ref="CE4" si="1">CE1+CE2+AV1+AV2-J4</f>
        <v>85</v>
      </c>
      <c r="CF4" s="10">
        <f t="shared" ref="CF4" si="2">CF1+CF2+AW1+AW2-K4</f>
        <v>4</v>
      </c>
      <c r="CG4" s="10">
        <f t="shared" ref="CG4" si="3">CG1+CG2+AX1+AX2-L4</f>
        <v>23</v>
      </c>
      <c r="CH4" s="10">
        <f t="shared" ref="CH4" si="4">CH1+CH2+AY1+AY2-M4</f>
        <v>1</v>
      </c>
      <c r="CI4" s="10">
        <f t="shared" ref="CI4" si="5">CI1+CI2+AZ1+AZ2-N4</f>
        <v>1</v>
      </c>
      <c r="CJ4" s="10">
        <f t="shared" ref="CJ4" si="6">CJ1+CJ2+BA1+BA2-O4</f>
        <v>61</v>
      </c>
      <c r="CK4" s="10">
        <f t="shared" ref="CK4" si="7">CK1+CK2+BB1+BB2-P4</f>
        <v>264</v>
      </c>
      <c r="CL4" s="10">
        <f t="shared" ref="CL4" si="8">CL1+CL2+BC1+BC2-Q4</f>
        <v>0</v>
      </c>
      <c r="CM4" s="10">
        <f t="shared" ref="CM4" si="9">CM1+CM2+BD1+BD2-R4</f>
        <v>4</v>
      </c>
      <c r="CN4" s="10">
        <f t="shared" ref="CN4" si="10">CN1+CN2+BE1+BE2-S4</f>
        <v>49</v>
      </c>
      <c r="CO4" s="10">
        <f t="shared" ref="CO4" si="11">CO1+CO2+BF1+BF2-T4</f>
        <v>0</v>
      </c>
      <c r="CP4" s="10">
        <f t="shared" ref="CP4" si="12">CP1+CP2+BG1+BG2-U4</f>
        <v>5</v>
      </c>
      <c r="CQ4" s="10">
        <f t="shared" ref="CQ4" si="13">CQ1+CQ2+BH1+BH2-V4</f>
        <v>63</v>
      </c>
      <c r="CR4" s="10">
        <f t="shared" ref="CR4" si="14">CR1+CR2+BI1+BI2-W4</f>
        <v>34</v>
      </c>
      <c r="CS4" s="10">
        <f t="shared" ref="CS4" si="15">CS1+CS2+BJ1+BJ2-X4</f>
        <v>0</v>
      </c>
      <c r="CT4" s="10">
        <f t="shared" ref="CT4" si="16">CT1+CT2+BK1+BK2-Y4</f>
        <v>0</v>
      </c>
      <c r="CU4" s="10">
        <f t="shared" ref="CU4" si="17">CU1+CU2+BL1+BL2-Z4</f>
        <v>0</v>
      </c>
      <c r="CV4" s="10">
        <f t="shared" ref="CV4" si="18">CV1+CV2+BM1+BM2-AA4</f>
        <v>0</v>
      </c>
      <c r="CW4" s="10">
        <f t="shared" ref="CW4" si="19">CW1+CW2+BN1+BN2-AB4</f>
        <v>0</v>
      </c>
      <c r="CX4" s="10">
        <f>CX1+CX2+BO1+BO2-AC4</f>
        <v>83</v>
      </c>
      <c r="CY4" s="10">
        <f t="shared" ref="CY4" si="20">CY1+CY2+BP1+BP2-AD4</f>
        <v>0</v>
      </c>
      <c r="CZ4" s="10">
        <f t="shared" ref="CZ4:DL4" si="21">CZ1+CZ2+BQ1+BQ2-AE4</f>
        <v>0</v>
      </c>
      <c r="DA4" s="10">
        <f t="shared" si="21"/>
        <v>0</v>
      </c>
      <c r="DB4" s="10">
        <f t="shared" si="21"/>
        <v>0</v>
      </c>
      <c r="DC4" s="10">
        <f t="shared" si="21"/>
        <v>0</v>
      </c>
      <c r="DD4" s="10">
        <f t="shared" si="21"/>
        <v>0</v>
      </c>
      <c r="DE4" s="10">
        <f t="shared" si="21"/>
        <v>0</v>
      </c>
      <c r="DF4" s="10">
        <f t="shared" si="21"/>
        <v>0</v>
      </c>
      <c r="DG4" s="10">
        <f t="shared" si="21"/>
        <v>0</v>
      </c>
      <c r="DH4" s="10">
        <f t="shared" si="21"/>
        <v>0</v>
      </c>
      <c r="DI4" s="10">
        <f t="shared" si="21"/>
        <v>0</v>
      </c>
      <c r="DJ4" s="10">
        <f t="shared" si="21"/>
        <v>0</v>
      </c>
      <c r="DK4" s="10">
        <f t="shared" si="21"/>
        <v>0</v>
      </c>
      <c r="DL4" s="10">
        <f t="shared" si="21"/>
        <v>0</v>
      </c>
    </row>
    <row r="5" spans="1:116" ht="15.75" customHeight="1" x14ac:dyDescent="0.25">
      <c r="A5" s="5">
        <v>46183</v>
      </c>
      <c r="B5" s="6">
        <v>0.35416666667151731</v>
      </c>
      <c r="C5" s="3"/>
      <c r="D5" s="3"/>
      <c r="E5" s="3" t="s">
        <v>30</v>
      </c>
      <c r="F5" s="3">
        <v>8</v>
      </c>
      <c r="G5" s="3"/>
      <c r="H5" s="9"/>
      <c r="I5" s="9">
        <f>SUM(IFERROR(VLOOKUP($C:$C,Structure!$A:$AJ,I$1,0)*$D5,0),IFERROR(VLOOKUP($E:$E,Structure!$A:$AJ,I$1,0)*$F5,0),IFERROR(VLOOKUP($G:$G,Structure!$A:$AJ,I$1,0)*$H5,0))</f>
        <v>0</v>
      </c>
      <c r="J5" s="9">
        <f>SUM(IFERROR(VLOOKUP($C:$C,Structure!$A:$AJ,J$1,0)*$D5,0),IFERROR(VLOOKUP($E:$E,Structure!$A:$AJ,J$1,0)*$F5,0),IFERROR(VLOOKUP($G:$G,Structure!$A:$AJ,J$1,0)*$H5,0))</f>
        <v>0</v>
      </c>
      <c r="K5" s="9">
        <f>SUM(IFERROR(VLOOKUP($C:$C,Structure!$A:$AJ,K$1,0)*$D5,0),IFERROR(VLOOKUP($E:$E,Structure!$A:$AJ,K$1,0)*$F5,0),IFERROR(VLOOKUP($G:$G,Structure!$A:$AJ,K$1,0)*$H5,0))</f>
        <v>0</v>
      </c>
      <c r="L5" s="9">
        <f>SUM(IFERROR(VLOOKUP($C:$C,Structure!$A:$AJ,L$1,0)*$D5,0),IFERROR(VLOOKUP($E:$E,Structure!$A:$AJ,L$1,0)*$F5,0),IFERROR(VLOOKUP($G:$G,Structure!$A:$AJ,L$1,0)*$H5,0))</f>
        <v>0</v>
      </c>
      <c r="M5" s="9">
        <f>SUM(IFERROR(VLOOKUP($C:$C,Structure!$A:$AJ,M$1,0)*$D5,0),IFERROR(VLOOKUP($E:$E,Structure!$A:$AJ,M$1,0)*$F5,0),IFERROR(VLOOKUP($G:$G,Structure!$A:$AJ,M$1,0)*$H5,0))</f>
        <v>0</v>
      </c>
      <c r="N5" s="9">
        <f>SUM(IFERROR(VLOOKUP($C:$C,Structure!$A:$AJ,N$1,0)*$D5,0),IFERROR(VLOOKUP($E:$E,Structure!$A:$AJ,N$1,0)*$F5,0),IFERROR(VLOOKUP($G:$G,Structure!$A:$AJ,N$1,0)*$H5,0))</f>
        <v>0</v>
      </c>
      <c r="O5" s="9">
        <f>SUM(IFERROR(VLOOKUP($C:$C,Structure!$A:$AJ,O$1,0)*$D5,0),IFERROR(VLOOKUP($E:$E,Structure!$A:$AJ,O$1,0)*$F5,0),IFERROR(VLOOKUP($G:$G,Structure!$A:$AJ,O$1,0)*$H5,0))</f>
        <v>0</v>
      </c>
      <c r="P5" s="9">
        <f>SUM(IFERROR(VLOOKUP($C:$C,Structure!$A:$AJ,P$1,0)*$D5,0),IFERROR(VLOOKUP($E:$E,Structure!$A:$AJ,P$1,0)*$F5,0),IFERROR(VLOOKUP($G:$G,Structure!$A:$AJ,P$1,0)*$H5,0))</f>
        <v>0</v>
      </c>
      <c r="Q5" s="9">
        <f>SUM(IFERROR(VLOOKUP($C:$C,Structure!$A:$AJ,Q$1,0)*$D5,0),IFERROR(VLOOKUP($E:$E,Structure!$A:$AJ,Q$1,0)*$F5,0),IFERROR(VLOOKUP($G:$G,Structure!$A:$AJ,Q$1,0)*$H5,0))</f>
        <v>0</v>
      </c>
      <c r="R5" s="9">
        <f>SUM(IFERROR(VLOOKUP($C:$C,Structure!$A:$AJ,R$1,0)*$D5,0),IFERROR(VLOOKUP($E:$E,Structure!$A:$AJ,R$1,0)*$F5,0),IFERROR(VLOOKUP($G:$G,Structure!$A:$AJ,R$1,0)*$H5,0))</f>
        <v>0</v>
      </c>
      <c r="S5" s="9">
        <f>SUM(IFERROR(VLOOKUP($C:$C,Structure!$A:$AJ,S$1,0)*$D5,0),IFERROR(VLOOKUP($E:$E,Structure!$A:$AJ,S$1,0)*$F5,0),IFERROR(VLOOKUP($G:$G,Structure!$A:$AJ,S$1,0)*$H5,0))</f>
        <v>0</v>
      </c>
      <c r="T5" s="9">
        <f>SUM(IFERROR(VLOOKUP($C:$C,Structure!$A:$AJ,T$1,0)*$D5,0),IFERROR(VLOOKUP($E:$E,Structure!$A:$AJ,T$1,0)*$F5,0),IFERROR(VLOOKUP($G:$G,Structure!$A:$AJ,T$1,0)*$H5,0))</f>
        <v>0</v>
      </c>
      <c r="U5" s="9">
        <f>SUM(IFERROR(VLOOKUP($C:$C,Structure!$A:$AJ,U$1,0)*$D5,0),IFERROR(VLOOKUP($E:$E,Structure!$A:$AJ,U$1,0)*$F5,0),IFERROR(VLOOKUP($G:$G,Structure!$A:$AJ,U$1,0)*$H5,0))</f>
        <v>0</v>
      </c>
      <c r="V5" s="9">
        <f>SUM(IFERROR(VLOOKUP($C:$C,Structure!$A:$AJ,V$1,0)*$D5,0),IFERROR(VLOOKUP($E:$E,Structure!$A:$AJ,V$1,0)*$F5,0),IFERROR(VLOOKUP($G:$G,Structure!$A:$AJ,V$1,0)*$H5,0))</f>
        <v>8</v>
      </c>
      <c r="W5" s="9">
        <f>SUM(IFERROR(VLOOKUP($C:$C,Structure!$A:$AJ,W$1,0)*$D5,0),IFERROR(VLOOKUP($E:$E,Structure!$A:$AJ,W$1,0)*$F5,0),IFERROR(VLOOKUP($G:$G,Structure!$A:$AJ,W$1,0)*$H5,0))</f>
        <v>0</v>
      </c>
      <c r="X5" s="9">
        <f>SUM(IFERROR(VLOOKUP($C:$C,Structure!$A:$AJ,X$1,0)*$D5,0),IFERROR(VLOOKUP($E:$E,Structure!$A:$AJ,X$1,0)*$F5,0),IFERROR(VLOOKUP($G:$G,Structure!$A:$AJ,X$1,0)*$H5,0))</f>
        <v>0</v>
      </c>
      <c r="Y5" s="9">
        <f>SUM(IFERROR(VLOOKUP($C:$C,Structure!$A:$AJ,Y$1,0)*$D5,0),IFERROR(VLOOKUP($E:$E,Structure!$A:$AJ,Y$1,0)*$F5,0),IFERROR(VLOOKUP($G:$G,Structure!$A:$AJ,Y$1,0)*$H5,0))</f>
        <v>0</v>
      </c>
      <c r="Z5" s="9">
        <f>SUM(IFERROR(VLOOKUP($C:$C,Structure!$A:$AJ,Z$1,0)*$D5,0),IFERROR(VLOOKUP($E:$E,Structure!$A:$AJ,Z$1,0)*$F5,0),IFERROR(VLOOKUP($G:$G,Structure!$A:$AJ,Z$1,0)*$H5,0))</f>
        <v>0</v>
      </c>
      <c r="AA5" s="9">
        <f>SUM(IFERROR(VLOOKUP($C:$C,Structure!$A:$AJ,AA$1,0)*$D5,0),IFERROR(VLOOKUP($E:$E,Structure!$A:$AJ,AA$1,0)*$F5,0),IFERROR(VLOOKUP($G:$G,Structure!$A:$AJ,AA$1,0)*$H5,0))</f>
        <v>0</v>
      </c>
      <c r="AB5" s="9">
        <f>SUM(IFERROR(VLOOKUP($C:$C,Structure!$A:$AJ,AB$1,0)*$D5,0),IFERROR(VLOOKUP($E:$E,Structure!$A:$AJ,AB$1,0)*$F5,0),IFERROR(VLOOKUP($G:$G,Structure!$A:$AJ,AB$1,0)*$H5,0))</f>
        <v>0</v>
      </c>
      <c r="AC5" s="9">
        <f>SUM(IFERROR(VLOOKUP($C:$C,Structure!$A:$AJ,AC$1,0)*$D5,0),IFERROR(VLOOKUP($E:$E,Structure!$A:$AJ,AC$1,0)*$F5,0),IFERROR(VLOOKUP($G:$G,Structure!$A:$AJ,AC$1,0)*$H5,0))</f>
        <v>8</v>
      </c>
      <c r="AD5" s="9">
        <f>SUM(IFERROR(VLOOKUP($C:$C,Structure!$A:$AJ,AD$1,0)*$D5,0),IFERROR(VLOOKUP($E:$E,Structure!$A:$AJ,AD$1,0)*$F5,0),IFERROR(VLOOKUP($G:$G,Structure!$A:$AJ,AD$1,0)*$H5,0))</f>
        <v>0</v>
      </c>
      <c r="AE5" s="9">
        <f>SUM(IFERROR(VLOOKUP($C:$C,Structure!$A:$AJ,AE$1,0)*$D5,0),IFERROR(VLOOKUP($E:$E,Structure!$A:$AJ,AE$1,0)*$F5,0),IFERROR(VLOOKUP($G:$G,Structure!$A:$AJ,AE$1,0)*$H5,0))</f>
        <v>0</v>
      </c>
      <c r="AF5" s="9">
        <f>SUM(IFERROR(VLOOKUP($C:$C,Structure!$A:$AJ,AF$1,0)*$D5,0),IFERROR(VLOOKUP($E:$E,Structure!$A:$AJ,AF$1,0)*$F5,0),IFERROR(VLOOKUP($G:$G,Structure!$A:$AJ,AF$1,0)*$H5,0))</f>
        <v>0</v>
      </c>
      <c r="AG5" s="9">
        <f>SUM(IFERROR(VLOOKUP($C:$C,Structure!$A:$AJ,AG$1,0)*$D5,0),IFERROR(VLOOKUP($E:$E,Structure!$A:$AJ,AG$1,0)*$F5,0),IFERROR(VLOOKUP($G:$G,Structure!$A:$AJ,AG$1,0)*$H5,0))</f>
        <v>0</v>
      </c>
      <c r="AH5" s="9">
        <f>SUM(IFERROR(VLOOKUP($C:$C,Structure!$A:$AJ,AH$1,0)*$D5,0),IFERROR(VLOOKUP($E:$E,Structure!$A:$AJ,AH$1,0)*$F5,0),IFERROR(VLOOKUP($G:$G,Structure!$A:$AJ,AH$1,0)*$H5,0))</f>
        <v>0</v>
      </c>
      <c r="AI5" s="9">
        <f>SUM(IFERROR(VLOOKUP($C:$C,Structure!$A:$AJ,AI$1,0)*$D5,0),IFERROR(VLOOKUP($E:$E,Structure!$A:$AJ,AI$1,0)*$F5,0),IFERROR(VLOOKUP($G:$G,Structure!$A:$AJ,AI$1,0)*$H5,0))</f>
        <v>0</v>
      </c>
      <c r="AJ5" s="9">
        <f>SUM(IFERROR(VLOOKUP($C:$C,Structure!$A:$AJ,AJ$1,0)*$D5,0),IFERROR(VLOOKUP($E:$E,Structure!$A:$AJ,AJ$1,0)*$F5,0),IFERROR(VLOOKUP($G:$G,Structure!$A:$AJ,AJ$1,0)*$H5,0))</f>
        <v>0</v>
      </c>
      <c r="AK5" s="9">
        <f>SUM(IFERROR(VLOOKUP($C:$C,Structure!$A:$AJ,AK$1,0)*$D5,0),IFERROR(VLOOKUP($E:$E,Structure!$A:$AJ,AK$1,0)*$F5,0),IFERROR(VLOOKUP($G:$G,Structure!$A:$AJ,AK$1,0)*$H5,0))</f>
        <v>0</v>
      </c>
      <c r="AL5" s="9">
        <f>SUM(IFERROR(VLOOKUP($C:$C,Structure!$A:$AJ,AL$1,0)*$D5,0),IFERROR(VLOOKUP($E:$E,Structure!$A:$AJ,AL$1,0)*$F5,0),IFERROR(VLOOKUP($G:$G,Structure!$A:$AJ,AL$1,0)*$H5,0))</f>
        <v>0</v>
      </c>
      <c r="AM5" s="9">
        <f>SUM(IFERROR(VLOOKUP($C:$C,Structure!$A:$AJ,AM$1,0)*$D5,0),IFERROR(VLOOKUP($E:$E,Structure!$A:$AJ,AM$1,0)*$F5,0),IFERROR(VLOOKUP($G:$G,Structure!$A:$AJ,AM$1,0)*$H5,0))</f>
        <v>0</v>
      </c>
      <c r="AN5" s="9">
        <f>SUM(IFERROR(VLOOKUP($C:$C,Structure!$A:$AJ,AN$1,0)*$D5,0),IFERROR(VLOOKUP($E:$E,Structure!$A:$AJ,AN$1,0)*$F5,0),IFERROR(VLOOKUP($G:$G,Structure!$A:$AJ,AN$1,0)*$H5,0))</f>
        <v>0</v>
      </c>
      <c r="AO5" s="9">
        <f>SUM(IFERROR(VLOOKUP($C:$C,Structure!$A:$AJ,AO$1,0)*$D5,0),IFERROR(VLOOKUP($E:$E,Structure!$A:$AJ,AO$1,0)*$F5,0),IFERROR(VLOOKUP($G:$G,Structure!$A:$AJ,AO$1,0)*$H5,0))</f>
        <v>0</v>
      </c>
      <c r="AP5" s="9">
        <f>SUM(IFERROR(VLOOKUP($C:$C,Structure!$A:$AJ,AP$1,0)*$D5,0),IFERROR(VLOOKUP($E:$E,Structure!$A:$AJ,AP$1,0)*$F5,0),IFERROR(VLOOKUP($G:$G,Structure!$A:$AJ,AP$1,0)*$H5,0))</f>
        <v>0</v>
      </c>
      <c r="AQ5" s="9">
        <f>SUM(IFERROR(VLOOKUP($C:$C,Structure!$A:$AJ,AQ$1,0)*$D5,0),IFERROR(VLOOKUP($E:$E,Structure!$A:$AJ,AQ$1,0)*$F5,0),IFERROR(VLOOKUP($G:$G,Structure!$A:$AJ,AQ$1,0)*$H5,0))</f>
        <v>0</v>
      </c>
      <c r="AR5" s="21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4">
        <f t="shared" ref="CD5:CD36" si="22">CD4+AU5-I5</f>
        <v>0</v>
      </c>
      <c r="CE5" s="4">
        <f t="shared" ref="CE5:CE36" si="23">CE4+AV5-J5</f>
        <v>85</v>
      </c>
      <c r="CF5" s="4">
        <f t="shared" ref="CF5:CF36" si="24">CF4+AW5-K5</f>
        <v>4</v>
      </c>
      <c r="CG5" s="4">
        <f t="shared" ref="CG5:CG36" si="25">CG4+AX5-L5</f>
        <v>23</v>
      </c>
      <c r="CH5" s="4">
        <f t="shared" ref="CH5:CH36" si="26">CH4+AY5-M5</f>
        <v>1</v>
      </c>
      <c r="CI5" s="4">
        <f t="shared" ref="CI5:CI36" si="27">CI4+AZ5-N5</f>
        <v>1</v>
      </c>
      <c r="CJ5" s="4">
        <f t="shared" ref="CJ5:CJ36" si="28">CJ4+BA5-O5</f>
        <v>61</v>
      </c>
      <c r="CK5" s="4">
        <f t="shared" ref="CK5:CK36" si="29">CK4+BB5-P5</f>
        <v>264</v>
      </c>
      <c r="CL5" s="4">
        <f t="shared" ref="CL5:CL36" si="30">CL4+BC5-Q5</f>
        <v>0</v>
      </c>
      <c r="CM5" s="4">
        <f t="shared" ref="CM5:CM36" si="31">CM4+BD5-R5</f>
        <v>4</v>
      </c>
      <c r="CN5" s="4">
        <f t="shared" ref="CN5:CN36" si="32">CN4+BE5-S5</f>
        <v>49</v>
      </c>
      <c r="CO5" s="4">
        <f t="shared" ref="CO5:CO36" si="33">CO4+BF5-T5</f>
        <v>0</v>
      </c>
      <c r="CP5" s="4">
        <f t="shared" ref="CP5:CP36" si="34">CP4+BG5-U5</f>
        <v>5</v>
      </c>
      <c r="CQ5" s="4">
        <f t="shared" ref="CQ5:CQ36" si="35">CQ4+BH5-V5</f>
        <v>55</v>
      </c>
      <c r="CR5" s="4">
        <f t="shared" ref="CR5:CR36" si="36">CR4+BI5-W5</f>
        <v>34</v>
      </c>
      <c r="CS5" s="4">
        <f t="shared" ref="CS5:CS36" si="37">CS4+BJ5-X5</f>
        <v>0</v>
      </c>
      <c r="CT5" s="4">
        <f t="shared" ref="CT5:CT36" si="38">CT4+BK5-Y5</f>
        <v>0</v>
      </c>
      <c r="CU5" s="4">
        <f t="shared" ref="CU5:CU36" si="39">CU4+BL5-Z5</f>
        <v>0</v>
      </c>
      <c r="CV5" s="4">
        <f t="shared" ref="CV5:CV36" si="40">CV4+BM5-AA5</f>
        <v>0</v>
      </c>
      <c r="CW5" s="4">
        <f t="shared" ref="CW5:CW36" si="41">CW4+BN5-AB5</f>
        <v>0</v>
      </c>
      <c r="CX5" s="4">
        <f t="shared" ref="CX5:CX36" si="42">CX4+BO5-AC5</f>
        <v>75</v>
      </c>
      <c r="CY5" s="4">
        <f t="shared" ref="CY5:CY36" si="43">CY4+BP5-AD5</f>
        <v>0</v>
      </c>
      <c r="CZ5" s="4">
        <f t="shared" ref="CZ5:CZ36" si="44">CZ4+BQ5-AE5</f>
        <v>0</v>
      </c>
      <c r="DA5" s="4">
        <f t="shared" ref="DA5:DA36" si="45">DA4+BR5-AF5</f>
        <v>0</v>
      </c>
      <c r="DB5" s="4">
        <f t="shared" ref="DB5:DB36" si="46">DB4+BS5-AG5</f>
        <v>0</v>
      </c>
      <c r="DC5" s="4">
        <f t="shared" ref="DC5:DC36" si="47">DC4+BT5-AH5</f>
        <v>0</v>
      </c>
      <c r="DD5" s="4">
        <f t="shared" ref="DD5:DD36" si="48">DD4+BU5-AI5</f>
        <v>0</v>
      </c>
      <c r="DE5" s="4">
        <f t="shared" ref="DE5:DE36" si="49">DE4+BV5-AJ5</f>
        <v>0</v>
      </c>
      <c r="DF5" s="4">
        <f t="shared" ref="DF5:DF36" si="50">DF4+BW5-AK5</f>
        <v>0</v>
      </c>
      <c r="DG5" s="4">
        <f t="shared" ref="DG5:DG36" si="51">DG4+BX5-AL5</f>
        <v>0</v>
      </c>
      <c r="DH5" s="4">
        <f t="shared" ref="DH5:DH36" si="52">DH4+BY5-AM5</f>
        <v>0</v>
      </c>
      <c r="DI5" s="4">
        <f t="shared" ref="DI5:DI36" si="53">DI4+BZ5-AN5</f>
        <v>0</v>
      </c>
      <c r="DJ5" s="4">
        <f t="shared" ref="DJ5:DJ36" si="54">DJ4+CA5-AO5</f>
        <v>0</v>
      </c>
      <c r="DK5" s="4">
        <f t="shared" ref="DK5:DK36" si="55">DK4+CB5-AP5</f>
        <v>0</v>
      </c>
      <c r="DL5" s="4">
        <f t="shared" ref="DL5:DL36" si="56">DL4+CC5-AQ5</f>
        <v>0</v>
      </c>
    </row>
    <row r="6" spans="1:116" x14ac:dyDescent="0.25">
      <c r="A6" s="5">
        <v>46183</v>
      </c>
      <c r="B6" s="6">
        <v>0.37500000000727596</v>
      </c>
      <c r="C6" s="3"/>
      <c r="D6" s="3"/>
      <c r="E6" s="3" t="s">
        <v>30</v>
      </c>
      <c r="F6" s="3">
        <v>8</v>
      </c>
      <c r="G6" s="3"/>
      <c r="H6" s="9"/>
      <c r="I6" s="9">
        <f>SUM(IFERROR(VLOOKUP($C:$C,Structure!$A:$AJ,I$1,0)*$D6,0),IFERROR(VLOOKUP($E:$E,Structure!$A:$AJ,I$1,0)*$F6,0),IFERROR(VLOOKUP($G:$G,Structure!$A:$AJ,I$1,0)*$H6,0))</f>
        <v>0</v>
      </c>
      <c r="J6" s="9">
        <f>SUM(IFERROR(VLOOKUP($C:$C,Structure!$A:$AJ,J$1,0)*$D6,0),IFERROR(VLOOKUP($E:$E,Structure!$A:$AJ,J$1,0)*$F6,0),IFERROR(VLOOKUP($G:$G,Structure!$A:$AJ,J$1,0)*$H6,0))</f>
        <v>0</v>
      </c>
      <c r="K6" s="9">
        <f>SUM(IFERROR(VLOOKUP($C:$C,Structure!$A:$AJ,K$1,0)*$D6,0),IFERROR(VLOOKUP($E:$E,Structure!$A:$AJ,K$1,0)*$F6,0),IFERROR(VLOOKUP($G:$G,Structure!$A:$AJ,K$1,0)*$H6,0))</f>
        <v>0</v>
      </c>
      <c r="L6" s="9">
        <f>SUM(IFERROR(VLOOKUP($C:$C,Structure!$A:$AJ,L$1,0)*$D6,0),IFERROR(VLOOKUP($E:$E,Structure!$A:$AJ,L$1,0)*$F6,0),IFERROR(VLOOKUP($G:$G,Structure!$A:$AJ,L$1,0)*$H6,0))</f>
        <v>0</v>
      </c>
      <c r="M6" s="9">
        <f>SUM(IFERROR(VLOOKUP($C:$C,Structure!$A:$AJ,M$1,0)*$D6,0),IFERROR(VLOOKUP($E:$E,Structure!$A:$AJ,M$1,0)*$F6,0),IFERROR(VLOOKUP($G:$G,Structure!$A:$AJ,M$1,0)*$H6,0))</f>
        <v>0</v>
      </c>
      <c r="N6" s="9">
        <f>SUM(IFERROR(VLOOKUP($C:$C,Structure!$A:$AJ,N$1,0)*$D6,0),IFERROR(VLOOKUP($E:$E,Structure!$A:$AJ,N$1,0)*$F6,0),IFERROR(VLOOKUP($G:$G,Structure!$A:$AJ,N$1,0)*$H6,0))</f>
        <v>0</v>
      </c>
      <c r="O6" s="9">
        <f>SUM(IFERROR(VLOOKUP($C:$C,Structure!$A:$AJ,O$1,0)*$D6,0),IFERROR(VLOOKUP($E:$E,Structure!$A:$AJ,O$1,0)*$F6,0),IFERROR(VLOOKUP($G:$G,Structure!$A:$AJ,O$1,0)*$H6,0))</f>
        <v>0</v>
      </c>
      <c r="P6" s="9">
        <f>SUM(IFERROR(VLOOKUP($C:$C,Structure!$A:$AJ,P$1,0)*$D6,0),IFERROR(VLOOKUP($E:$E,Structure!$A:$AJ,P$1,0)*$F6,0),IFERROR(VLOOKUP($G:$G,Structure!$A:$AJ,P$1,0)*$H6,0))</f>
        <v>0</v>
      </c>
      <c r="Q6" s="9">
        <f>SUM(IFERROR(VLOOKUP($C:$C,Structure!$A:$AJ,Q$1,0)*$D6,0),IFERROR(VLOOKUP($E:$E,Structure!$A:$AJ,Q$1,0)*$F6,0),IFERROR(VLOOKUP($G:$G,Structure!$A:$AJ,Q$1,0)*$H6,0))</f>
        <v>0</v>
      </c>
      <c r="R6" s="9">
        <f>SUM(IFERROR(VLOOKUP($C:$C,Structure!$A:$AJ,R$1,0)*$D6,0),IFERROR(VLOOKUP($E:$E,Structure!$A:$AJ,R$1,0)*$F6,0),IFERROR(VLOOKUP($G:$G,Structure!$A:$AJ,R$1,0)*$H6,0))</f>
        <v>0</v>
      </c>
      <c r="S6" s="9">
        <f>SUM(IFERROR(VLOOKUP($C:$C,Structure!$A:$AJ,S$1,0)*$D6,0),IFERROR(VLOOKUP($E:$E,Structure!$A:$AJ,S$1,0)*$F6,0),IFERROR(VLOOKUP($G:$G,Structure!$A:$AJ,S$1,0)*$H6,0))</f>
        <v>0</v>
      </c>
      <c r="T6" s="9">
        <f>SUM(IFERROR(VLOOKUP($C:$C,Structure!$A:$AJ,T$1,0)*$D6,0),IFERROR(VLOOKUP($E:$E,Structure!$A:$AJ,T$1,0)*$F6,0),IFERROR(VLOOKUP($G:$G,Structure!$A:$AJ,T$1,0)*$H6,0))</f>
        <v>0</v>
      </c>
      <c r="U6" s="9">
        <f>SUM(IFERROR(VLOOKUP($C:$C,Structure!$A:$AJ,U$1,0)*$D6,0),IFERROR(VLOOKUP($E:$E,Structure!$A:$AJ,U$1,0)*$F6,0),IFERROR(VLOOKUP($G:$G,Structure!$A:$AJ,U$1,0)*$H6,0))</f>
        <v>0</v>
      </c>
      <c r="V6" s="9">
        <f>SUM(IFERROR(VLOOKUP($C:$C,Structure!$A:$AJ,V$1,0)*$D6,0),IFERROR(VLOOKUP($E:$E,Structure!$A:$AJ,V$1,0)*$F6,0),IFERROR(VLOOKUP($G:$G,Structure!$A:$AJ,V$1,0)*$H6,0))</f>
        <v>8</v>
      </c>
      <c r="W6" s="9">
        <f>SUM(IFERROR(VLOOKUP($C:$C,Structure!$A:$AJ,W$1,0)*$D6,0),IFERROR(VLOOKUP($E:$E,Structure!$A:$AJ,W$1,0)*$F6,0),IFERROR(VLOOKUP($G:$G,Structure!$A:$AJ,W$1,0)*$H6,0))</f>
        <v>0</v>
      </c>
      <c r="X6" s="9">
        <f>SUM(IFERROR(VLOOKUP($C:$C,Structure!$A:$AJ,X$1,0)*$D6,0),IFERROR(VLOOKUP($E:$E,Structure!$A:$AJ,X$1,0)*$F6,0),IFERROR(VLOOKUP($G:$G,Structure!$A:$AJ,X$1,0)*$H6,0))</f>
        <v>0</v>
      </c>
      <c r="Y6" s="9">
        <f>SUM(IFERROR(VLOOKUP($C:$C,Structure!$A:$AJ,Y$1,0)*$D6,0),IFERROR(VLOOKUP($E:$E,Structure!$A:$AJ,Y$1,0)*$F6,0),IFERROR(VLOOKUP($G:$G,Structure!$A:$AJ,Y$1,0)*$H6,0))</f>
        <v>0</v>
      </c>
      <c r="Z6" s="9">
        <f>SUM(IFERROR(VLOOKUP($C:$C,Structure!$A:$AJ,Z$1,0)*$D6,0),IFERROR(VLOOKUP($E:$E,Structure!$A:$AJ,Z$1,0)*$F6,0),IFERROR(VLOOKUP($G:$G,Structure!$A:$AJ,Z$1,0)*$H6,0))</f>
        <v>0</v>
      </c>
      <c r="AA6" s="9">
        <f>SUM(IFERROR(VLOOKUP($C:$C,Structure!$A:$AJ,AA$1,0)*$D6,0),IFERROR(VLOOKUP($E:$E,Structure!$A:$AJ,AA$1,0)*$F6,0),IFERROR(VLOOKUP($G:$G,Structure!$A:$AJ,AA$1,0)*$H6,0))</f>
        <v>0</v>
      </c>
      <c r="AB6" s="9">
        <f>SUM(IFERROR(VLOOKUP($C:$C,Structure!$A:$AJ,AB$1,0)*$D6,0),IFERROR(VLOOKUP($E:$E,Structure!$A:$AJ,AB$1,0)*$F6,0),IFERROR(VLOOKUP($G:$G,Structure!$A:$AJ,AB$1,0)*$H6,0))</f>
        <v>0</v>
      </c>
      <c r="AC6" s="9">
        <f>SUM(IFERROR(VLOOKUP($C:$C,Structure!$A:$AJ,AC$1,0)*$D6,0),IFERROR(VLOOKUP($E:$E,Structure!$A:$AJ,AC$1,0)*$F6,0),IFERROR(VLOOKUP($G:$G,Structure!$A:$AJ,AC$1,0)*$H6,0))</f>
        <v>8</v>
      </c>
      <c r="AD6" s="9">
        <f>SUM(IFERROR(VLOOKUP($C:$C,Structure!$A:$AJ,AD$1,0)*$D6,0),IFERROR(VLOOKUP($E:$E,Structure!$A:$AJ,AD$1,0)*$F6,0),IFERROR(VLOOKUP($G:$G,Structure!$A:$AJ,AD$1,0)*$H6,0))</f>
        <v>0</v>
      </c>
      <c r="AE6" s="9">
        <f>SUM(IFERROR(VLOOKUP($C:$C,Structure!$A:$AJ,AE$1,0)*$D6,0),IFERROR(VLOOKUP($E:$E,Structure!$A:$AJ,AE$1,0)*$F6,0),IFERROR(VLOOKUP($G:$G,Structure!$A:$AJ,AE$1,0)*$H6,0))</f>
        <v>0</v>
      </c>
      <c r="AF6" s="9">
        <f>SUM(IFERROR(VLOOKUP($C:$C,Structure!$A:$AJ,AF$1,0)*$D6,0),IFERROR(VLOOKUP($E:$E,Structure!$A:$AJ,AF$1,0)*$F6,0),IFERROR(VLOOKUP($G:$G,Structure!$A:$AJ,AF$1,0)*$H6,0))</f>
        <v>0</v>
      </c>
      <c r="AG6" s="9">
        <f>SUM(IFERROR(VLOOKUP($C:$C,Structure!$A:$AJ,AG$1,0)*$D6,0),IFERROR(VLOOKUP($E:$E,Structure!$A:$AJ,AG$1,0)*$F6,0),IFERROR(VLOOKUP($G:$G,Structure!$A:$AJ,AG$1,0)*$H6,0))</f>
        <v>0</v>
      </c>
      <c r="AH6" s="9">
        <f>SUM(IFERROR(VLOOKUP($C:$C,Structure!$A:$AJ,AH$1,0)*$D6,0),IFERROR(VLOOKUP($E:$E,Structure!$A:$AJ,AH$1,0)*$F6,0),IFERROR(VLOOKUP($G:$G,Structure!$A:$AJ,AH$1,0)*$H6,0))</f>
        <v>0</v>
      </c>
      <c r="AI6" s="9">
        <f>SUM(IFERROR(VLOOKUP($C:$C,Structure!$A:$AJ,AI$1,0)*$D6,0),IFERROR(VLOOKUP($E:$E,Structure!$A:$AJ,AI$1,0)*$F6,0),IFERROR(VLOOKUP($G:$G,Structure!$A:$AJ,AI$1,0)*$H6,0))</f>
        <v>0</v>
      </c>
      <c r="AJ6" s="9">
        <f>SUM(IFERROR(VLOOKUP($C:$C,Structure!$A:$AJ,AJ$1,0)*$D6,0),IFERROR(VLOOKUP($E:$E,Structure!$A:$AJ,AJ$1,0)*$F6,0),IFERROR(VLOOKUP($G:$G,Structure!$A:$AJ,AJ$1,0)*$H6,0))</f>
        <v>0</v>
      </c>
      <c r="AK6" s="9">
        <f>SUM(IFERROR(VLOOKUP($C:$C,Structure!$A:$AJ,AK$1,0)*$D6,0),IFERROR(VLOOKUP($E:$E,Structure!$A:$AJ,AK$1,0)*$F6,0),IFERROR(VLOOKUP($G:$G,Structure!$A:$AJ,AK$1,0)*$H6,0))</f>
        <v>0</v>
      </c>
      <c r="AL6" s="9">
        <f>SUM(IFERROR(VLOOKUP($C:$C,Structure!$A:$AJ,AL$1,0)*$D6,0),IFERROR(VLOOKUP($E:$E,Structure!$A:$AJ,AL$1,0)*$F6,0),IFERROR(VLOOKUP($G:$G,Structure!$A:$AJ,AL$1,0)*$H6,0))</f>
        <v>0</v>
      </c>
      <c r="AM6" s="9">
        <f>SUM(IFERROR(VLOOKUP($C:$C,Structure!$A:$AJ,AM$1,0)*$D6,0),IFERROR(VLOOKUP($E:$E,Structure!$A:$AJ,AM$1,0)*$F6,0),IFERROR(VLOOKUP($G:$G,Structure!$A:$AJ,AM$1,0)*$H6,0))</f>
        <v>0</v>
      </c>
      <c r="AN6" s="9">
        <f>SUM(IFERROR(VLOOKUP($C:$C,Structure!$A:$AJ,AN$1,0)*$D6,0),IFERROR(VLOOKUP($E:$E,Structure!$A:$AJ,AN$1,0)*$F6,0),IFERROR(VLOOKUP($G:$G,Structure!$A:$AJ,AN$1,0)*$H6,0))</f>
        <v>0</v>
      </c>
      <c r="AO6" s="9">
        <f>SUM(IFERROR(VLOOKUP($C:$C,Structure!$A:$AJ,AO$1,0)*$D6,0),IFERROR(VLOOKUP($E:$E,Structure!$A:$AJ,AO$1,0)*$F6,0),IFERROR(VLOOKUP($G:$G,Structure!$A:$AJ,AO$1,0)*$H6,0))</f>
        <v>0</v>
      </c>
      <c r="AP6" s="9">
        <f>SUM(IFERROR(VLOOKUP($C:$C,Structure!$A:$AJ,AP$1,0)*$D6,0),IFERROR(VLOOKUP($E:$E,Structure!$A:$AJ,AP$1,0)*$F6,0),IFERROR(VLOOKUP($G:$G,Structure!$A:$AJ,AP$1,0)*$H6,0))</f>
        <v>0</v>
      </c>
      <c r="AQ6" s="9">
        <f>SUM(IFERROR(VLOOKUP($C:$C,Structure!$A:$AJ,AQ$1,0)*$D6,0),IFERROR(VLOOKUP($E:$E,Structure!$A:$AJ,AQ$1,0)*$F6,0),IFERROR(VLOOKUP($G:$G,Structure!$A:$AJ,AQ$1,0)*$H6,0))</f>
        <v>0</v>
      </c>
      <c r="AR6" s="21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4">
        <f t="shared" si="22"/>
        <v>0</v>
      </c>
      <c r="CE6" s="4">
        <f t="shared" si="23"/>
        <v>85</v>
      </c>
      <c r="CF6" s="4">
        <f t="shared" si="24"/>
        <v>4</v>
      </c>
      <c r="CG6" s="4">
        <f t="shared" si="25"/>
        <v>23</v>
      </c>
      <c r="CH6" s="4">
        <f t="shared" si="26"/>
        <v>1</v>
      </c>
      <c r="CI6" s="4">
        <f t="shared" si="27"/>
        <v>1</v>
      </c>
      <c r="CJ6" s="4">
        <f t="shared" si="28"/>
        <v>61</v>
      </c>
      <c r="CK6" s="4">
        <f t="shared" si="29"/>
        <v>264</v>
      </c>
      <c r="CL6" s="4">
        <f t="shared" si="30"/>
        <v>0</v>
      </c>
      <c r="CM6" s="4">
        <f t="shared" si="31"/>
        <v>4</v>
      </c>
      <c r="CN6" s="4">
        <f t="shared" si="32"/>
        <v>49</v>
      </c>
      <c r="CO6" s="4">
        <f t="shared" si="33"/>
        <v>0</v>
      </c>
      <c r="CP6" s="4">
        <f t="shared" si="34"/>
        <v>5</v>
      </c>
      <c r="CQ6" s="4">
        <f t="shared" si="35"/>
        <v>47</v>
      </c>
      <c r="CR6" s="4">
        <f t="shared" si="36"/>
        <v>34</v>
      </c>
      <c r="CS6" s="4">
        <f t="shared" si="37"/>
        <v>0</v>
      </c>
      <c r="CT6" s="4">
        <f t="shared" si="38"/>
        <v>0</v>
      </c>
      <c r="CU6" s="4">
        <f t="shared" si="39"/>
        <v>0</v>
      </c>
      <c r="CV6" s="4">
        <f t="shared" si="40"/>
        <v>0</v>
      </c>
      <c r="CW6" s="4">
        <f t="shared" si="41"/>
        <v>0</v>
      </c>
      <c r="CX6" s="4">
        <f t="shared" si="42"/>
        <v>67</v>
      </c>
      <c r="CY6" s="4">
        <f t="shared" si="43"/>
        <v>0</v>
      </c>
      <c r="CZ6" s="4">
        <f t="shared" si="44"/>
        <v>0</v>
      </c>
      <c r="DA6" s="4">
        <f t="shared" si="45"/>
        <v>0</v>
      </c>
      <c r="DB6" s="4">
        <f t="shared" si="46"/>
        <v>0</v>
      </c>
      <c r="DC6" s="4">
        <f t="shared" si="47"/>
        <v>0</v>
      </c>
      <c r="DD6" s="4">
        <f t="shared" si="48"/>
        <v>0</v>
      </c>
      <c r="DE6" s="4">
        <f t="shared" si="49"/>
        <v>0</v>
      </c>
      <c r="DF6" s="4">
        <f t="shared" si="50"/>
        <v>0</v>
      </c>
      <c r="DG6" s="4">
        <f t="shared" si="51"/>
        <v>0</v>
      </c>
      <c r="DH6" s="4">
        <f t="shared" si="52"/>
        <v>0</v>
      </c>
      <c r="DI6" s="4">
        <f t="shared" si="53"/>
        <v>0</v>
      </c>
      <c r="DJ6" s="4">
        <f t="shared" si="54"/>
        <v>0</v>
      </c>
      <c r="DK6" s="4">
        <f t="shared" si="55"/>
        <v>0</v>
      </c>
      <c r="DL6" s="4">
        <f t="shared" si="56"/>
        <v>0</v>
      </c>
    </row>
    <row r="7" spans="1:116" x14ac:dyDescent="0.25">
      <c r="A7" s="5">
        <v>46183</v>
      </c>
      <c r="B7" s="6">
        <v>0.39583333334303461</v>
      </c>
      <c r="C7" s="3"/>
      <c r="D7" s="3"/>
      <c r="E7" s="3" t="s">
        <v>30</v>
      </c>
      <c r="F7" s="3">
        <v>8</v>
      </c>
      <c r="G7" s="3"/>
      <c r="H7" s="9"/>
      <c r="I7" s="9">
        <f>SUM(IFERROR(VLOOKUP($C:$C,Structure!$A:$AJ,I$1,0)*$D7,0),IFERROR(VLOOKUP($E:$E,Structure!$A:$AJ,I$1,0)*$F7,0),IFERROR(VLOOKUP($G:$G,Structure!$A:$AJ,I$1,0)*$H7,0))</f>
        <v>0</v>
      </c>
      <c r="J7" s="9">
        <f>SUM(IFERROR(VLOOKUP($C:$C,Structure!$A:$AJ,J$1,0)*$D7,0),IFERROR(VLOOKUP($E:$E,Structure!$A:$AJ,J$1,0)*$F7,0),IFERROR(VLOOKUP($G:$G,Structure!$A:$AJ,J$1,0)*$H7,0))</f>
        <v>0</v>
      </c>
      <c r="K7" s="9">
        <f>SUM(IFERROR(VLOOKUP($C:$C,Structure!$A:$AJ,K$1,0)*$D7,0),IFERROR(VLOOKUP($E:$E,Structure!$A:$AJ,K$1,0)*$F7,0),IFERROR(VLOOKUP($G:$G,Structure!$A:$AJ,K$1,0)*$H7,0))</f>
        <v>0</v>
      </c>
      <c r="L7" s="9">
        <f>SUM(IFERROR(VLOOKUP($C:$C,Structure!$A:$AJ,L$1,0)*$D7,0),IFERROR(VLOOKUP($E:$E,Structure!$A:$AJ,L$1,0)*$F7,0),IFERROR(VLOOKUP($G:$G,Structure!$A:$AJ,L$1,0)*$H7,0))</f>
        <v>0</v>
      </c>
      <c r="M7" s="9">
        <f>SUM(IFERROR(VLOOKUP($C:$C,Structure!$A:$AJ,M$1,0)*$D7,0),IFERROR(VLOOKUP($E:$E,Structure!$A:$AJ,M$1,0)*$F7,0),IFERROR(VLOOKUP($G:$G,Structure!$A:$AJ,M$1,0)*$H7,0))</f>
        <v>0</v>
      </c>
      <c r="N7" s="9">
        <f>SUM(IFERROR(VLOOKUP($C:$C,Structure!$A:$AJ,N$1,0)*$D7,0),IFERROR(VLOOKUP($E:$E,Structure!$A:$AJ,N$1,0)*$F7,0),IFERROR(VLOOKUP($G:$G,Structure!$A:$AJ,N$1,0)*$H7,0))</f>
        <v>0</v>
      </c>
      <c r="O7" s="9">
        <f>SUM(IFERROR(VLOOKUP($C:$C,Structure!$A:$AJ,O$1,0)*$D7,0),IFERROR(VLOOKUP($E:$E,Structure!$A:$AJ,O$1,0)*$F7,0),IFERROR(VLOOKUP($G:$G,Structure!$A:$AJ,O$1,0)*$H7,0))</f>
        <v>0</v>
      </c>
      <c r="P7" s="9">
        <f>SUM(IFERROR(VLOOKUP($C:$C,Structure!$A:$AJ,P$1,0)*$D7,0),IFERROR(VLOOKUP($E:$E,Structure!$A:$AJ,P$1,0)*$F7,0),IFERROR(VLOOKUP($G:$G,Structure!$A:$AJ,P$1,0)*$H7,0))</f>
        <v>0</v>
      </c>
      <c r="Q7" s="9">
        <f>SUM(IFERROR(VLOOKUP($C:$C,Structure!$A:$AJ,Q$1,0)*$D7,0),IFERROR(VLOOKUP($E:$E,Structure!$A:$AJ,Q$1,0)*$F7,0),IFERROR(VLOOKUP($G:$G,Structure!$A:$AJ,Q$1,0)*$H7,0))</f>
        <v>0</v>
      </c>
      <c r="R7" s="9">
        <f>SUM(IFERROR(VLOOKUP($C:$C,Structure!$A:$AJ,R$1,0)*$D7,0),IFERROR(VLOOKUP($E:$E,Structure!$A:$AJ,R$1,0)*$F7,0),IFERROR(VLOOKUP($G:$G,Structure!$A:$AJ,R$1,0)*$H7,0))</f>
        <v>0</v>
      </c>
      <c r="S7" s="9">
        <f>SUM(IFERROR(VLOOKUP($C:$C,Structure!$A:$AJ,S$1,0)*$D7,0),IFERROR(VLOOKUP($E:$E,Structure!$A:$AJ,S$1,0)*$F7,0),IFERROR(VLOOKUP($G:$G,Structure!$A:$AJ,S$1,0)*$H7,0))</f>
        <v>0</v>
      </c>
      <c r="T7" s="9">
        <f>SUM(IFERROR(VLOOKUP($C:$C,Structure!$A:$AJ,T$1,0)*$D7,0),IFERROR(VLOOKUP($E:$E,Structure!$A:$AJ,T$1,0)*$F7,0),IFERROR(VLOOKUP($G:$G,Structure!$A:$AJ,T$1,0)*$H7,0))</f>
        <v>0</v>
      </c>
      <c r="U7" s="9">
        <f>SUM(IFERROR(VLOOKUP($C:$C,Structure!$A:$AJ,U$1,0)*$D7,0),IFERROR(VLOOKUP($E:$E,Structure!$A:$AJ,U$1,0)*$F7,0),IFERROR(VLOOKUP($G:$G,Structure!$A:$AJ,U$1,0)*$H7,0))</f>
        <v>0</v>
      </c>
      <c r="V7" s="9">
        <f>SUM(IFERROR(VLOOKUP($C:$C,Structure!$A:$AJ,V$1,0)*$D7,0),IFERROR(VLOOKUP($E:$E,Structure!$A:$AJ,V$1,0)*$F7,0),IFERROR(VLOOKUP($G:$G,Structure!$A:$AJ,V$1,0)*$H7,0))</f>
        <v>8</v>
      </c>
      <c r="W7" s="9">
        <f>SUM(IFERROR(VLOOKUP($C:$C,Structure!$A:$AJ,W$1,0)*$D7,0),IFERROR(VLOOKUP($E:$E,Structure!$A:$AJ,W$1,0)*$F7,0),IFERROR(VLOOKUP($G:$G,Structure!$A:$AJ,W$1,0)*$H7,0))</f>
        <v>0</v>
      </c>
      <c r="X7" s="9">
        <f>SUM(IFERROR(VLOOKUP($C:$C,Structure!$A:$AJ,X$1,0)*$D7,0),IFERROR(VLOOKUP($E:$E,Structure!$A:$AJ,X$1,0)*$F7,0),IFERROR(VLOOKUP($G:$G,Structure!$A:$AJ,X$1,0)*$H7,0))</f>
        <v>0</v>
      </c>
      <c r="Y7" s="9">
        <f>SUM(IFERROR(VLOOKUP($C:$C,Structure!$A:$AJ,Y$1,0)*$D7,0),IFERROR(VLOOKUP($E:$E,Structure!$A:$AJ,Y$1,0)*$F7,0),IFERROR(VLOOKUP($G:$G,Structure!$A:$AJ,Y$1,0)*$H7,0))</f>
        <v>0</v>
      </c>
      <c r="Z7" s="9">
        <f>SUM(IFERROR(VLOOKUP($C:$C,Structure!$A:$AJ,Z$1,0)*$D7,0),IFERROR(VLOOKUP($E:$E,Structure!$A:$AJ,Z$1,0)*$F7,0),IFERROR(VLOOKUP($G:$G,Structure!$A:$AJ,Z$1,0)*$H7,0))</f>
        <v>0</v>
      </c>
      <c r="AA7" s="9">
        <f>SUM(IFERROR(VLOOKUP($C:$C,Structure!$A:$AJ,AA$1,0)*$D7,0),IFERROR(VLOOKUP($E:$E,Structure!$A:$AJ,AA$1,0)*$F7,0),IFERROR(VLOOKUP($G:$G,Structure!$A:$AJ,AA$1,0)*$H7,0))</f>
        <v>0</v>
      </c>
      <c r="AB7" s="9">
        <f>SUM(IFERROR(VLOOKUP($C:$C,Structure!$A:$AJ,AB$1,0)*$D7,0),IFERROR(VLOOKUP($E:$E,Structure!$A:$AJ,AB$1,0)*$F7,0),IFERROR(VLOOKUP($G:$G,Structure!$A:$AJ,AB$1,0)*$H7,0))</f>
        <v>0</v>
      </c>
      <c r="AC7" s="9">
        <f>SUM(IFERROR(VLOOKUP($C:$C,Structure!$A:$AJ,AC$1,0)*$D7,0),IFERROR(VLOOKUP($E:$E,Structure!$A:$AJ,AC$1,0)*$F7,0),IFERROR(VLOOKUP($G:$G,Structure!$A:$AJ,AC$1,0)*$H7,0))</f>
        <v>8</v>
      </c>
      <c r="AD7" s="9">
        <f>SUM(IFERROR(VLOOKUP($C:$C,Structure!$A:$AJ,AD$1,0)*$D7,0),IFERROR(VLOOKUP($E:$E,Structure!$A:$AJ,AD$1,0)*$F7,0),IFERROR(VLOOKUP($G:$G,Structure!$A:$AJ,AD$1,0)*$H7,0))</f>
        <v>0</v>
      </c>
      <c r="AE7" s="9">
        <f>SUM(IFERROR(VLOOKUP($C:$C,Structure!$A:$AJ,AE$1,0)*$D7,0),IFERROR(VLOOKUP($E:$E,Structure!$A:$AJ,AE$1,0)*$F7,0),IFERROR(VLOOKUP($G:$G,Structure!$A:$AJ,AE$1,0)*$H7,0))</f>
        <v>0</v>
      </c>
      <c r="AF7" s="9">
        <f>SUM(IFERROR(VLOOKUP($C:$C,Structure!$A:$AJ,AF$1,0)*$D7,0),IFERROR(VLOOKUP($E:$E,Structure!$A:$AJ,AF$1,0)*$F7,0),IFERROR(VLOOKUP($G:$G,Structure!$A:$AJ,AF$1,0)*$H7,0))</f>
        <v>0</v>
      </c>
      <c r="AG7" s="9">
        <f>SUM(IFERROR(VLOOKUP($C:$C,Structure!$A:$AJ,AG$1,0)*$D7,0),IFERROR(VLOOKUP($E:$E,Structure!$A:$AJ,AG$1,0)*$F7,0),IFERROR(VLOOKUP($G:$G,Structure!$A:$AJ,AG$1,0)*$H7,0))</f>
        <v>0</v>
      </c>
      <c r="AH7" s="9">
        <f>SUM(IFERROR(VLOOKUP($C:$C,Structure!$A:$AJ,AH$1,0)*$D7,0),IFERROR(VLOOKUP($E:$E,Structure!$A:$AJ,AH$1,0)*$F7,0),IFERROR(VLOOKUP($G:$G,Structure!$A:$AJ,AH$1,0)*$H7,0))</f>
        <v>0</v>
      </c>
      <c r="AI7" s="9">
        <f>SUM(IFERROR(VLOOKUP($C:$C,Structure!$A:$AJ,AI$1,0)*$D7,0),IFERROR(VLOOKUP($E:$E,Structure!$A:$AJ,AI$1,0)*$F7,0),IFERROR(VLOOKUP($G:$G,Structure!$A:$AJ,AI$1,0)*$H7,0))</f>
        <v>0</v>
      </c>
      <c r="AJ7" s="9">
        <f>SUM(IFERROR(VLOOKUP($C:$C,Structure!$A:$AJ,AJ$1,0)*$D7,0),IFERROR(VLOOKUP($E:$E,Structure!$A:$AJ,AJ$1,0)*$F7,0),IFERROR(VLOOKUP($G:$G,Structure!$A:$AJ,AJ$1,0)*$H7,0))</f>
        <v>0</v>
      </c>
      <c r="AK7" s="9">
        <f>SUM(IFERROR(VLOOKUP($C:$C,Structure!$A:$AJ,AK$1,0)*$D7,0),IFERROR(VLOOKUP($E:$E,Structure!$A:$AJ,AK$1,0)*$F7,0),IFERROR(VLOOKUP($G:$G,Structure!$A:$AJ,AK$1,0)*$H7,0))</f>
        <v>0</v>
      </c>
      <c r="AL7" s="9">
        <f>SUM(IFERROR(VLOOKUP($C:$C,Structure!$A:$AJ,AL$1,0)*$D7,0),IFERROR(VLOOKUP($E:$E,Structure!$A:$AJ,AL$1,0)*$F7,0),IFERROR(VLOOKUP($G:$G,Structure!$A:$AJ,AL$1,0)*$H7,0))</f>
        <v>0</v>
      </c>
      <c r="AM7" s="9">
        <f>SUM(IFERROR(VLOOKUP($C:$C,Structure!$A:$AJ,AM$1,0)*$D7,0),IFERROR(VLOOKUP($E:$E,Structure!$A:$AJ,AM$1,0)*$F7,0),IFERROR(VLOOKUP($G:$G,Structure!$A:$AJ,AM$1,0)*$H7,0))</f>
        <v>0</v>
      </c>
      <c r="AN7" s="9">
        <f>SUM(IFERROR(VLOOKUP($C:$C,Structure!$A:$AJ,AN$1,0)*$D7,0),IFERROR(VLOOKUP($E:$E,Structure!$A:$AJ,AN$1,0)*$F7,0),IFERROR(VLOOKUP($G:$G,Structure!$A:$AJ,AN$1,0)*$H7,0))</f>
        <v>0</v>
      </c>
      <c r="AO7" s="9">
        <f>SUM(IFERROR(VLOOKUP($C:$C,Structure!$A:$AJ,AO$1,0)*$D7,0),IFERROR(VLOOKUP($E:$E,Structure!$A:$AJ,AO$1,0)*$F7,0),IFERROR(VLOOKUP($G:$G,Structure!$A:$AJ,AO$1,0)*$H7,0))</f>
        <v>0</v>
      </c>
      <c r="AP7" s="9">
        <f>SUM(IFERROR(VLOOKUP($C:$C,Structure!$A:$AJ,AP$1,0)*$D7,0),IFERROR(VLOOKUP($E:$E,Structure!$A:$AJ,AP$1,0)*$F7,0),IFERROR(VLOOKUP($G:$G,Structure!$A:$AJ,AP$1,0)*$H7,0))</f>
        <v>0</v>
      </c>
      <c r="AQ7" s="9">
        <f>SUM(IFERROR(VLOOKUP($C:$C,Structure!$A:$AJ,AQ$1,0)*$D7,0),IFERROR(VLOOKUP($E:$E,Structure!$A:$AJ,AQ$1,0)*$F7,0),IFERROR(VLOOKUP($G:$G,Structure!$A:$AJ,AQ$1,0)*$H7,0))</f>
        <v>0</v>
      </c>
      <c r="AR7" s="21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4">
        <f t="shared" si="22"/>
        <v>0</v>
      </c>
      <c r="CE7" s="4">
        <f t="shared" si="23"/>
        <v>85</v>
      </c>
      <c r="CF7" s="4">
        <f t="shared" si="24"/>
        <v>4</v>
      </c>
      <c r="CG7" s="4">
        <f t="shared" si="25"/>
        <v>23</v>
      </c>
      <c r="CH7" s="4">
        <f t="shared" si="26"/>
        <v>1</v>
      </c>
      <c r="CI7" s="4">
        <f t="shared" si="27"/>
        <v>1</v>
      </c>
      <c r="CJ7" s="4">
        <f t="shared" si="28"/>
        <v>61</v>
      </c>
      <c r="CK7" s="4">
        <f t="shared" si="29"/>
        <v>264</v>
      </c>
      <c r="CL7" s="4">
        <f t="shared" si="30"/>
        <v>0</v>
      </c>
      <c r="CM7" s="4">
        <f t="shared" si="31"/>
        <v>4</v>
      </c>
      <c r="CN7" s="4">
        <f t="shared" si="32"/>
        <v>49</v>
      </c>
      <c r="CO7" s="4">
        <f t="shared" si="33"/>
        <v>0</v>
      </c>
      <c r="CP7" s="4">
        <f t="shared" si="34"/>
        <v>5</v>
      </c>
      <c r="CQ7" s="4">
        <f t="shared" si="35"/>
        <v>39</v>
      </c>
      <c r="CR7" s="4">
        <f t="shared" si="36"/>
        <v>34</v>
      </c>
      <c r="CS7" s="4">
        <f t="shared" si="37"/>
        <v>0</v>
      </c>
      <c r="CT7" s="4">
        <f t="shared" si="38"/>
        <v>0</v>
      </c>
      <c r="CU7" s="4">
        <f t="shared" si="39"/>
        <v>0</v>
      </c>
      <c r="CV7" s="4">
        <f t="shared" si="40"/>
        <v>0</v>
      </c>
      <c r="CW7" s="4">
        <f t="shared" si="41"/>
        <v>0</v>
      </c>
      <c r="CX7" s="4">
        <f t="shared" si="42"/>
        <v>59</v>
      </c>
      <c r="CY7" s="4">
        <f t="shared" si="43"/>
        <v>0</v>
      </c>
      <c r="CZ7" s="4">
        <f t="shared" si="44"/>
        <v>0</v>
      </c>
      <c r="DA7" s="4">
        <f t="shared" si="45"/>
        <v>0</v>
      </c>
      <c r="DB7" s="4">
        <f t="shared" si="46"/>
        <v>0</v>
      </c>
      <c r="DC7" s="4">
        <f t="shared" si="47"/>
        <v>0</v>
      </c>
      <c r="DD7" s="4">
        <f t="shared" si="48"/>
        <v>0</v>
      </c>
      <c r="DE7" s="4">
        <f t="shared" si="49"/>
        <v>0</v>
      </c>
      <c r="DF7" s="4">
        <f t="shared" si="50"/>
        <v>0</v>
      </c>
      <c r="DG7" s="4">
        <f t="shared" si="51"/>
        <v>0</v>
      </c>
      <c r="DH7" s="4">
        <f t="shared" si="52"/>
        <v>0</v>
      </c>
      <c r="DI7" s="4">
        <f t="shared" si="53"/>
        <v>0</v>
      </c>
      <c r="DJ7" s="4">
        <f t="shared" si="54"/>
        <v>0</v>
      </c>
      <c r="DK7" s="4">
        <f t="shared" si="55"/>
        <v>0</v>
      </c>
      <c r="DL7" s="4">
        <f t="shared" si="56"/>
        <v>0</v>
      </c>
    </row>
    <row r="8" spans="1:116" x14ac:dyDescent="0.25">
      <c r="A8" s="5">
        <v>46183</v>
      </c>
      <c r="B8" s="6">
        <v>0.41666666667879326</v>
      </c>
      <c r="C8" s="3"/>
      <c r="D8" s="3"/>
      <c r="E8" s="3" t="s">
        <v>30</v>
      </c>
      <c r="F8" s="3">
        <v>8</v>
      </c>
      <c r="G8" s="3"/>
      <c r="H8" s="9"/>
      <c r="I8" s="9">
        <f>SUM(IFERROR(VLOOKUP($C:$C,Structure!$A:$AJ,I$1,0)*$D8,0),IFERROR(VLOOKUP($E:$E,Structure!$A:$AJ,I$1,0)*$F8,0),IFERROR(VLOOKUP($G:$G,Structure!$A:$AJ,I$1,0)*$H8,0))</f>
        <v>0</v>
      </c>
      <c r="J8" s="9">
        <f>SUM(IFERROR(VLOOKUP($C:$C,Structure!$A:$AJ,J$1,0)*$D8,0),IFERROR(VLOOKUP($E:$E,Structure!$A:$AJ,J$1,0)*$F8,0),IFERROR(VLOOKUP($G:$G,Structure!$A:$AJ,J$1,0)*$H8,0))</f>
        <v>0</v>
      </c>
      <c r="K8" s="9">
        <f>SUM(IFERROR(VLOOKUP($C:$C,Structure!$A:$AJ,K$1,0)*$D8,0),IFERROR(VLOOKUP($E:$E,Structure!$A:$AJ,K$1,0)*$F8,0),IFERROR(VLOOKUP($G:$G,Structure!$A:$AJ,K$1,0)*$H8,0))</f>
        <v>0</v>
      </c>
      <c r="L8" s="9">
        <f>SUM(IFERROR(VLOOKUP($C:$C,Structure!$A:$AJ,L$1,0)*$D8,0),IFERROR(VLOOKUP($E:$E,Structure!$A:$AJ,L$1,0)*$F8,0),IFERROR(VLOOKUP($G:$G,Structure!$A:$AJ,L$1,0)*$H8,0))</f>
        <v>0</v>
      </c>
      <c r="M8" s="9">
        <f>SUM(IFERROR(VLOOKUP($C:$C,Structure!$A:$AJ,M$1,0)*$D8,0),IFERROR(VLOOKUP($E:$E,Structure!$A:$AJ,M$1,0)*$F8,0),IFERROR(VLOOKUP($G:$G,Structure!$A:$AJ,M$1,0)*$H8,0))</f>
        <v>0</v>
      </c>
      <c r="N8" s="9">
        <f>SUM(IFERROR(VLOOKUP($C:$C,Structure!$A:$AJ,N$1,0)*$D8,0),IFERROR(VLOOKUP($E:$E,Structure!$A:$AJ,N$1,0)*$F8,0),IFERROR(VLOOKUP($G:$G,Structure!$A:$AJ,N$1,0)*$H8,0))</f>
        <v>0</v>
      </c>
      <c r="O8" s="9">
        <f>SUM(IFERROR(VLOOKUP($C:$C,Structure!$A:$AJ,O$1,0)*$D8,0),IFERROR(VLOOKUP($E:$E,Structure!$A:$AJ,O$1,0)*$F8,0),IFERROR(VLOOKUP($G:$G,Structure!$A:$AJ,O$1,0)*$H8,0))</f>
        <v>0</v>
      </c>
      <c r="P8" s="9">
        <f>SUM(IFERROR(VLOOKUP($C:$C,Structure!$A:$AJ,P$1,0)*$D8,0),IFERROR(VLOOKUP($E:$E,Structure!$A:$AJ,P$1,0)*$F8,0),IFERROR(VLOOKUP($G:$G,Structure!$A:$AJ,P$1,0)*$H8,0))</f>
        <v>0</v>
      </c>
      <c r="Q8" s="9">
        <f>SUM(IFERROR(VLOOKUP($C:$C,Structure!$A:$AJ,Q$1,0)*$D8,0),IFERROR(VLOOKUP($E:$E,Structure!$A:$AJ,Q$1,0)*$F8,0),IFERROR(VLOOKUP($G:$G,Structure!$A:$AJ,Q$1,0)*$H8,0))</f>
        <v>0</v>
      </c>
      <c r="R8" s="9">
        <f>SUM(IFERROR(VLOOKUP($C:$C,Structure!$A:$AJ,R$1,0)*$D8,0),IFERROR(VLOOKUP($E:$E,Structure!$A:$AJ,R$1,0)*$F8,0),IFERROR(VLOOKUP($G:$G,Structure!$A:$AJ,R$1,0)*$H8,0))</f>
        <v>0</v>
      </c>
      <c r="S8" s="9">
        <f>SUM(IFERROR(VLOOKUP($C:$C,Structure!$A:$AJ,S$1,0)*$D8,0),IFERROR(VLOOKUP($E:$E,Structure!$A:$AJ,S$1,0)*$F8,0),IFERROR(VLOOKUP($G:$G,Structure!$A:$AJ,S$1,0)*$H8,0))</f>
        <v>0</v>
      </c>
      <c r="T8" s="9">
        <f>SUM(IFERROR(VLOOKUP($C:$C,Structure!$A:$AJ,T$1,0)*$D8,0),IFERROR(VLOOKUP($E:$E,Structure!$A:$AJ,T$1,0)*$F8,0),IFERROR(VLOOKUP($G:$G,Structure!$A:$AJ,T$1,0)*$H8,0))</f>
        <v>0</v>
      </c>
      <c r="U8" s="9">
        <f>SUM(IFERROR(VLOOKUP($C:$C,Structure!$A:$AJ,U$1,0)*$D8,0),IFERROR(VLOOKUP($E:$E,Structure!$A:$AJ,U$1,0)*$F8,0),IFERROR(VLOOKUP($G:$G,Structure!$A:$AJ,U$1,0)*$H8,0))</f>
        <v>0</v>
      </c>
      <c r="V8" s="9">
        <f>SUM(IFERROR(VLOOKUP($C:$C,Structure!$A:$AJ,V$1,0)*$D8,0),IFERROR(VLOOKUP($E:$E,Structure!$A:$AJ,V$1,0)*$F8,0),IFERROR(VLOOKUP($G:$G,Structure!$A:$AJ,V$1,0)*$H8,0))</f>
        <v>8</v>
      </c>
      <c r="W8" s="9">
        <f>SUM(IFERROR(VLOOKUP($C:$C,Structure!$A:$AJ,W$1,0)*$D8,0),IFERROR(VLOOKUP($E:$E,Structure!$A:$AJ,W$1,0)*$F8,0),IFERROR(VLOOKUP($G:$G,Structure!$A:$AJ,W$1,0)*$H8,0))</f>
        <v>0</v>
      </c>
      <c r="X8" s="9">
        <f>SUM(IFERROR(VLOOKUP($C:$C,Structure!$A:$AJ,X$1,0)*$D8,0),IFERROR(VLOOKUP($E:$E,Structure!$A:$AJ,X$1,0)*$F8,0),IFERROR(VLOOKUP($G:$G,Structure!$A:$AJ,X$1,0)*$H8,0))</f>
        <v>0</v>
      </c>
      <c r="Y8" s="9">
        <f>SUM(IFERROR(VLOOKUP($C:$C,Structure!$A:$AJ,Y$1,0)*$D8,0),IFERROR(VLOOKUP($E:$E,Structure!$A:$AJ,Y$1,0)*$F8,0),IFERROR(VLOOKUP($G:$G,Structure!$A:$AJ,Y$1,0)*$H8,0))</f>
        <v>0</v>
      </c>
      <c r="Z8" s="9">
        <f>SUM(IFERROR(VLOOKUP($C:$C,Structure!$A:$AJ,Z$1,0)*$D8,0),IFERROR(VLOOKUP($E:$E,Structure!$A:$AJ,Z$1,0)*$F8,0),IFERROR(VLOOKUP($G:$G,Structure!$A:$AJ,Z$1,0)*$H8,0))</f>
        <v>0</v>
      </c>
      <c r="AA8" s="9">
        <f>SUM(IFERROR(VLOOKUP($C:$C,Structure!$A:$AJ,AA$1,0)*$D8,0),IFERROR(VLOOKUP($E:$E,Structure!$A:$AJ,AA$1,0)*$F8,0),IFERROR(VLOOKUP($G:$G,Structure!$A:$AJ,AA$1,0)*$H8,0))</f>
        <v>0</v>
      </c>
      <c r="AB8" s="9">
        <f>SUM(IFERROR(VLOOKUP($C:$C,Structure!$A:$AJ,AB$1,0)*$D8,0),IFERROR(VLOOKUP($E:$E,Structure!$A:$AJ,AB$1,0)*$F8,0),IFERROR(VLOOKUP($G:$G,Structure!$A:$AJ,AB$1,0)*$H8,0))</f>
        <v>0</v>
      </c>
      <c r="AC8" s="9">
        <f>SUM(IFERROR(VLOOKUP($C:$C,Structure!$A:$AJ,AC$1,0)*$D8,0),IFERROR(VLOOKUP($E:$E,Structure!$A:$AJ,AC$1,0)*$F8,0),IFERROR(VLOOKUP($G:$G,Structure!$A:$AJ,AC$1,0)*$H8,0))</f>
        <v>8</v>
      </c>
      <c r="AD8" s="9">
        <f>SUM(IFERROR(VLOOKUP($C:$C,Structure!$A:$AJ,AD$1,0)*$D8,0),IFERROR(VLOOKUP($E:$E,Structure!$A:$AJ,AD$1,0)*$F8,0),IFERROR(VLOOKUP($G:$G,Structure!$A:$AJ,AD$1,0)*$H8,0))</f>
        <v>0</v>
      </c>
      <c r="AE8" s="9">
        <f>SUM(IFERROR(VLOOKUP($C:$C,Structure!$A:$AJ,AE$1,0)*$D8,0),IFERROR(VLOOKUP($E:$E,Structure!$A:$AJ,AE$1,0)*$F8,0),IFERROR(VLOOKUP($G:$G,Structure!$A:$AJ,AE$1,0)*$H8,0))</f>
        <v>0</v>
      </c>
      <c r="AF8" s="9">
        <f>SUM(IFERROR(VLOOKUP($C:$C,Structure!$A:$AJ,AF$1,0)*$D8,0),IFERROR(VLOOKUP($E:$E,Structure!$A:$AJ,AF$1,0)*$F8,0),IFERROR(VLOOKUP($G:$G,Structure!$A:$AJ,AF$1,0)*$H8,0))</f>
        <v>0</v>
      </c>
      <c r="AG8" s="9">
        <f>SUM(IFERROR(VLOOKUP($C:$C,Structure!$A:$AJ,AG$1,0)*$D8,0),IFERROR(VLOOKUP($E:$E,Structure!$A:$AJ,AG$1,0)*$F8,0),IFERROR(VLOOKUP($G:$G,Structure!$A:$AJ,AG$1,0)*$H8,0))</f>
        <v>0</v>
      </c>
      <c r="AH8" s="9">
        <f>SUM(IFERROR(VLOOKUP($C:$C,Structure!$A:$AJ,AH$1,0)*$D8,0),IFERROR(VLOOKUP($E:$E,Structure!$A:$AJ,AH$1,0)*$F8,0),IFERROR(VLOOKUP($G:$G,Structure!$A:$AJ,AH$1,0)*$H8,0))</f>
        <v>0</v>
      </c>
      <c r="AI8" s="9">
        <f>SUM(IFERROR(VLOOKUP($C:$C,Structure!$A:$AJ,AI$1,0)*$D8,0),IFERROR(VLOOKUP($E:$E,Structure!$A:$AJ,AI$1,0)*$F8,0),IFERROR(VLOOKUP($G:$G,Structure!$A:$AJ,AI$1,0)*$H8,0))</f>
        <v>0</v>
      </c>
      <c r="AJ8" s="9">
        <f>SUM(IFERROR(VLOOKUP($C:$C,Structure!$A:$AJ,AJ$1,0)*$D8,0),IFERROR(VLOOKUP($E:$E,Structure!$A:$AJ,AJ$1,0)*$F8,0),IFERROR(VLOOKUP($G:$G,Structure!$A:$AJ,AJ$1,0)*$H8,0))</f>
        <v>0</v>
      </c>
      <c r="AK8" s="9">
        <f>SUM(IFERROR(VLOOKUP($C:$C,Structure!$A:$AJ,AK$1,0)*$D8,0),IFERROR(VLOOKUP($E:$E,Structure!$A:$AJ,AK$1,0)*$F8,0),IFERROR(VLOOKUP($G:$G,Structure!$A:$AJ,AK$1,0)*$H8,0))</f>
        <v>0</v>
      </c>
      <c r="AL8" s="9">
        <f>SUM(IFERROR(VLOOKUP($C:$C,Structure!$A:$AJ,AL$1,0)*$D8,0),IFERROR(VLOOKUP($E:$E,Structure!$A:$AJ,AL$1,0)*$F8,0),IFERROR(VLOOKUP($G:$G,Structure!$A:$AJ,AL$1,0)*$H8,0))</f>
        <v>0</v>
      </c>
      <c r="AM8" s="9">
        <f>SUM(IFERROR(VLOOKUP($C:$C,Structure!$A:$AJ,AM$1,0)*$D8,0),IFERROR(VLOOKUP($E:$E,Structure!$A:$AJ,AM$1,0)*$F8,0),IFERROR(VLOOKUP($G:$G,Structure!$A:$AJ,AM$1,0)*$H8,0))</f>
        <v>0</v>
      </c>
      <c r="AN8" s="9">
        <f>SUM(IFERROR(VLOOKUP($C:$C,Structure!$A:$AJ,AN$1,0)*$D8,0),IFERROR(VLOOKUP($E:$E,Structure!$A:$AJ,AN$1,0)*$F8,0),IFERROR(VLOOKUP($G:$G,Structure!$A:$AJ,AN$1,0)*$H8,0))</f>
        <v>0</v>
      </c>
      <c r="AO8" s="9">
        <f>SUM(IFERROR(VLOOKUP($C:$C,Structure!$A:$AJ,AO$1,0)*$D8,0),IFERROR(VLOOKUP($E:$E,Structure!$A:$AJ,AO$1,0)*$F8,0),IFERROR(VLOOKUP($G:$G,Structure!$A:$AJ,AO$1,0)*$H8,0))</f>
        <v>0</v>
      </c>
      <c r="AP8" s="9">
        <f>SUM(IFERROR(VLOOKUP($C:$C,Structure!$A:$AJ,AP$1,0)*$D8,0),IFERROR(VLOOKUP($E:$E,Structure!$A:$AJ,AP$1,0)*$F8,0),IFERROR(VLOOKUP($G:$G,Structure!$A:$AJ,AP$1,0)*$H8,0))</f>
        <v>0</v>
      </c>
      <c r="AQ8" s="9">
        <f>SUM(IFERROR(VLOOKUP($C:$C,Structure!$A:$AJ,AQ$1,0)*$D8,0),IFERROR(VLOOKUP($E:$E,Structure!$A:$AJ,AQ$1,0)*$F8,0),IFERROR(VLOOKUP($G:$G,Structure!$A:$AJ,AQ$1,0)*$H8,0))</f>
        <v>0</v>
      </c>
      <c r="AR8" s="21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4">
        <f t="shared" si="22"/>
        <v>0</v>
      </c>
      <c r="CE8" s="4">
        <f t="shared" si="23"/>
        <v>85</v>
      </c>
      <c r="CF8" s="4">
        <f t="shared" si="24"/>
        <v>4</v>
      </c>
      <c r="CG8" s="4">
        <f t="shared" si="25"/>
        <v>23</v>
      </c>
      <c r="CH8" s="4">
        <f t="shared" si="26"/>
        <v>1</v>
      </c>
      <c r="CI8" s="4">
        <f t="shared" si="27"/>
        <v>1</v>
      </c>
      <c r="CJ8" s="4">
        <f t="shared" si="28"/>
        <v>61</v>
      </c>
      <c r="CK8" s="4">
        <f t="shared" si="29"/>
        <v>264</v>
      </c>
      <c r="CL8" s="4">
        <f t="shared" si="30"/>
        <v>0</v>
      </c>
      <c r="CM8" s="4">
        <f t="shared" si="31"/>
        <v>4</v>
      </c>
      <c r="CN8" s="4">
        <f t="shared" si="32"/>
        <v>49</v>
      </c>
      <c r="CO8" s="4">
        <f t="shared" si="33"/>
        <v>0</v>
      </c>
      <c r="CP8" s="4">
        <f t="shared" si="34"/>
        <v>5</v>
      </c>
      <c r="CQ8" s="4">
        <f t="shared" si="35"/>
        <v>31</v>
      </c>
      <c r="CR8" s="4">
        <f t="shared" si="36"/>
        <v>34</v>
      </c>
      <c r="CS8" s="4">
        <f t="shared" si="37"/>
        <v>0</v>
      </c>
      <c r="CT8" s="4">
        <f t="shared" si="38"/>
        <v>0</v>
      </c>
      <c r="CU8" s="4">
        <f t="shared" si="39"/>
        <v>0</v>
      </c>
      <c r="CV8" s="4">
        <f t="shared" si="40"/>
        <v>0</v>
      </c>
      <c r="CW8" s="4">
        <f t="shared" si="41"/>
        <v>0</v>
      </c>
      <c r="CX8" s="4">
        <f t="shared" si="42"/>
        <v>51</v>
      </c>
      <c r="CY8" s="4">
        <f t="shared" si="43"/>
        <v>0</v>
      </c>
      <c r="CZ8" s="4">
        <f t="shared" si="44"/>
        <v>0</v>
      </c>
      <c r="DA8" s="4">
        <f t="shared" si="45"/>
        <v>0</v>
      </c>
      <c r="DB8" s="4">
        <f t="shared" si="46"/>
        <v>0</v>
      </c>
      <c r="DC8" s="4">
        <f t="shared" si="47"/>
        <v>0</v>
      </c>
      <c r="DD8" s="4">
        <f t="shared" si="48"/>
        <v>0</v>
      </c>
      <c r="DE8" s="4">
        <f t="shared" si="49"/>
        <v>0</v>
      </c>
      <c r="DF8" s="4">
        <f t="shared" si="50"/>
        <v>0</v>
      </c>
      <c r="DG8" s="4">
        <f t="shared" si="51"/>
        <v>0</v>
      </c>
      <c r="DH8" s="4">
        <f t="shared" si="52"/>
        <v>0</v>
      </c>
      <c r="DI8" s="4">
        <f t="shared" si="53"/>
        <v>0</v>
      </c>
      <c r="DJ8" s="4">
        <f t="shared" si="54"/>
        <v>0</v>
      </c>
      <c r="DK8" s="4">
        <f t="shared" si="55"/>
        <v>0</v>
      </c>
      <c r="DL8" s="4">
        <f t="shared" si="56"/>
        <v>0</v>
      </c>
    </row>
    <row r="9" spans="1:116" x14ac:dyDescent="0.25">
      <c r="A9" s="5">
        <v>46183</v>
      </c>
      <c r="B9" s="6">
        <v>0.43750000001455192</v>
      </c>
      <c r="C9" s="3"/>
      <c r="D9" s="3"/>
      <c r="E9" s="3" t="s">
        <v>30</v>
      </c>
      <c r="F9" s="3">
        <v>8</v>
      </c>
      <c r="G9" s="3"/>
      <c r="H9" s="9"/>
      <c r="I9" s="9">
        <f>SUM(IFERROR(VLOOKUP($C:$C,Structure!$A:$AJ,I$1,0)*$D9,0),IFERROR(VLOOKUP($E:$E,Structure!$A:$AJ,I$1,0)*$F9,0),IFERROR(VLOOKUP($G:$G,Structure!$A:$AJ,I$1,0)*$H9,0))</f>
        <v>0</v>
      </c>
      <c r="J9" s="9">
        <f>SUM(IFERROR(VLOOKUP($C:$C,Structure!$A:$AJ,J$1,0)*$D9,0),IFERROR(VLOOKUP($E:$E,Structure!$A:$AJ,J$1,0)*$F9,0),IFERROR(VLOOKUP($G:$G,Structure!$A:$AJ,J$1,0)*$H9,0))</f>
        <v>0</v>
      </c>
      <c r="K9" s="9">
        <f>SUM(IFERROR(VLOOKUP($C:$C,Structure!$A:$AJ,K$1,0)*$D9,0),IFERROR(VLOOKUP($E:$E,Structure!$A:$AJ,K$1,0)*$F9,0),IFERROR(VLOOKUP($G:$G,Structure!$A:$AJ,K$1,0)*$H9,0))</f>
        <v>0</v>
      </c>
      <c r="L9" s="9">
        <f>SUM(IFERROR(VLOOKUP($C:$C,Structure!$A:$AJ,L$1,0)*$D9,0),IFERROR(VLOOKUP($E:$E,Structure!$A:$AJ,L$1,0)*$F9,0),IFERROR(VLOOKUP($G:$G,Structure!$A:$AJ,L$1,0)*$H9,0))</f>
        <v>0</v>
      </c>
      <c r="M9" s="9">
        <f>SUM(IFERROR(VLOOKUP($C:$C,Structure!$A:$AJ,M$1,0)*$D9,0),IFERROR(VLOOKUP($E:$E,Structure!$A:$AJ,M$1,0)*$F9,0),IFERROR(VLOOKUP($G:$G,Structure!$A:$AJ,M$1,0)*$H9,0))</f>
        <v>0</v>
      </c>
      <c r="N9" s="9">
        <f>SUM(IFERROR(VLOOKUP($C:$C,Structure!$A:$AJ,N$1,0)*$D9,0),IFERROR(VLOOKUP($E:$E,Structure!$A:$AJ,N$1,0)*$F9,0),IFERROR(VLOOKUP($G:$G,Structure!$A:$AJ,N$1,0)*$H9,0))</f>
        <v>0</v>
      </c>
      <c r="O9" s="9">
        <f>SUM(IFERROR(VLOOKUP($C:$C,Structure!$A:$AJ,O$1,0)*$D9,0),IFERROR(VLOOKUP($E:$E,Structure!$A:$AJ,O$1,0)*$F9,0),IFERROR(VLOOKUP($G:$G,Structure!$A:$AJ,O$1,0)*$H9,0))</f>
        <v>0</v>
      </c>
      <c r="P9" s="9">
        <f>SUM(IFERROR(VLOOKUP($C:$C,Structure!$A:$AJ,P$1,0)*$D9,0),IFERROR(VLOOKUP($E:$E,Structure!$A:$AJ,P$1,0)*$F9,0),IFERROR(VLOOKUP($G:$G,Structure!$A:$AJ,P$1,0)*$H9,0))</f>
        <v>0</v>
      </c>
      <c r="Q9" s="9">
        <f>SUM(IFERROR(VLOOKUP($C:$C,Structure!$A:$AJ,Q$1,0)*$D9,0),IFERROR(VLOOKUP($E:$E,Structure!$A:$AJ,Q$1,0)*$F9,0),IFERROR(VLOOKUP($G:$G,Structure!$A:$AJ,Q$1,0)*$H9,0))</f>
        <v>0</v>
      </c>
      <c r="R9" s="9">
        <f>SUM(IFERROR(VLOOKUP($C:$C,Structure!$A:$AJ,R$1,0)*$D9,0),IFERROR(VLOOKUP($E:$E,Structure!$A:$AJ,R$1,0)*$F9,0),IFERROR(VLOOKUP($G:$G,Structure!$A:$AJ,R$1,0)*$H9,0))</f>
        <v>0</v>
      </c>
      <c r="S9" s="9">
        <f>SUM(IFERROR(VLOOKUP($C:$C,Structure!$A:$AJ,S$1,0)*$D9,0),IFERROR(VLOOKUP($E:$E,Structure!$A:$AJ,S$1,0)*$F9,0),IFERROR(VLOOKUP($G:$G,Structure!$A:$AJ,S$1,0)*$H9,0))</f>
        <v>0</v>
      </c>
      <c r="T9" s="9">
        <f>SUM(IFERROR(VLOOKUP($C:$C,Structure!$A:$AJ,T$1,0)*$D9,0),IFERROR(VLOOKUP($E:$E,Structure!$A:$AJ,T$1,0)*$F9,0),IFERROR(VLOOKUP($G:$G,Structure!$A:$AJ,T$1,0)*$H9,0))</f>
        <v>0</v>
      </c>
      <c r="U9" s="9">
        <f>SUM(IFERROR(VLOOKUP($C:$C,Structure!$A:$AJ,U$1,0)*$D9,0),IFERROR(VLOOKUP($E:$E,Structure!$A:$AJ,U$1,0)*$F9,0),IFERROR(VLOOKUP($G:$G,Structure!$A:$AJ,U$1,0)*$H9,0))</f>
        <v>0</v>
      </c>
      <c r="V9" s="9">
        <f>SUM(IFERROR(VLOOKUP($C:$C,Structure!$A:$AJ,V$1,0)*$D9,0),IFERROR(VLOOKUP($E:$E,Structure!$A:$AJ,V$1,0)*$F9,0),IFERROR(VLOOKUP($G:$G,Structure!$A:$AJ,V$1,0)*$H9,0))</f>
        <v>8</v>
      </c>
      <c r="W9" s="9">
        <f>SUM(IFERROR(VLOOKUP($C:$C,Structure!$A:$AJ,W$1,0)*$D9,0),IFERROR(VLOOKUP($E:$E,Structure!$A:$AJ,W$1,0)*$F9,0),IFERROR(VLOOKUP($G:$G,Structure!$A:$AJ,W$1,0)*$H9,0))</f>
        <v>0</v>
      </c>
      <c r="X9" s="9">
        <f>SUM(IFERROR(VLOOKUP($C:$C,Structure!$A:$AJ,X$1,0)*$D9,0),IFERROR(VLOOKUP($E:$E,Structure!$A:$AJ,X$1,0)*$F9,0),IFERROR(VLOOKUP($G:$G,Structure!$A:$AJ,X$1,0)*$H9,0))</f>
        <v>0</v>
      </c>
      <c r="Y9" s="9">
        <f>SUM(IFERROR(VLOOKUP($C:$C,Structure!$A:$AJ,Y$1,0)*$D9,0),IFERROR(VLOOKUP($E:$E,Structure!$A:$AJ,Y$1,0)*$F9,0),IFERROR(VLOOKUP($G:$G,Structure!$A:$AJ,Y$1,0)*$H9,0))</f>
        <v>0</v>
      </c>
      <c r="Z9" s="9">
        <f>SUM(IFERROR(VLOOKUP($C:$C,Structure!$A:$AJ,Z$1,0)*$D9,0),IFERROR(VLOOKUP($E:$E,Structure!$A:$AJ,Z$1,0)*$F9,0),IFERROR(VLOOKUP($G:$G,Structure!$A:$AJ,Z$1,0)*$H9,0))</f>
        <v>0</v>
      </c>
      <c r="AA9" s="9">
        <f>SUM(IFERROR(VLOOKUP($C:$C,Structure!$A:$AJ,AA$1,0)*$D9,0),IFERROR(VLOOKUP($E:$E,Structure!$A:$AJ,AA$1,0)*$F9,0),IFERROR(VLOOKUP($G:$G,Structure!$A:$AJ,AA$1,0)*$H9,0))</f>
        <v>0</v>
      </c>
      <c r="AB9" s="9">
        <f>SUM(IFERROR(VLOOKUP($C:$C,Structure!$A:$AJ,AB$1,0)*$D9,0),IFERROR(VLOOKUP($E:$E,Structure!$A:$AJ,AB$1,0)*$F9,0),IFERROR(VLOOKUP($G:$G,Structure!$A:$AJ,AB$1,0)*$H9,0))</f>
        <v>0</v>
      </c>
      <c r="AC9" s="9">
        <f>SUM(IFERROR(VLOOKUP($C:$C,Structure!$A:$AJ,AC$1,0)*$D9,0),IFERROR(VLOOKUP($E:$E,Structure!$A:$AJ,AC$1,0)*$F9,0),IFERROR(VLOOKUP($G:$G,Structure!$A:$AJ,AC$1,0)*$H9,0))</f>
        <v>8</v>
      </c>
      <c r="AD9" s="9">
        <f>SUM(IFERROR(VLOOKUP($C:$C,Structure!$A:$AJ,AD$1,0)*$D9,0),IFERROR(VLOOKUP($E:$E,Structure!$A:$AJ,AD$1,0)*$F9,0),IFERROR(VLOOKUP($G:$G,Structure!$A:$AJ,AD$1,0)*$H9,0))</f>
        <v>0</v>
      </c>
      <c r="AE9" s="9">
        <f>SUM(IFERROR(VLOOKUP($C:$C,Structure!$A:$AJ,AE$1,0)*$D9,0),IFERROR(VLOOKUP($E:$E,Structure!$A:$AJ,AE$1,0)*$F9,0),IFERROR(VLOOKUP($G:$G,Structure!$A:$AJ,AE$1,0)*$H9,0))</f>
        <v>0</v>
      </c>
      <c r="AF9" s="9">
        <f>SUM(IFERROR(VLOOKUP($C:$C,Structure!$A:$AJ,AF$1,0)*$D9,0),IFERROR(VLOOKUP($E:$E,Structure!$A:$AJ,AF$1,0)*$F9,0),IFERROR(VLOOKUP($G:$G,Structure!$A:$AJ,AF$1,0)*$H9,0))</f>
        <v>0</v>
      </c>
      <c r="AG9" s="9">
        <f>SUM(IFERROR(VLOOKUP($C:$C,Structure!$A:$AJ,AG$1,0)*$D9,0),IFERROR(VLOOKUP($E:$E,Structure!$A:$AJ,AG$1,0)*$F9,0),IFERROR(VLOOKUP($G:$G,Structure!$A:$AJ,AG$1,0)*$H9,0))</f>
        <v>0</v>
      </c>
      <c r="AH9" s="9">
        <f>SUM(IFERROR(VLOOKUP($C:$C,Structure!$A:$AJ,AH$1,0)*$D9,0),IFERROR(VLOOKUP($E:$E,Structure!$A:$AJ,AH$1,0)*$F9,0),IFERROR(VLOOKUP($G:$G,Structure!$A:$AJ,AH$1,0)*$H9,0))</f>
        <v>0</v>
      </c>
      <c r="AI9" s="9">
        <f>SUM(IFERROR(VLOOKUP($C:$C,Structure!$A:$AJ,AI$1,0)*$D9,0),IFERROR(VLOOKUP($E:$E,Structure!$A:$AJ,AI$1,0)*$F9,0),IFERROR(VLOOKUP($G:$G,Structure!$A:$AJ,AI$1,0)*$H9,0))</f>
        <v>0</v>
      </c>
      <c r="AJ9" s="9">
        <f>SUM(IFERROR(VLOOKUP($C:$C,Structure!$A:$AJ,AJ$1,0)*$D9,0),IFERROR(VLOOKUP($E:$E,Structure!$A:$AJ,AJ$1,0)*$F9,0),IFERROR(VLOOKUP($G:$G,Structure!$A:$AJ,AJ$1,0)*$H9,0))</f>
        <v>0</v>
      </c>
      <c r="AK9" s="9">
        <f>SUM(IFERROR(VLOOKUP($C:$C,Structure!$A:$AJ,AK$1,0)*$D9,0),IFERROR(VLOOKUP($E:$E,Structure!$A:$AJ,AK$1,0)*$F9,0),IFERROR(VLOOKUP($G:$G,Structure!$A:$AJ,AK$1,0)*$H9,0))</f>
        <v>0</v>
      </c>
      <c r="AL9" s="9">
        <f>SUM(IFERROR(VLOOKUP($C:$C,Structure!$A:$AJ,AL$1,0)*$D9,0),IFERROR(VLOOKUP($E:$E,Structure!$A:$AJ,AL$1,0)*$F9,0),IFERROR(VLOOKUP($G:$G,Structure!$A:$AJ,AL$1,0)*$H9,0))</f>
        <v>0</v>
      </c>
      <c r="AM9" s="9">
        <f>SUM(IFERROR(VLOOKUP($C:$C,Structure!$A:$AJ,AM$1,0)*$D9,0),IFERROR(VLOOKUP($E:$E,Structure!$A:$AJ,AM$1,0)*$F9,0),IFERROR(VLOOKUP($G:$G,Structure!$A:$AJ,AM$1,0)*$H9,0))</f>
        <v>0</v>
      </c>
      <c r="AN9" s="9">
        <f>SUM(IFERROR(VLOOKUP($C:$C,Structure!$A:$AJ,AN$1,0)*$D9,0),IFERROR(VLOOKUP($E:$E,Structure!$A:$AJ,AN$1,0)*$F9,0),IFERROR(VLOOKUP($G:$G,Structure!$A:$AJ,AN$1,0)*$H9,0))</f>
        <v>0</v>
      </c>
      <c r="AO9" s="9">
        <f>SUM(IFERROR(VLOOKUP($C:$C,Structure!$A:$AJ,AO$1,0)*$D9,0),IFERROR(VLOOKUP($E:$E,Structure!$A:$AJ,AO$1,0)*$F9,0),IFERROR(VLOOKUP($G:$G,Structure!$A:$AJ,AO$1,0)*$H9,0))</f>
        <v>0</v>
      </c>
      <c r="AP9" s="9">
        <f>SUM(IFERROR(VLOOKUP($C:$C,Structure!$A:$AJ,AP$1,0)*$D9,0),IFERROR(VLOOKUP($E:$E,Structure!$A:$AJ,AP$1,0)*$F9,0),IFERROR(VLOOKUP($G:$G,Structure!$A:$AJ,AP$1,0)*$H9,0))</f>
        <v>0</v>
      </c>
      <c r="AQ9" s="9">
        <f>SUM(IFERROR(VLOOKUP($C:$C,Structure!$A:$AJ,AQ$1,0)*$D9,0),IFERROR(VLOOKUP($E:$E,Structure!$A:$AJ,AQ$1,0)*$F9,0),IFERROR(VLOOKUP($G:$G,Structure!$A:$AJ,AQ$1,0)*$H9,0))</f>
        <v>0</v>
      </c>
      <c r="AR9" s="21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4">
        <f t="shared" si="22"/>
        <v>0</v>
      </c>
      <c r="CE9" s="4">
        <f t="shared" si="23"/>
        <v>85</v>
      </c>
      <c r="CF9" s="4">
        <f t="shared" si="24"/>
        <v>4</v>
      </c>
      <c r="CG9" s="4">
        <f t="shared" si="25"/>
        <v>23</v>
      </c>
      <c r="CH9" s="4">
        <f t="shared" si="26"/>
        <v>1</v>
      </c>
      <c r="CI9" s="4">
        <f t="shared" si="27"/>
        <v>1</v>
      </c>
      <c r="CJ9" s="4">
        <f t="shared" si="28"/>
        <v>61</v>
      </c>
      <c r="CK9" s="4">
        <f t="shared" si="29"/>
        <v>264</v>
      </c>
      <c r="CL9" s="4">
        <f t="shared" si="30"/>
        <v>0</v>
      </c>
      <c r="CM9" s="4">
        <f t="shared" si="31"/>
        <v>4</v>
      </c>
      <c r="CN9" s="4">
        <f t="shared" si="32"/>
        <v>49</v>
      </c>
      <c r="CO9" s="4">
        <f t="shared" si="33"/>
        <v>0</v>
      </c>
      <c r="CP9" s="4">
        <f t="shared" si="34"/>
        <v>5</v>
      </c>
      <c r="CQ9" s="4">
        <f t="shared" si="35"/>
        <v>23</v>
      </c>
      <c r="CR9" s="4">
        <f t="shared" si="36"/>
        <v>34</v>
      </c>
      <c r="CS9" s="4">
        <f t="shared" si="37"/>
        <v>0</v>
      </c>
      <c r="CT9" s="4">
        <f t="shared" si="38"/>
        <v>0</v>
      </c>
      <c r="CU9" s="4">
        <f t="shared" si="39"/>
        <v>0</v>
      </c>
      <c r="CV9" s="4">
        <f t="shared" si="40"/>
        <v>0</v>
      </c>
      <c r="CW9" s="4">
        <f t="shared" si="41"/>
        <v>0</v>
      </c>
      <c r="CX9" s="4">
        <f t="shared" si="42"/>
        <v>43</v>
      </c>
      <c r="CY9" s="4">
        <f t="shared" si="43"/>
        <v>0</v>
      </c>
      <c r="CZ9" s="4">
        <f t="shared" si="44"/>
        <v>0</v>
      </c>
      <c r="DA9" s="4">
        <f t="shared" si="45"/>
        <v>0</v>
      </c>
      <c r="DB9" s="4">
        <f t="shared" si="46"/>
        <v>0</v>
      </c>
      <c r="DC9" s="4">
        <f t="shared" si="47"/>
        <v>0</v>
      </c>
      <c r="DD9" s="4">
        <f t="shared" si="48"/>
        <v>0</v>
      </c>
      <c r="DE9" s="4">
        <f t="shared" si="49"/>
        <v>0</v>
      </c>
      <c r="DF9" s="4">
        <f t="shared" si="50"/>
        <v>0</v>
      </c>
      <c r="DG9" s="4">
        <f t="shared" si="51"/>
        <v>0</v>
      </c>
      <c r="DH9" s="4">
        <f t="shared" si="52"/>
        <v>0</v>
      </c>
      <c r="DI9" s="4">
        <f t="shared" si="53"/>
        <v>0</v>
      </c>
      <c r="DJ9" s="4">
        <f t="shared" si="54"/>
        <v>0</v>
      </c>
      <c r="DK9" s="4">
        <f t="shared" si="55"/>
        <v>0</v>
      </c>
      <c r="DL9" s="4">
        <f t="shared" si="56"/>
        <v>0</v>
      </c>
    </row>
    <row r="10" spans="1:116" x14ac:dyDescent="0.25">
      <c r="A10" s="5">
        <v>46183</v>
      </c>
      <c r="B10" s="6">
        <v>0.45833333335031057</v>
      </c>
      <c r="C10" s="3"/>
      <c r="D10" s="3"/>
      <c r="E10" s="3" t="s">
        <v>38</v>
      </c>
      <c r="F10" s="3">
        <v>8</v>
      </c>
      <c r="G10" s="3"/>
      <c r="H10" s="9"/>
      <c r="I10" s="9">
        <f>SUM(IFERROR(VLOOKUP($C:$C,Structure!$A:$AJ,I$1,0)*$D10,0),IFERROR(VLOOKUP($E:$E,Structure!$A:$AJ,I$1,0)*$F10,0),IFERROR(VLOOKUP($G:$G,Structure!$A:$AJ,I$1,0)*$H10,0))</f>
        <v>0</v>
      </c>
      <c r="J10" s="9">
        <f>SUM(IFERROR(VLOOKUP($C:$C,Structure!$A:$AJ,J$1,0)*$D10,0),IFERROR(VLOOKUP($E:$E,Structure!$A:$AJ,J$1,0)*$F10,0),IFERROR(VLOOKUP($G:$G,Structure!$A:$AJ,J$1,0)*$H10,0))</f>
        <v>8</v>
      </c>
      <c r="K10" s="9">
        <f>SUM(IFERROR(VLOOKUP($C:$C,Structure!$A:$AJ,K$1,0)*$D10,0),IFERROR(VLOOKUP($E:$E,Structure!$A:$AJ,K$1,0)*$F10,0),IFERROR(VLOOKUP($G:$G,Structure!$A:$AJ,K$1,0)*$H10,0))</f>
        <v>0</v>
      </c>
      <c r="L10" s="9">
        <f>SUM(IFERROR(VLOOKUP($C:$C,Structure!$A:$AJ,L$1,0)*$D10,0),IFERROR(VLOOKUP($E:$E,Structure!$A:$AJ,L$1,0)*$F10,0),IFERROR(VLOOKUP($G:$G,Structure!$A:$AJ,L$1,0)*$H10,0))</f>
        <v>0</v>
      </c>
      <c r="M10" s="9">
        <f>SUM(IFERROR(VLOOKUP($C:$C,Structure!$A:$AJ,M$1,0)*$D10,0),IFERROR(VLOOKUP($E:$E,Structure!$A:$AJ,M$1,0)*$F10,0),IFERROR(VLOOKUP($G:$G,Structure!$A:$AJ,M$1,0)*$H10,0))</f>
        <v>0</v>
      </c>
      <c r="N10" s="9">
        <f>SUM(IFERROR(VLOOKUP($C:$C,Structure!$A:$AJ,N$1,0)*$D10,0),IFERROR(VLOOKUP($E:$E,Structure!$A:$AJ,N$1,0)*$F10,0),IFERROR(VLOOKUP($G:$G,Structure!$A:$AJ,N$1,0)*$H10,0))</f>
        <v>0</v>
      </c>
      <c r="O10" s="9">
        <f>SUM(IFERROR(VLOOKUP($C:$C,Structure!$A:$AJ,O$1,0)*$D10,0),IFERROR(VLOOKUP($E:$E,Structure!$A:$AJ,O$1,0)*$F10,0),IFERROR(VLOOKUP($G:$G,Structure!$A:$AJ,O$1,0)*$H10,0))</f>
        <v>0</v>
      </c>
      <c r="P10" s="9">
        <f>SUM(IFERROR(VLOOKUP($C:$C,Structure!$A:$AJ,P$1,0)*$D10,0),IFERROR(VLOOKUP($E:$E,Structure!$A:$AJ,P$1,0)*$F10,0),IFERROR(VLOOKUP($G:$G,Structure!$A:$AJ,P$1,0)*$H10,0))</f>
        <v>8</v>
      </c>
      <c r="Q10" s="9">
        <f>SUM(IFERROR(VLOOKUP($C:$C,Structure!$A:$AJ,Q$1,0)*$D10,0),IFERROR(VLOOKUP($E:$E,Structure!$A:$AJ,Q$1,0)*$F10,0),IFERROR(VLOOKUP($G:$G,Structure!$A:$AJ,Q$1,0)*$H10,0))</f>
        <v>0</v>
      </c>
      <c r="R10" s="9">
        <f>SUM(IFERROR(VLOOKUP($C:$C,Structure!$A:$AJ,R$1,0)*$D10,0),IFERROR(VLOOKUP($E:$E,Structure!$A:$AJ,R$1,0)*$F10,0),IFERROR(VLOOKUP($G:$G,Structure!$A:$AJ,R$1,0)*$H10,0))</f>
        <v>0</v>
      </c>
      <c r="S10" s="9">
        <f>SUM(IFERROR(VLOOKUP($C:$C,Structure!$A:$AJ,S$1,0)*$D10,0),IFERROR(VLOOKUP($E:$E,Structure!$A:$AJ,S$1,0)*$F10,0),IFERROR(VLOOKUP($G:$G,Structure!$A:$AJ,S$1,0)*$H10,0))</f>
        <v>0</v>
      </c>
      <c r="T10" s="9">
        <f>SUM(IFERROR(VLOOKUP($C:$C,Structure!$A:$AJ,T$1,0)*$D10,0),IFERROR(VLOOKUP($E:$E,Structure!$A:$AJ,T$1,0)*$F10,0),IFERROR(VLOOKUP($G:$G,Structure!$A:$AJ,T$1,0)*$H10,0))</f>
        <v>0</v>
      </c>
      <c r="U10" s="9">
        <f>SUM(IFERROR(VLOOKUP($C:$C,Structure!$A:$AJ,U$1,0)*$D10,0),IFERROR(VLOOKUP($E:$E,Structure!$A:$AJ,U$1,0)*$F10,0),IFERROR(VLOOKUP($G:$G,Structure!$A:$AJ,U$1,0)*$H10,0))</f>
        <v>0</v>
      </c>
      <c r="V10" s="9">
        <f>SUM(IFERROR(VLOOKUP($C:$C,Structure!$A:$AJ,V$1,0)*$D10,0),IFERROR(VLOOKUP($E:$E,Structure!$A:$AJ,V$1,0)*$F10,0),IFERROR(VLOOKUP($G:$G,Structure!$A:$AJ,V$1,0)*$H10,0))</f>
        <v>0</v>
      </c>
      <c r="W10" s="9">
        <f>SUM(IFERROR(VLOOKUP($C:$C,Structure!$A:$AJ,W$1,0)*$D10,0),IFERROR(VLOOKUP($E:$E,Structure!$A:$AJ,W$1,0)*$F10,0),IFERROR(VLOOKUP($G:$G,Structure!$A:$AJ,W$1,0)*$H10,0))</f>
        <v>0</v>
      </c>
      <c r="X10" s="9">
        <f>SUM(IFERROR(VLOOKUP($C:$C,Structure!$A:$AJ,X$1,0)*$D10,0),IFERROR(VLOOKUP($E:$E,Structure!$A:$AJ,X$1,0)*$F10,0),IFERROR(VLOOKUP($G:$G,Structure!$A:$AJ,X$1,0)*$H10,0))</f>
        <v>0</v>
      </c>
      <c r="Y10" s="9">
        <f>SUM(IFERROR(VLOOKUP($C:$C,Structure!$A:$AJ,Y$1,0)*$D10,0),IFERROR(VLOOKUP($E:$E,Structure!$A:$AJ,Y$1,0)*$F10,0),IFERROR(VLOOKUP($G:$G,Structure!$A:$AJ,Y$1,0)*$H10,0))</f>
        <v>0</v>
      </c>
      <c r="Z10" s="9">
        <f>SUM(IFERROR(VLOOKUP($C:$C,Structure!$A:$AJ,Z$1,0)*$D10,0),IFERROR(VLOOKUP($E:$E,Structure!$A:$AJ,Z$1,0)*$F10,0),IFERROR(VLOOKUP($G:$G,Structure!$A:$AJ,Z$1,0)*$H10,0))</f>
        <v>0</v>
      </c>
      <c r="AA10" s="9">
        <f>SUM(IFERROR(VLOOKUP($C:$C,Structure!$A:$AJ,AA$1,0)*$D10,0),IFERROR(VLOOKUP($E:$E,Structure!$A:$AJ,AA$1,0)*$F10,0),IFERROR(VLOOKUP($G:$G,Structure!$A:$AJ,AA$1,0)*$H10,0))</f>
        <v>0</v>
      </c>
      <c r="AB10" s="9">
        <f>SUM(IFERROR(VLOOKUP($C:$C,Structure!$A:$AJ,AB$1,0)*$D10,0),IFERROR(VLOOKUP($E:$E,Structure!$A:$AJ,AB$1,0)*$F10,0),IFERROR(VLOOKUP($G:$G,Structure!$A:$AJ,AB$1,0)*$H10,0))</f>
        <v>0</v>
      </c>
      <c r="AC10" s="9">
        <f>SUM(IFERROR(VLOOKUP($C:$C,Structure!$A:$AJ,AC$1,0)*$D10,0),IFERROR(VLOOKUP($E:$E,Structure!$A:$AJ,AC$1,0)*$F10,0),IFERROR(VLOOKUP($G:$G,Structure!$A:$AJ,AC$1,0)*$H10,0))</f>
        <v>0</v>
      </c>
      <c r="AD10" s="9">
        <f>SUM(IFERROR(VLOOKUP($C:$C,Structure!$A:$AJ,AD$1,0)*$D10,0),IFERROR(VLOOKUP($E:$E,Structure!$A:$AJ,AD$1,0)*$F10,0),IFERROR(VLOOKUP($G:$G,Structure!$A:$AJ,AD$1,0)*$H10,0))</f>
        <v>0</v>
      </c>
      <c r="AE10" s="9">
        <f>SUM(IFERROR(VLOOKUP($C:$C,Structure!$A:$AJ,AE$1,0)*$D10,0),IFERROR(VLOOKUP($E:$E,Structure!$A:$AJ,AE$1,0)*$F10,0),IFERROR(VLOOKUP($G:$G,Structure!$A:$AJ,AE$1,0)*$H10,0))</f>
        <v>0</v>
      </c>
      <c r="AF10" s="9">
        <f>SUM(IFERROR(VLOOKUP($C:$C,Structure!$A:$AJ,AF$1,0)*$D10,0),IFERROR(VLOOKUP($E:$E,Structure!$A:$AJ,AF$1,0)*$F10,0),IFERROR(VLOOKUP($G:$G,Structure!$A:$AJ,AF$1,0)*$H10,0))</f>
        <v>0</v>
      </c>
      <c r="AG10" s="9">
        <f>SUM(IFERROR(VLOOKUP($C:$C,Structure!$A:$AJ,AG$1,0)*$D10,0),IFERROR(VLOOKUP($E:$E,Structure!$A:$AJ,AG$1,0)*$F10,0),IFERROR(VLOOKUP($G:$G,Structure!$A:$AJ,AG$1,0)*$H10,0))</f>
        <v>0</v>
      </c>
      <c r="AH10" s="9">
        <f>SUM(IFERROR(VLOOKUP($C:$C,Structure!$A:$AJ,AH$1,0)*$D10,0),IFERROR(VLOOKUP($E:$E,Structure!$A:$AJ,AH$1,0)*$F10,0),IFERROR(VLOOKUP($G:$G,Structure!$A:$AJ,AH$1,0)*$H10,0))</f>
        <v>0</v>
      </c>
      <c r="AI10" s="9">
        <f>SUM(IFERROR(VLOOKUP($C:$C,Structure!$A:$AJ,AI$1,0)*$D10,0),IFERROR(VLOOKUP($E:$E,Structure!$A:$AJ,AI$1,0)*$F10,0),IFERROR(VLOOKUP($G:$G,Structure!$A:$AJ,AI$1,0)*$H10,0))</f>
        <v>0</v>
      </c>
      <c r="AJ10" s="9">
        <f>SUM(IFERROR(VLOOKUP($C:$C,Structure!$A:$AJ,AJ$1,0)*$D10,0),IFERROR(VLOOKUP($E:$E,Structure!$A:$AJ,AJ$1,0)*$F10,0),IFERROR(VLOOKUP($G:$G,Structure!$A:$AJ,AJ$1,0)*$H10,0))</f>
        <v>0</v>
      </c>
      <c r="AK10" s="9">
        <f>SUM(IFERROR(VLOOKUP($C:$C,Structure!$A:$AJ,AK$1,0)*$D10,0),IFERROR(VLOOKUP($E:$E,Structure!$A:$AJ,AK$1,0)*$F10,0),IFERROR(VLOOKUP($G:$G,Structure!$A:$AJ,AK$1,0)*$H10,0))</f>
        <v>0</v>
      </c>
      <c r="AL10" s="9">
        <f>SUM(IFERROR(VLOOKUP($C:$C,Structure!$A:$AJ,AL$1,0)*$D10,0),IFERROR(VLOOKUP($E:$E,Structure!$A:$AJ,AL$1,0)*$F10,0),IFERROR(VLOOKUP($G:$G,Structure!$A:$AJ,AL$1,0)*$H10,0))</f>
        <v>0</v>
      </c>
      <c r="AM10" s="9">
        <f>SUM(IFERROR(VLOOKUP($C:$C,Structure!$A:$AJ,AM$1,0)*$D10,0),IFERROR(VLOOKUP($E:$E,Structure!$A:$AJ,AM$1,0)*$F10,0),IFERROR(VLOOKUP($G:$G,Structure!$A:$AJ,AM$1,0)*$H10,0))</f>
        <v>0</v>
      </c>
      <c r="AN10" s="9">
        <f>SUM(IFERROR(VLOOKUP($C:$C,Structure!$A:$AJ,AN$1,0)*$D10,0),IFERROR(VLOOKUP($E:$E,Structure!$A:$AJ,AN$1,0)*$F10,0),IFERROR(VLOOKUP($G:$G,Structure!$A:$AJ,AN$1,0)*$H10,0))</f>
        <v>0</v>
      </c>
      <c r="AO10" s="9">
        <f>SUM(IFERROR(VLOOKUP($C:$C,Structure!$A:$AJ,AO$1,0)*$D10,0),IFERROR(VLOOKUP($E:$E,Structure!$A:$AJ,AO$1,0)*$F10,0),IFERROR(VLOOKUP($G:$G,Structure!$A:$AJ,AO$1,0)*$H10,0))</f>
        <v>0</v>
      </c>
      <c r="AP10" s="9">
        <f>SUM(IFERROR(VLOOKUP($C:$C,Structure!$A:$AJ,AP$1,0)*$D10,0),IFERROR(VLOOKUP($E:$E,Structure!$A:$AJ,AP$1,0)*$F10,0),IFERROR(VLOOKUP($G:$G,Structure!$A:$AJ,AP$1,0)*$H10,0))</f>
        <v>0</v>
      </c>
      <c r="AQ10" s="9">
        <f>SUM(IFERROR(VLOOKUP($C:$C,Structure!$A:$AJ,AQ$1,0)*$D10,0),IFERROR(VLOOKUP($E:$E,Structure!$A:$AJ,AQ$1,0)*$F10,0),IFERROR(VLOOKUP($G:$G,Structure!$A:$AJ,AQ$1,0)*$H10,0))</f>
        <v>0</v>
      </c>
      <c r="AR10" s="21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4">
        <f t="shared" si="22"/>
        <v>0</v>
      </c>
      <c r="CE10" s="4">
        <f t="shared" si="23"/>
        <v>77</v>
      </c>
      <c r="CF10" s="4">
        <f t="shared" si="24"/>
        <v>4</v>
      </c>
      <c r="CG10" s="4">
        <f t="shared" si="25"/>
        <v>23</v>
      </c>
      <c r="CH10" s="4">
        <f t="shared" si="26"/>
        <v>1</v>
      </c>
      <c r="CI10" s="4">
        <f t="shared" si="27"/>
        <v>1</v>
      </c>
      <c r="CJ10" s="4">
        <f t="shared" si="28"/>
        <v>61</v>
      </c>
      <c r="CK10" s="4">
        <f t="shared" si="29"/>
        <v>256</v>
      </c>
      <c r="CL10" s="4">
        <f t="shared" si="30"/>
        <v>0</v>
      </c>
      <c r="CM10" s="4">
        <f t="shared" si="31"/>
        <v>4</v>
      </c>
      <c r="CN10" s="4">
        <f t="shared" si="32"/>
        <v>49</v>
      </c>
      <c r="CO10" s="4">
        <f t="shared" si="33"/>
        <v>0</v>
      </c>
      <c r="CP10" s="4">
        <f t="shared" si="34"/>
        <v>5</v>
      </c>
      <c r="CQ10" s="4">
        <f t="shared" si="35"/>
        <v>23</v>
      </c>
      <c r="CR10" s="4">
        <f t="shared" si="36"/>
        <v>34</v>
      </c>
      <c r="CS10" s="4">
        <f t="shared" si="37"/>
        <v>0</v>
      </c>
      <c r="CT10" s="4">
        <f t="shared" si="38"/>
        <v>0</v>
      </c>
      <c r="CU10" s="4">
        <f t="shared" si="39"/>
        <v>0</v>
      </c>
      <c r="CV10" s="4">
        <f t="shared" si="40"/>
        <v>0</v>
      </c>
      <c r="CW10" s="4">
        <f t="shared" si="41"/>
        <v>0</v>
      </c>
      <c r="CX10" s="4">
        <f t="shared" si="42"/>
        <v>43</v>
      </c>
      <c r="CY10" s="4">
        <f t="shared" si="43"/>
        <v>0</v>
      </c>
      <c r="CZ10" s="4">
        <f t="shared" si="44"/>
        <v>0</v>
      </c>
      <c r="DA10" s="4">
        <f t="shared" si="45"/>
        <v>0</v>
      </c>
      <c r="DB10" s="4">
        <f t="shared" si="46"/>
        <v>0</v>
      </c>
      <c r="DC10" s="4">
        <f t="shared" si="47"/>
        <v>0</v>
      </c>
      <c r="DD10" s="4">
        <f t="shared" si="48"/>
        <v>0</v>
      </c>
      <c r="DE10" s="4">
        <f t="shared" si="49"/>
        <v>0</v>
      </c>
      <c r="DF10" s="4">
        <f t="shared" si="50"/>
        <v>0</v>
      </c>
      <c r="DG10" s="4">
        <f t="shared" si="51"/>
        <v>0</v>
      </c>
      <c r="DH10" s="4">
        <f t="shared" si="52"/>
        <v>0</v>
      </c>
      <c r="DI10" s="4">
        <f t="shared" si="53"/>
        <v>0</v>
      </c>
      <c r="DJ10" s="4">
        <f t="shared" si="54"/>
        <v>0</v>
      </c>
      <c r="DK10" s="4">
        <f t="shared" si="55"/>
        <v>0</v>
      </c>
      <c r="DL10" s="4">
        <f t="shared" si="56"/>
        <v>0</v>
      </c>
    </row>
    <row r="11" spans="1:116" x14ac:dyDescent="0.25">
      <c r="A11" s="5">
        <v>46183</v>
      </c>
      <c r="B11" s="6">
        <v>0.47916666668606922</v>
      </c>
      <c r="C11" s="3"/>
      <c r="D11" s="3"/>
      <c r="E11" s="3" t="s">
        <v>38</v>
      </c>
      <c r="F11" s="3">
        <v>8</v>
      </c>
      <c r="G11" s="3"/>
      <c r="H11" s="9"/>
      <c r="I11" s="9">
        <f>SUM(IFERROR(VLOOKUP($C:$C,Structure!$A:$AJ,I$1,0)*$D11,0),IFERROR(VLOOKUP($E:$E,Structure!$A:$AJ,I$1,0)*$F11,0),IFERROR(VLOOKUP($G:$G,Structure!$A:$AJ,I$1,0)*$H11,0))</f>
        <v>0</v>
      </c>
      <c r="J11" s="9">
        <f>SUM(IFERROR(VLOOKUP($C:$C,Structure!$A:$AJ,J$1,0)*$D11,0),IFERROR(VLOOKUP($E:$E,Structure!$A:$AJ,J$1,0)*$F11,0),IFERROR(VLOOKUP($G:$G,Structure!$A:$AJ,J$1,0)*$H11,0))</f>
        <v>8</v>
      </c>
      <c r="K11" s="9">
        <f>SUM(IFERROR(VLOOKUP($C:$C,Structure!$A:$AJ,K$1,0)*$D11,0),IFERROR(VLOOKUP($E:$E,Structure!$A:$AJ,K$1,0)*$F11,0),IFERROR(VLOOKUP($G:$G,Structure!$A:$AJ,K$1,0)*$H11,0))</f>
        <v>0</v>
      </c>
      <c r="L11" s="9">
        <f>SUM(IFERROR(VLOOKUP($C:$C,Structure!$A:$AJ,L$1,0)*$D11,0),IFERROR(VLOOKUP($E:$E,Structure!$A:$AJ,L$1,0)*$F11,0),IFERROR(VLOOKUP($G:$G,Structure!$A:$AJ,L$1,0)*$H11,0))</f>
        <v>0</v>
      </c>
      <c r="M11" s="9">
        <f>SUM(IFERROR(VLOOKUP($C:$C,Structure!$A:$AJ,M$1,0)*$D11,0),IFERROR(VLOOKUP($E:$E,Structure!$A:$AJ,M$1,0)*$F11,0),IFERROR(VLOOKUP($G:$G,Structure!$A:$AJ,M$1,0)*$H11,0))</f>
        <v>0</v>
      </c>
      <c r="N11" s="9">
        <f>SUM(IFERROR(VLOOKUP($C:$C,Structure!$A:$AJ,N$1,0)*$D11,0),IFERROR(VLOOKUP($E:$E,Structure!$A:$AJ,N$1,0)*$F11,0),IFERROR(VLOOKUP($G:$G,Structure!$A:$AJ,N$1,0)*$H11,0))</f>
        <v>0</v>
      </c>
      <c r="O11" s="9">
        <f>SUM(IFERROR(VLOOKUP($C:$C,Structure!$A:$AJ,O$1,0)*$D11,0),IFERROR(VLOOKUP($E:$E,Structure!$A:$AJ,O$1,0)*$F11,0),IFERROR(VLOOKUP($G:$G,Structure!$A:$AJ,O$1,0)*$H11,0))</f>
        <v>0</v>
      </c>
      <c r="P11" s="9">
        <f>SUM(IFERROR(VLOOKUP($C:$C,Structure!$A:$AJ,P$1,0)*$D11,0),IFERROR(VLOOKUP($E:$E,Structure!$A:$AJ,P$1,0)*$F11,0),IFERROR(VLOOKUP($G:$G,Structure!$A:$AJ,P$1,0)*$H11,0))</f>
        <v>8</v>
      </c>
      <c r="Q11" s="9">
        <f>SUM(IFERROR(VLOOKUP($C:$C,Structure!$A:$AJ,Q$1,0)*$D11,0),IFERROR(VLOOKUP($E:$E,Structure!$A:$AJ,Q$1,0)*$F11,0),IFERROR(VLOOKUP($G:$G,Structure!$A:$AJ,Q$1,0)*$H11,0))</f>
        <v>0</v>
      </c>
      <c r="R11" s="9">
        <f>SUM(IFERROR(VLOOKUP($C:$C,Structure!$A:$AJ,R$1,0)*$D11,0),IFERROR(VLOOKUP($E:$E,Structure!$A:$AJ,R$1,0)*$F11,0),IFERROR(VLOOKUP($G:$G,Structure!$A:$AJ,R$1,0)*$H11,0))</f>
        <v>0</v>
      </c>
      <c r="S11" s="9">
        <f>SUM(IFERROR(VLOOKUP($C:$C,Structure!$A:$AJ,S$1,0)*$D11,0),IFERROR(VLOOKUP($E:$E,Structure!$A:$AJ,S$1,0)*$F11,0),IFERROR(VLOOKUP($G:$G,Structure!$A:$AJ,S$1,0)*$H11,0))</f>
        <v>0</v>
      </c>
      <c r="T11" s="9">
        <f>SUM(IFERROR(VLOOKUP($C:$C,Structure!$A:$AJ,T$1,0)*$D11,0),IFERROR(VLOOKUP($E:$E,Structure!$A:$AJ,T$1,0)*$F11,0),IFERROR(VLOOKUP($G:$G,Structure!$A:$AJ,T$1,0)*$H11,0))</f>
        <v>0</v>
      </c>
      <c r="U11" s="9">
        <f>SUM(IFERROR(VLOOKUP($C:$C,Structure!$A:$AJ,U$1,0)*$D11,0),IFERROR(VLOOKUP($E:$E,Structure!$A:$AJ,U$1,0)*$F11,0),IFERROR(VLOOKUP($G:$G,Structure!$A:$AJ,U$1,0)*$H11,0))</f>
        <v>0</v>
      </c>
      <c r="V11" s="9">
        <f>SUM(IFERROR(VLOOKUP($C:$C,Structure!$A:$AJ,V$1,0)*$D11,0),IFERROR(VLOOKUP($E:$E,Structure!$A:$AJ,V$1,0)*$F11,0),IFERROR(VLOOKUP($G:$G,Structure!$A:$AJ,V$1,0)*$H11,0))</f>
        <v>0</v>
      </c>
      <c r="W11" s="9">
        <f>SUM(IFERROR(VLOOKUP($C:$C,Structure!$A:$AJ,W$1,0)*$D11,0),IFERROR(VLOOKUP($E:$E,Structure!$A:$AJ,W$1,0)*$F11,0),IFERROR(VLOOKUP($G:$G,Structure!$A:$AJ,W$1,0)*$H11,0))</f>
        <v>0</v>
      </c>
      <c r="X11" s="9">
        <f>SUM(IFERROR(VLOOKUP($C:$C,Structure!$A:$AJ,X$1,0)*$D11,0),IFERROR(VLOOKUP($E:$E,Structure!$A:$AJ,X$1,0)*$F11,0),IFERROR(VLOOKUP($G:$G,Structure!$A:$AJ,X$1,0)*$H11,0))</f>
        <v>0</v>
      </c>
      <c r="Y11" s="9">
        <f>SUM(IFERROR(VLOOKUP($C:$C,Structure!$A:$AJ,Y$1,0)*$D11,0),IFERROR(VLOOKUP($E:$E,Structure!$A:$AJ,Y$1,0)*$F11,0),IFERROR(VLOOKUP($G:$G,Structure!$A:$AJ,Y$1,0)*$H11,0))</f>
        <v>0</v>
      </c>
      <c r="Z11" s="9">
        <f>SUM(IFERROR(VLOOKUP($C:$C,Structure!$A:$AJ,Z$1,0)*$D11,0),IFERROR(VLOOKUP($E:$E,Structure!$A:$AJ,Z$1,0)*$F11,0),IFERROR(VLOOKUP($G:$G,Structure!$A:$AJ,Z$1,0)*$H11,0))</f>
        <v>0</v>
      </c>
      <c r="AA11" s="9">
        <f>SUM(IFERROR(VLOOKUP($C:$C,Structure!$A:$AJ,AA$1,0)*$D11,0),IFERROR(VLOOKUP($E:$E,Structure!$A:$AJ,AA$1,0)*$F11,0),IFERROR(VLOOKUP($G:$G,Structure!$A:$AJ,AA$1,0)*$H11,0))</f>
        <v>0</v>
      </c>
      <c r="AB11" s="9">
        <f>SUM(IFERROR(VLOOKUP($C:$C,Structure!$A:$AJ,AB$1,0)*$D11,0),IFERROR(VLOOKUP($E:$E,Structure!$A:$AJ,AB$1,0)*$F11,0),IFERROR(VLOOKUP($G:$G,Structure!$A:$AJ,AB$1,0)*$H11,0))</f>
        <v>0</v>
      </c>
      <c r="AC11" s="9">
        <f>SUM(IFERROR(VLOOKUP($C:$C,Structure!$A:$AJ,AC$1,0)*$D11,0),IFERROR(VLOOKUP($E:$E,Structure!$A:$AJ,AC$1,0)*$F11,0),IFERROR(VLOOKUP($G:$G,Structure!$A:$AJ,AC$1,0)*$H11,0))</f>
        <v>0</v>
      </c>
      <c r="AD11" s="9">
        <f>SUM(IFERROR(VLOOKUP($C:$C,Structure!$A:$AJ,AD$1,0)*$D11,0),IFERROR(VLOOKUP($E:$E,Structure!$A:$AJ,AD$1,0)*$F11,0),IFERROR(VLOOKUP($G:$G,Structure!$A:$AJ,AD$1,0)*$H11,0))</f>
        <v>0</v>
      </c>
      <c r="AE11" s="9">
        <f>SUM(IFERROR(VLOOKUP($C:$C,Structure!$A:$AJ,AE$1,0)*$D11,0),IFERROR(VLOOKUP($E:$E,Structure!$A:$AJ,AE$1,0)*$F11,0),IFERROR(VLOOKUP($G:$G,Structure!$A:$AJ,AE$1,0)*$H11,0))</f>
        <v>0</v>
      </c>
      <c r="AF11" s="9">
        <f>SUM(IFERROR(VLOOKUP($C:$C,Structure!$A:$AJ,AF$1,0)*$D11,0),IFERROR(VLOOKUP($E:$E,Structure!$A:$AJ,AF$1,0)*$F11,0),IFERROR(VLOOKUP($G:$G,Structure!$A:$AJ,AF$1,0)*$H11,0))</f>
        <v>0</v>
      </c>
      <c r="AG11" s="9">
        <f>SUM(IFERROR(VLOOKUP($C:$C,Structure!$A:$AJ,AG$1,0)*$D11,0),IFERROR(VLOOKUP($E:$E,Structure!$A:$AJ,AG$1,0)*$F11,0),IFERROR(VLOOKUP($G:$G,Structure!$A:$AJ,AG$1,0)*$H11,0))</f>
        <v>0</v>
      </c>
      <c r="AH11" s="9">
        <f>SUM(IFERROR(VLOOKUP($C:$C,Structure!$A:$AJ,AH$1,0)*$D11,0),IFERROR(VLOOKUP($E:$E,Structure!$A:$AJ,AH$1,0)*$F11,0),IFERROR(VLOOKUP($G:$G,Structure!$A:$AJ,AH$1,0)*$H11,0))</f>
        <v>0</v>
      </c>
      <c r="AI11" s="9">
        <f>SUM(IFERROR(VLOOKUP($C:$C,Structure!$A:$AJ,AI$1,0)*$D11,0),IFERROR(VLOOKUP($E:$E,Structure!$A:$AJ,AI$1,0)*$F11,0),IFERROR(VLOOKUP($G:$G,Structure!$A:$AJ,AI$1,0)*$H11,0))</f>
        <v>0</v>
      </c>
      <c r="AJ11" s="9">
        <f>SUM(IFERROR(VLOOKUP($C:$C,Structure!$A:$AJ,AJ$1,0)*$D11,0),IFERROR(VLOOKUP($E:$E,Structure!$A:$AJ,AJ$1,0)*$F11,0),IFERROR(VLOOKUP($G:$G,Structure!$A:$AJ,AJ$1,0)*$H11,0))</f>
        <v>0</v>
      </c>
      <c r="AK11" s="9">
        <f>SUM(IFERROR(VLOOKUP($C:$C,Structure!$A:$AJ,AK$1,0)*$D11,0),IFERROR(VLOOKUP($E:$E,Structure!$A:$AJ,AK$1,0)*$F11,0),IFERROR(VLOOKUP($G:$G,Structure!$A:$AJ,AK$1,0)*$H11,0))</f>
        <v>0</v>
      </c>
      <c r="AL11" s="9">
        <f>SUM(IFERROR(VLOOKUP($C:$C,Structure!$A:$AJ,AL$1,0)*$D11,0),IFERROR(VLOOKUP($E:$E,Structure!$A:$AJ,AL$1,0)*$F11,0),IFERROR(VLOOKUP($G:$G,Structure!$A:$AJ,AL$1,0)*$H11,0))</f>
        <v>0</v>
      </c>
      <c r="AM11" s="9">
        <f>SUM(IFERROR(VLOOKUP($C:$C,Structure!$A:$AJ,AM$1,0)*$D11,0),IFERROR(VLOOKUP($E:$E,Structure!$A:$AJ,AM$1,0)*$F11,0),IFERROR(VLOOKUP($G:$G,Structure!$A:$AJ,AM$1,0)*$H11,0))</f>
        <v>0</v>
      </c>
      <c r="AN11" s="9">
        <f>SUM(IFERROR(VLOOKUP($C:$C,Structure!$A:$AJ,AN$1,0)*$D11,0),IFERROR(VLOOKUP($E:$E,Structure!$A:$AJ,AN$1,0)*$F11,0),IFERROR(VLOOKUP($G:$G,Structure!$A:$AJ,AN$1,0)*$H11,0))</f>
        <v>0</v>
      </c>
      <c r="AO11" s="9">
        <f>SUM(IFERROR(VLOOKUP($C:$C,Structure!$A:$AJ,AO$1,0)*$D11,0),IFERROR(VLOOKUP($E:$E,Structure!$A:$AJ,AO$1,0)*$F11,0),IFERROR(VLOOKUP($G:$G,Structure!$A:$AJ,AO$1,0)*$H11,0))</f>
        <v>0</v>
      </c>
      <c r="AP11" s="9">
        <f>SUM(IFERROR(VLOOKUP($C:$C,Structure!$A:$AJ,AP$1,0)*$D11,0),IFERROR(VLOOKUP($E:$E,Structure!$A:$AJ,AP$1,0)*$F11,0),IFERROR(VLOOKUP($G:$G,Structure!$A:$AJ,AP$1,0)*$H11,0))</f>
        <v>0</v>
      </c>
      <c r="AQ11" s="9">
        <f>SUM(IFERROR(VLOOKUP($C:$C,Structure!$A:$AJ,AQ$1,0)*$D11,0),IFERROR(VLOOKUP($E:$E,Structure!$A:$AJ,AQ$1,0)*$F11,0),IFERROR(VLOOKUP($G:$G,Structure!$A:$AJ,AQ$1,0)*$H11,0))</f>
        <v>0</v>
      </c>
      <c r="AR11" s="21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4">
        <f t="shared" si="22"/>
        <v>0</v>
      </c>
      <c r="CE11" s="4">
        <f t="shared" si="23"/>
        <v>69</v>
      </c>
      <c r="CF11" s="4">
        <f t="shared" si="24"/>
        <v>4</v>
      </c>
      <c r="CG11" s="4">
        <f t="shared" si="25"/>
        <v>23</v>
      </c>
      <c r="CH11" s="4">
        <f t="shared" si="26"/>
        <v>1</v>
      </c>
      <c r="CI11" s="4">
        <f t="shared" si="27"/>
        <v>1</v>
      </c>
      <c r="CJ11" s="4">
        <f t="shared" si="28"/>
        <v>61</v>
      </c>
      <c r="CK11" s="4">
        <f t="shared" si="29"/>
        <v>248</v>
      </c>
      <c r="CL11" s="4">
        <f t="shared" si="30"/>
        <v>0</v>
      </c>
      <c r="CM11" s="4">
        <f t="shared" si="31"/>
        <v>4</v>
      </c>
      <c r="CN11" s="4">
        <f t="shared" si="32"/>
        <v>49</v>
      </c>
      <c r="CO11" s="4">
        <f t="shared" si="33"/>
        <v>0</v>
      </c>
      <c r="CP11" s="4">
        <f t="shared" si="34"/>
        <v>5</v>
      </c>
      <c r="CQ11" s="4">
        <f t="shared" si="35"/>
        <v>23</v>
      </c>
      <c r="CR11" s="4">
        <f t="shared" si="36"/>
        <v>34</v>
      </c>
      <c r="CS11" s="4">
        <f t="shared" si="37"/>
        <v>0</v>
      </c>
      <c r="CT11" s="4">
        <f t="shared" si="38"/>
        <v>0</v>
      </c>
      <c r="CU11" s="4">
        <f t="shared" si="39"/>
        <v>0</v>
      </c>
      <c r="CV11" s="4">
        <f t="shared" si="40"/>
        <v>0</v>
      </c>
      <c r="CW11" s="4">
        <f t="shared" si="41"/>
        <v>0</v>
      </c>
      <c r="CX11" s="4">
        <f t="shared" si="42"/>
        <v>43</v>
      </c>
      <c r="CY11" s="4">
        <f t="shared" si="43"/>
        <v>0</v>
      </c>
      <c r="CZ11" s="4">
        <f t="shared" si="44"/>
        <v>0</v>
      </c>
      <c r="DA11" s="4">
        <f t="shared" si="45"/>
        <v>0</v>
      </c>
      <c r="DB11" s="4">
        <f t="shared" si="46"/>
        <v>0</v>
      </c>
      <c r="DC11" s="4">
        <f t="shared" si="47"/>
        <v>0</v>
      </c>
      <c r="DD11" s="4">
        <f t="shared" si="48"/>
        <v>0</v>
      </c>
      <c r="DE11" s="4">
        <f t="shared" si="49"/>
        <v>0</v>
      </c>
      <c r="DF11" s="4">
        <f t="shared" si="50"/>
        <v>0</v>
      </c>
      <c r="DG11" s="4">
        <f t="shared" si="51"/>
        <v>0</v>
      </c>
      <c r="DH11" s="4">
        <f t="shared" si="52"/>
        <v>0</v>
      </c>
      <c r="DI11" s="4">
        <f t="shared" si="53"/>
        <v>0</v>
      </c>
      <c r="DJ11" s="4">
        <f t="shared" si="54"/>
        <v>0</v>
      </c>
      <c r="DK11" s="4">
        <f t="shared" si="55"/>
        <v>0</v>
      </c>
      <c r="DL11" s="4">
        <f t="shared" si="56"/>
        <v>0</v>
      </c>
    </row>
    <row r="12" spans="1:116" x14ac:dyDescent="0.25">
      <c r="A12" s="5">
        <v>46183</v>
      </c>
      <c r="B12" s="6">
        <v>0.50000000002182787</v>
      </c>
      <c r="C12" s="3"/>
      <c r="D12" s="3"/>
      <c r="E12" s="3" t="s">
        <v>38</v>
      </c>
      <c r="F12" s="3">
        <v>8</v>
      </c>
      <c r="G12" s="3"/>
      <c r="H12" s="9"/>
      <c r="I12" s="9">
        <f>SUM(IFERROR(VLOOKUP($C:$C,Structure!$A:$AJ,I$1,0)*$D12,0),IFERROR(VLOOKUP($E:$E,Structure!$A:$AJ,I$1,0)*$F12,0),IFERROR(VLOOKUP($G:$G,Structure!$A:$AJ,I$1,0)*$H12,0))</f>
        <v>0</v>
      </c>
      <c r="J12" s="9">
        <f>SUM(IFERROR(VLOOKUP($C:$C,Structure!$A:$AJ,J$1,0)*$D12,0),IFERROR(VLOOKUP($E:$E,Structure!$A:$AJ,J$1,0)*$F12,0),IFERROR(VLOOKUP($G:$G,Structure!$A:$AJ,J$1,0)*$H12,0))</f>
        <v>8</v>
      </c>
      <c r="K12" s="9">
        <f>SUM(IFERROR(VLOOKUP($C:$C,Structure!$A:$AJ,K$1,0)*$D12,0),IFERROR(VLOOKUP($E:$E,Structure!$A:$AJ,K$1,0)*$F12,0),IFERROR(VLOOKUP($G:$G,Structure!$A:$AJ,K$1,0)*$H12,0))</f>
        <v>0</v>
      </c>
      <c r="L12" s="9">
        <f>SUM(IFERROR(VLOOKUP($C:$C,Structure!$A:$AJ,L$1,0)*$D12,0),IFERROR(VLOOKUP($E:$E,Structure!$A:$AJ,L$1,0)*$F12,0),IFERROR(VLOOKUP($G:$G,Structure!$A:$AJ,L$1,0)*$H12,0))</f>
        <v>0</v>
      </c>
      <c r="M12" s="9">
        <f>SUM(IFERROR(VLOOKUP($C:$C,Structure!$A:$AJ,M$1,0)*$D12,0),IFERROR(VLOOKUP($E:$E,Structure!$A:$AJ,M$1,0)*$F12,0),IFERROR(VLOOKUP($G:$G,Structure!$A:$AJ,M$1,0)*$H12,0))</f>
        <v>0</v>
      </c>
      <c r="N12" s="9">
        <f>SUM(IFERROR(VLOOKUP($C:$C,Structure!$A:$AJ,N$1,0)*$D12,0),IFERROR(VLOOKUP($E:$E,Structure!$A:$AJ,N$1,0)*$F12,0),IFERROR(VLOOKUP($G:$G,Structure!$A:$AJ,N$1,0)*$H12,0))</f>
        <v>0</v>
      </c>
      <c r="O12" s="9">
        <f>SUM(IFERROR(VLOOKUP($C:$C,Structure!$A:$AJ,O$1,0)*$D12,0),IFERROR(VLOOKUP($E:$E,Structure!$A:$AJ,O$1,0)*$F12,0),IFERROR(VLOOKUP($G:$G,Structure!$A:$AJ,O$1,0)*$H12,0))</f>
        <v>0</v>
      </c>
      <c r="P12" s="9">
        <f>SUM(IFERROR(VLOOKUP($C:$C,Structure!$A:$AJ,P$1,0)*$D12,0),IFERROR(VLOOKUP($E:$E,Structure!$A:$AJ,P$1,0)*$F12,0),IFERROR(VLOOKUP($G:$G,Structure!$A:$AJ,P$1,0)*$H12,0))</f>
        <v>8</v>
      </c>
      <c r="Q12" s="9">
        <f>SUM(IFERROR(VLOOKUP($C:$C,Structure!$A:$AJ,Q$1,0)*$D12,0),IFERROR(VLOOKUP($E:$E,Structure!$A:$AJ,Q$1,0)*$F12,0),IFERROR(VLOOKUP($G:$G,Structure!$A:$AJ,Q$1,0)*$H12,0))</f>
        <v>0</v>
      </c>
      <c r="R12" s="9">
        <f>SUM(IFERROR(VLOOKUP($C:$C,Structure!$A:$AJ,R$1,0)*$D12,0),IFERROR(VLOOKUP($E:$E,Structure!$A:$AJ,R$1,0)*$F12,0),IFERROR(VLOOKUP($G:$G,Structure!$A:$AJ,R$1,0)*$H12,0))</f>
        <v>0</v>
      </c>
      <c r="S12" s="9">
        <f>SUM(IFERROR(VLOOKUP($C:$C,Structure!$A:$AJ,S$1,0)*$D12,0),IFERROR(VLOOKUP($E:$E,Structure!$A:$AJ,S$1,0)*$F12,0),IFERROR(VLOOKUP($G:$G,Structure!$A:$AJ,S$1,0)*$H12,0))</f>
        <v>0</v>
      </c>
      <c r="T12" s="9">
        <f>SUM(IFERROR(VLOOKUP($C:$C,Structure!$A:$AJ,T$1,0)*$D12,0),IFERROR(VLOOKUP($E:$E,Structure!$A:$AJ,T$1,0)*$F12,0),IFERROR(VLOOKUP($G:$G,Structure!$A:$AJ,T$1,0)*$H12,0))</f>
        <v>0</v>
      </c>
      <c r="U12" s="9">
        <f>SUM(IFERROR(VLOOKUP($C:$C,Structure!$A:$AJ,U$1,0)*$D12,0),IFERROR(VLOOKUP($E:$E,Structure!$A:$AJ,U$1,0)*$F12,0),IFERROR(VLOOKUP($G:$G,Structure!$A:$AJ,U$1,0)*$H12,0))</f>
        <v>0</v>
      </c>
      <c r="V12" s="9">
        <f>SUM(IFERROR(VLOOKUP($C:$C,Structure!$A:$AJ,V$1,0)*$D12,0),IFERROR(VLOOKUP($E:$E,Structure!$A:$AJ,V$1,0)*$F12,0),IFERROR(VLOOKUP($G:$G,Structure!$A:$AJ,V$1,0)*$H12,0))</f>
        <v>0</v>
      </c>
      <c r="W12" s="9">
        <f>SUM(IFERROR(VLOOKUP($C:$C,Structure!$A:$AJ,W$1,0)*$D12,0),IFERROR(VLOOKUP($E:$E,Structure!$A:$AJ,W$1,0)*$F12,0),IFERROR(VLOOKUP($G:$G,Structure!$A:$AJ,W$1,0)*$H12,0))</f>
        <v>0</v>
      </c>
      <c r="X12" s="9">
        <f>SUM(IFERROR(VLOOKUP($C:$C,Structure!$A:$AJ,X$1,0)*$D12,0),IFERROR(VLOOKUP($E:$E,Structure!$A:$AJ,X$1,0)*$F12,0),IFERROR(VLOOKUP($G:$G,Structure!$A:$AJ,X$1,0)*$H12,0))</f>
        <v>0</v>
      </c>
      <c r="Y12" s="9">
        <f>SUM(IFERROR(VLOOKUP($C:$C,Structure!$A:$AJ,Y$1,0)*$D12,0),IFERROR(VLOOKUP($E:$E,Structure!$A:$AJ,Y$1,0)*$F12,0),IFERROR(VLOOKUP($G:$G,Structure!$A:$AJ,Y$1,0)*$H12,0))</f>
        <v>0</v>
      </c>
      <c r="Z12" s="9">
        <f>SUM(IFERROR(VLOOKUP($C:$C,Structure!$A:$AJ,Z$1,0)*$D12,0),IFERROR(VLOOKUP($E:$E,Structure!$A:$AJ,Z$1,0)*$F12,0),IFERROR(VLOOKUP($G:$G,Structure!$A:$AJ,Z$1,0)*$H12,0))</f>
        <v>0</v>
      </c>
      <c r="AA12" s="9">
        <f>SUM(IFERROR(VLOOKUP($C:$C,Structure!$A:$AJ,AA$1,0)*$D12,0),IFERROR(VLOOKUP($E:$E,Structure!$A:$AJ,AA$1,0)*$F12,0),IFERROR(VLOOKUP($G:$G,Structure!$A:$AJ,AA$1,0)*$H12,0))</f>
        <v>0</v>
      </c>
      <c r="AB12" s="9">
        <f>SUM(IFERROR(VLOOKUP($C:$C,Structure!$A:$AJ,AB$1,0)*$D12,0),IFERROR(VLOOKUP($E:$E,Structure!$A:$AJ,AB$1,0)*$F12,0),IFERROR(VLOOKUP($G:$G,Structure!$A:$AJ,AB$1,0)*$H12,0))</f>
        <v>0</v>
      </c>
      <c r="AC12" s="9">
        <f>SUM(IFERROR(VLOOKUP($C:$C,Structure!$A:$AJ,AC$1,0)*$D12,0),IFERROR(VLOOKUP($E:$E,Structure!$A:$AJ,AC$1,0)*$F12,0),IFERROR(VLOOKUP($G:$G,Structure!$A:$AJ,AC$1,0)*$H12,0))</f>
        <v>0</v>
      </c>
      <c r="AD12" s="9">
        <f>SUM(IFERROR(VLOOKUP($C:$C,Structure!$A:$AJ,AD$1,0)*$D12,0),IFERROR(VLOOKUP($E:$E,Structure!$A:$AJ,AD$1,0)*$F12,0),IFERROR(VLOOKUP($G:$G,Structure!$A:$AJ,AD$1,0)*$H12,0))</f>
        <v>0</v>
      </c>
      <c r="AE12" s="9">
        <f>SUM(IFERROR(VLOOKUP($C:$C,Structure!$A:$AJ,AE$1,0)*$D12,0),IFERROR(VLOOKUP($E:$E,Structure!$A:$AJ,AE$1,0)*$F12,0),IFERROR(VLOOKUP($G:$G,Structure!$A:$AJ,AE$1,0)*$H12,0))</f>
        <v>0</v>
      </c>
      <c r="AF12" s="9">
        <f>SUM(IFERROR(VLOOKUP($C:$C,Structure!$A:$AJ,AF$1,0)*$D12,0),IFERROR(VLOOKUP($E:$E,Structure!$A:$AJ,AF$1,0)*$F12,0),IFERROR(VLOOKUP($G:$G,Structure!$A:$AJ,AF$1,0)*$H12,0))</f>
        <v>0</v>
      </c>
      <c r="AG12" s="9">
        <f>SUM(IFERROR(VLOOKUP($C:$C,Structure!$A:$AJ,AG$1,0)*$D12,0),IFERROR(VLOOKUP($E:$E,Structure!$A:$AJ,AG$1,0)*$F12,0),IFERROR(VLOOKUP($G:$G,Structure!$A:$AJ,AG$1,0)*$H12,0))</f>
        <v>0</v>
      </c>
      <c r="AH12" s="9">
        <f>SUM(IFERROR(VLOOKUP($C:$C,Structure!$A:$AJ,AH$1,0)*$D12,0),IFERROR(VLOOKUP($E:$E,Structure!$A:$AJ,AH$1,0)*$F12,0),IFERROR(VLOOKUP($G:$G,Structure!$A:$AJ,AH$1,0)*$H12,0))</f>
        <v>0</v>
      </c>
      <c r="AI12" s="9">
        <f>SUM(IFERROR(VLOOKUP($C:$C,Structure!$A:$AJ,AI$1,0)*$D12,0),IFERROR(VLOOKUP($E:$E,Structure!$A:$AJ,AI$1,0)*$F12,0),IFERROR(VLOOKUP($G:$G,Structure!$A:$AJ,AI$1,0)*$H12,0))</f>
        <v>0</v>
      </c>
      <c r="AJ12" s="9">
        <f>SUM(IFERROR(VLOOKUP($C:$C,Structure!$A:$AJ,AJ$1,0)*$D12,0),IFERROR(VLOOKUP($E:$E,Structure!$A:$AJ,AJ$1,0)*$F12,0),IFERROR(VLOOKUP($G:$G,Structure!$A:$AJ,AJ$1,0)*$H12,0))</f>
        <v>0</v>
      </c>
      <c r="AK12" s="9">
        <f>SUM(IFERROR(VLOOKUP($C:$C,Structure!$A:$AJ,AK$1,0)*$D12,0),IFERROR(VLOOKUP($E:$E,Structure!$A:$AJ,AK$1,0)*$F12,0),IFERROR(VLOOKUP($G:$G,Structure!$A:$AJ,AK$1,0)*$H12,0))</f>
        <v>0</v>
      </c>
      <c r="AL12" s="9">
        <f>SUM(IFERROR(VLOOKUP($C:$C,Structure!$A:$AJ,AL$1,0)*$D12,0),IFERROR(VLOOKUP($E:$E,Structure!$A:$AJ,AL$1,0)*$F12,0),IFERROR(VLOOKUP($G:$G,Structure!$A:$AJ,AL$1,0)*$H12,0))</f>
        <v>0</v>
      </c>
      <c r="AM12" s="9">
        <f>SUM(IFERROR(VLOOKUP($C:$C,Structure!$A:$AJ,AM$1,0)*$D12,0),IFERROR(VLOOKUP($E:$E,Structure!$A:$AJ,AM$1,0)*$F12,0),IFERROR(VLOOKUP($G:$G,Structure!$A:$AJ,AM$1,0)*$H12,0))</f>
        <v>0</v>
      </c>
      <c r="AN12" s="9">
        <f>SUM(IFERROR(VLOOKUP($C:$C,Structure!$A:$AJ,AN$1,0)*$D12,0),IFERROR(VLOOKUP($E:$E,Structure!$A:$AJ,AN$1,0)*$F12,0),IFERROR(VLOOKUP($G:$G,Structure!$A:$AJ,AN$1,0)*$H12,0))</f>
        <v>0</v>
      </c>
      <c r="AO12" s="9">
        <f>SUM(IFERROR(VLOOKUP($C:$C,Structure!$A:$AJ,AO$1,0)*$D12,0),IFERROR(VLOOKUP($E:$E,Structure!$A:$AJ,AO$1,0)*$F12,0),IFERROR(VLOOKUP($G:$G,Structure!$A:$AJ,AO$1,0)*$H12,0))</f>
        <v>0</v>
      </c>
      <c r="AP12" s="9">
        <f>SUM(IFERROR(VLOOKUP($C:$C,Structure!$A:$AJ,AP$1,0)*$D12,0),IFERROR(VLOOKUP($E:$E,Structure!$A:$AJ,AP$1,0)*$F12,0),IFERROR(VLOOKUP($G:$G,Structure!$A:$AJ,AP$1,0)*$H12,0))</f>
        <v>0</v>
      </c>
      <c r="AQ12" s="9">
        <f>SUM(IFERROR(VLOOKUP($C:$C,Structure!$A:$AJ,AQ$1,0)*$D12,0),IFERROR(VLOOKUP($E:$E,Structure!$A:$AJ,AQ$1,0)*$F12,0),IFERROR(VLOOKUP($G:$G,Structure!$A:$AJ,AQ$1,0)*$H12,0))</f>
        <v>0</v>
      </c>
      <c r="AR12" s="21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4">
        <f t="shared" si="22"/>
        <v>0</v>
      </c>
      <c r="CE12" s="4">
        <f t="shared" si="23"/>
        <v>61</v>
      </c>
      <c r="CF12" s="4">
        <f t="shared" si="24"/>
        <v>4</v>
      </c>
      <c r="CG12" s="4">
        <f t="shared" si="25"/>
        <v>23</v>
      </c>
      <c r="CH12" s="4">
        <f t="shared" si="26"/>
        <v>1</v>
      </c>
      <c r="CI12" s="4">
        <f t="shared" si="27"/>
        <v>1</v>
      </c>
      <c r="CJ12" s="4">
        <f t="shared" si="28"/>
        <v>61</v>
      </c>
      <c r="CK12" s="4">
        <f t="shared" si="29"/>
        <v>240</v>
      </c>
      <c r="CL12" s="4">
        <f t="shared" si="30"/>
        <v>0</v>
      </c>
      <c r="CM12" s="4">
        <f t="shared" si="31"/>
        <v>4</v>
      </c>
      <c r="CN12" s="4">
        <f t="shared" si="32"/>
        <v>49</v>
      </c>
      <c r="CO12" s="4">
        <f t="shared" si="33"/>
        <v>0</v>
      </c>
      <c r="CP12" s="4">
        <f t="shared" si="34"/>
        <v>5</v>
      </c>
      <c r="CQ12" s="4">
        <f t="shared" si="35"/>
        <v>23</v>
      </c>
      <c r="CR12" s="4">
        <f t="shared" si="36"/>
        <v>34</v>
      </c>
      <c r="CS12" s="4">
        <f t="shared" si="37"/>
        <v>0</v>
      </c>
      <c r="CT12" s="4">
        <f t="shared" si="38"/>
        <v>0</v>
      </c>
      <c r="CU12" s="4">
        <f t="shared" si="39"/>
        <v>0</v>
      </c>
      <c r="CV12" s="4">
        <f t="shared" si="40"/>
        <v>0</v>
      </c>
      <c r="CW12" s="4">
        <f t="shared" si="41"/>
        <v>0</v>
      </c>
      <c r="CX12" s="4">
        <f t="shared" si="42"/>
        <v>43</v>
      </c>
      <c r="CY12" s="4">
        <f t="shared" si="43"/>
        <v>0</v>
      </c>
      <c r="CZ12" s="4">
        <f t="shared" si="44"/>
        <v>0</v>
      </c>
      <c r="DA12" s="4">
        <f t="shared" si="45"/>
        <v>0</v>
      </c>
      <c r="DB12" s="4">
        <f t="shared" si="46"/>
        <v>0</v>
      </c>
      <c r="DC12" s="4">
        <f t="shared" si="47"/>
        <v>0</v>
      </c>
      <c r="DD12" s="4">
        <f t="shared" si="48"/>
        <v>0</v>
      </c>
      <c r="DE12" s="4">
        <f t="shared" si="49"/>
        <v>0</v>
      </c>
      <c r="DF12" s="4">
        <f t="shared" si="50"/>
        <v>0</v>
      </c>
      <c r="DG12" s="4">
        <f t="shared" si="51"/>
        <v>0</v>
      </c>
      <c r="DH12" s="4">
        <f t="shared" si="52"/>
        <v>0</v>
      </c>
      <c r="DI12" s="4">
        <f>DI11+BZ12-AN12</f>
        <v>0</v>
      </c>
      <c r="DJ12" s="4">
        <f t="shared" si="54"/>
        <v>0</v>
      </c>
      <c r="DK12" s="4">
        <f t="shared" si="55"/>
        <v>0</v>
      </c>
      <c r="DL12" s="4">
        <f t="shared" si="56"/>
        <v>0</v>
      </c>
    </row>
    <row r="13" spans="1:116" x14ac:dyDescent="0.25">
      <c r="A13" s="5">
        <v>46183</v>
      </c>
      <c r="B13" s="6">
        <v>0.52083333335758653</v>
      </c>
      <c r="C13" s="3"/>
      <c r="D13" s="3"/>
      <c r="E13" s="3" t="s">
        <v>38</v>
      </c>
      <c r="F13" s="3">
        <v>8</v>
      </c>
      <c r="G13" s="3"/>
      <c r="H13" s="9"/>
      <c r="I13" s="9">
        <f>SUM(IFERROR(VLOOKUP($C:$C,Structure!$A:$AJ,I$1,0)*$D13,0),IFERROR(VLOOKUP($E:$E,Structure!$A:$AJ,I$1,0)*$F13,0),IFERROR(VLOOKUP($G:$G,Structure!$A:$AJ,I$1,0)*$H13,0))</f>
        <v>0</v>
      </c>
      <c r="J13" s="9">
        <f>SUM(IFERROR(VLOOKUP($C:$C,Structure!$A:$AJ,J$1,0)*$D13,0),IFERROR(VLOOKUP($E:$E,Structure!$A:$AJ,J$1,0)*$F13,0),IFERROR(VLOOKUP($G:$G,Structure!$A:$AJ,J$1,0)*$H13,0))</f>
        <v>8</v>
      </c>
      <c r="K13" s="9">
        <f>SUM(IFERROR(VLOOKUP($C:$C,Structure!$A:$AJ,K$1,0)*$D13,0),IFERROR(VLOOKUP($E:$E,Structure!$A:$AJ,K$1,0)*$F13,0),IFERROR(VLOOKUP($G:$G,Structure!$A:$AJ,K$1,0)*$H13,0))</f>
        <v>0</v>
      </c>
      <c r="L13" s="9">
        <f>SUM(IFERROR(VLOOKUP($C:$C,Structure!$A:$AJ,L$1,0)*$D13,0),IFERROR(VLOOKUP($E:$E,Structure!$A:$AJ,L$1,0)*$F13,0),IFERROR(VLOOKUP($G:$G,Structure!$A:$AJ,L$1,0)*$H13,0))</f>
        <v>0</v>
      </c>
      <c r="M13" s="9">
        <f>SUM(IFERROR(VLOOKUP($C:$C,Structure!$A:$AJ,M$1,0)*$D13,0),IFERROR(VLOOKUP($E:$E,Structure!$A:$AJ,M$1,0)*$F13,0),IFERROR(VLOOKUP($G:$G,Structure!$A:$AJ,M$1,0)*$H13,0))</f>
        <v>0</v>
      </c>
      <c r="N13" s="9">
        <f>SUM(IFERROR(VLOOKUP($C:$C,Structure!$A:$AJ,N$1,0)*$D13,0),IFERROR(VLOOKUP($E:$E,Structure!$A:$AJ,N$1,0)*$F13,0),IFERROR(VLOOKUP($G:$G,Structure!$A:$AJ,N$1,0)*$H13,0))</f>
        <v>0</v>
      </c>
      <c r="O13" s="9">
        <f>SUM(IFERROR(VLOOKUP($C:$C,Structure!$A:$AJ,O$1,0)*$D13,0),IFERROR(VLOOKUP($E:$E,Structure!$A:$AJ,O$1,0)*$F13,0),IFERROR(VLOOKUP($G:$G,Structure!$A:$AJ,O$1,0)*$H13,0))</f>
        <v>0</v>
      </c>
      <c r="P13" s="9">
        <f>SUM(IFERROR(VLOOKUP($C:$C,Structure!$A:$AJ,P$1,0)*$D13,0),IFERROR(VLOOKUP($E:$E,Structure!$A:$AJ,P$1,0)*$F13,0),IFERROR(VLOOKUP($G:$G,Structure!$A:$AJ,P$1,0)*$H13,0))</f>
        <v>8</v>
      </c>
      <c r="Q13" s="9">
        <f>SUM(IFERROR(VLOOKUP($C:$C,Structure!$A:$AJ,Q$1,0)*$D13,0),IFERROR(VLOOKUP($E:$E,Structure!$A:$AJ,Q$1,0)*$F13,0),IFERROR(VLOOKUP($G:$G,Structure!$A:$AJ,Q$1,0)*$H13,0))</f>
        <v>0</v>
      </c>
      <c r="R13" s="9">
        <f>SUM(IFERROR(VLOOKUP($C:$C,Structure!$A:$AJ,R$1,0)*$D13,0),IFERROR(VLOOKUP($E:$E,Structure!$A:$AJ,R$1,0)*$F13,0),IFERROR(VLOOKUP($G:$G,Structure!$A:$AJ,R$1,0)*$H13,0))</f>
        <v>0</v>
      </c>
      <c r="S13" s="9">
        <f>SUM(IFERROR(VLOOKUP($C:$C,Structure!$A:$AJ,S$1,0)*$D13,0),IFERROR(VLOOKUP($E:$E,Structure!$A:$AJ,S$1,0)*$F13,0),IFERROR(VLOOKUP($G:$G,Structure!$A:$AJ,S$1,0)*$H13,0))</f>
        <v>0</v>
      </c>
      <c r="T13" s="9">
        <f>SUM(IFERROR(VLOOKUP($C:$C,Structure!$A:$AJ,T$1,0)*$D13,0),IFERROR(VLOOKUP($E:$E,Structure!$A:$AJ,T$1,0)*$F13,0),IFERROR(VLOOKUP($G:$G,Structure!$A:$AJ,T$1,0)*$H13,0))</f>
        <v>0</v>
      </c>
      <c r="U13" s="9">
        <f>SUM(IFERROR(VLOOKUP($C:$C,Structure!$A:$AJ,U$1,0)*$D13,0),IFERROR(VLOOKUP($E:$E,Structure!$A:$AJ,U$1,0)*$F13,0),IFERROR(VLOOKUP($G:$G,Structure!$A:$AJ,U$1,0)*$H13,0))</f>
        <v>0</v>
      </c>
      <c r="V13" s="9">
        <f>SUM(IFERROR(VLOOKUP($C:$C,Structure!$A:$AJ,V$1,0)*$D13,0),IFERROR(VLOOKUP($E:$E,Structure!$A:$AJ,V$1,0)*$F13,0),IFERROR(VLOOKUP($G:$G,Structure!$A:$AJ,V$1,0)*$H13,0))</f>
        <v>0</v>
      </c>
      <c r="W13" s="9">
        <f>SUM(IFERROR(VLOOKUP($C:$C,Structure!$A:$AJ,W$1,0)*$D13,0),IFERROR(VLOOKUP($E:$E,Structure!$A:$AJ,W$1,0)*$F13,0),IFERROR(VLOOKUP($G:$G,Structure!$A:$AJ,W$1,0)*$H13,0))</f>
        <v>0</v>
      </c>
      <c r="X13" s="9">
        <f>SUM(IFERROR(VLOOKUP($C:$C,Structure!$A:$AJ,X$1,0)*$D13,0),IFERROR(VLOOKUP($E:$E,Structure!$A:$AJ,X$1,0)*$F13,0),IFERROR(VLOOKUP($G:$G,Structure!$A:$AJ,X$1,0)*$H13,0))</f>
        <v>0</v>
      </c>
      <c r="Y13" s="9">
        <f>SUM(IFERROR(VLOOKUP($C:$C,Structure!$A:$AJ,Y$1,0)*$D13,0),IFERROR(VLOOKUP($E:$E,Structure!$A:$AJ,Y$1,0)*$F13,0),IFERROR(VLOOKUP($G:$G,Structure!$A:$AJ,Y$1,0)*$H13,0))</f>
        <v>0</v>
      </c>
      <c r="Z13" s="9">
        <f>SUM(IFERROR(VLOOKUP($C:$C,Structure!$A:$AJ,Z$1,0)*$D13,0),IFERROR(VLOOKUP($E:$E,Structure!$A:$AJ,Z$1,0)*$F13,0),IFERROR(VLOOKUP($G:$G,Structure!$A:$AJ,Z$1,0)*$H13,0))</f>
        <v>0</v>
      </c>
      <c r="AA13" s="9">
        <f>SUM(IFERROR(VLOOKUP($C:$C,Structure!$A:$AJ,AA$1,0)*$D13,0),IFERROR(VLOOKUP($E:$E,Structure!$A:$AJ,AA$1,0)*$F13,0),IFERROR(VLOOKUP($G:$G,Structure!$A:$AJ,AA$1,0)*$H13,0))</f>
        <v>0</v>
      </c>
      <c r="AB13" s="9">
        <f>SUM(IFERROR(VLOOKUP($C:$C,Structure!$A:$AJ,AB$1,0)*$D13,0),IFERROR(VLOOKUP($E:$E,Structure!$A:$AJ,AB$1,0)*$F13,0),IFERROR(VLOOKUP($G:$G,Structure!$A:$AJ,AB$1,0)*$H13,0))</f>
        <v>0</v>
      </c>
      <c r="AC13" s="9">
        <f>SUM(IFERROR(VLOOKUP($C:$C,Structure!$A:$AJ,AC$1,0)*$D13,0),IFERROR(VLOOKUP($E:$E,Structure!$A:$AJ,AC$1,0)*$F13,0),IFERROR(VLOOKUP($G:$G,Structure!$A:$AJ,AC$1,0)*$H13,0))</f>
        <v>0</v>
      </c>
      <c r="AD13" s="9">
        <f>SUM(IFERROR(VLOOKUP($C:$C,Structure!$A:$AJ,AD$1,0)*$D13,0),IFERROR(VLOOKUP($E:$E,Structure!$A:$AJ,AD$1,0)*$F13,0),IFERROR(VLOOKUP($G:$G,Structure!$A:$AJ,AD$1,0)*$H13,0))</f>
        <v>0</v>
      </c>
      <c r="AE13" s="9">
        <f>SUM(IFERROR(VLOOKUP($C:$C,Structure!$A:$AJ,AE$1,0)*$D13,0),IFERROR(VLOOKUP($E:$E,Structure!$A:$AJ,AE$1,0)*$F13,0),IFERROR(VLOOKUP($G:$G,Structure!$A:$AJ,AE$1,0)*$H13,0))</f>
        <v>0</v>
      </c>
      <c r="AF13" s="9">
        <f>SUM(IFERROR(VLOOKUP($C:$C,Structure!$A:$AJ,AF$1,0)*$D13,0),IFERROR(VLOOKUP($E:$E,Structure!$A:$AJ,AF$1,0)*$F13,0),IFERROR(VLOOKUP($G:$G,Structure!$A:$AJ,AF$1,0)*$H13,0))</f>
        <v>0</v>
      </c>
      <c r="AG13" s="9">
        <f>SUM(IFERROR(VLOOKUP($C:$C,Structure!$A:$AJ,AG$1,0)*$D13,0),IFERROR(VLOOKUP($E:$E,Structure!$A:$AJ,AG$1,0)*$F13,0),IFERROR(VLOOKUP($G:$G,Structure!$A:$AJ,AG$1,0)*$H13,0))</f>
        <v>0</v>
      </c>
      <c r="AH13" s="9">
        <f>SUM(IFERROR(VLOOKUP($C:$C,Structure!$A:$AJ,AH$1,0)*$D13,0),IFERROR(VLOOKUP($E:$E,Structure!$A:$AJ,AH$1,0)*$F13,0),IFERROR(VLOOKUP($G:$G,Structure!$A:$AJ,AH$1,0)*$H13,0))</f>
        <v>0</v>
      </c>
      <c r="AI13" s="9">
        <f>SUM(IFERROR(VLOOKUP($C:$C,Structure!$A:$AJ,AI$1,0)*$D13,0),IFERROR(VLOOKUP($E:$E,Structure!$A:$AJ,AI$1,0)*$F13,0),IFERROR(VLOOKUP($G:$G,Structure!$A:$AJ,AI$1,0)*$H13,0))</f>
        <v>0</v>
      </c>
      <c r="AJ13" s="9">
        <f>SUM(IFERROR(VLOOKUP($C:$C,Structure!$A:$AJ,AJ$1,0)*$D13,0),IFERROR(VLOOKUP($E:$E,Structure!$A:$AJ,AJ$1,0)*$F13,0),IFERROR(VLOOKUP($G:$G,Structure!$A:$AJ,AJ$1,0)*$H13,0))</f>
        <v>0</v>
      </c>
      <c r="AK13" s="9">
        <f>SUM(IFERROR(VLOOKUP($C:$C,Structure!$A:$AJ,AK$1,0)*$D13,0),IFERROR(VLOOKUP($E:$E,Structure!$A:$AJ,AK$1,0)*$F13,0),IFERROR(VLOOKUP($G:$G,Structure!$A:$AJ,AK$1,0)*$H13,0))</f>
        <v>0</v>
      </c>
      <c r="AL13" s="9">
        <f>SUM(IFERROR(VLOOKUP($C:$C,Structure!$A:$AJ,AL$1,0)*$D13,0),IFERROR(VLOOKUP($E:$E,Structure!$A:$AJ,AL$1,0)*$F13,0),IFERROR(VLOOKUP($G:$G,Structure!$A:$AJ,AL$1,0)*$H13,0))</f>
        <v>0</v>
      </c>
      <c r="AM13" s="9">
        <f>SUM(IFERROR(VLOOKUP($C:$C,Structure!$A:$AJ,AM$1,0)*$D13,0),IFERROR(VLOOKUP($E:$E,Structure!$A:$AJ,AM$1,0)*$F13,0),IFERROR(VLOOKUP($G:$G,Structure!$A:$AJ,AM$1,0)*$H13,0))</f>
        <v>0</v>
      </c>
      <c r="AN13" s="9">
        <f>SUM(IFERROR(VLOOKUP($C:$C,Structure!$A:$AJ,AN$1,0)*$D13,0),IFERROR(VLOOKUP($E:$E,Structure!$A:$AJ,AN$1,0)*$F13,0),IFERROR(VLOOKUP($G:$G,Structure!$A:$AJ,AN$1,0)*$H13,0))</f>
        <v>0</v>
      </c>
      <c r="AO13" s="9">
        <f>SUM(IFERROR(VLOOKUP($C:$C,Structure!$A:$AJ,AO$1,0)*$D13,0),IFERROR(VLOOKUP($E:$E,Structure!$A:$AJ,AO$1,0)*$F13,0),IFERROR(VLOOKUP($G:$G,Structure!$A:$AJ,AO$1,0)*$H13,0))</f>
        <v>0</v>
      </c>
      <c r="AP13" s="9">
        <f>SUM(IFERROR(VLOOKUP($C:$C,Structure!$A:$AJ,AP$1,0)*$D13,0),IFERROR(VLOOKUP($E:$E,Structure!$A:$AJ,AP$1,0)*$F13,0),IFERROR(VLOOKUP($G:$G,Structure!$A:$AJ,AP$1,0)*$H13,0))</f>
        <v>0</v>
      </c>
      <c r="AQ13" s="9">
        <f>SUM(IFERROR(VLOOKUP($C:$C,Structure!$A:$AJ,AQ$1,0)*$D13,0),IFERROR(VLOOKUP($E:$E,Structure!$A:$AJ,AQ$1,0)*$F13,0),IFERROR(VLOOKUP($G:$G,Structure!$A:$AJ,AQ$1,0)*$H13,0))</f>
        <v>0</v>
      </c>
      <c r="AR13" s="21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4">
        <f t="shared" si="22"/>
        <v>0</v>
      </c>
      <c r="CE13" s="4">
        <f t="shared" si="23"/>
        <v>53</v>
      </c>
      <c r="CF13" s="4">
        <f t="shared" si="24"/>
        <v>4</v>
      </c>
      <c r="CG13" s="4">
        <f t="shared" si="25"/>
        <v>23</v>
      </c>
      <c r="CH13" s="4">
        <f t="shared" si="26"/>
        <v>1</v>
      </c>
      <c r="CI13" s="4">
        <f t="shared" si="27"/>
        <v>1</v>
      </c>
      <c r="CJ13" s="4">
        <f t="shared" si="28"/>
        <v>61</v>
      </c>
      <c r="CK13" s="4">
        <f t="shared" si="29"/>
        <v>232</v>
      </c>
      <c r="CL13" s="4">
        <f t="shared" si="30"/>
        <v>0</v>
      </c>
      <c r="CM13" s="4">
        <f t="shared" si="31"/>
        <v>4</v>
      </c>
      <c r="CN13" s="4">
        <f t="shared" si="32"/>
        <v>49</v>
      </c>
      <c r="CO13" s="4">
        <f t="shared" si="33"/>
        <v>0</v>
      </c>
      <c r="CP13" s="4">
        <f t="shared" si="34"/>
        <v>5</v>
      </c>
      <c r="CQ13" s="4">
        <f t="shared" si="35"/>
        <v>23</v>
      </c>
      <c r="CR13" s="4">
        <f t="shared" si="36"/>
        <v>34</v>
      </c>
      <c r="CS13" s="4">
        <f t="shared" si="37"/>
        <v>0</v>
      </c>
      <c r="CT13" s="4">
        <f t="shared" si="38"/>
        <v>0</v>
      </c>
      <c r="CU13" s="4">
        <f t="shared" si="39"/>
        <v>0</v>
      </c>
      <c r="CV13" s="4">
        <f t="shared" si="40"/>
        <v>0</v>
      </c>
      <c r="CW13" s="4">
        <f t="shared" si="41"/>
        <v>0</v>
      </c>
      <c r="CX13" s="4">
        <f t="shared" si="42"/>
        <v>43</v>
      </c>
      <c r="CY13" s="4">
        <f t="shared" si="43"/>
        <v>0</v>
      </c>
      <c r="CZ13" s="4">
        <f t="shared" si="44"/>
        <v>0</v>
      </c>
      <c r="DA13" s="4">
        <f t="shared" si="45"/>
        <v>0</v>
      </c>
      <c r="DB13" s="4">
        <f t="shared" si="46"/>
        <v>0</v>
      </c>
      <c r="DC13" s="4">
        <f t="shared" si="47"/>
        <v>0</v>
      </c>
      <c r="DD13" s="4">
        <f t="shared" si="48"/>
        <v>0</v>
      </c>
      <c r="DE13" s="4">
        <f t="shared" si="49"/>
        <v>0</v>
      </c>
      <c r="DF13" s="4">
        <f t="shared" si="50"/>
        <v>0</v>
      </c>
      <c r="DG13" s="4">
        <f t="shared" si="51"/>
        <v>0</v>
      </c>
      <c r="DH13" s="4">
        <f t="shared" si="52"/>
        <v>0</v>
      </c>
      <c r="DI13" s="4">
        <f>DI12+BZ13-AN13</f>
        <v>0</v>
      </c>
      <c r="DJ13" s="4">
        <f t="shared" si="54"/>
        <v>0</v>
      </c>
      <c r="DK13" s="4">
        <f t="shared" si="55"/>
        <v>0</v>
      </c>
      <c r="DL13" s="4">
        <f t="shared" si="56"/>
        <v>0</v>
      </c>
    </row>
    <row r="14" spans="1:116" x14ac:dyDescent="0.25">
      <c r="A14" s="5">
        <v>46183</v>
      </c>
      <c r="B14" s="6">
        <v>0.54166666669334518</v>
      </c>
      <c r="C14" s="3"/>
      <c r="D14" s="3"/>
      <c r="E14" s="3" t="s">
        <v>38</v>
      </c>
      <c r="F14" s="3">
        <v>8</v>
      </c>
      <c r="G14" s="3"/>
      <c r="H14" s="9"/>
      <c r="I14" s="9">
        <f>SUM(IFERROR(VLOOKUP($C:$C,Structure!$A:$AJ,I$1,0)*$D14,0),IFERROR(VLOOKUP($E:$E,Structure!$A:$AJ,I$1,0)*$F14,0),IFERROR(VLOOKUP($G:$G,Structure!$A:$AJ,I$1,0)*$H14,0))</f>
        <v>0</v>
      </c>
      <c r="J14" s="9">
        <f>SUM(IFERROR(VLOOKUP($C:$C,Structure!$A:$AJ,J$1,0)*$D14,0),IFERROR(VLOOKUP($E:$E,Structure!$A:$AJ,J$1,0)*$F14,0),IFERROR(VLOOKUP($G:$G,Structure!$A:$AJ,J$1,0)*$H14,0))</f>
        <v>8</v>
      </c>
      <c r="K14" s="9">
        <f>SUM(IFERROR(VLOOKUP($C:$C,Structure!$A:$AJ,K$1,0)*$D14,0),IFERROR(VLOOKUP($E:$E,Structure!$A:$AJ,K$1,0)*$F14,0),IFERROR(VLOOKUP($G:$G,Structure!$A:$AJ,K$1,0)*$H14,0))</f>
        <v>0</v>
      </c>
      <c r="L14" s="9">
        <f>SUM(IFERROR(VLOOKUP($C:$C,Structure!$A:$AJ,L$1,0)*$D14,0),IFERROR(VLOOKUP($E:$E,Structure!$A:$AJ,L$1,0)*$F14,0),IFERROR(VLOOKUP($G:$G,Structure!$A:$AJ,L$1,0)*$H14,0))</f>
        <v>0</v>
      </c>
      <c r="M14" s="9">
        <f>SUM(IFERROR(VLOOKUP($C:$C,Structure!$A:$AJ,M$1,0)*$D14,0),IFERROR(VLOOKUP($E:$E,Structure!$A:$AJ,M$1,0)*$F14,0),IFERROR(VLOOKUP($G:$G,Structure!$A:$AJ,M$1,0)*$H14,0))</f>
        <v>0</v>
      </c>
      <c r="N14" s="9">
        <f>SUM(IFERROR(VLOOKUP($C:$C,Structure!$A:$AJ,N$1,0)*$D14,0),IFERROR(VLOOKUP($E:$E,Structure!$A:$AJ,N$1,0)*$F14,0),IFERROR(VLOOKUP($G:$G,Structure!$A:$AJ,N$1,0)*$H14,0))</f>
        <v>0</v>
      </c>
      <c r="O14" s="9">
        <f>SUM(IFERROR(VLOOKUP($C:$C,Structure!$A:$AJ,O$1,0)*$D14,0),IFERROR(VLOOKUP($E:$E,Structure!$A:$AJ,O$1,0)*$F14,0),IFERROR(VLOOKUP($G:$G,Structure!$A:$AJ,O$1,0)*$H14,0))</f>
        <v>0</v>
      </c>
      <c r="P14" s="9">
        <f>SUM(IFERROR(VLOOKUP($C:$C,Structure!$A:$AJ,P$1,0)*$D14,0),IFERROR(VLOOKUP($E:$E,Structure!$A:$AJ,P$1,0)*$F14,0),IFERROR(VLOOKUP($G:$G,Structure!$A:$AJ,P$1,0)*$H14,0))</f>
        <v>8</v>
      </c>
      <c r="Q14" s="9">
        <f>SUM(IFERROR(VLOOKUP($C:$C,Structure!$A:$AJ,Q$1,0)*$D14,0),IFERROR(VLOOKUP($E:$E,Structure!$A:$AJ,Q$1,0)*$F14,0),IFERROR(VLOOKUP($G:$G,Structure!$A:$AJ,Q$1,0)*$H14,0))</f>
        <v>0</v>
      </c>
      <c r="R14" s="9">
        <f>SUM(IFERROR(VLOOKUP($C:$C,Structure!$A:$AJ,R$1,0)*$D14,0),IFERROR(VLOOKUP($E:$E,Structure!$A:$AJ,R$1,0)*$F14,0),IFERROR(VLOOKUP($G:$G,Structure!$A:$AJ,R$1,0)*$H14,0))</f>
        <v>0</v>
      </c>
      <c r="S14" s="9">
        <f>SUM(IFERROR(VLOOKUP($C:$C,Structure!$A:$AJ,S$1,0)*$D14,0),IFERROR(VLOOKUP($E:$E,Structure!$A:$AJ,S$1,0)*$F14,0),IFERROR(VLOOKUP($G:$G,Structure!$A:$AJ,S$1,0)*$H14,0))</f>
        <v>0</v>
      </c>
      <c r="T14" s="9">
        <f>SUM(IFERROR(VLOOKUP($C:$C,Structure!$A:$AJ,T$1,0)*$D14,0),IFERROR(VLOOKUP($E:$E,Structure!$A:$AJ,T$1,0)*$F14,0),IFERROR(VLOOKUP($G:$G,Structure!$A:$AJ,T$1,0)*$H14,0))</f>
        <v>0</v>
      </c>
      <c r="U14" s="9">
        <f>SUM(IFERROR(VLOOKUP($C:$C,Structure!$A:$AJ,U$1,0)*$D14,0),IFERROR(VLOOKUP($E:$E,Structure!$A:$AJ,U$1,0)*$F14,0),IFERROR(VLOOKUP($G:$G,Structure!$A:$AJ,U$1,0)*$H14,0))</f>
        <v>0</v>
      </c>
      <c r="V14" s="9">
        <f>SUM(IFERROR(VLOOKUP($C:$C,Structure!$A:$AJ,V$1,0)*$D14,0),IFERROR(VLOOKUP($E:$E,Structure!$A:$AJ,V$1,0)*$F14,0),IFERROR(VLOOKUP($G:$G,Structure!$A:$AJ,V$1,0)*$H14,0))</f>
        <v>0</v>
      </c>
      <c r="W14" s="9">
        <f>SUM(IFERROR(VLOOKUP($C:$C,Structure!$A:$AJ,W$1,0)*$D14,0),IFERROR(VLOOKUP($E:$E,Structure!$A:$AJ,W$1,0)*$F14,0),IFERROR(VLOOKUP($G:$G,Structure!$A:$AJ,W$1,0)*$H14,0))</f>
        <v>0</v>
      </c>
      <c r="X14" s="9">
        <f>SUM(IFERROR(VLOOKUP($C:$C,Structure!$A:$AJ,X$1,0)*$D14,0),IFERROR(VLOOKUP($E:$E,Structure!$A:$AJ,X$1,0)*$F14,0),IFERROR(VLOOKUP($G:$G,Structure!$A:$AJ,X$1,0)*$H14,0))</f>
        <v>0</v>
      </c>
      <c r="Y14" s="9">
        <f>SUM(IFERROR(VLOOKUP($C:$C,Structure!$A:$AJ,Y$1,0)*$D14,0),IFERROR(VLOOKUP($E:$E,Structure!$A:$AJ,Y$1,0)*$F14,0),IFERROR(VLOOKUP($G:$G,Structure!$A:$AJ,Y$1,0)*$H14,0))</f>
        <v>0</v>
      </c>
      <c r="Z14" s="9">
        <f>SUM(IFERROR(VLOOKUP($C:$C,Structure!$A:$AJ,Z$1,0)*$D14,0),IFERROR(VLOOKUP($E:$E,Structure!$A:$AJ,Z$1,0)*$F14,0),IFERROR(VLOOKUP($G:$G,Structure!$A:$AJ,Z$1,0)*$H14,0))</f>
        <v>0</v>
      </c>
      <c r="AA14" s="9">
        <f>SUM(IFERROR(VLOOKUP($C:$C,Structure!$A:$AJ,AA$1,0)*$D14,0),IFERROR(VLOOKUP($E:$E,Structure!$A:$AJ,AA$1,0)*$F14,0),IFERROR(VLOOKUP($G:$G,Structure!$A:$AJ,AA$1,0)*$H14,0))</f>
        <v>0</v>
      </c>
      <c r="AB14" s="9">
        <f>SUM(IFERROR(VLOOKUP($C:$C,Structure!$A:$AJ,AB$1,0)*$D14,0),IFERROR(VLOOKUP($E:$E,Structure!$A:$AJ,AB$1,0)*$F14,0),IFERROR(VLOOKUP($G:$G,Structure!$A:$AJ,AB$1,0)*$H14,0))</f>
        <v>0</v>
      </c>
      <c r="AC14" s="9">
        <f>SUM(IFERROR(VLOOKUP($C:$C,Structure!$A:$AJ,AC$1,0)*$D14,0),IFERROR(VLOOKUP($E:$E,Structure!$A:$AJ,AC$1,0)*$F14,0),IFERROR(VLOOKUP($G:$G,Structure!$A:$AJ,AC$1,0)*$H14,0))</f>
        <v>0</v>
      </c>
      <c r="AD14" s="9">
        <f>SUM(IFERROR(VLOOKUP($C:$C,Structure!$A:$AJ,AD$1,0)*$D14,0),IFERROR(VLOOKUP($E:$E,Structure!$A:$AJ,AD$1,0)*$F14,0),IFERROR(VLOOKUP($G:$G,Structure!$A:$AJ,AD$1,0)*$H14,0))</f>
        <v>0</v>
      </c>
      <c r="AE14" s="9">
        <f>SUM(IFERROR(VLOOKUP($C:$C,Structure!$A:$AJ,AE$1,0)*$D14,0),IFERROR(VLOOKUP($E:$E,Structure!$A:$AJ,AE$1,0)*$F14,0),IFERROR(VLOOKUP($G:$G,Structure!$A:$AJ,AE$1,0)*$H14,0))</f>
        <v>0</v>
      </c>
      <c r="AF14" s="9">
        <f>SUM(IFERROR(VLOOKUP($C:$C,Structure!$A:$AJ,AF$1,0)*$D14,0),IFERROR(VLOOKUP($E:$E,Structure!$A:$AJ,AF$1,0)*$F14,0),IFERROR(VLOOKUP($G:$G,Structure!$A:$AJ,AF$1,0)*$H14,0))</f>
        <v>0</v>
      </c>
      <c r="AG14" s="9">
        <f>SUM(IFERROR(VLOOKUP($C:$C,Structure!$A:$AJ,AG$1,0)*$D14,0),IFERROR(VLOOKUP($E:$E,Structure!$A:$AJ,AG$1,0)*$F14,0),IFERROR(VLOOKUP($G:$G,Structure!$A:$AJ,AG$1,0)*$H14,0))</f>
        <v>0</v>
      </c>
      <c r="AH14" s="9">
        <f>SUM(IFERROR(VLOOKUP($C:$C,Structure!$A:$AJ,AH$1,0)*$D14,0),IFERROR(VLOOKUP($E:$E,Structure!$A:$AJ,AH$1,0)*$F14,0),IFERROR(VLOOKUP($G:$G,Structure!$A:$AJ,AH$1,0)*$H14,0))</f>
        <v>0</v>
      </c>
      <c r="AI14" s="9">
        <f>SUM(IFERROR(VLOOKUP($C:$C,Structure!$A:$AJ,AI$1,0)*$D14,0),IFERROR(VLOOKUP($E:$E,Structure!$A:$AJ,AI$1,0)*$F14,0),IFERROR(VLOOKUP($G:$G,Structure!$A:$AJ,AI$1,0)*$H14,0))</f>
        <v>0</v>
      </c>
      <c r="AJ14" s="9">
        <f>SUM(IFERROR(VLOOKUP($C:$C,Structure!$A:$AJ,AJ$1,0)*$D14,0),IFERROR(VLOOKUP($E:$E,Structure!$A:$AJ,AJ$1,0)*$F14,0),IFERROR(VLOOKUP($G:$G,Structure!$A:$AJ,AJ$1,0)*$H14,0))</f>
        <v>0</v>
      </c>
      <c r="AK14" s="9">
        <f>SUM(IFERROR(VLOOKUP($C:$C,Structure!$A:$AJ,AK$1,0)*$D14,0),IFERROR(VLOOKUP($E:$E,Structure!$A:$AJ,AK$1,0)*$F14,0),IFERROR(VLOOKUP($G:$G,Structure!$A:$AJ,AK$1,0)*$H14,0))</f>
        <v>0</v>
      </c>
      <c r="AL14" s="9">
        <f>SUM(IFERROR(VLOOKUP($C:$C,Structure!$A:$AJ,AL$1,0)*$D14,0),IFERROR(VLOOKUP($E:$E,Structure!$A:$AJ,AL$1,0)*$F14,0),IFERROR(VLOOKUP($G:$G,Structure!$A:$AJ,AL$1,0)*$H14,0))</f>
        <v>0</v>
      </c>
      <c r="AM14" s="9">
        <f>SUM(IFERROR(VLOOKUP($C:$C,Structure!$A:$AJ,AM$1,0)*$D14,0),IFERROR(VLOOKUP($E:$E,Structure!$A:$AJ,AM$1,0)*$F14,0),IFERROR(VLOOKUP($G:$G,Structure!$A:$AJ,AM$1,0)*$H14,0))</f>
        <v>0</v>
      </c>
      <c r="AN14" s="9">
        <f>SUM(IFERROR(VLOOKUP($C:$C,Structure!$A:$AJ,AN$1,0)*$D14,0),IFERROR(VLOOKUP($E:$E,Structure!$A:$AJ,AN$1,0)*$F14,0),IFERROR(VLOOKUP($G:$G,Structure!$A:$AJ,AN$1,0)*$H14,0))</f>
        <v>0</v>
      </c>
      <c r="AO14" s="9">
        <f>SUM(IFERROR(VLOOKUP($C:$C,Structure!$A:$AJ,AO$1,0)*$D14,0),IFERROR(VLOOKUP($E:$E,Structure!$A:$AJ,AO$1,0)*$F14,0),IFERROR(VLOOKUP($G:$G,Structure!$A:$AJ,AO$1,0)*$H14,0))</f>
        <v>0</v>
      </c>
      <c r="AP14" s="9">
        <f>SUM(IFERROR(VLOOKUP($C:$C,Structure!$A:$AJ,AP$1,0)*$D14,0),IFERROR(VLOOKUP($E:$E,Structure!$A:$AJ,AP$1,0)*$F14,0),IFERROR(VLOOKUP($G:$G,Structure!$A:$AJ,AP$1,0)*$H14,0))</f>
        <v>0</v>
      </c>
      <c r="AQ14" s="9">
        <f>SUM(IFERROR(VLOOKUP($C:$C,Structure!$A:$AJ,AQ$1,0)*$D14,0),IFERROR(VLOOKUP($E:$E,Structure!$A:$AJ,AQ$1,0)*$F14,0),IFERROR(VLOOKUP($G:$G,Structure!$A:$AJ,AQ$1,0)*$H14,0))</f>
        <v>0</v>
      </c>
      <c r="AR14" s="21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4">
        <f t="shared" si="22"/>
        <v>0</v>
      </c>
      <c r="CE14" s="4">
        <f t="shared" si="23"/>
        <v>45</v>
      </c>
      <c r="CF14" s="4">
        <f t="shared" si="24"/>
        <v>4</v>
      </c>
      <c r="CG14" s="4">
        <f t="shared" si="25"/>
        <v>23</v>
      </c>
      <c r="CH14" s="4">
        <f t="shared" si="26"/>
        <v>1</v>
      </c>
      <c r="CI14" s="4">
        <f t="shared" si="27"/>
        <v>1</v>
      </c>
      <c r="CJ14" s="4">
        <f t="shared" si="28"/>
        <v>61</v>
      </c>
      <c r="CK14" s="4">
        <f t="shared" si="29"/>
        <v>224</v>
      </c>
      <c r="CL14" s="4">
        <f t="shared" si="30"/>
        <v>0</v>
      </c>
      <c r="CM14" s="4">
        <f t="shared" si="31"/>
        <v>4</v>
      </c>
      <c r="CN14" s="4">
        <f t="shared" si="32"/>
        <v>49</v>
      </c>
      <c r="CO14" s="4">
        <f t="shared" si="33"/>
        <v>0</v>
      </c>
      <c r="CP14" s="4">
        <f t="shared" si="34"/>
        <v>5</v>
      </c>
      <c r="CQ14" s="4">
        <f t="shared" si="35"/>
        <v>23</v>
      </c>
      <c r="CR14" s="4">
        <f t="shared" si="36"/>
        <v>34</v>
      </c>
      <c r="CS14" s="4">
        <f t="shared" si="37"/>
        <v>0</v>
      </c>
      <c r="CT14" s="4">
        <f t="shared" si="38"/>
        <v>0</v>
      </c>
      <c r="CU14" s="4">
        <f t="shared" si="39"/>
        <v>0</v>
      </c>
      <c r="CV14" s="4">
        <f t="shared" si="40"/>
        <v>0</v>
      </c>
      <c r="CW14" s="4">
        <f t="shared" si="41"/>
        <v>0</v>
      </c>
      <c r="CX14" s="4">
        <f t="shared" si="42"/>
        <v>43</v>
      </c>
      <c r="CY14" s="4">
        <f t="shared" si="43"/>
        <v>0</v>
      </c>
      <c r="CZ14" s="4">
        <f t="shared" si="44"/>
        <v>0</v>
      </c>
      <c r="DA14" s="4">
        <f t="shared" si="45"/>
        <v>0</v>
      </c>
      <c r="DB14" s="4">
        <f t="shared" si="46"/>
        <v>0</v>
      </c>
      <c r="DC14" s="4">
        <f t="shared" si="47"/>
        <v>0</v>
      </c>
      <c r="DD14" s="4">
        <f t="shared" si="48"/>
        <v>0</v>
      </c>
      <c r="DE14" s="4">
        <f t="shared" si="49"/>
        <v>0</v>
      </c>
      <c r="DF14" s="4">
        <f t="shared" si="50"/>
        <v>0</v>
      </c>
      <c r="DG14" s="4">
        <f t="shared" si="51"/>
        <v>0</v>
      </c>
      <c r="DH14" s="4">
        <f t="shared" si="52"/>
        <v>0</v>
      </c>
      <c r="DI14" s="4">
        <f t="shared" si="53"/>
        <v>0</v>
      </c>
      <c r="DJ14" s="4">
        <f t="shared" si="54"/>
        <v>0</v>
      </c>
      <c r="DK14" s="4">
        <f t="shared" si="55"/>
        <v>0</v>
      </c>
      <c r="DL14" s="4">
        <f t="shared" si="56"/>
        <v>0</v>
      </c>
    </row>
    <row r="15" spans="1:116" x14ac:dyDescent="0.25">
      <c r="A15" s="5">
        <v>46183</v>
      </c>
      <c r="B15" s="6">
        <v>0.56250000002910383</v>
      </c>
      <c r="C15" s="3"/>
      <c r="D15" s="3"/>
      <c r="E15" s="3" t="s">
        <v>30</v>
      </c>
      <c r="F15" s="3">
        <v>8</v>
      </c>
      <c r="G15" s="3"/>
      <c r="H15" s="9"/>
      <c r="I15" s="9">
        <f>SUM(IFERROR(VLOOKUP($C:$C,Structure!$A:$AJ,I$1,0)*$D15,0),IFERROR(VLOOKUP($E:$E,Structure!$A:$AJ,I$1,0)*$F15,0),IFERROR(VLOOKUP($G:$G,Structure!$A:$AJ,I$1,0)*$H15,0))</f>
        <v>0</v>
      </c>
      <c r="J15" s="9">
        <f>SUM(IFERROR(VLOOKUP($C:$C,Structure!$A:$AJ,J$1,0)*$D15,0),IFERROR(VLOOKUP($E:$E,Structure!$A:$AJ,J$1,0)*$F15,0),IFERROR(VLOOKUP($G:$G,Structure!$A:$AJ,J$1,0)*$H15,0))</f>
        <v>0</v>
      </c>
      <c r="K15" s="9">
        <f>SUM(IFERROR(VLOOKUP($C:$C,Structure!$A:$AJ,K$1,0)*$D15,0),IFERROR(VLOOKUP($E:$E,Structure!$A:$AJ,K$1,0)*$F15,0),IFERROR(VLOOKUP($G:$G,Structure!$A:$AJ,K$1,0)*$H15,0))</f>
        <v>0</v>
      </c>
      <c r="L15" s="9">
        <f>SUM(IFERROR(VLOOKUP($C:$C,Structure!$A:$AJ,L$1,0)*$D15,0),IFERROR(VLOOKUP($E:$E,Structure!$A:$AJ,L$1,0)*$F15,0),IFERROR(VLOOKUP($G:$G,Structure!$A:$AJ,L$1,0)*$H15,0))</f>
        <v>0</v>
      </c>
      <c r="M15" s="9">
        <f>SUM(IFERROR(VLOOKUP($C:$C,Structure!$A:$AJ,M$1,0)*$D15,0),IFERROR(VLOOKUP($E:$E,Structure!$A:$AJ,M$1,0)*$F15,0),IFERROR(VLOOKUP($G:$G,Structure!$A:$AJ,M$1,0)*$H15,0))</f>
        <v>0</v>
      </c>
      <c r="N15" s="9">
        <f>SUM(IFERROR(VLOOKUP($C:$C,Structure!$A:$AJ,N$1,0)*$D15,0),IFERROR(VLOOKUP($E:$E,Structure!$A:$AJ,N$1,0)*$F15,0),IFERROR(VLOOKUP($G:$G,Structure!$A:$AJ,N$1,0)*$H15,0))</f>
        <v>0</v>
      </c>
      <c r="O15" s="9">
        <f>SUM(IFERROR(VLOOKUP($C:$C,Structure!$A:$AJ,O$1,0)*$D15,0),IFERROR(VLOOKUP($E:$E,Structure!$A:$AJ,O$1,0)*$F15,0),IFERROR(VLOOKUP($G:$G,Structure!$A:$AJ,O$1,0)*$H15,0))</f>
        <v>0</v>
      </c>
      <c r="P15" s="9">
        <f>SUM(IFERROR(VLOOKUP($C:$C,Structure!$A:$AJ,P$1,0)*$D15,0),IFERROR(VLOOKUP($E:$E,Structure!$A:$AJ,P$1,0)*$F15,0),IFERROR(VLOOKUP($G:$G,Structure!$A:$AJ,P$1,0)*$H15,0))</f>
        <v>0</v>
      </c>
      <c r="Q15" s="9">
        <f>SUM(IFERROR(VLOOKUP($C:$C,Structure!$A:$AJ,Q$1,0)*$D15,0),IFERROR(VLOOKUP($E:$E,Structure!$A:$AJ,Q$1,0)*$F15,0),IFERROR(VLOOKUP($G:$G,Structure!$A:$AJ,Q$1,0)*$H15,0))</f>
        <v>0</v>
      </c>
      <c r="R15" s="9">
        <f>SUM(IFERROR(VLOOKUP($C:$C,Structure!$A:$AJ,R$1,0)*$D15,0),IFERROR(VLOOKUP($E:$E,Structure!$A:$AJ,R$1,0)*$F15,0),IFERROR(VLOOKUP($G:$G,Structure!$A:$AJ,R$1,0)*$H15,0))</f>
        <v>0</v>
      </c>
      <c r="S15" s="9">
        <f>SUM(IFERROR(VLOOKUP($C:$C,Structure!$A:$AJ,S$1,0)*$D15,0),IFERROR(VLOOKUP($E:$E,Structure!$A:$AJ,S$1,0)*$F15,0),IFERROR(VLOOKUP($G:$G,Structure!$A:$AJ,S$1,0)*$H15,0))</f>
        <v>0</v>
      </c>
      <c r="T15" s="9">
        <f>SUM(IFERROR(VLOOKUP($C:$C,Structure!$A:$AJ,T$1,0)*$D15,0),IFERROR(VLOOKUP($E:$E,Structure!$A:$AJ,T$1,0)*$F15,0),IFERROR(VLOOKUP($G:$G,Structure!$A:$AJ,T$1,0)*$H15,0))</f>
        <v>0</v>
      </c>
      <c r="U15" s="9">
        <f>SUM(IFERROR(VLOOKUP($C:$C,Structure!$A:$AJ,U$1,0)*$D15,0),IFERROR(VLOOKUP($E:$E,Structure!$A:$AJ,U$1,0)*$F15,0),IFERROR(VLOOKUP($G:$G,Structure!$A:$AJ,U$1,0)*$H15,0))</f>
        <v>0</v>
      </c>
      <c r="V15" s="9">
        <f>SUM(IFERROR(VLOOKUP($C:$C,Structure!$A:$AJ,V$1,0)*$D15,0),IFERROR(VLOOKUP($E:$E,Structure!$A:$AJ,V$1,0)*$F15,0),IFERROR(VLOOKUP($G:$G,Structure!$A:$AJ,V$1,0)*$H15,0))</f>
        <v>8</v>
      </c>
      <c r="W15" s="9">
        <f>SUM(IFERROR(VLOOKUP($C:$C,Structure!$A:$AJ,W$1,0)*$D15,0),IFERROR(VLOOKUP($E:$E,Structure!$A:$AJ,W$1,0)*$F15,0),IFERROR(VLOOKUP($G:$G,Structure!$A:$AJ,W$1,0)*$H15,0))</f>
        <v>0</v>
      </c>
      <c r="X15" s="9">
        <f>SUM(IFERROR(VLOOKUP($C:$C,Structure!$A:$AJ,X$1,0)*$D15,0),IFERROR(VLOOKUP($E:$E,Structure!$A:$AJ,X$1,0)*$F15,0),IFERROR(VLOOKUP($G:$G,Structure!$A:$AJ,X$1,0)*$H15,0))</f>
        <v>0</v>
      </c>
      <c r="Y15" s="9">
        <f>SUM(IFERROR(VLOOKUP($C:$C,Structure!$A:$AJ,Y$1,0)*$D15,0),IFERROR(VLOOKUP($E:$E,Structure!$A:$AJ,Y$1,0)*$F15,0),IFERROR(VLOOKUP($G:$G,Structure!$A:$AJ,Y$1,0)*$H15,0))</f>
        <v>0</v>
      </c>
      <c r="Z15" s="9">
        <f>SUM(IFERROR(VLOOKUP($C:$C,Structure!$A:$AJ,Z$1,0)*$D15,0),IFERROR(VLOOKUP($E:$E,Structure!$A:$AJ,Z$1,0)*$F15,0),IFERROR(VLOOKUP($G:$G,Structure!$A:$AJ,Z$1,0)*$H15,0))</f>
        <v>0</v>
      </c>
      <c r="AA15" s="9">
        <f>SUM(IFERROR(VLOOKUP($C:$C,Structure!$A:$AJ,AA$1,0)*$D15,0),IFERROR(VLOOKUP($E:$E,Structure!$A:$AJ,AA$1,0)*$F15,0),IFERROR(VLOOKUP($G:$G,Structure!$A:$AJ,AA$1,0)*$H15,0))</f>
        <v>0</v>
      </c>
      <c r="AB15" s="9">
        <f>SUM(IFERROR(VLOOKUP($C:$C,Structure!$A:$AJ,AB$1,0)*$D15,0),IFERROR(VLOOKUP($E:$E,Structure!$A:$AJ,AB$1,0)*$F15,0),IFERROR(VLOOKUP($G:$G,Structure!$A:$AJ,AB$1,0)*$H15,0))</f>
        <v>0</v>
      </c>
      <c r="AC15" s="9">
        <f>SUM(IFERROR(VLOOKUP($C:$C,Structure!$A:$AJ,AC$1,0)*$D15,0),IFERROR(VLOOKUP($E:$E,Structure!$A:$AJ,AC$1,0)*$F15,0),IFERROR(VLOOKUP($G:$G,Structure!$A:$AJ,AC$1,0)*$H15,0))</f>
        <v>8</v>
      </c>
      <c r="AD15" s="9">
        <f>SUM(IFERROR(VLOOKUP($C:$C,Structure!$A:$AJ,AD$1,0)*$D15,0),IFERROR(VLOOKUP($E:$E,Structure!$A:$AJ,AD$1,0)*$F15,0),IFERROR(VLOOKUP($G:$G,Structure!$A:$AJ,AD$1,0)*$H15,0))</f>
        <v>0</v>
      </c>
      <c r="AE15" s="9">
        <f>SUM(IFERROR(VLOOKUP($C:$C,Structure!$A:$AJ,AE$1,0)*$D15,0),IFERROR(VLOOKUP($E:$E,Structure!$A:$AJ,AE$1,0)*$F15,0),IFERROR(VLOOKUP($G:$G,Structure!$A:$AJ,AE$1,0)*$H15,0))</f>
        <v>0</v>
      </c>
      <c r="AF15" s="9">
        <f>SUM(IFERROR(VLOOKUP($C:$C,Structure!$A:$AJ,AF$1,0)*$D15,0),IFERROR(VLOOKUP($E:$E,Structure!$A:$AJ,AF$1,0)*$F15,0),IFERROR(VLOOKUP($G:$G,Structure!$A:$AJ,AF$1,0)*$H15,0))</f>
        <v>0</v>
      </c>
      <c r="AG15" s="9">
        <f>SUM(IFERROR(VLOOKUP($C:$C,Structure!$A:$AJ,AG$1,0)*$D15,0),IFERROR(VLOOKUP($E:$E,Structure!$A:$AJ,AG$1,0)*$F15,0),IFERROR(VLOOKUP($G:$G,Structure!$A:$AJ,AG$1,0)*$H15,0))</f>
        <v>0</v>
      </c>
      <c r="AH15" s="9">
        <f>SUM(IFERROR(VLOOKUP($C:$C,Structure!$A:$AJ,AH$1,0)*$D15,0),IFERROR(VLOOKUP($E:$E,Structure!$A:$AJ,AH$1,0)*$F15,0),IFERROR(VLOOKUP($G:$G,Structure!$A:$AJ,AH$1,0)*$H15,0))</f>
        <v>0</v>
      </c>
      <c r="AI15" s="9">
        <f>SUM(IFERROR(VLOOKUP($C:$C,Structure!$A:$AJ,AI$1,0)*$D15,0),IFERROR(VLOOKUP($E:$E,Structure!$A:$AJ,AI$1,0)*$F15,0),IFERROR(VLOOKUP($G:$G,Structure!$A:$AJ,AI$1,0)*$H15,0))</f>
        <v>0</v>
      </c>
      <c r="AJ15" s="9">
        <f>SUM(IFERROR(VLOOKUP($C:$C,Structure!$A:$AJ,AJ$1,0)*$D15,0),IFERROR(VLOOKUP($E:$E,Structure!$A:$AJ,AJ$1,0)*$F15,0),IFERROR(VLOOKUP($G:$G,Structure!$A:$AJ,AJ$1,0)*$H15,0))</f>
        <v>0</v>
      </c>
      <c r="AK15" s="9">
        <f>SUM(IFERROR(VLOOKUP($C:$C,Structure!$A:$AJ,AK$1,0)*$D15,0),IFERROR(VLOOKUP($E:$E,Structure!$A:$AJ,AK$1,0)*$F15,0),IFERROR(VLOOKUP($G:$G,Structure!$A:$AJ,AK$1,0)*$H15,0))</f>
        <v>0</v>
      </c>
      <c r="AL15" s="9">
        <f>SUM(IFERROR(VLOOKUP($C:$C,Structure!$A:$AJ,AL$1,0)*$D15,0),IFERROR(VLOOKUP($E:$E,Structure!$A:$AJ,AL$1,0)*$F15,0),IFERROR(VLOOKUP($G:$G,Structure!$A:$AJ,AL$1,0)*$H15,0))</f>
        <v>0</v>
      </c>
      <c r="AM15" s="9">
        <f>SUM(IFERROR(VLOOKUP($C:$C,Structure!$A:$AJ,AM$1,0)*$D15,0),IFERROR(VLOOKUP($E:$E,Structure!$A:$AJ,AM$1,0)*$F15,0),IFERROR(VLOOKUP($G:$G,Structure!$A:$AJ,AM$1,0)*$H15,0))</f>
        <v>0</v>
      </c>
      <c r="AN15" s="9">
        <f>SUM(IFERROR(VLOOKUP($C:$C,Structure!$A:$AJ,AN$1,0)*$D15,0),IFERROR(VLOOKUP($E:$E,Structure!$A:$AJ,AN$1,0)*$F15,0),IFERROR(VLOOKUP($G:$G,Structure!$A:$AJ,AN$1,0)*$H15,0))</f>
        <v>0</v>
      </c>
      <c r="AO15" s="9">
        <f>SUM(IFERROR(VLOOKUP($C:$C,Structure!$A:$AJ,AO$1,0)*$D15,0),IFERROR(VLOOKUP($E:$E,Structure!$A:$AJ,AO$1,0)*$F15,0),IFERROR(VLOOKUP($G:$G,Structure!$A:$AJ,AO$1,0)*$H15,0))</f>
        <v>0</v>
      </c>
      <c r="AP15" s="9">
        <f>SUM(IFERROR(VLOOKUP($C:$C,Structure!$A:$AJ,AP$1,0)*$D15,0),IFERROR(VLOOKUP($E:$E,Structure!$A:$AJ,AP$1,0)*$F15,0),IFERROR(VLOOKUP($G:$G,Structure!$A:$AJ,AP$1,0)*$H15,0))</f>
        <v>0</v>
      </c>
      <c r="AQ15" s="9">
        <f>SUM(IFERROR(VLOOKUP($C:$C,Structure!$A:$AJ,AQ$1,0)*$D15,0),IFERROR(VLOOKUP($E:$E,Structure!$A:$AJ,AQ$1,0)*$F15,0),IFERROR(VLOOKUP($G:$G,Structure!$A:$AJ,AQ$1,0)*$H15,0))</f>
        <v>0</v>
      </c>
      <c r="AR15" s="21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4">
        <f t="shared" si="22"/>
        <v>0</v>
      </c>
      <c r="CE15" s="4">
        <f t="shared" si="23"/>
        <v>45</v>
      </c>
      <c r="CF15" s="4">
        <f t="shared" si="24"/>
        <v>4</v>
      </c>
      <c r="CG15" s="4">
        <f t="shared" si="25"/>
        <v>23</v>
      </c>
      <c r="CH15" s="4">
        <f t="shared" si="26"/>
        <v>1</v>
      </c>
      <c r="CI15" s="4">
        <f t="shared" si="27"/>
        <v>1</v>
      </c>
      <c r="CJ15" s="4">
        <f t="shared" si="28"/>
        <v>61</v>
      </c>
      <c r="CK15" s="4">
        <f t="shared" si="29"/>
        <v>224</v>
      </c>
      <c r="CL15" s="4">
        <f t="shared" si="30"/>
        <v>0</v>
      </c>
      <c r="CM15" s="4">
        <f t="shared" si="31"/>
        <v>4</v>
      </c>
      <c r="CN15" s="4">
        <f t="shared" si="32"/>
        <v>49</v>
      </c>
      <c r="CO15" s="4">
        <f t="shared" si="33"/>
        <v>0</v>
      </c>
      <c r="CP15" s="4">
        <f t="shared" si="34"/>
        <v>5</v>
      </c>
      <c r="CQ15" s="4">
        <f t="shared" si="35"/>
        <v>15</v>
      </c>
      <c r="CR15" s="4">
        <f t="shared" si="36"/>
        <v>34</v>
      </c>
      <c r="CS15" s="4">
        <f t="shared" si="37"/>
        <v>0</v>
      </c>
      <c r="CT15" s="4">
        <f t="shared" si="38"/>
        <v>0</v>
      </c>
      <c r="CU15" s="4">
        <f t="shared" si="39"/>
        <v>0</v>
      </c>
      <c r="CV15" s="4">
        <f t="shared" si="40"/>
        <v>0</v>
      </c>
      <c r="CW15" s="4">
        <f t="shared" si="41"/>
        <v>0</v>
      </c>
      <c r="CX15" s="4">
        <f t="shared" si="42"/>
        <v>35</v>
      </c>
      <c r="CY15" s="4">
        <f t="shared" si="43"/>
        <v>0</v>
      </c>
      <c r="CZ15" s="4">
        <f t="shared" si="44"/>
        <v>0</v>
      </c>
      <c r="DA15" s="4">
        <f t="shared" si="45"/>
        <v>0</v>
      </c>
      <c r="DB15" s="4">
        <f t="shared" si="46"/>
        <v>0</v>
      </c>
      <c r="DC15" s="4">
        <f t="shared" si="47"/>
        <v>0</v>
      </c>
      <c r="DD15" s="4">
        <f t="shared" si="48"/>
        <v>0</v>
      </c>
      <c r="DE15" s="4">
        <f t="shared" si="49"/>
        <v>0</v>
      </c>
      <c r="DF15" s="4">
        <f t="shared" si="50"/>
        <v>0</v>
      </c>
      <c r="DG15" s="4">
        <f t="shared" si="51"/>
        <v>0</v>
      </c>
      <c r="DH15" s="4">
        <f t="shared" si="52"/>
        <v>0</v>
      </c>
      <c r="DI15" s="4">
        <f t="shared" si="53"/>
        <v>0</v>
      </c>
      <c r="DJ15" s="4">
        <f t="shared" si="54"/>
        <v>0</v>
      </c>
      <c r="DK15" s="4">
        <f t="shared" si="55"/>
        <v>0</v>
      </c>
      <c r="DL15" s="4">
        <f t="shared" si="56"/>
        <v>0</v>
      </c>
    </row>
    <row r="16" spans="1:116" x14ac:dyDescent="0.25">
      <c r="A16" s="5">
        <v>46183</v>
      </c>
      <c r="B16" s="6">
        <v>0.58333333336486248</v>
      </c>
      <c r="C16" s="3"/>
      <c r="D16" s="3"/>
      <c r="E16" s="3" t="s">
        <v>30</v>
      </c>
      <c r="F16" s="3">
        <v>8</v>
      </c>
      <c r="G16" s="3"/>
      <c r="H16" s="9"/>
      <c r="I16" s="9">
        <f>SUM(IFERROR(VLOOKUP($C:$C,Structure!$A:$AJ,I$1,0)*$D16,0),IFERROR(VLOOKUP($E:$E,Structure!$A:$AJ,I$1,0)*$F16,0),IFERROR(VLOOKUP($G:$G,Structure!$A:$AJ,I$1,0)*$H16,0))</f>
        <v>0</v>
      </c>
      <c r="J16" s="9">
        <f>SUM(IFERROR(VLOOKUP($C:$C,Structure!$A:$AJ,J$1,0)*$D16,0),IFERROR(VLOOKUP($E:$E,Structure!$A:$AJ,J$1,0)*$F16,0),IFERROR(VLOOKUP($G:$G,Structure!$A:$AJ,J$1,0)*$H16,0))</f>
        <v>0</v>
      </c>
      <c r="K16" s="9">
        <f>SUM(IFERROR(VLOOKUP($C:$C,Structure!$A:$AJ,K$1,0)*$D16,0),IFERROR(VLOOKUP($E:$E,Structure!$A:$AJ,K$1,0)*$F16,0),IFERROR(VLOOKUP($G:$G,Structure!$A:$AJ,K$1,0)*$H16,0))</f>
        <v>0</v>
      </c>
      <c r="L16" s="9">
        <f>SUM(IFERROR(VLOOKUP($C:$C,Structure!$A:$AJ,L$1,0)*$D16,0),IFERROR(VLOOKUP($E:$E,Structure!$A:$AJ,L$1,0)*$F16,0),IFERROR(VLOOKUP($G:$G,Structure!$A:$AJ,L$1,0)*$H16,0))</f>
        <v>0</v>
      </c>
      <c r="M16" s="9">
        <f>SUM(IFERROR(VLOOKUP($C:$C,Structure!$A:$AJ,M$1,0)*$D16,0),IFERROR(VLOOKUP($E:$E,Structure!$A:$AJ,M$1,0)*$F16,0),IFERROR(VLOOKUP($G:$G,Structure!$A:$AJ,M$1,0)*$H16,0))</f>
        <v>0</v>
      </c>
      <c r="N16" s="9">
        <f>SUM(IFERROR(VLOOKUP($C:$C,Structure!$A:$AJ,N$1,0)*$D16,0),IFERROR(VLOOKUP($E:$E,Structure!$A:$AJ,N$1,0)*$F16,0),IFERROR(VLOOKUP($G:$G,Structure!$A:$AJ,N$1,0)*$H16,0))</f>
        <v>0</v>
      </c>
      <c r="O16" s="9">
        <f>SUM(IFERROR(VLOOKUP($C:$C,Structure!$A:$AJ,O$1,0)*$D16,0),IFERROR(VLOOKUP($E:$E,Structure!$A:$AJ,O$1,0)*$F16,0),IFERROR(VLOOKUP($G:$G,Structure!$A:$AJ,O$1,0)*$H16,0))</f>
        <v>0</v>
      </c>
      <c r="P16" s="9">
        <f>SUM(IFERROR(VLOOKUP($C:$C,Structure!$A:$AJ,P$1,0)*$D16,0),IFERROR(VLOOKUP($E:$E,Structure!$A:$AJ,P$1,0)*$F16,0),IFERROR(VLOOKUP($G:$G,Structure!$A:$AJ,P$1,0)*$H16,0))</f>
        <v>0</v>
      </c>
      <c r="Q16" s="9">
        <f>SUM(IFERROR(VLOOKUP($C:$C,Structure!$A:$AJ,Q$1,0)*$D16,0),IFERROR(VLOOKUP($E:$E,Structure!$A:$AJ,Q$1,0)*$F16,0),IFERROR(VLOOKUP($G:$G,Structure!$A:$AJ,Q$1,0)*$H16,0))</f>
        <v>0</v>
      </c>
      <c r="R16" s="9">
        <f>SUM(IFERROR(VLOOKUP($C:$C,Structure!$A:$AJ,R$1,0)*$D16,0),IFERROR(VLOOKUP($E:$E,Structure!$A:$AJ,R$1,0)*$F16,0),IFERROR(VLOOKUP($G:$G,Structure!$A:$AJ,R$1,0)*$H16,0))</f>
        <v>0</v>
      </c>
      <c r="S16" s="9">
        <f>SUM(IFERROR(VLOOKUP($C:$C,Structure!$A:$AJ,S$1,0)*$D16,0),IFERROR(VLOOKUP($E:$E,Structure!$A:$AJ,S$1,0)*$F16,0),IFERROR(VLOOKUP($G:$G,Structure!$A:$AJ,S$1,0)*$H16,0))</f>
        <v>0</v>
      </c>
      <c r="T16" s="9">
        <f>SUM(IFERROR(VLOOKUP($C:$C,Structure!$A:$AJ,T$1,0)*$D16,0),IFERROR(VLOOKUP($E:$E,Structure!$A:$AJ,T$1,0)*$F16,0),IFERROR(VLOOKUP($G:$G,Structure!$A:$AJ,T$1,0)*$H16,0))</f>
        <v>0</v>
      </c>
      <c r="U16" s="9">
        <f>SUM(IFERROR(VLOOKUP($C:$C,Structure!$A:$AJ,U$1,0)*$D16,0),IFERROR(VLOOKUP($E:$E,Structure!$A:$AJ,U$1,0)*$F16,0),IFERROR(VLOOKUP($G:$G,Structure!$A:$AJ,U$1,0)*$H16,0))</f>
        <v>0</v>
      </c>
      <c r="V16" s="9">
        <f>SUM(IFERROR(VLOOKUP($C:$C,Structure!$A:$AJ,V$1,0)*$D16,0),IFERROR(VLOOKUP($E:$E,Structure!$A:$AJ,V$1,0)*$F16,0),IFERROR(VLOOKUP($G:$G,Structure!$A:$AJ,V$1,0)*$H16,0))</f>
        <v>8</v>
      </c>
      <c r="W16" s="9">
        <f>SUM(IFERROR(VLOOKUP($C:$C,Structure!$A:$AJ,W$1,0)*$D16,0),IFERROR(VLOOKUP($E:$E,Structure!$A:$AJ,W$1,0)*$F16,0),IFERROR(VLOOKUP($G:$G,Structure!$A:$AJ,W$1,0)*$H16,0))</f>
        <v>0</v>
      </c>
      <c r="X16" s="9">
        <f>SUM(IFERROR(VLOOKUP($C:$C,Structure!$A:$AJ,X$1,0)*$D16,0),IFERROR(VLOOKUP($E:$E,Structure!$A:$AJ,X$1,0)*$F16,0),IFERROR(VLOOKUP($G:$G,Structure!$A:$AJ,X$1,0)*$H16,0))</f>
        <v>0</v>
      </c>
      <c r="Y16" s="9">
        <f>SUM(IFERROR(VLOOKUP($C:$C,Structure!$A:$AJ,Y$1,0)*$D16,0),IFERROR(VLOOKUP($E:$E,Structure!$A:$AJ,Y$1,0)*$F16,0),IFERROR(VLOOKUP($G:$G,Structure!$A:$AJ,Y$1,0)*$H16,0))</f>
        <v>0</v>
      </c>
      <c r="Z16" s="9">
        <f>SUM(IFERROR(VLOOKUP($C:$C,Structure!$A:$AJ,Z$1,0)*$D16,0),IFERROR(VLOOKUP($E:$E,Structure!$A:$AJ,Z$1,0)*$F16,0),IFERROR(VLOOKUP($G:$G,Structure!$A:$AJ,Z$1,0)*$H16,0))</f>
        <v>0</v>
      </c>
      <c r="AA16" s="9">
        <f>SUM(IFERROR(VLOOKUP($C:$C,Structure!$A:$AJ,AA$1,0)*$D16,0),IFERROR(VLOOKUP($E:$E,Structure!$A:$AJ,AA$1,0)*$F16,0),IFERROR(VLOOKUP($G:$G,Structure!$A:$AJ,AA$1,0)*$H16,0))</f>
        <v>0</v>
      </c>
      <c r="AB16" s="9">
        <f>SUM(IFERROR(VLOOKUP($C:$C,Structure!$A:$AJ,AB$1,0)*$D16,0),IFERROR(VLOOKUP($E:$E,Structure!$A:$AJ,AB$1,0)*$F16,0),IFERROR(VLOOKUP($G:$G,Structure!$A:$AJ,AB$1,0)*$H16,0))</f>
        <v>0</v>
      </c>
      <c r="AC16" s="9">
        <f>SUM(IFERROR(VLOOKUP($C:$C,Structure!$A:$AJ,AC$1,0)*$D16,0),IFERROR(VLOOKUP($E:$E,Structure!$A:$AJ,AC$1,0)*$F16,0),IFERROR(VLOOKUP($G:$G,Structure!$A:$AJ,AC$1,0)*$H16,0))</f>
        <v>8</v>
      </c>
      <c r="AD16" s="9">
        <f>SUM(IFERROR(VLOOKUP($C:$C,Structure!$A:$AJ,AD$1,0)*$D16,0),IFERROR(VLOOKUP($E:$E,Structure!$A:$AJ,AD$1,0)*$F16,0),IFERROR(VLOOKUP($G:$G,Structure!$A:$AJ,AD$1,0)*$H16,0))</f>
        <v>0</v>
      </c>
      <c r="AE16" s="9">
        <f>SUM(IFERROR(VLOOKUP($C:$C,Structure!$A:$AJ,AE$1,0)*$D16,0),IFERROR(VLOOKUP($E:$E,Structure!$A:$AJ,AE$1,0)*$F16,0),IFERROR(VLOOKUP($G:$G,Structure!$A:$AJ,AE$1,0)*$H16,0))</f>
        <v>0</v>
      </c>
      <c r="AF16" s="9">
        <f>SUM(IFERROR(VLOOKUP($C:$C,Structure!$A:$AJ,AF$1,0)*$D16,0),IFERROR(VLOOKUP($E:$E,Structure!$A:$AJ,AF$1,0)*$F16,0),IFERROR(VLOOKUP($G:$G,Structure!$A:$AJ,AF$1,0)*$H16,0))</f>
        <v>0</v>
      </c>
      <c r="AG16" s="9">
        <f>SUM(IFERROR(VLOOKUP($C:$C,Structure!$A:$AJ,AG$1,0)*$D16,0),IFERROR(VLOOKUP($E:$E,Structure!$A:$AJ,AG$1,0)*$F16,0),IFERROR(VLOOKUP($G:$G,Structure!$A:$AJ,AG$1,0)*$H16,0))</f>
        <v>0</v>
      </c>
      <c r="AH16" s="9">
        <f>SUM(IFERROR(VLOOKUP($C:$C,Structure!$A:$AJ,AH$1,0)*$D16,0),IFERROR(VLOOKUP($E:$E,Structure!$A:$AJ,AH$1,0)*$F16,0),IFERROR(VLOOKUP($G:$G,Structure!$A:$AJ,AH$1,0)*$H16,0))</f>
        <v>0</v>
      </c>
      <c r="AI16" s="9">
        <f>SUM(IFERROR(VLOOKUP($C:$C,Structure!$A:$AJ,AI$1,0)*$D16,0),IFERROR(VLOOKUP($E:$E,Structure!$A:$AJ,AI$1,0)*$F16,0),IFERROR(VLOOKUP($G:$G,Structure!$A:$AJ,AI$1,0)*$H16,0))</f>
        <v>0</v>
      </c>
      <c r="AJ16" s="9">
        <f>SUM(IFERROR(VLOOKUP($C:$C,Structure!$A:$AJ,AJ$1,0)*$D16,0),IFERROR(VLOOKUP($E:$E,Structure!$A:$AJ,AJ$1,0)*$F16,0),IFERROR(VLOOKUP($G:$G,Structure!$A:$AJ,AJ$1,0)*$H16,0))</f>
        <v>0</v>
      </c>
      <c r="AK16" s="9">
        <f>SUM(IFERROR(VLOOKUP($C:$C,Structure!$A:$AJ,AK$1,0)*$D16,0),IFERROR(VLOOKUP($E:$E,Structure!$A:$AJ,AK$1,0)*$F16,0),IFERROR(VLOOKUP($G:$G,Structure!$A:$AJ,AK$1,0)*$H16,0))</f>
        <v>0</v>
      </c>
      <c r="AL16" s="9">
        <f>SUM(IFERROR(VLOOKUP($C:$C,Structure!$A:$AJ,AL$1,0)*$D16,0),IFERROR(VLOOKUP($E:$E,Structure!$A:$AJ,AL$1,0)*$F16,0),IFERROR(VLOOKUP($G:$G,Structure!$A:$AJ,AL$1,0)*$H16,0))</f>
        <v>0</v>
      </c>
      <c r="AM16" s="9">
        <f>SUM(IFERROR(VLOOKUP($C:$C,Structure!$A:$AJ,AM$1,0)*$D16,0),IFERROR(VLOOKUP($E:$E,Structure!$A:$AJ,AM$1,0)*$F16,0),IFERROR(VLOOKUP($G:$G,Structure!$A:$AJ,AM$1,0)*$H16,0))</f>
        <v>0</v>
      </c>
      <c r="AN16" s="9">
        <f>SUM(IFERROR(VLOOKUP($C:$C,Structure!$A:$AJ,AN$1,0)*$D16,0),IFERROR(VLOOKUP($E:$E,Structure!$A:$AJ,AN$1,0)*$F16,0),IFERROR(VLOOKUP($G:$G,Structure!$A:$AJ,AN$1,0)*$H16,0))</f>
        <v>0</v>
      </c>
      <c r="AO16" s="9">
        <f>SUM(IFERROR(VLOOKUP($C:$C,Structure!$A:$AJ,AO$1,0)*$D16,0),IFERROR(VLOOKUP($E:$E,Structure!$A:$AJ,AO$1,0)*$F16,0),IFERROR(VLOOKUP($G:$G,Structure!$A:$AJ,AO$1,0)*$H16,0))</f>
        <v>0</v>
      </c>
      <c r="AP16" s="9">
        <f>SUM(IFERROR(VLOOKUP($C:$C,Structure!$A:$AJ,AP$1,0)*$D16,0),IFERROR(VLOOKUP($E:$E,Structure!$A:$AJ,AP$1,0)*$F16,0),IFERROR(VLOOKUP($G:$G,Structure!$A:$AJ,AP$1,0)*$H16,0))</f>
        <v>0</v>
      </c>
      <c r="AQ16" s="9">
        <f>SUM(IFERROR(VLOOKUP($C:$C,Structure!$A:$AJ,AQ$1,0)*$D16,0),IFERROR(VLOOKUP($E:$E,Structure!$A:$AJ,AQ$1,0)*$F16,0),IFERROR(VLOOKUP($G:$G,Structure!$A:$AJ,AQ$1,0)*$H16,0))</f>
        <v>0</v>
      </c>
      <c r="AR16" s="21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4">
        <f t="shared" si="22"/>
        <v>0</v>
      </c>
      <c r="CE16" s="4">
        <f t="shared" si="23"/>
        <v>45</v>
      </c>
      <c r="CF16" s="4">
        <f t="shared" si="24"/>
        <v>4</v>
      </c>
      <c r="CG16" s="4">
        <f t="shared" si="25"/>
        <v>23</v>
      </c>
      <c r="CH16" s="4">
        <f t="shared" si="26"/>
        <v>1</v>
      </c>
      <c r="CI16" s="4">
        <f t="shared" si="27"/>
        <v>1</v>
      </c>
      <c r="CJ16" s="4">
        <f t="shared" si="28"/>
        <v>61</v>
      </c>
      <c r="CK16" s="4">
        <f t="shared" si="29"/>
        <v>224</v>
      </c>
      <c r="CL16" s="4">
        <f t="shared" si="30"/>
        <v>0</v>
      </c>
      <c r="CM16" s="4">
        <f t="shared" si="31"/>
        <v>4</v>
      </c>
      <c r="CN16" s="4">
        <f t="shared" si="32"/>
        <v>49</v>
      </c>
      <c r="CO16" s="4">
        <f t="shared" si="33"/>
        <v>0</v>
      </c>
      <c r="CP16" s="4">
        <f t="shared" si="34"/>
        <v>5</v>
      </c>
      <c r="CQ16" s="4">
        <f t="shared" si="35"/>
        <v>7</v>
      </c>
      <c r="CR16" s="4">
        <f t="shared" si="36"/>
        <v>34</v>
      </c>
      <c r="CS16" s="4">
        <f t="shared" si="37"/>
        <v>0</v>
      </c>
      <c r="CT16" s="4">
        <f t="shared" si="38"/>
        <v>0</v>
      </c>
      <c r="CU16" s="4">
        <f t="shared" si="39"/>
        <v>0</v>
      </c>
      <c r="CV16" s="4">
        <f t="shared" si="40"/>
        <v>0</v>
      </c>
      <c r="CW16" s="4">
        <f t="shared" si="41"/>
        <v>0</v>
      </c>
      <c r="CX16" s="4">
        <f t="shared" si="42"/>
        <v>27</v>
      </c>
      <c r="CY16" s="4">
        <f t="shared" si="43"/>
        <v>0</v>
      </c>
      <c r="CZ16" s="4">
        <f t="shared" si="44"/>
        <v>0</v>
      </c>
      <c r="DA16" s="4">
        <f t="shared" si="45"/>
        <v>0</v>
      </c>
      <c r="DB16" s="4">
        <f t="shared" si="46"/>
        <v>0</v>
      </c>
      <c r="DC16" s="4">
        <f t="shared" si="47"/>
        <v>0</v>
      </c>
      <c r="DD16" s="4">
        <f t="shared" si="48"/>
        <v>0</v>
      </c>
      <c r="DE16" s="4">
        <f t="shared" si="49"/>
        <v>0</v>
      </c>
      <c r="DF16" s="4">
        <f t="shared" si="50"/>
        <v>0</v>
      </c>
      <c r="DG16" s="4">
        <f t="shared" si="51"/>
        <v>0</v>
      </c>
      <c r="DH16" s="4">
        <f t="shared" si="52"/>
        <v>0</v>
      </c>
      <c r="DI16" s="4">
        <f t="shared" si="53"/>
        <v>0</v>
      </c>
      <c r="DJ16" s="4">
        <f t="shared" si="54"/>
        <v>0</v>
      </c>
      <c r="DK16" s="4">
        <f t="shared" si="55"/>
        <v>0</v>
      </c>
      <c r="DL16" s="4">
        <f t="shared" si="56"/>
        <v>0</v>
      </c>
    </row>
    <row r="17" spans="1:116" x14ac:dyDescent="0.25">
      <c r="A17" s="5">
        <v>46183</v>
      </c>
      <c r="B17" s="6">
        <v>0.60416666670062114</v>
      </c>
      <c r="C17" s="3"/>
      <c r="D17" s="3"/>
      <c r="E17" s="3" t="s">
        <v>30</v>
      </c>
      <c r="F17" s="3">
        <v>8</v>
      </c>
      <c r="G17" s="3"/>
      <c r="H17" s="9"/>
      <c r="I17" s="9">
        <f>SUM(IFERROR(VLOOKUP($C:$C,Structure!$A:$AJ,I$1,0)*$D17,0),IFERROR(VLOOKUP($E:$E,Structure!$A:$AJ,I$1,0)*$F17,0),IFERROR(VLOOKUP($G:$G,Structure!$A:$AJ,I$1,0)*$H17,0))</f>
        <v>0</v>
      </c>
      <c r="J17" s="9">
        <f>SUM(IFERROR(VLOOKUP($C:$C,Structure!$A:$AJ,J$1,0)*$D17,0),IFERROR(VLOOKUP($E:$E,Structure!$A:$AJ,J$1,0)*$F17,0),IFERROR(VLOOKUP($G:$G,Structure!$A:$AJ,J$1,0)*$H17,0))</f>
        <v>0</v>
      </c>
      <c r="K17" s="9">
        <f>SUM(IFERROR(VLOOKUP($C:$C,Structure!$A:$AJ,K$1,0)*$D17,0),IFERROR(VLOOKUP($E:$E,Structure!$A:$AJ,K$1,0)*$F17,0),IFERROR(VLOOKUP($G:$G,Structure!$A:$AJ,K$1,0)*$H17,0))</f>
        <v>0</v>
      </c>
      <c r="L17" s="9">
        <f>SUM(IFERROR(VLOOKUP($C:$C,Structure!$A:$AJ,L$1,0)*$D17,0),IFERROR(VLOOKUP($E:$E,Structure!$A:$AJ,L$1,0)*$F17,0),IFERROR(VLOOKUP($G:$G,Structure!$A:$AJ,L$1,0)*$H17,0))</f>
        <v>0</v>
      </c>
      <c r="M17" s="9">
        <f>SUM(IFERROR(VLOOKUP($C:$C,Structure!$A:$AJ,M$1,0)*$D17,0),IFERROR(VLOOKUP($E:$E,Structure!$A:$AJ,M$1,0)*$F17,0),IFERROR(VLOOKUP($G:$G,Structure!$A:$AJ,M$1,0)*$H17,0))</f>
        <v>0</v>
      </c>
      <c r="N17" s="9">
        <f>SUM(IFERROR(VLOOKUP($C:$C,Structure!$A:$AJ,N$1,0)*$D17,0),IFERROR(VLOOKUP($E:$E,Structure!$A:$AJ,N$1,0)*$F17,0),IFERROR(VLOOKUP($G:$G,Structure!$A:$AJ,N$1,0)*$H17,0))</f>
        <v>0</v>
      </c>
      <c r="O17" s="9">
        <f>SUM(IFERROR(VLOOKUP($C:$C,Structure!$A:$AJ,O$1,0)*$D17,0),IFERROR(VLOOKUP($E:$E,Structure!$A:$AJ,O$1,0)*$F17,0),IFERROR(VLOOKUP($G:$G,Structure!$A:$AJ,O$1,0)*$H17,0))</f>
        <v>0</v>
      </c>
      <c r="P17" s="9">
        <f>SUM(IFERROR(VLOOKUP($C:$C,Structure!$A:$AJ,P$1,0)*$D17,0),IFERROR(VLOOKUP($E:$E,Structure!$A:$AJ,P$1,0)*$F17,0),IFERROR(VLOOKUP($G:$G,Structure!$A:$AJ,P$1,0)*$H17,0))</f>
        <v>0</v>
      </c>
      <c r="Q17" s="9">
        <f>SUM(IFERROR(VLOOKUP($C:$C,Structure!$A:$AJ,Q$1,0)*$D17,0),IFERROR(VLOOKUP($E:$E,Structure!$A:$AJ,Q$1,0)*$F17,0),IFERROR(VLOOKUP($G:$G,Structure!$A:$AJ,Q$1,0)*$H17,0))</f>
        <v>0</v>
      </c>
      <c r="R17" s="9">
        <f>SUM(IFERROR(VLOOKUP($C:$C,Structure!$A:$AJ,R$1,0)*$D17,0),IFERROR(VLOOKUP($E:$E,Structure!$A:$AJ,R$1,0)*$F17,0),IFERROR(VLOOKUP($G:$G,Structure!$A:$AJ,R$1,0)*$H17,0))</f>
        <v>0</v>
      </c>
      <c r="S17" s="9">
        <f>SUM(IFERROR(VLOOKUP($C:$C,Structure!$A:$AJ,S$1,0)*$D17,0),IFERROR(VLOOKUP($E:$E,Structure!$A:$AJ,S$1,0)*$F17,0),IFERROR(VLOOKUP($G:$G,Structure!$A:$AJ,S$1,0)*$H17,0))</f>
        <v>0</v>
      </c>
      <c r="T17" s="9">
        <f>SUM(IFERROR(VLOOKUP($C:$C,Structure!$A:$AJ,T$1,0)*$D17,0),IFERROR(VLOOKUP($E:$E,Structure!$A:$AJ,T$1,0)*$F17,0),IFERROR(VLOOKUP($G:$G,Structure!$A:$AJ,T$1,0)*$H17,0))</f>
        <v>0</v>
      </c>
      <c r="U17" s="9">
        <f>SUM(IFERROR(VLOOKUP($C:$C,Structure!$A:$AJ,U$1,0)*$D17,0),IFERROR(VLOOKUP($E:$E,Structure!$A:$AJ,U$1,0)*$F17,0),IFERROR(VLOOKUP($G:$G,Structure!$A:$AJ,U$1,0)*$H17,0))</f>
        <v>0</v>
      </c>
      <c r="V17" s="9">
        <f>SUM(IFERROR(VLOOKUP($C:$C,Structure!$A:$AJ,V$1,0)*$D17,0),IFERROR(VLOOKUP($E:$E,Structure!$A:$AJ,V$1,0)*$F17,0),IFERROR(VLOOKUP($G:$G,Structure!$A:$AJ,V$1,0)*$H17,0))</f>
        <v>8</v>
      </c>
      <c r="W17" s="9">
        <f>SUM(IFERROR(VLOOKUP($C:$C,Structure!$A:$AJ,W$1,0)*$D17,0),IFERROR(VLOOKUP($E:$E,Structure!$A:$AJ,W$1,0)*$F17,0),IFERROR(VLOOKUP($G:$G,Structure!$A:$AJ,W$1,0)*$H17,0))</f>
        <v>0</v>
      </c>
      <c r="X17" s="9">
        <f>SUM(IFERROR(VLOOKUP($C:$C,Structure!$A:$AJ,X$1,0)*$D17,0),IFERROR(VLOOKUP($E:$E,Structure!$A:$AJ,X$1,0)*$F17,0),IFERROR(VLOOKUP($G:$G,Structure!$A:$AJ,X$1,0)*$H17,0))</f>
        <v>0</v>
      </c>
      <c r="Y17" s="9">
        <f>SUM(IFERROR(VLOOKUP($C:$C,Structure!$A:$AJ,Y$1,0)*$D17,0),IFERROR(VLOOKUP($E:$E,Structure!$A:$AJ,Y$1,0)*$F17,0),IFERROR(VLOOKUP($G:$G,Structure!$A:$AJ,Y$1,0)*$H17,0))</f>
        <v>0</v>
      </c>
      <c r="Z17" s="9">
        <f>SUM(IFERROR(VLOOKUP($C:$C,Structure!$A:$AJ,Z$1,0)*$D17,0),IFERROR(VLOOKUP($E:$E,Structure!$A:$AJ,Z$1,0)*$F17,0),IFERROR(VLOOKUP($G:$G,Structure!$A:$AJ,Z$1,0)*$H17,0))</f>
        <v>0</v>
      </c>
      <c r="AA17" s="9">
        <f>SUM(IFERROR(VLOOKUP($C:$C,Structure!$A:$AJ,AA$1,0)*$D17,0),IFERROR(VLOOKUP($E:$E,Structure!$A:$AJ,AA$1,0)*$F17,0),IFERROR(VLOOKUP($G:$G,Structure!$A:$AJ,AA$1,0)*$H17,0))</f>
        <v>0</v>
      </c>
      <c r="AB17" s="9">
        <f>SUM(IFERROR(VLOOKUP($C:$C,Structure!$A:$AJ,AB$1,0)*$D17,0),IFERROR(VLOOKUP($E:$E,Structure!$A:$AJ,AB$1,0)*$F17,0),IFERROR(VLOOKUP($G:$G,Structure!$A:$AJ,AB$1,0)*$H17,0))</f>
        <v>0</v>
      </c>
      <c r="AC17" s="9">
        <f>SUM(IFERROR(VLOOKUP($C:$C,Structure!$A:$AJ,AC$1,0)*$D17,0),IFERROR(VLOOKUP($E:$E,Structure!$A:$AJ,AC$1,0)*$F17,0),IFERROR(VLOOKUP($G:$G,Structure!$A:$AJ,AC$1,0)*$H17,0))</f>
        <v>8</v>
      </c>
      <c r="AD17" s="9">
        <f>SUM(IFERROR(VLOOKUP($C:$C,Structure!$A:$AJ,AD$1,0)*$D17,0),IFERROR(VLOOKUP($E:$E,Structure!$A:$AJ,AD$1,0)*$F17,0),IFERROR(VLOOKUP($G:$G,Structure!$A:$AJ,AD$1,0)*$H17,0))</f>
        <v>0</v>
      </c>
      <c r="AE17" s="9">
        <f>SUM(IFERROR(VLOOKUP($C:$C,Structure!$A:$AJ,AE$1,0)*$D17,0),IFERROR(VLOOKUP($E:$E,Structure!$A:$AJ,AE$1,0)*$F17,0),IFERROR(VLOOKUP($G:$G,Structure!$A:$AJ,AE$1,0)*$H17,0))</f>
        <v>0</v>
      </c>
      <c r="AF17" s="9">
        <f>SUM(IFERROR(VLOOKUP($C:$C,Structure!$A:$AJ,AF$1,0)*$D17,0),IFERROR(VLOOKUP($E:$E,Structure!$A:$AJ,AF$1,0)*$F17,0),IFERROR(VLOOKUP($G:$G,Structure!$A:$AJ,AF$1,0)*$H17,0))</f>
        <v>0</v>
      </c>
      <c r="AG17" s="9">
        <f>SUM(IFERROR(VLOOKUP($C:$C,Structure!$A:$AJ,AG$1,0)*$D17,0),IFERROR(VLOOKUP($E:$E,Structure!$A:$AJ,AG$1,0)*$F17,0),IFERROR(VLOOKUP($G:$G,Structure!$A:$AJ,AG$1,0)*$H17,0))</f>
        <v>0</v>
      </c>
      <c r="AH17" s="9">
        <f>SUM(IFERROR(VLOOKUP($C:$C,Structure!$A:$AJ,AH$1,0)*$D17,0),IFERROR(VLOOKUP($E:$E,Structure!$A:$AJ,AH$1,0)*$F17,0),IFERROR(VLOOKUP($G:$G,Structure!$A:$AJ,AH$1,0)*$H17,0))</f>
        <v>0</v>
      </c>
      <c r="AI17" s="9">
        <f>SUM(IFERROR(VLOOKUP($C:$C,Structure!$A:$AJ,AI$1,0)*$D17,0),IFERROR(VLOOKUP($E:$E,Structure!$A:$AJ,AI$1,0)*$F17,0),IFERROR(VLOOKUP($G:$G,Structure!$A:$AJ,AI$1,0)*$H17,0))</f>
        <v>0</v>
      </c>
      <c r="AJ17" s="9">
        <f>SUM(IFERROR(VLOOKUP($C:$C,Structure!$A:$AJ,AJ$1,0)*$D17,0),IFERROR(VLOOKUP($E:$E,Structure!$A:$AJ,AJ$1,0)*$F17,0),IFERROR(VLOOKUP($G:$G,Structure!$A:$AJ,AJ$1,0)*$H17,0))</f>
        <v>0</v>
      </c>
      <c r="AK17" s="9">
        <f>SUM(IFERROR(VLOOKUP($C:$C,Structure!$A:$AJ,AK$1,0)*$D17,0),IFERROR(VLOOKUP($E:$E,Structure!$A:$AJ,AK$1,0)*$F17,0),IFERROR(VLOOKUP($G:$G,Structure!$A:$AJ,AK$1,0)*$H17,0))</f>
        <v>0</v>
      </c>
      <c r="AL17" s="9">
        <f>SUM(IFERROR(VLOOKUP($C:$C,Structure!$A:$AJ,AL$1,0)*$D17,0),IFERROR(VLOOKUP($E:$E,Structure!$A:$AJ,AL$1,0)*$F17,0),IFERROR(VLOOKUP($G:$G,Structure!$A:$AJ,AL$1,0)*$H17,0))</f>
        <v>0</v>
      </c>
      <c r="AM17" s="9">
        <f>SUM(IFERROR(VLOOKUP($C:$C,Structure!$A:$AJ,AM$1,0)*$D17,0),IFERROR(VLOOKUP($E:$E,Structure!$A:$AJ,AM$1,0)*$F17,0),IFERROR(VLOOKUP($G:$G,Structure!$A:$AJ,AM$1,0)*$H17,0))</f>
        <v>0</v>
      </c>
      <c r="AN17" s="9">
        <f>SUM(IFERROR(VLOOKUP($C:$C,Structure!$A:$AJ,AN$1,0)*$D17,0),IFERROR(VLOOKUP($E:$E,Structure!$A:$AJ,AN$1,0)*$F17,0),IFERROR(VLOOKUP($G:$G,Structure!$A:$AJ,AN$1,0)*$H17,0))</f>
        <v>0</v>
      </c>
      <c r="AO17" s="9">
        <f>SUM(IFERROR(VLOOKUP($C:$C,Structure!$A:$AJ,AO$1,0)*$D17,0),IFERROR(VLOOKUP($E:$E,Structure!$A:$AJ,AO$1,0)*$F17,0),IFERROR(VLOOKUP($G:$G,Structure!$A:$AJ,AO$1,0)*$H17,0))</f>
        <v>0</v>
      </c>
      <c r="AP17" s="9">
        <f>SUM(IFERROR(VLOOKUP($C:$C,Structure!$A:$AJ,AP$1,0)*$D17,0),IFERROR(VLOOKUP($E:$E,Structure!$A:$AJ,AP$1,0)*$F17,0),IFERROR(VLOOKUP($G:$G,Structure!$A:$AJ,AP$1,0)*$H17,0))</f>
        <v>0</v>
      </c>
      <c r="AQ17" s="9">
        <f>SUM(IFERROR(VLOOKUP($C:$C,Structure!$A:$AJ,AQ$1,0)*$D17,0),IFERROR(VLOOKUP($E:$E,Structure!$A:$AJ,AQ$1,0)*$F17,0),IFERROR(VLOOKUP($G:$G,Structure!$A:$AJ,AQ$1,0)*$H17,0))</f>
        <v>0</v>
      </c>
      <c r="AR17" s="21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4">
        <f t="shared" si="22"/>
        <v>0</v>
      </c>
      <c r="CE17" s="4">
        <f t="shared" si="23"/>
        <v>45</v>
      </c>
      <c r="CF17" s="4">
        <f t="shared" si="24"/>
        <v>4</v>
      </c>
      <c r="CG17" s="4">
        <f t="shared" si="25"/>
        <v>23</v>
      </c>
      <c r="CH17" s="4">
        <f t="shared" si="26"/>
        <v>1</v>
      </c>
      <c r="CI17" s="4">
        <f t="shared" si="27"/>
        <v>1</v>
      </c>
      <c r="CJ17" s="4">
        <f t="shared" si="28"/>
        <v>61</v>
      </c>
      <c r="CK17" s="4">
        <f t="shared" si="29"/>
        <v>224</v>
      </c>
      <c r="CL17" s="4">
        <f t="shared" si="30"/>
        <v>0</v>
      </c>
      <c r="CM17" s="4">
        <f t="shared" si="31"/>
        <v>4</v>
      </c>
      <c r="CN17" s="4">
        <f t="shared" si="32"/>
        <v>49</v>
      </c>
      <c r="CO17" s="4">
        <f t="shared" si="33"/>
        <v>0</v>
      </c>
      <c r="CP17" s="4">
        <f t="shared" si="34"/>
        <v>5</v>
      </c>
      <c r="CQ17" s="4">
        <f t="shared" si="35"/>
        <v>-1</v>
      </c>
      <c r="CR17" s="4">
        <f t="shared" si="36"/>
        <v>34</v>
      </c>
      <c r="CS17" s="4">
        <f t="shared" si="37"/>
        <v>0</v>
      </c>
      <c r="CT17" s="4">
        <f t="shared" si="38"/>
        <v>0</v>
      </c>
      <c r="CU17" s="4">
        <f t="shared" si="39"/>
        <v>0</v>
      </c>
      <c r="CV17" s="4">
        <f t="shared" si="40"/>
        <v>0</v>
      </c>
      <c r="CW17" s="4">
        <f t="shared" si="41"/>
        <v>0</v>
      </c>
      <c r="CX17" s="4">
        <f t="shared" si="42"/>
        <v>19</v>
      </c>
      <c r="CY17" s="4">
        <f t="shared" si="43"/>
        <v>0</v>
      </c>
      <c r="CZ17" s="4">
        <f t="shared" si="44"/>
        <v>0</v>
      </c>
      <c r="DA17" s="4">
        <f t="shared" si="45"/>
        <v>0</v>
      </c>
      <c r="DB17" s="4">
        <f t="shared" si="46"/>
        <v>0</v>
      </c>
      <c r="DC17" s="4">
        <f t="shared" si="47"/>
        <v>0</v>
      </c>
      <c r="DD17" s="4">
        <f t="shared" si="48"/>
        <v>0</v>
      </c>
      <c r="DE17" s="4">
        <f t="shared" si="49"/>
        <v>0</v>
      </c>
      <c r="DF17" s="4">
        <f t="shared" si="50"/>
        <v>0</v>
      </c>
      <c r="DG17" s="4">
        <f t="shared" si="51"/>
        <v>0</v>
      </c>
      <c r="DH17" s="4">
        <f t="shared" si="52"/>
        <v>0</v>
      </c>
      <c r="DI17" s="4">
        <f t="shared" si="53"/>
        <v>0</v>
      </c>
      <c r="DJ17" s="4">
        <f t="shared" si="54"/>
        <v>0</v>
      </c>
      <c r="DK17" s="4">
        <f t="shared" si="55"/>
        <v>0</v>
      </c>
      <c r="DL17" s="4">
        <f t="shared" si="56"/>
        <v>0</v>
      </c>
    </row>
    <row r="18" spans="1:116" x14ac:dyDescent="0.25">
      <c r="A18" s="5">
        <v>46183</v>
      </c>
      <c r="B18" s="6">
        <v>0.62500000003637979</v>
      </c>
      <c r="C18" s="3"/>
      <c r="D18" s="3"/>
      <c r="E18" s="3" t="s">
        <v>30</v>
      </c>
      <c r="F18" s="3">
        <v>8</v>
      </c>
      <c r="G18" s="3"/>
      <c r="H18" s="9"/>
      <c r="I18" s="9">
        <f>SUM(IFERROR(VLOOKUP($C:$C,Structure!$A:$AJ,I$1,0)*$D18,0),IFERROR(VLOOKUP($E:$E,Structure!$A:$AJ,I$1,0)*$F18,0),IFERROR(VLOOKUP($G:$G,Structure!$A:$AJ,I$1,0)*$H18,0))</f>
        <v>0</v>
      </c>
      <c r="J18" s="9">
        <f>SUM(IFERROR(VLOOKUP($C:$C,Structure!$A:$AJ,J$1,0)*$D18,0),IFERROR(VLOOKUP($E:$E,Structure!$A:$AJ,J$1,0)*$F18,0),IFERROR(VLOOKUP($G:$G,Structure!$A:$AJ,J$1,0)*$H18,0))</f>
        <v>0</v>
      </c>
      <c r="K18" s="9">
        <f>SUM(IFERROR(VLOOKUP($C:$C,Structure!$A:$AJ,K$1,0)*$D18,0),IFERROR(VLOOKUP($E:$E,Structure!$A:$AJ,K$1,0)*$F18,0),IFERROR(VLOOKUP($G:$G,Structure!$A:$AJ,K$1,0)*$H18,0))</f>
        <v>0</v>
      </c>
      <c r="L18" s="9">
        <f>SUM(IFERROR(VLOOKUP($C:$C,Structure!$A:$AJ,L$1,0)*$D18,0),IFERROR(VLOOKUP($E:$E,Structure!$A:$AJ,L$1,0)*$F18,0),IFERROR(VLOOKUP($G:$G,Structure!$A:$AJ,L$1,0)*$H18,0))</f>
        <v>0</v>
      </c>
      <c r="M18" s="9">
        <f>SUM(IFERROR(VLOOKUP($C:$C,Structure!$A:$AJ,M$1,0)*$D18,0),IFERROR(VLOOKUP($E:$E,Structure!$A:$AJ,M$1,0)*$F18,0),IFERROR(VLOOKUP($G:$G,Structure!$A:$AJ,M$1,0)*$H18,0))</f>
        <v>0</v>
      </c>
      <c r="N18" s="9">
        <f>SUM(IFERROR(VLOOKUP($C:$C,Structure!$A:$AJ,N$1,0)*$D18,0),IFERROR(VLOOKUP($E:$E,Structure!$A:$AJ,N$1,0)*$F18,0),IFERROR(VLOOKUP($G:$G,Structure!$A:$AJ,N$1,0)*$H18,0))</f>
        <v>0</v>
      </c>
      <c r="O18" s="9">
        <f>SUM(IFERROR(VLOOKUP($C:$C,Structure!$A:$AJ,O$1,0)*$D18,0),IFERROR(VLOOKUP($E:$E,Structure!$A:$AJ,O$1,0)*$F18,0),IFERROR(VLOOKUP($G:$G,Structure!$A:$AJ,O$1,0)*$H18,0))</f>
        <v>0</v>
      </c>
      <c r="P18" s="9">
        <f>SUM(IFERROR(VLOOKUP($C:$C,Structure!$A:$AJ,P$1,0)*$D18,0),IFERROR(VLOOKUP($E:$E,Structure!$A:$AJ,P$1,0)*$F18,0),IFERROR(VLOOKUP($G:$G,Structure!$A:$AJ,P$1,0)*$H18,0))</f>
        <v>0</v>
      </c>
      <c r="Q18" s="9">
        <f>SUM(IFERROR(VLOOKUP($C:$C,Structure!$A:$AJ,Q$1,0)*$D18,0),IFERROR(VLOOKUP($E:$E,Structure!$A:$AJ,Q$1,0)*$F18,0),IFERROR(VLOOKUP($G:$G,Structure!$A:$AJ,Q$1,0)*$H18,0))</f>
        <v>0</v>
      </c>
      <c r="R18" s="9">
        <f>SUM(IFERROR(VLOOKUP($C:$C,Structure!$A:$AJ,R$1,0)*$D18,0),IFERROR(VLOOKUP($E:$E,Structure!$A:$AJ,R$1,0)*$F18,0),IFERROR(VLOOKUP($G:$G,Structure!$A:$AJ,R$1,0)*$H18,0))</f>
        <v>0</v>
      </c>
      <c r="S18" s="9">
        <f>SUM(IFERROR(VLOOKUP($C:$C,Structure!$A:$AJ,S$1,0)*$D18,0),IFERROR(VLOOKUP($E:$E,Structure!$A:$AJ,S$1,0)*$F18,0),IFERROR(VLOOKUP($G:$G,Structure!$A:$AJ,S$1,0)*$H18,0))</f>
        <v>0</v>
      </c>
      <c r="T18" s="9">
        <f>SUM(IFERROR(VLOOKUP($C:$C,Structure!$A:$AJ,T$1,0)*$D18,0),IFERROR(VLOOKUP($E:$E,Structure!$A:$AJ,T$1,0)*$F18,0),IFERROR(VLOOKUP($G:$G,Structure!$A:$AJ,T$1,0)*$H18,0))</f>
        <v>0</v>
      </c>
      <c r="U18" s="9">
        <f>SUM(IFERROR(VLOOKUP($C:$C,Structure!$A:$AJ,U$1,0)*$D18,0),IFERROR(VLOOKUP($E:$E,Structure!$A:$AJ,U$1,0)*$F18,0),IFERROR(VLOOKUP($G:$G,Structure!$A:$AJ,U$1,0)*$H18,0))</f>
        <v>0</v>
      </c>
      <c r="V18" s="9">
        <f>SUM(IFERROR(VLOOKUP($C:$C,Structure!$A:$AJ,V$1,0)*$D18,0),IFERROR(VLOOKUP($E:$E,Structure!$A:$AJ,V$1,0)*$F18,0),IFERROR(VLOOKUP($G:$G,Structure!$A:$AJ,V$1,0)*$H18,0))</f>
        <v>8</v>
      </c>
      <c r="W18" s="9">
        <f>SUM(IFERROR(VLOOKUP($C:$C,Structure!$A:$AJ,W$1,0)*$D18,0),IFERROR(VLOOKUP($E:$E,Structure!$A:$AJ,W$1,0)*$F18,0),IFERROR(VLOOKUP($G:$G,Structure!$A:$AJ,W$1,0)*$H18,0))</f>
        <v>0</v>
      </c>
      <c r="X18" s="9">
        <f>SUM(IFERROR(VLOOKUP($C:$C,Structure!$A:$AJ,X$1,0)*$D18,0),IFERROR(VLOOKUP($E:$E,Structure!$A:$AJ,X$1,0)*$F18,0),IFERROR(VLOOKUP($G:$G,Structure!$A:$AJ,X$1,0)*$H18,0))</f>
        <v>0</v>
      </c>
      <c r="Y18" s="9">
        <f>SUM(IFERROR(VLOOKUP($C:$C,Structure!$A:$AJ,Y$1,0)*$D18,0),IFERROR(VLOOKUP($E:$E,Structure!$A:$AJ,Y$1,0)*$F18,0),IFERROR(VLOOKUP($G:$G,Structure!$A:$AJ,Y$1,0)*$H18,0))</f>
        <v>0</v>
      </c>
      <c r="Z18" s="9">
        <f>SUM(IFERROR(VLOOKUP($C:$C,Structure!$A:$AJ,Z$1,0)*$D18,0),IFERROR(VLOOKUP($E:$E,Structure!$A:$AJ,Z$1,0)*$F18,0),IFERROR(VLOOKUP($G:$G,Structure!$A:$AJ,Z$1,0)*$H18,0))</f>
        <v>0</v>
      </c>
      <c r="AA18" s="9">
        <f>SUM(IFERROR(VLOOKUP($C:$C,Structure!$A:$AJ,AA$1,0)*$D18,0),IFERROR(VLOOKUP($E:$E,Structure!$A:$AJ,AA$1,0)*$F18,0),IFERROR(VLOOKUP($G:$G,Structure!$A:$AJ,AA$1,0)*$H18,0))</f>
        <v>0</v>
      </c>
      <c r="AB18" s="9">
        <f>SUM(IFERROR(VLOOKUP($C:$C,Structure!$A:$AJ,AB$1,0)*$D18,0),IFERROR(VLOOKUP($E:$E,Structure!$A:$AJ,AB$1,0)*$F18,0),IFERROR(VLOOKUP($G:$G,Structure!$A:$AJ,AB$1,0)*$H18,0))</f>
        <v>0</v>
      </c>
      <c r="AC18" s="9">
        <f>SUM(IFERROR(VLOOKUP($C:$C,Structure!$A:$AJ,AC$1,0)*$D18,0),IFERROR(VLOOKUP($E:$E,Structure!$A:$AJ,AC$1,0)*$F18,0),IFERROR(VLOOKUP($G:$G,Structure!$A:$AJ,AC$1,0)*$H18,0))</f>
        <v>8</v>
      </c>
      <c r="AD18" s="9">
        <f>SUM(IFERROR(VLOOKUP($C:$C,Structure!$A:$AJ,AD$1,0)*$D18,0),IFERROR(VLOOKUP($E:$E,Structure!$A:$AJ,AD$1,0)*$F18,0),IFERROR(VLOOKUP($G:$G,Structure!$A:$AJ,AD$1,0)*$H18,0))</f>
        <v>0</v>
      </c>
      <c r="AE18" s="9">
        <f>SUM(IFERROR(VLOOKUP($C:$C,Structure!$A:$AJ,AE$1,0)*$D18,0),IFERROR(VLOOKUP($E:$E,Structure!$A:$AJ,AE$1,0)*$F18,0),IFERROR(VLOOKUP($G:$G,Structure!$A:$AJ,AE$1,0)*$H18,0))</f>
        <v>0</v>
      </c>
      <c r="AF18" s="9">
        <f>SUM(IFERROR(VLOOKUP($C:$C,Structure!$A:$AJ,AF$1,0)*$D18,0),IFERROR(VLOOKUP($E:$E,Structure!$A:$AJ,AF$1,0)*$F18,0),IFERROR(VLOOKUP($G:$G,Structure!$A:$AJ,AF$1,0)*$H18,0))</f>
        <v>0</v>
      </c>
      <c r="AG18" s="9">
        <f>SUM(IFERROR(VLOOKUP($C:$C,Structure!$A:$AJ,AG$1,0)*$D18,0),IFERROR(VLOOKUP($E:$E,Structure!$A:$AJ,AG$1,0)*$F18,0),IFERROR(VLOOKUP($G:$G,Structure!$A:$AJ,AG$1,0)*$H18,0))</f>
        <v>0</v>
      </c>
      <c r="AH18" s="9">
        <f>SUM(IFERROR(VLOOKUP($C:$C,Structure!$A:$AJ,AH$1,0)*$D18,0),IFERROR(VLOOKUP($E:$E,Structure!$A:$AJ,AH$1,0)*$F18,0),IFERROR(VLOOKUP($G:$G,Structure!$A:$AJ,AH$1,0)*$H18,0))</f>
        <v>0</v>
      </c>
      <c r="AI18" s="9">
        <f>SUM(IFERROR(VLOOKUP($C:$C,Structure!$A:$AJ,AI$1,0)*$D18,0),IFERROR(VLOOKUP($E:$E,Structure!$A:$AJ,AI$1,0)*$F18,0),IFERROR(VLOOKUP($G:$G,Structure!$A:$AJ,AI$1,0)*$H18,0))</f>
        <v>0</v>
      </c>
      <c r="AJ18" s="9">
        <f>SUM(IFERROR(VLOOKUP($C:$C,Structure!$A:$AJ,AJ$1,0)*$D18,0),IFERROR(VLOOKUP($E:$E,Structure!$A:$AJ,AJ$1,0)*$F18,0),IFERROR(VLOOKUP($G:$G,Structure!$A:$AJ,AJ$1,0)*$H18,0))</f>
        <v>0</v>
      </c>
      <c r="AK18" s="9">
        <f>SUM(IFERROR(VLOOKUP($C:$C,Structure!$A:$AJ,AK$1,0)*$D18,0),IFERROR(VLOOKUP($E:$E,Structure!$A:$AJ,AK$1,0)*$F18,0),IFERROR(VLOOKUP($G:$G,Structure!$A:$AJ,AK$1,0)*$H18,0))</f>
        <v>0</v>
      </c>
      <c r="AL18" s="9">
        <f>SUM(IFERROR(VLOOKUP($C:$C,Structure!$A:$AJ,AL$1,0)*$D18,0),IFERROR(VLOOKUP($E:$E,Structure!$A:$AJ,AL$1,0)*$F18,0),IFERROR(VLOOKUP($G:$G,Structure!$A:$AJ,AL$1,0)*$H18,0))</f>
        <v>0</v>
      </c>
      <c r="AM18" s="9">
        <f>SUM(IFERROR(VLOOKUP($C:$C,Structure!$A:$AJ,AM$1,0)*$D18,0),IFERROR(VLOOKUP($E:$E,Structure!$A:$AJ,AM$1,0)*$F18,0),IFERROR(VLOOKUP($G:$G,Structure!$A:$AJ,AM$1,0)*$H18,0))</f>
        <v>0</v>
      </c>
      <c r="AN18" s="9">
        <f>SUM(IFERROR(VLOOKUP($C:$C,Structure!$A:$AJ,AN$1,0)*$D18,0),IFERROR(VLOOKUP($E:$E,Structure!$A:$AJ,AN$1,0)*$F18,0),IFERROR(VLOOKUP($G:$G,Structure!$A:$AJ,AN$1,0)*$H18,0))</f>
        <v>0</v>
      </c>
      <c r="AO18" s="9">
        <f>SUM(IFERROR(VLOOKUP($C:$C,Structure!$A:$AJ,AO$1,0)*$D18,0),IFERROR(VLOOKUP($E:$E,Structure!$A:$AJ,AO$1,0)*$F18,0),IFERROR(VLOOKUP($G:$G,Structure!$A:$AJ,AO$1,0)*$H18,0))</f>
        <v>0</v>
      </c>
      <c r="AP18" s="9">
        <f>SUM(IFERROR(VLOOKUP($C:$C,Structure!$A:$AJ,AP$1,0)*$D18,0),IFERROR(VLOOKUP($E:$E,Structure!$A:$AJ,AP$1,0)*$F18,0),IFERROR(VLOOKUP($G:$G,Structure!$A:$AJ,AP$1,0)*$H18,0))</f>
        <v>0</v>
      </c>
      <c r="AQ18" s="9">
        <f>SUM(IFERROR(VLOOKUP($C:$C,Structure!$A:$AJ,AQ$1,0)*$D18,0),IFERROR(VLOOKUP($E:$E,Structure!$A:$AJ,AQ$1,0)*$F18,0),IFERROR(VLOOKUP($G:$G,Structure!$A:$AJ,AQ$1,0)*$H18,0))</f>
        <v>0</v>
      </c>
      <c r="AR18" s="21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4">
        <f t="shared" si="22"/>
        <v>0</v>
      </c>
      <c r="CE18" s="4">
        <f t="shared" si="23"/>
        <v>45</v>
      </c>
      <c r="CF18" s="4">
        <f t="shared" si="24"/>
        <v>4</v>
      </c>
      <c r="CG18" s="4">
        <f t="shared" si="25"/>
        <v>23</v>
      </c>
      <c r="CH18" s="4">
        <f t="shared" si="26"/>
        <v>1</v>
      </c>
      <c r="CI18" s="4">
        <f t="shared" si="27"/>
        <v>1</v>
      </c>
      <c r="CJ18" s="4">
        <f t="shared" si="28"/>
        <v>61</v>
      </c>
      <c r="CK18" s="4">
        <f t="shared" si="29"/>
        <v>224</v>
      </c>
      <c r="CL18" s="4">
        <f t="shared" si="30"/>
        <v>0</v>
      </c>
      <c r="CM18" s="4">
        <f t="shared" si="31"/>
        <v>4</v>
      </c>
      <c r="CN18" s="4">
        <f t="shared" si="32"/>
        <v>49</v>
      </c>
      <c r="CO18" s="4">
        <f t="shared" si="33"/>
        <v>0</v>
      </c>
      <c r="CP18" s="4">
        <f t="shared" si="34"/>
        <v>5</v>
      </c>
      <c r="CQ18" s="4">
        <f t="shared" si="35"/>
        <v>-9</v>
      </c>
      <c r="CR18" s="4">
        <f t="shared" si="36"/>
        <v>34</v>
      </c>
      <c r="CS18" s="4">
        <f t="shared" si="37"/>
        <v>0</v>
      </c>
      <c r="CT18" s="4">
        <f t="shared" si="38"/>
        <v>0</v>
      </c>
      <c r="CU18" s="4">
        <f t="shared" si="39"/>
        <v>0</v>
      </c>
      <c r="CV18" s="4">
        <f t="shared" si="40"/>
        <v>0</v>
      </c>
      <c r="CW18" s="4">
        <f t="shared" si="41"/>
        <v>0</v>
      </c>
      <c r="CX18" s="4">
        <f t="shared" si="42"/>
        <v>11</v>
      </c>
      <c r="CY18" s="4">
        <f t="shared" si="43"/>
        <v>0</v>
      </c>
      <c r="CZ18" s="4">
        <f t="shared" si="44"/>
        <v>0</v>
      </c>
      <c r="DA18" s="4">
        <f t="shared" si="45"/>
        <v>0</v>
      </c>
      <c r="DB18" s="4">
        <f t="shared" si="46"/>
        <v>0</v>
      </c>
      <c r="DC18" s="4">
        <f t="shared" si="47"/>
        <v>0</v>
      </c>
      <c r="DD18" s="4">
        <f t="shared" si="48"/>
        <v>0</v>
      </c>
      <c r="DE18" s="4">
        <f t="shared" si="49"/>
        <v>0</v>
      </c>
      <c r="DF18" s="4">
        <f t="shared" si="50"/>
        <v>0</v>
      </c>
      <c r="DG18" s="4">
        <f t="shared" si="51"/>
        <v>0</v>
      </c>
      <c r="DH18" s="4">
        <f t="shared" si="52"/>
        <v>0</v>
      </c>
      <c r="DI18" s="4">
        <f t="shared" si="53"/>
        <v>0</v>
      </c>
      <c r="DJ18" s="4">
        <f t="shared" si="54"/>
        <v>0</v>
      </c>
      <c r="DK18" s="4">
        <f t="shared" si="55"/>
        <v>0</v>
      </c>
      <c r="DL18" s="4">
        <f t="shared" si="56"/>
        <v>0</v>
      </c>
    </row>
    <row r="19" spans="1:116" x14ac:dyDescent="0.25">
      <c r="A19" s="5">
        <v>46183</v>
      </c>
      <c r="B19" s="6">
        <v>0.64583333337213844</v>
      </c>
      <c r="C19" s="3"/>
      <c r="D19" s="3"/>
      <c r="E19" s="3" t="s">
        <v>30</v>
      </c>
      <c r="F19" s="3">
        <v>8</v>
      </c>
      <c r="G19" s="3"/>
      <c r="H19" s="9"/>
      <c r="I19" s="9">
        <f>SUM(IFERROR(VLOOKUP($C:$C,Structure!$A:$AJ,I$1,0)*$D19,0),IFERROR(VLOOKUP($E:$E,Structure!$A:$AJ,I$1,0)*$F19,0),IFERROR(VLOOKUP($G:$G,Structure!$A:$AJ,I$1,0)*$H19,0))</f>
        <v>0</v>
      </c>
      <c r="J19" s="9">
        <f>SUM(IFERROR(VLOOKUP($C:$C,Structure!$A:$AJ,J$1,0)*$D19,0),IFERROR(VLOOKUP($E:$E,Structure!$A:$AJ,J$1,0)*$F19,0),IFERROR(VLOOKUP($G:$G,Structure!$A:$AJ,J$1,0)*$H19,0))</f>
        <v>0</v>
      </c>
      <c r="K19" s="9">
        <f>SUM(IFERROR(VLOOKUP($C:$C,Structure!$A:$AJ,K$1,0)*$D19,0),IFERROR(VLOOKUP($E:$E,Structure!$A:$AJ,K$1,0)*$F19,0),IFERROR(VLOOKUP($G:$G,Structure!$A:$AJ,K$1,0)*$H19,0))</f>
        <v>0</v>
      </c>
      <c r="L19" s="9">
        <f>SUM(IFERROR(VLOOKUP($C:$C,Structure!$A:$AJ,L$1,0)*$D19,0),IFERROR(VLOOKUP($E:$E,Structure!$A:$AJ,L$1,0)*$F19,0),IFERROR(VLOOKUP($G:$G,Structure!$A:$AJ,L$1,0)*$H19,0))</f>
        <v>0</v>
      </c>
      <c r="M19" s="9">
        <f>SUM(IFERROR(VLOOKUP($C:$C,Structure!$A:$AJ,M$1,0)*$D19,0),IFERROR(VLOOKUP($E:$E,Structure!$A:$AJ,M$1,0)*$F19,0),IFERROR(VLOOKUP($G:$G,Structure!$A:$AJ,M$1,0)*$H19,0))</f>
        <v>0</v>
      </c>
      <c r="N19" s="9">
        <f>SUM(IFERROR(VLOOKUP($C:$C,Structure!$A:$AJ,N$1,0)*$D19,0),IFERROR(VLOOKUP($E:$E,Structure!$A:$AJ,N$1,0)*$F19,0),IFERROR(VLOOKUP($G:$G,Structure!$A:$AJ,N$1,0)*$H19,0))</f>
        <v>0</v>
      </c>
      <c r="O19" s="9">
        <f>SUM(IFERROR(VLOOKUP($C:$C,Structure!$A:$AJ,O$1,0)*$D19,0),IFERROR(VLOOKUP($E:$E,Structure!$A:$AJ,O$1,0)*$F19,0),IFERROR(VLOOKUP($G:$G,Structure!$A:$AJ,O$1,0)*$H19,0))</f>
        <v>0</v>
      </c>
      <c r="P19" s="9">
        <f>SUM(IFERROR(VLOOKUP($C:$C,Structure!$A:$AJ,P$1,0)*$D19,0),IFERROR(VLOOKUP($E:$E,Structure!$A:$AJ,P$1,0)*$F19,0),IFERROR(VLOOKUP($G:$G,Structure!$A:$AJ,P$1,0)*$H19,0))</f>
        <v>0</v>
      </c>
      <c r="Q19" s="9">
        <f>SUM(IFERROR(VLOOKUP($C:$C,Structure!$A:$AJ,Q$1,0)*$D19,0),IFERROR(VLOOKUP($E:$E,Structure!$A:$AJ,Q$1,0)*$F19,0),IFERROR(VLOOKUP($G:$G,Structure!$A:$AJ,Q$1,0)*$H19,0))</f>
        <v>0</v>
      </c>
      <c r="R19" s="9">
        <f>SUM(IFERROR(VLOOKUP($C:$C,Structure!$A:$AJ,R$1,0)*$D19,0),IFERROR(VLOOKUP($E:$E,Structure!$A:$AJ,R$1,0)*$F19,0),IFERROR(VLOOKUP($G:$G,Structure!$A:$AJ,R$1,0)*$H19,0))</f>
        <v>0</v>
      </c>
      <c r="S19" s="9">
        <f>SUM(IFERROR(VLOOKUP($C:$C,Structure!$A:$AJ,S$1,0)*$D19,0),IFERROR(VLOOKUP($E:$E,Structure!$A:$AJ,S$1,0)*$F19,0),IFERROR(VLOOKUP($G:$G,Structure!$A:$AJ,S$1,0)*$H19,0))</f>
        <v>0</v>
      </c>
      <c r="T19" s="9">
        <f>SUM(IFERROR(VLOOKUP($C:$C,Structure!$A:$AJ,T$1,0)*$D19,0),IFERROR(VLOOKUP($E:$E,Structure!$A:$AJ,T$1,0)*$F19,0),IFERROR(VLOOKUP($G:$G,Structure!$A:$AJ,T$1,0)*$H19,0))</f>
        <v>0</v>
      </c>
      <c r="U19" s="9">
        <f>SUM(IFERROR(VLOOKUP($C:$C,Structure!$A:$AJ,U$1,0)*$D19,0),IFERROR(VLOOKUP($E:$E,Structure!$A:$AJ,U$1,0)*$F19,0),IFERROR(VLOOKUP($G:$G,Structure!$A:$AJ,U$1,0)*$H19,0))</f>
        <v>0</v>
      </c>
      <c r="V19" s="9">
        <f>SUM(IFERROR(VLOOKUP($C:$C,Structure!$A:$AJ,V$1,0)*$D19,0),IFERROR(VLOOKUP($E:$E,Structure!$A:$AJ,V$1,0)*$F19,0),IFERROR(VLOOKUP($G:$G,Structure!$A:$AJ,V$1,0)*$H19,0))</f>
        <v>8</v>
      </c>
      <c r="W19" s="9">
        <f>SUM(IFERROR(VLOOKUP($C:$C,Structure!$A:$AJ,W$1,0)*$D19,0),IFERROR(VLOOKUP($E:$E,Structure!$A:$AJ,W$1,0)*$F19,0),IFERROR(VLOOKUP($G:$G,Structure!$A:$AJ,W$1,0)*$H19,0))</f>
        <v>0</v>
      </c>
      <c r="X19" s="9">
        <f>SUM(IFERROR(VLOOKUP($C:$C,Structure!$A:$AJ,X$1,0)*$D19,0),IFERROR(VLOOKUP($E:$E,Structure!$A:$AJ,X$1,0)*$F19,0),IFERROR(VLOOKUP($G:$G,Structure!$A:$AJ,X$1,0)*$H19,0))</f>
        <v>0</v>
      </c>
      <c r="Y19" s="9">
        <f>SUM(IFERROR(VLOOKUP($C:$C,Structure!$A:$AJ,Y$1,0)*$D19,0),IFERROR(VLOOKUP($E:$E,Structure!$A:$AJ,Y$1,0)*$F19,0),IFERROR(VLOOKUP($G:$G,Structure!$A:$AJ,Y$1,0)*$H19,0))</f>
        <v>0</v>
      </c>
      <c r="Z19" s="9">
        <f>SUM(IFERROR(VLOOKUP($C:$C,Structure!$A:$AJ,Z$1,0)*$D19,0),IFERROR(VLOOKUP($E:$E,Structure!$A:$AJ,Z$1,0)*$F19,0),IFERROR(VLOOKUP($G:$G,Structure!$A:$AJ,Z$1,0)*$H19,0))</f>
        <v>0</v>
      </c>
      <c r="AA19" s="9">
        <f>SUM(IFERROR(VLOOKUP($C:$C,Structure!$A:$AJ,AA$1,0)*$D19,0),IFERROR(VLOOKUP($E:$E,Structure!$A:$AJ,AA$1,0)*$F19,0),IFERROR(VLOOKUP($G:$G,Structure!$A:$AJ,AA$1,0)*$H19,0))</f>
        <v>0</v>
      </c>
      <c r="AB19" s="9">
        <f>SUM(IFERROR(VLOOKUP($C:$C,Structure!$A:$AJ,AB$1,0)*$D19,0),IFERROR(VLOOKUP($E:$E,Structure!$A:$AJ,AB$1,0)*$F19,0),IFERROR(VLOOKUP($G:$G,Structure!$A:$AJ,AB$1,0)*$H19,0))</f>
        <v>0</v>
      </c>
      <c r="AC19" s="9">
        <f>SUM(IFERROR(VLOOKUP($C:$C,Structure!$A:$AJ,AC$1,0)*$D19,0),IFERROR(VLOOKUP($E:$E,Structure!$A:$AJ,AC$1,0)*$F19,0),IFERROR(VLOOKUP($G:$G,Structure!$A:$AJ,AC$1,0)*$H19,0))</f>
        <v>8</v>
      </c>
      <c r="AD19" s="9">
        <f>SUM(IFERROR(VLOOKUP($C:$C,Structure!$A:$AJ,AD$1,0)*$D19,0),IFERROR(VLOOKUP($E:$E,Structure!$A:$AJ,AD$1,0)*$F19,0),IFERROR(VLOOKUP($G:$G,Structure!$A:$AJ,AD$1,0)*$H19,0))</f>
        <v>0</v>
      </c>
      <c r="AE19" s="9">
        <f>SUM(IFERROR(VLOOKUP($C:$C,Structure!$A:$AJ,AE$1,0)*$D19,0),IFERROR(VLOOKUP($E:$E,Structure!$A:$AJ,AE$1,0)*$F19,0),IFERROR(VLOOKUP($G:$G,Structure!$A:$AJ,AE$1,0)*$H19,0))</f>
        <v>0</v>
      </c>
      <c r="AF19" s="9">
        <f>SUM(IFERROR(VLOOKUP($C:$C,Structure!$A:$AJ,AF$1,0)*$D19,0),IFERROR(VLOOKUP($E:$E,Structure!$A:$AJ,AF$1,0)*$F19,0),IFERROR(VLOOKUP($G:$G,Structure!$A:$AJ,AF$1,0)*$H19,0))</f>
        <v>0</v>
      </c>
      <c r="AG19" s="9">
        <f>SUM(IFERROR(VLOOKUP($C:$C,Structure!$A:$AJ,AG$1,0)*$D19,0),IFERROR(VLOOKUP($E:$E,Structure!$A:$AJ,AG$1,0)*$F19,0),IFERROR(VLOOKUP($G:$G,Structure!$A:$AJ,AG$1,0)*$H19,0))</f>
        <v>0</v>
      </c>
      <c r="AH19" s="9">
        <f>SUM(IFERROR(VLOOKUP($C:$C,Structure!$A:$AJ,AH$1,0)*$D19,0),IFERROR(VLOOKUP($E:$E,Structure!$A:$AJ,AH$1,0)*$F19,0),IFERROR(VLOOKUP($G:$G,Structure!$A:$AJ,AH$1,0)*$H19,0))</f>
        <v>0</v>
      </c>
      <c r="AI19" s="9">
        <f>SUM(IFERROR(VLOOKUP($C:$C,Structure!$A:$AJ,AI$1,0)*$D19,0),IFERROR(VLOOKUP($E:$E,Structure!$A:$AJ,AI$1,0)*$F19,0),IFERROR(VLOOKUP($G:$G,Structure!$A:$AJ,AI$1,0)*$H19,0))</f>
        <v>0</v>
      </c>
      <c r="AJ19" s="9">
        <f>SUM(IFERROR(VLOOKUP($C:$C,Structure!$A:$AJ,AJ$1,0)*$D19,0),IFERROR(VLOOKUP($E:$E,Structure!$A:$AJ,AJ$1,0)*$F19,0),IFERROR(VLOOKUP($G:$G,Structure!$A:$AJ,AJ$1,0)*$H19,0))</f>
        <v>0</v>
      </c>
      <c r="AK19" s="9">
        <f>SUM(IFERROR(VLOOKUP($C:$C,Structure!$A:$AJ,AK$1,0)*$D19,0),IFERROR(VLOOKUP($E:$E,Structure!$A:$AJ,AK$1,0)*$F19,0),IFERROR(VLOOKUP($G:$G,Structure!$A:$AJ,AK$1,0)*$H19,0))</f>
        <v>0</v>
      </c>
      <c r="AL19" s="9">
        <f>SUM(IFERROR(VLOOKUP($C:$C,Structure!$A:$AJ,AL$1,0)*$D19,0),IFERROR(VLOOKUP($E:$E,Structure!$A:$AJ,AL$1,0)*$F19,0),IFERROR(VLOOKUP($G:$G,Structure!$A:$AJ,AL$1,0)*$H19,0))</f>
        <v>0</v>
      </c>
      <c r="AM19" s="9">
        <f>SUM(IFERROR(VLOOKUP($C:$C,Structure!$A:$AJ,AM$1,0)*$D19,0),IFERROR(VLOOKUP($E:$E,Structure!$A:$AJ,AM$1,0)*$F19,0),IFERROR(VLOOKUP($G:$G,Structure!$A:$AJ,AM$1,0)*$H19,0))</f>
        <v>0</v>
      </c>
      <c r="AN19" s="9">
        <f>SUM(IFERROR(VLOOKUP($C:$C,Structure!$A:$AJ,AN$1,0)*$D19,0),IFERROR(VLOOKUP($E:$E,Structure!$A:$AJ,AN$1,0)*$F19,0),IFERROR(VLOOKUP($G:$G,Structure!$A:$AJ,AN$1,0)*$H19,0))</f>
        <v>0</v>
      </c>
      <c r="AO19" s="9">
        <f>SUM(IFERROR(VLOOKUP($C:$C,Structure!$A:$AJ,AO$1,0)*$D19,0),IFERROR(VLOOKUP($E:$E,Structure!$A:$AJ,AO$1,0)*$F19,0),IFERROR(VLOOKUP($G:$G,Structure!$A:$AJ,AO$1,0)*$H19,0))</f>
        <v>0</v>
      </c>
      <c r="AP19" s="9">
        <f>SUM(IFERROR(VLOOKUP($C:$C,Structure!$A:$AJ,AP$1,0)*$D19,0),IFERROR(VLOOKUP($E:$E,Structure!$A:$AJ,AP$1,0)*$F19,0),IFERROR(VLOOKUP($G:$G,Structure!$A:$AJ,AP$1,0)*$H19,0))</f>
        <v>0</v>
      </c>
      <c r="AQ19" s="9">
        <f>SUM(IFERROR(VLOOKUP($C:$C,Structure!$A:$AJ,AQ$1,0)*$D19,0),IFERROR(VLOOKUP($E:$E,Structure!$A:$AJ,AQ$1,0)*$F19,0),IFERROR(VLOOKUP($G:$G,Structure!$A:$AJ,AQ$1,0)*$H19,0))</f>
        <v>0</v>
      </c>
      <c r="AR19" s="21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4">
        <f t="shared" si="22"/>
        <v>0</v>
      </c>
      <c r="CE19" s="4">
        <f t="shared" si="23"/>
        <v>45</v>
      </c>
      <c r="CF19" s="4">
        <f t="shared" si="24"/>
        <v>4</v>
      </c>
      <c r="CG19" s="4">
        <f t="shared" si="25"/>
        <v>23</v>
      </c>
      <c r="CH19" s="4">
        <f t="shared" si="26"/>
        <v>1</v>
      </c>
      <c r="CI19" s="4">
        <f t="shared" si="27"/>
        <v>1</v>
      </c>
      <c r="CJ19" s="4">
        <f t="shared" si="28"/>
        <v>61</v>
      </c>
      <c r="CK19" s="4">
        <f t="shared" si="29"/>
        <v>224</v>
      </c>
      <c r="CL19" s="4">
        <f t="shared" si="30"/>
        <v>0</v>
      </c>
      <c r="CM19" s="4">
        <f t="shared" si="31"/>
        <v>4</v>
      </c>
      <c r="CN19" s="4">
        <f t="shared" si="32"/>
        <v>49</v>
      </c>
      <c r="CO19" s="4">
        <f t="shared" si="33"/>
        <v>0</v>
      </c>
      <c r="CP19" s="4">
        <f t="shared" si="34"/>
        <v>5</v>
      </c>
      <c r="CQ19" s="4">
        <f t="shared" si="35"/>
        <v>-17</v>
      </c>
      <c r="CR19" s="4">
        <f t="shared" si="36"/>
        <v>34</v>
      </c>
      <c r="CS19" s="4">
        <f t="shared" si="37"/>
        <v>0</v>
      </c>
      <c r="CT19" s="4">
        <f t="shared" si="38"/>
        <v>0</v>
      </c>
      <c r="CU19" s="4">
        <f t="shared" si="39"/>
        <v>0</v>
      </c>
      <c r="CV19" s="4">
        <f t="shared" si="40"/>
        <v>0</v>
      </c>
      <c r="CW19" s="4">
        <f t="shared" si="41"/>
        <v>0</v>
      </c>
      <c r="CX19" s="4">
        <f t="shared" si="42"/>
        <v>3</v>
      </c>
      <c r="CY19" s="4">
        <f t="shared" si="43"/>
        <v>0</v>
      </c>
      <c r="CZ19" s="4">
        <f t="shared" si="44"/>
        <v>0</v>
      </c>
      <c r="DA19" s="4">
        <f t="shared" si="45"/>
        <v>0</v>
      </c>
      <c r="DB19" s="4">
        <f t="shared" si="46"/>
        <v>0</v>
      </c>
      <c r="DC19" s="4">
        <f t="shared" si="47"/>
        <v>0</v>
      </c>
      <c r="DD19" s="4">
        <f t="shared" si="48"/>
        <v>0</v>
      </c>
      <c r="DE19" s="4">
        <f t="shared" si="49"/>
        <v>0</v>
      </c>
      <c r="DF19" s="4">
        <f t="shared" si="50"/>
        <v>0</v>
      </c>
      <c r="DG19" s="4">
        <f t="shared" si="51"/>
        <v>0</v>
      </c>
      <c r="DH19" s="4">
        <f t="shared" si="52"/>
        <v>0</v>
      </c>
      <c r="DI19" s="4">
        <f t="shared" si="53"/>
        <v>0</v>
      </c>
      <c r="DJ19" s="4">
        <f t="shared" si="54"/>
        <v>0</v>
      </c>
      <c r="DK19" s="4">
        <f t="shared" si="55"/>
        <v>0</v>
      </c>
      <c r="DL19" s="4">
        <f t="shared" si="56"/>
        <v>0</v>
      </c>
    </row>
    <row r="20" spans="1:116" x14ac:dyDescent="0.25">
      <c r="A20" s="5">
        <v>46183</v>
      </c>
      <c r="B20" s="6">
        <v>0.66666666670789709</v>
      </c>
      <c r="C20" s="3"/>
      <c r="D20" s="3"/>
      <c r="E20" s="3" t="s">
        <v>38</v>
      </c>
      <c r="F20" s="3">
        <v>8</v>
      </c>
      <c r="G20" s="3"/>
      <c r="H20" s="9"/>
      <c r="I20" s="9">
        <f>SUM(IFERROR(VLOOKUP($C:$C,Structure!$A:$AJ,I$1,0)*$D20,0),IFERROR(VLOOKUP($E:$E,Structure!$A:$AJ,I$1,0)*$F20,0),IFERROR(VLOOKUP($G:$G,Structure!$A:$AJ,I$1,0)*$H20,0))</f>
        <v>0</v>
      </c>
      <c r="J20" s="9">
        <f>SUM(IFERROR(VLOOKUP($C:$C,Structure!$A:$AJ,J$1,0)*$D20,0),IFERROR(VLOOKUP($E:$E,Structure!$A:$AJ,J$1,0)*$F20,0),IFERROR(VLOOKUP($G:$G,Structure!$A:$AJ,J$1,0)*$H20,0))</f>
        <v>8</v>
      </c>
      <c r="K20" s="9">
        <f>SUM(IFERROR(VLOOKUP($C:$C,Structure!$A:$AJ,K$1,0)*$D20,0),IFERROR(VLOOKUP($E:$E,Structure!$A:$AJ,K$1,0)*$F20,0),IFERROR(VLOOKUP($G:$G,Structure!$A:$AJ,K$1,0)*$H20,0))</f>
        <v>0</v>
      </c>
      <c r="L20" s="9">
        <f>SUM(IFERROR(VLOOKUP($C:$C,Structure!$A:$AJ,L$1,0)*$D20,0),IFERROR(VLOOKUP($E:$E,Structure!$A:$AJ,L$1,0)*$F20,0),IFERROR(VLOOKUP($G:$G,Structure!$A:$AJ,L$1,0)*$H20,0))</f>
        <v>0</v>
      </c>
      <c r="M20" s="9">
        <f>SUM(IFERROR(VLOOKUP($C:$C,Structure!$A:$AJ,M$1,0)*$D20,0),IFERROR(VLOOKUP($E:$E,Structure!$A:$AJ,M$1,0)*$F20,0),IFERROR(VLOOKUP($G:$G,Structure!$A:$AJ,M$1,0)*$H20,0))</f>
        <v>0</v>
      </c>
      <c r="N20" s="9">
        <f>SUM(IFERROR(VLOOKUP($C:$C,Structure!$A:$AJ,N$1,0)*$D20,0),IFERROR(VLOOKUP($E:$E,Structure!$A:$AJ,N$1,0)*$F20,0),IFERROR(VLOOKUP($G:$G,Structure!$A:$AJ,N$1,0)*$H20,0))</f>
        <v>0</v>
      </c>
      <c r="O20" s="9">
        <f>SUM(IFERROR(VLOOKUP($C:$C,Structure!$A:$AJ,O$1,0)*$D20,0),IFERROR(VLOOKUP($E:$E,Structure!$A:$AJ,O$1,0)*$F20,0),IFERROR(VLOOKUP($G:$G,Structure!$A:$AJ,O$1,0)*$H20,0))</f>
        <v>0</v>
      </c>
      <c r="P20" s="9">
        <f>SUM(IFERROR(VLOOKUP($C:$C,Structure!$A:$AJ,P$1,0)*$D20,0),IFERROR(VLOOKUP($E:$E,Structure!$A:$AJ,P$1,0)*$F20,0),IFERROR(VLOOKUP($G:$G,Structure!$A:$AJ,P$1,0)*$H20,0))</f>
        <v>8</v>
      </c>
      <c r="Q20" s="9">
        <f>SUM(IFERROR(VLOOKUP($C:$C,Structure!$A:$AJ,Q$1,0)*$D20,0),IFERROR(VLOOKUP($E:$E,Structure!$A:$AJ,Q$1,0)*$F20,0),IFERROR(VLOOKUP($G:$G,Structure!$A:$AJ,Q$1,0)*$H20,0))</f>
        <v>0</v>
      </c>
      <c r="R20" s="9">
        <f>SUM(IFERROR(VLOOKUP($C:$C,Structure!$A:$AJ,R$1,0)*$D20,0),IFERROR(VLOOKUP($E:$E,Structure!$A:$AJ,R$1,0)*$F20,0),IFERROR(VLOOKUP($G:$G,Structure!$A:$AJ,R$1,0)*$H20,0))</f>
        <v>0</v>
      </c>
      <c r="S20" s="9">
        <f>SUM(IFERROR(VLOOKUP($C:$C,Structure!$A:$AJ,S$1,0)*$D20,0),IFERROR(VLOOKUP($E:$E,Structure!$A:$AJ,S$1,0)*$F20,0),IFERROR(VLOOKUP($G:$G,Structure!$A:$AJ,S$1,0)*$H20,0))</f>
        <v>0</v>
      </c>
      <c r="T20" s="9">
        <f>SUM(IFERROR(VLOOKUP($C:$C,Structure!$A:$AJ,T$1,0)*$D20,0),IFERROR(VLOOKUP($E:$E,Structure!$A:$AJ,T$1,0)*$F20,0),IFERROR(VLOOKUP($G:$G,Structure!$A:$AJ,T$1,0)*$H20,0))</f>
        <v>0</v>
      </c>
      <c r="U20" s="9">
        <f>SUM(IFERROR(VLOOKUP($C:$C,Structure!$A:$AJ,U$1,0)*$D20,0),IFERROR(VLOOKUP($E:$E,Structure!$A:$AJ,U$1,0)*$F20,0),IFERROR(VLOOKUP($G:$G,Structure!$A:$AJ,U$1,0)*$H20,0))</f>
        <v>0</v>
      </c>
      <c r="V20" s="9">
        <f>SUM(IFERROR(VLOOKUP($C:$C,Structure!$A:$AJ,V$1,0)*$D20,0),IFERROR(VLOOKUP($E:$E,Structure!$A:$AJ,V$1,0)*$F20,0),IFERROR(VLOOKUP($G:$G,Structure!$A:$AJ,V$1,0)*$H20,0))</f>
        <v>0</v>
      </c>
      <c r="W20" s="9">
        <f>SUM(IFERROR(VLOOKUP($C:$C,Structure!$A:$AJ,W$1,0)*$D20,0),IFERROR(VLOOKUP($E:$E,Structure!$A:$AJ,W$1,0)*$F20,0),IFERROR(VLOOKUP($G:$G,Structure!$A:$AJ,W$1,0)*$H20,0))</f>
        <v>0</v>
      </c>
      <c r="X20" s="9">
        <f>SUM(IFERROR(VLOOKUP($C:$C,Structure!$A:$AJ,X$1,0)*$D20,0),IFERROR(VLOOKUP($E:$E,Structure!$A:$AJ,X$1,0)*$F20,0),IFERROR(VLOOKUP($G:$G,Structure!$A:$AJ,X$1,0)*$H20,0))</f>
        <v>0</v>
      </c>
      <c r="Y20" s="9">
        <f>SUM(IFERROR(VLOOKUP($C:$C,Structure!$A:$AJ,Y$1,0)*$D20,0),IFERROR(VLOOKUP($E:$E,Structure!$A:$AJ,Y$1,0)*$F20,0),IFERROR(VLOOKUP($G:$G,Structure!$A:$AJ,Y$1,0)*$H20,0))</f>
        <v>0</v>
      </c>
      <c r="Z20" s="9">
        <f>SUM(IFERROR(VLOOKUP($C:$C,Structure!$A:$AJ,Z$1,0)*$D20,0),IFERROR(VLOOKUP($E:$E,Structure!$A:$AJ,Z$1,0)*$F20,0),IFERROR(VLOOKUP($G:$G,Structure!$A:$AJ,Z$1,0)*$H20,0))</f>
        <v>0</v>
      </c>
      <c r="AA20" s="9">
        <f>SUM(IFERROR(VLOOKUP($C:$C,Structure!$A:$AJ,AA$1,0)*$D20,0),IFERROR(VLOOKUP($E:$E,Structure!$A:$AJ,AA$1,0)*$F20,0),IFERROR(VLOOKUP($G:$G,Structure!$A:$AJ,AA$1,0)*$H20,0))</f>
        <v>0</v>
      </c>
      <c r="AB20" s="9">
        <f>SUM(IFERROR(VLOOKUP($C:$C,Structure!$A:$AJ,AB$1,0)*$D20,0),IFERROR(VLOOKUP($E:$E,Structure!$A:$AJ,AB$1,0)*$F20,0),IFERROR(VLOOKUP($G:$G,Structure!$A:$AJ,AB$1,0)*$H20,0))</f>
        <v>0</v>
      </c>
      <c r="AC20" s="9">
        <f>SUM(IFERROR(VLOOKUP($C:$C,Structure!$A:$AJ,AC$1,0)*$D20,0),IFERROR(VLOOKUP($E:$E,Structure!$A:$AJ,AC$1,0)*$F20,0),IFERROR(VLOOKUP($G:$G,Structure!$A:$AJ,AC$1,0)*$H20,0))</f>
        <v>0</v>
      </c>
      <c r="AD20" s="9">
        <f>SUM(IFERROR(VLOOKUP($C:$C,Structure!$A:$AJ,AD$1,0)*$D20,0),IFERROR(VLOOKUP($E:$E,Structure!$A:$AJ,AD$1,0)*$F20,0),IFERROR(VLOOKUP($G:$G,Structure!$A:$AJ,AD$1,0)*$H20,0))</f>
        <v>0</v>
      </c>
      <c r="AE20" s="9">
        <f>SUM(IFERROR(VLOOKUP($C:$C,Structure!$A:$AJ,AE$1,0)*$D20,0),IFERROR(VLOOKUP($E:$E,Structure!$A:$AJ,AE$1,0)*$F20,0),IFERROR(VLOOKUP($G:$G,Structure!$A:$AJ,AE$1,0)*$H20,0))</f>
        <v>0</v>
      </c>
      <c r="AF20" s="9">
        <f>SUM(IFERROR(VLOOKUP($C:$C,Structure!$A:$AJ,AF$1,0)*$D20,0),IFERROR(VLOOKUP($E:$E,Structure!$A:$AJ,AF$1,0)*$F20,0),IFERROR(VLOOKUP($G:$G,Structure!$A:$AJ,AF$1,0)*$H20,0))</f>
        <v>0</v>
      </c>
      <c r="AG20" s="9">
        <f>SUM(IFERROR(VLOOKUP($C:$C,Structure!$A:$AJ,AG$1,0)*$D20,0),IFERROR(VLOOKUP($E:$E,Structure!$A:$AJ,AG$1,0)*$F20,0),IFERROR(VLOOKUP($G:$G,Structure!$A:$AJ,AG$1,0)*$H20,0))</f>
        <v>0</v>
      </c>
      <c r="AH20" s="9">
        <f>SUM(IFERROR(VLOOKUP($C:$C,Structure!$A:$AJ,AH$1,0)*$D20,0),IFERROR(VLOOKUP($E:$E,Structure!$A:$AJ,AH$1,0)*$F20,0),IFERROR(VLOOKUP($G:$G,Structure!$A:$AJ,AH$1,0)*$H20,0))</f>
        <v>0</v>
      </c>
      <c r="AI20" s="9">
        <f>SUM(IFERROR(VLOOKUP($C:$C,Structure!$A:$AJ,AI$1,0)*$D20,0),IFERROR(VLOOKUP($E:$E,Structure!$A:$AJ,AI$1,0)*$F20,0),IFERROR(VLOOKUP($G:$G,Structure!$A:$AJ,AI$1,0)*$H20,0))</f>
        <v>0</v>
      </c>
      <c r="AJ20" s="9">
        <f>SUM(IFERROR(VLOOKUP($C:$C,Structure!$A:$AJ,AJ$1,0)*$D20,0),IFERROR(VLOOKUP($E:$E,Structure!$A:$AJ,AJ$1,0)*$F20,0),IFERROR(VLOOKUP($G:$G,Structure!$A:$AJ,AJ$1,0)*$H20,0))</f>
        <v>0</v>
      </c>
      <c r="AK20" s="9">
        <f>SUM(IFERROR(VLOOKUP($C:$C,Structure!$A:$AJ,AK$1,0)*$D20,0),IFERROR(VLOOKUP($E:$E,Structure!$A:$AJ,AK$1,0)*$F20,0),IFERROR(VLOOKUP($G:$G,Structure!$A:$AJ,AK$1,0)*$H20,0))</f>
        <v>0</v>
      </c>
      <c r="AL20" s="9">
        <f>SUM(IFERROR(VLOOKUP($C:$C,Structure!$A:$AJ,AL$1,0)*$D20,0),IFERROR(VLOOKUP($E:$E,Structure!$A:$AJ,AL$1,0)*$F20,0),IFERROR(VLOOKUP($G:$G,Structure!$A:$AJ,AL$1,0)*$H20,0))</f>
        <v>0</v>
      </c>
      <c r="AM20" s="9">
        <f>SUM(IFERROR(VLOOKUP($C:$C,Structure!$A:$AJ,AM$1,0)*$D20,0),IFERROR(VLOOKUP($E:$E,Structure!$A:$AJ,AM$1,0)*$F20,0),IFERROR(VLOOKUP($G:$G,Structure!$A:$AJ,AM$1,0)*$H20,0))</f>
        <v>0</v>
      </c>
      <c r="AN20" s="9">
        <f>SUM(IFERROR(VLOOKUP($C:$C,Structure!$A:$AJ,AN$1,0)*$D20,0),IFERROR(VLOOKUP($E:$E,Structure!$A:$AJ,AN$1,0)*$F20,0),IFERROR(VLOOKUP($G:$G,Structure!$A:$AJ,AN$1,0)*$H20,0))</f>
        <v>0</v>
      </c>
      <c r="AO20" s="9">
        <f>SUM(IFERROR(VLOOKUP($C:$C,Structure!$A:$AJ,AO$1,0)*$D20,0),IFERROR(VLOOKUP($E:$E,Structure!$A:$AJ,AO$1,0)*$F20,0),IFERROR(VLOOKUP($G:$G,Structure!$A:$AJ,AO$1,0)*$H20,0))</f>
        <v>0</v>
      </c>
      <c r="AP20" s="9">
        <f>SUM(IFERROR(VLOOKUP($C:$C,Structure!$A:$AJ,AP$1,0)*$D20,0),IFERROR(VLOOKUP($E:$E,Structure!$A:$AJ,AP$1,0)*$F20,0),IFERROR(VLOOKUP($G:$G,Structure!$A:$AJ,AP$1,0)*$H20,0))</f>
        <v>0</v>
      </c>
      <c r="AQ20" s="9">
        <f>SUM(IFERROR(VLOOKUP($C:$C,Structure!$A:$AJ,AQ$1,0)*$D20,0),IFERROR(VLOOKUP($E:$E,Structure!$A:$AJ,AQ$1,0)*$F20,0),IFERROR(VLOOKUP($G:$G,Structure!$A:$AJ,AQ$1,0)*$H20,0))</f>
        <v>0</v>
      </c>
      <c r="AR20" s="21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4">
        <f t="shared" si="22"/>
        <v>0</v>
      </c>
      <c r="CE20" s="4">
        <f t="shared" si="23"/>
        <v>37</v>
      </c>
      <c r="CF20" s="4">
        <f t="shared" si="24"/>
        <v>4</v>
      </c>
      <c r="CG20" s="4">
        <f t="shared" si="25"/>
        <v>23</v>
      </c>
      <c r="CH20" s="4">
        <f t="shared" si="26"/>
        <v>1</v>
      </c>
      <c r="CI20" s="4">
        <f t="shared" si="27"/>
        <v>1</v>
      </c>
      <c r="CJ20" s="4">
        <f t="shared" si="28"/>
        <v>61</v>
      </c>
      <c r="CK20" s="4">
        <f t="shared" si="29"/>
        <v>216</v>
      </c>
      <c r="CL20" s="4">
        <f t="shared" si="30"/>
        <v>0</v>
      </c>
      <c r="CM20" s="4">
        <f t="shared" si="31"/>
        <v>4</v>
      </c>
      <c r="CN20" s="4">
        <f t="shared" si="32"/>
        <v>49</v>
      </c>
      <c r="CO20" s="4">
        <f t="shared" si="33"/>
        <v>0</v>
      </c>
      <c r="CP20" s="4">
        <f t="shared" si="34"/>
        <v>5</v>
      </c>
      <c r="CQ20" s="4">
        <f t="shared" si="35"/>
        <v>-17</v>
      </c>
      <c r="CR20" s="4">
        <f t="shared" si="36"/>
        <v>34</v>
      </c>
      <c r="CS20" s="4">
        <f t="shared" si="37"/>
        <v>0</v>
      </c>
      <c r="CT20" s="4">
        <f t="shared" si="38"/>
        <v>0</v>
      </c>
      <c r="CU20" s="4">
        <f t="shared" si="39"/>
        <v>0</v>
      </c>
      <c r="CV20" s="4">
        <f t="shared" si="40"/>
        <v>0</v>
      </c>
      <c r="CW20" s="4">
        <f t="shared" si="41"/>
        <v>0</v>
      </c>
      <c r="CX20" s="4">
        <f t="shared" si="42"/>
        <v>3</v>
      </c>
      <c r="CY20" s="4">
        <f t="shared" si="43"/>
        <v>0</v>
      </c>
      <c r="CZ20" s="4">
        <f t="shared" si="44"/>
        <v>0</v>
      </c>
      <c r="DA20" s="4">
        <f t="shared" si="45"/>
        <v>0</v>
      </c>
      <c r="DB20" s="4">
        <f t="shared" si="46"/>
        <v>0</v>
      </c>
      <c r="DC20" s="4">
        <f t="shared" si="47"/>
        <v>0</v>
      </c>
      <c r="DD20" s="4">
        <f t="shared" si="48"/>
        <v>0</v>
      </c>
      <c r="DE20" s="4">
        <f t="shared" si="49"/>
        <v>0</v>
      </c>
      <c r="DF20" s="4">
        <f t="shared" si="50"/>
        <v>0</v>
      </c>
      <c r="DG20" s="4">
        <f t="shared" si="51"/>
        <v>0</v>
      </c>
      <c r="DH20" s="4">
        <f t="shared" si="52"/>
        <v>0</v>
      </c>
      <c r="DI20" s="4">
        <f t="shared" si="53"/>
        <v>0</v>
      </c>
      <c r="DJ20" s="4">
        <f t="shared" si="54"/>
        <v>0</v>
      </c>
      <c r="DK20" s="4">
        <f t="shared" si="55"/>
        <v>0</v>
      </c>
      <c r="DL20" s="4">
        <f t="shared" si="56"/>
        <v>0</v>
      </c>
    </row>
    <row r="21" spans="1:116" x14ac:dyDescent="0.25">
      <c r="A21" s="5">
        <v>46183</v>
      </c>
      <c r="B21" s="6">
        <v>0.68750000004365575</v>
      </c>
      <c r="C21" s="3"/>
      <c r="D21" s="3"/>
      <c r="E21" s="3" t="s">
        <v>38</v>
      </c>
      <c r="F21" s="3">
        <v>8</v>
      </c>
      <c r="G21" s="3"/>
      <c r="H21" s="9"/>
      <c r="I21" s="9">
        <f>SUM(IFERROR(VLOOKUP($C:$C,Structure!$A:$AJ,I$1,0)*$D21,0),IFERROR(VLOOKUP($E:$E,Structure!$A:$AJ,I$1,0)*$F21,0),IFERROR(VLOOKUP($G:$G,Structure!$A:$AJ,I$1,0)*$H21,0))</f>
        <v>0</v>
      </c>
      <c r="J21" s="9">
        <f>SUM(IFERROR(VLOOKUP($C:$C,Structure!$A:$AJ,J$1,0)*$D21,0),IFERROR(VLOOKUP($E:$E,Structure!$A:$AJ,J$1,0)*$F21,0),IFERROR(VLOOKUP($G:$G,Structure!$A:$AJ,J$1,0)*$H21,0))</f>
        <v>8</v>
      </c>
      <c r="K21" s="9">
        <f>SUM(IFERROR(VLOOKUP($C:$C,Structure!$A:$AJ,K$1,0)*$D21,0),IFERROR(VLOOKUP($E:$E,Structure!$A:$AJ,K$1,0)*$F21,0),IFERROR(VLOOKUP($G:$G,Structure!$A:$AJ,K$1,0)*$H21,0))</f>
        <v>0</v>
      </c>
      <c r="L21" s="9">
        <f>SUM(IFERROR(VLOOKUP($C:$C,Structure!$A:$AJ,L$1,0)*$D21,0),IFERROR(VLOOKUP($E:$E,Structure!$A:$AJ,L$1,0)*$F21,0),IFERROR(VLOOKUP($G:$G,Structure!$A:$AJ,L$1,0)*$H21,0))</f>
        <v>0</v>
      </c>
      <c r="M21" s="9">
        <f>SUM(IFERROR(VLOOKUP($C:$C,Structure!$A:$AJ,M$1,0)*$D21,0),IFERROR(VLOOKUP($E:$E,Structure!$A:$AJ,M$1,0)*$F21,0),IFERROR(VLOOKUP($G:$G,Structure!$A:$AJ,M$1,0)*$H21,0))</f>
        <v>0</v>
      </c>
      <c r="N21" s="9">
        <f>SUM(IFERROR(VLOOKUP($C:$C,Structure!$A:$AJ,N$1,0)*$D21,0),IFERROR(VLOOKUP($E:$E,Structure!$A:$AJ,N$1,0)*$F21,0),IFERROR(VLOOKUP($G:$G,Structure!$A:$AJ,N$1,0)*$H21,0))</f>
        <v>0</v>
      </c>
      <c r="O21" s="9">
        <f>SUM(IFERROR(VLOOKUP($C:$C,Structure!$A:$AJ,O$1,0)*$D21,0),IFERROR(VLOOKUP($E:$E,Structure!$A:$AJ,O$1,0)*$F21,0),IFERROR(VLOOKUP($G:$G,Structure!$A:$AJ,O$1,0)*$H21,0))</f>
        <v>0</v>
      </c>
      <c r="P21" s="9">
        <f>SUM(IFERROR(VLOOKUP($C:$C,Structure!$A:$AJ,P$1,0)*$D21,0),IFERROR(VLOOKUP($E:$E,Structure!$A:$AJ,P$1,0)*$F21,0),IFERROR(VLOOKUP($G:$G,Structure!$A:$AJ,P$1,0)*$H21,0))</f>
        <v>8</v>
      </c>
      <c r="Q21" s="9">
        <f>SUM(IFERROR(VLOOKUP($C:$C,Structure!$A:$AJ,Q$1,0)*$D21,0),IFERROR(VLOOKUP($E:$E,Structure!$A:$AJ,Q$1,0)*$F21,0),IFERROR(VLOOKUP($G:$G,Structure!$A:$AJ,Q$1,0)*$H21,0))</f>
        <v>0</v>
      </c>
      <c r="R21" s="9">
        <f>SUM(IFERROR(VLOOKUP($C:$C,Structure!$A:$AJ,R$1,0)*$D21,0),IFERROR(VLOOKUP($E:$E,Structure!$A:$AJ,R$1,0)*$F21,0),IFERROR(VLOOKUP($G:$G,Structure!$A:$AJ,R$1,0)*$H21,0))</f>
        <v>0</v>
      </c>
      <c r="S21" s="9">
        <f>SUM(IFERROR(VLOOKUP($C:$C,Structure!$A:$AJ,S$1,0)*$D21,0),IFERROR(VLOOKUP($E:$E,Structure!$A:$AJ,S$1,0)*$F21,0),IFERROR(VLOOKUP($G:$G,Structure!$A:$AJ,S$1,0)*$H21,0))</f>
        <v>0</v>
      </c>
      <c r="T21" s="9">
        <f>SUM(IFERROR(VLOOKUP($C:$C,Structure!$A:$AJ,T$1,0)*$D21,0),IFERROR(VLOOKUP($E:$E,Structure!$A:$AJ,T$1,0)*$F21,0),IFERROR(VLOOKUP($G:$G,Structure!$A:$AJ,T$1,0)*$H21,0))</f>
        <v>0</v>
      </c>
      <c r="U21" s="9">
        <f>SUM(IFERROR(VLOOKUP($C:$C,Structure!$A:$AJ,U$1,0)*$D21,0),IFERROR(VLOOKUP($E:$E,Structure!$A:$AJ,U$1,0)*$F21,0),IFERROR(VLOOKUP($G:$G,Structure!$A:$AJ,U$1,0)*$H21,0))</f>
        <v>0</v>
      </c>
      <c r="V21" s="9">
        <f>SUM(IFERROR(VLOOKUP($C:$C,Structure!$A:$AJ,V$1,0)*$D21,0),IFERROR(VLOOKUP($E:$E,Structure!$A:$AJ,V$1,0)*$F21,0),IFERROR(VLOOKUP($G:$G,Structure!$A:$AJ,V$1,0)*$H21,0))</f>
        <v>0</v>
      </c>
      <c r="W21" s="9">
        <f>SUM(IFERROR(VLOOKUP($C:$C,Structure!$A:$AJ,W$1,0)*$D21,0),IFERROR(VLOOKUP($E:$E,Structure!$A:$AJ,W$1,0)*$F21,0),IFERROR(VLOOKUP($G:$G,Structure!$A:$AJ,W$1,0)*$H21,0))</f>
        <v>0</v>
      </c>
      <c r="X21" s="9">
        <f>SUM(IFERROR(VLOOKUP($C:$C,Structure!$A:$AJ,X$1,0)*$D21,0),IFERROR(VLOOKUP($E:$E,Structure!$A:$AJ,X$1,0)*$F21,0),IFERROR(VLOOKUP($G:$G,Structure!$A:$AJ,X$1,0)*$H21,0))</f>
        <v>0</v>
      </c>
      <c r="Y21" s="9">
        <f>SUM(IFERROR(VLOOKUP($C:$C,Structure!$A:$AJ,Y$1,0)*$D21,0),IFERROR(VLOOKUP($E:$E,Structure!$A:$AJ,Y$1,0)*$F21,0),IFERROR(VLOOKUP($G:$G,Structure!$A:$AJ,Y$1,0)*$H21,0))</f>
        <v>0</v>
      </c>
      <c r="Z21" s="9">
        <f>SUM(IFERROR(VLOOKUP($C:$C,Structure!$A:$AJ,Z$1,0)*$D21,0),IFERROR(VLOOKUP($E:$E,Structure!$A:$AJ,Z$1,0)*$F21,0),IFERROR(VLOOKUP($G:$G,Structure!$A:$AJ,Z$1,0)*$H21,0))</f>
        <v>0</v>
      </c>
      <c r="AA21" s="9">
        <f>SUM(IFERROR(VLOOKUP($C:$C,Structure!$A:$AJ,AA$1,0)*$D21,0),IFERROR(VLOOKUP($E:$E,Structure!$A:$AJ,AA$1,0)*$F21,0),IFERROR(VLOOKUP($G:$G,Structure!$A:$AJ,AA$1,0)*$H21,0))</f>
        <v>0</v>
      </c>
      <c r="AB21" s="9">
        <f>SUM(IFERROR(VLOOKUP($C:$C,Structure!$A:$AJ,AB$1,0)*$D21,0),IFERROR(VLOOKUP($E:$E,Structure!$A:$AJ,AB$1,0)*$F21,0),IFERROR(VLOOKUP($G:$G,Structure!$A:$AJ,AB$1,0)*$H21,0))</f>
        <v>0</v>
      </c>
      <c r="AC21" s="9">
        <f>SUM(IFERROR(VLOOKUP($C:$C,Structure!$A:$AJ,AC$1,0)*$D21,0),IFERROR(VLOOKUP($E:$E,Structure!$A:$AJ,AC$1,0)*$F21,0),IFERROR(VLOOKUP($G:$G,Structure!$A:$AJ,AC$1,0)*$H21,0))</f>
        <v>0</v>
      </c>
      <c r="AD21" s="9">
        <f>SUM(IFERROR(VLOOKUP($C:$C,Structure!$A:$AJ,AD$1,0)*$D21,0),IFERROR(VLOOKUP($E:$E,Structure!$A:$AJ,AD$1,0)*$F21,0),IFERROR(VLOOKUP($G:$G,Structure!$A:$AJ,AD$1,0)*$H21,0))</f>
        <v>0</v>
      </c>
      <c r="AE21" s="9">
        <f>SUM(IFERROR(VLOOKUP($C:$C,Structure!$A:$AJ,AE$1,0)*$D21,0),IFERROR(VLOOKUP($E:$E,Structure!$A:$AJ,AE$1,0)*$F21,0),IFERROR(VLOOKUP($G:$G,Structure!$A:$AJ,AE$1,0)*$H21,0))</f>
        <v>0</v>
      </c>
      <c r="AF21" s="9">
        <f>SUM(IFERROR(VLOOKUP($C:$C,Structure!$A:$AJ,AF$1,0)*$D21,0),IFERROR(VLOOKUP($E:$E,Structure!$A:$AJ,AF$1,0)*$F21,0),IFERROR(VLOOKUP($G:$G,Structure!$A:$AJ,AF$1,0)*$H21,0))</f>
        <v>0</v>
      </c>
      <c r="AG21" s="9">
        <f>SUM(IFERROR(VLOOKUP($C:$C,Structure!$A:$AJ,AG$1,0)*$D21,0),IFERROR(VLOOKUP($E:$E,Structure!$A:$AJ,AG$1,0)*$F21,0),IFERROR(VLOOKUP($G:$G,Structure!$A:$AJ,AG$1,0)*$H21,0))</f>
        <v>0</v>
      </c>
      <c r="AH21" s="9">
        <f>SUM(IFERROR(VLOOKUP($C:$C,Structure!$A:$AJ,AH$1,0)*$D21,0),IFERROR(VLOOKUP($E:$E,Structure!$A:$AJ,AH$1,0)*$F21,0),IFERROR(VLOOKUP($G:$G,Structure!$A:$AJ,AH$1,0)*$H21,0))</f>
        <v>0</v>
      </c>
      <c r="AI21" s="9">
        <f>SUM(IFERROR(VLOOKUP($C:$C,Structure!$A:$AJ,AI$1,0)*$D21,0),IFERROR(VLOOKUP($E:$E,Structure!$A:$AJ,AI$1,0)*$F21,0),IFERROR(VLOOKUP($G:$G,Structure!$A:$AJ,AI$1,0)*$H21,0))</f>
        <v>0</v>
      </c>
      <c r="AJ21" s="9">
        <f>SUM(IFERROR(VLOOKUP($C:$C,Structure!$A:$AJ,AJ$1,0)*$D21,0),IFERROR(VLOOKUP($E:$E,Structure!$A:$AJ,AJ$1,0)*$F21,0),IFERROR(VLOOKUP($G:$G,Structure!$A:$AJ,AJ$1,0)*$H21,0))</f>
        <v>0</v>
      </c>
      <c r="AK21" s="9">
        <f>SUM(IFERROR(VLOOKUP($C:$C,Structure!$A:$AJ,AK$1,0)*$D21,0),IFERROR(VLOOKUP($E:$E,Structure!$A:$AJ,AK$1,0)*$F21,0),IFERROR(VLOOKUP($G:$G,Structure!$A:$AJ,AK$1,0)*$H21,0))</f>
        <v>0</v>
      </c>
      <c r="AL21" s="9">
        <f>SUM(IFERROR(VLOOKUP($C:$C,Structure!$A:$AJ,AL$1,0)*$D21,0),IFERROR(VLOOKUP($E:$E,Structure!$A:$AJ,AL$1,0)*$F21,0),IFERROR(VLOOKUP($G:$G,Structure!$A:$AJ,AL$1,0)*$H21,0))</f>
        <v>0</v>
      </c>
      <c r="AM21" s="9">
        <f>SUM(IFERROR(VLOOKUP($C:$C,Structure!$A:$AJ,AM$1,0)*$D21,0),IFERROR(VLOOKUP($E:$E,Structure!$A:$AJ,AM$1,0)*$F21,0),IFERROR(VLOOKUP($G:$G,Structure!$A:$AJ,AM$1,0)*$H21,0))</f>
        <v>0</v>
      </c>
      <c r="AN21" s="9">
        <f>SUM(IFERROR(VLOOKUP($C:$C,Structure!$A:$AJ,AN$1,0)*$D21,0),IFERROR(VLOOKUP($E:$E,Structure!$A:$AJ,AN$1,0)*$F21,0),IFERROR(VLOOKUP($G:$G,Structure!$A:$AJ,AN$1,0)*$H21,0))</f>
        <v>0</v>
      </c>
      <c r="AO21" s="9">
        <f>SUM(IFERROR(VLOOKUP($C:$C,Structure!$A:$AJ,AO$1,0)*$D21,0),IFERROR(VLOOKUP($E:$E,Structure!$A:$AJ,AO$1,0)*$F21,0),IFERROR(VLOOKUP($G:$G,Structure!$A:$AJ,AO$1,0)*$H21,0))</f>
        <v>0</v>
      </c>
      <c r="AP21" s="9">
        <f>SUM(IFERROR(VLOOKUP($C:$C,Structure!$A:$AJ,AP$1,0)*$D21,0),IFERROR(VLOOKUP($E:$E,Structure!$A:$AJ,AP$1,0)*$F21,0),IFERROR(VLOOKUP($G:$G,Structure!$A:$AJ,AP$1,0)*$H21,0))</f>
        <v>0</v>
      </c>
      <c r="AQ21" s="9">
        <f>SUM(IFERROR(VLOOKUP($C:$C,Structure!$A:$AJ,AQ$1,0)*$D21,0),IFERROR(VLOOKUP($E:$E,Structure!$A:$AJ,AQ$1,0)*$F21,0),IFERROR(VLOOKUP($G:$G,Structure!$A:$AJ,AQ$1,0)*$H21,0))</f>
        <v>0</v>
      </c>
      <c r="AR21" s="21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4">
        <f t="shared" si="22"/>
        <v>0</v>
      </c>
      <c r="CE21" s="4">
        <f t="shared" si="23"/>
        <v>29</v>
      </c>
      <c r="CF21" s="4">
        <f t="shared" si="24"/>
        <v>4</v>
      </c>
      <c r="CG21" s="4">
        <f t="shared" si="25"/>
        <v>23</v>
      </c>
      <c r="CH21" s="4">
        <f t="shared" si="26"/>
        <v>1</v>
      </c>
      <c r="CI21" s="4">
        <f t="shared" si="27"/>
        <v>1</v>
      </c>
      <c r="CJ21" s="4">
        <f t="shared" si="28"/>
        <v>61</v>
      </c>
      <c r="CK21" s="4">
        <f t="shared" si="29"/>
        <v>208</v>
      </c>
      <c r="CL21" s="4">
        <f t="shared" si="30"/>
        <v>0</v>
      </c>
      <c r="CM21" s="4">
        <f t="shared" si="31"/>
        <v>4</v>
      </c>
      <c r="CN21" s="4">
        <f t="shared" si="32"/>
        <v>49</v>
      </c>
      <c r="CO21" s="4">
        <f t="shared" si="33"/>
        <v>0</v>
      </c>
      <c r="CP21" s="4">
        <f t="shared" si="34"/>
        <v>5</v>
      </c>
      <c r="CQ21" s="4">
        <f t="shared" si="35"/>
        <v>-17</v>
      </c>
      <c r="CR21" s="4">
        <f t="shared" si="36"/>
        <v>34</v>
      </c>
      <c r="CS21" s="4">
        <f t="shared" si="37"/>
        <v>0</v>
      </c>
      <c r="CT21" s="4">
        <f t="shared" si="38"/>
        <v>0</v>
      </c>
      <c r="CU21" s="4">
        <f t="shared" si="39"/>
        <v>0</v>
      </c>
      <c r="CV21" s="4">
        <f t="shared" si="40"/>
        <v>0</v>
      </c>
      <c r="CW21" s="4">
        <f t="shared" si="41"/>
        <v>0</v>
      </c>
      <c r="CX21" s="4">
        <f t="shared" si="42"/>
        <v>3</v>
      </c>
      <c r="CY21" s="4">
        <f t="shared" si="43"/>
        <v>0</v>
      </c>
      <c r="CZ21" s="4">
        <f t="shared" si="44"/>
        <v>0</v>
      </c>
      <c r="DA21" s="4">
        <f t="shared" si="45"/>
        <v>0</v>
      </c>
      <c r="DB21" s="4">
        <f t="shared" si="46"/>
        <v>0</v>
      </c>
      <c r="DC21" s="4">
        <f t="shared" si="47"/>
        <v>0</v>
      </c>
      <c r="DD21" s="4">
        <f t="shared" si="48"/>
        <v>0</v>
      </c>
      <c r="DE21" s="4">
        <f t="shared" si="49"/>
        <v>0</v>
      </c>
      <c r="DF21" s="4">
        <f t="shared" si="50"/>
        <v>0</v>
      </c>
      <c r="DG21" s="4">
        <f t="shared" si="51"/>
        <v>0</v>
      </c>
      <c r="DH21" s="4">
        <f t="shared" si="52"/>
        <v>0</v>
      </c>
      <c r="DI21" s="4">
        <f t="shared" si="53"/>
        <v>0</v>
      </c>
      <c r="DJ21" s="4">
        <f t="shared" si="54"/>
        <v>0</v>
      </c>
      <c r="DK21" s="4">
        <f t="shared" si="55"/>
        <v>0</v>
      </c>
      <c r="DL21" s="4">
        <f t="shared" si="56"/>
        <v>0</v>
      </c>
    </row>
    <row r="22" spans="1:116" x14ac:dyDescent="0.25">
      <c r="A22" s="5">
        <v>46183</v>
      </c>
      <c r="B22" s="6">
        <v>0.7083333333794144</v>
      </c>
      <c r="C22" s="3"/>
      <c r="D22" s="3"/>
      <c r="E22" s="3" t="s">
        <v>38</v>
      </c>
      <c r="F22" s="3">
        <v>8</v>
      </c>
      <c r="G22" s="3"/>
      <c r="H22" s="9"/>
      <c r="I22" s="9">
        <f>SUM(IFERROR(VLOOKUP($C:$C,Structure!$A:$AJ,I$1,0)*$D22,0),IFERROR(VLOOKUP($E:$E,Structure!$A:$AJ,I$1,0)*$F22,0),IFERROR(VLOOKUP($G:$G,Structure!$A:$AJ,I$1,0)*$H22,0))</f>
        <v>0</v>
      </c>
      <c r="J22" s="9">
        <f>SUM(IFERROR(VLOOKUP($C:$C,Structure!$A:$AJ,J$1,0)*$D22,0),IFERROR(VLOOKUP($E:$E,Structure!$A:$AJ,J$1,0)*$F22,0),IFERROR(VLOOKUP($G:$G,Structure!$A:$AJ,J$1,0)*$H22,0))</f>
        <v>8</v>
      </c>
      <c r="K22" s="9">
        <f>SUM(IFERROR(VLOOKUP($C:$C,Structure!$A:$AJ,K$1,0)*$D22,0),IFERROR(VLOOKUP($E:$E,Structure!$A:$AJ,K$1,0)*$F22,0),IFERROR(VLOOKUP($G:$G,Structure!$A:$AJ,K$1,0)*$H22,0))</f>
        <v>0</v>
      </c>
      <c r="L22" s="9">
        <f>SUM(IFERROR(VLOOKUP($C:$C,Structure!$A:$AJ,L$1,0)*$D22,0),IFERROR(VLOOKUP($E:$E,Structure!$A:$AJ,L$1,0)*$F22,0),IFERROR(VLOOKUP($G:$G,Structure!$A:$AJ,L$1,0)*$H22,0))</f>
        <v>0</v>
      </c>
      <c r="M22" s="9">
        <f>SUM(IFERROR(VLOOKUP($C:$C,Structure!$A:$AJ,M$1,0)*$D22,0),IFERROR(VLOOKUP($E:$E,Structure!$A:$AJ,M$1,0)*$F22,0),IFERROR(VLOOKUP($G:$G,Structure!$A:$AJ,M$1,0)*$H22,0))</f>
        <v>0</v>
      </c>
      <c r="N22" s="9">
        <f>SUM(IFERROR(VLOOKUP($C:$C,Structure!$A:$AJ,N$1,0)*$D22,0),IFERROR(VLOOKUP($E:$E,Structure!$A:$AJ,N$1,0)*$F22,0),IFERROR(VLOOKUP($G:$G,Structure!$A:$AJ,N$1,0)*$H22,0))</f>
        <v>0</v>
      </c>
      <c r="O22" s="9">
        <f>SUM(IFERROR(VLOOKUP($C:$C,Structure!$A:$AJ,O$1,0)*$D22,0),IFERROR(VLOOKUP($E:$E,Structure!$A:$AJ,O$1,0)*$F22,0),IFERROR(VLOOKUP($G:$G,Structure!$A:$AJ,O$1,0)*$H22,0))</f>
        <v>0</v>
      </c>
      <c r="P22" s="9">
        <f>SUM(IFERROR(VLOOKUP($C:$C,Structure!$A:$AJ,P$1,0)*$D22,0),IFERROR(VLOOKUP($E:$E,Structure!$A:$AJ,P$1,0)*$F22,0),IFERROR(VLOOKUP($G:$G,Structure!$A:$AJ,P$1,0)*$H22,0))</f>
        <v>8</v>
      </c>
      <c r="Q22" s="9">
        <f>SUM(IFERROR(VLOOKUP($C:$C,Structure!$A:$AJ,Q$1,0)*$D22,0),IFERROR(VLOOKUP($E:$E,Structure!$A:$AJ,Q$1,0)*$F22,0),IFERROR(VLOOKUP($G:$G,Structure!$A:$AJ,Q$1,0)*$H22,0))</f>
        <v>0</v>
      </c>
      <c r="R22" s="9">
        <f>SUM(IFERROR(VLOOKUP($C:$C,Structure!$A:$AJ,R$1,0)*$D22,0),IFERROR(VLOOKUP($E:$E,Structure!$A:$AJ,R$1,0)*$F22,0),IFERROR(VLOOKUP($G:$G,Structure!$A:$AJ,R$1,0)*$H22,0))</f>
        <v>0</v>
      </c>
      <c r="S22" s="9">
        <f>SUM(IFERROR(VLOOKUP($C:$C,Structure!$A:$AJ,S$1,0)*$D22,0),IFERROR(VLOOKUP($E:$E,Structure!$A:$AJ,S$1,0)*$F22,0),IFERROR(VLOOKUP($G:$G,Structure!$A:$AJ,S$1,0)*$H22,0))</f>
        <v>0</v>
      </c>
      <c r="T22" s="9">
        <f>SUM(IFERROR(VLOOKUP($C:$C,Structure!$A:$AJ,T$1,0)*$D22,0),IFERROR(VLOOKUP($E:$E,Structure!$A:$AJ,T$1,0)*$F22,0),IFERROR(VLOOKUP($G:$G,Structure!$A:$AJ,T$1,0)*$H22,0))</f>
        <v>0</v>
      </c>
      <c r="U22" s="9">
        <f>SUM(IFERROR(VLOOKUP($C:$C,Structure!$A:$AJ,U$1,0)*$D22,0),IFERROR(VLOOKUP($E:$E,Structure!$A:$AJ,U$1,0)*$F22,0),IFERROR(VLOOKUP($G:$G,Structure!$A:$AJ,U$1,0)*$H22,0))</f>
        <v>0</v>
      </c>
      <c r="V22" s="9">
        <f>SUM(IFERROR(VLOOKUP($C:$C,Structure!$A:$AJ,V$1,0)*$D22,0),IFERROR(VLOOKUP($E:$E,Structure!$A:$AJ,V$1,0)*$F22,0),IFERROR(VLOOKUP($G:$G,Structure!$A:$AJ,V$1,0)*$H22,0))</f>
        <v>0</v>
      </c>
      <c r="W22" s="9">
        <f>SUM(IFERROR(VLOOKUP($C:$C,Structure!$A:$AJ,W$1,0)*$D22,0),IFERROR(VLOOKUP($E:$E,Structure!$A:$AJ,W$1,0)*$F22,0),IFERROR(VLOOKUP($G:$G,Structure!$A:$AJ,W$1,0)*$H22,0))</f>
        <v>0</v>
      </c>
      <c r="X22" s="9">
        <f>SUM(IFERROR(VLOOKUP($C:$C,Structure!$A:$AJ,X$1,0)*$D22,0),IFERROR(VLOOKUP($E:$E,Structure!$A:$AJ,X$1,0)*$F22,0),IFERROR(VLOOKUP($G:$G,Structure!$A:$AJ,X$1,0)*$H22,0))</f>
        <v>0</v>
      </c>
      <c r="Y22" s="9">
        <f>SUM(IFERROR(VLOOKUP($C:$C,Structure!$A:$AJ,Y$1,0)*$D22,0),IFERROR(VLOOKUP($E:$E,Structure!$A:$AJ,Y$1,0)*$F22,0),IFERROR(VLOOKUP($G:$G,Structure!$A:$AJ,Y$1,0)*$H22,0))</f>
        <v>0</v>
      </c>
      <c r="Z22" s="9">
        <f>SUM(IFERROR(VLOOKUP($C:$C,Structure!$A:$AJ,Z$1,0)*$D22,0),IFERROR(VLOOKUP($E:$E,Structure!$A:$AJ,Z$1,0)*$F22,0),IFERROR(VLOOKUP($G:$G,Structure!$A:$AJ,Z$1,0)*$H22,0))</f>
        <v>0</v>
      </c>
      <c r="AA22" s="9">
        <f>SUM(IFERROR(VLOOKUP($C:$C,Structure!$A:$AJ,AA$1,0)*$D22,0),IFERROR(VLOOKUP($E:$E,Structure!$A:$AJ,AA$1,0)*$F22,0),IFERROR(VLOOKUP($G:$G,Structure!$A:$AJ,AA$1,0)*$H22,0))</f>
        <v>0</v>
      </c>
      <c r="AB22" s="9">
        <f>SUM(IFERROR(VLOOKUP($C:$C,Structure!$A:$AJ,AB$1,0)*$D22,0),IFERROR(VLOOKUP($E:$E,Structure!$A:$AJ,AB$1,0)*$F22,0),IFERROR(VLOOKUP($G:$G,Structure!$A:$AJ,AB$1,0)*$H22,0))</f>
        <v>0</v>
      </c>
      <c r="AC22" s="9">
        <f>SUM(IFERROR(VLOOKUP($C:$C,Structure!$A:$AJ,AC$1,0)*$D22,0),IFERROR(VLOOKUP($E:$E,Structure!$A:$AJ,AC$1,0)*$F22,0),IFERROR(VLOOKUP($G:$G,Structure!$A:$AJ,AC$1,0)*$H22,0))</f>
        <v>0</v>
      </c>
      <c r="AD22" s="9">
        <f>SUM(IFERROR(VLOOKUP($C:$C,Structure!$A:$AJ,AD$1,0)*$D22,0),IFERROR(VLOOKUP($E:$E,Structure!$A:$AJ,AD$1,0)*$F22,0),IFERROR(VLOOKUP($G:$G,Structure!$A:$AJ,AD$1,0)*$H22,0))</f>
        <v>0</v>
      </c>
      <c r="AE22" s="9">
        <f>SUM(IFERROR(VLOOKUP($C:$C,Structure!$A:$AJ,AE$1,0)*$D22,0),IFERROR(VLOOKUP($E:$E,Structure!$A:$AJ,AE$1,0)*$F22,0),IFERROR(VLOOKUP($G:$G,Structure!$A:$AJ,AE$1,0)*$H22,0))</f>
        <v>0</v>
      </c>
      <c r="AF22" s="9">
        <f>SUM(IFERROR(VLOOKUP($C:$C,Structure!$A:$AJ,AF$1,0)*$D22,0),IFERROR(VLOOKUP($E:$E,Structure!$A:$AJ,AF$1,0)*$F22,0),IFERROR(VLOOKUP($G:$G,Structure!$A:$AJ,AF$1,0)*$H22,0))</f>
        <v>0</v>
      </c>
      <c r="AG22" s="9">
        <f>SUM(IFERROR(VLOOKUP($C:$C,Structure!$A:$AJ,AG$1,0)*$D22,0),IFERROR(VLOOKUP($E:$E,Structure!$A:$AJ,AG$1,0)*$F22,0),IFERROR(VLOOKUP($G:$G,Structure!$A:$AJ,AG$1,0)*$H22,0))</f>
        <v>0</v>
      </c>
      <c r="AH22" s="9">
        <f>SUM(IFERROR(VLOOKUP($C:$C,Structure!$A:$AJ,AH$1,0)*$D22,0),IFERROR(VLOOKUP($E:$E,Structure!$A:$AJ,AH$1,0)*$F22,0),IFERROR(VLOOKUP($G:$G,Structure!$A:$AJ,AH$1,0)*$H22,0))</f>
        <v>0</v>
      </c>
      <c r="AI22" s="9">
        <f>SUM(IFERROR(VLOOKUP($C:$C,Structure!$A:$AJ,AI$1,0)*$D22,0),IFERROR(VLOOKUP($E:$E,Structure!$A:$AJ,AI$1,0)*$F22,0),IFERROR(VLOOKUP($G:$G,Structure!$A:$AJ,AI$1,0)*$H22,0))</f>
        <v>0</v>
      </c>
      <c r="AJ22" s="9">
        <f>SUM(IFERROR(VLOOKUP($C:$C,Structure!$A:$AJ,AJ$1,0)*$D22,0),IFERROR(VLOOKUP($E:$E,Structure!$A:$AJ,AJ$1,0)*$F22,0),IFERROR(VLOOKUP($G:$G,Structure!$A:$AJ,AJ$1,0)*$H22,0))</f>
        <v>0</v>
      </c>
      <c r="AK22" s="9">
        <f>SUM(IFERROR(VLOOKUP($C:$C,Structure!$A:$AJ,AK$1,0)*$D22,0),IFERROR(VLOOKUP($E:$E,Structure!$A:$AJ,AK$1,0)*$F22,0),IFERROR(VLOOKUP($G:$G,Structure!$A:$AJ,AK$1,0)*$H22,0))</f>
        <v>0</v>
      </c>
      <c r="AL22" s="9">
        <f>SUM(IFERROR(VLOOKUP($C:$C,Structure!$A:$AJ,AL$1,0)*$D22,0),IFERROR(VLOOKUP($E:$E,Structure!$A:$AJ,AL$1,0)*$F22,0),IFERROR(VLOOKUP($G:$G,Structure!$A:$AJ,AL$1,0)*$H22,0))</f>
        <v>0</v>
      </c>
      <c r="AM22" s="9">
        <f>SUM(IFERROR(VLOOKUP($C:$C,Structure!$A:$AJ,AM$1,0)*$D22,0),IFERROR(VLOOKUP($E:$E,Structure!$A:$AJ,AM$1,0)*$F22,0),IFERROR(VLOOKUP($G:$G,Structure!$A:$AJ,AM$1,0)*$H22,0))</f>
        <v>0</v>
      </c>
      <c r="AN22" s="9">
        <f>SUM(IFERROR(VLOOKUP($C:$C,Structure!$A:$AJ,AN$1,0)*$D22,0),IFERROR(VLOOKUP($E:$E,Structure!$A:$AJ,AN$1,0)*$F22,0),IFERROR(VLOOKUP($G:$G,Structure!$A:$AJ,AN$1,0)*$H22,0))</f>
        <v>0</v>
      </c>
      <c r="AO22" s="9">
        <f>SUM(IFERROR(VLOOKUP($C:$C,Structure!$A:$AJ,AO$1,0)*$D22,0),IFERROR(VLOOKUP($E:$E,Structure!$A:$AJ,AO$1,0)*$F22,0),IFERROR(VLOOKUP($G:$G,Structure!$A:$AJ,AO$1,0)*$H22,0))</f>
        <v>0</v>
      </c>
      <c r="AP22" s="9">
        <f>SUM(IFERROR(VLOOKUP($C:$C,Structure!$A:$AJ,AP$1,0)*$D22,0),IFERROR(VLOOKUP($E:$E,Structure!$A:$AJ,AP$1,0)*$F22,0),IFERROR(VLOOKUP($G:$G,Structure!$A:$AJ,AP$1,0)*$H22,0))</f>
        <v>0</v>
      </c>
      <c r="AQ22" s="9">
        <f>SUM(IFERROR(VLOOKUP($C:$C,Structure!$A:$AJ,AQ$1,0)*$D22,0),IFERROR(VLOOKUP($E:$E,Structure!$A:$AJ,AQ$1,0)*$F22,0),IFERROR(VLOOKUP($G:$G,Structure!$A:$AJ,AQ$1,0)*$H22,0))</f>
        <v>0</v>
      </c>
      <c r="AR22" s="21" t="s">
        <v>819</v>
      </c>
      <c r="AS22" s="3" t="s">
        <v>352</v>
      </c>
      <c r="AT22" s="3" t="s">
        <v>818</v>
      </c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>
        <v>50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4">
        <f t="shared" si="22"/>
        <v>0</v>
      </c>
      <c r="CE22" s="4">
        <f t="shared" si="23"/>
        <v>21</v>
      </c>
      <c r="CF22" s="4">
        <f t="shared" si="24"/>
        <v>4</v>
      </c>
      <c r="CG22" s="4">
        <f t="shared" si="25"/>
        <v>23</v>
      </c>
      <c r="CH22" s="4">
        <f t="shared" si="26"/>
        <v>1</v>
      </c>
      <c r="CI22" s="4">
        <f t="shared" si="27"/>
        <v>1</v>
      </c>
      <c r="CJ22" s="4">
        <f t="shared" si="28"/>
        <v>61</v>
      </c>
      <c r="CK22" s="4">
        <f t="shared" si="29"/>
        <v>200</v>
      </c>
      <c r="CL22" s="4">
        <f t="shared" si="30"/>
        <v>0</v>
      </c>
      <c r="CM22" s="4">
        <f t="shared" si="31"/>
        <v>4</v>
      </c>
      <c r="CN22" s="4">
        <f t="shared" si="32"/>
        <v>99</v>
      </c>
      <c r="CO22" s="4">
        <f t="shared" si="33"/>
        <v>0</v>
      </c>
      <c r="CP22" s="4">
        <f t="shared" si="34"/>
        <v>5</v>
      </c>
      <c r="CQ22" s="4">
        <f t="shared" si="35"/>
        <v>-17</v>
      </c>
      <c r="CR22" s="4">
        <f t="shared" si="36"/>
        <v>34</v>
      </c>
      <c r="CS22" s="4">
        <f t="shared" si="37"/>
        <v>0</v>
      </c>
      <c r="CT22" s="4">
        <f t="shared" si="38"/>
        <v>0</v>
      </c>
      <c r="CU22" s="4">
        <f t="shared" si="39"/>
        <v>0</v>
      </c>
      <c r="CV22" s="4">
        <f t="shared" si="40"/>
        <v>0</v>
      </c>
      <c r="CW22" s="4">
        <f t="shared" si="41"/>
        <v>0</v>
      </c>
      <c r="CX22" s="4">
        <f t="shared" si="42"/>
        <v>3</v>
      </c>
      <c r="CY22" s="4">
        <f t="shared" si="43"/>
        <v>0</v>
      </c>
      <c r="CZ22" s="4">
        <f t="shared" si="44"/>
        <v>0</v>
      </c>
      <c r="DA22" s="4">
        <f t="shared" si="45"/>
        <v>0</v>
      </c>
      <c r="DB22" s="4">
        <f t="shared" si="46"/>
        <v>0</v>
      </c>
      <c r="DC22" s="4">
        <f t="shared" si="47"/>
        <v>0</v>
      </c>
      <c r="DD22" s="4">
        <f t="shared" si="48"/>
        <v>0</v>
      </c>
      <c r="DE22" s="4">
        <f t="shared" si="49"/>
        <v>0</v>
      </c>
      <c r="DF22" s="4">
        <f t="shared" si="50"/>
        <v>0</v>
      </c>
      <c r="DG22" s="4">
        <f t="shared" si="51"/>
        <v>0</v>
      </c>
      <c r="DH22" s="4">
        <f t="shared" si="52"/>
        <v>0</v>
      </c>
      <c r="DI22" s="4">
        <f t="shared" si="53"/>
        <v>0</v>
      </c>
      <c r="DJ22" s="4">
        <f t="shared" si="54"/>
        <v>0</v>
      </c>
      <c r="DK22" s="4">
        <f t="shared" si="55"/>
        <v>0</v>
      </c>
      <c r="DL22" s="4">
        <f t="shared" si="56"/>
        <v>0</v>
      </c>
    </row>
    <row r="23" spans="1:116" x14ac:dyDescent="0.25">
      <c r="A23" s="5">
        <v>46183</v>
      </c>
      <c r="B23" s="6">
        <v>0.72916666671517305</v>
      </c>
      <c r="C23" s="3"/>
      <c r="D23" s="3"/>
      <c r="E23" s="3" t="s">
        <v>38</v>
      </c>
      <c r="F23" s="3">
        <v>8</v>
      </c>
      <c r="G23" s="3"/>
      <c r="H23" s="9"/>
      <c r="I23" s="9">
        <f>SUM(IFERROR(VLOOKUP($C:$C,Structure!$A:$AJ,I$1,0)*$D23,0),IFERROR(VLOOKUP($E:$E,Structure!$A:$AJ,I$1,0)*$F23,0),IFERROR(VLOOKUP($G:$G,Structure!$A:$AJ,I$1,0)*$H23,0))</f>
        <v>0</v>
      </c>
      <c r="J23" s="9">
        <f>SUM(IFERROR(VLOOKUP($C:$C,Structure!$A:$AJ,J$1,0)*$D23,0),IFERROR(VLOOKUP($E:$E,Structure!$A:$AJ,J$1,0)*$F23,0),IFERROR(VLOOKUP($G:$G,Structure!$A:$AJ,J$1,0)*$H23,0))</f>
        <v>8</v>
      </c>
      <c r="K23" s="9">
        <f>SUM(IFERROR(VLOOKUP($C:$C,Structure!$A:$AJ,K$1,0)*$D23,0),IFERROR(VLOOKUP($E:$E,Structure!$A:$AJ,K$1,0)*$F23,0),IFERROR(VLOOKUP($G:$G,Structure!$A:$AJ,K$1,0)*$H23,0))</f>
        <v>0</v>
      </c>
      <c r="L23" s="9">
        <f>SUM(IFERROR(VLOOKUP($C:$C,Structure!$A:$AJ,L$1,0)*$D23,0),IFERROR(VLOOKUP($E:$E,Structure!$A:$AJ,L$1,0)*$F23,0),IFERROR(VLOOKUP($G:$G,Structure!$A:$AJ,L$1,0)*$H23,0))</f>
        <v>0</v>
      </c>
      <c r="M23" s="9">
        <f>SUM(IFERROR(VLOOKUP($C:$C,Structure!$A:$AJ,M$1,0)*$D23,0),IFERROR(VLOOKUP($E:$E,Structure!$A:$AJ,M$1,0)*$F23,0),IFERROR(VLOOKUP($G:$G,Structure!$A:$AJ,M$1,0)*$H23,0))</f>
        <v>0</v>
      </c>
      <c r="N23" s="9">
        <f>SUM(IFERROR(VLOOKUP($C:$C,Structure!$A:$AJ,N$1,0)*$D23,0),IFERROR(VLOOKUP($E:$E,Structure!$A:$AJ,N$1,0)*$F23,0),IFERROR(VLOOKUP($G:$G,Structure!$A:$AJ,N$1,0)*$H23,0))</f>
        <v>0</v>
      </c>
      <c r="O23" s="9">
        <f>SUM(IFERROR(VLOOKUP($C:$C,Structure!$A:$AJ,O$1,0)*$D23,0),IFERROR(VLOOKUP($E:$E,Structure!$A:$AJ,O$1,0)*$F23,0),IFERROR(VLOOKUP($G:$G,Structure!$A:$AJ,O$1,0)*$H23,0))</f>
        <v>0</v>
      </c>
      <c r="P23" s="9">
        <f>SUM(IFERROR(VLOOKUP($C:$C,Structure!$A:$AJ,P$1,0)*$D23,0),IFERROR(VLOOKUP($E:$E,Structure!$A:$AJ,P$1,0)*$F23,0),IFERROR(VLOOKUP($G:$G,Structure!$A:$AJ,P$1,0)*$H23,0))</f>
        <v>8</v>
      </c>
      <c r="Q23" s="9">
        <f>SUM(IFERROR(VLOOKUP($C:$C,Structure!$A:$AJ,Q$1,0)*$D23,0),IFERROR(VLOOKUP($E:$E,Structure!$A:$AJ,Q$1,0)*$F23,0),IFERROR(VLOOKUP($G:$G,Structure!$A:$AJ,Q$1,0)*$H23,0))</f>
        <v>0</v>
      </c>
      <c r="R23" s="9">
        <f>SUM(IFERROR(VLOOKUP($C:$C,Structure!$A:$AJ,R$1,0)*$D23,0),IFERROR(VLOOKUP($E:$E,Structure!$A:$AJ,R$1,0)*$F23,0),IFERROR(VLOOKUP($G:$G,Structure!$A:$AJ,R$1,0)*$H23,0))</f>
        <v>0</v>
      </c>
      <c r="S23" s="9">
        <f>SUM(IFERROR(VLOOKUP($C:$C,Structure!$A:$AJ,S$1,0)*$D23,0),IFERROR(VLOOKUP($E:$E,Structure!$A:$AJ,S$1,0)*$F23,0),IFERROR(VLOOKUP($G:$G,Structure!$A:$AJ,S$1,0)*$H23,0))</f>
        <v>0</v>
      </c>
      <c r="T23" s="9">
        <f>SUM(IFERROR(VLOOKUP($C:$C,Structure!$A:$AJ,T$1,0)*$D23,0),IFERROR(VLOOKUP($E:$E,Structure!$A:$AJ,T$1,0)*$F23,0),IFERROR(VLOOKUP($G:$G,Structure!$A:$AJ,T$1,0)*$H23,0))</f>
        <v>0</v>
      </c>
      <c r="U23" s="9">
        <f>SUM(IFERROR(VLOOKUP($C:$C,Structure!$A:$AJ,U$1,0)*$D23,0),IFERROR(VLOOKUP($E:$E,Structure!$A:$AJ,U$1,0)*$F23,0),IFERROR(VLOOKUP($G:$G,Structure!$A:$AJ,U$1,0)*$H23,0))</f>
        <v>0</v>
      </c>
      <c r="V23" s="9">
        <f>SUM(IFERROR(VLOOKUP($C:$C,Structure!$A:$AJ,V$1,0)*$D23,0),IFERROR(VLOOKUP($E:$E,Structure!$A:$AJ,V$1,0)*$F23,0),IFERROR(VLOOKUP($G:$G,Structure!$A:$AJ,V$1,0)*$H23,0))</f>
        <v>0</v>
      </c>
      <c r="W23" s="9">
        <f>SUM(IFERROR(VLOOKUP($C:$C,Structure!$A:$AJ,W$1,0)*$D23,0),IFERROR(VLOOKUP($E:$E,Structure!$A:$AJ,W$1,0)*$F23,0),IFERROR(VLOOKUP($G:$G,Structure!$A:$AJ,W$1,0)*$H23,0))</f>
        <v>0</v>
      </c>
      <c r="X23" s="9">
        <f>SUM(IFERROR(VLOOKUP($C:$C,Structure!$A:$AJ,X$1,0)*$D23,0),IFERROR(VLOOKUP($E:$E,Structure!$A:$AJ,X$1,0)*$F23,0),IFERROR(VLOOKUP($G:$G,Structure!$A:$AJ,X$1,0)*$H23,0))</f>
        <v>0</v>
      </c>
      <c r="Y23" s="9">
        <f>SUM(IFERROR(VLOOKUP($C:$C,Structure!$A:$AJ,Y$1,0)*$D23,0),IFERROR(VLOOKUP($E:$E,Structure!$A:$AJ,Y$1,0)*$F23,0),IFERROR(VLOOKUP($G:$G,Structure!$A:$AJ,Y$1,0)*$H23,0))</f>
        <v>0</v>
      </c>
      <c r="Z23" s="9">
        <f>SUM(IFERROR(VLOOKUP($C:$C,Structure!$A:$AJ,Z$1,0)*$D23,0),IFERROR(VLOOKUP($E:$E,Structure!$A:$AJ,Z$1,0)*$F23,0),IFERROR(VLOOKUP($G:$G,Structure!$A:$AJ,Z$1,0)*$H23,0))</f>
        <v>0</v>
      </c>
      <c r="AA23" s="9">
        <f>SUM(IFERROR(VLOOKUP($C:$C,Structure!$A:$AJ,AA$1,0)*$D23,0),IFERROR(VLOOKUP($E:$E,Structure!$A:$AJ,AA$1,0)*$F23,0),IFERROR(VLOOKUP($G:$G,Structure!$A:$AJ,AA$1,0)*$H23,0))</f>
        <v>0</v>
      </c>
      <c r="AB23" s="9">
        <f>SUM(IFERROR(VLOOKUP($C:$C,Structure!$A:$AJ,AB$1,0)*$D23,0),IFERROR(VLOOKUP($E:$E,Structure!$A:$AJ,AB$1,0)*$F23,0),IFERROR(VLOOKUP($G:$G,Structure!$A:$AJ,AB$1,0)*$H23,0))</f>
        <v>0</v>
      </c>
      <c r="AC23" s="9">
        <f>SUM(IFERROR(VLOOKUP($C:$C,Structure!$A:$AJ,AC$1,0)*$D23,0),IFERROR(VLOOKUP($E:$E,Structure!$A:$AJ,AC$1,0)*$F23,0),IFERROR(VLOOKUP($G:$G,Structure!$A:$AJ,AC$1,0)*$H23,0))</f>
        <v>0</v>
      </c>
      <c r="AD23" s="9">
        <f>SUM(IFERROR(VLOOKUP($C:$C,Structure!$A:$AJ,AD$1,0)*$D23,0),IFERROR(VLOOKUP($E:$E,Structure!$A:$AJ,AD$1,0)*$F23,0),IFERROR(VLOOKUP($G:$G,Structure!$A:$AJ,AD$1,0)*$H23,0))</f>
        <v>0</v>
      </c>
      <c r="AE23" s="9">
        <f>SUM(IFERROR(VLOOKUP($C:$C,Structure!$A:$AJ,AE$1,0)*$D23,0),IFERROR(VLOOKUP($E:$E,Structure!$A:$AJ,AE$1,0)*$F23,0),IFERROR(VLOOKUP($G:$G,Structure!$A:$AJ,AE$1,0)*$H23,0))</f>
        <v>0</v>
      </c>
      <c r="AF23" s="9">
        <f>SUM(IFERROR(VLOOKUP($C:$C,Structure!$A:$AJ,AF$1,0)*$D23,0),IFERROR(VLOOKUP($E:$E,Structure!$A:$AJ,AF$1,0)*$F23,0),IFERROR(VLOOKUP($G:$G,Structure!$A:$AJ,AF$1,0)*$H23,0))</f>
        <v>0</v>
      </c>
      <c r="AG23" s="9">
        <f>SUM(IFERROR(VLOOKUP($C:$C,Structure!$A:$AJ,AG$1,0)*$D23,0),IFERROR(VLOOKUP($E:$E,Structure!$A:$AJ,AG$1,0)*$F23,0),IFERROR(VLOOKUP($G:$G,Structure!$A:$AJ,AG$1,0)*$H23,0))</f>
        <v>0</v>
      </c>
      <c r="AH23" s="9">
        <f>SUM(IFERROR(VLOOKUP($C:$C,Structure!$A:$AJ,AH$1,0)*$D23,0),IFERROR(VLOOKUP($E:$E,Structure!$A:$AJ,AH$1,0)*$F23,0),IFERROR(VLOOKUP($G:$G,Structure!$A:$AJ,AH$1,0)*$H23,0))</f>
        <v>0</v>
      </c>
      <c r="AI23" s="9">
        <f>SUM(IFERROR(VLOOKUP($C:$C,Structure!$A:$AJ,AI$1,0)*$D23,0),IFERROR(VLOOKUP($E:$E,Structure!$A:$AJ,AI$1,0)*$F23,0),IFERROR(VLOOKUP($G:$G,Structure!$A:$AJ,AI$1,0)*$H23,0))</f>
        <v>0</v>
      </c>
      <c r="AJ23" s="9">
        <f>SUM(IFERROR(VLOOKUP($C:$C,Structure!$A:$AJ,AJ$1,0)*$D23,0),IFERROR(VLOOKUP($E:$E,Structure!$A:$AJ,AJ$1,0)*$F23,0),IFERROR(VLOOKUP($G:$G,Structure!$A:$AJ,AJ$1,0)*$H23,0))</f>
        <v>0</v>
      </c>
      <c r="AK23" s="9">
        <f>SUM(IFERROR(VLOOKUP($C:$C,Structure!$A:$AJ,AK$1,0)*$D23,0),IFERROR(VLOOKUP($E:$E,Structure!$A:$AJ,AK$1,0)*$F23,0),IFERROR(VLOOKUP($G:$G,Structure!$A:$AJ,AK$1,0)*$H23,0))</f>
        <v>0</v>
      </c>
      <c r="AL23" s="9">
        <f>SUM(IFERROR(VLOOKUP($C:$C,Structure!$A:$AJ,AL$1,0)*$D23,0),IFERROR(VLOOKUP($E:$E,Structure!$A:$AJ,AL$1,0)*$F23,0),IFERROR(VLOOKUP($G:$G,Structure!$A:$AJ,AL$1,0)*$H23,0))</f>
        <v>0</v>
      </c>
      <c r="AM23" s="9">
        <f>SUM(IFERROR(VLOOKUP($C:$C,Structure!$A:$AJ,AM$1,0)*$D23,0),IFERROR(VLOOKUP($E:$E,Structure!$A:$AJ,AM$1,0)*$F23,0),IFERROR(VLOOKUP($G:$G,Structure!$A:$AJ,AM$1,0)*$H23,0))</f>
        <v>0</v>
      </c>
      <c r="AN23" s="9">
        <f>SUM(IFERROR(VLOOKUP($C:$C,Structure!$A:$AJ,AN$1,0)*$D23,0),IFERROR(VLOOKUP($E:$E,Structure!$A:$AJ,AN$1,0)*$F23,0),IFERROR(VLOOKUP($G:$G,Structure!$A:$AJ,AN$1,0)*$H23,0))</f>
        <v>0</v>
      </c>
      <c r="AO23" s="9">
        <f>SUM(IFERROR(VLOOKUP($C:$C,Structure!$A:$AJ,AO$1,0)*$D23,0),IFERROR(VLOOKUP($E:$E,Structure!$A:$AJ,AO$1,0)*$F23,0),IFERROR(VLOOKUP($G:$G,Structure!$A:$AJ,AO$1,0)*$H23,0))</f>
        <v>0</v>
      </c>
      <c r="AP23" s="9">
        <f>SUM(IFERROR(VLOOKUP($C:$C,Structure!$A:$AJ,AP$1,0)*$D23,0),IFERROR(VLOOKUP($E:$E,Structure!$A:$AJ,AP$1,0)*$F23,0),IFERROR(VLOOKUP($G:$G,Structure!$A:$AJ,AP$1,0)*$H23,0))</f>
        <v>0</v>
      </c>
      <c r="AQ23" s="9">
        <f>SUM(IFERROR(VLOOKUP($C:$C,Structure!$A:$AJ,AQ$1,0)*$D23,0),IFERROR(VLOOKUP($E:$E,Structure!$A:$AJ,AQ$1,0)*$F23,0),IFERROR(VLOOKUP($G:$G,Structure!$A:$AJ,AQ$1,0)*$H23,0))</f>
        <v>0</v>
      </c>
      <c r="AR23" s="21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4">
        <f t="shared" si="22"/>
        <v>0</v>
      </c>
      <c r="CE23" s="4">
        <f t="shared" si="23"/>
        <v>13</v>
      </c>
      <c r="CF23" s="4">
        <f t="shared" si="24"/>
        <v>4</v>
      </c>
      <c r="CG23" s="4">
        <f t="shared" si="25"/>
        <v>23</v>
      </c>
      <c r="CH23" s="4">
        <f t="shared" si="26"/>
        <v>1</v>
      </c>
      <c r="CI23" s="4">
        <f t="shared" si="27"/>
        <v>1</v>
      </c>
      <c r="CJ23" s="4">
        <f t="shared" si="28"/>
        <v>61</v>
      </c>
      <c r="CK23" s="4">
        <f t="shared" si="29"/>
        <v>192</v>
      </c>
      <c r="CL23" s="4">
        <f t="shared" si="30"/>
        <v>0</v>
      </c>
      <c r="CM23" s="4">
        <f t="shared" si="31"/>
        <v>4</v>
      </c>
      <c r="CN23" s="4">
        <f t="shared" si="32"/>
        <v>99</v>
      </c>
      <c r="CO23" s="4">
        <f t="shared" si="33"/>
        <v>0</v>
      </c>
      <c r="CP23" s="4">
        <f t="shared" si="34"/>
        <v>5</v>
      </c>
      <c r="CQ23" s="4">
        <f t="shared" si="35"/>
        <v>-17</v>
      </c>
      <c r="CR23" s="4">
        <f t="shared" si="36"/>
        <v>34</v>
      </c>
      <c r="CS23" s="4">
        <f t="shared" si="37"/>
        <v>0</v>
      </c>
      <c r="CT23" s="4">
        <f t="shared" si="38"/>
        <v>0</v>
      </c>
      <c r="CU23" s="4">
        <f t="shared" si="39"/>
        <v>0</v>
      </c>
      <c r="CV23" s="4">
        <f t="shared" si="40"/>
        <v>0</v>
      </c>
      <c r="CW23" s="4">
        <f t="shared" si="41"/>
        <v>0</v>
      </c>
      <c r="CX23" s="4">
        <f t="shared" si="42"/>
        <v>3</v>
      </c>
      <c r="CY23" s="4">
        <f t="shared" si="43"/>
        <v>0</v>
      </c>
      <c r="CZ23" s="4">
        <f t="shared" si="44"/>
        <v>0</v>
      </c>
      <c r="DA23" s="4">
        <f t="shared" si="45"/>
        <v>0</v>
      </c>
      <c r="DB23" s="4">
        <f t="shared" si="46"/>
        <v>0</v>
      </c>
      <c r="DC23" s="4">
        <f t="shared" si="47"/>
        <v>0</v>
      </c>
      <c r="DD23" s="4">
        <f t="shared" si="48"/>
        <v>0</v>
      </c>
      <c r="DE23" s="4">
        <f t="shared" si="49"/>
        <v>0</v>
      </c>
      <c r="DF23" s="4">
        <f t="shared" si="50"/>
        <v>0</v>
      </c>
      <c r="DG23" s="4">
        <f t="shared" si="51"/>
        <v>0</v>
      </c>
      <c r="DH23" s="4">
        <f t="shared" si="52"/>
        <v>0</v>
      </c>
      <c r="DI23" s="4">
        <f t="shared" si="53"/>
        <v>0</v>
      </c>
      <c r="DJ23" s="4">
        <f t="shared" si="54"/>
        <v>0</v>
      </c>
      <c r="DK23" s="4">
        <f t="shared" si="55"/>
        <v>0</v>
      </c>
      <c r="DL23" s="4">
        <f t="shared" si="56"/>
        <v>0</v>
      </c>
    </row>
    <row r="24" spans="1:116" x14ac:dyDescent="0.25">
      <c r="A24" s="5">
        <v>46183</v>
      </c>
      <c r="B24" s="6">
        <v>0.7500000000509317</v>
      </c>
      <c r="C24" s="3"/>
      <c r="D24" s="3"/>
      <c r="E24" s="3" t="s">
        <v>38</v>
      </c>
      <c r="F24" s="3">
        <v>8</v>
      </c>
      <c r="G24" s="3"/>
      <c r="H24" s="9"/>
      <c r="I24" s="9">
        <f>SUM(IFERROR(VLOOKUP($C:$C,Structure!$A:$AJ,I$1,0)*$D24,0),IFERROR(VLOOKUP($E:$E,Structure!$A:$AJ,I$1,0)*$F24,0),IFERROR(VLOOKUP($G:$G,Structure!$A:$AJ,I$1,0)*$H24,0))</f>
        <v>0</v>
      </c>
      <c r="J24" s="9">
        <f>SUM(IFERROR(VLOOKUP($C:$C,Structure!$A:$AJ,J$1,0)*$D24,0),IFERROR(VLOOKUP($E:$E,Structure!$A:$AJ,J$1,0)*$F24,0),IFERROR(VLOOKUP($G:$G,Structure!$A:$AJ,J$1,0)*$H24,0))</f>
        <v>8</v>
      </c>
      <c r="K24" s="9">
        <f>SUM(IFERROR(VLOOKUP($C:$C,Structure!$A:$AJ,K$1,0)*$D24,0),IFERROR(VLOOKUP($E:$E,Structure!$A:$AJ,K$1,0)*$F24,0),IFERROR(VLOOKUP($G:$G,Structure!$A:$AJ,K$1,0)*$H24,0))</f>
        <v>0</v>
      </c>
      <c r="L24" s="9">
        <f>SUM(IFERROR(VLOOKUP($C:$C,Structure!$A:$AJ,L$1,0)*$D24,0),IFERROR(VLOOKUP($E:$E,Structure!$A:$AJ,L$1,0)*$F24,0),IFERROR(VLOOKUP($G:$G,Structure!$A:$AJ,L$1,0)*$H24,0))</f>
        <v>0</v>
      </c>
      <c r="M24" s="9">
        <f>SUM(IFERROR(VLOOKUP($C:$C,Structure!$A:$AJ,M$1,0)*$D24,0),IFERROR(VLOOKUP($E:$E,Structure!$A:$AJ,M$1,0)*$F24,0),IFERROR(VLOOKUP($G:$G,Structure!$A:$AJ,M$1,0)*$H24,0))</f>
        <v>0</v>
      </c>
      <c r="N24" s="9">
        <f>SUM(IFERROR(VLOOKUP($C:$C,Structure!$A:$AJ,N$1,0)*$D24,0),IFERROR(VLOOKUP($E:$E,Structure!$A:$AJ,N$1,0)*$F24,0),IFERROR(VLOOKUP($G:$G,Structure!$A:$AJ,N$1,0)*$H24,0))</f>
        <v>0</v>
      </c>
      <c r="O24" s="9">
        <f>SUM(IFERROR(VLOOKUP($C:$C,Structure!$A:$AJ,O$1,0)*$D24,0),IFERROR(VLOOKUP($E:$E,Structure!$A:$AJ,O$1,0)*$F24,0),IFERROR(VLOOKUP($G:$G,Structure!$A:$AJ,O$1,0)*$H24,0))</f>
        <v>0</v>
      </c>
      <c r="P24" s="9">
        <f>SUM(IFERROR(VLOOKUP($C:$C,Structure!$A:$AJ,P$1,0)*$D24,0),IFERROR(VLOOKUP($E:$E,Structure!$A:$AJ,P$1,0)*$F24,0),IFERROR(VLOOKUP($G:$G,Structure!$A:$AJ,P$1,0)*$H24,0))</f>
        <v>8</v>
      </c>
      <c r="Q24" s="9">
        <f>SUM(IFERROR(VLOOKUP($C:$C,Structure!$A:$AJ,Q$1,0)*$D24,0),IFERROR(VLOOKUP($E:$E,Structure!$A:$AJ,Q$1,0)*$F24,0),IFERROR(VLOOKUP($G:$G,Structure!$A:$AJ,Q$1,0)*$H24,0))</f>
        <v>0</v>
      </c>
      <c r="R24" s="9">
        <f>SUM(IFERROR(VLOOKUP($C:$C,Structure!$A:$AJ,R$1,0)*$D24,0),IFERROR(VLOOKUP($E:$E,Structure!$A:$AJ,R$1,0)*$F24,0),IFERROR(VLOOKUP($G:$G,Structure!$A:$AJ,R$1,0)*$H24,0))</f>
        <v>0</v>
      </c>
      <c r="S24" s="9">
        <f>SUM(IFERROR(VLOOKUP($C:$C,Structure!$A:$AJ,S$1,0)*$D24,0),IFERROR(VLOOKUP($E:$E,Structure!$A:$AJ,S$1,0)*$F24,0),IFERROR(VLOOKUP($G:$G,Structure!$A:$AJ,S$1,0)*$H24,0))</f>
        <v>0</v>
      </c>
      <c r="T24" s="9">
        <f>SUM(IFERROR(VLOOKUP($C:$C,Structure!$A:$AJ,T$1,0)*$D24,0),IFERROR(VLOOKUP($E:$E,Structure!$A:$AJ,T$1,0)*$F24,0),IFERROR(VLOOKUP($G:$G,Structure!$A:$AJ,T$1,0)*$H24,0))</f>
        <v>0</v>
      </c>
      <c r="U24" s="9">
        <f>SUM(IFERROR(VLOOKUP($C:$C,Structure!$A:$AJ,U$1,0)*$D24,0),IFERROR(VLOOKUP($E:$E,Structure!$A:$AJ,U$1,0)*$F24,0),IFERROR(VLOOKUP($G:$G,Structure!$A:$AJ,U$1,0)*$H24,0))</f>
        <v>0</v>
      </c>
      <c r="V24" s="9">
        <f>SUM(IFERROR(VLOOKUP($C:$C,Structure!$A:$AJ,V$1,0)*$D24,0),IFERROR(VLOOKUP($E:$E,Structure!$A:$AJ,V$1,0)*$F24,0),IFERROR(VLOOKUP($G:$G,Structure!$A:$AJ,V$1,0)*$H24,0))</f>
        <v>0</v>
      </c>
      <c r="W24" s="9">
        <f>SUM(IFERROR(VLOOKUP($C:$C,Structure!$A:$AJ,W$1,0)*$D24,0),IFERROR(VLOOKUP($E:$E,Structure!$A:$AJ,W$1,0)*$F24,0),IFERROR(VLOOKUP($G:$G,Structure!$A:$AJ,W$1,0)*$H24,0))</f>
        <v>0</v>
      </c>
      <c r="X24" s="9">
        <f>SUM(IFERROR(VLOOKUP($C:$C,Structure!$A:$AJ,X$1,0)*$D24,0),IFERROR(VLOOKUP($E:$E,Structure!$A:$AJ,X$1,0)*$F24,0),IFERROR(VLOOKUP($G:$G,Structure!$A:$AJ,X$1,0)*$H24,0))</f>
        <v>0</v>
      </c>
      <c r="Y24" s="9">
        <f>SUM(IFERROR(VLOOKUP($C:$C,Structure!$A:$AJ,Y$1,0)*$D24,0),IFERROR(VLOOKUP($E:$E,Structure!$A:$AJ,Y$1,0)*$F24,0),IFERROR(VLOOKUP($G:$G,Structure!$A:$AJ,Y$1,0)*$H24,0))</f>
        <v>0</v>
      </c>
      <c r="Z24" s="9">
        <f>SUM(IFERROR(VLOOKUP($C:$C,Structure!$A:$AJ,Z$1,0)*$D24,0),IFERROR(VLOOKUP($E:$E,Structure!$A:$AJ,Z$1,0)*$F24,0),IFERROR(VLOOKUP($G:$G,Structure!$A:$AJ,Z$1,0)*$H24,0))</f>
        <v>0</v>
      </c>
      <c r="AA24" s="9">
        <f>SUM(IFERROR(VLOOKUP($C:$C,Structure!$A:$AJ,AA$1,0)*$D24,0),IFERROR(VLOOKUP($E:$E,Structure!$A:$AJ,AA$1,0)*$F24,0),IFERROR(VLOOKUP($G:$G,Structure!$A:$AJ,AA$1,0)*$H24,0))</f>
        <v>0</v>
      </c>
      <c r="AB24" s="9">
        <f>SUM(IFERROR(VLOOKUP($C:$C,Structure!$A:$AJ,AB$1,0)*$D24,0),IFERROR(VLOOKUP($E:$E,Structure!$A:$AJ,AB$1,0)*$F24,0),IFERROR(VLOOKUP($G:$G,Structure!$A:$AJ,AB$1,0)*$H24,0))</f>
        <v>0</v>
      </c>
      <c r="AC24" s="9">
        <f>SUM(IFERROR(VLOOKUP($C:$C,Structure!$A:$AJ,AC$1,0)*$D24,0),IFERROR(VLOOKUP($E:$E,Structure!$A:$AJ,AC$1,0)*$F24,0),IFERROR(VLOOKUP($G:$G,Structure!$A:$AJ,AC$1,0)*$H24,0))</f>
        <v>0</v>
      </c>
      <c r="AD24" s="9">
        <f>SUM(IFERROR(VLOOKUP($C:$C,Structure!$A:$AJ,AD$1,0)*$D24,0),IFERROR(VLOOKUP($E:$E,Structure!$A:$AJ,AD$1,0)*$F24,0),IFERROR(VLOOKUP($G:$G,Structure!$A:$AJ,AD$1,0)*$H24,0))</f>
        <v>0</v>
      </c>
      <c r="AE24" s="9">
        <f>SUM(IFERROR(VLOOKUP($C:$C,Structure!$A:$AJ,AE$1,0)*$D24,0),IFERROR(VLOOKUP($E:$E,Structure!$A:$AJ,AE$1,0)*$F24,0),IFERROR(VLOOKUP($G:$G,Structure!$A:$AJ,AE$1,0)*$H24,0))</f>
        <v>0</v>
      </c>
      <c r="AF24" s="9">
        <f>SUM(IFERROR(VLOOKUP($C:$C,Structure!$A:$AJ,AF$1,0)*$D24,0),IFERROR(VLOOKUP($E:$E,Structure!$A:$AJ,AF$1,0)*$F24,0),IFERROR(VLOOKUP($G:$G,Structure!$A:$AJ,AF$1,0)*$H24,0))</f>
        <v>0</v>
      </c>
      <c r="AG24" s="9">
        <f>SUM(IFERROR(VLOOKUP($C:$C,Structure!$A:$AJ,AG$1,0)*$D24,0),IFERROR(VLOOKUP($E:$E,Structure!$A:$AJ,AG$1,0)*$F24,0),IFERROR(VLOOKUP($G:$G,Structure!$A:$AJ,AG$1,0)*$H24,0))</f>
        <v>0</v>
      </c>
      <c r="AH24" s="9">
        <f>SUM(IFERROR(VLOOKUP($C:$C,Structure!$A:$AJ,AH$1,0)*$D24,0),IFERROR(VLOOKUP($E:$E,Structure!$A:$AJ,AH$1,0)*$F24,0),IFERROR(VLOOKUP($G:$G,Structure!$A:$AJ,AH$1,0)*$H24,0))</f>
        <v>0</v>
      </c>
      <c r="AI24" s="9">
        <f>SUM(IFERROR(VLOOKUP($C:$C,Structure!$A:$AJ,AI$1,0)*$D24,0),IFERROR(VLOOKUP($E:$E,Structure!$A:$AJ,AI$1,0)*$F24,0),IFERROR(VLOOKUP($G:$G,Structure!$A:$AJ,AI$1,0)*$H24,0))</f>
        <v>0</v>
      </c>
      <c r="AJ24" s="9">
        <f>SUM(IFERROR(VLOOKUP($C:$C,Structure!$A:$AJ,AJ$1,0)*$D24,0),IFERROR(VLOOKUP($E:$E,Structure!$A:$AJ,AJ$1,0)*$F24,0),IFERROR(VLOOKUP($G:$G,Structure!$A:$AJ,AJ$1,0)*$H24,0))</f>
        <v>0</v>
      </c>
      <c r="AK24" s="9">
        <f>SUM(IFERROR(VLOOKUP($C:$C,Structure!$A:$AJ,AK$1,0)*$D24,0),IFERROR(VLOOKUP($E:$E,Structure!$A:$AJ,AK$1,0)*$F24,0),IFERROR(VLOOKUP($G:$G,Structure!$A:$AJ,AK$1,0)*$H24,0))</f>
        <v>0</v>
      </c>
      <c r="AL24" s="9">
        <f>SUM(IFERROR(VLOOKUP($C:$C,Structure!$A:$AJ,AL$1,0)*$D24,0),IFERROR(VLOOKUP($E:$E,Structure!$A:$AJ,AL$1,0)*$F24,0),IFERROR(VLOOKUP($G:$G,Structure!$A:$AJ,AL$1,0)*$H24,0))</f>
        <v>0</v>
      </c>
      <c r="AM24" s="9">
        <f>SUM(IFERROR(VLOOKUP($C:$C,Structure!$A:$AJ,AM$1,0)*$D24,0),IFERROR(VLOOKUP($E:$E,Structure!$A:$AJ,AM$1,0)*$F24,0),IFERROR(VLOOKUP($G:$G,Structure!$A:$AJ,AM$1,0)*$H24,0))</f>
        <v>0</v>
      </c>
      <c r="AN24" s="9">
        <f>SUM(IFERROR(VLOOKUP($C:$C,Structure!$A:$AJ,AN$1,0)*$D24,0),IFERROR(VLOOKUP($E:$E,Structure!$A:$AJ,AN$1,0)*$F24,0),IFERROR(VLOOKUP($G:$G,Structure!$A:$AJ,AN$1,0)*$H24,0))</f>
        <v>0</v>
      </c>
      <c r="AO24" s="9">
        <f>SUM(IFERROR(VLOOKUP($C:$C,Structure!$A:$AJ,AO$1,0)*$D24,0),IFERROR(VLOOKUP($E:$E,Structure!$A:$AJ,AO$1,0)*$F24,0),IFERROR(VLOOKUP($G:$G,Structure!$A:$AJ,AO$1,0)*$H24,0))</f>
        <v>0</v>
      </c>
      <c r="AP24" s="9">
        <f>SUM(IFERROR(VLOOKUP($C:$C,Structure!$A:$AJ,AP$1,0)*$D24,0),IFERROR(VLOOKUP($E:$E,Structure!$A:$AJ,AP$1,0)*$F24,0),IFERROR(VLOOKUP($G:$G,Structure!$A:$AJ,AP$1,0)*$H24,0))</f>
        <v>0</v>
      </c>
      <c r="AQ24" s="9">
        <f>SUM(IFERROR(VLOOKUP($C:$C,Structure!$A:$AJ,AQ$1,0)*$D24,0),IFERROR(VLOOKUP($E:$E,Structure!$A:$AJ,AQ$1,0)*$F24,0),IFERROR(VLOOKUP($G:$G,Structure!$A:$AJ,AQ$1,0)*$H24,0))</f>
        <v>0</v>
      </c>
      <c r="AR24" s="21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4">
        <f t="shared" si="22"/>
        <v>0</v>
      </c>
      <c r="CE24" s="4">
        <f t="shared" si="23"/>
        <v>5</v>
      </c>
      <c r="CF24" s="4">
        <f t="shared" si="24"/>
        <v>4</v>
      </c>
      <c r="CG24" s="4">
        <f t="shared" si="25"/>
        <v>23</v>
      </c>
      <c r="CH24" s="4">
        <f t="shared" si="26"/>
        <v>1</v>
      </c>
      <c r="CI24" s="4">
        <f t="shared" si="27"/>
        <v>1</v>
      </c>
      <c r="CJ24" s="4">
        <f t="shared" si="28"/>
        <v>61</v>
      </c>
      <c r="CK24" s="4">
        <f t="shared" si="29"/>
        <v>184</v>
      </c>
      <c r="CL24" s="4">
        <f t="shared" si="30"/>
        <v>0</v>
      </c>
      <c r="CM24" s="4">
        <f t="shared" si="31"/>
        <v>4</v>
      </c>
      <c r="CN24" s="4">
        <f t="shared" si="32"/>
        <v>99</v>
      </c>
      <c r="CO24" s="4">
        <f t="shared" si="33"/>
        <v>0</v>
      </c>
      <c r="CP24" s="4">
        <f t="shared" si="34"/>
        <v>5</v>
      </c>
      <c r="CQ24" s="4">
        <f t="shared" si="35"/>
        <v>-17</v>
      </c>
      <c r="CR24" s="4">
        <f t="shared" si="36"/>
        <v>34</v>
      </c>
      <c r="CS24" s="4">
        <f t="shared" si="37"/>
        <v>0</v>
      </c>
      <c r="CT24" s="4">
        <f t="shared" si="38"/>
        <v>0</v>
      </c>
      <c r="CU24" s="4">
        <f t="shared" si="39"/>
        <v>0</v>
      </c>
      <c r="CV24" s="4">
        <f t="shared" si="40"/>
        <v>0</v>
      </c>
      <c r="CW24" s="4">
        <f t="shared" si="41"/>
        <v>0</v>
      </c>
      <c r="CX24" s="4">
        <f t="shared" si="42"/>
        <v>3</v>
      </c>
      <c r="CY24" s="4">
        <f t="shared" si="43"/>
        <v>0</v>
      </c>
      <c r="CZ24" s="4">
        <f t="shared" si="44"/>
        <v>0</v>
      </c>
      <c r="DA24" s="4">
        <f t="shared" si="45"/>
        <v>0</v>
      </c>
      <c r="DB24" s="4">
        <f t="shared" si="46"/>
        <v>0</v>
      </c>
      <c r="DC24" s="4">
        <f t="shared" si="47"/>
        <v>0</v>
      </c>
      <c r="DD24" s="4">
        <f t="shared" si="48"/>
        <v>0</v>
      </c>
      <c r="DE24" s="4">
        <f t="shared" si="49"/>
        <v>0</v>
      </c>
      <c r="DF24" s="4">
        <f t="shared" si="50"/>
        <v>0</v>
      </c>
      <c r="DG24" s="4">
        <f t="shared" si="51"/>
        <v>0</v>
      </c>
      <c r="DH24" s="4">
        <f t="shared" si="52"/>
        <v>0</v>
      </c>
      <c r="DI24" s="4">
        <f t="shared" si="53"/>
        <v>0</v>
      </c>
      <c r="DJ24" s="4">
        <f t="shared" si="54"/>
        <v>0</v>
      </c>
      <c r="DK24" s="4">
        <f t="shared" si="55"/>
        <v>0</v>
      </c>
      <c r="DL24" s="4">
        <f t="shared" si="56"/>
        <v>0</v>
      </c>
    </row>
    <row r="25" spans="1:116" x14ac:dyDescent="0.25">
      <c r="A25" s="5">
        <v>46183</v>
      </c>
      <c r="B25" s="6">
        <v>0.77083333338669036</v>
      </c>
      <c r="C25" s="3"/>
      <c r="D25" s="3"/>
      <c r="E25" s="3" t="s">
        <v>57</v>
      </c>
      <c r="F25" s="3">
        <v>8</v>
      </c>
      <c r="G25" s="3"/>
      <c r="H25" s="9"/>
      <c r="I25" s="9">
        <f>SUM(IFERROR(VLOOKUP($C:$C,Structure!$A:$AJ,I$1,0)*$D25,0),IFERROR(VLOOKUP($E:$E,Structure!$A:$AJ,I$1,0)*$F25,0),IFERROR(VLOOKUP($G:$G,Structure!$A:$AJ,I$1,0)*$H25,0))</f>
        <v>0</v>
      </c>
      <c r="J25" s="9">
        <f>SUM(IFERROR(VLOOKUP($C:$C,Structure!$A:$AJ,J$1,0)*$D25,0),IFERROR(VLOOKUP($E:$E,Structure!$A:$AJ,J$1,0)*$F25,0),IFERROR(VLOOKUP($G:$G,Structure!$A:$AJ,J$1,0)*$H25,0))</f>
        <v>0</v>
      </c>
      <c r="K25" s="9">
        <f>SUM(IFERROR(VLOOKUP($C:$C,Structure!$A:$AJ,K$1,0)*$D25,0),IFERROR(VLOOKUP($E:$E,Structure!$A:$AJ,K$1,0)*$F25,0),IFERROR(VLOOKUP($G:$G,Structure!$A:$AJ,K$1,0)*$H25,0))</f>
        <v>0</v>
      </c>
      <c r="L25" s="9">
        <f>SUM(IFERROR(VLOOKUP($C:$C,Structure!$A:$AJ,L$1,0)*$D25,0),IFERROR(VLOOKUP($E:$E,Structure!$A:$AJ,L$1,0)*$F25,0),IFERROR(VLOOKUP($G:$G,Structure!$A:$AJ,L$1,0)*$H25,0))</f>
        <v>0</v>
      </c>
      <c r="M25" s="9">
        <f>SUM(IFERROR(VLOOKUP($C:$C,Structure!$A:$AJ,M$1,0)*$D25,0),IFERROR(VLOOKUP($E:$E,Structure!$A:$AJ,M$1,0)*$F25,0),IFERROR(VLOOKUP($G:$G,Structure!$A:$AJ,M$1,0)*$H25,0))</f>
        <v>0</v>
      </c>
      <c r="N25" s="9">
        <f>SUM(IFERROR(VLOOKUP($C:$C,Structure!$A:$AJ,N$1,0)*$D25,0),IFERROR(VLOOKUP($E:$E,Structure!$A:$AJ,N$1,0)*$F25,0),IFERROR(VLOOKUP($G:$G,Structure!$A:$AJ,N$1,0)*$H25,0))</f>
        <v>0</v>
      </c>
      <c r="O25" s="9">
        <f>SUM(IFERROR(VLOOKUP($C:$C,Structure!$A:$AJ,O$1,0)*$D25,0),IFERROR(VLOOKUP($E:$E,Structure!$A:$AJ,O$1,0)*$F25,0),IFERROR(VLOOKUP($G:$G,Structure!$A:$AJ,O$1,0)*$H25,0))</f>
        <v>8</v>
      </c>
      <c r="P25" s="9">
        <f>SUM(IFERROR(VLOOKUP($C:$C,Structure!$A:$AJ,P$1,0)*$D25,0),IFERROR(VLOOKUP($E:$E,Structure!$A:$AJ,P$1,0)*$F25,0),IFERROR(VLOOKUP($G:$G,Structure!$A:$AJ,P$1,0)*$H25,0))</f>
        <v>0</v>
      </c>
      <c r="Q25" s="9">
        <f>SUM(IFERROR(VLOOKUP($C:$C,Structure!$A:$AJ,Q$1,0)*$D25,0),IFERROR(VLOOKUP($E:$E,Structure!$A:$AJ,Q$1,0)*$F25,0),IFERROR(VLOOKUP($G:$G,Structure!$A:$AJ,Q$1,0)*$H25,0))</f>
        <v>0</v>
      </c>
      <c r="R25" s="9">
        <f>SUM(IFERROR(VLOOKUP($C:$C,Structure!$A:$AJ,R$1,0)*$D25,0),IFERROR(VLOOKUP($E:$E,Structure!$A:$AJ,R$1,0)*$F25,0),IFERROR(VLOOKUP($G:$G,Structure!$A:$AJ,R$1,0)*$H25,0))</f>
        <v>0</v>
      </c>
      <c r="S25" s="9">
        <f>SUM(IFERROR(VLOOKUP($C:$C,Structure!$A:$AJ,S$1,0)*$D25,0),IFERROR(VLOOKUP($E:$E,Structure!$A:$AJ,S$1,0)*$F25,0),IFERROR(VLOOKUP($G:$G,Structure!$A:$AJ,S$1,0)*$H25,0))</f>
        <v>8</v>
      </c>
      <c r="T25" s="9">
        <f>SUM(IFERROR(VLOOKUP($C:$C,Structure!$A:$AJ,T$1,0)*$D25,0),IFERROR(VLOOKUP($E:$E,Structure!$A:$AJ,T$1,0)*$F25,0),IFERROR(VLOOKUP($G:$G,Structure!$A:$AJ,T$1,0)*$H25,0))</f>
        <v>0</v>
      </c>
      <c r="U25" s="9">
        <f>SUM(IFERROR(VLOOKUP($C:$C,Structure!$A:$AJ,U$1,0)*$D25,0),IFERROR(VLOOKUP($E:$E,Structure!$A:$AJ,U$1,0)*$F25,0),IFERROR(VLOOKUP($G:$G,Structure!$A:$AJ,U$1,0)*$H25,0))</f>
        <v>0</v>
      </c>
      <c r="V25" s="9">
        <f>SUM(IFERROR(VLOOKUP($C:$C,Structure!$A:$AJ,V$1,0)*$D25,0),IFERROR(VLOOKUP($E:$E,Structure!$A:$AJ,V$1,0)*$F25,0),IFERROR(VLOOKUP($G:$G,Structure!$A:$AJ,V$1,0)*$H25,0))</f>
        <v>0</v>
      </c>
      <c r="W25" s="9">
        <f>SUM(IFERROR(VLOOKUP($C:$C,Structure!$A:$AJ,W$1,0)*$D25,0),IFERROR(VLOOKUP($E:$E,Structure!$A:$AJ,W$1,0)*$F25,0),IFERROR(VLOOKUP($G:$G,Structure!$A:$AJ,W$1,0)*$H25,0))</f>
        <v>0</v>
      </c>
      <c r="X25" s="9">
        <f>SUM(IFERROR(VLOOKUP($C:$C,Structure!$A:$AJ,X$1,0)*$D25,0),IFERROR(VLOOKUP($E:$E,Structure!$A:$AJ,X$1,0)*$F25,0),IFERROR(VLOOKUP($G:$G,Structure!$A:$AJ,X$1,0)*$H25,0))</f>
        <v>0</v>
      </c>
      <c r="Y25" s="9">
        <f>SUM(IFERROR(VLOOKUP($C:$C,Structure!$A:$AJ,Y$1,0)*$D25,0),IFERROR(VLOOKUP($E:$E,Structure!$A:$AJ,Y$1,0)*$F25,0),IFERROR(VLOOKUP($G:$G,Structure!$A:$AJ,Y$1,0)*$H25,0))</f>
        <v>0</v>
      </c>
      <c r="Z25" s="9">
        <f>SUM(IFERROR(VLOOKUP($C:$C,Structure!$A:$AJ,Z$1,0)*$D25,0),IFERROR(VLOOKUP($E:$E,Structure!$A:$AJ,Z$1,0)*$F25,0),IFERROR(VLOOKUP($G:$G,Structure!$A:$AJ,Z$1,0)*$H25,0))</f>
        <v>0</v>
      </c>
      <c r="AA25" s="9">
        <f>SUM(IFERROR(VLOOKUP($C:$C,Structure!$A:$AJ,AA$1,0)*$D25,0),IFERROR(VLOOKUP($E:$E,Structure!$A:$AJ,AA$1,0)*$F25,0),IFERROR(VLOOKUP($G:$G,Structure!$A:$AJ,AA$1,0)*$H25,0))</f>
        <v>0</v>
      </c>
      <c r="AB25" s="9">
        <f>SUM(IFERROR(VLOOKUP($C:$C,Structure!$A:$AJ,AB$1,0)*$D25,0),IFERROR(VLOOKUP($E:$E,Structure!$A:$AJ,AB$1,0)*$F25,0),IFERROR(VLOOKUP($G:$G,Structure!$A:$AJ,AB$1,0)*$H25,0))</f>
        <v>0</v>
      </c>
      <c r="AC25" s="9">
        <f>SUM(IFERROR(VLOOKUP($C:$C,Structure!$A:$AJ,AC$1,0)*$D25,0),IFERROR(VLOOKUP($E:$E,Structure!$A:$AJ,AC$1,0)*$F25,0),IFERROR(VLOOKUP($G:$G,Structure!$A:$AJ,AC$1,0)*$H25,0))</f>
        <v>0</v>
      </c>
      <c r="AD25" s="9">
        <f>SUM(IFERROR(VLOOKUP($C:$C,Structure!$A:$AJ,AD$1,0)*$D25,0),IFERROR(VLOOKUP($E:$E,Structure!$A:$AJ,AD$1,0)*$F25,0),IFERROR(VLOOKUP($G:$G,Structure!$A:$AJ,AD$1,0)*$H25,0))</f>
        <v>0</v>
      </c>
      <c r="AE25" s="9">
        <f>SUM(IFERROR(VLOOKUP($C:$C,Structure!$A:$AJ,AE$1,0)*$D25,0),IFERROR(VLOOKUP($E:$E,Structure!$A:$AJ,AE$1,0)*$F25,0),IFERROR(VLOOKUP($G:$G,Structure!$A:$AJ,AE$1,0)*$H25,0))</f>
        <v>0</v>
      </c>
      <c r="AF25" s="9">
        <f>SUM(IFERROR(VLOOKUP($C:$C,Structure!$A:$AJ,AF$1,0)*$D25,0),IFERROR(VLOOKUP($E:$E,Structure!$A:$AJ,AF$1,0)*$F25,0),IFERROR(VLOOKUP($G:$G,Structure!$A:$AJ,AF$1,0)*$H25,0))</f>
        <v>0</v>
      </c>
      <c r="AG25" s="9">
        <f>SUM(IFERROR(VLOOKUP($C:$C,Structure!$A:$AJ,AG$1,0)*$D25,0),IFERROR(VLOOKUP($E:$E,Structure!$A:$AJ,AG$1,0)*$F25,0),IFERROR(VLOOKUP($G:$G,Structure!$A:$AJ,AG$1,0)*$H25,0))</f>
        <v>0</v>
      </c>
      <c r="AH25" s="9">
        <f>SUM(IFERROR(VLOOKUP($C:$C,Structure!$A:$AJ,AH$1,0)*$D25,0),IFERROR(VLOOKUP($E:$E,Structure!$A:$AJ,AH$1,0)*$F25,0),IFERROR(VLOOKUP($G:$G,Structure!$A:$AJ,AH$1,0)*$H25,0))</f>
        <v>0</v>
      </c>
      <c r="AI25" s="9">
        <f>SUM(IFERROR(VLOOKUP($C:$C,Structure!$A:$AJ,AI$1,0)*$D25,0),IFERROR(VLOOKUP($E:$E,Structure!$A:$AJ,AI$1,0)*$F25,0),IFERROR(VLOOKUP($G:$G,Structure!$A:$AJ,AI$1,0)*$H25,0))</f>
        <v>0</v>
      </c>
      <c r="AJ25" s="9">
        <f>SUM(IFERROR(VLOOKUP($C:$C,Structure!$A:$AJ,AJ$1,0)*$D25,0),IFERROR(VLOOKUP($E:$E,Structure!$A:$AJ,AJ$1,0)*$F25,0),IFERROR(VLOOKUP($G:$G,Structure!$A:$AJ,AJ$1,0)*$H25,0))</f>
        <v>0</v>
      </c>
      <c r="AK25" s="9">
        <f>SUM(IFERROR(VLOOKUP($C:$C,Structure!$A:$AJ,AK$1,0)*$D25,0),IFERROR(VLOOKUP($E:$E,Structure!$A:$AJ,AK$1,0)*$F25,0),IFERROR(VLOOKUP($G:$G,Structure!$A:$AJ,AK$1,0)*$H25,0))</f>
        <v>0</v>
      </c>
      <c r="AL25" s="9">
        <f>SUM(IFERROR(VLOOKUP($C:$C,Structure!$A:$AJ,AL$1,0)*$D25,0),IFERROR(VLOOKUP($E:$E,Structure!$A:$AJ,AL$1,0)*$F25,0),IFERROR(VLOOKUP($G:$G,Structure!$A:$AJ,AL$1,0)*$H25,0))</f>
        <v>0</v>
      </c>
      <c r="AM25" s="9">
        <f>SUM(IFERROR(VLOOKUP($C:$C,Structure!$A:$AJ,AM$1,0)*$D25,0),IFERROR(VLOOKUP($E:$E,Structure!$A:$AJ,AM$1,0)*$F25,0),IFERROR(VLOOKUP($G:$G,Structure!$A:$AJ,AM$1,0)*$H25,0))</f>
        <v>0</v>
      </c>
      <c r="AN25" s="9">
        <f>SUM(IFERROR(VLOOKUP($C:$C,Structure!$A:$AJ,AN$1,0)*$D25,0),IFERROR(VLOOKUP($E:$E,Structure!$A:$AJ,AN$1,0)*$F25,0),IFERROR(VLOOKUP($G:$G,Structure!$A:$AJ,AN$1,0)*$H25,0))</f>
        <v>0</v>
      </c>
      <c r="AO25" s="9">
        <f>SUM(IFERROR(VLOOKUP($C:$C,Structure!$A:$AJ,AO$1,0)*$D25,0),IFERROR(VLOOKUP($E:$E,Structure!$A:$AJ,AO$1,0)*$F25,0),IFERROR(VLOOKUP($G:$G,Structure!$A:$AJ,AO$1,0)*$H25,0))</f>
        <v>0</v>
      </c>
      <c r="AP25" s="9">
        <f>SUM(IFERROR(VLOOKUP($C:$C,Structure!$A:$AJ,AP$1,0)*$D25,0),IFERROR(VLOOKUP($E:$E,Structure!$A:$AJ,AP$1,0)*$F25,0),IFERROR(VLOOKUP($G:$G,Structure!$A:$AJ,AP$1,0)*$H25,0))</f>
        <v>0</v>
      </c>
      <c r="AQ25" s="9">
        <f>SUM(IFERROR(VLOOKUP($C:$C,Structure!$A:$AJ,AQ$1,0)*$D25,0),IFERROR(VLOOKUP($E:$E,Structure!$A:$AJ,AQ$1,0)*$F25,0),IFERROR(VLOOKUP($G:$G,Structure!$A:$AJ,AQ$1,0)*$H25,0))</f>
        <v>0</v>
      </c>
      <c r="AR25" s="21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4">
        <f t="shared" si="22"/>
        <v>0</v>
      </c>
      <c r="CE25" s="4">
        <f t="shared" si="23"/>
        <v>5</v>
      </c>
      <c r="CF25" s="4">
        <f t="shared" si="24"/>
        <v>4</v>
      </c>
      <c r="CG25" s="4">
        <f t="shared" si="25"/>
        <v>23</v>
      </c>
      <c r="CH25" s="4">
        <f t="shared" si="26"/>
        <v>1</v>
      </c>
      <c r="CI25" s="4">
        <f t="shared" si="27"/>
        <v>1</v>
      </c>
      <c r="CJ25" s="4">
        <f t="shared" si="28"/>
        <v>53</v>
      </c>
      <c r="CK25" s="4">
        <f t="shared" si="29"/>
        <v>184</v>
      </c>
      <c r="CL25" s="4">
        <f t="shared" si="30"/>
        <v>0</v>
      </c>
      <c r="CM25" s="4">
        <f t="shared" si="31"/>
        <v>4</v>
      </c>
      <c r="CN25" s="4">
        <f t="shared" si="32"/>
        <v>91</v>
      </c>
      <c r="CO25" s="4">
        <f t="shared" si="33"/>
        <v>0</v>
      </c>
      <c r="CP25" s="4">
        <f t="shared" si="34"/>
        <v>5</v>
      </c>
      <c r="CQ25" s="4">
        <f t="shared" si="35"/>
        <v>-17</v>
      </c>
      <c r="CR25" s="4">
        <f t="shared" si="36"/>
        <v>34</v>
      </c>
      <c r="CS25" s="4">
        <f t="shared" si="37"/>
        <v>0</v>
      </c>
      <c r="CT25" s="4">
        <f t="shared" si="38"/>
        <v>0</v>
      </c>
      <c r="CU25" s="4">
        <f t="shared" si="39"/>
        <v>0</v>
      </c>
      <c r="CV25" s="4">
        <f t="shared" si="40"/>
        <v>0</v>
      </c>
      <c r="CW25" s="4">
        <f t="shared" si="41"/>
        <v>0</v>
      </c>
      <c r="CX25" s="4">
        <f t="shared" si="42"/>
        <v>3</v>
      </c>
      <c r="CY25" s="4">
        <f t="shared" si="43"/>
        <v>0</v>
      </c>
      <c r="CZ25" s="4">
        <f t="shared" si="44"/>
        <v>0</v>
      </c>
      <c r="DA25" s="4">
        <f t="shared" si="45"/>
        <v>0</v>
      </c>
      <c r="DB25" s="4">
        <f t="shared" si="46"/>
        <v>0</v>
      </c>
      <c r="DC25" s="4">
        <f t="shared" si="47"/>
        <v>0</v>
      </c>
      <c r="DD25" s="4">
        <f t="shared" si="48"/>
        <v>0</v>
      </c>
      <c r="DE25" s="4">
        <f t="shared" si="49"/>
        <v>0</v>
      </c>
      <c r="DF25" s="4">
        <f t="shared" si="50"/>
        <v>0</v>
      </c>
      <c r="DG25" s="4">
        <f t="shared" si="51"/>
        <v>0</v>
      </c>
      <c r="DH25" s="4">
        <f t="shared" si="52"/>
        <v>0</v>
      </c>
      <c r="DI25" s="4">
        <f t="shared" si="53"/>
        <v>0</v>
      </c>
      <c r="DJ25" s="4">
        <f t="shared" si="54"/>
        <v>0</v>
      </c>
      <c r="DK25" s="4">
        <f t="shared" si="55"/>
        <v>0</v>
      </c>
      <c r="DL25" s="4">
        <f t="shared" si="56"/>
        <v>0</v>
      </c>
    </row>
    <row r="26" spans="1:116" x14ac:dyDescent="0.25">
      <c r="A26" s="5">
        <v>46183</v>
      </c>
      <c r="B26" s="6">
        <v>0.79166666672244901</v>
      </c>
      <c r="C26" s="3"/>
      <c r="D26" s="3"/>
      <c r="E26" s="3" t="s">
        <v>57</v>
      </c>
      <c r="F26" s="3">
        <v>8</v>
      </c>
      <c r="G26" s="3"/>
      <c r="H26" s="9"/>
      <c r="I26" s="9">
        <f>SUM(IFERROR(VLOOKUP($C:$C,Structure!$A:$AJ,I$1,0)*$D26,0),IFERROR(VLOOKUP($E:$E,Structure!$A:$AJ,I$1,0)*$F26,0),IFERROR(VLOOKUP($G:$G,Structure!$A:$AJ,I$1,0)*$H26,0))</f>
        <v>0</v>
      </c>
      <c r="J26" s="9">
        <f>SUM(IFERROR(VLOOKUP($C:$C,Structure!$A:$AJ,J$1,0)*$D26,0),IFERROR(VLOOKUP($E:$E,Structure!$A:$AJ,J$1,0)*$F26,0),IFERROR(VLOOKUP($G:$G,Structure!$A:$AJ,J$1,0)*$H26,0))</f>
        <v>0</v>
      </c>
      <c r="K26" s="9">
        <f>SUM(IFERROR(VLOOKUP($C:$C,Structure!$A:$AJ,K$1,0)*$D26,0),IFERROR(VLOOKUP($E:$E,Structure!$A:$AJ,K$1,0)*$F26,0),IFERROR(VLOOKUP($G:$G,Structure!$A:$AJ,K$1,0)*$H26,0))</f>
        <v>0</v>
      </c>
      <c r="L26" s="9">
        <f>SUM(IFERROR(VLOOKUP($C:$C,Structure!$A:$AJ,L$1,0)*$D26,0),IFERROR(VLOOKUP($E:$E,Structure!$A:$AJ,L$1,0)*$F26,0),IFERROR(VLOOKUP($G:$G,Structure!$A:$AJ,L$1,0)*$H26,0))</f>
        <v>0</v>
      </c>
      <c r="M26" s="9">
        <f>SUM(IFERROR(VLOOKUP($C:$C,Structure!$A:$AJ,M$1,0)*$D26,0),IFERROR(VLOOKUP($E:$E,Structure!$A:$AJ,M$1,0)*$F26,0),IFERROR(VLOOKUP($G:$G,Structure!$A:$AJ,M$1,0)*$H26,0))</f>
        <v>0</v>
      </c>
      <c r="N26" s="9">
        <f>SUM(IFERROR(VLOOKUP($C:$C,Structure!$A:$AJ,N$1,0)*$D26,0),IFERROR(VLOOKUP($E:$E,Structure!$A:$AJ,N$1,0)*$F26,0),IFERROR(VLOOKUP($G:$G,Structure!$A:$AJ,N$1,0)*$H26,0))</f>
        <v>0</v>
      </c>
      <c r="O26" s="9">
        <f>SUM(IFERROR(VLOOKUP($C:$C,Structure!$A:$AJ,O$1,0)*$D26,0),IFERROR(VLOOKUP($E:$E,Structure!$A:$AJ,O$1,0)*$F26,0),IFERROR(VLOOKUP($G:$G,Structure!$A:$AJ,O$1,0)*$H26,0))</f>
        <v>8</v>
      </c>
      <c r="P26" s="9">
        <f>SUM(IFERROR(VLOOKUP($C:$C,Structure!$A:$AJ,P$1,0)*$D26,0),IFERROR(VLOOKUP($E:$E,Structure!$A:$AJ,P$1,0)*$F26,0),IFERROR(VLOOKUP($G:$G,Structure!$A:$AJ,P$1,0)*$H26,0))</f>
        <v>0</v>
      </c>
      <c r="Q26" s="9">
        <f>SUM(IFERROR(VLOOKUP($C:$C,Structure!$A:$AJ,Q$1,0)*$D26,0),IFERROR(VLOOKUP($E:$E,Structure!$A:$AJ,Q$1,0)*$F26,0),IFERROR(VLOOKUP($G:$G,Structure!$A:$AJ,Q$1,0)*$H26,0))</f>
        <v>0</v>
      </c>
      <c r="R26" s="9">
        <f>SUM(IFERROR(VLOOKUP($C:$C,Structure!$A:$AJ,R$1,0)*$D26,0),IFERROR(VLOOKUP($E:$E,Structure!$A:$AJ,R$1,0)*$F26,0),IFERROR(VLOOKUP($G:$G,Structure!$A:$AJ,R$1,0)*$H26,0))</f>
        <v>0</v>
      </c>
      <c r="S26" s="9">
        <f>SUM(IFERROR(VLOOKUP($C:$C,Structure!$A:$AJ,S$1,0)*$D26,0),IFERROR(VLOOKUP($E:$E,Structure!$A:$AJ,S$1,0)*$F26,0),IFERROR(VLOOKUP($G:$G,Structure!$A:$AJ,S$1,0)*$H26,0))</f>
        <v>8</v>
      </c>
      <c r="T26" s="9">
        <f>SUM(IFERROR(VLOOKUP($C:$C,Structure!$A:$AJ,T$1,0)*$D26,0),IFERROR(VLOOKUP($E:$E,Structure!$A:$AJ,T$1,0)*$F26,0),IFERROR(VLOOKUP($G:$G,Structure!$A:$AJ,T$1,0)*$H26,0))</f>
        <v>0</v>
      </c>
      <c r="U26" s="9">
        <f>SUM(IFERROR(VLOOKUP($C:$C,Structure!$A:$AJ,U$1,0)*$D26,0),IFERROR(VLOOKUP($E:$E,Structure!$A:$AJ,U$1,0)*$F26,0),IFERROR(VLOOKUP($G:$G,Structure!$A:$AJ,U$1,0)*$H26,0))</f>
        <v>0</v>
      </c>
      <c r="V26" s="9">
        <f>SUM(IFERROR(VLOOKUP($C:$C,Structure!$A:$AJ,V$1,0)*$D26,0),IFERROR(VLOOKUP($E:$E,Structure!$A:$AJ,V$1,0)*$F26,0),IFERROR(VLOOKUP($G:$G,Structure!$A:$AJ,V$1,0)*$H26,0))</f>
        <v>0</v>
      </c>
      <c r="W26" s="9">
        <f>SUM(IFERROR(VLOOKUP($C:$C,Structure!$A:$AJ,W$1,0)*$D26,0),IFERROR(VLOOKUP($E:$E,Structure!$A:$AJ,W$1,0)*$F26,0),IFERROR(VLOOKUP($G:$G,Structure!$A:$AJ,W$1,0)*$H26,0))</f>
        <v>0</v>
      </c>
      <c r="X26" s="9">
        <f>SUM(IFERROR(VLOOKUP($C:$C,Structure!$A:$AJ,X$1,0)*$D26,0),IFERROR(VLOOKUP($E:$E,Structure!$A:$AJ,X$1,0)*$F26,0),IFERROR(VLOOKUP($G:$G,Structure!$A:$AJ,X$1,0)*$H26,0))</f>
        <v>0</v>
      </c>
      <c r="Y26" s="9">
        <f>SUM(IFERROR(VLOOKUP($C:$C,Structure!$A:$AJ,Y$1,0)*$D26,0),IFERROR(VLOOKUP($E:$E,Structure!$A:$AJ,Y$1,0)*$F26,0),IFERROR(VLOOKUP($G:$G,Structure!$A:$AJ,Y$1,0)*$H26,0))</f>
        <v>0</v>
      </c>
      <c r="Z26" s="9">
        <f>SUM(IFERROR(VLOOKUP($C:$C,Structure!$A:$AJ,Z$1,0)*$D26,0),IFERROR(VLOOKUP($E:$E,Structure!$A:$AJ,Z$1,0)*$F26,0),IFERROR(VLOOKUP($G:$G,Structure!$A:$AJ,Z$1,0)*$H26,0))</f>
        <v>0</v>
      </c>
      <c r="AA26" s="9">
        <f>SUM(IFERROR(VLOOKUP($C:$C,Structure!$A:$AJ,AA$1,0)*$D26,0),IFERROR(VLOOKUP($E:$E,Structure!$A:$AJ,AA$1,0)*$F26,0),IFERROR(VLOOKUP($G:$G,Structure!$A:$AJ,AA$1,0)*$H26,0))</f>
        <v>0</v>
      </c>
      <c r="AB26" s="9">
        <f>SUM(IFERROR(VLOOKUP($C:$C,Structure!$A:$AJ,AB$1,0)*$D26,0),IFERROR(VLOOKUP($E:$E,Structure!$A:$AJ,AB$1,0)*$F26,0),IFERROR(VLOOKUP($G:$G,Structure!$A:$AJ,AB$1,0)*$H26,0))</f>
        <v>0</v>
      </c>
      <c r="AC26" s="9">
        <f>SUM(IFERROR(VLOOKUP($C:$C,Structure!$A:$AJ,AC$1,0)*$D26,0),IFERROR(VLOOKUP($E:$E,Structure!$A:$AJ,AC$1,0)*$F26,0),IFERROR(VLOOKUP($G:$G,Structure!$A:$AJ,AC$1,0)*$H26,0))</f>
        <v>0</v>
      </c>
      <c r="AD26" s="9">
        <f>SUM(IFERROR(VLOOKUP($C:$C,Structure!$A:$AJ,AD$1,0)*$D26,0),IFERROR(VLOOKUP($E:$E,Structure!$A:$AJ,AD$1,0)*$F26,0),IFERROR(VLOOKUP($G:$G,Structure!$A:$AJ,AD$1,0)*$H26,0))</f>
        <v>0</v>
      </c>
      <c r="AE26" s="9">
        <f>SUM(IFERROR(VLOOKUP($C:$C,Structure!$A:$AJ,AE$1,0)*$D26,0),IFERROR(VLOOKUP($E:$E,Structure!$A:$AJ,AE$1,0)*$F26,0),IFERROR(VLOOKUP($G:$G,Structure!$A:$AJ,AE$1,0)*$H26,0))</f>
        <v>0</v>
      </c>
      <c r="AF26" s="9">
        <f>SUM(IFERROR(VLOOKUP($C:$C,Structure!$A:$AJ,AF$1,0)*$D26,0),IFERROR(VLOOKUP($E:$E,Structure!$A:$AJ,AF$1,0)*$F26,0),IFERROR(VLOOKUP($G:$G,Structure!$A:$AJ,AF$1,0)*$H26,0))</f>
        <v>0</v>
      </c>
      <c r="AG26" s="9">
        <f>SUM(IFERROR(VLOOKUP($C:$C,Structure!$A:$AJ,AG$1,0)*$D26,0),IFERROR(VLOOKUP($E:$E,Structure!$A:$AJ,AG$1,0)*$F26,0),IFERROR(VLOOKUP($G:$G,Structure!$A:$AJ,AG$1,0)*$H26,0))</f>
        <v>0</v>
      </c>
      <c r="AH26" s="9">
        <f>SUM(IFERROR(VLOOKUP($C:$C,Structure!$A:$AJ,AH$1,0)*$D26,0),IFERROR(VLOOKUP($E:$E,Structure!$A:$AJ,AH$1,0)*$F26,0),IFERROR(VLOOKUP($G:$G,Structure!$A:$AJ,AH$1,0)*$H26,0))</f>
        <v>0</v>
      </c>
      <c r="AI26" s="9">
        <f>SUM(IFERROR(VLOOKUP($C:$C,Structure!$A:$AJ,AI$1,0)*$D26,0),IFERROR(VLOOKUP($E:$E,Structure!$A:$AJ,AI$1,0)*$F26,0),IFERROR(VLOOKUP($G:$G,Structure!$A:$AJ,AI$1,0)*$H26,0))</f>
        <v>0</v>
      </c>
      <c r="AJ26" s="9">
        <f>SUM(IFERROR(VLOOKUP($C:$C,Structure!$A:$AJ,AJ$1,0)*$D26,0),IFERROR(VLOOKUP($E:$E,Structure!$A:$AJ,AJ$1,0)*$F26,0),IFERROR(VLOOKUP($G:$G,Structure!$A:$AJ,AJ$1,0)*$H26,0))</f>
        <v>0</v>
      </c>
      <c r="AK26" s="9">
        <f>SUM(IFERROR(VLOOKUP($C:$C,Structure!$A:$AJ,AK$1,0)*$D26,0),IFERROR(VLOOKUP($E:$E,Structure!$A:$AJ,AK$1,0)*$F26,0),IFERROR(VLOOKUP($G:$G,Structure!$A:$AJ,AK$1,0)*$H26,0))</f>
        <v>0</v>
      </c>
      <c r="AL26" s="9">
        <f>SUM(IFERROR(VLOOKUP($C:$C,Structure!$A:$AJ,AL$1,0)*$D26,0),IFERROR(VLOOKUP($E:$E,Structure!$A:$AJ,AL$1,0)*$F26,0),IFERROR(VLOOKUP($G:$G,Structure!$A:$AJ,AL$1,0)*$H26,0))</f>
        <v>0</v>
      </c>
      <c r="AM26" s="9">
        <f>SUM(IFERROR(VLOOKUP($C:$C,Structure!$A:$AJ,AM$1,0)*$D26,0),IFERROR(VLOOKUP($E:$E,Structure!$A:$AJ,AM$1,0)*$F26,0),IFERROR(VLOOKUP($G:$G,Structure!$A:$AJ,AM$1,0)*$H26,0))</f>
        <v>0</v>
      </c>
      <c r="AN26" s="9">
        <f>SUM(IFERROR(VLOOKUP($C:$C,Structure!$A:$AJ,AN$1,0)*$D26,0),IFERROR(VLOOKUP($E:$E,Structure!$A:$AJ,AN$1,0)*$F26,0),IFERROR(VLOOKUP($G:$G,Structure!$A:$AJ,AN$1,0)*$H26,0))</f>
        <v>0</v>
      </c>
      <c r="AO26" s="9">
        <f>SUM(IFERROR(VLOOKUP($C:$C,Structure!$A:$AJ,AO$1,0)*$D26,0),IFERROR(VLOOKUP($E:$E,Structure!$A:$AJ,AO$1,0)*$F26,0),IFERROR(VLOOKUP($G:$G,Structure!$A:$AJ,AO$1,0)*$H26,0))</f>
        <v>0</v>
      </c>
      <c r="AP26" s="9">
        <f>SUM(IFERROR(VLOOKUP($C:$C,Structure!$A:$AJ,AP$1,0)*$D26,0),IFERROR(VLOOKUP($E:$E,Structure!$A:$AJ,AP$1,0)*$F26,0),IFERROR(VLOOKUP($G:$G,Structure!$A:$AJ,AP$1,0)*$H26,0))</f>
        <v>0</v>
      </c>
      <c r="AQ26" s="9">
        <f>SUM(IFERROR(VLOOKUP($C:$C,Structure!$A:$AJ,AQ$1,0)*$D26,0),IFERROR(VLOOKUP($E:$E,Structure!$A:$AJ,AQ$1,0)*$F26,0),IFERROR(VLOOKUP($G:$G,Structure!$A:$AJ,AQ$1,0)*$H26,0))</f>
        <v>0</v>
      </c>
      <c r="AR26" s="21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4">
        <f t="shared" si="22"/>
        <v>0</v>
      </c>
      <c r="CE26" s="4">
        <f t="shared" si="23"/>
        <v>5</v>
      </c>
      <c r="CF26" s="4">
        <f t="shared" si="24"/>
        <v>4</v>
      </c>
      <c r="CG26" s="4">
        <f t="shared" si="25"/>
        <v>23</v>
      </c>
      <c r="CH26" s="4">
        <f t="shared" si="26"/>
        <v>1</v>
      </c>
      <c r="CI26" s="4">
        <f t="shared" si="27"/>
        <v>1</v>
      </c>
      <c r="CJ26" s="4">
        <f t="shared" si="28"/>
        <v>45</v>
      </c>
      <c r="CK26" s="4">
        <f t="shared" si="29"/>
        <v>184</v>
      </c>
      <c r="CL26" s="4">
        <f t="shared" si="30"/>
        <v>0</v>
      </c>
      <c r="CM26" s="4">
        <f t="shared" si="31"/>
        <v>4</v>
      </c>
      <c r="CN26" s="4">
        <f t="shared" si="32"/>
        <v>83</v>
      </c>
      <c r="CO26" s="4">
        <f t="shared" si="33"/>
        <v>0</v>
      </c>
      <c r="CP26" s="4">
        <f t="shared" si="34"/>
        <v>5</v>
      </c>
      <c r="CQ26" s="4">
        <f t="shared" si="35"/>
        <v>-17</v>
      </c>
      <c r="CR26" s="4">
        <f t="shared" si="36"/>
        <v>34</v>
      </c>
      <c r="CS26" s="4">
        <f t="shared" si="37"/>
        <v>0</v>
      </c>
      <c r="CT26" s="4">
        <f t="shared" si="38"/>
        <v>0</v>
      </c>
      <c r="CU26" s="4">
        <f t="shared" si="39"/>
        <v>0</v>
      </c>
      <c r="CV26" s="4">
        <f t="shared" si="40"/>
        <v>0</v>
      </c>
      <c r="CW26" s="4">
        <f t="shared" si="41"/>
        <v>0</v>
      </c>
      <c r="CX26" s="4">
        <f t="shared" si="42"/>
        <v>3</v>
      </c>
      <c r="CY26" s="4">
        <f t="shared" si="43"/>
        <v>0</v>
      </c>
      <c r="CZ26" s="4">
        <f t="shared" si="44"/>
        <v>0</v>
      </c>
      <c r="DA26" s="4">
        <f t="shared" si="45"/>
        <v>0</v>
      </c>
      <c r="DB26" s="4">
        <f t="shared" si="46"/>
        <v>0</v>
      </c>
      <c r="DC26" s="4">
        <f t="shared" si="47"/>
        <v>0</v>
      </c>
      <c r="DD26" s="4">
        <f t="shared" si="48"/>
        <v>0</v>
      </c>
      <c r="DE26" s="4">
        <f t="shared" si="49"/>
        <v>0</v>
      </c>
      <c r="DF26" s="4">
        <f t="shared" si="50"/>
        <v>0</v>
      </c>
      <c r="DG26" s="4">
        <f t="shared" si="51"/>
        <v>0</v>
      </c>
      <c r="DH26" s="4">
        <f t="shared" si="52"/>
        <v>0</v>
      </c>
      <c r="DI26" s="4">
        <f t="shared" si="53"/>
        <v>0</v>
      </c>
      <c r="DJ26" s="4">
        <f t="shared" si="54"/>
        <v>0</v>
      </c>
      <c r="DK26" s="4">
        <f t="shared" si="55"/>
        <v>0</v>
      </c>
      <c r="DL26" s="4">
        <f t="shared" si="56"/>
        <v>0</v>
      </c>
    </row>
    <row r="27" spans="1:116" x14ac:dyDescent="0.25">
      <c r="A27" s="5">
        <v>46183</v>
      </c>
      <c r="B27" s="6">
        <v>0.81250000005820766</v>
      </c>
      <c r="C27" s="3"/>
      <c r="D27" s="3"/>
      <c r="E27" s="3" t="s">
        <v>57</v>
      </c>
      <c r="F27" s="3">
        <v>8</v>
      </c>
      <c r="G27" s="3"/>
      <c r="H27" s="9"/>
      <c r="I27" s="9">
        <f>SUM(IFERROR(VLOOKUP($C:$C,Structure!$A:$AJ,I$1,0)*$D27,0),IFERROR(VLOOKUP($E:$E,Structure!$A:$AJ,I$1,0)*$F27,0),IFERROR(VLOOKUP($G:$G,Structure!$A:$AJ,I$1,0)*$H27,0))</f>
        <v>0</v>
      </c>
      <c r="J27" s="9">
        <f>SUM(IFERROR(VLOOKUP($C:$C,Structure!$A:$AJ,J$1,0)*$D27,0),IFERROR(VLOOKUP($E:$E,Structure!$A:$AJ,J$1,0)*$F27,0),IFERROR(VLOOKUP($G:$G,Structure!$A:$AJ,J$1,0)*$H27,0))</f>
        <v>0</v>
      </c>
      <c r="K27" s="9">
        <f>SUM(IFERROR(VLOOKUP($C:$C,Structure!$A:$AJ,K$1,0)*$D27,0),IFERROR(VLOOKUP($E:$E,Structure!$A:$AJ,K$1,0)*$F27,0),IFERROR(VLOOKUP($G:$G,Structure!$A:$AJ,K$1,0)*$H27,0))</f>
        <v>0</v>
      </c>
      <c r="L27" s="9">
        <f>SUM(IFERROR(VLOOKUP($C:$C,Structure!$A:$AJ,L$1,0)*$D27,0),IFERROR(VLOOKUP($E:$E,Structure!$A:$AJ,L$1,0)*$F27,0),IFERROR(VLOOKUP($G:$G,Structure!$A:$AJ,L$1,0)*$H27,0))</f>
        <v>0</v>
      </c>
      <c r="M27" s="9">
        <f>SUM(IFERROR(VLOOKUP($C:$C,Structure!$A:$AJ,M$1,0)*$D27,0),IFERROR(VLOOKUP($E:$E,Structure!$A:$AJ,M$1,0)*$F27,0),IFERROR(VLOOKUP($G:$G,Structure!$A:$AJ,M$1,0)*$H27,0))</f>
        <v>0</v>
      </c>
      <c r="N27" s="9">
        <f>SUM(IFERROR(VLOOKUP($C:$C,Structure!$A:$AJ,N$1,0)*$D27,0),IFERROR(VLOOKUP($E:$E,Structure!$A:$AJ,N$1,0)*$F27,0),IFERROR(VLOOKUP($G:$G,Structure!$A:$AJ,N$1,0)*$H27,0))</f>
        <v>0</v>
      </c>
      <c r="O27" s="9">
        <f>SUM(IFERROR(VLOOKUP($C:$C,Structure!$A:$AJ,O$1,0)*$D27,0),IFERROR(VLOOKUP($E:$E,Structure!$A:$AJ,O$1,0)*$F27,0),IFERROR(VLOOKUP($G:$G,Structure!$A:$AJ,O$1,0)*$H27,0))</f>
        <v>8</v>
      </c>
      <c r="P27" s="9">
        <f>SUM(IFERROR(VLOOKUP($C:$C,Structure!$A:$AJ,P$1,0)*$D27,0),IFERROR(VLOOKUP($E:$E,Structure!$A:$AJ,P$1,0)*$F27,0),IFERROR(VLOOKUP($G:$G,Structure!$A:$AJ,P$1,0)*$H27,0))</f>
        <v>0</v>
      </c>
      <c r="Q27" s="9">
        <f>SUM(IFERROR(VLOOKUP($C:$C,Structure!$A:$AJ,Q$1,0)*$D27,0),IFERROR(VLOOKUP($E:$E,Structure!$A:$AJ,Q$1,0)*$F27,0),IFERROR(VLOOKUP($G:$G,Structure!$A:$AJ,Q$1,0)*$H27,0))</f>
        <v>0</v>
      </c>
      <c r="R27" s="9">
        <f>SUM(IFERROR(VLOOKUP($C:$C,Structure!$A:$AJ,R$1,0)*$D27,0),IFERROR(VLOOKUP($E:$E,Structure!$A:$AJ,R$1,0)*$F27,0),IFERROR(VLOOKUP($G:$G,Structure!$A:$AJ,R$1,0)*$H27,0))</f>
        <v>0</v>
      </c>
      <c r="S27" s="9">
        <f>SUM(IFERROR(VLOOKUP($C:$C,Structure!$A:$AJ,S$1,0)*$D27,0),IFERROR(VLOOKUP($E:$E,Structure!$A:$AJ,S$1,0)*$F27,0),IFERROR(VLOOKUP($G:$G,Structure!$A:$AJ,S$1,0)*$H27,0))</f>
        <v>8</v>
      </c>
      <c r="T27" s="9">
        <f>SUM(IFERROR(VLOOKUP($C:$C,Structure!$A:$AJ,T$1,0)*$D27,0),IFERROR(VLOOKUP($E:$E,Structure!$A:$AJ,T$1,0)*$F27,0),IFERROR(VLOOKUP($G:$G,Structure!$A:$AJ,T$1,0)*$H27,0))</f>
        <v>0</v>
      </c>
      <c r="U27" s="9">
        <f>SUM(IFERROR(VLOOKUP($C:$C,Structure!$A:$AJ,U$1,0)*$D27,0),IFERROR(VLOOKUP($E:$E,Structure!$A:$AJ,U$1,0)*$F27,0),IFERROR(VLOOKUP($G:$G,Structure!$A:$AJ,U$1,0)*$H27,0))</f>
        <v>0</v>
      </c>
      <c r="V27" s="9">
        <f>SUM(IFERROR(VLOOKUP($C:$C,Structure!$A:$AJ,V$1,0)*$D27,0),IFERROR(VLOOKUP($E:$E,Structure!$A:$AJ,V$1,0)*$F27,0),IFERROR(VLOOKUP($G:$G,Structure!$A:$AJ,V$1,0)*$H27,0))</f>
        <v>0</v>
      </c>
      <c r="W27" s="9">
        <f>SUM(IFERROR(VLOOKUP($C:$C,Structure!$A:$AJ,W$1,0)*$D27,0),IFERROR(VLOOKUP($E:$E,Structure!$A:$AJ,W$1,0)*$F27,0),IFERROR(VLOOKUP($G:$G,Structure!$A:$AJ,W$1,0)*$H27,0))</f>
        <v>0</v>
      </c>
      <c r="X27" s="9">
        <f>SUM(IFERROR(VLOOKUP($C:$C,Structure!$A:$AJ,X$1,0)*$D27,0),IFERROR(VLOOKUP($E:$E,Structure!$A:$AJ,X$1,0)*$F27,0),IFERROR(VLOOKUP($G:$G,Structure!$A:$AJ,X$1,0)*$H27,0))</f>
        <v>0</v>
      </c>
      <c r="Y27" s="9">
        <f>SUM(IFERROR(VLOOKUP($C:$C,Structure!$A:$AJ,Y$1,0)*$D27,0),IFERROR(VLOOKUP($E:$E,Structure!$A:$AJ,Y$1,0)*$F27,0),IFERROR(VLOOKUP($G:$G,Structure!$A:$AJ,Y$1,0)*$H27,0))</f>
        <v>0</v>
      </c>
      <c r="Z27" s="9">
        <f>SUM(IFERROR(VLOOKUP($C:$C,Structure!$A:$AJ,Z$1,0)*$D27,0),IFERROR(VLOOKUP($E:$E,Structure!$A:$AJ,Z$1,0)*$F27,0),IFERROR(VLOOKUP($G:$G,Structure!$A:$AJ,Z$1,0)*$H27,0))</f>
        <v>0</v>
      </c>
      <c r="AA27" s="9">
        <f>SUM(IFERROR(VLOOKUP($C:$C,Structure!$A:$AJ,AA$1,0)*$D27,0),IFERROR(VLOOKUP($E:$E,Structure!$A:$AJ,AA$1,0)*$F27,0),IFERROR(VLOOKUP($G:$G,Structure!$A:$AJ,AA$1,0)*$H27,0))</f>
        <v>0</v>
      </c>
      <c r="AB27" s="9">
        <f>SUM(IFERROR(VLOOKUP($C:$C,Structure!$A:$AJ,AB$1,0)*$D27,0),IFERROR(VLOOKUP($E:$E,Structure!$A:$AJ,AB$1,0)*$F27,0),IFERROR(VLOOKUP($G:$G,Structure!$A:$AJ,AB$1,0)*$H27,0))</f>
        <v>0</v>
      </c>
      <c r="AC27" s="9">
        <f>SUM(IFERROR(VLOOKUP($C:$C,Structure!$A:$AJ,AC$1,0)*$D27,0),IFERROR(VLOOKUP($E:$E,Structure!$A:$AJ,AC$1,0)*$F27,0),IFERROR(VLOOKUP($G:$G,Structure!$A:$AJ,AC$1,0)*$H27,0))</f>
        <v>0</v>
      </c>
      <c r="AD27" s="9">
        <f>SUM(IFERROR(VLOOKUP($C:$C,Structure!$A:$AJ,AD$1,0)*$D27,0),IFERROR(VLOOKUP($E:$E,Structure!$A:$AJ,AD$1,0)*$F27,0),IFERROR(VLOOKUP($G:$G,Structure!$A:$AJ,AD$1,0)*$H27,0))</f>
        <v>0</v>
      </c>
      <c r="AE27" s="9">
        <f>SUM(IFERROR(VLOOKUP($C:$C,Structure!$A:$AJ,AE$1,0)*$D27,0),IFERROR(VLOOKUP($E:$E,Structure!$A:$AJ,AE$1,0)*$F27,0),IFERROR(VLOOKUP($G:$G,Structure!$A:$AJ,AE$1,0)*$H27,0))</f>
        <v>0</v>
      </c>
      <c r="AF27" s="9">
        <f>SUM(IFERROR(VLOOKUP($C:$C,Structure!$A:$AJ,AF$1,0)*$D27,0),IFERROR(VLOOKUP($E:$E,Structure!$A:$AJ,AF$1,0)*$F27,0),IFERROR(VLOOKUP($G:$G,Structure!$A:$AJ,AF$1,0)*$H27,0))</f>
        <v>0</v>
      </c>
      <c r="AG27" s="9">
        <f>SUM(IFERROR(VLOOKUP($C:$C,Structure!$A:$AJ,AG$1,0)*$D27,0),IFERROR(VLOOKUP($E:$E,Structure!$A:$AJ,AG$1,0)*$F27,0),IFERROR(VLOOKUP($G:$G,Structure!$A:$AJ,AG$1,0)*$H27,0))</f>
        <v>0</v>
      </c>
      <c r="AH27" s="9">
        <f>SUM(IFERROR(VLOOKUP($C:$C,Structure!$A:$AJ,AH$1,0)*$D27,0),IFERROR(VLOOKUP($E:$E,Structure!$A:$AJ,AH$1,0)*$F27,0),IFERROR(VLOOKUP($G:$G,Structure!$A:$AJ,AH$1,0)*$H27,0))</f>
        <v>0</v>
      </c>
      <c r="AI27" s="9">
        <f>SUM(IFERROR(VLOOKUP($C:$C,Structure!$A:$AJ,AI$1,0)*$D27,0),IFERROR(VLOOKUP($E:$E,Structure!$A:$AJ,AI$1,0)*$F27,0),IFERROR(VLOOKUP($G:$G,Structure!$A:$AJ,AI$1,0)*$H27,0))</f>
        <v>0</v>
      </c>
      <c r="AJ27" s="9">
        <f>SUM(IFERROR(VLOOKUP($C:$C,Structure!$A:$AJ,AJ$1,0)*$D27,0),IFERROR(VLOOKUP($E:$E,Structure!$A:$AJ,AJ$1,0)*$F27,0),IFERROR(VLOOKUP($G:$G,Structure!$A:$AJ,AJ$1,0)*$H27,0))</f>
        <v>0</v>
      </c>
      <c r="AK27" s="9">
        <f>SUM(IFERROR(VLOOKUP($C:$C,Structure!$A:$AJ,AK$1,0)*$D27,0),IFERROR(VLOOKUP($E:$E,Structure!$A:$AJ,AK$1,0)*$F27,0),IFERROR(VLOOKUP($G:$G,Structure!$A:$AJ,AK$1,0)*$H27,0))</f>
        <v>0</v>
      </c>
      <c r="AL27" s="9">
        <f>SUM(IFERROR(VLOOKUP($C:$C,Structure!$A:$AJ,AL$1,0)*$D27,0),IFERROR(VLOOKUP($E:$E,Structure!$A:$AJ,AL$1,0)*$F27,0),IFERROR(VLOOKUP($G:$G,Structure!$A:$AJ,AL$1,0)*$H27,0))</f>
        <v>0</v>
      </c>
      <c r="AM27" s="9">
        <f>SUM(IFERROR(VLOOKUP($C:$C,Structure!$A:$AJ,AM$1,0)*$D27,0),IFERROR(VLOOKUP($E:$E,Structure!$A:$AJ,AM$1,0)*$F27,0),IFERROR(VLOOKUP($G:$G,Structure!$A:$AJ,AM$1,0)*$H27,0))</f>
        <v>0</v>
      </c>
      <c r="AN27" s="9">
        <f>SUM(IFERROR(VLOOKUP($C:$C,Structure!$A:$AJ,AN$1,0)*$D27,0),IFERROR(VLOOKUP($E:$E,Structure!$A:$AJ,AN$1,0)*$F27,0),IFERROR(VLOOKUP($G:$G,Structure!$A:$AJ,AN$1,0)*$H27,0))</f>
        <v>0</v>
      </c>
      <c r="AO27" s="9">
        <f>SUM(IFERROR(VLOOKUP($C:$C,Structure!$A:$AJ,AO$1,0)*$D27,0),IFERROR(VLOOKUP($E:$E,Structure!$A:$AJ,AO$1,0)*$F27,0),IFERROR(VLOOKUP($G:$G,Structure!$A:$AJ,AO$1,0)*$H27,0))</f>
        <v>0</v>
      </c>
      <c r="AP27" s="9">
        <f>SUM(IFERROR(VLOOKUP($C:$C,Structure!$A:$AJ,AP$1,0)*$D27,0),IFERROR(VLOOKUP($E:$E,Structure!$A:$AJ,AP$1,0)*$F27,0),IFERROR(VLOOKUP($G:$G,Structure!$A:$AJ,AP$1,0)*$H27,0))</f>
        <v>0</v>
      </c>
      <c r="AQ27" s="9">
        <f>SUM(IFERROR(VLOOKUP($C:$C,Structure!$A:$AJ,AQ$1,0)*$D27,0),IFERROR(VLOOKUP($E:$E,Structure!$A:$AJ,AQ$1,0)*$F27,0),IFERROR(VLOOKUP($G:$G,Structure!$A:$AJ,AQ$1,0)*$H27,0))</f>
        <v>0</v>
      </c>
      <c r="AR27" s="21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4">
        <f t="shared" si="22"/>
        <v>0</v>
      </c>
      <c r="CE27" s="4">
        <f t="shared" si="23"/>
        <v>5</v>
      </c>
      <c r="CF27" s="4">
        <f t="shared" si="24"/>
        <v>4</v>
      </c>
      <c r="CG27" s="4">
        <f t="shared" si="25"/>
        <v>23</v>
      </c>
      <c r="CH27" s="4">
        <f t="shared" si="26"/>
        <v>1</v>
      </c>
      <c r="CI27" s="4">
        <f t="shared" si="27"/>
        <v>1</v>
      </c>
      <c r="CJ27" s="4">
        <f t="shared" si="28"/>
        <v>37</v>
      </c>
      <c r="CK27" s="4">
        <f t="shared" si="29"/>
        <v>184</v>
      </c>
      <c r="CL27" s="4">
        <f t="shared" si="30"/>
        <v>0</v>
      </c>
      <c r="CM27" s="4">
        <f t="shared" si="31"/>
        <v>4</v>
      </c>
      <c r="CN27" s="4">
        <f t="shared" si="32"/>
        <v>75</v>
      </c>
      <c r="CO27" s="4">
        <f t="shared" si="33"/>
        <v>0</v>
      </c>
      <c r="CP27" s="4">
        <f t="shared" si="34"/>
        <v>5</v>
      </c>
      <c r="CQ27" s="4">
        <f t="shared" si="35"/>
        <v>-17</v>
      </c>
      <c r="CR27" s="4">
        <f t="shared" si="36"/>
        <v>34</v>
      </c>
      <c r="CS27" s="4">
        <f t="shared" si="37"/>
        <v>0</v>
      </c>
      <c r="CT27" s="4">
        <f t="shared" si="38"/>
        <v>0</v>
      </c>
      <c r="CU27" s="4">
        <f t="shared" si="39"/>
        <v>0</v>
      </c>
      <c r="CV27" s="4">
        <f t="shared" si="40"/>
        <v>0</v>
      </c>
      <c r="CW27" s="4">
        <f t="shared" si="41"/>
        <v>0</v>
      </c>
      <c r="CX27" s="4">
        <f t="shared" si="42"/>
        <v>3</v>
      </c>
      <c r="CY27" s="4">
        <f t="shared" si="43"/>
        <v>0</v>
      </c>
      <c r="CZ27" s="4">
        <f t="shared" si="44"/>
        <v>0</v>
      </c>
      <c r="DA27" s="4">
        <f t="shared" si="45"/>
        <v>0</v>
      </c>
      <c r="DB27" s="4">
        <f t="shared" si="46"/>
        <v>0</v>
      </c>
      <c r="DC27" s="4">
        <f t="shared" si="47"/>
        <v>0</v>
      </c>
      <c r="DD27" s="4">
        <f t="shared" si="48"/>
        <v>0</v>
      </c>
      <c r="DE27" s="4">
        <f t="shared" si="49"/>
        <v>0</v>
      </c>
      <c r="DF27" s="4">
        <f t="shared" si="50"/>
        <v>0</v>
      </c>
      <c r="DG27" s="4">
        <f t="shared" si="51"/>
        <v>0</v>
      </c>
      <c r="DH27" s="4">
        <f t="shared" si="52"/>
        <v>0</v>
      </c>
      <c r="DI27" s="4">
        <f t="shared" si="53"/>
        <v>0</v>
      </c>
      <c r="DJ27" s="4">
        <f t="shared" si="54"/>
        <v>0</v>
      </c>
      <c r="DK27" s="4">
        <f t="shared" si="55"/>
        <v>0</v>
      </c>
      <c r="DL27" s="4">
        <f t="shared" si="56"/>
        <v>0</v>
      </c>
    </row>
    <row r="28" spans="1:116" x14ac:dyDescent="0.25">
      <c r="A28" s="5">
        <v>46183</v>
      </c>
      <c r="B28" s="6">
        <v>0.83333333339396631</v>
      </c>
      <c r="C28" s="3"/>
      <c r="D28" s="3"/>
      <c r="E28" s="3" t="s">
        <v>57</v>
      </c>
      <c r="F28" s="3">
        <v>8</v>
      </c>
      <c r="G28" s="3"/>
      <c r="H28" s="9"/>
      <c r="I28" s="9">
        <f>SUM(IFERROR(VLOOKUP($C:$C,Structure!$A:$AJ,I$1,0)*$D28,0),IFERROR(VLOOKUP($E:$E,Structure!$A:$AJ,I$1,0)*$F28,0),IFERROR(VLOOKUP($G:$G,Structure!$A:$AJ,I$1,0)*$H28,0))</f>
        <v>0</v>
      </c>
      <c r="J28" s="9">
        <f>SUM(IFERROR(VLOOKUP($C:$C,Structure!$A:$AJ,J$1,0)*$D28,0),IFERROR(VLOOKUP($E:$E,Structure!$A:$AJ,J$1,0)*$F28,0),IFERROR(VLOOKUP($G:$G,Structure!$A:$AJ,J$1,0)*$H28,0))</f>
        <v>0</v>
      </c>
      <c r="K28" s="9">
        <f>SUM(IFERROR(VLOOKUP($C:$C,Structure!$A:$AJ,K$1,0)*$D28,0),IFERROR(VLOOKUP($E:$E,Structure!$A:$AJ,K$1,0)*$F28,0),IFERROR(VLOOKUP($G:$G,Structure!$A:$AJ,K$1,0)*$H28,0))</f>
        <v>0</v>
      </c>
      <c r="L28" s="9">
        <f>SUM(IFERROR(VLOOKUP($C:$C,Structure!$A:$AJ,L$1,0)*$D28,0),IFERROR(VLOOKUP($E:$E,Structure!$A:$AJ,L$1,0)*$F28,0),IFERROR(VLOOKUP($G:$G,Structure!$A:$AJ,L$1,0)*$H28,0))</f>
        <v>0</v>
      </c>
      <c r="M28" s="9">
        <f>SUM(IFERROR(VLOOKUP($C:$C,Structure!$A:$AJ,M$1,0)*$D28,0),IFERROR(VLOOKUP($E:$E,Structure!$A:$AJ,M$1,0)*$F28,0),IFERROR(VLOOKUP($G:$G,Structure!$A:$AJ,M$1,0)*$H28,0))</f>
        <v>0</v>
      </c>
      <c r="N28" s="9">
        <f>SUM(IFERROR(VLOOKUP($C:$C,Structure!$A:$AJ,N$1,0)*$D28,0),IFERROR(VLOOKUP($E:$E,Structure!$A:$AJ,N$1,0)*$F28,0),IFERROR(VLOOKUP($G:$G,Structure!$A:$AJ,N$1,0)*$H28,0))</f>
        <v>0</v>
      </c>
      <c r="O28" s="9">
        <f>SUM(IFERROR(VLOOKUP($C:$C,Structure!$A:$AJ,O$1,0)*$D28,0),IFERROR(VLOOKUP($E:$E,Structure!$A:$AJ,O$1,0)*$F28,0),IFERROR(VLOOKUP($G:$G,Structure!$A:$AJ,O$1,0)*$H28,0))</f>
        <v>8</v>
      </c>
      <c r="P28" s="9">
        <f>SUM(IFERROR(VLOOKUP($C:$C,Structure!$A:$AJ,P$1,0)*$D28,0),IFERROR(VLOOKUP($E:$E,Structure!$A:$AJ,P$1,0)*$F28,0),IFERROR(VLOOKUP($G:$G,Structure!$A:$AJ,P$1,0)*$H28,0))</f>
        <v>0</v>
      </c>
      <c r="Q28" s="9">
        <f>SUM(IFERROR(VLOOKUP($C:$C,Structure!$A:$AJ,Q$1,0)*$D28,0),IFERROR(VLOOKUP($E:$E,Structure!$A:$AJ,Q$1,0)*$F28,0),IFERROR(VLOOKUP($G:$G,Structure!$A:$AJ,Q$1,0)*$H28,0))</f>
        <v>0</v>
      </c>
      <c r="R28" s="9">
        <f>SUM(IFERROR(VLOOKUP($C:$C,Structure!$A:$AJ,R$1,0)*$D28,0),IFERROR(VLOOKUP($E:$E,Structure!$A:$AJ,R$1,0)*$F28,0),IFERROR(VLOOKUP($G:$G,Structure!$A:$AJ,R$1,0)*$H28,0))</f>
        <v>0</v>
      </c>
      <c r="S28" s="9">
        <f>SUM(IFERROR(VLOOKUP($C:$C,Structure!$A:$AJ,S$1,0)*$D28,0),IFERROR(VLOOKUP($E:$E,Structure!$A:$AJ,S$1,0)*$F28,0),IFERROR(VLOOKUP($G:$G,Structure!$A:$AJ,S$1,0)*$H28,0))</f>
        <v>8</v>
      </c>
      <c r="T28" s="9">
        <f>SUM(IFERROR(VLOOKUP($C:$C,Structure!$A:$AJ,T$1,0)*$D28,0),IFERROR(VLOOKUP($E:$E,Structure!$A:$AJ,T$1,0)*$F28,0),IFERROR(VLOOKUP($G:$G,Structure!$A:$AJ,T$1,0)*$H28,0))</f>
        <v>0</v>
      </c>
      <c r="U28" s="9">
        <f>SUM(IFERROR(VLOOKUP($C:$C,Structure!$A:$AJ,U$1,0)*$D28,0),IFERROR(VLOOKUP($E:$E,Structure!$A:$AJ,U$1,0)*$F28,0),IFERROR(VLOOKUP($G:$G,Structure!$A:$AJ,U$1,0)*$H28,0))</f>
        <v>0</v>
      </c>
      <c r="V28" s="9">
        <f>SUM(IFERROR(VLOOKUP($C:$C,Structure!$A:$AJ,V$1,0)*$D28,0),IFERROR(VLOOKUP($E:$E,Structure!$A:$AJ,V$1,0)*$F28,0),IFERROR(VLOOKUP($G:$G,Structure!$A:$AJ,V$1,0)*$H28,0))</f>
        <v>0</v>
      </c>
      <c r="W28" s="9">
        <f>SUM(IFERROR(VLOOKUP($C:$C,Structure!$A:$AJ,W$1,0)*$D28,0),IFERROR(VLOOKUP($E:$E,Structure!$A:$AJ,W$1,0)*$F28,0),IFERROR(VLOOKUP($G:$G,Structure!$A:$AJ,W$1,0)*$H28,0))</f>
        <v>0</v>
      </c>
      <c r="X28" s="9">
        <f>SUM(IFERROR(VLOOKUP($C:$C,Structure!$A:$AJ,X$1,0)*$D28,0),IFERROR(VLOOKUP($E:$E,Structure!$A:$AJ,X$1,0)*$F28,0),IFERROR(VLOOKUP($G:$G,Structure!$A:$AJ,X$1,0)*$H28,0))</f>
        <v>0</v>
      </c>
      <c r="Y28" s="9">
        <f>SUM(IFERROR(VLOOKUP($C:$C,Structure!$A:$AJ,Y$1,0)*$D28,0),IFERROR(VLOOKUP($E:$E,Structure!$A:$AJ,Y$1,0)*$F28,0),IFERROR(VLOOKUP($G:$G,Structure!$A:$AJ,Y$1,0)*$H28,0))</f>
        <v>0</v>
      </c>
      <c r="Z28" s="9">
        <f>SUM(IFERROR(VLOOKUP($C:$C,Structure!$A:$AJ,Z$1,0)*$D28,0),IFERROR(VLOOKUP($E:$E,Structure!$A:$AJ,Z$1,0)*$F28,0),IFERROR(VLOOKUP($G:$G,Structure!$A:$AJ,Z$1,0)*$H28,0))</f>
        <v>0</v>
      </c>
      <c r="AA28" s="9">
        <f>SUM(IFERROR(VLOOKUP($C:$C,Structure!$A:$AJ,AA$1,0)*$D28,0),IFERROR(VLOOKUP($E:$E,Structure!$A:$AJ,AA$1,0)*$F28,0),IFERROR(VLOOKUP($G:$G,Structure!$A:$AJ,AA$1,0)*$H28,0))</f>
        <v>0</v>
      </c>
      <c r="AB28" s="9">
        <f>SUM(IFERROR(VLOOKUP($C:$C,Structure!$A:$AJ,AB$1,0)*$D28,0),IFERROR(VLOOKUP($E:$E,Structure!$A:$AJ,AB$1,0)*$F28,0),IFERROR(VLOOKUP($G:$G,Structure!$A:$AJ,AB$1,0)*$H28,0))</f>
        <v>0</v>
      </c>
      <c r="AC28" s="9">
        <f>SUM(IFERROR(VLOOKUP($C:$C,Structure!$A:$AJ,AC$1,0)*$D28,0),IFERROR(VLOOKUP($E:$E,Structure!$A:$AJ,AC$1,0)*$F28,0),IFERROR(VLOOKUP($G:$G,Structure!$A:$AJ,AC$1,0)*$H28,0))</f>
        <v>0</v>
      </c>
      <c r="AD28" s="9">
        <f>SUM(IFERROR(VLOOKUP($C:$C,Structure!$A:$AJ,AD$1,0)*$D28,0),IFERROR(VLOOKUP($E:$E,Structure!$A:$AJ,AD$1,0)*$F28,0),IFERROR(VLOOKUP($G:$G,Structure!$A:$AJ,AD$1,0)*$H28,0))</f>
        <v>0</v>
      </c>
      <c r="AE28" s="9">
        <f>SUM(IFERROR(VLOOKUP($C:$C,Structure!$A:$AJ,AE$1,0)*$D28,0),IFERROR(VLOOKUP($E:$E,Structure!$A:$AJ,AE$1,0)*$F28,0),IFERROR(VLOOKUP($G:$G,Structure!$A:$AJ,AE$1,0)*$H28,0))</f>
        <v>0</v>
      </c>
      <c r="AF28" s="9">
        <f>SUM(IFERROR(VLOOKUP($C:$C,Structure!$A:$AJ,AF$1,0)*$D28,0),IFERROR(VLOOKUP($E:$E,Structure!$A:$AJ,AF$1,0)*$F28,0),IFERROR(VLOOKUP($G:$G,Structure!$A:$AJ,AF$1,0)*$H28,0))</f>
        <v>0</v>
      </c>
      <c r="AG28" s="9">
        <f>SUM(IFERROR(VLOOKUP($C:$C,Structure!$A:$AJ,AG$1,0)*$D28,0),IFERROR(VLOOKUP($E:$E,Structure!$A:$AJ,AG$1,0)*$F28,0),IFERROR(VLOOKUP($G:$G,Structure!$A:$AJ,AG$1,0)*$H28,0))</f>
        <v>0</v>
      </c>
      <c r="AH28" s="9">
        <f>SUM(IFERROR(VLOOKUP($C:$C,Structure!$A:$AJ,AH$1,0)*$D28,0),IFERROR(VLOOKUP($E:$E,Structure!$A:$AJ,AH$1,0)*$F28,0),IFERROR(VLOOKUP($G:$G,Structure!$A:$AJ,AH$1,0)*$H28,0))</f>
        <v>0</v>
      </c>
      <c r="AI28" s="9">
        <f>SUM(IFERROR(VLOOKUP($C:$C,Structure!$A:$AJ,AI$1,0)*$D28,0),IFERROR(VLOOKUP($E:$E,Structure!$A:$AJ,AI$1,0)*$F28,0),IFERROR(VLOOKUP($G:$G,Structure!$A:$AJ,AI$1,0)*$H28,0))</f>
        <v>0</v>
      </c>
      <c r="AJ28" s="9">
        <f>SUM(IFERROR(VLOOKUP($C:$C,Structure!$A:$AJ,AJ$1,0)*$D28,0),IFERROR(VLOOKUP($E:$E,Structure!$A:$AJ,AJ$1,0)*$F28,0),IFERROR(VLOOKUP($G:$G,Structure!$A:$AJ,AJ$1,0)*$H28,0))</f>
        <v>0</v>
      </c>
      <c r="AK28" s="9">
        <f>SUM(IFERROR(VLOOKUP($C:$C,Structure!$A:$AJ,AK$1,0)*$D28,0),IFERROR(VLOOKUP($E:$E,Structure!$A:$AJ,AK$1,0)*$F28,0),IFERROR(VLOOKUP($G:$G,Structure!$A:$AJ,AK$1,0)*$H28,0))</f>
        <v>0</v>
      </c>
      <c r="AL28" s="9">
        <f>SUM(IFERROR(VLOOKUP($C:$C,Structure!$A:$AJ,AL$1,0)*$D28,0),IFERROR(VLOOKUP($E:$E,Structure!$A:$AJ,AL$1,0)*$F28,0),IFERROR(VLOOKUP($G:$G,Structure!$A:$AJ,AL$1,0)*$H28,0))</f>
        <v>0</v>
      </c>
      <c r="AM28" s="9">
        <f>SUM(IFERROR(VLOOKUP($C:$C,Structure!$A:$AJ,AM$1,0)*$D28,0),IFERROR(VLOOKUP($E:$E,Structure!$A:$AJ,AM$1,0)*$F28,0),IFERROR(VLOOKUP($G:$G,Structure!$A:$AJ,AM$1,0)*$H28,0))</f>
        <v>0</v>
      </c>
      <c r="AN28" s="9">
        <f>SUM(IFERROR(VLOOKUP($C:$C,Structure!$A:$AJ,AN$1,0)*$D28,0),IFERROR(VLOOKUP($E:$E,Structure!$A:$AJ,AN$1,0)*$F28,0),IFERROR(VLOOKUP($G:$G,Structure!$A:$AJ,AN$1,0)*$H28,0))</f>
        <v>0</v>
      </c>
      <c r="AO28" s="9">
        <f>SUM(IFERROR(VLOOKUP($C:$C,Structure!$A:$AJ,AO$1,0)*$D28,0),IFERROR(VLOOKUP($E:$E,Structure!$A:$AJ,AO$1,0)*$F28,0),IFERROR(VLOOKUP($G:$G,Structure!$A:$AJ,AO$1,0)*$H28,0))</f>
        <v>0</v>
      </c>
      <c r="AP28" s="9">
        <f>SUM(IFERROR(VLOOKUP($C:$C,Structure!$A:$AJ,AP$1,0)*$D28,0),IFERROR(VLOOKUP($E:$E,Structure!$A:$AJ,AP$1,0)*$F28,0),IFERROR(VLOOKUP($G:$G,Structure!$A:$AJ,AP$1,0)*$H28,0))</f>
        <v>0</v>
      </c>
      <c r="AQ28" s="9">
        <f>SUM(IFERROR(VLOOKUP($C:$C,Structure!$A:$AJ,AQ$1,0)*$D28,0),IFERROR(VLOOKUP($E:$E,Structure!$A:$AJ,AQ$1,0)*$F28,0),IFERROR(VLOOKUP($G:$G,Structure!$A:$AJ,AQ$1,0)*$H28,0))</f>
        <v>0</v>
      </c>
      <c r="AR28" s="21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4">
        <f t="shared" si="22"/>
        <v>0</v>
      </c>
      <c r="CE28" s="4">
        <f t="shared" si="23"/>
        <v>5</v>
      </c>
      <c r="CF28" s="4">
        <f t="shared" si="24"/>
        <v>4</v>
      </c>
      <c r="CG28" s="4">
        <f t="shared" si="25"/>
        <v>23</v>
      </c>
      <c r="CH28" s="4">
        <f t="shared" si="26"/>
        <v>1</v>
      </c>
      <c r="CI28" s="4">
        <f t="shared" si="27"/>
        <v>1</v>
      </c>
      <c r="CJ28" s="4">
        <f t="shared" si="28"/>
        <v>29</v>
      </c>
      <c r="CK28" s="4">
        <f t="shared" si="29"/>
        <v>184</v>
      </c>
      <c r="CL28" s="4">
        <f t="shared" si="30"/>
        <v>0</v>
      </c>
      <c r="CM28" s="4">
        <f t="shared" si="31"/>
        <v>4</v>
      </c>
      <c r="CN28" s="4">
        <f t="shared" si="32"/>
        <v>67</v>
      </c>
      <c r="CO28" s="4">
        <f t="shared" si="33"/>
        <v>0</v>
      </c>
      <c r="CP28" s="4">
        <f t="shared" si="34"/>
        <v>5</v>
      </c>
      <c r="CQ28" s="4">
        <f t="shared" si="35"/>
        <v>-17</v>
      </c>
      <c r="CR28" s="4">
        <f t="shared" si="36"/>
        <v>34</v>
      </c>
      <c r="CS28" s="4">
        <f t="shared" si="37"/>
        <v>0</v>
      </c>
      <c r="CT28" s="4">
        <f t="shared" si="38"/>
        <v>0</v>
      </c>
      <c r="CU28" s="4">
        <f t="shared" si="39"/>
        <v>0</v>
      </c>
      <c r="CV28" s="4">
        <f t="shared" si="40"/>
        <v>0</v>
      </c>
      <c r="CW28" s="4">
        <f t="shared" si="41"/>
        <v>0</v>
      </c>
      <c r="CX28" s="4">
        <f t="shared" si="42"/>
        <v>3</v>
      </c>
      <c r="CY28" s="4">
        <f t="shared" si="43"/>
        <v>0</v>
      </c>
      <c r="CZ28" s="4">
        <f t="shared" si="44"/>
        <v>0</v>
      </c>
      <c r="DA28" s="4">
        <f t="shared" si="45"/>
        <v>0</v>
      </c>
      <c r="DB28" s="4">
        <f t="shared" si="46"/>
        <v>0</v>
      </c>
      <c r="DC28" s="4">
        <f t="shared" si="47"/>
        <v>0</v>
      </c>
      <c r="DD28" s="4">
        <f t="shared" si="48"/>
        <v>0</v>
      </c>
      <c r="DE28" s="4">
        <f t="shared" si="49"/>
        <v>0</v>
      </c>
      <c r="DF28" s="4">
        <f t="shared" si="50"/>
        <v>0</v>
      </c>
      <c r="DG28" s="4">
        <f t="shared" si="51"/>
        <v>0</v>
      </c>
      <c r="DH28" s="4">
        <f t="shared" si="52"/>
        <v>0</v>
      </c>
      <c r="DI28" s="4">
        <f t="shared" si="53"/>
        <v>0</v>
      </c>
      <c r="DJ28" s="4">
        <f t="shared" si="54"/>
        <v>0</v>
      </c>
      <c r="DK28" s="4">
        <f t="shared" si="55"/>
        <v>0</v>
      </c>
      <c r="DL28" s="4">
        <f t="shared" si="56"/>
        <v>0</v>
      </c>
    </row>
    <row r="29" spans="1:116" x14ac:dyDescent="0.25">
      <c r="A29" s="5">
        <v>46183</v>
      </c>
      <c r="B29" s="6">
        <v>0.85416666672972497</v>
      </c>
      <c r="C29" s="3"/>
      <c r="D29" s="3"/>
      <c r="E29" s="3" t="s">
        <v>57</v>
      </c>
      <c r="F29" s="3">
        <v>8</v>
      </c>
      <c r="G29" s="3"/>
      <c r="H29" s="9"/>
      <c r="I29" s="9">
        <f>SUM(IFERROR(VLOOKUP($C:$C,Structure!$A:$AJ,I$1,0)*$D29,0),IFERROR(VLOOKUP($E:$E,Structure!$A:$AJ,I$1,0)*$F29,0),IFERROR(VLOOKUP($G:$G,Structure!$A:$AJ,I$1,0)*$H29,0))</f>
        <v>0</v>
      </c>
      <c r="J29" s="9">
        <f>SUM(IFERROR(VLOOKUP($C:$C,Structure!$A:$AJ,J$1,0)*$D29,0),IFERROR(VLOOKUP($E:$E,Structure!$A:$AJ,J$1,0)*$F29,0),IFERROR(VLOOKUP($G:$G,Structure!$A:$AJ,J$1,0)*$H29,0))</f>
        <v>0</v>
      </c>
      <c r="K29" s="9">
        <f>SUM(IFERROR(VLOOKUP($C:$C,Structure!$A:$AJ,K$1,0)*$D29,0),IFERROR(VLOOKUP($E:$E,Structure!$A:$AJ,K$1,0)*$F29,0),IFERROR(VLOOKUP($G:$G,Structure!$A:$AJ,K$1,0)*$H29,0))</f>
        <v>0</v>
      </c>
      <c r="L29" s="9">
        <f>SUM(IFERROR(VLOOKUP($C:$C,Structure!$A:$AJ,L$1,0)*$D29,0),IFERROR(VLOOKUP($E:$E,Structure!$A:$AJ,L$1,0)*$F29,0),IFERROR(VLOOKUP($G:$G,Structure!$A:$AJ,L$1,0)*$H29,0))</f>
        <v>0</v>
      </c>
      <c r="M29" s="9">
        <f>SUM(IFERROR(VLOOKUP($C:$C,Structure!$A:$AJ,M$1,0)*$D29,0),IFERROR(VLOOKUP($E:$E,Structure!$A:$AJ,M$1,0)*$F29,0),IFERROR(VLOOKUP($G:$G,Structure!$A:$AJ,M$1,0)*$H29,0))</f>
        <v>0</v>
      </c>
      <c r="N29" s="9">
        <f>SUM(IFERROR(VLOOKUP($C:$C,Structure!$A:$AJ,N$1,0)*$D29,0),IFERROR(VLOOKUP($E:$E,Structure!$A:$AJ,N$1,0)*$F29,0),IFERROR(VLOOKUP($G:$G,Structure!$A:$AJ,N$1,0)*$H29,0))</f>
        <v>0</v>
      </c>
      <c r="O29" s="9">
        <f>SUM(IFERROR(VLOOKUP($C:$C,Structure!$A:$AJ,O$1,0)*$D29,0),IFERROR(VLOOKUP($E:$E,Structure!$A:$AJ,O$1,0)*$F29,0),IFERROR(VLOOKUP($G:$G,Structure!$A:$AJ,O$1,0)*$H29,0))</f>
        <v>8</v>
      </c>
      <c r="P29" s="9">
        <f>SUM(IFERROR(VLOOKUP($C:$C,Structure!$A:$AJ,P$1,0)*$D29,0),IFERROR(VLOOKUP($E:$E,Structure!$A:$AJ,P$1,0)*$F29,0),IFERROR(VLOOKUP($G:$G,Structure!$A:$AJ,P$1,0)*$H29,0))</f>
        <v>0</v>
      </c>
      <c r="Q29" s="9">
        <f>SUM(IFERROR(VLOOKUP($C:$C,Structure!$A:$AJ,Q$1,0)*$D29,0),IFERROR(VLOOKUP($E:$E,Structure!$A:$AJ,Q$1,0)*$F29,0),IFERROR(VLOOKUP($G:$G,Structure!$A:$AJ,Q$1,0)*$H29,0))</f>
        <v>0</v>
      </c>
      <c r="R29" s="9">
        <f>SUM(IFERROR(VLOOKUP($C:$C,Structure!$A:$AJ,R$1,0)*$D29,0),IFERROR(VLOOKUP($E:$E,Structure!$A:$AJ,R$1,0)*$F29,0),IFERROR(VLOOKUP($G:$G,Structure!$A:$AJ,R$1,0)*$H29,0))</f>
        <v>0</v>
      </c>
      <c r="S29" s="9">
        <f>SUM(IFERROR(VLOOKUP($C:$C,Structure!$A:$AJ,S$1,0)*$D29,0),IFERROR(VLOOKUP($E:$E,Structure!$A:$AJ,S$1,0)*$F29,0),IFERROR(VLOOKUP($G:$G,Structure!$A:$AJ,S$1,0)*$H29,0))</f>
        <v>8</v>
      </c>
      <c r="T29" s="9">
        <f>SUM(IFERROR(VLOOKUP($C:$C,Structure!$A:$AJ,T$1,0)*$D29,0),IFERROR(VLOOKUP($E:$E,Structure!$A:$AJ,T$1,0)*$F29,0),IFERROR(VLOOKUP($G:$G,Structure!$A:$AJ,T$1,0)*$H29,0))</f>
        <v>0</v>
      </c>
      <c r="U29" s="9">
        <f>SUM(IFERROR(VLOOKUP($C:$C,Structure!$A:$AJ,U$1,0)*$D29,0),IFERROR(VLOOKUP($E:$E,Structure!$A:$AJ,U$1,0)*$F29,0),IFERROR(VLOOKUP($G:$G,Structure!$A:$AJ,U$1,0)*$H29,0))</f>
        <v>0</v>
      </c>
      <c r="V29" s="9">
        <f>SUM(IFERROR(VLOOKUP($C:$C,Structure!$A:$AJ,V$1,0)*$D29,0),IFERROR(VLOOKUP($E:$E,Structure!$A:$AJ,V$1,0)*$F29,0),IFERROR(VLOOKUP($G:$G,Structure!$A:$AJ,V$1,0)*$H29,0))</f>
        <v>0</v>
      </c>
      <c r="W29" s="9">
        <f>SUM(IFERROR(VLOOKUP($C:$C,Structure!$A:$AJ,W$1,0)*$D29,0),IFERROR(VLOOKUP($E:$E,Structure!$A:$AJ,W$1,0)*$F29,0),IFERROR(VLOOKUP($G:$G,Structure!$A:$AJ,W$1,0)*$H29,0))</f>
        <v>0</v>
      </c>
      <c r="X29" s="9">
        <f>SUM(IFERROR(VLOOKUP($C:$C,Structure!$A:$AJ,X$1,0)*$D29,0),IFERROR(VLOOKUP($E:$E,Structure!$A:$AJ,X$1,0)*$F29,0),IFERROR(VLOOKUP($G:$G,Structure!$A:$AJ,X$1,0)*$H29,0))</f>
        <v>0</v>
      </c>
      <c r="Y29" s="9">
        <f>SUM(IFERROR(VLOOKUP($C:$C,Structure!$A:$AJ,Y$1,0)*$D29,0),IFERROR(VLOOKUP($E:$E,Structure!$A:$AJ,Y$1,0)*$F29,0),IFERROR(VLOOKUP($G:$G,Structure!$A:$AJ,Y$1,0)*$H29,0))</f>
        <v>0</v>
      </c>
      <c r="Z29" s="9">
        <f>SUM(IFERROR(VLOOKUP($C:$C,Structure!$A:$AJ,Z$1,0)*$D29,0),IFERROR(VLOOKUP($E:$E,Structure!$A:$AJ,Z$1,0)*$F29,0),IFERROR(VLOOKUP($G:$G,Structure!$A:$AJ,Z$1,0)*$H29,0))</f>
        <v>0</v>
      </c>
      <c r="AA29" s="9">
        <f>SUM(IFERROR(VLOOKUP($C:$C,Structure!$A:$AJ,AA$1,0)*$D29,0),IFERROR(VLOOKUP($E:$E,Structure!$A:$AJ,AA$1,0)*$F29,0),IFERROR(VLOOKUP($G:$G,Structure!$A:$AJ,AA$1,0)*$H29,0))</f>
        <v>0</v>
      </c>
      <c r="AB29" s="9">
        <f>SUM(IFERROR(VLOOKUP($C:$C,Structure!$A:$AJ,AB$1,0)*$D29,0),IFERROR(VLOOKUP($E:$E,Structure!$A:$AJ,AB$1,0)*$F29,0),IFERROR(VLOOKUP($G:$G,Structure!$A:$AJ,AB$1,0)*$H29,0))</f>
        <v>0</v>
      </c>
      <c r="AC29" s="9">
        <f>SUM(IFERROR(VLOOKUP($C:$C,Structure!$A:$AJ,AC$1,0)*$D29,0),IFERROR(VLOOKUP($E:$E,Structure!$A:$AJ,AC$1,0)*$F29,0),IFERROR(VLOOKUP($G:$G,Structure!$A:$AJ,AC$1,0)*$H29,0))</f>
        <v>0</v>
      </c>
      <c r="AD29" s="9">
        <f>SUM(IFERROR(VLOOKUP($C:$C,Structure!$A:$AJ,AD$1,0)*$D29,0),IFERROR(VLOOKUP($E:$E,Structure!$A:$AJ,AD$1,0)*$F29,0),IFERROR(VLOOKUP($G:$G,Structure!$A:$AJ,AD$1,0)*$H29,0))</f>
        <v>0</v>
      </c>
      <c r="AE29" s="9">
        <f>SUM(IFERROR(VLOOKUP($C:$C,Structure!$A:$AJ,AE$1,0)*$D29,0),IFERROR(VLOOKUP($E:$E,Structure!$A:$AJ,AE$1,0)*$F29,0),IFERROR(VLOOKUP($G:$G,Structure!$A:$AJ,AE$1,0)*$H29,0))</f>
        <v>0</v>
      </c>
      <c r="AF29" s="9">
        <f>SUM(IFERROR(VLOOKUP($C:$C,Structure!$A:$AJ,AF$1,0)*$D29,0),IFERROR(VLOOKUP($E:$E,Structure!$A:$AJ,AF$1,0)*$F29,0),IFERROR(VLOOKUP($G:$G,Structure!$A:$AJ,AF$1,0)*$H29,0))</f>
        <v>0</v>
      </c>
      <c r="AG29" s="9">
        <f>SUM(IFERROR(VLOOKUP($C:$C,Structure!$A:$AJ,AG$1,0)*$D29,0),IFERROR(VLOOKUP($E:$E,Structure!$A:$AJ,AG$1,0)*$F29,0),IFERROR(VLOOKUP($G:$G,Structure!$A:$AJ,AG$1,0)*$H29,0))</f>
        <v>0</v>
      </c>
      <c r="AH29" s="9">
        <f>SUM(IFERROR(VLOOKUP($C:$C,Structure!$A:$AJ,AH$1,0)*$D29,0),IFERROR(VLOOKUP($E:$E,Structure!$A:$AJ,AH$1,0)*$F29,0),IFERROR(VLOOKUP($G:$G,Structure!$A:$AJ,AH$1,0)*$H29,0))</f>
        <v>0</v>
      </c>
      <c r="AI29" s="9">
        <f>SUM(IFERROR(VLOOKUP($C:$C,Structure!$A:$AJ,AI$1,0)*$D29,0),IFERROR(VLOOKUP($E:$E,Structure!$A:$AJ,AI$1,0)*$F29,0),IFERROR(VLOOKUP($G:$G,Structure!$A:$AJ,AI$1,0)*$H29,0))</f>
        <v>0</v>
      </c>
      <c r="AJ29" s="9">
        <f>SUM(IFERROR(VLOOKUP($C:$C,Structure!$A:$AJ,AJ$1,0)*$D29,0),IFERROR(VLOOKUP($E:$E,Structure!$A:$AJ,AJ$1,0)*$F29,0),IFERROR(VLOOKUP($G:$G,Structure!$A:$AJ,AJ$1,0)*$H29,0))</f>
        <v>0</v>
      </c>
      <c r="AK29" s="9">
        <f>SUM(IFERROR(VLOOKUP($C:$C,Structure!$A:$AJ,AK$1,0)*$D29,0),IFERROR(VLOOKUP($E:$E,Structure!$A:$AJ,AK$1,0)*$F29,0),IFERROR(VLOOKUP($G:$G,Structure!$A:$AJ,AK$1,0)*$H29,0))</f>
        <v>0</v>
      </c>
      <c r="AL29" s="9">
        <f>SUM(IFERROR(VLOOKUP($C:$C,Structure!$A:$AJ,AL$1,0)*$D29,0),IFERROR(VLOOKUP($E:$E,Structure!$A:$AJ,AL$1,0)*$F29,0),IFERROR(VLOOKUP($G:$G,Structure!$A:$AJ,AL$1,0)*$H29,0))</f>
        <v>0</v>
      </c>
      <c r="AM29" s="9">
        <f>SUM(IFERROR(VLOOKUP($C:$C,Structure!$A:$AJ,AM$1,0)*$D29,0),IFERROR(VLOOKUP($E:$E,Structure!$A:$AJ,AM$1,0)*$F29,0),IFERROR(VLOOKUP($G:$G,Structure!$A:$AJ,AM$1,0)*$H29,0))</f>
        <v>0</v>
      </c>
      <c r="AN29" s="9">
        <f>SUM(IFERROR(VLOOKUP($C:$C,Structure!$A:$AJ,AN$1,0)*$D29,0),IFERROR(VLOOKUP($E:$E,Structure!$A:$AJ,AN$1,0)*$F29,0),IFERROR(VLOOKUP($G:$G,Structure!$A:$AJ,AN$1,0)*$H29,0))</f>
        <v>0</v>
      </c>
      <c r="AO29" s="9">
        <f>SUM(IFERROR(VLOOKUP($C:$C,Structure!$A:$AJ,AO$1,0)*$D29,0),IFERROR(VLOOKUP($E:$E,Structure!$A:$AJ,AO$1,0)*$F29,0),IFERROR(VLOOKUP($G:$G,Structure!$A:$AJ,AO$1,0)*$H29,0))</f>
        <v>0</v>
      </c>
      <c r="AP29" s="9">
        <f>SUM(IFERROR(VLOOKUP($C:$C,Structure!$A:$AJ,AP$1,0)*$D29,0),IFERROR(VLOOKUP($E:$E,Structure!$A:$AJ,AP$1,0)*$F29,0),IFERROR(VLOOKUP($G:$G,Structure!$A:$AJ,AP$1,0)*$H29,0))</f>
        <v>0</v>
      </c>
      <c r="AQ29" s="9">
        <f>SUM(IFERROR(VLOOKUP($C:$C,Structure!$A:$AJ,AQ$1,0)*$D29,0),IFERROR(VLOOKUP($E:$E,Structure!$A:$AJ,AQ$1,0)*$F29,0),IFERROR(VLOOKUP($G:$G,Structure!$A:$AJ,AQ$1,0)*$H29,0))</f>
        <v>0</v>
      </c>
      <c r="AR29" s="21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4">
        <f t="shared" si="22"/>
        <v>0</v>
      </c>
      <c r="CE29" s="4">
        <f t="shared" si="23"/>
        <v>5</v>
      </c>
      <c r="CF29" s="4">
        <f t="shared" si="24"/>
        <v>4</v>
      </c>
      <c r="CG29" s="4">
        <f t="shared" si="25"/>
        <v>23</v>
      </c>
      <c r="CH29" s="4">
        <f t="shared" si="26"/>
        <v>1</v>
      </c>
      <c r="CI29" s="4">
        <f t="shared" si="27"/>
        <v>1</v>
      </c>
      <c r="CJ29" s="4">
        <f t="shared" si="28"/>
        <v>21</v>
      </c>
      <c r="CK29" s="4">
        <f t="shared" si="29"/>
        <v>184</v>
      </c>
      <c r="CL29" s="4">
        <f t="shared" si="30"/>
        <v>0</v>
      </c>
      <c r="CM29" s="4">
        <f t="shared" si="31"/>
        <v>4</v>
      </c>
      <c r="CN29" s="4">
        <f t="shared" si="32"/>
        <v>59</v>
      </c>
      <c r="CO29" s="4">
        <f t="shared" si="33"/>
        <v>0</v>
      </c>
      <c r="CP29" s="4">
        <f t="shared" si="34"/>
        <v>5</v>
      </c>
      <c r="CQ29" s="4">
        <f t="shared" si="35"/>
        <v>-17</v>
      </c>
      <c r="CR29" s="4">
        <f t="shared" si="36"/>
        <v>34</v>
      </c>
      <c r="CS29" s="4">
        <f t="shared" si="37"/>
        <v>0</v>
      </c>
      <c r="CT29" s="4">
        <f t="shared" si="38"/>
        <v>0</v>
      </c>
      <c r="CU29" s="4">
        <f t="shared" si="39"/>
        <v>0</v>
      </c>
      <c r="CV29" s="4">
        <f t="shared" si="40"/>
        <v>0</v>
      </c>
      <c r="CW29" s="4">
        <f t="shared" si="41"/>
        <v>0</v>
      </c>
      <c r="CX29" s="4">
        <f t="shared" si="42"/>
        <v>3</v>
      </c>
      <c r="CY29" s="4">
        <f t="shared" si="43"/>
        <v>0</v>
      </c>
      <c r="CZ29" s="4">
        <f t="shared" si="44"/>
        <v>0</v>
      </c>
      <c r="DA29" s="4">
        <f t="shared" si="45"/>
        <v>0</v>
      </c>
      <c r="DB29" s="4">
        <f t="shared" si="46"/>
        <v>0</v>
      </c>
      <c r="DC29" s="4">
        <f t="shared" si="47"/>
        <v>0</v>
      </c>
      <c r="DD29" s="4">
        <f t="shared" si="48"/>
        <v>0</v>
      </c>
      <c r="DE29" s="4">
        <f t="shared" si="49"/>
        <v>0</v>
      </c>
      <c r="DF29" s="4">
        <f t="shared" si="50"/>
        <v>0</v>
      </c>
      <c r="DG29" s="4">
        <f t="shared" si="51"/>
        <v>0</v>
      </c>
      <c r="DH29" s="4">
        <f t="shared" si="52"/>
        <v>0</v>
      </c>
      <c r="DI29" s="4">
        <f t="shared" si="53"/>
        <v>0</v>
      </c>
      <c r="DJ29" s="4">
        <f t="shared" si="54"/>
        <v>0</v>
      </c>
      <c r="DK29" s="4">
        <f t="shared" si="55"/>
        <v>0</v>
      </c>
      <c r="DL29" s="4">
        <f t="shared" si="56"/>
        <v>0</v>
      </c>
    </row>
    <row r="30" spans="1:116" x14ac:dyDescent="0.25">
      <c r="A30" s="5">
        <v>46183</v>
      </c>
      <c r="B30" s="6">
        <v>0.87500000006548362</v>
      </c>
      <c r="C30" s="3"/>
      <c r="D30" s="3"/>
      <c r="E30" s="3" t="s">
        <v>30</v>
      </c>
      <c r="F30" s="3">
        <v>8</v>
      </c>
      <c r="G30" s="3"/>
      <c r="H30" s="9"/>
      <c r="I30" s="9">
        <f>SUM(IFERROR(VLOOKUP($C:$C,Structure!$A:$AJ,I$1,0)*$D30,0),IFERROR(VLOOKUP($E:$E,Structure!$A:$AJ,I$1,0)*$F30,0),IFERROR(VLOOKUP($G:$G,Structure!$A:$AJ,I$1,0)*$H30,0))</f>
        <v>0</v>
      </c>
      <c r="J30" s="9">
        <f>SUM(IFERROR(VLOOKUP($C:$C,Structure!$A:$AJ,J$1,0)*$D30,0),IFERROR(VLOOKUP($E:$E,Structure!$A:$AJ,J$1,0)*$F30,0),IFERROR(VLOOKUP($G:$G,Structure!$A:$AJ,J$1,0)*$H30,0))</f>
        <v>0</v>
      </c>
      <c r="K30" s="9">
        <f>SUM(IFERROR(VLOOKUP($C:$C,Structure!$A:$AJ,K$1,0)*$D30,0),IFERROR(VLOOKUP($E:$E,Structure!$A:$AJ,K$1,0)*$F30,0),IFERROR(VLOOKUP($G:$G,Structure!$A:$AJ,K$1,0)*$H30,0))</f>
        <v>0</v>
      </c>
      <c r="L30" s="9">
        <f>SUM(IFERROR(VLOOKUP($C:$C,Structure!$A:$AJ,L$1,0)*$D30,0),IFERROR(VLOOKUP($E:$E,Structure!$A:$AJ,L$1,0)*$F30,0),IFERROR(VLOOKUP($G:$G,Structure!$A:$AJ,L$1,0)*$H30,0))</f>
        <v>0</v>
      </c>
      <c r="M30" s="9">
        <f>SUM(IFERROR(VLOOKUP($C:$C,Structure!$A:$AJ,M$1,0)*$D30,0),IFERROR(VLOOKUP($E:$E,Structure!$A:$AJ,M$1,0)*$F30,0),IFERROR(VLOOKUP($G:$G,Structure!$A:$AJ,M$1,0)*$H30,0))</f>
        <v>0</v>
      </c>
      <c r="N30" s="9">
        <f>SUM(IFERROR(VLOOKUP($C:$C,Structure!$A:$AJ,N$1,0)*$D30,0),IFERROR(VLOOKUP($E:$E,Structure!$A:$AJ,N$1,0)*$F30,0),IFERROR(VLOOKUP($G:$G,Structure!$A:$AJ,N$1,0)*$H30,0))</f>
        <v>0</v>
      </c>
      <c r="O30" s="9">
        <f>SUM(IFERROR(VLOOKUP($C:$C,Structure!$A:$AJ,O$1,0)*$D30,0),IFERROR(VLOOKUP($E:$E,Structure!$A:$AJ,O$1,0)*$F30,0),IFERROR(VLOOKUP($G:$G,Structure!$A:$AJ,O$1,0)*$H30,0))</f>
        <v>0</v>
      </c>
      <c r="P30" s="9">
        <f>SUM(IFERROR(VLOOKUP($C:$C,Structure!$A:$AJ,P$1,0)*$D30,0),IFERROR(VLOOKUP($E:$E,Structure!$A:$AJ,P$1,0)*$F30,0),IFERROR(VLOOKUP($G:$G,Structure!$A:$AJ,P$1,0)*$H30,0))</f>
        <v>0</v>
      </c>
      <c r="Q30" s="9">
        <f>SUM(IFERROR(VLOOKUP($C:$C,Structure!$A:$AJ,Q$1,0)*$D30,0),IFERROR(VLOOKUP($E:$E,Structure!$A:$AJ,Q$1,0)*$F30,0),IFERROR(VLOOKUP($G:$G,Structure!$A:$AJ,Q$1,0)*$H30,0))</f>
        <v>0</v>
      </c>
      <c r="R30" s="9">
        <f>SUM(IFERROR(VLOOKUP($C:$C,Structure!$A:$AJ,R$1,0)*$D30,0),IFERROR(VLOOKUP($E:$E,Structure!$A:$AJ,R$1,0)*$F30,0),IFERROR(VLOOKUP($G:$G,Structure!$A:$AJ,R$1,0)*$H30,0))</f>
        <v>0</v>
      </c>
      <c r="S30" s="9">
        <f>SUM(IFERROR(VLOOKUP($C:$C,Structure!$A:$AJ,S$1,0)*$D30,0),IFERROR(VLOOKUP($E:$E,Structure!$A:$AJ,S$1,0)*$F30,0),IFERROR(VLOOKUP($G:$G,Structure!$A:$AJ,S$1,0)*$H30,0))</f>
        <v>0</v>
      </c>
      <c r="T30" s="9">
        <f>SUM(IFERROR(VLOOKUP($C:$C,Structure!$A:$AJ,T$1,0)*$D30,0),IFERROR(VLOOKUP($E:$E,Structure!$A:$AJ,T$1,0)*$F30,0),IFERROR(VLOOKUP($G:$G,Structure!$A:$AJ,T$1,0)*$H30,0))</f>
        <v>0</v>
      </c>
      <c r="U30" s="9">
        <f>SUM(IFERROR(VLOOKUP($C:$C,Structure!$A:$AJ,U$1,0)*$D30,0),IFERROR(VLOOKUP($E:$E,Structure!$A:$AJ,U$1,0)*$F30,0),IFERROR(VLOOKUP($G:$G,Structure!$A:$AJ,U$1,0)*$H30,0))</f>
        <v>0</v>
      </c>
      <c r="V30" s="9">
        <f>SUM(IFERROR(VLOOKUP($C:$C,Structure!$A:$AJ,V$1,0)*$D30,0),IFERROR(VLOOKUP($E:$E,Structure!$A:$AJ,V$1,0)*$F30,0),IFERROR(VLOOKUP($G:$G,Structure!$A:$AJ,V$1,0)*$H30,0))</f>
        <v>8</v>
      </c>
      <c r="W30" s="9">
        <f>SUM(IFERROR(VLOOKUP($C:$C,Structure!$A:$AJ,W$1,0)*$D30,0),IFERROR(VLOOKUP($E:$E,Structure!$A:$AJ,W$1,0)*$F30,0),IFERROR(VLOOKUP($G:$G,Structure!$A:$AJ,W$1,0)*$H30,0))</f>
        <v>0</v>
      </c>
      <c r="X30" s="9">
        <f>SUM(IFERROR(VLOOKUP($C:$C,Structure!$A:$AJ,X$1,0)*$D30,0),IFERROR(VLOOKUP($E:$E,Structure!$A:$AJ,X$1,0)*$F30,0),IFERROR(VLOOKUP($G:$G,Structure!$A:$AJ,X$1,0)*$H30,0))</f>
        <v>0</v>
      </c>
      <c r="Y30" s="9">
        <f>SUM(IFERROR(VLOOKUP($C:$C,Structure!$A:$AJ,Y$1,0)*$D30,0),IFERROR(VLOOKUP($E:$E,Structure!$A:$AJ,Y$1,0)*$F30,0),IFERROR(VLOOKUP($G:$G,Structure!$A:$AJ,Y$1,0)*$H30,0))</f>
        <v>0</v>
      </c>
      <c r="Z30" s="9">
        <f>SUM(IFERROR(VLOOKUP($C:$C,Structure!$A:$AJ,Z$1,0)*$D30,0),IFERROR(VLOOKUP($E:$E,Structure!$A:$AJ,Z$1,0)*$F30,0),IFERROR(VLOOKUP($G:$G,Structure!$A:$AJ,Z$1,0)*$H30,0))</f>
        <v>0</v>
      </c>
      <c r="AA30" s="9">
        <f>SUM(IFERROR(VLOOKUP($C:$C,Structure!$A:$AJ,AA$1,0)*$D30,0),IFERROR(VLOOKUP($E:$E,Structure!$A:$AJ,AA$1,0)*$F30,0),IFERROR(VLOOKUP($G:$G,Structure!$A:$AJ,AA$1,0)*$H30,0))</f>
        <v>0</v>
      </c>
      <c r="AB30" s="9">
        <f>SUM(IFERROR(VLOOKUP($C:$C,Structure!$A:$AJ,AB$1,0)*$D30,0),IFERROR(VLOOKUP($E:$E,Structure!$A:$AJ,AB$1,0)*$F30,0),IFERROR(VLOOKUP($G:$G,Structure!$A:$AJ,AB$1,0)*$H30,0))</f>
        <v>0</v>
      </c>
      <c r="AC30" s="9">
        <f>SUM(IFERROR(VLOOKUP($C:$C,Structure!$A:$AJ,AC$1,0)*$D30,0),IFERROR(VLOOKUP($E:$E,Structure!$A:$AJ,AC$1,0)*$F30,0),IFERROR(VLOOKUP($G:$G,Structure!$A:$AJ,AC$1,0)*$H30,0))</f>
        <v>8</v>
      </c>
      <c r="AD30" s="9">
        <f>SUM(IFERROR(VLOOKUP($C:$C,Structure!$A:$AJ,AD$1,0)*$D30,0),IFERROR(VLOOKUP($E:$E,Structure!$A:$AJ,AD$1,0)*$F30,0),IFERROR(VLOOKUP($G:$G,Structure!$A:$AJ,AD$1,0)*$H30,0))</f>
        <v>0</v>
      </c>
      <c r="AE30" s="9">
        <f>SUM(IFERROR(VLOOKUP($C:$C,Structure!$A:$AJ,AE$1,0)*$D30,0),IFERROR(VLOOKUP($E:$E,Structure!$A:$AJ,AE$1,0)*$F30,0),IFERROR(VLOOKUP($G:$G,Structure!$A:$AJ,AE$1,0)*$H30,0))</f>
        <v>0</v>
      </c>
      <c r="AF30" s="9">
        <f>SUM(IFERROR(VLOOKUP($C:$C,Structure!$A:$AJ,AF$1,0)*$D30,0),IFERROR(VLOOKUP($E:$E,Structure!$A:$AJ,AF$1,0)*$F30,0),IFERROR(VLOOKUP($G:$G,Structure!$A:$AJ,AF$1,0)*$H30,0))</f>
        <v>0</v>
      </c>
      <c r="AG30" s="9">
        <f>SUM(IFERROR(VLOOKUP($C:$C,Structure!$A:$AJ,AG$1,0)*$D30,0),IFERROR(VLOOKUP($E:$E,Structure!$A:$AJ,AG$1,0)*$F30,0),IFERROR(VLOOKUP($G:$G,Structure!$A:$AJ,AG$1,0)*$H30,0))</f>
        <v>0</v>
      </c>
      <c r="AH30" s="9">
        <f>SUM(IFERROR(VLOOKUP($C:$C,Structure!$A:$AJ,AH$1,0)*$D30,0),IFERROR(VLOOKUP($E:$E,Structure!$A:$AJ,AH$1,0)*$F30,0),IFERROR(VLOOKUP($G:$G,Structure!$A:$AJ,AH$1,0)*$H30,0))</f>
        <v>0</v>
      </c>
      <c r="AI30" s="9">
        <f>SUM(IFERROR(VLOOKUP($C:$C,Structure!$A:$AJ,AI$1,0)*$D30,0),IFERROR(VLOOKUP($E:$E,Structure!$A:$AJ,AI$1,0)*$F30,0),IFERROR(VLOOKUP($G:$G,Structure!$A:$AJ,AI$1,0)*$H30,0))</f>
        <v>0</v>
      </c>
      <c r="AJ30" s="9">
        <f>SUM(IFERROR(VLOOKUP($C:$C,Structure!$A:$AJ,AJ$1,0)*$D30,0),IFERROR(VLOOKUP($E:$E,Structure!$A:$AJ,AJ$1,0)*$F30,0),IFERROR(VLOOKUP($G:$G,Structure!$A:$AJ,AJ$1,0)*$H30,0))</f>
        <v>0</v>
      </c>
      <c r="AK30" s="9">
        <f>SUM(IFERROR(VLOOKUP($C:$C,Structure!$A:$AJ,AK$1,0)*$D30,0),IFERROR(VLOOKUP($E:$E,Structure!$A:$AJ,AK$1,0)*$F30,0),IFERROR(VLOOKUP($G:$G,Structure!$A:$AJ,AK$1,0)*$H30,0))</f>
        <v>0</v>
      </c>
      <c r="AL30" s="9">
        <f>SUM(IFERROR(VLOOKUP($C:$C,Structure!$A:$AJ,AL$1,0)*$D30,0),IFERROR(VLOOKUP($E:$E,Structure!$A:$AJ,AL$1,0)*$F30,0),IFERROR(VLOOKUP($G:$G,Structure!$A:$AJ,AL$1,0)*$H30,0))</f>
        <v>0</v>
      </c>
      <c r="AM30" s="9">
        <f>SUM(IFERROR(VLOOKUP($C:$C,Structure!$A:$AJ,AM$1,0)*$D30,0),IFERROR(VLOOKUP($E:$E,Structure!$A:$AJ,AM$1,0)*$F30,0),IFERROR(VLOOKUP($G:$G,Structure!$A:$AJ,AM$1,0)*$H30,0))</f>
        <v>0</v>
      </c>
      <c r="AN30" s="9">
        <f>SUM(IFERROR(VLOOKUP($C:$C,Structure!$A:$AJ,AN$1,0)*$D30,0),IFERROR(VLOOKUP($E:$E,Structure!$A:$AJ,AN$1,0)*$F30,0),IFERROR(VLOOKUP($G:$G,Structure!$A:$AJ,AN$1,0)*$H30,0))</f>
        <v>0</v>
      </c>
      <c r="AO30" s="9">
        <f>SUM(IFERROR(VLOOKUP($C:$C,Structure!$A:$AJ,AO$1,0)*$D30,0),IFERROR(VLOOKUP($E:$E,Structure!$A:$AJ,AO$1,0)*$F30,0),IFERROR(VLOOKUP($G:$G,Structure!$A:$AJ,AO$1,0)*$H30,0))</f>
        <v>0</v>
      </c>
      <c r="AP30" s="9">
        <f>SUM(IFERROR(VLOOKUP($C:$C,Structure!$A:$AJ,AP$1,0)*$D30,0),IFERROR(VLOOKUP($E:$E,Structure!$A:$AJ,AP$1,0)*$F30,0),IFERROR(VLOOKUP($G:$G,Structure!$A:$AJ,AP$1,0)*$H30,0))</f>
        <v>0</v>
      </c>
      <c r="AQ30" s="9">
        <f>SUM(IFERROR(VLOOKUP($C:$C,Structure!$A:$AJ,AQ$1,0)*$D30,0),IFERROR(VLOOKUP($E:$E,Structure!$A:$AJ,AQ$1,0)*$F30,0),IFERROR(VLOOKUP($G:$G,Structure!$A:$AJ,AQ$1,0)*$H30,0))</f>
        <v>0</v>
      </c>
      <c r="AR30" s="21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4">
        <f t="shared" si="22"/>
        <v>0</v>
      </c>
      <c r="CE30" s="4">
        <f t="shared" si="23"/>
        <v>5</v>
      </c>
      <c r="CF30" s="4">
        <f t="shared" si="24"/>
        <v>4</v>
      </c>
      <c r="CG30" s="4">
        <f t="shared" si="25"/>
        <v>23</v>
      </c>
      <c r="CH30" s="4">
        <f t="shared" si="26"/>
        <v>1</v>
      </c>
      <c r="CI30" s="4">
        <f t="shared" si="27"/>
        <v>1</v>
      </c>
      <c r="CJ30" s="4">
        <f t="shared" si="28"/>
        <v>21</v>
      </c>
      <c r="CK30" s="4">
        <f t="shared" si="29"/>
        <v>184</v>
      </c>
      <c r="CL30" s="4">
        <f t="shared" si="30"/>
        <v>0</v>
      </c>
      <c r="CM30" s="4">
        <f t="shared" si="31"/>
        <v>4</v>
      </c>
      <c r="CN30" s="4">
        <f t="shared" si="32"/>
        <v>59</v>
      </c>
      <c r="CO30" s="4">
        <f t="shared" si="33"/>
        <v>0</v>
      </c>
      <c r="CP30" s="4">
        <f t="shared" si="34"/>
        <v>5</v>
      </c>
      <c r="CQ30" s="4">
        <f t="shared" si="35"/>
        <v>-25</v>
      </c>
      <c r="CR30" s="4">
        <f t="shared" si="36"/>
        <v>34</v>
      </c>
      <c r="CS30" s="4">
        <f t="shared" si="37"/>
        <v>0</v>
      </c>
      <c r="CT30" s="4">
        <f t="shared" si="38"/>
        <v>0</v>
      </c>
      <c r="CU30" s="4">
        <f t="shared" si="39"/>
        <v>0</v>
      </c>
      <c r="CV30" s="4">
        <f t="shared" si="40"/>
        <v>0</v>
      </c>
      <c r="CW30" s="4">
        <f t="shared" si="41"/>
        <v>0</v>
      </c>
      <c r="CX30" s="4">
        <f t="shared" si="42"/>
        <v>-5</v>
      </c>
      <c r="CY30" s="4">
        <f t="shared" si="43"/>
        <v>0</v>
      </c>
      <c r="CZ30" s="4">
        <f t="shared" si="44"/>
        <v>0</v>
      </c>
      <c r="DA30" s="4">
        <f t="shared" si="45"/>
        <v>0</v>
      </c>
      <c r="DB30" s="4">
        <f t="shared" si="46"/>
        <v>0</v>
      </c>
      <c r="DC30" s="4">
        <f t="shared" si="47"/>
        <v>0</v>
      </c>
      <c r="DD30" s="4">
        <f t="shared" si="48"/>
        <v>0</v>
      </c>
      <c r="DE30" s="4">
        <f t="shared" si="49"/>
        <v>0</v>
      </c>
      <c r="DF30" s="4">
        <f t="shared" si="50"/>
        <v>0</v>
      </c>
      <c r="DG30" s="4">
        <f t="shared" si="51"/>
        <v>0</v>
      </c>
      <c r="DH30" s="4">
        <f t="shared" si="52"/>
        <v>0</v>
      </c>
      <c r="DI30" s="4">
        <f t="shared" si="53"/>
        <v>0</v>
      </c>
      <c r="DJ30" s="4">
        <f t="shared" si="54"/>
        <v>0</v>
      </c>
      <c r="DK30" s="4">
        <f t="shared" si="55"/>
        <v>0</v>
      </c>
      <c r="DL30" s="4">
        <f t="shared" si="56"/>
        <v>0</v>
      </c>
    </row>
    <row r="31" spans="1:116" x14ac:dyDescent="0.25">
      <c r="A31" s="5">
        <v>46183</v>
      </c>
      <c r="B31" s="6">
        <v>0.89583333340124227</v>
      </c>
      <c r="C31" s="3"/>
      <c r="D31" s="3"/>
      <c r="E31" s="3" t="s">
        <v>30</v>
      </c>
      <c r="F31" s="3">
        <v>8</v>
      </c>
      <c r="G31" s="3"/>
      <c r="H31" s="9"/>
      <c r="I31" s="9">
        <f>SUM(IFERROR(VLOOKUP($C:$C,Structure!$A:$AJ,I$1,0)*$D31,0),IFERROR(VLOOKUP($E:$E,Structure!$A:$AJ,I$1,0)*$F31,0),IFERROR(VLOOKUP($G:$G,Structure!$A:$AJ,I$1,0)*$H31,0))</f>
        <v>0</v>
      </c>
      <c r="J31" s="9">
        <f>SUM(IFERROR(VLOOKUP($C:$C,Structure!$A:$AJ,J$1,0)*$D31,0),IFERROR(VLOOKUP($E:$E,Structure!$A:$AJ,J$1,0)*$F31,0),IFERROR(VLOOKUP($G:$G,Structure!$A:$AJ,J$1,0)*$H31,0))</f>
        <v>0</v>
      </c>
      <c r="K31" s="9">
        <f>SUM(IFERROR(VLOOKUP($C:$C,Structure!$A:$AJ,K$1,0)*$D31,0),IFERROR(VLOOKUP($E:$E,Structure!$A:$AJ,K$1,0)*$F31,0),IFERROR(VLOOKUP($G:$G,Structure!$A:$AJ,K$1,0)*$H31,0))</f>
        <v>0</v>
      </c>
      <c r="L31" s="9">
        <f>SUM(IFERROR(VLOOKUP($C:$C,Structure!$A:$AJ,L$1,0)*$D31,0),IFERROR(VLOOKUP($E:$E,Structure!$A:$AJ,L$1,0)*$F31,0),IFERROR(VLOOKUP($G:$G,Structure!$A:$AJ,L$1,0)*$H31,0))</f>
        <v>0</v>
      </c>
      <c r="M31" s="9">
        <f>SUM(IFERROR(VLOOKUP($C:$C,Structure!$A:$AJ,M$1,0)*$D31,0),IFERROR(VLOOKUP($E:$E,Structure!$A:$AJ,M$1,0)*$F31,0),IFERROR(VLOOKUP($G:$G,Structure!$A:$AJ,M$1,0)*$H31,0))</f>
        <v>0</v>
      </c>
      <c r="N31" s="9">
        <f>SUM(IFERROR(VLOOKUP($C:$C,Structure!$A:$AJ,N$1,0)*$D31,0),IFERROR(VLOOKUP($E:$E,Structure!$A:$AJ,N$1,0)*$F31,0),IFERROR(VLOOKUP($G:$G,Structure!$A:$AJ,N$1,0)*$H31,0))</f>
        <v>0</v>
      </c>
      <c r="O31" s="9">
        <f>SUM(IFERROR(VLOOKUP($C:$C,Structure!$A:$AJ,O$1,0)*$D31,0),IFERROR(VLOOKUP($E:$E,Structure!$A:$AJ,O$1,0)*$F31,0),IFERROR(VLOOKUP($G:$G,Structure!$A:$AJ,O$1,0)*$H31,0))</f>
        <v>0</v>
      </c>
      <c r="P31" s="9">
        <f>SUM(IFERROR(VLOOKUP($C:$C,Structure!$A:$AJ,P$1,0)*$D31,0),IFERROR(VLOOKUP($E:$E,Structure!$A:$AJ,P$1,0)*$F31,0),IFERROR(VLOOKUP($G:$G,Structure!$A:$AJ,P$1,0)*$H31,0))</f>
        <v>0</v>
      </c>
      <c r="Q31" s="9">
        <f>SUM(IFERROR(VLOOKUP($C:$C,Structure!$A:$AJ,Q$1,0)*$D31,0),IFERROR(VLOOKUP($E:$E,Structure!$A:$AJ,Q$1,0)*$F31,0),IFERROR(VLOOKUP($G:$G,Structure!$A:$AJ,Q$1,0)*$H31,0))</f>
        <v>0</v>
      </c>
      <c r="R31" s="9">
        <f>SUM(IFERROR(VLOOKUP($C:$C,Structure!$A:$AJ,R$1,0)*$D31,0),IFERROR(VLOOKUP($E:$E,Structure!$A:$AJ,R$1,0)*$F31,0),IFERROR(VLOOKUP($G:$G,Structure!$A:$AJ,R$1,0)*$H31,0))</f>
        <v>0</v>
      </c>
      <c r="S31" s="9">
        <f>SUM(IFERROR(VLOOKUP($C:$C,Structure!$A:$AJ,S$1,0)*$D31,0),IFERROR(VLOOKUP($E:$E,Structure!$A:$AJ,S$1,0)*$F31,0),IFERROR(VLOOKUP($G:$G,Structure!$A:$AJ,S$1,0)*$H31,0))</f>
        <v>0</v>
      </c>
      <c r="T31" s="9">
        <f>SUM(IFERROR(VLOOKUP($C:$C,Structure!$A:$AJ,T$1,0)*$D31,0),IFERROR(VLOOKUP($E:$E,Structure!$A:$AJ,T$1,0)*$F31,0),IFERROR(VLOOKUP($G:$G,Structure!$A:$AJ,T$1,0)*$H31,0))</f>
        <v>0</v>
      </c>
      <c r="U31" s="9">
        <f>SUM(IFERROR(VLOOKUP($C:$C,Structure!$A:$AJ,U$1,0)*$D31,0),IFERROR(VLOOKUP($E:$E,Structure!$A:$AJ,U$1,0)*$F31,0),IFERROR(VLOOKUP($G:$G,Structure!$A:$AJ,U$1,0)*$H31,0))</f>
        <v>0</v>
      </c>
      <c r="V31" s="9">
        <f>SUM(IFERROR(VLOOKUP($C:$C,Structure!$A:$AJ,V$1,0)*$D31,0),IFERROR(VLOOKUP($E:$E,Structure!$A:$AJ,V$1,0)*$F31,0),IFERROR(VLOOKUP($G:$G,Structure!$A:$AJ,V$1,0)*$H31,0))</f>
        <v>8</v>
      </c>
      <c r="W31" s="9">
        <f>SUM(IFERROR(VLOOKUP($C:$C,Structure!$A:$AJ,W$1,0)*$D31,0),IFERROR(VLOOKUP($E:$E,Structure!$A:$AJ,W$1,0)*$F31,0),IFERROR(VLOOKUP($G:$G,Structure!$A:$AJ,W$1,0)*$H31,0))</f>
        <v>0</v>
      </c>
      <c r="X31" s="9">
        <f>SUM(IFERROR(VLOOKUP($C:$C,Structure!$A:$AJ,X$1,0)*$D31,0),IFERROR(VLOOKUP($E:$E,Structure!$A:$AJ,X$1,0)*$F31,0),IFERROR(VLOOKUP($G:$G,Structure!$A:$AJ,X$1,0)*$H31,0))</f>
        <v>0</v>
      </c>
      <c r="Y31" s="9">
        <f>SUM(IFERROR(VLOOKUP($C:$C,Structure!$A:$AJ,Y$1,0)*$D31,0),IFERROR(VLOOKUP($E:$E,Structure!$A:$AJ,Y$1,0)*$F31,0),IFERROR(VLOOKUP($G:$G,Structure!$A:$AJ,Y$1,0)*$H31,0))</f>
        <v>0</v>
      </c>
      <c r="Z31" s="9">
        <f>SUM(IFERROR(VLOOKUP($C:$C,Structure!$A:$AJ,Z$1,0)*$D31,0),IFERROR(VLOOKUP($E:$E,Structure!$A:$AJ,Z$1,0)*$F31,0),IFERROR(VLOOKUP($G:$G,Structure!$A:$AJ,Z$1,0)*$H31,0))</f>
        <v>0</v>
      </c>
      <c r="AA31" s="9">
        <f>SUM(IFERROR(VLOOKUP($C:$C,Structure!$A:$AJ,AA$1,0)*$D31,0),IFERROR(VLOOKUP($E:$E,Structure!$A:$AJ,AA$1,0)*$F31,0),IFERROR(VLOOKUP($G:$G,Structure!$A:$AJ,AA$1,0)*$H31,0))</f>
        <v>0</v>
      </c>
      <c r="AB31" s="9">
        <f>SUM(IFERROR(VLOOKUP($C:$C,Structure!$A:$AJ,AB$1,0)*$D31,0),IFERROR(VLOOKUP($E:$E,Structure!$A:$AJ,AB$1,0)*$F31,0),IFERROR(VLOOKUP($G:$G,Structure!$A:$AJ,AB$1,0)*$H31,0))</f>
        <v>0</v>
      </c>
      <c r="AC31" s="9">
        <f>SUM(IFERROR(VLOOKUP($C:$C,Structure!$A:$AJ,AC$1,0)*$D31,0),IFERROR(VLOOKUP($E:$E,Structure!$A:$AJ,AC$1,0)*$F31,0),IFERROR(VLOOKUP($G:$G,Structure!$A:$AJ,AC$1,0)*$H31,0))</f>
        <v>8</v>
      </c>
      <c r="AD31" s="9">
        <f>SUM(IFERROR(VLOOKUP($C:$C,Structure!$A:$AJ,AD$1,0)*$D31,0),IFERROR(VLOOKUP($E:$E,Structure!$A:$AJ,AD$1,0)*$F31,0),IFERROR(VLOOKUP($G:$G,Structure!$A:$AJ,AD$1,0)*$H31,0))</f>
        <v>0</v>
      </c>
      <c r="AE31" s="9">
        <f>SUM(IFERROR(VLOOKUP($C:$C,Structure!$A:$AJ,AE$1,0)*$D31,0),IFERROR(VLOOKUP($E:$E,Structure!$A:$AJ,AE$1,0)*$F31,0),IFERROR(VLOOKUP($G:$G,Structure!$A:$AJ,AE$1,0)*$H31,0))</f>
        <v>0</v>
      </c>
      <c r="AF31" s="9">
        <f>SUM(IFERROR(VLOOKUP($C:$C,Structure!$A:$AJ,AF$1,0)*$D31,0),IFERROR(VLOOKUP($E:$E,Structure!$A:$AJ,AF$1,0)*$F31,0),IFERROR(VLOOKUP($G:$G,Structure!$A:$AJ,AF$1,0)*$H31,0))</f>
        <v>0</v>
      </c>
      <c r="AG31" s="9">
        <f>SUM(IFERROR(VLOOKUP($C:$C,Structure!$A:$AJ,AG$1,0)*$D31,0),IFERROR(VLOOKUP($E:$E,Structure!$A:$AJ,AG$1,0)*$F31,0),IFERROR(VLOOKUP($G:$G,Structure!$A:$AJ,AG$1,0)*$H31,0))</f>
        <v>0</v>
      </c>
      <c r="AH31" s="9">
        <f>SUM(IFERROR(VLOOKUP($C:$C,Structure!$A:$AJ,AH$1,0)*$D31,0),IFERROR(VLOOKUP($E:$E,Structure!$A:$AJ,AH$1,0)*$F31,0),IFERROR(VLOOKUP($G:$G,Structure!$A:$AJ,AH$1,0)*$H31,0))</f>
        <v>0</v>
      </c>
      <c r="AI31" s="9">
        <f>SUM(IFERROR(VLOOKUP($C:$C,Structure!$A:$AJ,AI$1,0)*$D31,0),IFERROR(VLOOKUP($E:$E,Structure!$A:$AJ,AI$1,0)*$F31,0),IFERROR(VLOOKUP($G:$G,Structure!$A:$AJ,AI$1,0)*$H31,0))</f>
        <v>0</v>
      </c>
      <c r="AJ31" s="9">
        <f>SUM(IFERROR(VLOOKUP($C:$C,Structure!$A:$AJ,AJ$1,0)*$D31,0),IFERROR(VLOOKUP($E:$E,Structure!$A:$AJ,AJ$1,0)*$F31,0),IFERROR(VLOOKUP($G:$G,Structure!$A:$AJ,AJ$1,0)*$H31,0))</f>
        <v>0</v>
      </c>
      <c r="AK31" s="9">
        <f>SUM(IFERROR(VLOOKUP($C:$C,Structure!$A:$AJ,AK$1,0)*$D31,0),IFERROR(VLOOKUP($E:$E,Structure!$A:$AJ,AK$1,0)*$F31,0),IFERROR(VLOOKUP($G:$G,Structure!$A:$AJ,AK$1,0)*$H31,0))</f>
        <v>0</v>
      </c>
      <c r="AL31" s="9">
        <f>SUM(IFERROR(VLOOKUP($C:$C,Structure!$A:$AJ,AL$1,0)*$D31,0),IFERROR(VLOOKUP($E:$E,Structure!$A:$AJ,AL$1,0)*$F31,0),IFERROR(VLOOKUP($G:$G,Structure!$A:$AJ,AL$1,0)*$H31,0))</f>
        <v>0</v>
      </c>
      <c r="AM31" s="9">
        <f>SUM(IFERROR(VLOOKUP($C:$C,Structure!$A:$AJ,AM$1,0)*$D31,0),IFERROR(VLOOKUP($E:$E,Structure!$A:$AJ,AM$1,0)*$F31,0),IFERROR(VLOOKUP($G:$G,Structure!$A:$AJ,AM$1,0)*$H31,0))</f>
        <v>0</v>
      </c>
      <c r="AN31" s="9">
        <f>SUM(IFERROR(VLOOKUP($C:$C,Structure!$A:$AJ,AN$1,0)*$D31,0),IFERROR(VLOOKUP($E:$E,Structure!$A:$AJ,AN$1,0)*$F31,0),IFERROR(VLOOKUP($G:$G,Structure!$A:$AJ,AN$1,0)*$H31,0))</f>
        <v>0</v>
      </c>
      <c r="AO31" s="9">
        <f>SUM(IFERROR(VLOOKUP($C:$C,Structure!$A:$AJ,AO$1,0)*$D31,0),IFERROR(VLOOKUP($E:$E,Structure!$A:$AJ,AO$1,0)*$F31,0),IFERROR(VLOOKUP($G:$G,Structure!$A:$AJ,AO$1,0)*$H31,0))</f>
        <v>0</v>
      </c>
      <c r="AP31" s="9">
        <f>SUM(IFERROR(VLOOKUP($C:$C,Structure!$A:$AJ,AP$1,0)*$D31,0),IFERROR(VLOOKUP($E:$E,Structure!$A:$AJ,AP$1,0)*$F31,0),IFERROR(VLOOKUP($G:$G,Structure!$A:$AJ,AP$1,0)*$H31,0))</f>
        <v>0</v>
      </c>
      <c r="AQ31" s="9">
        <f>SUM(IFERROR(VLOOKUP($C:$C,Structure!$A:$AJ,AQ$1,0)*$D31,0),IFERROR(VLOOKUP($E:$E,Structure!$A:$AJ,AQ$1,0)*$F31,0),IFERROR(VLOOKUP($G:$G,Structure!$A:$AJ,AQ$1,0)*$H31,0))</f>
        <v>0</v>
      </c>
      <c r="AR31" s="21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4">
        <f t="shared" si="22"/>
        <v>0</v>
      </c>
      <c r="CE31" s="4">
        <f t="shared" si="23"/>
        <v>5</v>
      </c>
      <c r="CF31" s="4">
        <f t="shared" si="24"/>
        <v>4</v>
      </c>
      <c r="CG31" s="4">
        <f t="shared" si="25"/>
        <v>23</v>
      </c>
      <c r="CH31" s="4">
        <f t="shared" si="26"/>
        <v>1</v>
      </c>
      <c r="CI31" s="4">
        <f t="shared" si="27"/>
        <v>1</v>
      </c>
      <c r="CJ31" s="4">
        <f t="shared" si="28"/>
        <v>21</v>
      </c>
      <c r="CK31" s="4">
        <f t="shared" si="29"/>
        <v>184</v>
      </c>
      <c r="CL31" s="4">
        <f t="shared" si="30"/>
        <v>0</v>
      </c>
      <c r="CM31" s="4">
        <f t="shared" si="31"/>
        <v>4</v>
      </c>
      <c r="CN31" s="4">
        <f t="shared" si="32"/>
        <v>59</v>
      </c>
      <c r="CO31" s="4">
        <f t="shared" si="33"/>
        <v>0</v>
      </c>
      <c r="CP31" s="4">
        <f t="shared" si="34"/>
        <v>5</v>
      </c>
      <c r="CQ31" s="4">
        <f t="shared" si="35"/>
        <v>-33</v>
      </c>
      <c r="CR31" s="4">
        <f t="shared" si="36"/>
        <v>34</v>
      </c>
      <c r="CS31" s="4">
        <f t="shared" si="37"/>
        <v>0</v>
      </c>
      <c r="CT31" s="4">
        <f t="shared" si="38"/>
        <v>0</v>
      </c>
      <c r="CU31" s="4">
        <f t="shared" si="39"/>
        <v>0</v>
      </c>
      <c r="CV31" s="4">
        <f t="shared" si="40"/>
        <v>0</v>
      </c>
      <c r="CW31" s="4">
        <f t="shared" si="41"/>
        <v>0</v>
      </c>
      <c r="CX31" s="4">
        <f t="shared" si="42"/>
        <v>-13</v>
      </c>
      <c r="CY31" s="4">
        <f t="shared" si="43"/>
        <v>0</v>
      </c>
      <c r="CZ31" s="4">
        <f t="shared" si="44"/>
        <v>0</v>
      </c>
      <c r="DA31" s="4">
        <f t="shared" si="45"/>
        <v>0</v>
      </c>
      <c r="DB31" s="4">
        <f t="shared" si="46"/>
        <v>0</v>
      </c>
      <c r="DC31" s="4">
        <f t="shared" si="47"/>
        <v>0</v>
      </c>
      <c r="DD31" s="4">
        <f t="shared" si="48"/>
        <v>0</v>
      </c>
      <c r="DE31" s="4">
        <f t="shared" si="49"/>
        <v>0</v>
      </c>
      <c r="DF31" s="4">
        <f t="shared" si="50"/>
        <v>0</v>
      </c>
      <c r="DG31" s="4">
        <f t="shared" si="51"/>
        <v>0</v>
      </c>
      <c r="DH31" s="4">
        <f t="shared" si="52"/>
        <v>0</v>
      </c>
      <c r="DI31" s="4">
        <f t="shared" si="53"/>
        <v>0</v>
      </c>
      <c r="DJ31" s="4">
        <f t="shared" si="54"/>
        <v>0</v>
      </c>
      <c r="DK31" s="4">
        <f t="shared" si="55"/>
        <v>0</v>
      </c>
      <c r="DL31" s="4">
        <f t="shared" si="56"/>
        <v>0</v>
      </c>
    </row>
    <row r="32" spans="1:116" x14ac:dyDescent="0.25">
      <c r="A32" s="5">
        <v>46183</v>
      </c>
      <c r="B32" s="6">
        <v>0.91666666673700092</v>
      </c>
      <c r="C32" s="3"/>
      <c r="D32" s="3"/>
      <c r="E32" s="3" t="s">
        <v>30</v>
      </c>
      <c r="F32" s="3">
        <v>8</v>
      </c>
      <c r="G32" s="3"/>
      <c r="H32" s="9"/>
      <c r="I32" s="9">
        <f>SUM(IFERROR(VLOOKUP($C:$C,Structure!$A:$AJ,I$1,0)*$D32,0),IFERROR(VLOOKUP($E:$E,Structure!$A:$AJ,I$1,0)*$F32,0),IFERROR(VLOOKUP($G:$G,Structure!$A:$AJ,I$1,0)*$H32,0))</f>
        <v>0</v>
      </c>
      <c r="J32" s="9">
        <f>SUM(IFERROR(VLOOKUP($C:$C,Structure!$A:$AJ,J$1,0)*$D32,0),IFERROR(VLOOKUP($E:$E,Structure!$A:$AJ,J$1,0)*$F32,0),IFERROR(VLOOKUP($G:$G,Structure!$A:$AJ,J$1,0)*$H32,0))</f>
        <v>0</v>
      </c>
      <c r="K32" s="9">
        <f>SUM(IFERROR(VLOOKUP($C:$C,Structure!$A:$AJ,K$1,0)*$D32,0),IFERROR(VLOOKUP($E:$E,Structure!$A:$AJ,K$1,0)*$F32,0),IFERROR(VLOOKUP($G:$G,Structure!$A:$AJ,K$1,0)*$H32,0))</f>
        <v>0</v>
      </c>
      <c r="L32" s="9">
        <f>SUM(IFERROR(VLOOKUP($C:$C,Structure!$A:$AJ,L$1,0)*$D32,0),IFERROR(VLOOKUP($E:$E,Structure!$A:$AJ,L$1,0)*$F32,0),IFERROR(VLOOKUP($G:$G,Structure!$A:$AJ,L$1,0)*$H32,0))</f>
        <v>0</v>
      </c>
      <c r="M32" s="9">
        <f>SUM(IFERROR(VLOOKUP($C:$C,Structure!$A:$AJ,M$1,0)*$D32,0),IFERROR(VLOOKUP($E:$E,Structure!$A:$AJ,M$1,0)*$F32,0),IFERROR(VLOOKUP($G:$G,Structure!$A:$AJ,M$1,0)*$H32,0))</f>
        <v>0</v>
      </c>
      <c r="N32" s="9">
        <f>SUM(IFERROR(VLOOKUP($C:$C,Structure!$A:$AJ,N$1,0)*$D32,0),IFERROR(VLOOKUP($E:$E,Structure!$A:$AJ,N$1,0)*$F32,0),IFERROR(VLOOKUP($G:$G,Structure!$A:$AJ,N$1,0)*$H32,0))</f>
        <v>0</v>
      </c>
      <c r="O32" s="9">
        <f>SUM(IFERROR(VLOOKUP($C:$C,Structure!$A:$AJ,O$1,0)*$D32,0),IFERROR(VLOOKUP($E:$E,Structure!$A:$AJ,O$1,0)*$F32,0),IFERROR(VLOOKUP($G:$G,Structure!$A:$AJ,O$1,0)*$H32,0))</f>
        <v>0</v>
      </c>
      <c r="P32" s="9">
        <f>SUM(IFERROR(VLOOKUP($C:$C,Structure!$A:$AJ,P$1,0)*$D32,0),IFERROR(VLOOKUP($E:$E,Structure!$A:$AJ,P$1,0)*$F32,0),IFERROR(VLOOKUP($G:$G,Structure!$A:$AJ,P$1,0)*$H32,0))</f>
        <v>0</v>
      </c>
      <c r="Q32" s="9">
        <f>SUM(IFERROR(VLOOKUP($C:$C,Structure!$A:$AJ,Q$1,0)*$D32,0),IFERROR(VLOOKUP($E:$E,Structure!$A:$AJ,Q$1,0)*$F32,0),IFERROR(VLOOKUP($G:$G,Structure!$A:$AJ,Q$1,0)*$H32,0))</f>
        <v>0</v>
      </c>
      <c r="R32" s="9">
        <f>SUM(IFERROR(VLOOKUP($C:$C,Structure!$A:$AJ,R$1,0)*$D32,0),IFERROR(VLOOKUP($E:$E,Structure!$A:$AJ,R$1,0)*$F32,0),IFERROR(VLOOKUP($G:$G,Structure!$A:$AJ,R$1,0)*$H32,0))</f>
        <v>0</v>
      </c>
      <c r="S32" s="9">
        <f>SUM(IFERROR(VLOOKUP($C:$C,Structure!$A:$AJ,S$1,0)*$D32,0),IFERROR(VLOOKUP($E:$E,Structure!$A:$AJ,S$1,0)*$F32,0),IFERROR(VLOOKUP($G:$G,Structure!$A:$AJ,S$1,0)*$H32,0))</f>
        <v>0</v>
      </c>
      <c r="T32" s="9">
        <f>SUM(IFERROR(VLOOKUP($C:$C,Structure!$A:$AJ,T$1,0)*$D32,0),IFERROR(VLOOKUP($E:$E,Structure!$A:$AJ,T$1,0)*$F32,0),IFERROR(VLOOKUP($G:$G,Structure!$A:$AJ,T$1,0)*$H32,0))</f>
        <v>0</v>
      </c>
      <c r="U32" s="9">
        <f>SUM(IFERROR(VLOOKUP($C:$C,Structure!$A:$AJ,U$1,0)*$D32,0),IFERROR(VLOOKUP($E:$E,Structure!$A:$AJ,U$1,0)*$F32,0),IFERROR(VLOOKUP($G:$G,Structure!$A:$AJ,U$1,0)*$H32,0))</f>
        <v>0</v>
      </c>
      <c r="V32" s="9">
        <f>SUM(IFERROR(VLOOKUP($C:$C,Structure!$A:$AJ,V$1,0)*$D32,0),IFERROR(VLOOKUP($E:$E,Structure!$A:$AJ,V$1,0)*$F32,0),IFERROR(VLOOKUP($G:$G,Structure!$A:$AJ,V$1,0)*$H32,0))</f>
        <v>8</v>
      </c>
      <c r="W32" s="9">
        <f>SUM(IFERROR(VLOOKUP($C:$C,Structure!$A:$AJ,W$1,0)*$D32,0),IFERROR(VLOOKUP($E:$E,Structure!$A:$AJ,W$1,0)*$F32,0),IFERROR(VLOOKUP($G:$G,Structure!$A:$AJ,W$1,0)*$H32,0))</f>
        <v>0</v>
      </c>
      <c r="X32" s="9">
        <f>SUM(IFERROR(VLOOKUP($C:$C,Structure!$A:$AJ,X$1,0)*$D32,0),IFERROR(VLOOKUP($E:$E,Structure!$A:$AJ,X$1,0)*$F32,0),IFERROR(VLOOKUP($G:$G,Structure!$A:$AJ,X$1,0)*$H32,0))</f>
        <v>0</v>
      </c>
      <c r="Y32" s="9">
        <f>SUM(IFERROR(VLOOKUP($C:$C,Structure!$A:$AJ,Y$1,0)*$D32,0),IFERROR(VLOOKUP($E:$E,Structure!$A:$AJ,Y$1,0)*$F32,0),IFERROR(VLOOKUP($G:$G,Structure!$A:$AJ,Y$1,0)*$H32,0))</f>
        <v>0</v>
      </c>
      <c r="Z32" s="9">
        <f>SUM(IFERROR(VLOOKUP($C:$C,Structure!$A:$AJ,Z$1,0)*$D32,0),IFERROR(VLOOKUP($E:$E,Structure!$A:$AJ,Z$1,0)*$F32,0),IFERROR(VLOOKUP($G:$G,Structure!$A:$AJ,Z$1,0)*$H32,0))</f>
        <v>0</v>
      </c>
      <c r="AA32" s="9">
        <f>SUM(IFERROR(VLOOKUP($C:$C,Structure!$A:$AJ,AA$1,0)*$D32,0),IFERROR(VLOOKUP($E:$E,Structure!$A:$AJ,AA$1,0)*$F32,0),IFERROR(VLOOKUP($G:$G,Structure!$A:$AJ,AA$1,0)*$H32,0))</f>
        <v>0</v>
      </c>
      <c r="AB32" s="9">
        <f>SUM(IFERROR(VLOOKUP($C:$C,Structure!$A:$AJ,AB$1,0)*$D32,0),IFERROR(VLOOKUP($E:$E,Structure!$A:$AJ,AB$1,0)*$F32,0),IFERROR(VLOOKUP($G:$G,Structure!$A:$AJ,AB$1,0)*$H32,0))</f>
        <v>0</v>
      </c>
      <c r="AC32" s="9">
        <f>SUM(IFERROR(VLOOKUP($C:$C,Structure!$A:$AJ,AC$1,0)*$D32,0),IFERROR(VLOOKUP($E:$E,Structure!$A:$AJ,AC$1,0)*$F32,0),IFERROR(VLOOKUP($G:$G,Structure!$A:$AJ,AC$1,0)*$H32,0))</f>
        <v>8</v>
      </c>
      <c r="AD32" s="9">
        <f>SUM(IFERROR(VLOOKUP($C:$C,Structure!$A:$AJ,AD$1,0)*$D32,0),IFERROR(VLOOKUP($E:$E,Structure!$A:$AJ,AD$1,0)*$F32,0),IFERROR(VLOOKUP($G:$G,Structure!$A:$AJ,AD$1,0)*$H32,0))</f>
        <v>0</v>
      </c>
      <c r="AE32" s="9">
        <f>SUM(IFERROR(VLOOKUP($C:$C,Structure!$A:$AJ,AE$1,0)*$D32,0),IFERROR(VLOOKUP($E:$E,Structure!$A:$AJ,AE$1,0)*$F32,0),IFERROR(VLOOKUP($G:$G,Structure!$A:$AJ,AE$1,0)*$H32,0))</f>
        <v>0</v>
      </c>
      <c r="AF32" s="9">
        <f>SUM(IFERROR(VLOOKUP($C:$C,Structure!$A:$AJ,AF$1,0)*$D32,0),IFERROR(VLOOKUP($E:$E,Structure!$A:$AJ,AF$1,0)*$F32,0),IFERROR(VLOOKUP($G:$G,Structure!$A:$AJ,AF$1,0)*$H32,0))</f>
        <v>0</v>
      </c>
      <c r="AG32" s="9">
        <f>SUM(IFERROR(VLOOKUP($C:$C,Structure!$A:$AJ,AG$1,0)*$D32,0),IFERROR(VLOOKUP($E:$E,Structure!$A:$AJ,AG$1,0)*$F32,0),IFERROR(VLOOKUP($G:$G,Structure!$A:$AJ,AG$1,0)*$H32,0))</f>
        <v>0</v>
      </c>
      <c r="AH32" s="9">
        <f>SUM(IFERROR(VLOOKUP($C:$C,Structure!$A:$AJ,AH$1,0)*$D32,0),IFERROR(VLOOKUP($E:$E,Structure!$A:$AJ,AH$1,0)*$F32,0),IFERROR(VLOOKUP($G:$G,Structure!$A:$AJ,AH$1,0)*$H32,0))</f>
        <v>0</v>
      </c>
      <c r="AI32" s="9">
        <f>SUM(IFERROR(VLOOKUP($C:$C,Structure!$A:$AJ,AI$1,0)*$D32,0),IFERROR(VLOOKUP($E:$E,Structure!$A:$AJ,AI$1,0)*$F32,0),IFERROR(VLOOKUP($G:$G,Structure!$A:$AJ,AI$1,0)*$H32,0))</f>
        <v>0</v>
      </c>
      <c r="AJ32" s="9">
        <f>SUM(IFERROR(VLOOKUP($C:$C,Structure!$A:$AJ,AJ$1,0)*$D32,0),IFERROR(VLOOKUP($E:$E,Structure!$A:$AJ,AJ$1,0)*$F32,0),IFERROR(VLOOKUP($G:$G,Structure!$A:$AJ,AJ$1,0)*$H32,0))</f>
        <v>0</v>
      </c>
      <c r="AK32" s="9">
        <f>SUM(IFERROR(VLOOKUP($C:$C,Structure!$A:$AJ,AK$1,0)*$D32,0),IFERROR(VLOOKUP($E:$E,Structure!$A:$AJ,AK$1,0)*$F32,0),IFERROR(VLOOKUP($G:$G,Structure!$A:$AJ,AK$1,0)*$H32,0))</f>
        <v>0</v>
      </c>
      <c r="AL32" s="9">
        <f>SUM(IFERROR(VLOOKUP($C:$C,Structure!$A:$AJ,AL$1,0)*$D32,0),IFERROR(VLOOKUP($E:$E,Structure!$A:$AJ,AL$1,0)*$F32,0),IFERROR(VLOOKUP($G:$G,Structure!$A:$AJ,AL$1,0)*$H32,0))</f>
        <v>0</v>
      </c>
      <c r="AM32" s="9">
        <f>SUM(IFERROR(VLOOKUP($C:$C,Structure!$A:$AJ,AM$1,0)*$D32,0),IFERROR(VLOOKUP($E:$E,Structure!$A:$AJ,AM$1,0)*$F32,0),IFERROR(VLOOKUP($G:$G,Structure!$A:$AJ,AM$1,0)*$H32,0))</f>
        <v>0</v>
      </c>
      <c r="AN32" s="9">
        <f>SUM(IFERROR(VLOOKUP($C:$C,Structure!$A:$AJ,AN$1,0)*$D32,0),IFERROR(VLOOKUP($E:$E,Structure!$A:$AJ,AN$1,0)*$F32,0),IFERROR(VLOOKUP($G:$G,Structure!$A:$AJ,AN$1,0)*$H32,0))</f>
        <v>0</v>
      </c>
      <c r="AO32" s="9">
        <f>SUM(IFERROR(VLOOKUP($C:$C,Structure!$A:$AJ,AO$1,0)*$D32,0),IFERROR(VLOOKUP($E:$E,Structure!$A:$AJ,AO$1,0)*$F32,0),IFERROR(VLOOKUP($G:$G,Structure!$A:$AJ,AO$1,0)*$H32,0))</f>
        <v>0</v>
      </c>
      <c r="AP32" s="9">
        <f>SUM(IFERROR(VLOOKUP($C:$C,Structure!$A:$AJ,AP$1,0)*$D32,0),IFERROR(VLOOKUP($E:$E,Structure!$A:$AJ,AP$1,0)*$F32,0),IFERROR(VLOOKUP($G:$G,Structure!$A:$AJ,AP$1,0)*$H32,0))</f>
        <v>0</v>
      </c>
      <c r="AQ32" s="9">
        <f>SUM(IFERROR(VLOOKUP($C:$C,Structure!$A:$AJ,AQ$1,0)*$D32,0),IFERROR(VLOOKUP($E:$E,Structure!$A:$AJ,AQ$1,0)*$F32,0),IFERROR(VLOOKUP($G:$G,Structure!$A:$AJ,AQ$1,0)*$H32,0))</f>
        <v>0</v>
      </c>
      <c r="AR32" s="21" t="s">
        <v>819</v>
      </c>
      <c r="AS32" s="3" t="s">
        <v>352</v>
      </c>
      <c r="AT32" s="3" t="s">
        <v>818</v>
      </c>
      <c r="AU32" s="3"/>
      <c r="AV32" s="3"/>
      <c r="AW32" s="3"/>
      <c r="AX32" s="3"/>
      <c r="AY32" s="3"/>
      <c r="AZ32" s="3"/>
      <c r="BA32" s="3"/>
      <c r="BB32" s="3">
        <v>150</v>
      </c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4">
        <f t="shared" si="22"/>
        <v>0</v>
      </c>
      <c r="CE32" s="4">
        <f t="shared" si="23"/>
        <v>5</v>
      </c>
      <c r="CF32" s="4">
        <f t="shared" si="24"/>
        <v>4</v>
      </c>
      <c r="CG32" s="4">
        <f t="shared" si="25"/>
        <v>23</v>
      </c>
      <c r="CH32" s="4">
        <f t="shared" si="26"/>
        <v>1</v>
      </c>
      <c r="CI32" s="4">
        <f t="shared" si="27"/>
        <v>1</v>
      </c>
      <c r="CJ32" s="4">
        <f t="shared" si="28"/>
        <v>21</v>
      </c>
      <c r="CK32" s="4">
        <f t="shared" si="29"/>
        <v>334</v>
      </c>
      <c r="CL32" s="4">
        <f t="shared" si="30"/>
        <v>0</v>
      </c>
      <c r="CM32" s="4">
        <f t="shared" si="31"/>
        <v>4</v>
      </c>
      <c r="CN32" s="4">
        <f t="shared" si="32"/>
        <v>59</v>
      </c>
      <c r="CO32" s="4">
        <f t="shared" si="33"/>
        <v>0</v>
      </c>
      <c r="CP32" s="4">
        <f t="shared" si="34"/>
        <v>5</v>
      </c>
      <c r="CQ32" s="4">
        <f t="shared" si="35"/>
        <v>-41</v>
      </c>
      <c r="CR32" s="4">
        <f t="shared" si="36"/>
        <v>34</v>
      </c>
      <c r="CS32" s="4">
        <f t="shared" si="37"/>
        <v>0</v>
      </c>
      <c r="CT32" s="4">
        <f t="shared" si="38"/>
        <v>0</v>
      </c>
      <c r="CU32" s="4">
        <f t="shared" si="39"/>
        <v>0</v>
      </c>
      <c r="CV32" s="4">
        <f t="shared" si="40"/>
        <v>0</v>
      </c>
      <c r="CW32" s="4">
        <f t="shared" si="41"/>
        <v>0</v>
      </c>
      <c r="CX32" s="4">
        <f t="shared" si="42"/>
        <v>-21</v>
      </c>
      <c r="CY32" s="4">
        <f t="shared" si="43"/>
        <v>0</v>
      </c>
      <c r="CZ32" s="4">
        <f t="shared" si="44"/>
        <v>0</v>
      </c>
      <c r="DA32" s="4">
        <f t="shared" si="45"/>
        <v>0</v>
      </c>
      <c r="DB32" s="4">
        <f t="shared" si="46"/>
        <v>0</v>
      </c>
      <c r="DC32" s="4">
        <f t="shared" si="47"/>
        <v>0</v>
      </c>
      <c r="DD32" s="4">
        <f t="shared" si="48"/>
        <v>0</v>
      </c>
      <c r="DE32" s="4">
        <f t="shared" si="49"/>
        <v>0</v>
      </c>
      <c r="DF32" s="4">
        <f t="shared" si="50"/>
        <v>0</v>
      </c>
      <c r="DG32" s="4">
        <f t="shared" si="51"/>
        <v>0</v>
      </c>
      <c r="DH32" s="4">
        <f t="shared" si="52"/>
        <v>0</v>
      </c>
      <c r="DI32" s="4">
        <f t="shared" si="53"/>
        <v>0</v>
      </c>
      <c r="DJ32" s="4">
        <f t="shared" si="54"/>
        <v>0</v>
      </c>
      <c r="DK32" s="4">
        <f t="shared" si="55"/>
        <v>0</v>
      </c>
      <c r="DL32" s="4">
        <f t="shared" si="56"/>
        <v>0</v>
      </c>
    </row>
    <row r="33" spans="1:116" x14ac:dyDescent="0.25">
      <c r="A33" s="5">
        <v>46183</v>
      </c>
      <c r="B33" s="6">
        <v>0.93750000007275958</v>
      </c>
      <c r="C33" s="3"/>
      <c r="D33" s="3"/>
      <c r="E33" s="3" t="s">
        <v>30</v>
      </c>
      <c r="F33" s="3">
        <v>8</v>
      </c>
      <c r="G33" s="3"/>
      <c r="H33" s="9"/>
      <c r="I33" s="9">
        <f>SUM(IFERROR(VLOOKUP($C:$C,Structure!$A:$AJ,I$1,0)*$D33,0),IFERROR(VLOOKUP($E:$E,Structure!$A:$AJ,I$1,0)*$F33,0),IFERROR(VLOOKUP($G:$G,Structure!$A:$AJ,I$1,0)*$H33,0))</f>
        <v>0</v>
      </c>
      <c r="J33" s="9">
        <f>SUM(IFERROR(VLOOKUP($C:$C,Structure!$A:$AJ,J$1,0)*$D33,0),IFERROR(VLOOKUP($E:$E,Structure!$A:$AJ,J$1,0)*$F33,0),IFERROR(VLOOKUP($G:$G,Structure!$A:$AJ,J$1,0)*$H33,0))</f>
        <v>0</v>
      </c>
      <c r="K33" s="9">
        <f>SUM(IFERROR(VLOOKUP($C:$C,Structure!$A:$AJ,K$1,0)*$D33,0),IFERROR(VLOOKUP($E:$E,Structure!$A:$AJ,K$1,0)*$F33,0),IFERROR(VLOOKUP($G:$G,Structure!$A:$AJ,K$1,0)*$H33,0))</f>
        <v>0</v>
      </c>
      <c r="L33" s="9">
        <f>SUM(IFERROR(VLOOKUP($C:$C,Structure!$A:$AJ,L$1,0)*$D33,0),IFERROR(VLOOKUP($E:$E,Structure!$A:$AJ,L$1,0)*$F33,0),IFERROR(VLOOKUP($G:$G,Structure!$A:$AJ,L$1,0)*$H33,0))</f>
        <v>0</v>
      </c>
      <c r="M33" s="9">
        <f>SUM(IFERROR(VLOOKUP($C:$C,Structure!$A:$AJ,M$1,0)*$D33,0),IFERROR(VLOOKUP($E:$E,Structure!$A:$AJ,M$1,0)*$F33,0),IFERROR(VLOOKUP($G:$G,Structure!$A:$AJ,M$1,0)*$H33,0))</f>
        <v>0</v>
      </c>
      <c r="N33" s="9">
        <f>SUM(IFERROR(VLOOKUP($C:$C,Structure!$A:$AJ,N$1,0)*$D33,0),IFERROR(VLOOKUP($E:$E,Structure!$A:$AJ,N$1,0)*$F33,0),IFERROR(VLOOKUP($G:$G,Structure!$A:$AJ,N$1,0)*$H33,0))</f>
        <v>0</v>
      </c>
      <c r="O33" s="9">
        <f>SUM(IFERROR(VLOOKUP($C:$C,Structure!$A:$AJ,O$1,0)*$D33,0),IFERROR(VLOOKUP($E:$E,Structure!$A:$AJ,O$1,0)*$F33,0),IFERROR(VLOOKUP($G:$G,Structure!$A:$AJ,O$1,0)*$H33,0))</f>
        <v>0</v>
      </c>
      <c r="P33" s="9">
        <f>SUM(IFERROR(VLOOKUP($C:$C,Structure!$A:$AJ,P$1,0)*$D33,0),IFERROR(VLOOKUP($E:$E,Structure!$A:$AJ,P$1,0)*$F33,0),IFERROR(VLOOKUP($G:$G,Structure!$A:$AJ,P$1,0)*$H33,0))</f>
        <v>0</v>
      </c>
      <c r="Q33" s="9">
        <f>SUM(IFERROR(VLOOKUP($C:$C,Structure!$A:$AJ,Q$1,0)*$D33,0),IFERROR(VLOOKUP($E:$E,Structure!$A:$AJ,Q$1,0)*$F33,0),IFERROR(VLOOKUP($G:$G,Structure!$A:$AJ,Q$1,0)*$H33,0))</f>
        <v>0</v>
      </c>
      <c r="R33" s="9">
        <f>SUM(IFERROR(VLOOKUP($C:$C,Structure!$A:$AJ,R$1,0)*$D33,0),IFERROR(VLOOKUP($E:$E,Structure!$A:$AJ,R$1,0)*$F33,0),IFERROR(VLOOKUP($G:$G,Structure!$A:$AJ,R$1,0)*$H33,0))</f>
        <v>0</v>
      </c>
      <c r="S33" s="9">
        <f>SUM(IFERROR(VLOOKUP($C:$C,Structure!$A:$AJ,S$1,0)*$D33,0),IFERROR(VLOOKUP($E:$E,Structure!$A:$AJ,S$1,0)*$F33,0),IFERROR(VLOOKUP($G:$G,Structure!$A:$AJ,S$1,0)*$H33,0))</f>
        <v>0</v>
      </c>
      <c r="T33" s="9">
        <f>SUM(IFERROR(VLOOKUP($C:$C,Structure!$A:$AJ,T$1,0)*$D33,0),IFERROR(VLOOKUP($E:$E,Structure!$A:$AJ,T$1,0)*$F33,0),IFERROR(VLOOKUP($G:$G,Structure!$A:$AJ,T$1,0)*$H33,0))</f>
        <v>0</v>
      </c>
      <c r="U33" s="9">
        <f>SUM(IFERROR(VLOOKUP($C:$C,Structure!$A:$AJ,U$1,0)*$D33,0),IFERROR(VLOOKUP($E:$E,Structure!$A:$AJ,U$1,0)*$F33,0),IFERROR(VLOOKUP($G:$G,Structure!$A:$AJ,U$1,0)*$H33,0))</f>
        <v>0</v>
      </c>
      <c r="V33" s="9">
        <f>SUM(IFERROR(VLOOKUP($C:$C,Structure!$A:$AJ,V$1,0)*$D33,0),IFERROR(VLOOKUP($E:$E,Structure!$A:$AJ,V$1,0)*$F33,0),IFERROR(VLOOKUP($G:$G,Structure!$A:$AJ,V$1,0)*$H33,0))</f>
        <v>8</v>
      </c>
      <c r="W33" s="9">
        <f>SUM(IFERROR(VLOOKUP($C:$C,Structure!$A:$AJ,W$1,0)*$D33,0),IFERROR(VLOOKUP($E:$E,Structure!$A:$AJ,W$1,0)*$F33,0),IFERROR(VLOOKUP($G:$G,Structure!$A:$AJ,W$1,0)*$H33,0))</f>
        <v>0</v>
      </c>
      <c r="X33" s="9">
        <f>SUM(IFERROR(VLOOKUP($C:$C,Structure!$A:$AJ,X$1,0)*$D33,0),IFERROR(VLOOKUP($E:$E,Structure!$A:$AJ,X$1,0)*$F33,0),IFERROR(VLOOKUP($G:$G,Structure!$A:$AJ,X$1,0)*$H33,0))</f>
        <v>0</v>
      </c>
      <c r="Y33" s="9">
        <f>SUM(IFERROR(VLOOKUP($C:$C,Structure!$A:$AJ,Y$1,0)*$D33,0),IFERROR(VLOOKUP($E:$E,Structure!$A:$AJ,Y$1,0)*$F33,0),IFERROR(VLOOKUP($G:$G,Structure!$A:$AJ,Y$1,0)*$H33,0))</f>
        <v>0</v>
      </c>
      <c r="Z33" s="9">
        <f>SUM(IFERROR(VLOOKUP($C:$C,Structure!$A:$AJ,Z$1,0)*$D33,0),IFERROR(VLOOKUP($E:$E,Structure!$A:$AJ,Z$1,0)*$F33,0),IFERROR(VLOOKUP($G:$G,Structure!$A:$AJ,Z$1,0)*$H33,0))</f>
        <v>0</v>
      </c>
      <c r="AA33" s="9">
        <f>SUM(IFERROR(VLOOKUP($C:$C,Structure!$A:$AJ,AA$1,0)*$D33,0),IFERROR(VLOOKUP($E:$E,Structure!$A:$AJ,AA$1,0)*$F33,0),IFERROR(VLOOKUP($G:$G,Structure!$A:$AJ,AA$1,0)*$H33,0))</f>
        <v>0</v>
      </c>
      <c r="AB33" s="9">
        <f>SUM(IFERROR(VLOOKUP($C:$C,Structure!$A:$AJ,AB$1,0)*$D33,0),IFERROR(VLOOKUP($E:$E,Structure!$A:$AJ,AB$1,0)*$F33,0),IFERROR(VLOOKUP($G:$G,Structure!$A:$AJ,AB$1,0)*$H33,0))</f>
        <v>0</v>
      </c>
      <c r="AC33" s="9">
        <f>SUM(IFERROR(VLOOKUP($C:$C,Structure!$A:$AJ,AC$1,0)*$D33,0),IFERROR(VLOOKUP($E:$E,Structure!$A:$AJ,AC$1,0)*$F33,0),IFERROR(VLOOKUP($G:$G,Structure!$A:$AJ,AC$1,0)*$H33,0))</f>
        <v>8</v>
      </c>
      <c r="AD33" s="9">
        <f>SUM(IFERROR(VLOOKUP($C:$C,Structure!$A:$AJ,AD$1,0)*$D33,0),IFERROR(VLOOKUP($E:$E,Structure!$A:$AJ,AD$1,0)*$F33,0),IFERROR(VLOOKUP($G:$G,Structure!$A:$AJ,AD$1,0)*$H33,0))</f>
        <v>0</v>
      </c>
      <c r="AE33" s="9">
        <f>SUM(IFERROR(VLOOKUP($C:$C,Structure!$A:$AJ,AE$1,0)*$D33,0),IFERROR(VLOOKUP($E:$E,Structure!$A:$AJ,AE$1,0)*$F33,0),IFERROR(VLOOKUP($G:$G,Structure!$A:$AJ,AE$1,0)*$H33,0))</f>
        <v>0</v>
      </c>
      <c r="AF33" s="9">
        <f>SUM(IFERROR(VLOOKUP($C:$C,Structure!$A:$AJ,AF$1,0)*$D33,0),IFERROR(VLOOKUP($E:$E,Structure!$A:$AJ,AF$1,0)*$F33,0),IFERROR(VLOOKUP($G:$G,Structure!$A:$AJ,AF$1,0)*$H33,0))</f>
        <v>0</v>
      </c>
      <c r="AG33" s="9">
        <f>SUM(IFERROR(VLOOKUP($C:$C,Structure!$A:$AJ,AG$1,0)*$D33,0),IFERROR(VLOOKUP($E:$E,Structure!$A:$AJ,AG$1,0)*$F33,0),IFERROR(VLOOKUP($G:$G,Structure!$A:$AJ,AG$1,0)*$H33,0))</f>
        <v>0</v>
      </c>
      <c r="AH33" s="9">
        <f>SUM(IFERROR(VLOOKUP($C:$C,Structure!$A:$AJ,AH$1,0)*$D33,0),IFERROR(VLOOKUP($E:$E,Structure!$A:$AJ,AH$1,0)*$F33,0),IFERROR(VLOOKUP($G:$G,Structure!$A:$AJ,AH$1,0)*$H33,0))</f>
        <v>0</v>
      </c>
      <c r="AI33" s="9">
        <f>SUM(IFERROR(VLOOKUP($C:$C,Structure!$A:$AJ,AI$1,0)*$D33,0),IFERROR(VLOOKUP($E:$E,Structure!$A:$AJ,AI$1,0)*$F33,0),IFERROR(VLOOKUP($G:$G,Structure!$A:$AJ,AI$1,0)*$H33,0))</f>
        <v>0</v>
      </c>
      <c r="AJ33" s="9">
        <f>SUM(IFERROR(VLOOKUP($C:$C,Structure!$A:$AJ,AJ$1,0)*$D33,0),IFERROR(VLOOKUP($E:$E,Structure!$A:$AJ,AJ$1,0)*$F33,0),IFERROR(VLOOKUP($G:$G,Structure!$A:$AJ,AJ$1,0)*$H33,0))</f>
        <v>0</v>
      </c>
      <c r="AK33" s="9">
        <f>SUM(IFERROR(VLOOKUP($C:$C,Structure!$A:$AJ,AK$1,0)*$D33,0),IFERROR(VLOOKUP($E:$E,Structure!$A:$AJ,AK$1,0)*$F33,0),IFERROR(VLOOKUP($G:$G,Structure!$A:$AJ,AK$1,0)*$H33,0))</f>
        <v>0</v>
      </c>
      <c r="AL33" s="9">
        <f>SUM(IFERROR(VLOOKUP($C:$C,Structure!$A:$AJ,AL$1,0)*$D33,0),IFERROR(VLOOKUP($E:$E,Structure!$A:$AJ,AL$1,0)*$F33,0),IFERROR(VLOOKUP($G:$G,Structure!$A:$AJ,AL$1,0)*$H33,0))</f>
        <v>0</v>
      </c>
      <c r="AM33" s="9">
        <f>SUM(IFERROR(VLOOKUP($C:$C,Structure!$A:$AJ,AM$1,0)*$D33,0),IFERROR(VLOOKUP($E:$E,Structure!$A:$AJ,AM$1,0)*$F33,0),IFERROR(VLOOKUP($G:$G,Structure!$A:$AJ,AM$1,0)*$H33,0))</f>
        <v>0</v>
      </c>
      <c r="AN33" s="9">
        <f>SUM(IFERROR(VLOOKUP($C:$C,Structure!$A:$AJ,AN$1,0)*$D33,0),IFERROR(VLOOKUP($E:$E,Structure!$A:$AJ,AN$1,0)*$F33,0),IFERROR(VLOOKUP($G:$G,Structure!$A:$AJ,AN$1,0)*$H33,0))</f>
        <v>0</v>
      </c>
      <c r="AO33" s="9">
        <f>SUM(IFERROR(VLOOKUP($C:$C,Structure!$A:$AJ,AO$1,0)*$D33,0),IFERROR(VLOOKUP($E:$E,Structure!$A:$AJ,AO$1,0)*$F33,0),IFERROR(VLOOKUP($G:$G,Structure!$A:$AJ,AO$1,0)*$H33,0))</f>
        <v>0</v>
      </c>
      <c r="AP33" s="9">
        <f>SUM(IFERROR(VLOOKUP($C:$C,Structure!$A:$AJ,AP$1,0)*$D33,0),IFERROR(VLOOKUP($E:$E,Structure!$A:$AJ,AP$1,0)*$F33,0),IFERROR(VLOOKUP($G:$G,Structure!$A:$AJ,AP$1,0)*$H33,0))</f>
        <v>0</v>
      </c>
      <c r="AQ33" s="9">
        <f>SUM(IFERROR(VLOOKUP($C:$C,Structure!$A:$AJ,AQ$1,0)*$D33,0),IFERROR(VLOOKUP($E:$E,Structure!$A:$AJ,AQ$1,0)*$F33,0),IFERROR(VLOOKUP($G:$G,Structure!$A:$AJ,AQ$1,0)*$H33,0))</f>
        <v>0</v>
      </c>
      <c r="AR33" s="21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4">
        <f t="shared" si="22"/>
        <v>0</v>
      </c>
      <c r="CE33" s="4">
        <f t="shared" si="23"/>
        <v>5</v>
      </c>
      <c r="CF33" s="4">
        <f t="shared" si="24"/>
        <v>4</v>
      </c>
      <c r="CG33" s="4">
        <f t="shared" si="25"/>
        <v>23</v>
      </c>
      <c r="CH33" s="4">
        <f t="shared" si="26"/>
        <v>1</v>
      </c>
      <c r="CI33" s="4">
        <f t="shared" si="27"/>
        <v>1</v>
      </c>
      <c r="CJ33" s="4">
        <f t="shared" si="28"/>
        <v>21</v>
      </c>
      <c r="CK33" s="4">
        <f t="shared" si="29"/>
        <v>334</v>
      </c>
      <c r="CL33" s="4">
        <f t="shared" si="30"/>
        <v>0</v>
      </c>
      <c r="CM33" s="4">
        <f t="shared" si="31"/>
        <v>4</v>
      </c>
      <c r="CN33" s="4">
        <f t="shared" si="32"/>
        <v>59</v>
      </c>
      <c r="CO33" s="4">
        <f t="shared" si="33"/>
        <v>0</v>
      </c>
      <c r="CP33" s="4">
        <f t="shared" si="34"/>
        <v>5</v>
      </c>
      <c r="CQ33" s="4">
        <f t="shared" si="35"/>
        <v>-49</v>
      </c>
      <c r="CR33" s="4">
        <f t="shared" si="36"/>
        <v>34</v>
      </c>
      <c r="CS33" s="4">
        <f t="shared" si="37"/>
        <v>0</v>
      </c>
      <c r="CT33" s="4">
        <f t="shared" si="38"/>
        <v>0</v>
      </c>
      <c r="CU33" s="4">
        <f t="shared" si="39"/>
        <v>0</v>
      </c>
      <c r="CV33" s="4">
        <f t="shared" si="40"/>
        <v>0</v>
      </c>
      <c r="CW33" s="4">
        <f t="shared" si="41"/>
        <v>0</v>
      </c>
      <c r="CX33" s="4">
        <f t="shared" si="42"/>
        <v>-29</v>
      </c>
      <c r="CY33" s="4">
        <f t="shared" si="43"/>
        <v>0</v>
      </c>
      <c r="CZ33" s="4">
        <f t="shared" si="44"/>
        <v>0</v>
      </c>
      <c r="DA33" s="4">
        <f t="shared" si="45"/>
        <v>0</v>
      </c>
      <c r="DB33" s="4">
        <f t="shared" si="46"/>
        <v>0</v>
      </c>
      <c r="DC33" s="4">
        <f t="shared" si="47"/>
        <v>0</v>
      </c>
      <c r="DD33" s="4">
        <f t="shared" si="48"/>
        <v>0</v>
      </c>
      <c r="DE33" s="4">
        <f t="shared" si="49"/>
        <v>0</v>
      </c>
      <c r="DF33" s="4">
        <f t="shared" si="50"/>
        <v>0</v>
      </c>
      <c r="DG33" s="4">
        <f t="shared" si="51"/>
        <v>0</v>
      </c>
      <c r="DH33" s="4">
        <f t="shared" si="52"/>
        <v>0</v>
      </c>
      <c r="DI33" s="4">
        <f t="shared" si="53"/>
        <v>0</v>
      </c>
      <c r="DJ33" s="4">
        <f t="shared" si="54"/>
        <v>0</v>
      </c>
      <c r="DK33" s="4">
        <f t="shared" si="55"/>
        <v>0</v>
      </c>
      <c r="DL33" s="4">
        <f t="shared" si="56"/>
        <v>0</v>
      </c>
    </row>
    <row r="34" spans="1:116" x14ac:dyDescent="0.25">
      <c r="A34" s="5">
        <v>46183</v>
      </c>
      <c r="B34" s="6">
        <v>0.95833333340851823</v>
      </c>
      <c r="C34" s="3"/>
      <c r="D34" s="3"/>
      <c r="E34" s="3" t="s">
        <v>30</v>
      </c>
      <c r="F34" s="3">
        <v>8</v>
      </c>
      <c r="G34" s="3"/>
      <c r="H34" s="9"/>
      <c r="I34" s="9">
        <f>SUM(IFERROR(VLOOKUP($C:$C,Structure!$A:$AJ,I$1,0)*$D34,0),IFERROR(VLOOKUP($E:$E,Structure!$A:$AJ,I$1,0)*$F34,0),IFERROR(VLOOKUP($G:$G,Structure!$A:$AJ,I$1,0)*$H34,0))</f>
        <v>0</v>
      </c>
      <c r="J34" s="9">
        <f>SUM(IFERROR(VLOOKUP($C:$C,Structure!$A:$AJ,J$1,0)*$D34,0),IFERROR(VLOOKUP($E:$E,Structure!$A:$AJ,J$1,0)*$F34,0),IFERROR(VLOOKUP($G:$G,Structure!$A:$AJ,J$1,0)*$H34,0))</f>
        <v>0</v>
      </c>
      <c r="K34" s="9">
        <f>SUM(IFERROR(VLOOKUP($C:$C,Structure!$A:$AJ,K$1,0)*$D34,0),IFERROR(VLOOKUP($E:$E,Structure!$A:$AJ,K$1,0)*$F34,0),IFERROR(VLOOKUP($G:$G,Structure!$A:$AJ,K$1,0)*$H34,0))</f>
        <v>0</v>
      </c>
      <c r="L34" s="9">
        <f>SUM(IFERROR(VLOOKUP($C:$C,Structure!$A:$AJ,L$1,0)*$D34,0),IFERROR(VLOOKUP($E:$E,Structure!$A:$AJ,L$1,0)*$F34,0),IFERROR(VLOOKUP($G:$G,Structure!$A:$AJ,L$1,0)*$H34,0))</f>
        <v>0</v>
      </c>
      <c r="M34" s="9">
        <f>SUM(IFERROR(VLOOKUP($C:$C,Structure!$A:$AJ,M$1,0)*$D34,0),IFERROR(VLOOKUP($E:$E,Structure!$A:$AJ,M$1,0)*$F34,0),IFERROR(VLOOKUP($G:$G,Structure!$A:$AJ,M$1,0)*$H34,0))</f>
        <v>0</v>
      </c>
      <c r="N34" s="9">
        <f>SUM(IFERROR(VLOOKUP($C:$C,Structure!$A:$AJ,N$1,0)*$D34,0),IFERROR(VLOOKUP($E:$E,Structure!$A:$AJ,N$1,0)*$F34,0),IFERROR(VLOOKUP($G:$G,Structure!$A:$AJ,N$1,0)*$H34,0))</f>
        <v>0</v>
      </c>
      <c r="O34" s="9">
        <f>SUM(IFERROR(VLOOKUP($C:$C,Structure!$A:$AJ,O$1,0)*$D34,0),IFERROR(VLOOKUP($E:$E,Structure!$A:$AJ,O$1,0)*$F34,0),IFERROR(VLOOKUP($G:$G,Structure!$A:$AJ,O$1,0)*$H34,0))</f>
        <v>0</v>
      </c>
      <c r="P34" s="9">
        <f>SUM(IFERROR(VLOOKUP($C:$C,Structure!$A:$AJ,P$1,0)*$D34,0),IFERROR(VLOOKUP($E:$E,Structure!$A:$AJ,P$1,0)*$F34,0),IFERROR(VLOOKUP($G:$G,Structure!$A:$AJ,P$1,0)*$H34,0))</f>
        <v>0</v>
      </c>
      <c r="Q34" s="9">
        <f>SUM(IFERROR(VLOOKUP($C:$C,Structure!$A:$AJ,Q$1,0)*$D34,0),IFERROR(VLOOKUP($E:$E,Structure!$A:$AJ,Q$1,0)*$F34,0),IFERROR(VLOOKUP($G:$G,Structure!$A:$AJ,Q$1,0)*$H34,0))</f>
        <v>0</v>
      </c>
      <c r="R34" s="9">
        <f>SUM(IFERROR(VLOOKUP($C:$C,Structure!$A:$AJ,R$1,0)*$D34,0),IFERROR(VLOOKUP($E:$E,Structure!$A:$AJ,R$1,0)*$F34,0),IFERROR(VLOOKUP($G:$G,Structure!$A:$AJ,R$1,0)*$H34,0))</f>
        <v>0</v>
      </c>
      <c r="S34" s="9">
        <f>SUM(IFERROR(VLOOKUP($C:$C,Structure!$A:$AJ,S$1,0)*$D34,0),IFERROR(VLOOKUP($E:$E,Structure!$A:$AJ,S$1,0)*$F34,0),IFERROR(VLOOKUP($G:$G,Structure!$A:$AJ,S$1,0)*$H34,0))</f>
        <v>0</v>
      </c>
      <c r="T34" s="9">
        <f>SUM(IFERROR(VLOOKUP($C:$C,Structure!$A:$AJ,T$1,0)*$D34,0),IFERROR(VLOOKUP($E:$E,Structure!$A:$AJ,T$1,0)*$F34,0),IFERROR(VLOOKUP($G:$G,Structure!$A:$AJ,T$1,0)*$H34,0))</f>
        <v>0</v>
      </c>
      <c r="U34" s="9">
        <f>SUM(IFERROR(VLOOKUP($C:$C,Structure!$A:$AJ,U$1,0)*$D34,0),IFERROR(VLOOKUP($E:$E,Structure!$A:$AJ,U$1,0)*$F34,0),IFERROR(VLOOKUP($G:$G,Structure!$A:$AJ,U$1,0)*$H34,0))</f>
        <v>0</v>
      </c>
      <c r="V34" s="9">
        <f>SUM(IFERROR(VLOOKUP($C:$C,Structure!$A:$AJ,V$1,0)*$D34,0),IFERROR(VLOOKUP($E:$E,Structure!$A:$AJ,V$1,0)*$F34,0),IFERROR(VLOOKUP($G:$G,Structure!$A:$AJ,V$1,0)*$H34,0))</f>
        <v>8</v>
      </c>
      <c r="W34" s="9">
        <f>SUM(IFERROR(VLOOKUP($C:$C,Structure!$A:$AJ,W$1,0)*$D34,0),IFERROR(VLOOKUP($E:$E,Structure!$A:$AJ,W$1,0)*$F34,0),IFERROR(VLOOKUP($G:$G,Structure!$A:$AJ,W$1,0)*$H34,0))</f>
        <v>0</v>
      </c>
      <c r="X34" s="9">
        <f>SUM(IFERROR(VLOOKUP($C:$C,Structure!$A:$AJ,X$1,0)*$D34,0),IFERROR(VLOOKUP($E:$E,Structure!$A:$AJ,X$1,0)*$F34,0),IFERROR(VLOOKUP($G:$G,Structure!$A:$AJ,X$1,0)*$H34,0))</f>
        <v>0</v>
      </c>
      <c r="Y34" s="9">
        <f>SUM(IFERROR(VLOOKUP($C:$C,Structure!$A:$AJ,Y$1,0)*$D34,0),IFERROR(VLOOKUP($E:$E,Structure!$A:$AJ,Y$1,0)*$F34,0),IFERROR(VLOOKUP($G:$G,Structure!$A:$AJ,Y$1,0)*$H34,0))</f>
        <v>0</v>
      </c>
      <c r="Z34" s="9">
        <f>SUM(IFERROR(VLOOKUP($C:$C,Structure!$A:$AJ,Z$1,0)*$D34,0),IFERROR(VLOOKUP($E:$E,Structure!$A:$AJ,Z$1,0)*$F34,0),IFERROR(VLOOKUP($G:$G,Structure!$A:$AJ,Z$1,0)*$H34,0))</f>
        <v>0</v>
      </c>
      <c r="AA34" s="9">
        <f>SUM(IFERROR(VLOOKUP($C:$C,Structure!$A:$AJ,AA$1,0)*$D34,0),IFERROR(VLOOKUP($E:$E,Structure!$A:$AJ,AA$1,0)*$F34,0),IFERROR(VLOOKUP($G:$G,Structure!$A:$AJ,AA$1,0)*$H34,0))</f>
        <v>0</v>
      </c>
      <c r="AB34" s="9">
        <f>SUM(IFERROR(VLOOKUP($C:$C,Structure!$A:$AJ,AB$1,0)*$D34,0),IFERROR(VLOOKUP($E:$E,Structure!$A:$AJ,AB$1,0)*$F34,0),IFERROR(VLOOKUP($G:$G,Structure!$A:$AJ,AB$1,0)*$H34,0))</f>
        <v>0</v>
      </c>
      <c r="AC34" s="9">
        <f>SUM(IFERROR(VLOOKUP($C:$C,Structure!$A:$AJ,AC$1,0)*$D34,0),IFERROR(VLOOKUP($E:$E,Structure!$A:$AJ,AC$1,0)*$F34,0),IFERROR(VLOOKUP($G:$G,Structure!$A:$AJ,AC$1,0)*$H34,0))</f>
        <v>8</v>
      </c>
      <c r="AD34" s="9">
        <f>SUM(IFERROR(VLOOKUP($C:$C,Structure!$A:$AJ,AD$1,0)*$D34,0),IFERROR(VLOOKUP($E:$E,Structure!$A:$AJ,AD$1,0)*$F34,0),IFERROR(VLOOKUP($G:$G,Structure!$A:$AJ,AD$1,0)*$H34,0))</f>
        <v>0</v>
      </c>
      <c r="AE34" s="9">
        <f>SUM(IFERROR(VLOOKUP($C:$C,Structure!$A:$AJ,AE$1,0)*$D34,0),IFERROR(VLOOKUP($E:$E,Structure!$A:$AJ,AE$1,0)*$F34,0),IFERROR(VLOOKUP($G:$G,Structure!$A:$AJ,AE$1,0)*$H34,0))</f>
        <v>0</v>
      </c>
      <c r="AF34" s="9">
        <f>SUM(IFERROR(VLOOKUP($C:$C,Structure!$A:$AJ,AF$1,0)*$D34,0),IFERROR(VLOOKUP($E:$E,Structure!$A:$AJ,AF$1,0)*$F34,0),IFERROR(VLOOKUP($G:$G,Structure!$A:$AJ,AF$1,0)*$H34,0))</f>
        <v>0</v>
      </c>
      <c r="AG34" s="9">
        <f>SUM(IFERROR(VLOOKUP($C:$C,Structure!$A:$AJ,AG$1,0)*$D34,0),IFERROR(VLOOKUP($E:$E,Structure!$A:$AJ,AG$1,0)*$F34,0),IFERROR(VLOOKUP($G:$G,Structure!$A:$AJ,AG$1,0)*$H34,0))</f>
        <v>0</v>
      </c>
      <c r="AH34" s="9">
        <f>SUM(IFERROR(VLOOKUP($C:$C,Structure!$A:$AJ,AH$1,0)*$D34,0),IFERROR(VLOOKUP($E:$E,Structure!$A:$AJ,AH$1,0)*$F34,0),IFERROR(VLOOKUP($G:$G,Structure!$A:$AJ,AH$1,0)*$H34,0))</f>
        <v>0</v>
      </c>
      <c r="AI34" s="9">
        <f>SUM(IFERROR(VLOOKUP($C:$C,Structure!$A:$AJ,AI$1,0)*$D34,0),IFERROR(VLOOKUP($E:$E,Structure!$A:$AJ,AI$1,0)*$F34,0),IFERROR(VLOOKUP($G:$G,Structure!$A:$AJ,AI$1,0)*$H34,0))</f>
        <v>0</v>
      </c>
      <c r="AJ34" s="9">
        <f>SUM(IFERROR(VLOOKUP($C:$C,Structure!$A:$AJ,AJ$1,0)*$D34,0),IFERROR(VLOOKUP($E:$E,Structure!$A:$AJ,AJ$1,0)*$F34,0),IFERROR(VLOOKUP($G:$G,Structure!$A:$AJ,AJ$1,0)*$H34,0))</f>
        <v>0</v>
      </c>
      <c r="AK34" s="9">
        <f>SUM(IFERROR(VLOOKUP($C:$C,Structure!$A:$AJ,AK$1,0)*$D34,0),IFERROR(VLOOKUP($E:$E,Structure!$A:$AJ,AK$1,0)*$F34,0),IFERROR(VLOOKUP($G:$G,Structure!$A:$AJ,AK$1,0)*$H34,0))</f>
        <v>0</v>
      </c>
      <c r="AL34" s="9">
        <f>SUM(IFERROR(VLOOKUP($C:$C,Structure!$A:$AJ,AL$1,0)*$D34,0),IFERROR(VLOOKUP($E:$E,Structure!$A:$AJ,AL$1,0)*$F34,0),IFERROR(VLOOKUP($G:$G,Structure!$A:$AJ,AL$1,0)*$H34,0))</f>
        <v>0</v>
      </c>
      <c r="AM34" s="9">
        <f>SUM(IFERROR(VLOOKUP($C:$C,Structure!$A:$AJ,AM$1,0)*$D34,0),IFERROR(VLOOKUP($E:$E,Structure!$A:$AJ,AM$1,0)*$F34,0),IFERROR(VLOOKUP($G:$G,Structure!$A:$AJ,AM$1,0)*$H34,0))</f>
        <v>0</v>
      </c>
      <c r="AN34" s="9">
        <f>SUM(IFERROR(VLOOKUP($C:$C,Structure!$A:$AJ,AN$1,0)*$D34,0),IFERROR(VLOOKUP($E:$E,Structure!$A:$AJ,AN$1,0)*$F34,0),IFERROR(VLOOKUP($G:$G,Structure!$A:$AJ,AN$1,0)*$H34,0))</f>
        <v>0</v>
      </c>
      <c r="AO34" s="9">
        <f>SUM(IFERROR(VLOOKUP($C:$C,Structure!$A:$AJ,AO$1,0)*$D34,0),IFERROR(VLOOKUP($E:$E,Structure!$A:$AJ,AO$1,0)*$F34,0),IFERROR(VLOOKUP($G:$G,Structure!$A:$AJ,AO$1,0)*$H34,0))</f>
        <v>0</v>
      </c>
      <c r="AP34" s="9">
        <f>SUM(IFERROR(VLOOKUP($C:$C,Structure!$A:$AJ,AP$1,0)*$D34,0),IFERROR(VLOOKUP($E:$E,Structure!$A:$AJ,AP$1,0)*$F34,0),IFERROR(VLOOKUP($G:$G,Structure!$A:$AJ,AP$1,0)*$H34,0))</f>
        <v>0</v>
      </c>
      <c r="AQ34" s="9">
        <f>SUM(IFERROR(VLOOKUP($C:$C,Structure!$A:$AJ,AQ$1,0)*$D34,0),IFERROR(VLOOKUP($E:$E,Structure!$A:$AJ,AQ$1,0)*$F34,0),IFERROR(VLOOKUP($G:$G,Structure!$A:$AJ,AQ$1,0)*$H34,0))</f>
        <v>0</v>
      </c>
      <c r="AR34" s="21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4">
        <f t="shared" si="22"/>
        <v>0</v>
      </c>
      <c r="CE34" s="4">
        <f t="shared" si="23"/>
        <v>5</v>
      </c>
      <c r="CF34" s="4">
        <f t="shared" si="24"/>
        <v>4</v>
      </c>
      <c r="CG34" s="4">
        <f t="shared" si="25"/>
        <v>23</v>
      </c>
      <c r="CH34" s="4">
        <f t="shared" si="26"/>
        <v>1</v>
      </c>
      <c r="CI34" s="4">
        <f t="shared" si="27"/>
        <v>1</v>
      </c>
      <c r="CJ34" s="4">
        <f t="shared" si="28"/>
        <v>21</v>
      </c>
      <c r="CK34" s="4">
        <f t="shared" si="29"/>
        <v>334</v>
      </c>
      <c r="CL34" s="4">
        <f t="shared" si="30"/>
        <v>0</v>
      </c>
      <c r="CM34" s="4">
        <f t="shared" si="31"/>
        <v>4</v>
      </c>
      <c r="CN34" s="4">
        <f t="shared" si="32"/>
        <v>59</v>
      </c>
      <c r="CO34" s="4">
        <f t="shared" si="33"/>
        <v>0</v>
      </c>
      <c r="CP34" s="4">
        <f t="shared" si="34"/>
        <v>5</v>
      </c>
      <c r="CQ34" s="4">
        <f t="shared" si="35"/>
        <v>-57</v>
      </c>
      <c r="CR34" s="4">
        <f t="shared" si="36"/>
        <v>34</v>
      </c>
      <c r="CS34" s="4">
        <f t="shared" si="37"/>
        <v>0</v>
      </c>
      <c r="CT34" s="4">
        <f t="shared" si="38"/>
        <v>0</v>
      </c>
      <c r="CU34" s="4">
        <f t="shared" si="39"/>
        <v>0</v>
      </c>
      <c r="CV34" s="4">
        <f t="shared" si="40"/>
        <v>0</v>
      </c>
      <c r="CW34" s="4">
        <f t="shared" si="41"/>
        <v>0</v>
      </c>
      <c r="CX34" s="4">
        <f t="shared" si="42"/>
        <v>-37</v>
      </c>
      <c r="CY34" s="4">
        <f t="shared" si="43"/>
        <v>0</v>
      </c>
      <c r="CZ34" s="4">
        <f t="shared" si="44"/>
        <v>0</v>
      </c>
      <c r="DA34" s="4">
        <f t="shared" si="45"/>
        <v>0</v>
      </c>
      <c r="DB34" s="4">
        <f t="shared" si="46"/>
        <v>0</v>
      </c>
      <c r="DC34" s="4">
        <f t="shared" si="47"/>
        <v>0</v>
      </c>
      <c r="DD34" s="4">
        <f t="shared" si="48"/>
        <v>0</v>
      </c>
      <c r="DE34" s="4">
        <f t="shared" si="49"/>
        <v>0</v>
      </c>
      <c r="DF34" s="4">
        <f t="shared" si="50"/>
        <v>0</v>
      </c>
      <c r="DG34" s="4">
        <f t="shared" si="51"/>
        <v>0</v>
      </c>
      <c r="DH34" s="4">
        <f t="shared" si="52"/>
        <v>0</v>
      </c>
      <c r="DI34" s="4">
        <f t="shared" si="53"/>
        <v>0</v>
      </c>
      <c r="DJ34" s="4">
        <f t="shared" si="54"/>
        <v>0</v>
      </c>
      <c r="DK34" s="4">
        <f t="shared" si="55"/>
        <v>0</v>
      </c>
      <c r="DL34" s="4">
        <f t="shared" si="56"/>
        <v>0</v>
      </c>
    </row>
    <row r="35" spans="1:116" x14ac:dyDescent="0.25">
      <c r="A35" s="5">
        <v>46183</v>
      </c>
      <c r="B35" s="6">
        <v>0.97916666674427688</v>
      </c>
      <c r="C35" s="3"/>
      <c r="D35" s="3"/>
      <c r="E35" s="3" t="s">
        <v>38</v>
      </c>
      <c r="F35" s="3">
        <v>8</v>
      </c>
      <c r="G35" s="3"/>
      <c r="H35" s="9"/>
      <c r="I35" s="9">
        <f>SUM(IFERROR(VLOOKUP($C:$C,Structure!$A:$AJ,I$1,0)*$D35,0),IFERROR(VLOOKUP($E:$E,Structure!$A:$AJ,I$1,0)*$F35,0),IFERROR(VLOOKUP($G:$G,Structure!$A:$AJ,I$1,0)*$H35,0))</f>
        <v>0</v>
      </c>
      <c r="J35" s="9">
        <f>SUM(IFERROR(VLOOKUP($C:$C,Structure!$A:$AJ,J$1,0)*$D35,0),IFERROR(VLOOKUP($E:$E,Structure!$A:$AJ,J$1,0)*$F35,0),IFERROR(VLOOKUP($G:$G,Structure!$A:$AJ,J$1,0)*$H35,0))</f>
        <v>8</v>
      </c>
      <c r="K35" s="9">
        <f>SUM(IFERROR(VLOOKUP($C:$C,Structure!$A:$AJ,K$1,0)*$D35,0),IFERROR(VLOOKUP($E:$E,Structure!$A:$AJ,K$1,0)*$F35,0),IFERROR(VLOOKUP($G:$G,Structure!$A:$AJ,K$1,0)*$H35,0))</f>
        <v>0</v>
      </c>
      <c r="L35" s="9">
        <f>SUM(IFERROR(VLOOKUP($C:$C,Structure!$A:$AJ,L$1,0)*$D35,0),IFERROR(VLOOKUP($E:$E,Structure!$A:$AJ,L$1,0)*$F35,0),IFERROR(VLOOKUP($G:$G,Structure!$A:$AJ,L$1,0)*$H35,0))</f>
        <v>0</v>
      </c>
      <c r="M35" s="9">
        <f>SUM(IFERROR(VLOOKUP($C:$C,Structure!$A:$AJ,M$1,0)*$D35,0),IFERROR(VLOOKUP($E:$E,Structure!$A:$AJ,M$1,0)*$F35,0),IFERROR(VLOOKUP($G:$G,Structure!$A:$AJ,M$1,0)*$H35,0))</f>
        <v>0</v>
      </c>
      <c r="N35" s="9">
        <f>SUM(IFERROR(VLOOKUP($C:$C,Structure!$A:$AJ,N$1,0)*$D35,0),IFERROR(VLOOKUP($E:$E,Structure!$A:$AJ,N$1,0)*$F35,0),IFERROR(VLOOKUP($G:$G,Structure!$A:$AJ,N$1,0)*$H35,0))</f>
        <v>0</v>
      </c>
      <c r="O35" s="9">
        <f>SUM(IFERROR(VLOOKUP($C:$C,Structure!$A:$AJ,O$1,0)*$D35,0),IFERROR(VLOOKUP($E:$E,Structure!$A:$AJ,O$1,0)*$F35,0),IFERROR(VLOOKUP($G:$G,Structure!$A:$AJ,O$1,0)*$H35,0))</f>
        <v>0</v>
      </c>
      <c r="P35" s="9">
        <f>SUM(IFERROR(VLOOKUP($C:$C,Structure!$A:$AJ,P$1,0)*$D35,0),IFERROR(VLOOKUP($E:$E,Structure!$A:$AJ,P$1,0)*$F35,0),IFERROR(VLOOKUP($G:$G,Structure!$A:$AJ,P$1,0)*$H35,0))</f>
        <v>8</v>
      </c>
      <c r="Q35" s="9">
        <f>SUM(IFERROR(VLOOKUP($C:$C,Structure!$A:$AJ,Q$1,0)*$D35,0),IFERROR(VLOOKUP($E:$E,Structure!$A:$AJ,Q$1,0)*$F35,0),IFERROR(VLOOKUP($G:$G,Structure!$A:$AJ,Q$1,0)*$H35,0))</f>
        <v>0</v>
      </c>
      <c r="R35" s="9">
        <f>SUM(IFERROR(VLOOKUP($C:$C,Structure!$A:$AJ,R$1,0)*$D35,0),IFERROR(VLOOKUP($E:$E,Structure!$A:$AJ,R$1,0)*$F35,0),IFERROR(VLOOKUP($G:$G,Structure!$A:$AJ,R$1,0)*$H35,0))</f>
        <v>0</v>
      </c>
      <c r="S35" s="9">
        <f>SUM(IFERROR(VLOOKUP($C:$C,Structure!$A:$AJ,S$1,0)*$D35,0),IFERROR(VLOOKUP($E:$E,Structure!$A:$AJ,S$1,0)*$F35,0),IFERROR(VLOOKUP($G:$G,Structure!$A:$AJ,S$1,0)*$H35,0))</f>
        <v>0</v>
      </c>
      <c r="T35" s="9">
        <f>SUM(IFERROR(VLOOKUP($C:$C,Structure!$A:$AJ,T$1,0)*$D35,0),IFERROR(VLOOKUP($E:$E,Structure!$A:$AJ,T$1,0)*$F35,0),IFERROR(VLOOKUP($G:$G,Structure!$A:$AJ,T$1,0)*$H35,0))</f>
        <v>0</v>
      </c>
      <c r="U35" s="9">
        <f>SUM(IFERROR(VLOOKUP($C:$C,Structure!$A:$AJ,U$1,0)*$D35,0),IFERROR(VLOOKUP($E:$E,Structure!$A:$AJ,U$1,0)*$F35,0),IFERROR(VLOOKUP($G:$G,Structure!$A:$AJ,U$1,0)*$H35,0))</f>
        <v>0</v>
      </c>
      <c r="V35" s="9">
        <f>SUM(IFERROR(VLOOKUP($C:$C,Structure!$A:$AJ,V$1,0)*$D35,0),IFERROR(VLOOKUP($E:$E,Structure!$A:$AJ,V$1,0)*$F35,0),IFERROR(VLOOKUP($G:$G,Structure!$A:$AJ,V$1,0)*$H35,0))</f>
        <v>0</v>
      </c>
      <c r="W35" s="9">
        <f>SUM(IFERROR(VLOOKUP($C:$C,Structure!$A:$AJ,W$1,0)*$D35,0),IFERROR(VLOOKUP($E:$E,Structure!$A:$AJ,W$1,0)*$F35,0),IFERROR(VLOOKUP($G:$G,Structure!$A:$AJ,W$1,0)*$H35,0))</f>
        <v>0</v>
      </c>
      <c r="X35" s="9">
        <f>SUM(IFERROR(VLOOKUP($C:$C,Structure!$A:$AJ,X$1,0)*$D35,0),IFERROR(VLOOKUP($E:$E,Structure!$A:$AJ,X$1,0)*$F35,0),IFERROR(VLOOKUP($G:$G,Structure!$A:$AJ,X$1,0)*$H35,0))</f>
        <v>0</v>
      </c>
      <c r="Y35" s="9">
        <f>SUM(IFERROR(VLOOKUP($C:$C,Structure!$A:$AJ,Y$1,0)*$D35,0),IFERROR(VLOOKUP($E:$E,Structure!$A:$AJ,Y$1,0)*$F35,0),IFERROR(VLOOKUP($G:$G,Structure!$A:$AJ,Y$1,0)*$H35,0))</f>
        <v>0</v>
      </c>
      <c r="Z35" s="9">
        <f>SUM(IFERROR(VLOOKUP($C:$C,Structure!$A:$AJ,Z$1,0)*$D35,0),IFERROR(VLOOKUP($E:$E,Structure!$A:$AJ,Z$1,0)*$F35,0),IFERROR(VLOOKUP($G:$G,Structure!$A:$AJ,Z$1,0)*$H35,0))</f>
        <v>0</v>
      </c>
      <c r="AA35" s="9">
        <f>SUM(IFERROR(VLOOKUP($C:$C,Structure!$A:$AJ,AA$1,0)*$D35,0),IFERROR(VLOOKUP($E:$E,Structure!$A:$AJ,AA$1,0)*$F35,0),IFERROR(VLOOKUP($G:$G,Structure!$A:$AJ,AA$1,0)*$H35,0))</f>
        <v>0</v>
      </c>
      <c r="AB35" s="9">
        <f>SUM(IFERROR(VLOOKUP($C:$C,Structure!$A:$AJ,AB$1,0)*$D35,0),IFERROR(VLOOKUP($E:$E,Structure!$A:$AJ,AB$1,0)*$F35,0),IFERROR(VLOOKUP($G:$G,Structure!$A:$AJ,AB$1,0)*$H35,0))</f>
        <v>0</v>
      </c>
      <c r="AC35" s="9">
        <f>SUM(IFERROR(VLOOKUP($C:$C,Structure!$A:$AJ,AC$1,0)*$D35,0),IFERROR(VLOOKUP($E:$E,Structure!$A:$AJ,AC$1,0)*$F35,0),IFERROR(VLOOKUP($G:$G,Structure!$A:$AJ,AC$1,0)*$H35,0))</f>
        <v>0</v>
      </c>
      <c r="AD35" s="9">
        <f>SUM(IFERROR(VLOOKUP($C:$C,Structure!$A:$AJ,AD$1,0)*$D35,0),IFERROR(VLOOKUP($E:$E,Structure!$A:$AJ,AD$1,0)*$F35,0),IFERROR(VLOOKUP($G:$G,Structure!$A:$AJ,AD$1,0)*$H35,0))</f>
        <v>0</v>
      </c>
      <c r="AE35" s="9">
        <f>SUM(IFERROR(VLOOKUP($C:$C,Structure!$A:$AJ,AE$1,0)*$D35,0),IFERROR(VLOOKUP($E:$E,Structure!$A:$AJ,AE$1,0)*$F35,0),IFERROR(VLOOKUP($G:$G,Structure!$A:$AJ,AE$1,0)*$H35,0))</f>
        <v>0</v>
      </c>
      <c r="AF35" s="9">
        <f>SUM(IFERROR(VLOOKUP($C:$C,Structure!$A:$AJ,AF$1,0)*$D35,0),IFERROR(VLOOKUP($E:$E,Structure!$A:$AJ,AF$1,0)*$F35,0),IFERROR(VLOOKUP($G:$G,Structure!$A:$AJ,AF$1,0)*$H35,0))</f>
        <v>0</v>
      </c>
      <c r="AG35" s="9">
        <f>SUM(IFERROR(VLOOKUP($C:$C,Structure!$A:$AJ,AG$1,0)*$D35,0),IFERROR(VLOOKUP($E:$E,Structure!$A:$AJ,AG$1,0)*$F35,0),IFERROR(VLOOKUP($G:$G,Structure!$A:$AJ,AG$1,0)*$H35,0))</f>
        <v>0</v>
      </c>
      <c r="AH35" s="9">
        <f>SUM(IFERROR(VLOOKUP($C:$C,Structure!$A:$AJ,AH$1,0)*$D35,0),IFERROR(VLOOKUP($E:$E,Structure!$A:$AJ,AH$1,0)*$F35,0),IFERROR(VLOOKUP($G:$G,Structure!$A:$AJ,AH$1,0)*$H35,0))</f>
        <v>0</v>
      </c>
      <c r="AI35" s="9">
        <f>SUM(IFERROR(VLOOKUP($C:$C,Structure!$A:$AJ,AI$1,0)*$D35,0),IFERROR(VLOOKUP($E:$E,Structure!$A:$AJ,AI$1,0)*$F35,0),IFERROR(VLOOKUP($G:$G,Structure!$A:$AJ,AI$1,0)*$H35,0))</f>
        <v>0</v>
      </c>
      <c r="AJ35" s="9">
        <f>SUM(IFERROR(VLOOKUP($C:$C,Structure!$A:$AJ,AJ$1,0)*$D35,0),IFERROR(VLOOKUP($E:$E,Structure!$A:$AJ,AJ$1,0)*$F35,0),IFERROR(VLOOKUP($G:$G,Structure!$A:$AJ,AJ$1,0)*$H35,0))</f>
        <v>0</v>
      </c>
      <c r="AK35" s="9">
        <f>SUM(IFERROR(VLOOKUP($C:$C,Structure!$A:$AJ,AK$1,0)*$D35,0),IFERROR(VLOOKUP($E:$E,Structure!$A:$AJ,AK$1,0)*$F35,0),IFERROR(VLOOKUP($G:$G,Structure!$A:$AJ,AK$1,0)*$H35,0))</f>
        <v>0</v>
      </c>
      <c r="AL35" s="9">
        <f>SUM(IFERROR(VLOOKUP($C:$C,Structure!$A:$AJ,AL$1,0)*$D35,0),IFERROR(VLOOKUP($E:$E,Structure!$A:$AJ,AL$1,0)*$F35,0),IFERROR(VLOOKUP($G:$G,Structure!$A:$AJ,AL$1,0)*$H35,0))</f>
        <v>0</v>
      </c>
      <c r="AM35" s="9">
        <f>SUM(IFERROR(VLOOKUP($C:$C,Structure!$A:$AJ,AM$1,0)*$D35,0),IFERROR(VLOOKUP($E:$E,Structure!$A:$AJ,AM$1,0)*$F35,0),IFERROR(VLOOKUP($G:$G,Structure!$A:$AJ,AM$1,0)*$H35,0))</f>
        <v>0</v>
      </c>
      <c r="AN35" s="9">
        <f>SUM(IFERROR(VLOOKUP($C:$C,Structure!$A:$AJ,AN$1,0)*$D35,0),IFERROR(VLOOKUP($E:$E,Structure!$A:$AJ,AN$1,0)*$F35,0),IFERROR(VLOOKUP($G:$G,Structure!$A:$AJ,AN$1,0)*$H35,0))</f>
        <v>0</v>
      </c>
      <c r="AO35" s="9">
        <f>SUM(IFERROR(VLOOKUP($C:$C,Structure!$A:$AJ,AO$1,0)*$D35,0),IFERROR(VLOOKUP($E:$E,Structure!$A:$AJ,AO$1,0)*$F35,0),IFERROR(VLOOKUP($G:$G,Structure!$A:$AJ,AO$1,0)*$H35,0))</f>
        <v>0</v>
      </c>
      <c r="AP35" s="9">
        <f>SUM(IFERROR(VLOOKUP($C:$C,Structure!$A:$AJ,AP$1,0)*$D35,0),IFERROR(VLOOKUP($E:$E,Structure!$A:$AJ,AP$1,0)*$F35,0),IFERROR(VLOOKUP($G:$G,Structure!$A:$AJ,AP$1,0)*$H35,0))</f>
        <v>0</v>
      </c>
      <c r="AQ35" s="9">
        <f>SUM(IFERROR(VLOOKUP($C:$C,Structure!$A:$AJ,AQ$1,0)*$D35,0),IFERROR(VLOOKUP($E:$E,Structure!$A:$AJ,AQ$1,0)*$F35,0),IFERROR(VLOOKUP($G:$G,Structure!$A:$AJ,AQ$1,0)*$H35,0))</f>
        <v>0</v>
      </c>
      <c r="AR35" s="21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4">
        <f t="shared" si="22"/>
        <v>0</v>
      </c>
      <c r="CE35" s="4">
        <f t="shared" si="23"/>
        <v>-3</v>
      </c>
      <c r="CF35" s="4">
        <f t="shared" si="24"/>
        <v>4</v>
      </c>
      <c r="CG35" s="4">
        <f t="shared" si="25"/>
        <v>23</v>
      </c>
      <c r="CH35" s="4">
        <f t="shared" si="26"/>
        <v>1</v>
      </c>
      <c r="CI35" s="4">
        <f t="shared" si="27"/>
        <v>1</v>
      </c>
      <c r="CJ35" s="4">
        <f t="shared" si="28"/>
        <v>21</v>
      </c>
      <c r="CK35" s="4">
        <f t="shared" si="29"/>
        <v>326</v>
      </c>
      <c r="CL35" s="4">
        <f t="shared" si="30"/>
        <v>0</v>
      </c>
      <c r="CM35" s="4">
        <f t="shared" si="31"/>
        <v>4</v>
      </c>
      <c r="CN35" s="4">
        <f t="shared" si="32"/>
        <v>59</v>
      </c>
      <c r="CO35" s="4">
        <f t="shared" si="33"/>
        <v>0</v>
      </c>
      <c r="CP35" s="4">
        <f t="shared" si="34"/>
        <v>5</v>
      </c>
      <c r="CQ35" s="4">
        <f t="shared" si="35"/>
        <v>-57</v>
      </c>
      <c r="CR35" s="4">
        <f t="shared" si="36"/>
        <v>34</v>
      </c>
      <c r="CS35" s="4">
        <f t="shared" si="37"/>
        <v>0</v>
      </c>
      <c r="CT35" s="4">
        <f t="shared" si="38"/>
        <v>0</v>
      </c>
      <c r="CU35" s="4">
        <f t="shared" si="39"/>
        <v>0</v>
      </c>
      <c r="CV35" s="4">
        <f t="shared" si="40"/>
        <v>0</v>
      </c>
      <c r="CW35" s="4">
        <f t="shared" si="41"/>
        <v>0</v>
      </c>
      <c r="CX35" s="4">
        <f t="shared" si="42"/>
        <v>-37</v>
      </c>
      <c r="CY35" s="4">
        <f t="shared" si="43"/>
        <v>0</v>
      </c>
      <c r="CZ35" s="4">
        <f t="shared" si="44"/>
        <v>0</v>
      </c>
      <c r="DA35" s="4">
        <f t="shared" si="45"/>
        <v>0</v>
      </c>
      <c r="DB35" s="4">
        <f t="shared" si="46"/>
        <v>0</v>
      </c>
      <c r="DC35" s="4">
        <f t="shared" si="47"/>
        <v>0</v>
      </c>
      <c r="DD35" s="4">
        <f t="shared" si="48"/>
        <v>0</v>
      </c>
      <c r="DE35" s="4">
        <f t="shared" si="49"/>
        <v>0</v>
      </c>
      <c r="DF35" s="4">
        <f t="shared" si="50"/>
        <v>0</v>
      </c>
      <c r="DG35" s="4">
        <f t="shared" si="51"/>
        <v>0</v>
      </c>
      <c r="DH35" s="4">
        <f t="shared" si="52"/>
        <v>0</v>
      </c>
      <c r="DI35" s="4">
        <f t="shared" si="53"/>
        <v>0</v>
      </c>
      <c r="DJ35" s="4">
        <f t="shared" si="54"/>
        <v>0</v>
      </c>
      <c r="DK35" s="4">
        <f t="shared" si="55"/>
        <v>0</v>
      </c>
      <c r="DL35" s="4">
        <f t="shared" si="56"/>
        <v>0</v>
      </c>
    </row>
    <row r="36" spans="1:116" x14ac:dyDescent="0.25">
      <c r="A36" s="5">
        <v>46184</v>
      </c>
      <c r="B36" s="6">
        <v>8.0035533756017685E-11</v>
      </c>
      <c r="C36" s="3"/>
      <c r="D36" s="3"/>
      <c r="E36" s="3" t="s">
        <v>38</v>
      </c>
      <c r="F36" s="3">
        <v>8</v>
      </c>
      <c r="G36" s="3"/>
      <c r="H36" s="9"/>
      <c r="I36" s="9">
        <f>SUM(IFERROR(VLOOKUP($C:$C,Structure!$A:$AJ,I$1,0)*$D36,0),IFERROR(VLOOKUP($E:$E,Structure!$A:$AJ,I$1,0)*$F36,0),IFERROR(VLOOKUP($G:$G,Structure!$A:$AJ,I$1,0)*$H36,0))</f>
        <v>0</v>
      </c>
      <c r="J36" s="9">
        <f>SUM(IFERROR(VLOOKUP($C:$C,Structure!$A:$AJ,J$1,0)*$D36,0),IFERROR(VLOOKUP($E:$E,Structure!$A:$AJ,J$1,0)*$F36,0),IFERROR(VLOOKUP($G:$G,Structure!$A:$AJ,J$1,0)*$H36,0))</f>
        <v>8</v>
      </c>
      <c r="K36" s="9">
        <f>SUM(IFERROR(VLOOKUP($C:$C,Structure!$A:$AJ,K$1,0)*$D36,0),IFERROR(VLOOKUP($E:$E,Structure!$A:$AJ,K$1,0)*$F36,0),IFERROR(VLOOKUP($G:$G,Structure!$A:$AJ,K$1,0)*$H36,0))</f>
        <v>0</v>
      </c>
      <c r="L36" s="9">
        <f>SUM(IFERROR(VLOOKUP($C:$C,Structure!$A:$AJ,L$1,0)*$D36,0),IFERROR(VLOOKUP($E:$E,Structure!$A:$AJ,L$1,0)*$F36,0),IFERROR(VLOOKUP($G:$G,Structure!$A:$AJ,L$1,0)*$H36,0))</f>
        <v>0</v>
      </c>
      <c r="M36" s="9">
        <f>SUM(IFERROR(VLOOKUP($C:$C,Structure!$A:$AJ,M$1,0)*$D36,0),IFERROR(VLOOKUP($E:$E,Structure!$A:$AJ,M$1,0)*$F36,0),IFERROR(VLOOKUP($G:$G,Structure!$A:$AJ,M$1,0)*$H36,0))</f>
        <v>0</v>
      </c>
      <c r="N36" s="9">
        <f>SUM(IFERROR(VLOOKUP($C:$C,Structure!$A:$AJ,N$1,0)*$D36,0),IFERROR(VLOOKUP($E:$E,Structure!$A:$AJ,N$1,0)*$F36,0),IFERROR(VLOOKUP($G:$G,Structure!$A:$AJ,N$1,0)*$H36,0))</f>
        <v>0</v>
      </c>
      <c r="O36" s="9">
        <f>SUM(IFERROR(VLOOKUP($C:$C,Structure!$A:$AJ,O$1,0)*$D36,0),IFERROR(VLOOKUP($E:$E,Structure!$A:$AJ,O$1,0)*$F36,0),IFERROR(VLOOKUP($G:$G,Structure!$A:$AJ,O$1,0)*$H36,0))</f>
        <v>0</v>
      </c>
      <c r="P36" s="9">
        <f>SUM(IFERROR(VLOOKUP($C:$C,Structure!$A:$AJ,P$1,0)*$D36,0),IFERROR(VLOOKUP($E:$E,Structure!$A:$AJ,P$1,0)*$F36,0),IFERROR(VLOOKUP($G:$G,Structure!$A:$AJ,P$1,0)*$H36,0))</f>
        <v>8</v>
      </c>
      <c r="Q36" s="9">
        <f>SUM(IFERROR(VLOOKUP($C:$C,Structure!$A:$AJ,Q$1,0)*$D36,0),IFERROR(VLOOKUP($E:$E,Structure!$A:$AJ,Q$1,0)*$F36,0),IFERROR(VLOOKUP($G:$G,Structure!$A:$AJ,Q$1,0)*$H36,0))</f>
        <v>0</v>
      </c>
      <c r="R36" s="9">
        <f>SUM(IFERROR(VLOOKUP($C:$C,Structure!$A:$AJ,R$1,0)*$D36,0),IFERROR(VLOOKUP($E:$E,Structure!$A:$AJ,R$1,0)*$F36,0),IFERROR(VLOOKUP($G:$G,Structure!$A:$AJ,R$1,0)*$H36,0))</f>
        <v>0</v>
      </c>
      <c r="S36" s="9">
        <f>SUM(IFERROR(VLOOKUP($C:$C,Structure!$A:$AJ,S$1,0)*$D36,0),IFERROR(VLOOKUP($E:$E,Structure!$A:$AJ,S$1,0)*$F36,0),IFERROR(VLOOKUP($G:$G,Structure!$A:$AJ,S$1,0)*$H36,0))</f>
        <v>0</v>
      </c>
      <c r="T36" s="9">
        <f>SUM(IFERROR(VLOOKUP($C:$C,Structure!$A:$AJ,T$1,0)*$D36,0),IFERROR(VLOOKUP($E:$E,Structure!$A:$AJ,T$1,0)*$F36,0),IFERROR(VLOOKUP($G:$G,Structure!$A:$AJ,T$1,0)*$H36,0))</f>
        <v>0</v>
      </c>
      <c r="U36" s="9">
        <f>SUM(IFERROR(VLOOKUP($C:$C,Structure!$A:$AJ,U$1,0)*$D36,0),IFERROR(VLOOKUP($E:$E,Structure!$A:$AJ,U$1,0)*$F36,0),IFERROR(VLOOKUP($G:$G,Structure!$A:$AJ,U$1,0)*$H36,0))</f>
        <v>0</v>
      </c>
      <c r="V36" s="9">
        <f>SUM(IFERROR(VLOOKUP($C:$C,Structure!$A:$AJ,V$1,0)*$D36,0),IFERROR(VLOOKUP($E:$E,Structure!$A:$AJ,V$1,0)*$F36,0),IFERROR(VLOOKUP($G:$G,Structure!$A:$AJ,V$1,0)*$H36,0))</f>
        <v>0</v>
      </c>
      <c r="W36" s="9">
        <f>SUM(IFERROR(VLOOKUP($C:$C,Structure!$A:$AJ,W$1,0)*$D36,0),IFERROR(VLOOKUP($E:$E,Structure!$A:$AJ,W$1,0)*$F36,0),IFERROR(VLOOKUP($G:$G,Structure!$A:$AJ,W$1,0)*$H36,0))</f>
        <v>0</v>
      </c>
      <c r="X36" s="9">
        <f>SUM(IFERROR(VLOOKUP($C:$C,Structure!$A:$AJ,X$1,0)*$D36,0),IFERROR(VLOOKUP($E:$E,Structure!$A:$AJ,X$1,0)*$F36,0),IFERROR(VLOOKUP($G:$G,Structure!$A:$AJ,X$1,0)*$H36,0))</f>
        <v>0</v>
      </c>
      <c r="Y36" s="9">
        <f>SUM(IFERROR(VLOOKUP($C:$C,Structure!$A:$AJ,Y$1,0)*$D36,0),IFERROR(VLOOKUP($E:$E,Structure!$A:$AJ,Y$1,0)*$F36,0),IFERROR(VLOOKUP($G:$G,Structure!$A:$AJ,Y$1,0)*$H36,0))</f>
        <v>0</v>
      </c>
      <c r="Z36" s="9">
        <f>SUM(IFERROR(VLOOKUP($C:$C,Structure!$A:$AJ,Z$1,0)*$D36,0),IFERROR(VLOOKUP($E:$E,Structure!$A:$AJ,Z$1,0)*$F36,0),IFERROR(VLOOKUP($G:$G,Structure!$A:$AJ,Z$1,0)*$H36,0))</f>
        <v>0</v>
      </c>
      <c r="AA36" s="9">
        <f>SUM(IFERROR(VLOOKUP($C:$C,Structure!$A:$AJ,AA$1,0)*$D36,0),IFERROR(VLOOKUP($E:$E,Structure!$A:$AJ,AA$1,0)*$F36,0),IFERROR(VLOOKUP($G:$G,Structure!$A:$AJ,AA$1,0)*$H36,0))</f>
        <v>0</v>
      </c>
      <c r="AB36" s="9">
        <f>SUM(IFERROR(VLOOKUP($C:$C,Structure!$A:$AJ,AB$1,0)*$D36,0),IFERROR(VLOOKUP($E:$E,Structure!$A:$AJ,AB$1,0)*$F36,0),IFERROR(VLOOKUP($G:$G,Structure!$A:$AJ,AB$1,0)*$H36,0))</f>
        <v>0</v>
      </c>
      <c r="AC36" s="9">
        <f>SUM(IFERROR(VLOOKUP($C:$C,Structure!$A:$AJ,AC$1,0)*$D36,0),IFERROR(VLOOKUP($E:$E,Structure!$A:$AJ,AC$1,0)*$F36,0),IFERROR(VLOOKUP($G:$G,Structure!$A:$AJ,AC$1,0)*$H36,0))</f>
        <v>0</v>
      </c>
      <c r="AD36" s="9">
        <f>SUM(IFERROR(VLOOKUP($C:$C,Structure!$A:$AJ,AD$1,0)*$D36,0),IFERROR(VLOOKUP($E:$E,Structure!$A:$AJ,AD$1,0)*$F36,0),IFERROR(VLOOKUP($G:$G,Structure!$A:$AJ,AD$1,0)*$H36,0))</f>
        <v>0</v>
      </c>
      <c r="AE36" s="9">
        <f>SUM(IFERROR(VLOOKUP($C:$C,Structure!$A:$AJ,AE$1,0)*$D36,0),IFERROR(VLOOKUP($E:$E,Structure!$A:$AJ,AE$1,0)*$F36,0),IFERROR(VLOOKUP($G:$G,Structure!$A:$AJ,AE$1,0)*$H36,0))</f>
        <v>0</v>
      </c>
      <c r="AF36" s="9">
        <f>SUM(IFERROR(VLOOKUP($C:$C,Structure!$A:$AJ,AF$1,0)*$D36,0),IFERROR(VLOOKUP($E:$E,Structure!$A:$AJ,AF$1,0)*$F36,0),IFERROR(VLOOKUP($G:$G,Structure!$A:$AJ,AF$1,0)*$H36,0))</f>
        <v>0</v>
      </c>
      <c r="AG36" s="9">
        <f>SUM(IFERROR(VLOOKUP($C:$C,Structure!$A:$AJ,AG$1,0)*$D36,0),IFERROR(VLOOKUP($E:$E,Structure!$A:$AJ,AG$1,0)*$F36,0),IFERROR(VLOOKUP($G:$G,Structure!$A:$AJ,AG$1,0)*$H36,0))</f>
        <v>0</v>
      </c>
      <c r="AH36" s="9">
        <f>SUM(IFERROR(VLOOKUP($C:$C,Structure!$A:$AJ,AH$1,0)*$D36,0),IFERROR(VLOOKUP($E:$E,Structure!$A:$AJ,AH$1,0)*$F36,0),IFERROR(VLOOKUP($G:$G,Structure!$A:$AJ,AH$1,0)*$H36,0))</f>
        <v>0</v>
      </c>
      <c r="AI36" s="9">
        <f>SUM(IFERROR(VLOOKUP($C:$C,Structure!$A:$AJ,AI$1,0)*$D36,0),IFERROR(VLOOKUP($E:$E,Structure!$A:$AJ,AI$1,0)*$F36,0),IFERROR(VLOOKUP($G:$G,Structure!$A:$AJ,AI$1,0)*$H36,0))</f>
        <v>0</v>
      </c>
      <c r="AJ36" s="9">
        <f>SUM(IFERROR(VLOOKUP($C:$C,Structure!$A:$AJ,AJ$1,0)*$D36,0),IFERROR(VLOOKUP($E:$E,Structure!$A:$AJ,AJ$1,0)*$F36,0),IFERROR(VLOOKUP($G:$G,Structure!$A:$AJ,AJ$1,0)*$H36,0))</f>
        <v>0</v>
      </c>
      <c r="AK36" s="9">
        <f>SUM(IFERROR(VLOOKUP($C:$C,Structure!$A:$AJ,AK$1,0)*$D36,0),IFERROR(VLOOKUP($E:$E,Structure!$A:$AJ,AK$1,0)*$F36,0),IFERROR(VLOOKUP($G:$G,Structure!$A:$AJ,AK$1,0)*$H36,0))</f>
        <v>0</v>
      </c>
      <c r="AL36" s="9">
        <f>SUM(IFERROR(VLOOKUP($C:$C,Structure!$A:$AJ,AL$1,0)*$D36,0),IFERROR(VLOOKUP($E:$E,Structure!$A:$AJ,AL$1,0)*$F36,0),IFERROR(VLOOKUP($G:$G,Structure!$A:$AJ,AL$1,0)*$H36,0))</f>
        <v>0</v>
      </c>
      <c r="AM36" s="9">
        <f>SUM(IFERROR(VLOOKUP($C:$C,Structure!$A:$AJ,AM$1,0)*$D36,0),IFERROR(VLOOKUP($E:$E,Structure!$A:$AJ,AM$1,0)*$F36,0),IFERROR(VLOOKUP($G:$G,Structure!$A:$AJ,AM$1,0)*$H36,0))</f>
        <v>0</v>
      </c>
      <c r="AN36" s="9">
        <f>SUM(IFERROR(VLOOKUP($C:$C,Structure!$A:$AJ,AN$1,0)*$D36,0),IFERROR(VLOOKUP($E:$E,Structure!$A:$AJ,AN$1,0)*$F36,0),IFERROR(VLOOKUP($G:$G,Structure!$A:$AJ,AN$1,0)*$H36,0))</f>
        <v>0</v>
      </c>
      <c r="AO36" s="9">
        <f>SUM(IFERROR(VLOOKUP($C:$C,Structure!$A:$AJ,AO$1,0)*$D36,0),IFERROR(VLOOKUP($E:$E,Structure!$A:$AJ,AO$1,0)*$F36,0),IFERROR(VLOOKUP($G:$G,Structure!$A:$AJ,AO$1,0)*$H36,0))</f>
        <v>0</v>
      </c>
      <c r="AP36" s="9">
        <f>SUM(IFERROR(VLOOKUP($C:$C,Structure!$A:$AJ,AP$1,0)*$D36,0),IFERROR(VLOOKUP($E:$E,Structure!$A:$AJ,AP$1,0)*$F36,0),IFERROR(VLOOKUP($G:$G,Structure!$A:$AJ,AP$1,0)*$H36,0))</f>
        <v>0</v>
      </c>
      <c r="AQ36" s="9">
        <f>SUM(IFERROR(VLOOKUP($C:$C,Structure!$A:$AJ,AQ$1,0)*$D36,0),IFERROR(VLOOKUP($E:$E,Structure!$A:$AJ,AQ$1,0)*$F36,0),IFERROR(VLOOKUP($G:$G,Structure!$A:$AJ,AQ$1,0)*$H36,0))</f>
        <v>0</v>
      </c>
      <c r="AR36" s="21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4">
        <f t="shared" si="22"/>
        <v>0</v>
      </c>
      <c r="CE36" s="4">
        <f t="shared" si="23"/>
        <v>-11</v>
      </c>
      <c r="CF36" s="4">
        <f t="shared" si="24"/>
        <v>4</v>
      </c>
      <c r="CG36" s="4">
        <f t="shared" si="25"/>
        <v>23</v>
      </c>
      <c r="CH36" s="4">
        <f t="shared" si="26"/>
        <v>1</v>
      </c>
      <c r="CI36" s="4">
        <f t="shared" si="27"/>
        <v>1</v>
      </c>
      <c r="CJ36" s="4">
        <f t="shared" si="28"/>
        <v>21</v>
      </c>
      <c r="CK36" s="4">
        <f t="shared" si="29"/>
        <v>318</v>
      </c>
      <c r="CL36" s="4">
        <f t="shared" si="30"/>
        <v>0</v>
      </c>
      <c r="CM36" s="4">
        <f t="shared" si="31"/>
        <v>4</v>
      </c>
      <c r="CN36" s="4">
        <f t="shared" si="32"/>
        <v>59</v>
      </c>
      <c r="CO36" s="4">
        <f t="shared" si="33"/>
        <v>0</v>
      </c>
      <c r="CP36" s="4">
        <f t="shared" si="34"/>
        <v>5</v>
      </c>
      <c r="CQ36" s="4">
        <f t="shared" si="35"/>
        <v>-57</v>
      </c>
      <c r="CR36" s="4">
        <f t="shared" si="36"/>
        <v>34</v>
      </c>
      <c r="CS36" s="4">
        <f t="shared" si="37"/>
        <v>0</v>
      </c>
      <c r="CT36" s="4">
        <f t="shared" si="38"/>
        <v>0</v>
      </c>
      <c r="CU36" s="4">
        <f t="shared" si="39"/>
        <v>0</v>
      </c>
      <c r="CV36" s="4">
        <f t="shared" si="40"/>
        <v>0</v>
      </c>
      <c r="CW36" s="4">
        <f t="shared" si="41"/>
        <v>0</v>
      </c>
      <c r="CX36" s="4">
        <f t="shared" si="42"/>
        <v>-37</v>
      </c>
      <c r="CY36" s="4">
        <f t="shared" si="43"/>
        <v>0</v>
      </c>
      <c r="CZ36" s="4">
        <f t="shared" si="44"/>
        <v>0</v>
      </c>
      <c r="DA36" s="4">
        <f t="shared" si="45"/>
        <v>0</v>
      </c>
      <c r="DB36" s="4">
        <f t="shared" si="46"/>
        <v>0</v>
      </c>
      <c r="DC36" s="4">
        <f t="shared" si="47"/>
        <v>0</v>
      </c>
      <c r="DD36" s="4">
        <f t="shared" si="48"/>
        <v>0</v>
      </c>
      <c r="DE36" s="4">
        <f t="shared" si="49"/>
        <v>0</v>
      </c>
      <c r="DF36" s="4">
        <f t="shared" si="50"/>
        <v>0</v>
      </c>
      <c r="DG36" s="4">
        <f t="shared" si="51"/>
        <v>0</v>
      </c>
      <c r="DH36" s="4">
        <f t="shared" si="52"/>
        <v>0</v>
      </c>
      <c r="DI36" s="4">
        <f t="shared" si="53"/>
        <v>0</v>
      </c>
      <c r="DJ36" s="4">
        <f t="shared" si="54"/>
        <v>0</v>
      </c>
      <c r="DK36" s="4">
        <f t="shared" si="55"/>
        <v>0</v>
      </c>
      <c r="DL36" s="4">
        <f t="shared" si="56"/>
        <v>0</v>
      </c>
    </row>
    <row r="37" spans="1:116" x14ac:dyDescent="0.25">
      <c r="A37" s="5">
        <v>46184</v>
      </c>
      <c r="B37" s="6">
        <v>2.0833333415794186E-2</v>
      </c>
      <c r="C37" s="3"/>
      <c r="D37" s="3"/>
      <c r="E37" s="3" t="s">
        <v>38</v>
      </c>
      <c r="F37" s="3">
        <v>8</v>
      </c>
      <c r="G37" s="3"/>
      <c r="H37" s="9"/>
      <c r="I37" s="9">
        <f>SUM(IFERROR(VLOOKUP($C:$C,Structure!$A:$AJ,I$1,0)*$D37,0),IFERROR(VLOOKUP($E:$E,Structure!$A:$AJ,I$1,0)*$F37,0),IFERROR(VLOOKUP($G:$G,Structure!$A:$AJ,I$1,0)*$H37,0))</f>
        <v>0</v>
      </c>
      <c r="J37" s="9">
        <f>SUM(IFERROR(VLOOKUP($C:$C,Structure!$A:$AJ,J$1,0)*$D37,0),IFERROR(VLOOKUP($E:$E,Structure!$A:$AJ,J$1,0)*$F37,0),IFERROR(VLOOKUP($G:$G,Structure!$A:$AJ,J$1,0)*$H37,0))</f>
        <v>8</v>
      </c>
      <c r="K37" s="9">
        <f>SUM(IFERROR(VLOOKUP($C:$C,Structure!$A:$AJ,K$1,0)*$D37,0),IFERROR(VLOOKUP($E:$E,Structure!$A:$AJ,K$1,0)*$F37,0),IFERROR(VLOOKUP($G:$G,Structure!$A:$AJ,K$1,0)*$H37,0))</f>
        <v>0</v>
      </c>
      <c r="L37" s="9">
        <f>SUM(IFERROR(VLOOKUP($C:$C,Structure!$A:$AJ,L$1,0)*$D37,0),IFERROR(VLOOKUP($E:$E,Structure!$A:$AJ,L$1,0)*$F37,0),IFERROR(VLOOKUP($G:$G,Structure!$A:$AJ,L$1,0)*$H37,0))</f>
        <v>0</v>
      </c>
      <c r="M37" s="9">
        <f>SUM(IFERROR(VLOOKUP($C:$C,Structure!$A:$AJ,M$1,0)*$D37,0),IFERROR(VLOOKUP($E:$E,Structure!$A:$AJ,M$1,0)*$F37,0),IFERROR(VLOOKUP($G:$G,Structure!$A:$AJ,M$1,0)*$H37,0))</f>
        <v>0</v>
      </c>
      <c r="N37" s="9">
        <f>SUM(IFERROR(VLOOKUP($C:$C,Structure!$A:$AJ,N$1,0)*$D37,0),IFERROR(VLOOKUP($E:$E,Structure!$A:$AJ,N$1,0)*$F37,0),IFERROR(VLOOKUP($G:$G,Structure!$A:$AJ,N$1,0)*$H37,0))</f>
        <v>0</v>
      </c>
      <c r="O37" s="9">
        <f>SUM(IFERROR(VLOOKUP($C:$C,Structure!$A:$AJ,O$1,0)*$D37,0),IFERROR(VLOOKUP($E:$E,Structure!$A:$AJ,O$1,0)*$F37,0),IFERROR(VLOOKUP($G:$G,Structure!$A:$AJ,O$1,0)*$H37,0))</f>
        <v>0</v>
      </c>
      <c r="P37" s="9">
        <f>SUM(IFERROR(VLOOKUP($C:$C,Structure!$A:$AJ,P$1,0)*$D37,0),IFERROR(VLOOKUP($E:$E,Structure!$A:$AJ,P$1,0)*$F37,0),IFERROR(VLOOKUP($G:$G,Structure!$A:$AJ,P$1,0)*$H37,0))</f>
        <v>8</v>
      </c>
      <c r="Q37" s="9">
        <f>SUM(IFERROR(VLOOKUP($C:$C,Structure!$A:$AJ,Q$1,0)*$D37,0),IFERROR(VLOOKUP($E:$E,Structure!$A:$AJ,Q$1,0)*$F37,0),IFERROR(VLOOKUP($G:$G,Structure!$A:$AJ,Q$1,0)*$H37,0))</f>
        <v>0</v>
      </c>
      <c r="R37" s="9">
        <f>SUM(IFERROR(VLOOKUP($C:$C,Structure!$A:$AJ,R$1,0)*$D37,0),IFERROR(VLOOKUP($E:$E,Structure!$A:$AJ,R$1,0)*$F37,0),IFERROR(VLOOKUP($G:$G,Structure!$A:$AJ,R$1,0)*$H37,0))</f>
        <v>0</v>
      </c>
      <c r="S37" s="9">
        <f>SUM(IFERROR(VLOOKUP($C:$C,Structure!$A:$AJ,S$1,0)*$D37,0),IFERROR(VLOOKUP($E:$E,Structure!$A:$AJ,S$1,0)*$F37,0),IFERROR(VLOOKUP($G:$G,Structure!$A:$AJ,S$1,0)*$H37,0))</f>
        <v>0</v>
      </c>
      <c r="T37" s="9">
        <f>SUM(IFERROR(VLOOKUP($C:$C,Structure!$A:$AJ,T$1,0)*$D37,0),IFERROR(VLOOKUP($E:$E,Structure!$A:$AJ,T$1,0)*$F37,0),IFERROR(VLOOKUP($G:$G,Structure!$A:$AJ,T$1,0)*$H37,0))</f>
        <v>0</v>
      </c>
      <c r="U37" s="9">
        <f>SUM(IFERROR(VLOOKUP($C:$C,Structure!$A:$AJ,U$1,0)*$D37,0),IFERROR(VLOOKUP($E:$E,Structure!$A:$AJ,U$1,0)*$F37,0),IFERROR(VLOOKUP($G:$G,Structure!$A:$AJ,U$1,0)*$H37,0))</f>
        <v>0</v>
      </c>
      <c r="V37" s="9">
        <f>SUM(IFERROR(VLOOKUP($C:$C,Structure!$A:$AJ,V$1,0)*$D37,0),IFERROR(VLOOKUP($E:$E,Structure!$A:$AJ,V$1,0)*$F37,0),IFERROR(VLOOKUP($G:$G,Structure!$A:$AJ,V$1,0)*$H37,0))</f>
        <v>0</v>
      </c>
      <c r="W37" s="9">
        <f>SUM(IFERROR(VLOOKUP($C:$C,Structure!$A:$AJ,W$1,0)*$D37,0),IFERROR(VLOOKUP($E:$E,Structure!$A:$AJ,W$1,0)*$F37,0),IFERROR(VLOOKUP($G:$G,Structure!$A:$AJ,W$1,0)*$H37,0))</f>
        <v>0</v>
      </c>
      <c r="X37" s="9">
        <f>SUM(IFERROR(VLOOKUP($C:$C,Structure!$A:$AJ,X$1,0)*$D37,0),IFERROR(VLOOKUP($E:$E,Structure!$A:$AJ,X$1,0)*$F37,0),IFERROR(VLOOKUP($G:$G,Structure!$A:$AJ,X$1,0)*$H37,0))</f>
        <v>0</v>
      </c>
      <c r="Y37" s="9">
        <f>SUM(IFERROR(VLOOKUP($C:$C,Structure!$A:$AJ,Y$1,0)*$D37,0),IFERROR(VLOOKUP($E:$E,Structure!$A:$AJ,Y$1,0)*$F37,0),IFERROR(VLOOKUP($G:$G,Structure!$A:$AJ,Y$1,0)*$H37,0))</f>
        <v>0</v>
      </c>
      <c r="Z37" s="9">
        <f>SUM(IFERROR(VLOOKUP($C:$C,Structure!$A:$AJ,Z$1,0)*$D37,0),IFERROR(VLOOKUP($E:$E,Structure!$A:$AJ,Z$1,0)*$F37,0),IFERROR(VLOOKUP($G:$G,Structure!$A:$AJ,Z$1,0)*$H37,0))</f>
        <v>0</v>
      </c>
      <c r="AA37" s="9">
        <f>SUM(IFERROR(VLOOKUP($C:$C,Structure!$A:$AJ,AA$1,0)*$D37,0),IFERROR(VLOOKUP($E:$E,Structure!$A:$AJ,AA$1,0)*$F37,0),IFERROR(VLOOKUP($G:$G,Structure!$A:$AJ,AA$1,0)*$H37,0))</f>
        <v>0</v>
      </c>
      <c r="AB37" s="9">
        <f>SUM(IFERROR(VLOOKUP($C:$C,Structure!$A:$AJ,AB$1,0)*$D37,0),IFERROR(VLOOKUP($E:$E,Structure!$A:$AJ,AB$1,0)*$F37,0),IFERROR(VLOOKUP($G:$G,Structure!$A:$AJ,AB$1,0)*$H37,0))</f>
        <v>0</v>
      </c>
      <c r="AC37" s="9">
        <f>SUM(IFERROR(VLOOKUP($C:$C,Structure!$A:$AJ,AC$1,0)*$D37,0),IFERROR(VLOOKUP($E:$E,Structure!$A:$AJ,AC$1,0)*$F37,0),IFERROR(VLOOKUP($G:$G,Structure!$A:$AJ,AC$1,0)*$H37,0))</f>
        <v>0</v>
      </c>
      <c r="AD37" s="9">
        <f>SUM(IFERROR(VLOOKUP($C:$C,Structure!$A:$AJ,AD$1,0)*$D37,0),IFERROR(VLOOKUP($E:$E,Structure!$A:$AJ,AD$1,0)*$F37,0),IFERROR(VLOOKUP($G:$G,Structure!$A:$AJ,AD$1,0)*$H37,0))</f>
        <v>0</v>
      </c>
      <c r="AE37" s="9">
        <f>SUM(IFERROR(VLOOKUP($C:$C,Structure!$A:$AJ,AE$1,0)*$D37,0),IFERROR(VLOOKUP($E:$E,Structure!$A:$AJ,AE$1,0)*$F37,0),IFERROR(VLOOKUP($G:$G,Structure!$A:$AJ,AE$1,0)*$H37,0))</f>
        <v>0</v>
      </c>
      <c r="AF37" s="9">
        <f>SUM(IFERROR(VLOOKUP($C:$C,Structure!$A:$AJ,AF$1,0)*$D37,0),IFERROR(VLOOKUP($E:$E,Structure!$A:$AJ,AF$1,0)*$F37,0),IFERROR(VLOOKUP($G:$G,Structure!$A:$AJ,AF$1,0)*$H37,0))</f>
        <v>0</v>
      </c>
      <c r="AG37" s="9">
        <f>SUM(IFERROR(VLOOKUP($C:$C,Structure!$A:$AJ,AG$1,0)*$D37,0),IFERROR(VLOOKUP($E:$E,Structure!$A:$AJ,AG$1,0)*$F37,0),IFERROR(VLOOKUP($G:$G,Structure!$A:$AJ,AG$1,0)*$H37,0))</f>
        <v>0</v>
      </c>
      <c r="AH37" s="9">
        <f>SUM(IFERROR(VLOOKUP($C:$C,Structure!$A:$AJ,AH$1,0)*$D37,0),IFERROR(VLOOKUP($E:$E,Structure!$A:$AJ,AH$1,0)*$F37,0),IFERROR(VLOOKUP($G:$G,Structure!$A:$AJ,AH$1,0)*$H37,0))</f>
        <v>0</v>
      </c>
      <c r="AI37" s="9">
        <f>SUM(IFERROR(VLOOKUP($C:$C,Structure!$A:$AJ,AI$1,0)*$D37,0),IFERROR(VLOOKUP($E:$E,Structure!$A:$AJ,AI$1,0)*$F37,0),IFERROR(VLOOKUP($G:$G,Structure!$A:$AJ,AI$1,0)*$H37,0))</f>
        <v>0</v>
      </c>
      <c r="AJ37" s="9">
        <f>SUM(IFERROR(VLOOKUP($C:$C,Structure!$A:$AJ,AJ$1,0)*$D37,0),IFERROR(VLOOKUP($E:$E,Structure!$A:$AJ,AJ$1,0)*$F37,0),IFERROR(VLOOKUP($G:$G,Structure!$A:$AJ,AJ$1,0)*$H37,0))</f>
        <v>0</v>
      </c>
      <c r="AK37" s="9">
        <f>SUM(IFERROR(VLOOKUP($C:$C,Structure!$A:$AJ,AK$1,0)*$D37,0),IFERROR(VLOOKUP($E:$E,Structure!$A:$AJ,AK$1,0)*$F37,0),IFERROR(VLOOKUP($G:$G,Structure!$A:$AJ,AK$1,0)*$H37,0))</f>
        <v>0</v>
      </c>
      <c r="AL37" s="9">
        <f>SUM(IFERROR(VLOOKUP($C:$C,Structure!$A:$AJ,AL$1,0)*$D37,0),IFERROR(VLOOKUP($E:$E,Structure!$A:$AJ,AL$1,0)*$F37,0),IFERROR(VLOOKUP($G:$G,Structure!$A:$AJ,AL$1,0)*$H37,0))</f>
        <v>0</v>
      </c>
      <c r="AM37" s="9">
        <f>SUM(IFERROR(VLOOKUP($C:$C,Structure!$A:$AJ,AM$1,0)*$D37,0),IFERROR(VLOOKUP($E:$E,Structure!$A:$AJ,AM$1,0)*$F37,0),IFERROR(VLOOKUP($G:$G,Structure!$A:$AJ,AM$1,0)*$H37,0))</f>
        <v>0</v>
      </c>
      <c r="AN37" s="9">
        <f>SUM(IFERROR(VLOOKUP($C:$C,Structure!$A:$AJ,AN$1,0)*$D37,0),IFERROR(VLOOKUP($E:$E,Structure!$A:$AJ,AN$1,0)*$F37,0),IFERROR(VLOOKUP($G:$G,Structure!$A:$AJ,AN$1,0)*$H37,0))</f>
        <v>0</v>
      </c>
      <c r="AO37" s="9">
        <f>SUM(IFERROR(VLOOKUP($C:$C,Structure!$A:$AJ,AO$1,0)*$D37,0),IFERROR(VLOOKUP($E:$E,Structure!$A:$AJ,AO$1,0)*$F37,0),IFERROR(VLOOKUP($G:$G,Structure!$A:$AJ,AO$1,0)*$H37,0))</f>
        <v>0</v>
      </c>
      <c r="AP37" s="9">
        <f>SUM(IFERROR(VLOOKUP($C:$C,Structure!$A:$AJ,AP$1,0)*$D37,0),IFERROR(VLOOKUP($E:$E,Structure!$A:$AJ,AP$1,0)*$F37,0),IFERROR(VLOOKUP($G:$G,Structure!$A:$AJ,AP$1,0)*$H37,0))</f>
        <v>0</v>
      </c>
      <c r="AQ37" s="9">
        <f>SUM(IFERROR(VLOOKUP($C:$C,Structure!$A:$AJ,AQ$1,0)*$D37,0),IFERROR(VLOOKUP($E:$E,Structure!$A:$AJ,AQ$1,0)*$F37,0),IFERROR(VLOOKUP($G:$G,Structure!$A:$AJ,AQ$1,0)*$H37,0))</f>
        <v>0</v>
      </c>
      <c r="AR37" s="21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4">
        <f t="shared" ref="CD37:CD68" si="57">CD36+AU37-I37</f>
        <v>0</v>
      </c>
      <c r="CE37" s="4">
        <f t="shared" ref="CE37:CE68" si="58">CE36+AV37-J37</f>
        <v>-19</v>
      </c>
      <c r="CF37" s="4">
        <f t="shared" ref="CF37:CF68" si="59">CF36+AW37-K37</f>
        <v>4</v>
      </c>
      <c r="CG37" s="4">
        <f t="shared" ref="CG37:CG68" si="60">CG36+AX37-L37</f>
        <v>23</v>
      </c>
      <c r="CH37" s="4">
        <f t="shared" ref="CH37:CH68" si="61">CH36+AY37-M37</f>
        <v>1</v>
      </c>
      <c r="CI37" s="4">
        <f t="shared" ref="CI37:CI68" si="62">CI36+AZ37-N37</f>
        <v>1</v>
      </c>
      <c r="CJ37" s="4">
        <f t="shared" ref="CJ37:CJ68" si="63">CJ36+BA37-O37</f>
        <v>21</v>
      </c>
      <c r="CK37" s="4">
        <f t="shared" ref="CK37:CK68" si="64">CK36+BB37-P37</f>
        <v>310</v>
      </c>
      <c r="CL37" s="4">
        <f t="shared" ref="CL37:CL68" si="65">CL36+BC37-Q37</f>
        <v>0</v>
      </c>
      <c r="CM37" s="4">
        <f t="shared" ref="CM37:CM68" si="66">CM36+BD37-R37</f>
        <v>4</v>
      </c>
      <c r="CN37" s="4">
        <f t="shared" ref="CN37:CN68" si="67">CN36+BE37-S37</f>
        <v>59</v>
      </c>
      <c r="CO37" s="4">
        <f t="shared" ref="CO37:CO68" si="68">CO36+BF37-T37</f>
        <v>0</v>
      </c>
      <c r="CP37" s="4">
        <f t="shared" ref="CP37:CP68" si="69">CP36+BG37-U37</f>
        <v>5</v>
      </c>
      <c r="CQ37" s="4">
        <f t="shared" ref="CQ37:CQ68" si="70">CQ36+BH37-V37</f>
        <v>-57</v>
      </c>
      <c r="CR37" s="4">
        <f t="shared" ref="CR37:CR68" si="71">CR36+BI37-W37</f>
        <v>34</v>
      </c>
      <c r="CS37" s="4">
        <f t="shared" ref="CS37:CS68" si="72">CS36+BJ37-X37</f>
        <v>0</v>
      </c>
      <c r="CT37" s="4">
        <f t="shared" ref="CT37:CT68" si="73">CT36+BK37-Y37</f>
        <v>0</v>
      </c>
      <c r="CU37" s="4">
        <f t="shared" ref="CU37:CU68" si="74">CU36+BL37-Z37</f>
        <v>0</v>
      </c>
      <c r="CV37" s="4">
        <f t="shared" ref="CV37:CV68" si="75">CV36+BM37-AA37</f>
        <v>0</v>
      </c>
      <c r="CW37" s="4">
        <f t="shared" ref="CW37:CW68" si="76">CW36+BN37-AB37</f>
        <v>0</v>
      </c>
      <c r="CX37" s="4">
        <f t="shared" ref="CX37:CX68" si="77">CX36+BO37-AC37</f>
        <v>-37</v>
      </c>
      <c r="CY37" s="4">
        <f t="shared" ref="CY37:CY68" si="78">CY36+BP37-AD37</f>
        <v>0</v>
      </c>
      <c r="CZ37" s="4">
        <f t="shared" ref="CZ37:CZ68" si="79">CZ36+BQ37-AE37</f>
        <v>0</v>
      </c>
      <c r="DA37" s="4">
        <f t="shared" ref="DA37:DA68" si="80">DA36+BR37-AF37</f>
        <v>0</v>
      </c>
      <c r="DB37" s="4">
        <f t="shared" ref="DB37:DB68" si="81">DB36+BS37-AG37</f>
        <v>0</v>
      </c>
      <c r="DC37" s="4">
        <f t="shared" ref="DC37:DC68" si="82">DC36+BT37-AH37</f>
        <v>0</v>
      </c>
      <c r="DD37" s="4">
        <f t="shared" ref="DD37:DD68" si="83">DD36+BU37-AI37</f>
        <v>0</v>
      </c>
      <c r="DE37" s="4">
        <f t="shared" ref="DE37:DE68" si="84">DE36+BV37-AJ37</f>
        <v>0</v>
      </c>
      <c r="DF37" s="4">
        <f t="shared" ref="DF37:DF68" si="85">DF36+BW37-AK37</f>
        <v>0</v>
      </c>
      <c r="DG37" s="4">
        <f t="shared" ref="DG37:DG68" si="86">DG36+BX37-AL37</f>
        <v>0</v>
      </c>
      <c r="DH37" s="4">
        <f t="shared" ref="DH37:DH68" si="87">DH36+BY37-AM37</f>
        <v>0</v>
      </c>
      <c r="DI37" s="4">
        <f t="shared" ref="DI37:DI68" si="88">DI36+BZ37-AN37</f>
        <v>0</v>
      </c>
      <c r="DJ37" s="4">
        <f t="shared" ref="DJ37:DJ68" si="89">DJ36+CA37-AO37</f>
        <v>0</v>
      </c>
      <c r="DK37" s="4">
        <f t="shared" ref="DK37:DK68" si="90">DK36+CB37-AP37</f>
        <v>0</v>
      </c>
      <c r="DL37" s="4">
        <f t="shared" ref="DL37:DL68" si="91">DL36+CC37-AQ37</f>
        <v>0</v>
      </c>
    </row>
    <row r="38" spans="1:116" x14ac:dyDescent="0.25">
      <c r="A38" s="5">
        <v>46184</v>
      </c>
      <c r="B38" s="6">
        <v>4.1666666751552839E-2</v>
      </c>
      <c r="C38" s="3"/>
      <c r="D38" s="3"/>
      <c r="E38" s="3" t="s">
        <v>38</v>
      </c>
      <c r="F38" s="3">
        <v>8</v>
      </c>
      <c r="G38" s="3"/>
      <c r="H38" s="9"/>
      <c r="I38" s="9">
        <f>SUM(IFERROR(VLOOKUP($C:$C,Structure!$A:$AJ,I$1,0)*$D38,0),IFERROR(VLOOKUP($E:$E,Structure!$A:$AJ,I$1,0)*$F38,0),IFERROR(VLOOKUP($G:$G,Structure!$A:$AJ,I$1,0)*$H38,0))</f>
        <v>0</v>
      </c>
      <c r="J38" s="9">
        <f>SUM(IFERROR(VLOOKUP($C:$C,Structure!$A:$AJ,J$1,0)*$D38,0),IFERROR(VLOOKUP($E:$E,Structure!$A:$AJ,J$1,0)*$F38,0),IFERROR(VLOOKUP($G:$G,Structure!$A:$AJ,J$1,0)*$H38,0))</f>
        <v>8</v>
      </c>
      <c r="K38" s="9">
        <f>SUM(IFERROR(VLOOKUP($C:$C,Structure!$A:$AJ,K$1,0)*$D38,0),IFERROR(VLOOKUP($E:$E,Structure!$A:$AJ,K$1,0)*$F38,0),IFERROR(VLOOKUP($G:$G,Structure!$A:$AJ,K$1,0)*$H38,0))</f>
        <v>0</v>
      </c>
      <c r="L38" s="9">
        <f>SUM(IFERROR(VLOOKUP($C:$C,Structure!$A:$AJ,L$1,0)*$D38,0),IFERROR(VLOOKUP($E:$E,Structure!$A:$AJ,L$1,0)*$F38,0),IFERROR(VLOOKUP($G:$G,Structure!$A:$AJ,L$1,0)*$H38,0))</f>
        <v>0</v>
      </c>
      <c r="M38" s="9">
        <f>SUM(IFERROR(VLOOKUP($C:$C,Structure!$A:$AJ,M$1,0)*$D38,0),IFERROR(VLOOKUP($E:$E,Structure!$A:$AJ,M$1,0)*$F38,0),IFERROR(VLOOKUP($G:$G,Structure!$A:$AJ,M$1,0)*$H38,0))</f>
        <v>0</v>
      </c>
      <c r="N38" s="9">
        <f>SUM(IFERROR(VLOOKUP($C:$C,Structure!$A:$AJ,N$1,0)*$D38,0),IFERROR(VLOOKUP($E:$E,Structure!$A:$AJ,N$1,0)*$F38,0),IFERROR(VLOOKUP($G:$G,Structure!$A:$AJ,N$1,0)*$H38,0))</f>
        <v>0</v>
      </c>
      <c r="O38" s="9">
        <f>SUM(IFERROR(VLOOKUP($C:$C,Structure!$A:$AJ,O$1,0)*$D38,0),IFERROR(VLOOKUP($E:$E,Structure!$A:$AJ,O$1,0)*$F38,0),IFERROR(VLOOKUP($G:$G,Structure!$A:$AJ,O$1,0)*$H38,0))</f>
        <v>0</v>
      </c>
      <c r="P38" s="9">
        <f>SUM(IFERROR(VLOOKUP($C:$C,Structure!$A:$AJ,P$1,0)*$D38,0),IFERROR(VLOOKUP($E:$E,Structure!$A:$AJ,P$1,0)*$F38,0),IFERROR(VLOOKUP($G:$G,Structure!$A:$AJ,P$1,0)*$H38,0))</f>
        <v>8</v>
      </c>
      <c r="Q38" s="9">
        <f>SUM(IFERROR(VLOOKUP($C:$C,Structure!$A:$AJ,Q$1,0)*$D38,0),IFERROR(VLOOKUP($E:$E,Structure!$A:$AJ,Q$1,0)*$F38,0),IFERROR(VLOOKUP($G:$G,Structure!$A:$AJ,Q$1,0)*$H38,0))</f>
        <v>0</v>
      </c>
      <c r="R38" s="9">
        <f>SUM(IFERROR(VLOOKUP($C:$C,Structure!$A:$AJ,R$1,0)*$D38,0),IFERROR(VLOOKUP($E:$E,Structure!$A:$AJ,R$1,0)*$F38,0),IFERROR(VLOOKUP($G:$G,Structure!$A:$AJ,R$1,0)*$H38,0))</f>
        <v>0</v>
      </c>
      <c r="S38" s="9">
        <f>SUM(IFERROR(VLOOKUP($C:$C,Structure!$A:$AJ,S$1,0)*$D38,0),IFERROR(VLOOKUP($E:$E,Structure!$A:$AJ,S$1,0)*$F38,0),IFERROR(VLOOKUP($G:$G,Structure!$A:$AJ,S$1,0)*$H38,0))</f>
        <v>0</v>
      </c>
      <c r="T38" s="9">
        <f>SUM(IFERROR(VLOOKUP($C:$C,Structure!$A:$AJ,T$1,0)*$D38,0),IFERROR(VLOOKUP($E:$E,Structure!$A:$AJ,T$1,0)*$F38,0),IFERROR(VLOOKUP($G:$G,Structure!$A:$AJ,T$1,0)*$H38,0))</f>
        <v>0</v>
      </c>
      <c r="U38" s="9">
        <f>SUM(IFERROR(VLOOKUP($C:$C,Structure!$A:$AJ,U$1,0)*$D38,0),IFERROR(VLOOKUP($E:$E,Structure!$A:$AJ,U$1,0)*$F38,0),IFERROR(VLOOKUP($G:$G,Structure!$A:$AJ,U$1,0)*$H38,0))</f>
        <v>0</v>
      </c>
      <c r="V38" s="9">
        <f>SUM(IFERROR(VLOOKUP($C:$C,Structure!$A:$AJ,V$1,0)*$D38,0),IFERROR(VLOOKUP($E:$E,Structure!$A:$AJ,V$1,0)*$F38,0),IFERROR(VLOOKUP($G:$G,Structure!$A:$AJ,V$1,0)*$H38,0))</f>
        <v>0</v>
      </c>
      <c r="W38" s="9">
        <f>SUM(IFERROR(VLOOKUP($C:$C,Structure!$A:$AJ,W$1,0)*$D38,0),IFERROR(VLOOKUP($E:$E,Structure!$A:$AJ,W$1,0)*$F38,0),IFERROR(VLOOKUP($G:$G,Structure!$A:$AJ,W$1,0)*$H38,0))</f>
        <v>0</v>
      </c>
      <c r="X38" s="9">
        <f>SUM(IFERROR(VLOOKUP($C:$C,Structure!$A:$AJ,X$1,0)*$D38,0),IFERROR(VLOOKUP($E:$E,Structure!$A:$AJ,X$1,0)*$F38,0),IFERROR(VLOOKUP($G:$G,Structure!$A:$AJ,X$1,0)*$H38,0))</f>
        <v>0</v>
      </c>
      <c r="Y38" s="9">
        <f>SUM(IFERROR(VLOOKUP($C:$C,Structure!$A:$AJ,Y$1,0)*$D38,0),IFERROR(VLOOKUP($E:$E,Structure!$A:$AJ,Y$1,0)*$F38,0),IFERROR(VLOOKUP($G:$G,Structure!$A:$AJ,Y$1,0)*$H38,0))</f>
        <v>0</v>
      </c>
      <c r="Z38" s="9">
        <f>SUM(IFERROR(VLOOKUP($C:$C,Structure!$A:$AJ,Z$1,0)*$D38,0),IFERROR(VLOOKUP($E:$E,Structure!$A:$AJ,Z$1,0)*$F38,0),IFERROR(VLOOKUP($G:$G,Structure!$A:$AJ,Z$1,0)*$H38,0))</f>
        <v>0</v>
      </c>
      <c r="AA38" s="9">
        <f>SUM(IFERROR(VLOOKUP($C:$C,Structure!$A:$AJ,AA$1,0)*$D38,0),IFERROR(VLOOKUP($E:$E,Structure!$A:$AJ,AA$1,0)*$F38,0),IFERROR(VLOOKUP($G:$G,Structure!$A:$AJ,AA$1,0)*$H38,0))</f>
        <v>0</v>
      </c>
      <c r="AB38" s="9">
        <f>SUM(IFERROR(VLOOKUP($C:$C,Structure!$A:$AJ,AB$1,0)*$D38,0),IFERROR(VLOOKUP($E:$E,Structure!$A:$AJ,AB$1,0)*$F38,0),IFERROR(VLOOKUP($G:$G,Structure!$A:$AJ,AB$1,0)*$H38,0))</f>
        <v>0</v>
      </c>
      <c r="AC38" s="9">
        <f>SUM(IFERROR(VLOOKUP($C:$C,Structure!$A:$AJ,AC$1,0)*$D38,0),IFERROR(VLOOKUP($E:$E,Structure!$A:$AJ,AC$1,0)*$F38,0),IFERROR(VLOOKUP($G:$G,Structure!$A:$AJ,AC$1,0)*$H38,0))</f>
        <v>0</v>
      </c>
      <c r="AD38" s="9">
        <f>SUM(IFERROR(VLOOKUP($C:$C,Structure!$A:$AJ,AD$1,0)*$D38,0),IFERROR(VLOOKUP($E:$E,Structure!$A:$AJ,AD$1,0)*$F38,0),IFERROR(VLOOKUP($G:$G,Structure!$A:$AJ,AD$1,0)*$H38,0))</f>
        <v>0</v>
      </c>
      <c r="AE38" s="9">
        <f>SUM(IFERROR(VLOOKUP($C:$C,Structure!$A:$AJ,AE$1,0)*$D38,0),IFERROR(VLOOKUP($E:$E,Structure!$A:$AJ,AE$1,0)*$F38,0),IFERROR(VLOOKUP($G:$G,Structure!$A:$AJ,AE$1,0)*$H38,0))</f>
        <v>0</v>
      </c>
      <c r="AF38" s="9">
        <f>SUM(IFERROR(VLOOKUP($C:$C,Structure!$A:$AJ,AF$1,0)*$D38,0),IFERROR(VLOOKUP($E:$E,Structure!$A:$AJ,AF$1,0)*$F38,0),IFERROR(VLOOKUP($G:$G,Structure!$A:$AJ,AF$1,0)*$H38,0))</f>
        <v>0</v>
      </c>
      <c r="AG38" s="9">
        <f>SUM(IFERROR(VLOOKUP($C:$C,Structure!$A:$AJ,AG$1,0)*$D38,0),IFERROR(VLOOKUP($E:$E,Structure!$A:$AJ,AG$1,0)*$F38,0),IFERROR(VLOOKUP($G:$G,Structure!$A:$AJ,AG$1,0)*$H38,0))</f>
        <v>0</v>
      </c>
      <c r="AH38" s="9">
        <f>SUM(IFERROR(VLOOKUP($C:$C,Structure!$A:$AJ,AH$1,0)*$D38,0),IFERROR(VLOOKUP($E:$E,Structure!$A:$AJ,AH$1,0)*$F38,0),IFERROR(VLOOKUP($G:$G,Structure!$A:$AJ,AH$1,0)*$H38,0))</f>
        <v>0</v>
      </c>
      <c r="AI38" s="9">
        <f>SUM(IFERROR(VLOOKUP($C:$C,Structure!$A:$AJ,AI$1,0)*$D38,0),IFERROR(VLOOKUP($E:$E,Structure!$A:$AJ,AI$1,0)*$F38,0),IFERROR(VLOOKUP($G:$G,Structure!$A:$AJ,AI$1,0)*$H38,0))</f>
        <v>0</v>
      </c>
      <c r="AJ38" s="9">
        <f>SUM(IFERROR(VLOOKUP($C:$C,Structure!$A:$AJ,AJ$1,0)*$D38,0),IFERROR(VLOOKUP($E:$E,Structure!$A:$AJ,AJ$1,0)*$F38,0),IFERROR(VLOOKUP($G:$G,Structure!$A:$AJ,AJ$1,0)*$H38,0))</f>
        <v>0</v>
      </c>
      <c r="AK38" s="9">
        <f>SUM(IFERROR(VLOOKUP($C:$C,Structure!$A:$AJ,AK$1,0)*$D38,0),IFERROR(VLOOKUP($E:$E,Structure!$A:$AJ,AK$1,0)*$F38,0),IFERROR(VLOOKUP($G:$G,Structure!$A:$AJ,AK$1,0)*$H38,0))</f>
        <v>0</v>
      </c>
      <c r="AL38" s="9">
        <f>SUM(IFERROR(VLOOKUP($C:$C,Structure!$A:$AJ,AL$1,0)*$D38,0),IFERROR(VLOOKUP($E:$E,Structure!$A:$AJ,AL$1,0)*$F38,0),IFERROR(VLOOKUP($G:$G,Structure!$A:$AJ,AL$1,0)*$H38,0))</f>
        <v>0</v>
      </c>
      <c r="AM38" s="9">
        <f>SUM(IFERROR(VLOOKUP($C:$C,Structure!$A:$AJ,AM$1,0)*$D38,0),IFERROR(VLOOKUP($E:$E,Structure!$A:$AJ,AM$1,0)*$F38,0),IFERROR(VLOOKUP($G:$G,Structure!$A:$AJ,AM$1,0)*$H38,0))</f>
        <v>0</v>
      </c>
      <c r="AN38" s="9">
        <f>SUM(IFERROR(VLOOKUP($C:$C,Structure!$A:$AJ,AN$1,0)*$D38,0),IFERROR(VLOOKUP($E:$E,Structure!$A:$AJ,AN$1,0)*$F38,0),IFERROR(VLOOKUP($G:$G,Structure!$A:$AJ,AN$1,0)*$H38,0))</f>
        <v>0</v>
      </c>
      <c r="AO38" s="9">
        <f>SUM(IFERROR(VLOOKUP($C:$C,Structure!$A:$AJ,AO$1,0)*$D38,0),IFERROR(VLOOKUP($E:$E,Structure!$A:$AJ,AO$1,0)*$F38,0),IFERROR(VLOOKUP($G:$G,Structure!$A:$AJ,AO$1,0)*$H38,0))</f>
        <v>0</v>
      </c>
      <c r="AP38" s="9">
        <f>SUM(IFERROR(VLOOKUP($C:$C,Structure!$A:$AJ,AP$1,0)*$D38,0),IFERROR(VLOOKUP($E:$E,Structure!$A:$AJ,AP$1,0)*$F38,0),IFERROR(VLOOKUP($G:$G,Structure!$A:$AJ,AP$1,0)*$H38,0))</f>
        <v>0</v>
      </c>
      <c r="AQ38" s="9">
        <f>SUM(IFERROR(VLOOKUP($C:$C,Structure!$A:$AJ,AQ$1,0)*$D38,0),IFERROR(VLOOKUP($E:$E,Structure!$A:$AJ,AQ$1,0)*$F38,0),IFERROR(VLOOKUP($G:$G,Structure!$A:$AJ,AQ$1,0)*$H38,0))</f>
        <v>0</v>
      </c>
      <c r="AR38" s="21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4">
        <f t="shared" si="57"/>
        <v>0</v>
      </c>
      <c r="CE38" s="4">
        <f t="shared" si="58"/>
        <v>-27</v>
      </c>
      <c r="CF38" s="4">
        <f t="shared" si="59"/>
        <v>4</v>
      </c>
      <c r="CG38" s="4">
        <f t="shared" si="60"/>
        <v>23</v>
      </c>
      <c r="CH38" s="4">
        <f t="shared" si="61"/>
        <v>1</v>
      </c>
      <c r="CI38" s="4">
        <f t="shared" si="62"/>
        <v>1</v>
      </c>
      <c r="CJ38" s="4">
        <f t="shared" si="63"/>
        <v>21</v>
      </c>
      <c r="CK38" s="4">
        <f t="shared" si="64"/>
        <v>302</v>
      </c>
      <c r="CL38" s="4">
        <f t="shared" si="65"/>
        <v>0</v>
      </c>
      <c r="CM38" s="4">
        <f t="shared" si="66"/>
        <v>4</v>
      </c>
      <c r="CN38" s="4">
        <f t="shared" si="67"/>
        <v>59</v>
      </c>
      <c r="CO38" s="4">
        <f t="shared" si="68"/>
        <v>0</v>
      </c>
      <c r="CP38" s="4">
        <f t="shared" si="69"/>
        <v>5</v>
      </c>
      <c r="CQ38" s="4">
        <f t="shared" si="70"/>
        <v>-57</v>
      </c>
      <c r="CR38" s="4">
        <f t="shared" si="71"/>
        <v>34</v>
      </c>
      <c r="CS38" s="4">
        <f t="shared" si="72"/>
        <v>0</v>
      </c>
      <c r="CT38" s="4">
        <f t="shared" si="73"/>
        <v>0</v>
      </c>
      <c r="CU38" s="4">
        <f t="shared" si="74"/>
        <v>0</v>
      </c>
      <c r="CV38" s="4">
        <f t="shared" si="75"/>
        <v>0</v>
      </c>
      <c r="CW38" s="4">
        <f t="shared" si="76"/>
        <v>0</v>
      </c>
      <c r="CX38" s="4">
        <f t="shared" si="77"/>
        <v>-37</v>
      </c>
      <c r="CY38" s="4">
        <f t="shared" si="78"/>
        <v>0</v>
      </c>
      <c r="CZ38" s="4">
        <f t="shared" si="79"/>
        <v>0</v>
      </c>
      <c r="DA38" s="4">
        <f t="shared" si="80"/>
        <v>0</v>
      </c>
      <c r="DB38" s="4">
        <f t="shared" si="81"/>
        <v>0</v>
      </c>
      <c r="DC38" s="4">
        <f t="shared" si="82"/>
        <v>0</v>
      </c>
      <c r="DD38" s="4">
        <f t="shared" si="83"/>
        <v>0</v>
      </c>
      <c r="DE38" s="4">
        <f t="shared" si="84"/>
        <v>0</v>
      </c>
      <c r="DF38" s="4">
        <f t="shared" si="85"/>
        <v>0</v>
      </c>
      <c r="DG38" s="4">
        <f t="shared" si="86"/>
        <v>0</v>
      </c>
      <c r="DH38" s="4">
        <f t="shared" si="87"/>
        <v>0</v>
      </c>
      <c r="DI38" s="4">
        <f t="shared" si="88"/>
        <v>0</v>
      </c>
      <c r="DJ38" s="4">
        <f t="shared" si="89"/>
        <v>0</v>
      </c>
      <c r="DK38" s="4">
        <f t="shared" si="90"/>
        <v>0</v>
      </c>
      <c r="DL38" s="4">
        <f t="shared" si="91"/>
        <v>0</v>
      </c>
    </row>
    <row r="39" spans="1:116" x14ac:dyDescent="0.25">
      <c r="A39" s="5">
        <v>46184</v>
      </c>
      <c r="B39" s="6">
        <v>6.2500000087311491E-2</v>
      </c>
      <c r="C39" s="3"/>
      <c r="D39" s="3"/>
      <c r="E39" s="3" t="s">
        <v>38</v>
      </c>
      <c r="F39" s="3">
        <v>8</v>
      </c>
      <c r="G39" s="3"/>
      <c r="H39" s="9"/>
      <c r="I39" s="9">
        <f>SUM(IFERROR(VLOOKUP($C:$C,Structure!$A:$AJ,I$1,0)*$D39,0),IFERROR(VLOOKUP($E:$E,Structure!$A:$AJ,I$1,0)*$F39,0),IFERROR(VLOOKUP($G:$G,Structure!$A:$AJ,I$1,0)*$H39,0))</f>
        <v>0</v>
      </c>
      <c r="J39" s="9">
        <f>SUM(IFERROR(VLOOKUP($C:$C,Structure!$A:$AJ,J$1,0)*$D39,0),IFERROR(VLOOKUP($E:$E,Structure!$A:$AJ,J$1,0)*$F39,0),IFERROR(VLOOKUP($G:$G,Structure!$A:$AJ,J$1,0)*$H39,0))</f>
        <v>8</v>
      </c>
      <c r="K39" s="9">
        <f>SUM(IFERROR(VLOOKUP($C:$C,Structure!$A:$AJ,K$1,0)*$D39,0),IFERROR(VLOOKUP($E:$E,Structure!$A:$AJ,K$1,0)*$F39,0),IFERROR(VLOOKUP($G:$G,Structure!$A:$AJ,K$1,0)*$H39,0))</f>
        <v>0</v>
      </c>
      <c r="L39" s="9">
        <f>SUM(IFERROR(VLOOKUP($C:$C,Structure!$A:$AJ,L$1,0)*$D39,0),IFERROR(VLOOKUP($E:$E,Structure!$A:$AJ,L$1,0)*$F39,0),IFERROR(VLOOKUP($G:$G,Structure!$A:$AJ,L$1,0)*$H39,0))</f>
        <v>0</v>
      </c>
      <c r="M39" s="9">
        <f>SUM(IFERROR(VLOOKUP($C:$C,Structure!$A:$AJ,M$1,0)*$D39,0),IFERROR(VLOOKUP($E:$E,Structure!$A:$AJ,M$1,0)*$F39,0),IFERROR(VLOOKUP($G:$G,Structure!$A:$AJ,M$1,0)*$H39,0))</f>
        <v>0</v>
      </c>
      <c r="N39" s="9">
        <f>SUM(IFERROR(VLOOKUP($C:$C,Structure!$A:$AJ,N$1,0)*$D39,0),IFERROR(VLOOKUP($E:$E,Structure!$A:$AJ,N$1,0)*$F39,0),IFERROR(VLOOKUP($G:$G,Structure!$A:$AJ,N$1,0)*$H39,0))</f>
        <v>0</v>
      </c>
      <c r="O39" s="9">
        <f>SUM(IFERROR(VLOOKUP($C:$C,Structure!$A:$AJ,O$1,0)*$D39,0),IFERROR(VLOOKUP($E:$E,Structure!$A:$AJ,O$1,0)*$F39,0),IFERROR(VLOOKUP($G:$G,Structure!$A:$AJ,O$1,0)*$H39,0))</f>
        <v>0</v>
      </c>
      <c r="P39" s="9">
        <f>SUM(IFERROR(VLOOKUP($C:$C,Structure!$A:$AJ,P$1,0)*$D39,0),IFERROR(VLOOKUP($E:$E,Structure!$A:$AJ,P$1,0)*$F39,0),IFERROR(VLOOKUP($G:$G,Structure!$A:$AJ,P$1,0)*$H39,0))</f>
        <v>8</v>
      </c>
      <c r="Q39" s="9">
        <f>SUM(IFERROR(VLOOKUP($C:$C,Structure!$A:$AJ,Q$1,0)*$D39,0),IFERROR(VLOOKUP($E:$E,Structure!$A:$AJ,Q$1,0)*$F39,0),IFERROR(VLOOKUP($G:$G,Structure!$A:$AJ,Q$1,0)*$H39,0))</f>
        <v>0</v>
      </c>
      <c r="R39" s="9">
        <f>SUM(IFERROR(VLOOKUP($C:$C,Structure!$A:$AJ,R$1,0)*$D39,0),IFERROR(VLOOKUP($E:$E,Structure!$A:$AJ,R$1,0)*$F39,0),IFERROR(VLOOKUP($G:$G,Structure!$A:$AJ,R$1,0)*$H39,0))</f>
        <v>0</v>
      </c>
      <c r="S39" s="9">
        <f>SUM(IFERROR(VLOOKUP($C:$C,Structure!$A:$AJ,S$1,0)*$D39,0),IFERROR(VLOOKUP($E:$E,Structure!$A:$AJ,S$1,0)*$F39,0),IFERROR(VLOOKUP($G:$G,Structure!$A:$AJ,S$1,0)*$H39,0))</f>
        <v>0</v>
      </c>
      <c r="T39" s="9">
        <f>SUM(IFERROR(VLOOKUP($C:$C,Structure!$A:$AJ,T$1,0)*$D39,0),IFERROR(VLOOKUP($E:$E,Structure!$A:$AJ,T$1,0)*$F39,0),IFERROR(VLOOKUP($G:$G,Structure!$A:$AJ,T$1,0)*$H39,0))</f>
        <v>0</v>
      </c>
      <c r="U39" s="9">
        <f>SUM(IFERROR(VLOOKUP($C:$C,Structure!$A:$AJ,U$1,0)*$D39,0),IFERROR(VLOOKUP($E:$E,Structure!$A:$AJ,U$1,0)*$F39,0),IFERROR(VLOOKUP($G:$G,Structure!$A:$AJ,U$1,0)*$H39,0))</f>
        <v>0</v>
      </c>
      <c r="V39" s="9">
        <f>SUM(IFERROR(VLOOKUP($C:$C,Structure!$A:$AJ,V$1,0)*$D39,0),IFERROR(VLOOKUP($E:$E,Structure!$A:$AJ,V$1,0)*$F39,0),IFERROR(VLOOKUP($G:$G,Structure!$A:$AJ,V$1,0)*$H39,0))</f>
        <v>0</v>
      </c>
      <c r="W39" s="9">
        <f>SUM(IFERROR(VLOOKUP($C:$C,Structure!$A:$AJ,W$1,0)*$D39,0),IFERROR(VLOOKUP($E:$E,Structure!$A:$AJ,W$1,0)*$F39,0),IFERROR(VLOOKUP($G:$G,Structure!$A:$AJ,W$1,0)*$H39,0))</f>
        <v>0</v>
      </c>
      <c r="X39" s="9">
        <f>SUM(IFERROR(VLOOKUP($C:$C,Structure!$A:$AJ,X$1,0)*$D39,0),IFERROR(VLOOKUP($E:$E,Structure!$A:$AJ,X$1,0)*$F39,0),IFERROR(VLOOKUP($G:$G,Structure!$A:$AJ,X$1,0)*$H39,0))</f>
        <v>0</v>
      </c>
      <c r="Y39" s="9">
        <f>SUM(IFERROR(VLOOKUP($C:$C,Structure!$A:$AJ,Y$1,0)*$D39,0),IFERROR(VLOOKUP($E:$E,Structure!$A:$AJ,Y$1,0)*$F39,0),IFERROR(VLOOKUP($G:$G,Structure!$A:$AJ,Y$1,0)*$H39,0))</f>
        <v>0</v>
      </c>
      <c r="Z39" s="9">
        <f>SUM(IFERROR(VLOOKUP($C:$C,Structure!$A:$AJ,Z$1,0)*$D39,0),IFERROR(VLOOKUP($E:$E,Structure!$A:$AJ,Z$1,0)*$F39,0),IFERROR(VLOOKUP($G:$G,Structure!$A:$AJ,Z$1,0)*$H39,0))</f>
        <v>0</v>
      </c>
      <c r="AA39" s="9">
        <f>SUM(IFERROR(VLOOKUP($C:$C,Structure!$A:$AJ,AA$1,0)*$D39,0),IFERROR(VLOOKUP($E:$E,Structure!$A:$AJ,AA$1,0)*$F39,0),IFERROR(VLOOKUP($G:$G,Structure!$A:$AJ,AA$1,0)*$H39,0))</f>
        <v>0</v>
      </c>
      <c r="AB39" s="9">
        <f>SUM(IFERROR(VLOOKUP($C:$C,Structure!$A:$AJ,AB$1,0)*$D39,0),IFERROR(VLOOKUP($E:$E,Structure!$A:$AJ,AB$1,0)*$F39,0),IFERROR(VLOOKUP($G:$G,Structure!$A:$AJ,AB$1,0)*$H39,0))</f>
        <v>0</v>
      </c>
      <c r="AC39" s="9">
        <f>SUM(IFERROR(VLOOKUP($C:$C,Structure!$A:$AJ,AC$1,0)*$D39,0),IFERROR(VLOOKUP($E:$E,Structure!$A:$AJ,AC$1,0)*$F39,0),IFERROR(VLOOKUP($G:$G,Structure!$A:$AJ,AC$1,0)*$H39,0))</f>
        <v>0</v>
      </c>
      <c r="AD39" s="9">
        <f>SUM(IFERROR(VLOOKUP($C:$C,Structure!$A:$AJ,AD$1,0)*$D39,0),IFERROR(VLOOKUP($E:$E,Structure!$A:$AJ,AD$1,0)*$F39,0),IFERROR(VLOOKUP($G:$G,Structure!$A:$AJ,AD$1,0)*$H39,0))</f>
        <v>0</v>
      </c>
      <c r="AE39" s="9">
        <f>SUM(IFERROR(VLOOKUP($C:$C,Structure!$A:$AJ,AE$1,0)*$D39,0),IFERROR(VLOOKUP($E:$E,Structure!$A:$AJ,AE$1,0)*$F39,0),IFERROR(VLOOKUP($G:$G,Structure!$A:$AJ,AE$1,0)*$H39,0))</f>
        <v>0</v>
      </c>
      <c r="AF39" s="9">
        <f>SUM(IFERROR(VLOOKUP($C:$C,Structure!$A:$AJ,AF$1,0)*$D39,0),IFERROR(VLOOKUP($E:$E,Structure!$A:$AJ,AF$1,0)*$F39,0),IFERROR(VLOOKUP($G:$G,Structure!$A:$AJ,AF$1,0)*$H39,0))</f>
        <v>0</v>
      </c>
      <c r="AG39" s="9">
        <f>SUM(IFERROR(VLOOKUP($C:$C,Structure!$A:$AJ,AG$1,0)*$D39,0),IFERROR(VLOOKUP($E:$E,Structure!$A:$AJ,AG$1,0)*$F39,0),IFERROR(VLOOKUP($G:$G,Structure!$A:$AJ,AG$1,0)*$H39,0))</f>
        <v>0</v>
      </c>
      <c r="AH39" s="9">
        <f>SUM(IFERROR(VLOOKUP($C:$C,Structure!$A:$AJ,AH$1,0)*$D39,0),IFERROR(VLOOKUP($E:$E,Structure!$A:$AJ,AH$1,0)*$F39,0),IFERROR(VLOOKUP($G:$G,Structure!$A:$AJ,AH$1,0)*$H39,0))</f>
        <v>0</v>
      </c>
      <c r="AI39" s="9">
        <f>SUM(IFERROR(VLOOKUP($C:$C,Structure!$A:$AJ,AI$1,0)*$D39,0),IFERROR(VLOOKUP($E:$E,Structure!$A:$AJ,AI$1,0)*$F39,0),IFERROR(VLOOKUP($G:$G,Structure!$A:$AJ,AI$1,0)*$H39,0))</f>
        <v>0</v>
      </c>
      <c r="AJ39" s="9">
        <f>SUM(IFERROR(VLOOKUP($C:$C,Structure!$A:$AJ,AJ$1,0)*$D39,0),IFERROR(VLOOKUP($E:$E,Structure!$A:$AJ,AJ$1,0)*$F39,0),IFERROR(VLOOKUP($G:$G,Structure!$A:$AJ,AJ$1,0)*$H39,0))</f>
        <v>0</v>
      </c>
      <c r="AK39" s="9">
        <f>SUM(IFERROR(VLOOKUP($C:$C,Structure!$A:$AJ,AK$1,0)*$D39,0),IFERROR(VLOOKUP($E:$E,Structure!$A:$AJ,AK$1,0)*$F39,0),IFERROR(VLOOKUP($G:$G,Structure!$A:$AJ,AK$1,0)*$H39,0))</f>
        <v>0</v>
      </c>
      <c r="AL39" s="9">
        <f>SUM(IFERROR(VLOOKUP($C:$C,Structure!$A:$AJ,AL$1,0)*$D39,0),IFERROR(VLOOKUP($E:$E,Structure!$A:$AJ,AL$1,0)*$F39,0),IFERROR(VLOOKUP($G:$G,Structure!$A:$AJ,AL$1,0)*$H39,0))</f>
        <v>0</v>
      </c>
      <c r="AM39" s="9">
        <f>SUM(IFERROR(VLOOKUP($C:$C,Structure!$A:$AJ,AM$1,0)*$D39,0),IFERROR(VLOOKUP($E:$E,Structure!$A:$AJ,AM$1,0)*$F39,0),IFERROR(VLOOKUP($G:$G,Structure!$A:$AJ,AM$1,0)*$H39,0))</f>
        <v>0</v>
      </c>
      <c r="AN39" s="9">
        <f>SUM(IFERROR(VLOOKUP($C:$C,Structure!$A:$AJ,AN$1,0)*$D39,0),IFERROR(VLOOKUP($E:$E,Structure!$A:$AJ,AN$1,0)*$F39,0),IFERROR(VLOOKUP($G:$G,Structure!$A:$AJ,AN$1,0)*$H39,0))</f>
        <v>0</v>
      </c>
      <c r="AO39" s="9">
        <f>SUM(IFERROR(VLOOKUP($C:$C,Structure!$A:$AJ,AO$1,0)*$D39,0),IFERROR(VLOOKUP($E:$E,Structure!$A:$AJ,AO$1,0)*$F39,0),IFERROR(VLOOKUP($G:$G,Structure!$A:$AJ,AO$1,0)*$H39,0))</f>
        <v>0</v>
      </c>
      <c r="AP39" s="9">
        <f>SUM(IFERROR(VLOOKUP($C:$C,Structure!$A:$AJ,AP$1,0)*$D39,0),IFERROR(VLOOKUP($E:$E,Structure!$A:$AJ,AP$1,0)*$F39,0),IFERROR(VLOOKUP($G:$G,Structure!$A:$AJ,AP$1,0)*$H39,0))</f>
        <v>0</v>
      </c>
      <c r="AQ39" s="9">
        <f>SUM(IFERROR(VLOOKUP($C:$C,Structure!$A:$AJ,AQ$1,0)*$D39,0),IFERROR(VLOOKUP($E:$E,Structure!$A:$AJ,AQ$1,0)*$F39,0),IFERROR(VLOOKUP($G:$G,Structure!$A:$AJ,AQ$1,0)*$H39,0))</f>
        <v>0</v>
      </c>
      <c r="AR39" s="21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4">
        <f t="shared" si="57"/>
        <v>0</v>
      </c>
      <c r="CE39" s="4">
        <f t="shared" si="58"/>
        <v>-35</v>
      </c>
      <c r="CF39" s="4">
        <f t="shared" si="59"/>
        <v>4</v>
      </c>
      <c r="CG39" s="4">
        <f t="shared" si="60"/>
        <v>23</v>
      </c>
      <c r="CH39" s="4">
        <f t="shared" si="61"/>
        <v>1</v>
      </c>
      <c r="CI39" s="4">
        <f t="shared" si="62"/>
        <v>1</v>
      </c>
      <c r="CJ39" s="4">
        <f t="shared" si="63"/>
        <v>21</v>
      </c>
      <c r="CK39" s="4">
        <f t="shared" si="64"/>
        <v>294</v>
      </c>
      <c r="CL39" s="4">
        <f t="shared" si="65"/>
        <v>0</v>
      </c>
      <c r="CM39" s="4">
        <f t="shared" si="66"/>
        <v>4</v>
      </c>
      <c r="CN39" s="4">
        <f t="shared" si="67"/>
        <v>59</v>
      </c>
      <c r="CO39" s="4">
        <f t="shared" si="68"/>
        <v>0</v>
      </c>
      <c r="CP39" s="4">
        <f t="shared" si="69"/>
        <v>5</v>
      </c>
      <c r="CQ39" s="4">
        <f t="shared" si="70"/>
        <v>-57</v>
      </c>
      <c r="CR39" s="4">
        <f t="shared" si="71"/>
        <v>34</v>
      </c>
      <c r="CS39" s="4">
        <f t="shared" si="72"/>
        <v>0</v>
      </c>
      <c r="CT39" s="4">
        <f t="shared" si="73"/>
        <v>0</v>
      </c>
      <c r="CU39" s="4">
        <f t="shared" si="74"/>
        <v>0</v>
      </c>
      <c r="CV39" s="4">
        <f t="shared" si="75"/>
        <v>0</v>
      </c>
      <c r="CW39" s="4">
        <f t="shared" si="76"/>
        <v>0</v>
      </c>
      <c r="CX39" s="4">
        <f t="shared" si="77"/>
        <v>-37</v>
      </c>
      <c r="CY39" s="4">
        <f t="shared" si="78"/>
        <v>0</v>
      </c>
      <c r="CZ39" s="4">
        <f t="shared" si="79"/>
        <v>0</v>
      </c>
      <c r="DA39" s="4">
        <f t="shared" si="80"/>
        <v>0</v>
      </c>
      <c r="DB39" s="4">
        <f t="shared" si="81"/>
        <v>0</v>
      </c>
      <c r="DC39" s="4">
        <f t="shared" si="82"/>
        <v>0</v>
      </c>
      <c r="DD39" s="4">
        <f t="shared" si="83"/>
        <v>0</v>
      </c>
      <c r="DE39" s="4">
        <f t="shared" si="84"/>
        <v>0</v>
      </c>
      <c r="DF39" s="4">
        <f t="shared" si="85"/>
        <v>0</v>
      </c>
      <c r="DG39" s="4">
        <f t="shared" si="86"/>
        <v>0</v>
      </c>
      <c r="DH39" s="4">
        <f t="shared" si="87"/>
        <v>0</v>
      </c>
      <c r="DI39" s="4">
        <f t="shared" si="88"/>
        <v>0</v>
      </c>
      <c r="DJ39" s="4">
        <f t="shared" si="89"/>
        <v>0</v>
      </c>
      <c r="DK39" s="4">
        <f t="shared" si="90"/>
        <v>0</v>
      </c>
      <c r="DL39" s="4">
        <f t="shared" si="91"/>
        <v>0</v>
      </c>
    </row>
    <row r="40" spans="1:116" x14ac:dyDescent="0.25">
      <c r="A40" s="5">
        <v>46184</v>
      </c>
      <c r="B40" s="6">
        <v>8.3333333423070144E-2</v>
      </c>
      <c r="C40" s="3"/>
      <c r="D40" s="3"/>
      <c r="E40" s="3" t="s">
        <v>38</v>
      </c>
      <c r="F40" s="3">
        <v>8</v>
      </c>
      <c r="G40" s="3"/>
      <c r="H40" s="9"/>
      <c r="I40" s="9">
        <f>SUM(IFERROR(VLOOKUP($C:$C,Structure!$A:$AJ,I$1,0)*$D40,0),IFERROR(VLOOKUP($E:$E,Structure!$A:$AJ,I$1,0)*$F40,0),IFERROR(VLOOKUP($G:$G,Structure!$A:$AJ,I$1,0)*$H40,0))</f>
        <v>0</v>
      </c>
      <c r="J40" s="9">
        <f>SUM(IFERROR(VLOOKUP($C:$C,Structure!$A:$AJ,J$1,0)*$D40,0),IFERROR(VLOOKUP($E:$E,Structure!$A:$AJ,J$1,0)*$F40,0),IFERROR(VLOOKUP($G:$G,Structure!$A:$AJ,J$1,0)*$H40,0))</f>
        <v>8</v>
      </c>
      <c r="K40" s="9">
        <f>SUM(IFERROR(VLOOKUP($C:$C,Structure!$A:$AJ,K$1,0)*$D40,0),IFERROR(VLOOKUP($E:$E,Structure!$A:$AJ,K$1,0)*$F40,0),IFERROR(VLOOKUP($G:$G,Structure!$A:$AJ,K$1,0)*$H40,0))</f>
        <v>0</v>
      </c>
      <c r="L40" s="9">
        <f>SUM(IFERROR(VLOOKUP($C:$C,Structure!$A:$AJ,L$1,0)*$D40,0),IFERROR(VLOOKUP($E:$E,Structure!$A:$AJ,L$1,0)*$F40,0),IFERROR(VLOOKUP($G:$G,Structure!$A:$AJ,L$1,0)*$H40,0))</f>
        <v>0</v>
      </c>
      <c r="M40" s="9">
        <f>SUM(IFERROR(VLOOKUP($C:$C,Structure!$A:$AJ,M$1,0)*$D40,0),IFERROR(VLOOKUP($E:$E,Structure!$A:$AJ,M$1,0)*$F40,0),IFERROR(VLOOKUP($G:$G,Structure!$A:$AJ,M$1,0)*$H40,0))</f>
        <v>0</v>
      </c>
      <c r="N40" s="9">
        <f>SUM(IFERROR(VLOOKUP($C:$C,Structure!$A:$AJ,N$1,0)*$D40,0),IFERROR(VLOOKUP($E:$E,Structure!$A:$AJ,N$1,0)*$F40,0),IFERROR(VLOOKUP($G:$G,Structure!$A:$AJ,N$1,0)*$H40,0))</f>
        <v>0</v>
      </c>
      <c r="O40" s="9">
        <f>SUM(IFERROR(VLOOKUP($C:$C,Structure!$A:$AJ,O$1,0)*$D40,0),IFERROR(VLOOKUP($E:$E,Structure!$A:$AJ,O$1,0)*$F40,0),IFERROR(VLOOKUP($G:$G,Structure!$A:$AJ,O$1,0)*$H40,0))</f>
        <v>0</v>
      </c>
      <c r="P40" s="9">
        <f>SUM(IFERROR(VLOOKUP($C:$C,Structure!$A:$AJ,P$1,0)*$D40,0),IFERROR(VLOOKUP($E:$E,Structure!$A:$AJ,P$1,0)*$F40,0),IFERROR(VLOOKUP($G:$G,Structure!$A:$AJ,P$1,0)*$H40,0))</f>
        <v>8</v>
      </c>
      <c r="Q40" s="9">
        <f>SUM(IFERROR(VLOOKUP($C:$C,Structure!$A:$AJ,Q$1,0)*$D40,0),IFERROR(VLOOKUP($E:$E,Structure!$A:$AJ,Q$1,0)*$F40,0),IFERROR(VLOOKUP($G:$G,Structure!$A:$AJ,Q$1,0)*$H40,0))</f>
        <v>0</v>
      </c>
      <c r="R40" s="9">
        <f>SUM(IFERROR(VLOOKUP($C:$C,Structure!$A:$AJ,R$1,0)*$D40,0),IFERROR(VLOOKUP($E:$E,Structure!$A:$AJ,R$1,0)*$F40,0),IFERROR(VLOOKUP($G:$G,Structure!$A:$AJ,R$1,0)*$H40,0))</f>
        <v>0</v>
      </c>
      <c r="S40" s="9">
        <f>SUM(IFERROR(VLOOKUP($C:$C,Structure!$A:$AJ,S$1,0)*$D40,0),IFERROR(VLOOKUP($E:$E,Structure!$A:$AJ,S$1,0)*$F40,0),IFERROR(VLOOKUP($G:$G,Structure!$A:$AJ,S$1,0)*$H40,0))</f>
        <v>0</v>
      </c>
      <c r="T40" s="9">
        <f>SUM(IFERROR(VLOOKUP($C:$C,Structure!$A:$AJ,T$1,0)*$D40,0),IFERROR(VLOOKUP($E:$E,Structure!$A:$AJ,T$1,0)*$F40,0),IFERROR(VLOOKUP($G:$G,Structure!$A:$AJ,T$1,0)*$H40,0))</f>
        <v>0</v>
      </c>
      <c r="U40" s="9">
        <f>SUM(IFERROR(VLOOKUP($C:$C,Structure!$A:$AJ,U$1,0)*$D40,0),IFERROR(VLOOKUP($E:$E,Structure!$A:$AJ,U$1,0)*$F40,0),IFERROR(VLOOKUP($G:$G,Structure!$A:$AJ,U$1,0)*$H40,0))</f>
        <v>0</v>
      </c>
      <c r="V40" s="9">
        <f>SUM(IFERROR(VLOOKUP($C:$C,Structure!$A:$AJ,V$1,0)*$D40,0),IFERROR(VLOOKUP($E:$E,Structure!$A:$AJ,V$1,0)*$F40,0),IFERROR(VLOOKUP($G:$G,Structure!$A:$AJ,V$1,0)*$H40,0))</f>
        <v>0</v>
      </c>
      <c r="W40" s="9">
        <f>SUM(IFERROR(VLOOKUP($C:$C,Structure!$A:$AJ,W$1,0)*$D40,0),IFERROR(VLOOKUP($E:$E,Structure!$A:$AJ,W$1,0)*$F40,0),IFERROR(VLOOKUP($G:$G,Structure!$A:$AJ,W$1,0)*$H40,0))</f>
        <v>0</v>
      </c>
      <c r="X40" s="9">
        <f>SUM(IFERROR(VLOOKUP($C:$C,Structure!$A:$AJ,X$1,0)*$D40,0),IFERROR(VLOOKUP($E:$E,Structure!$A:$AJ,X$1,0)*$F40,0),IFERROR(VLOOKUP($G:$G,Structure!$A:$AJ,X$1,0)*$H40,0))</f>
        <v>0</v>
      </c>
      <c r="Y40" s="9">
        <f>SUM(IFERROR(VLOOKUP($C:$C,Structure!$A:$AJ,Y$1,0)*$D40,0),IFERROR(VLOOKUP($E:$E,Structure!$A:$AJ,Y$1,0)*$F40,0),IFERROR(VLOOKUP($G:$G,Structure!$A:$AJ,Y$1,0)*$H40,0))</f>
        <v>0</v>
      </c>
      <c r="Z40" s="9">
        <f>SUM(IFERROR(VLOOKUP($C:$C,Structure!$A:$AJ,Z$1,0)*$D40,0),IFERROR(VLOOKUP($E:$E,Structure!$A:$AJ,Z$1,0)*$F40,0),IFERROR(VLOOKUP($G:$G,Structure!$A:$AJ,Z$1,0)*$H40,0))</f>
        <v>0</v>
      </c>
      <c r="AA40" s="9">
        <f>SUM(IFERROR(VLOOKUP($C:$C,Structure!$A:$AJ,AA$1,0)*$D40,0),IFERROR(VLOOKUP($E:$E,Structure!$A:$AJ,AA$1,0)*$F40,0),IFERROR(VLOOKUP($G:$G,Structure!$A:$AJ,AA$1,0)*$H40,0))</f>
        <v>0</v>
      </c>
      <c r="AB40" s="9">
        <f>SUM(IFERROR(VLOOKUP($C:$C,Structure!$A:$AJ,AB$1,0)*$D40,0),IFERROR(VLOOKUP($E:$E,Structure!$A:$AJ,AB$1,0)*$F40,0),IFERROR(VLOOKUP($G:$G,Structure!$A:$AJ,AB$1,0)*$H40,0))</f>
        <v>0</v>
      </c>
      <c r="AC40" s="9">
        <f>SUM(IFERROR(VLOOKUP($C:$C,Structure!$A:$AJ,AC$1,0)*$D40,0),IFERROR(VLOOKUP($E:$E,Structure!$A:$AJ,AC$1,0)*$F40,0),IFERROR(VLOOKUP($G:$G,Structure!$A:$AJ,AC$1,0)*$H40,0))</f>
        <v>0</v>
      </c>
      <c r="AD40" s="9">
        <f>SUM(IFERROR(VLOOKUP($C:$C,Structure!$A:$AJ,AD$1,0)*$D40,0),IFERROR(VLOOKUP($E:$E,Structure!$A:$AJ,AD$1,0)*$F40,0),IFERROR(VLOOKUP($G:$G,Structure!$A:$AJ,AD$1,0)*$H40,0))</f>
        <v>0</v>
      </c>
      <c r="AE40" s="9">
        <f>SUM(IFERROR(VLOOKUP($C:$C,Structure!$A:$AJ,AE$1,0)*$D40,0),IFERROR(VLOOKUP($E:$E,Structure!$A:$AJ,AE$1,0)*$F40,0),IFERROR(VLOOKUP($G:$G,Structure!$A:$AJ,AE$1,0)*$H40,0))</f>
        <v>0</v>
      </c>
      <c r="AF40" s="9">
        <f>SUM(IFERROR(VLOOKUP($C:$C,Structure!$A:$AJ,AF$1,0)*$D40,0),IFERROR(VLOOKUP($E:$E,Structure!$A:$AJ,AF$1,0)*$F40,0),IFERROR(VLOOKUP($G:$G,Structure!$A:$AJ,AF$1,0)*$H40,0))</f>
        <v>0</v>
      </c>
      <c r="AG40" s="9">
        <f>SUM(IFERROR(VLOOKUP($C:$C,Structure!$A:$AJ,AG$1,0)*$D40,0),IFERROR(VLOOKUP($E:$E,Structure!$A:$AJ,AG$1,0)*$F40,0),IFERROR(VLOOKUP($G:$G,Structure!$A:$AJ,AG$1,0)*$H40,0))</f>
        <v>0</v>
      </c>
      <c r="AH40" s="9">
        <f>SUM(IFERROR(VLOOKUP($C:$C,Structure!$A:$AJ,AH$1,0)*$D40,0),IFERROR(VLOOKUP($E:$E,Structure!$A:$AJ,AH$1,0)*$F40,0),IFERROR(VLOOKUP($G:$G,Structure!$A:$AJ,AH$1,0)*$H40,0))</f>
        <v>0</v>
      </c>
      <c r="AI40" s="9">
        <f>SUM(IFERROR(VLOOKUP($C:$C,Structure!$A:$AJ,AI$1,0)*$D40,0),IFERROR(VLOOKUP($E:$E,Structure!$A:$AJ,AI$1,0)*$F40,0),IFERROR(VLOOKUP($G:$G,Structure!$A:$AJ,AI$1,0)*$H40,0))</f>
        <v>0</v>
      </c>
      <c r="AJ40" s="9">
        <f>SUM(IFERROR(VLOOKUP($C:$C,Structure!$A:$AJ,AJ$1,0)*$D40,0),IFERROR(VLOOKUP($E:$E,Structure!$A:$AJ,AJ$1,0)*$F40,0),IFERROR(VLOOKUP($G:$G,Structure!$A:$AJ,AJ$1,0)*$H40,0))</f>
        <v>0</v>
      </c>
      <c r="AK40" s="9">
        <f>SUM(IFERROR(VLOOKUP($C:$C,Structure!$A:$AJ,AK$1,0)*$D40,0),IFERROR(VLOOKUP($E:$E,Structure!$A:$AJ,AK$1,0)*$F40,0),IFERROR(VLOOKUP($G:$G,Structure!$A:$AJ,AK$1,0)*$H40,0))</f>
        <v>0</v>
      </c>
      <c r="AL40" s="9">
        <f>SUM(IFERROR(VLOOKUP($C:$C,Structure!$A:$AJ,AL$1,0)*$D40,0),IFERROR(VLOOKUP($E:$E,Structure!$A:$AJ,AL$1,0)*$F40,0),IFERROR(VLOOKUP($G:$G,Structure!$A:$AJ,AL$1,0)*$H40,0))</f>
        <v>0</v>
      </c>
      <c r="AM40" s="9">
        <f>SUM(IFERROR(VLOOKUP($C:$C,Structure!$A:$AJ,AM$1,0)*$D40,0),IFERROR(VLOOKUP($E:$E,Structure!$A:$AJ,AM$1,0)*$F40,0),IFERROR(VLOOKUP($G:$G,Structure!$A:$AJ,AM$1,0)*$H40,0))</f>
        <v>0</v>
      </c>
      <c r="AN40" s="9">
        <f>SUM(IFERROR(VLOOKUP($C:$C,Structure!$A:$AJ,AN$1,0)*$D40,0),IFERROR(VLOOKUP($E:$E,Structure!$A:$AJ,AN$1,0)*$F40,0),IFERROR(VLOOKUP($G:$G,Structure!$A:$AJ,AN$1,0)*$H40,0))</f>
        <v>0</v>
      </c>
      <c r="AO40" s="9">
        <f>SUM(IFERROR(VLOOKUP($C:$C,Structure!$A:$AJ,AO$1,0)*$D40,0),IFERROR(VLOOKUP($E:$E,Structure!$A:$AJ,AO$1,0)*$F40,0),IFERROR(VLOOKUP($G:$G,Structure!$A:$AJ,AO$1,0)*$H40,0))</f>
        <v>0</v>
      </c>
      <c r="AP40" s="9">
        <f>SUM(IFERROR(VLOOKUP($C:$C,Structure!$A:$AJ,AP$1,0)*$D40,0),IFERROR(VLOOKUP($E:$E,Structure!$A:$AJ,AP$1,0)*$F40,0),IFERROR(VLOOKUP($G:$G,Structure!$A:$AJ,AP$1,0)*$H40,0))</f>
        <v>0</v>
      </c>
      <c r="AQ40" s="9">
        <f>SUM(IFERROR(VLOOKUP($C:$C,Structure!$A:$AJ,AQ$1,0)*$D40,0),IFERROR(VLOOKUP($E:$E,Structure!$A:$AJ,AQ$1,0)*$F40,0),IFERROR(VLOOKUP($G:$G,Structure!$A:$AJ,AQ$1,0)*$H40,0))</f>
        <v>0</v>
      </c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4">
        <f t="shared" si="57"/>
        <v>0</v>
      </c>
      <c r="CE40" s="4">
        <f t="shared" si="58"/>
        <v>-43</v>
      </c>
      <c r="CF40" s="4">
        <f t="shared" si="59"/>
        <v>4</v>
      </c>
      <c r="CG40" s="4">
        <f t="shared" si="60"/>
        <v>23</v>
      </c>
      <c r="CH40" s="4">
        <f t="shared" si="61"/>
        <v>1</v>
      </c>
      <c r="CI40" s="4">
        <f t="shared" si="62"/>
        <v>1</v>
      </c>
      <c r="CJ40" s="4">
        <f t="shared" si="63"/>
        <v>21</v>
      </c>
      <c r="CK40" s="4">
        <f t="shared" si="64"/>
        <v>286</v>
      </c>
      <c r="CL40" s="4">
        <f t="shared" si="65"/>
        <v>0</v>
      </c>
      <c r="CM40" s="4">
        <f t="shared" si="66"/>
        <v>4</v>
      </c>
      <c r="CN40" s="4">
        <f t="shared" si="67"/>
        <v>59</v>
      </c>
      <c r="CO40" s="4">
        <f t="shared" si="68"/>
        <v>0</v>
      </c>
      <c r="CP40" s="4">
        <f t="shared" si="69"/>
        <v>5</v>
      </c>
      <c r="CQ40" s="4">
        <f t="shared" si="70"/>
        <v>-57</v>
      </c>
      <c r="CR40" s="4">
        <f t="shared" si="71"/>
        <v>34</v>
      </c>
      <c r="CS40" s="4">
        <f t="shared" si="72"/>
        <v>0</v>
      </c>
      <c r="CT40" s="4">
        <f t="shared" si="73"/>
        <v>0</v>
      </c>
      <c r="CU40" s="4">
        <f t="shared" si="74"/>
        <v>0</v>
      </c>
      <c r="CV40" s="4">
        <f t="shared" si="75"/>
        <v>0</v>
      </c>
      <c r="CW40" s="4">
        <f t="shared" si="76"/>
        <v>0</v>
      </c>
      <c r="CX40" s="4">
        <f t="shared" si="77"/>
        <v>-37</v>
      </c>
      <c r="CY40" s="4">
        <f t="shared" si="78"/>
        <v>0</v>
      </c>
      <c r="CZ40" s="4">
        <f t="shared" si="79"/>
        <v>0</v>
      </c>
      <c r="DA40" s="4">
        <f t="shared" si="80"/>
        <v>0</v>
      </c>
      <c r="DB40" s="4">
        <f t="shared" si="81"/>
        <v>0</v>
      </c>
      <c r="DC40" s="4">
        <f t="shared" si="82"/>
        <v>0</v>
      </c>
      <c r="DD40" s="4">
        <f t="shared" si="83"/>
        <v>0</v>
      </c>
      <c r="DE40" s="4">
        <f t="shared" si="84"/>
        <v>0</v>
      </c>
      <c r="DF40" s="4">
        <f t="shared" si="85"/>
        <v>0</v>
      </c>
      <c r="DG40" s="4">
        <f t="shared" si="86"/>
        <v>0</v>
      </c>
      <c r="DH40" s="4">
        <f t="shared" si="87"/>
        <v>0</v>
      </c>
      <c r="DI40" s="4">
        <f t="shared" si="88"/>
        <v>0</v>
      </c>
      <c r="DJ40" s="4">
        <f t="shared" si="89"/>
        <v>0</v>
      </c>
      <c r="DK40" s="4">
        <f t="shared" si="90"/>
        <v>0</v>
      </c>
      <c r="DL40" s="4">
        <f t="shared" si="91"/>
        <v>0</v>
      </c>
    </row>
    <row r="41" spans="1:116" x14ac:dyDescent="0.25">
      <c r="A41" s="5">
        <v>46184</v>
      </c>
      <c r="B41" s="6">
        <v>0.1041666667588288</v>
      </c>
      <c r="C41" s="3"/>
      <c r="D41" s="3"/>
      <c r="E41" s="3" t="s">
        <v>57</v>
      </c>
      <c r="F41" s="3">
        <v>8</v>
      </c>
      <c r="G41" s="3"/>
      <c r="H41" s="9"/>
      <c r="I41" s="9">
        <f>SUM(IFERROR(VLOOKUP($C:$C,Structure!$A:$AJ,I$1,0)*$D41,0),IFERROR(VLOOKUP($E:$E,Structure!$A:$AJ,I$1,0)*$F41,0),IFERROR(VLOOKUP($G:$G,Structure!$A:$AJ,I$1,0)*$H41,0))</f>
        <v>0</v>
      </c>
      <c r="J41" s="9">
        <f>SUM(IFERROR(VLOOKUP($C:$C,Structure!$A:$AJ,J$1,0)*$D41,0),IFERROR(VLOOKUP($E:$E,Structure!$A:$AJ,J$1,0)*$F41,0),IFERROR(VLOOKUP($G:$G,Structure!$A:$AJ,J$1,0)*$H41,0))</f>
        <v>0</v>
      </c>
      <c r="K41" s="9">
        <f>SUM(IFERROR(VLOOKUP($C:$C,Structure!$A:$AJ,K$1,0)*$D41,0),IFERROR(VLOOKUP($E:$E,Structure!$A:$AJ,K$1,0)*$F41,0),IFERROR(VLOOKUP($G:$G,Structure!$A:$AJ,K$1,0)*$H41,0))</f>
        <v>0</v>
      </c>
      <c r="L41" s="9">
        <f>SUM(IFERROR(VLOOKUP($C:$C,Structure!$A:$AJ,L$1,0)*$D41,0),IFERROR(VLOOKUP($E:$E,Structure!$A:$AJ,L$1,0)*$F41,0),IFERROR(VLOOKUP($G:$G,Structure!$A:$AJ,L$1,0)*$H41,0))</f>
        <v>0</v>
      </c>
      <c r="M41" s="9">
        <f>SUM(IFERROR(VLOOKUP($C:$C,Structure!$A:$AJ,M$1,0)*$D41,0),IFERROR(VLOOKUP($E:$E,Structure!$A:$AJ,M$1,0)*$F41,0),IFERROR(VLOOKUP($G:$G,Structure!$A:$AJ,M$1,0)*$H41,0))</f>
        <v>0</v>
      </c>
      <c r="N41" s="9">
        <f>SUM(IFERROR(VLOOKUP($C:$C,Structure!$A:$AJ,N$1,0)*$D41,0),IFERROR(VLOOKUP($E:$E,Structure!$A:$AJ,N$1,0)*$F41,0),IFERROR(VLOOKUP($G:$G,Structure!$A:$AJ,N$1,0)*$H41,0))</f>
        <v>0</v>
      </c>
      <c r="O41" s="9">
        <f>SUM(IFERROR(VLOOKUP($C:$C,Structure!$A:$AJ,O$1,0)*$D41,0),IFERROR(VLOOKUP($E:$E,Structure!$A:$AJ,O$1,0)*$F41,0),IFERROR(VLOOKUP($G:$G,Structure!$A:$AJ,O$1,0)*$H41,0))</f>
        <v>8</v>
      </c>
      <c r="P41" s="9">
        <f>SUM(IFERROR(VLOOKUP($C:$C,Structure!$A:$AJ,P$1,0)*$D41,0),IFERROR(VLOOKUP($E:$E,Structure!$A:$AJ,P$1,0)*$F41,0),IFERROR(VLOOKUP($G:$G,Structure!$A:$AJ,P$1,0)*$H41,0))</f>
        <v>0</v>
      </c>
      <c r="Q41" s="9">
        <f>SUM(IFERROR(VLOOKUP($C:$C,Structure!$A:$AJ,Q$1,0)*$D41,0),IFERROR(VLOOKUP($E:$E,Structure!$A:$AJ,Q$1,0)*$F41,0),IFERROR(VLOOKUP($G:$G,Structure!$A:$AJ,Q$1,0)*$H41,0))</f>
        <v>0</v>
      </c>
      <c r="R41" s="9">
        <f>SUM(IFERROR(VLOOKUP($C:$C,Structure!$A:$AJ,R$1,0)*$D41,0),IFERROR(VLOOKUP($E:$E,Structure!$A:$AJ,R$1,0)*$F41,0),IFERROR(VLOOKUP($G:$G,Structure!$A:$AJ,R$1,0)*$H41,0))</f>
        <v>0</v>
      </c>
      <c r="S41" s="9">
        <f>SUM(IFERROR(VLOOKUP($C:$C,Structure!$A:$AJ,S$1,0)*$D41,0),IFERROR(VLOOKUP($E:$E,Structure!$A:$AJ,S$1,0)*$F41,0),IFERROR(VLOOKUP($G:$G,Structure!$A:$AJ,S$1,0)*$H41,0))</f>
        <v>8</v>
      </c>
      <c r="T41" s="9">
        <f>SUM(IFERROR(VLOOKUP($C:$C,Structure!$A:$AJ,T$1,0)*$D41,0),IFERROR(VLOOKUP($E:$E,Structure!$A:$AJ,T$1,0)*$F41,0),IFERROR(VLOOKUP($G:$G,Structure!$A:$AJ,T$1,0)*$H41,0))</f>
        <v>0</v>
      </c>
      <c r="U41" s="9">
        <f>SUM(IFERROR(VLOOKUP($C:$C,Structure!$A:$AJ,U$1,0)*$D41,0),IFERROR(VLOOKUP($E:$E,Structure!$A:$AJ,U$1,0)*$F41,0),IFERROR(VLOOKUP($G:$G,Structure!$A:$AJ,U$1,0)*$H41,0))</f>
        <v>0</v>
      </c>
      <c r="V41" s="9">
        <f>SUM(IFERROR(VLOOKUP($C:$C,Structure!$A:$AJ,V$1,0)*$D41,0),IFERROR(VLOOKUP($E:$E,Structure!$A:$AJ,V$1,0)*$F41,0),IFERROR(VLOOKUP($G:$G,Structure!$A:$AJ,V$1,0)*$H41,0))</f>
        <v>0</v>
      </c>
      <c r="W41" s="9">
        <f>SUM(IFERROR(VLOOKUP($C:$C,Structure!$A:$AJ,W$1,0)*$D41,0),IFERROR(VLOOKUP($E:$E,Structure!$A:$AJ,W$1,0)*$F41,0),IFERROR(VLOOKUP($G:$G,Structure!$A:$AJ,W$1,0)*$H41,0))</f>
        <v>0</v>
      </c>
      <c r="X41" s="9">
        <f>SUM(IFERROR(VLOOKUP($C:$C,Structure!$A:$AJ,X$1,0)*$D41,0),IFERROR(VLOOKUP($E:$E,Structure!$A:$AJ,X$1,0)*$F41,0),IFERROR(VLOOKUP($G:$G,Structure!$A:$AJ,X$1,0)*$H41,0))</f>
        <v>0</v>
      </c>
      <c r="Y41" s="9">
        <f>SUM(IFERROR(VLOOKUP($C:$C,Structure!$A:$AJ,Y$1,0)*$D41,0),IFERROR(VLOOKUP($E:$E,Structure!$A:$AJ,Y$1,0)*$F41,0),IFERROR(VLOOKUP($G:$G,Structure!$A:$AJ,Y$1,0)*$H41,0))</f>
        <v>0</v>
      </c>
      <c r="Z41" s="9">
        <f>SUM(IFERROR(VLOOKUP($C:$C,Structure!$A:$AJ,Z$1,0)*$D41,0),IFERROR(VLOOKUP($E:$E,Structure!$A:$AJ,Z$1,0)*$F41,0),IFERROR(VLOOKUP($G:$G,Structure!$A:$AJ,Z$1,0)*$H41,0))</f>
        <v>0</v>
      </c>
      <c r="AA41" s="9">
        <f>SUM(IFERROR(VLOOKUP($C:$C,Structure!$A:$AJ,AA$1,0)*$D41,0),IFERROR(VLOOKUP($E:$E,Structure!$A:$AJ,AA$1,0)*$F41,0),IFERROR(VLOOKUP($G:$G,Structure!$A:$AJ,AA$1,0)*$H41,0))</f>
        <v>0</v>
      </c>
      <c r="AB41" s="9">
        <f>SUM(IFERROR(VLOOKUP($C:$C,Structure!$A:$AJ,AB$1,0)*$D41,0),IFERROR(VLOOKUP($E:$E,Structure!$A:$AJ,AB$1,0)*$F41,0),IFERROR(VLOOKUP($G:$G,Structure!$A:$AJ,AB$1,0)*$H41,0))</f>
        <v>0</v>
      </c>
      <c r="AC41" s="9">
        <f>SUM(IFERROR(VLOOKUP($C:$C,Structure!$A:$AJ,AC$1,0)*$D41,0),IFERROR(VLOOKUP($E:$E,Structure!$A:$AJ,AC$1,0)*$F41,0),IFERROR(VLOOKUP($G:$G,Structure!$A:$AJ,AC$1,0)*$H41,0))</f>
        <v>0</v>
      </c>
      <c r="AD41" s="9">
        <f>SUM(IFERROR(VLOOKUP($C:$C,Structure!$A:$AJ,AD$1,0)*$D41,0),IFERROR(VLOOKUP($E:$E,Structure!$A:$AJ,AD$1,0)*$F41,0),IFERROR(VLOOKUP($G:$G,Structure!$A:$AJ,AD$1,0)*$H41,0))</f>
        <v>0</v>
      </c>
      <c r="AE41" s="9">
        <f>SUM(IFERROR(VLOOKUP($C:$C,Structure!$A:$AJ,AE$1,0)*$D41,0),IFERROR(VLOOKUP($E:$E,Structure!$A:$AJ,AE$1,0)*$F41,0),IFERROR(VLOOKUP($G:$G,Structure!$A:$AJ,AE$1,0)*$H41,0))</f>
        <v>0</v>
      </c>
      <c r="AF41" s="9">
        <f>SUM(IFERROR(VLOOKUP($C:$C,Structure!$A:$AJ,AF$1,0)*$D41,0),IFERROR(VLOOKUP($E:$E,Structure!$A:$AJ,AF$1,0)*$F41,0),IFERROR(VLOOKUP($G:$G,Structure!$A:$AJ,AF$1,0)*$H41,0))</f>
        <v>0</v>
      </c>
      <c r="AG41" s="9">
        <f>SUM(IFERROR(VLOOKUP($C:$C,Structure!$A:$AJ,AG$1,0)*$D41,0),IFERROR(VLOOKUP($E:$E,Structure!$A:$AJ,AG$1,0)*$F41,0),IFERROR(VLOOKUP($G:$G,Structure!$A:$AJ,AG$1,0)*$H41,0))</f>
        <v>0</v>
      </c>
      <c r="AH41" s="9">
        <f>SUM(IFERROR(VLOOKUP($C:$C,Structure!$A:$AJ,AH$1,0)*$D41,0),IFERROR(VLOOKUP($E:$E,Structure!$A:$AJ,AH$1,0)*$F41,0),IFERROR(VLOOKUP($G:$G,Structure!$A:$AJ,AH$1,0)*$H41,0))</f>
        <v>0</v>
      </c>
      <c r="AI41" s="9">
        <f>SUM(IFERROR(VLOOKUP($C:$C,Structure!$A:$AJ,AI$1,0)*$D41,0),IFERROR(VLOOKUP($E:$E,Structure!$A:$AJ,AI$1,0)*$F41,0),IFERROR(VLOOKUP($G:$G,Structure!$A:$AJ,AI$1,0)*$H41,0))</f>
        <v>0</v>
      </c>
      <c r="AJ41" s="9">
        <f>SUM(IFERROR(VLOOKUP($C:$C,Structure!$A:$AJ,AJ$1,0)*$D41,0),IFERROR(VLOOKUP($E:$E,Structure!$A:$AJ,AJ$1,0)*$F41,0),IFERROR(VLOOKUP($G:$G,Structure!$A:$AJ,AJ$1,0)*$H41,0))</f>
        <v>0</v>
      </c>
      <c r="AK41" s="9">
        <f>SUM(IFERROR(VLOOKUP($C:$C,Structure!$A:$AJ,AK$1,0)*$D41,0),IFERROR(VLOOKUP($E:$E,Structure!$A:$AJ,AK$1,0)*$F41,0),IFERROR(VLOOKUP($G:$G,Structure!$A:$AJ,AK$1,0)*$H41,0))</f>
        <v>0</v>
      </c>
      <c r="AL41" s="9">
        <f>SUM(IFERROR(VLOOKUP($C:$C,Structure!$A:$AJ,AL$1,0)*$D41,0),IFERROR(VLOOKUP($E:$E,Structure!$A:$AJ,AL$1,0)*$F41,0),IFERROR(VLOOKUP($G:$G,Structure!$A:$AJ,AL$1,0)*$H41,0))</f>
        <v>0</v>
      </c>
      <c r="AM41" s="9">
        <f>SUM(IFERROR(VLOOKUP($C:$C,Structure!$A:$AJ,AM$1,0)*$D41,0),IFERROR(VLOOKUP($E:$E,Structure!$A:$AJ,AM$1,0)*$F41,0),IFERROR(VLOOKUP($G:$G,Structure!$A:$AJ,AM$1,0)*$H41,0))</f>
        <v>0</v>
      </c>
      <c r="AN41" s="9">
        <f>SUM(IFERROR(VLOOKUP($C:$C,Structure!$A:$AJ,AN$1,0)*$D41,0),IFERROR(VLOOKUP($E:$E,Structure!$A:$AJ,AN$1,0)*$F41,0),IFERROR(VLOOKUP($G:$G,Structure!$A:$AJ,AN$1,0)*$H41,0))</f>
        <v>0</v>
      </c>
      <c r="AO41" s="9">
        <f>SUM(IFERROR(VLOOKUP($C:$C,Structure!$A:$AJ,AO$1,0)*$D41,0),IFERROR(VLOOKUP($E:$E,Structure!$A:$AJ,AO$1,0)*$F41,0),IFERROR(VLOOKUP($G:$G,Structure!$A:$AJ,AO$1,0)*$H41,0))</f>
        <v>0</v>
      </c>
      <c r="AP41" s="9">
        <f>SUM(IFERROR(VLOOKUP($C:$C,Structure!$A:$AJ,AP$1,0)*$D41,0),IFERROR(VLOOKUP($E:$E,Structure!$A:$AJ,AP$1,0)*$F41,0),IFERROR(VLOOKUP($G:$G,Structure!$A:$AJ,AP$1,0)*$H41,0))</f>
        <v>0</v>
      </c>
      <c r="AQ41" s="9">
        <f>SUM(IFERROR(VLOOKUP($C:$C,Structure!$A:$AJ,AQ$1,0)*$D41,0),IFERROR(VLOOKUP($E:$E,Structure!$A:$AJ,AQ$1,0)*$F41,0),IFERROR(VLOOKUP($G:$G,Structure!$A:$AJ,AQ$1,0)*$H41,0))</f>
        <v>0</v>
      </c>
      <c r="AR41" s="21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4">
        <f t="shared" si="57"/>
        <v>0</v>
      </c>
      <c r="CE41" s="4">
        <f t="shared" si="58"/>
        <v>-43</v>
      </c>
      <c r="CF41" s="4">
        <f t="shared" si="59"/>
        <v>4</v>
      </c>
      <c r="CG41" s="4">
        <f t="shared" si="60"/>
        <v>23</v>
      </c>
      <c r="CH41" s="4">
        <f t="shared" si="61"/>
        <v>1</v>
      </c>
      <c r="CI41" s="4">
        <f t="shared" si="62"/>
        <v>1</v>
      </c>
      <c r="CJ41" s="4">
        <f t="shared" si="63"/>
        <v>13</v>
      </c>
      <c r="CK41" s="4">
        <f t="shared" si="64"/>
        <v>286</v>
      </c>
      <c r="CL41" s="4">
        <f t="shared" si="65"/>
        <v>0</v>
      </c>
      <c r="CM41" s="4">
        <f t="shared" si="66"/>
        <v>4</v>
      </c>
      <c r="CN41" s="4">
        <f t="shared" si="67"/>
        <v>51</v>
      </c>
      <c r="CO41" s="4">
        <f t="shared" si="68"/>
        <v>0</v>
      </c>
      <c r="CP41" s="4">
        <f t="shared" si="69"/>
        <v>5</v>
      </c>
      <c r="CQ41" s="4">
        <f t="shared" si="70"/>
        <v>-57</v>
      </c>
      <c r="CR41" s="4">
        <f t="shared" si="71"/>
        <v>34</v>
      </c>
      <c r="CS41" s="4">
        <f t="shared" si="72"/>
        <v>0</v>
      </c>
      <c r="CT41" s="4">
        <f t="shared" si="73"/>
        <v>0</v>
      </c>
      <c r="CU41" s="4">
        <f t="shared" si="74"/>
        <v>0</v>
      </c>
      <c r="CV41" s="4">
        <f t="shared" si="75"/>
        <v>0</v>
      </c>
      <c r="CW41" s="4">
        <f t="shared" si="76"/>
        <v>0</v>
      </c>
      <c r="CX41" s="4">
        <f t="shared" si="77"/>
        <v>-37</v>
      </c>
      <c r="CY41" s="4">
        <f t="shared" si="78"/>
        <v>0</v>
      </c>
      <c r="CZ41" s="4">
        <f t="shared" si="79"/>
        <v>0</v>
      </c>
      <c r="DA41" s="4">
        <f t="shared" si="80"/>
        <v>0</v>
      </c>
      <c r="DB41" s="4">
        <f t="shared" si="81"/>
        <v>0</v>
      </c>
      <c r="DC41" s="4">
        <f t="shared" si="82"/>
        <v>0</v>
      </c>
      <c r="DD41" s="4">
        <f t="shared" si="83"/>
        <v>0</v>
      </c>
      <c r="DE41" s="4">
        <f t="shared" si="84"/>
        <v>0</v>
      </c>
      <c r="DF41" s="4">
        <f t="shared" si="85"/>
        <v>0</v>
      </c>
      <c r="DG41" s="4">
        <f t="shared" si="86"/>
        <v>0</v>
      </c>
      <c r="DH41" s="4">
        <f t="shared" si="87"/>
        <v>0</v>
      </c>
      <c r="DI41" s="4">
        <f t="shared" si="88"/>
        <v>0</v>
      </c>
      <c r="DJ41" s="4">
        <f t="shared" si="89"/>
        <v>0</v>
      </c>
      <c r="DK41" s="4">
        <f t="shared" si="90"/>
        <v>0</v>
      </c>
      <c r="DL41" s="4">
        <f t="shared" si="91"/>
        <v>0</v>
      </c>
    </row>
    <row r="42" spans="1:116" x14ac:dyDescent="0.25">
      <c r="A42" s="5">
        <v>46184</v>
      </c>
      <c r="B42" s="6">
        <v>0.12500000009458745</v>
      </c>
      <c r="C42" s="3"/>
      <c r="D42" s="3"/>
      <c r="E42" s="3" t="s">
        <v>57</v>
      </c>
      <c r="F42" s="3">
        <v>8</v>
      </c>
      <c r="G42" s="3"/>
      <c r="H42" s="9"/>
      <c r="I42" s="9">
        <f>SUM(IFERROR(VLOOKUP($C:$C,Structure!$A:$AJ,I$1,0)*$D42,0),IFERROR(VLOOKUP($E:$E,Structure!$A:$AJ,I$1,0)*$F42,0),IFERROR(VLOOKUP($G:$G,Structure!$A:$AJ,I$1,0)*$H42,0))</f>
        <v>0</v>
      </c>
      <c r="J42" s="9">
        <f>SUM(IFERROR(VLOOKUP($C:$C,Structure!$A:$AJ,J$1,0)*$D42,0),IFERROR(VLOOKUP($E:$E,Structure!$A:$AJ,J$1,0)*$F42,0),IFERROR(VLOOKUP($G:$G,Structure!$A:$AJ,J$1,0)*$H42,0))</f>
        <v>0</v>
      </c>
      <c r="K42" s="9">
        <f>SUM(IFERROR(VLOOKUP($C:$C,Structure!$A:$AJ,K$1,0)*$D42,0),IFERROR(VLOOKUP($E:$E,Structure!$A:$AJ,K$1,0)*$F42,0),IFERROR(VLOOKUP($G:$G,Structure!$A:$AJ,K$1,0)*$H42,0))</f>
        <v>0</v>
      </c>
      <c r="L42" s="9">
        <f>SUM(IFERROR(VLOOKUP($C:$C,Structure!$A:$AJ,L$1,0)*$D42,0),IFERROR(VLOOKUP($E:$E,Structure!$A:$AJ,L$1,0)*$F42,0),IFERROR(VLOOKUP($G:$G,Structure!$A:$AJ,L$1,0)*$H42,0))</f>
        <v>0</v>
      </c>
      <c r="M42" s="9">
        <f>SUM(IFERROR(VLOOKUP($C:$C,Structure!$A:$AJ,M$1,0)*$D42,0),IFERROR(VLOOKUP($E:$E,Structure!$A:$AJ,M$1,0)*$F42,0),IFERROR(VLOOKUP($G:$G,Structure!$A:$AJ,M$1,0)*$H42,0))</f>
        <v>0</v>
      </c>
      <c r="N42" s="9">
        <f>SUM(IFERROR(VLOOKUP($C:$C,Structure!$A:$AJ,N$1,0)*$D42,0),IFERROR(VLOOKUP($E:$E,Structure!$A:$AJ,N$1,0)*$F42,0),IFERROR(VLOOKUP($G:$G,Structure!$A:$AJ,N$1,0)*$H42,0))</f>
        <v>0</v>
      </c>
      <c r="O42" s="9">
        <f>SUM(IFERROR(VLOOKUP($C:$C,Structure!$A:$AJ,O$1,0)*$D42,0),IFERROR(VLOOKUP($E:$E,Structure!$A:$AJ,O$1,0)*$F42,0),IFERROR(VLOOKUP($G:$G,Structure!$A:$AJ,O$1,0)*$H42,0))</f>
        <v>8</v>
      </c>
      <c r="P42" s="9">
        <f>SUM(IFERROR(VLOOKUP($C:$C,Structure!$A:$AJ,P$1,0)*$D42,0),IFERROR(VLOOKUP($E:$E,Structure!$A:$AJ,P$1,0)*$F42,0),IFERROR(VLOOKUP($G:$G,Structure!$A:$AJ,P$1,0)*$H42,0))</f>
        <v>0</v>
      </c>
      <c r="Q42" s="9">
        <f>SUM(IFERROR(VLOOKUP($C:$C,Structure!$A:$AJ,Q$1,0)*$D42,0),IFERROR(VLOOKUP($E:$E,Structure!$A:$AJ,Q$1,0)*$F42,0),IFERROR(VLOOKUP($G:$G,Structure!$A:$AJ,Q$1,0)*$H42,0))</f>
        <v>0</v>
      </c>
      <c r="R42" s="9">
        <f>SUM(IFERROR(VLOOKUP($C:$C,Structure!$A:$AJ,R$1,0)*$D42,0),IFERROR(VLOOKUP($E:$E,Structure!$A:$AJ,R$1,0)*$F42,0),IFERROR(VLOOKUP($G:$G,Structure!$A:$AJ,R$1,0)*$H42,0))</f>
        <v>0</v>
      </c>
      <c r="S42" s="9">
        <f>SUM(IFERROR(VLOOKUP($C:$C,Structure!$A:$AJ,S$1,0)*$D42,0),IFERROR(VLOOKUP($E:$E,Structure!$A:$AJ,S$1,0)*$F42,0),IFERROR(VLOOKUP($G:$G,Structure!$A:$AJ,S$1,0)*$H42,0))</f>
        <v>8</v>
      </c>
      <c r="T42" s="9">
        <f>SUM(IFERROR(VLOOKUP($C:$C,Structure!$A:$AJ,T$1,0)*$D42,0),IFERROR(VLOOKUP($E:$E,Structure!$A:$AJ,T$1,0)*$F42,0),IFERROR(VLOOKUP($G:$G,Structure!$A:$AJ,T$1,0)*$H42,0))</f>
        <v>0</v>
      </c>
      <c r="U42" s="9">
        <f>SUM(IFERROR(VLOOKUP($C:$C,Structure!$A:$AJ,U$1,0)*$D42,0),IFERROR(VLOOKUP($E:$E,Structure!$A:$AJ,U$1,0)*$F42,0),IFERROR(VLOOKUP($G:$G,Structure!$A:$AJ,U$1,0)*$H42,0))</f>
        <v>0</v>
      </c>
      <c r="V42" s="9">
        <f>SUM(IFERROR(VLOOKUP($C:$C,Structure!$A:$AJ,V$1,0)*$D42,0),IFERROR(VLOOKUP($E:$E,Structure!$A:$AJ,V$1,0)*$F42,0),IFERROR(VLOOKUP($G:$G,Structure!$A:$AJ,V$1,0)*$H42,0))</f>
        <v>0</v>
      </c>
      <c r="W42" s="9">
        <f>SUM(IFERROR(VLOOKUP($C:$C,Structure!$A:$AJ,W$1,0)*$D42,0),IFERROR(VLOOKUP($E:$E,Structure!$A:$AJ,W$1,0)*$F42,0),IFERROR(VLOOKUP($G:$G,Structure!$A:$AJ,W$1,0)*$H42,0))</f>
        <v>0</v>
      </c>
      <c r="X42" s="9">
        <f>SUM(IFERROR(VLOOKUP($C:$C,Structure!$A:$AJ,X$1,0)*$D42,0),IFERROR(VLOOKUP($E:$E,Structure!$A:$AJ,X$1,0)*$F42,0),IFERROR(VLOOKUP($G:$G,Structure!$A:$AJ,X$1,0)*$H42,0))</f>
        <v>0</v>
      </c>
      <c r="Y42" s="9">
        <f>SUM(IFERROR(VLOOKUP($C:$C,Structure!$A:$AJ,Y$1,0)*$D42,0),IFERROR(VLOOKUP($E:$E,Structure!$A:$AJ,Y$1,0)*$F42,0),IFERROR(VLOOKUP($G:$G,Structure!$A:$AJ,Y$1,0)*$H42,0))</f>
        <v>0</v>
      </c>
      <c r="Z42" s="9">
        <f>SUM(IFERROR(VLOOKUP($C:$C,Structure!$A:$AJ,Z$1,0)*$D42,0),IFERROR(VLOOKUP($E:$E,Structure!$A:$AJ,Z$1,0)*$F42,0),IFERROR(VLOOKUP($G:$G,Structure!$A:$AJ,Z$1,0)*$H42,0))</f>
        <v>0</v>
      </c>
      <c r="AA42" s="9">
        <f>SUM(IFERROR(VLOOKUP($C:$C,Structure!$A:$AJ,AA$1,0)*$D42,0),IFERROR(VLOOKUP($E:$E,Structure!$A:$AJ,AA$1,0)*$F42,0),IFERROR(VLOOKUP($G:$G,Structure!$A:$AJ,AA$1,0)*$H42,0))</f>
        <v>0</v>
      </c>
      <c r="AB42" s="9">
        <f>SUM(IFERROR(VLOOKUP($C:$C,Structure!$A:$AJ,AB$1,0)*$D42,0),IFERROR(VLOOKUP($E:$E,Structure!$A:$AJ,AB$1,0)*$F42,0),IFERROR(VLOOKUP($G:$G,Structure!$A:$AJ,AB$1,0)*$H42,0))</f>
        <v>0</v>
      </c>
      <c r="AC42" s="9">
        <f>SUM(IFERROR(VLOOKUP($C:$C,Structure!$A:$AJ,AC$1,0)*$D42,0),IFERROR(VLOOKUP($E:$E,Structure!$A:$AJ,AC$1,0)*$F42,0),IFERROR(VLOOKUP($G:$G,Structure!$A:$AJ,AC$1,0)*$H42,0))</f>
        <v>0</v>
      </c>
      <c r="AD42" s="9">
        <f>SUM(IFERROR(VLOOKUP($C:$C,Structure!$A:$AJ,AD$1,0)*$D42,0),IFERROR(VLOOKUP($E:$E,Structure!$A:$AJ,AD$1,0)*$F42,0),IFERROR(VLOOKUP($G:$G,Structure!$A:$AJ,AD$1,0)*$H42,0))</f>
        <v>0</v>
      </c>
      <c r="AE42" s="9">
        <f>SUM(IFERROR(VLOOKUP($C:$C,Structure!$A:$AJ,AE$1,0)*$D42,0),IFERROR(VLOOKUP($E:$E,Structure!$A:$AJ,AE$1,0)*$F42,0),IFERROR(VLOOKUP($G:$G,Structure!$A:$AJ,AE$1,0)*$H42,0))</f>
        <v>0</v>
      </c>
      <c r="AF42" s="9">
        <f>SUM(IFERROR(VLOOKUP($C:$C,Structure!$A:$AJ,AF$1,0)*$D42,0),IFERROR(VLOOKUP($E:$E,Structure!$A:$AJ,AF$1,0)*$F42,0),IFERROR(VLOOKUP($G:$G,Structure!$A:$AJ,AF$1,0)*$H42,0))</f>
        <v>0</v>
      </c>
      <c r="AG42" s="9">
        <f>SUM(IFERROR(VLOOKUP($C:$C,Structure!$A:$AJ,AG$1,0)*$D42,0),IFERROR(VLOOKUP($E:$E,Structure!$A:$AJ,AG$1,0)*$F42,0),IFERROR(VLOOKUP($G:$G,Structure!$A:$AJ,AG$1,0)*$H42,0))</f>
        <v>0</v>
      </c>
      <c r="AH42" s="9">
        <f>SUM(IFERROR(VLOOKUP($C:$C,Structure!$A:$AJ,AH$1,0)*$D42,0),IFERROR(VLOOKUP($E:$E,Structure!$A:$AJ,AH$1,0)*$F42,0),IFERROR(VLOOKUP($G:$G,Structure!$A:$AJ,AH$1,0)*$H42,0))</f>
        <v>0</v>
      </c>
      <c r="AI42" s="9">
        <f>SUM(IFERROR(VLOOKUP($C:$C,Structure!$A:$AJ,AI$1,0)*$D42,0),IFERROR(VLOOKUP($E:$E,Structure!$A:$AJ,AI$1,0)*$F42,0),IFERROR(VLOOKUP($G:$G,Structure!$A:$AJ,AI$1,0)*$H42,0))</f>
        <v>0</v>
      </c>
      <c r="AJ42" s="9">
        <f>SUM(IFERROR(VLOOKUP($C:$C,Structure!$A:$AJ,AJ$1,0)*$D42,0),IFERROR(VLOOKUP($E:$E,Structure!$A:$AJ,AJ$1,0)*$F42,0),IFERROR(VLOOKUP($G:$G,Structure!$A:$AJ,AJ$1,0)*$H42,0))</f>
        <v>0</v>
      </c>
      <c r="AK42" s="9">
        <f>SUM(IFERROR(VLOOKUP($C:$C,Structure!$A:$AJ,AK$1,0)*$D42,0),IFERROR(VLOOKUP($E:$E,Structure!$A:$AJ,AK$1,0)*$F42,0),IFERROR(VLOOKUP($G:$G,Structure!$A:$AJ,AK$1,0)*$H42,0))</f>
        <v>0</v>
      </c>
      <c r="AL42" s="9">
        <f>SUM(IFERROR(VLOOKUP($C:$C,Structure!$A:$AJ,AL$1,0)*$D42,0),IFERROR(VLOOKUP($E:$E,Structure!$A:$AJ,AL$1,0)*$F42,0),IFERROR(VLOOKUP($G:$G,Structure!$A:$AJ,AL$1,0)*$H42,0))</f>
        <v>0</v>
      </c>
      <c r="AM42" s="9">
        <f>SUM(IFERROR(VLOOKUP($C:$C,Structure!$A:$AJ,AM$1,0)*$D42,0),IFERROR(VLOOKUP($E:$E,Structure!$A:$AJ,AM$1,0)*$F42,0),IFERROR(VLOOKUP($G:$G,Structure!$A:$AJ,AM$1,0)*$H42,0))</f>
        <v>0</v>
      </c>
      <c r="AN42" s="9">
        <f>SUM(IFERROR(VLOOKUP($C:$C,Structure!$A:$AJ,AN$1,0)*$D42,0),IFERROR(VLOOKUP($E:$E,Structure!$A:$AJ,AN$1,0)*$F42,0),IFERROR(VLOOKUP($G:$G,Structure!$A:$AJ,AN$1,0)*$H42,0))</f>
        <v>0</v>
      </c>
      <c r="AO42" s="9">
        <f>SUM(IFERROR(VLOOKUP($C:$C,Structure!$A:$AJ,AO$1,0)*$D42,0),IFERROR(VLOOKUP($E:$E,Structure!$A:$AJ,AO$1,0)*$F42,0),IFERROR(VLOOKUP($G:$G,Structure!$A:$AJ,AO$1,0)*$H42,0))</f>
        <v>0</v>
      </c>
      <c r="AP42" s="9">
        <f>SUM(IFERROR(VLOOKUP($C:$C,Structure!$A:$AJ,AP$1,0)*$D42,0),IFERROR(VLOOKUP($E:$E,Structure!$A:$AJ,AP$1,0)*$F42,0),IFERROR(VLOOKUP($G:$G,Structure!$A:$AJ,AP$1,0)*$H42,0))</f>
        <v>0</v>
      </c>
      <c r="AQ42" s="9">
        <f>SUM(IFERROR(VLOOKUP($C:$C,Structure!$A:$AJ,AQ$1,0)*$D42,0),IFERROR(VLOOKUP($E:$E,Structure!$A:$AJ,AQ$1,0)*$F42,0),IFERROR(VLOOKUP($G:$G,Structure!$A:$AJ,AQ$1,0)*$H42,0))</f>
        <v>0</v>
      </c>
      <c r="AR42" s="21" t="s">
        <v>823</v>
      </c>
      <c r="AS42" s="3" t="s">
        <v>352</v>
      </c>
      <c r="AT42" s="3" t="s">
        <v>822</v>
      </c>
      <c r="AU42" s="3"/>
      <c r="AV42" s="3"/>
      <c r="AW42" s="3"/>
      <c r="AX42" s="3"/>
      <c r="AY42" s="3"/>
      <c r="AZ42" s="3">
        <v>50</v>
      </c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4">
        <f t="shared" si="57"/>
        <v>0</v>
      </c>
      <c r="CE42" s="4">
        <f t="shared" si="58"/>
        <v>-43</v>
      </c>
      <c r="CF42" s="4">
        <f t="shared" si="59"/>
        <v>4</v>
      </c>
      <c r="CG42" s="4">
        <f t="shared" si="60"/>
        <v>23</v>
      </c>
      <c r="CH42" s="4">
        <f t="shared" si="61"/>
        <v>1</v>
      </c>
      <c r="CI42" s="4">
        <f t="shared" si="62"/>
        <v>51</v>
      </c>
      <c r="CJ42" s="4">
        <f t="shared" si="63"/>
        <v>5</v>
      </c>
      <c r="CK42" s="4">
        <f t="shared" si="64"/>
        <v>286</v>
      </c>
      <c r="CL42" s="4">
        <f t="shared" si="65"/>
        <v>0</v>
      </c>
      <c r="CM42" s="4">
        <f t="shared" si="66"/>
        <v>4</v>
      </c>
      <c r="CN42" s="4">
        <f t="shared" si="67"/>
        <v>43</v>
      </c>
      <c r="CO42" s="4">
        <f t="shared" si="68"/>
        <v>0</v>
      </c>
      <c r="CP42" s="4">
        <f t="shared" si="69"/>
        <v>5</v>
      </c>
      <c r="CQ42" s="4">
        <f t="shared" si="70"/>
        <v>-57</v>
      </c>
      <c r="CR42" s="4">
        <f t="shared" si="71"/>
        <v>34</v>
      </c>
      <c r="CS42" s="4">
        <f t="shared" si="72"/>
        <v>0</v>
      </c>
      <c r="CT42" s="4">
        <f t="shared" si="73"/>
        <v>0</v>
      </c>
      <c r="CU42" s="4">
        <f t="shared" si="74"/>
        <v>0</v>
      </c>
      <c r="CV42" s="4">
        <f t="shared" si="75"/>
        <v>0</v>
      </c>
      <c r="CW42" s="4">
        <f t="shared" si="76"/>
        <v>0</v>
      </c>
      <c r="CX42" s="4">
        <f t="shared" si="77"/>
        <v>-37</v>
      </c>
      <c r="CY42" s="4">
        <f t="shared" si="78"/>
        <v>0</v>
      </c>
      <c r="CZ42" s="4">
        <f t="shared" si="79"/>
        <v>0</v>
      </c>
      <c r="DA42" s="4">
        <f t="shared" si="80"/>
        <v>0</v>
      </c>
      <c r="DB42" s="4">
        <f t="shared" si="81"/>
        <v>0</v>
      </c>
      <c r="DC42" s="4">
        <f t="shared" si="82"/>
        <v>0</v>
      </c>
      <c r="DD42" s="4">
        <f t="shared" si="83"/>
        <v>0</v>
      </c>
      <c r="DE42" s="4">
        <f t="shared" si="84"/>
        <v>0</v>
      </c>
      <c r="DF42" s="4">
        <f t="shared" si="85"/>
        <v>0</v>
      </c>
      <c r="DG42" s="4">
        <f t="shared" si="86"/>
        <v>0</v>
      </c>
      <c r="DH42" s="4">
        <f t="shared" si="87"/>
        <v>0</v>
      </c>
      <c r="DI42" s="4">
        <f t="shared" si="88"/>
        <v>0</v>
      </c>
      <c r="DJ42" s="4">
        <f t="shared" si="89"/>
        <v>0</v>
      </c>
      <c r="DK42" s="4">
        <f t="shared" si="90"/>
        <v>0</v>
      </c>
      <c r="DL42" s="4">
        <f t="shared" si="91"/>
        <v>0</v>
      </c>
    </row>
    <row r="43" spans="1:116" x14ac:dyDescent="0.25">
      <c r="A43" s="5">
        <v>46184</v>
      </c>
      <c r="B43" s="6">
        <v>0.1458333334303461</v>
      </c>
      <c r="C43" s="3"/>
      <c r="D43" s="3"/>
      <c r="E43" s="3" t="s">
        <v>57</v>
      </c>
      <c r="F43" s="3">
        <v>8</v>
      </c>
      <c r="G43" s="3"/>
      <c r="H43" s="9"/>
      <c r="I43" s="9">
        <f>SUM(IFERROR(VLOOKUP($C:$C,Structure!$A:$AJ,I$1,0)*$D43,0),IFERROR(VLOOKUP($E:$E,Structure!$A:$AJ,I$1,0)*$F43,0),IFERROR(VLOOKUP($G:$G,Structure!$A:$AJ,I$1,0)*$H43,0))</f>
        <v>0</v>
      </c>
      <c r="J43" s="9">
        <f>SUM(IFERROR(VLOOKUP($C:$C,Structure!$A:$AJ,J$1,0)*$D43,0),IFERROR(VLOOKUP($E:$E,Structure!$A:$AJ,J$1,0)*$F43,0),IFERROR(VLOOKUP($G:$G,Structure!$A:$AJ,J$1,0)*$H43,0))</f>
        <v>0</v>
      </c>
      <c r="K43" s="9">
        <f>SUM(IFERROR(VLOOKUP($C:$C,Structure!$A:$AJ,K$1,0)*$D43,0),IFERROR(VLOOKUP($E:$E,Structure!$A:$AJ,K$1,0)*$F43,0),IFERROR(VLOOKUP($G:$G,Structure!$A:$AJ,K$1,0)*$H43,0))</f>
        <v>0</v>
      </c>
      <c r="L43" s="9">
        <f>SUM(IFERROR(VLOOKUP($C:$C,Structure!$A:$AJ,L$1,0)*$D43,0),IFERROR(VLOOKUP($E:$E,Structure!$A:$AJ,L$1,0)*$F43,0),IFERROR(VLOOKUP($G:$G,Structure!$A:$AJ,L$1,0)*$H43,0))</f>
        <v>0</v>
      </c>
      <c r="M43" s="9">
        <f>SUM(IFERROR(VLOOKUP($C:$C,Structure!$A:$AJ,M$1,0)*$D43,0),IFERROR(VLOOKUP($E:$E,Structure!$A:$AJ,M$1,0)*$F43,0),IFERROR(VLOOKUP($G:$G,Structure!$A:$AJ,M$1,0)*$H43,0))</f>
        <v>0</v>
      </c>
      <c r="N43" s="9">
        <f>SUM(IFERROR(VLOOKUP($C:$C,Structure!$A:$AJ,N$1,0)*$D43,0),IFERROR(VLOOKUP($E:$E,Structure!$A:$AJ,N$1,0)*$F43,0),IFERROR(VLOOKUP($G:$G,Structure!$A:$AJ,N$1,0)*$H43,0))</f>
        <v>0</v>
      </c>
      <c r="O43" s="9">
        <f>SUM(IFERROR(VLOOKUP($C:$C,Structure!$A:$AJ,O$1,0)*$D43,0),IFERROR(VLOOKUP($E:$E,Structure!$A:$AJ,O$1,0)*$F43,0),IFERROR(VLOOKUP($G:$G,Structure!$A:$AJ,O$1,0)*$H43,0))</f>
        <v>8</v>
      </c>
      <c r="P43" s="9">
        <f>SUM(IFERROR(VLOOKUP($C:$C,Structure!$A:$AJ,P$1,0)*$D43,0),IFERROR(VLOOKUP($E:$E,Structure!$A:$AJ,P$1,0)*$F43,0),IFERROR(VLOOKUP($G:$G,Structure!$A:$AJ,P$1,0)*$H43,0))</f>
        <v>0</v>
      </c>
      <c r="Q43" s="9">
        <f>SUM(IFERROR(VLOOKUP($C:$C,Structure!$A:$AJ,Q$1,0)*$D43,0),IFERROR(VLOOKUP($E:$E,Structure!$A:$AJ,Q$1,0)*$F43,0),IFERROR(VLOOKUP($G:$G,Structure!$A:$AJ,Q$1,0)*$H43,0))</f>
        <v>0</v>
      </c>
      <c r="R43" s="9">
        <f>SUM(IFERROR(VLOOKUP($C:$C,Structure!$A:$AJ,R$1,0)*$D43,0),IFERROR(VLOOKUP($E:$E,Structure!$A:$AJ,R$1,0)*$F43,0),IFERROR(VLOOKUP($G:$G,Structure!$A:$AJ,R$1,0)*$H43,0))</f>
        <v>0</v>
      </c>
      <c r="S43" s="9">
        <f>SUM(IFERROR(VLOOKUP($C:$C,Structure!$A:$AJ,S$1,0)*$D43,0),IFERROR(VLOOKUP($E:$E,Structure!$A:$AJ,S$1,0)*$F43,0),IFERROR(VLOOKUP($G:$G,Structure!$A:$AJ,S$1,0)*$H43,0))</f>
        <v>8</v>
      </c>
      <c r="T43" s="9">
        <f>SUM(IFERROR(VLOOKUP($C:$C,Structure!$A:$AJ,T$1,0)*$D43,0),IFERROR(VLOOKUP($E:$E,Structure!$A:$AJ,T$1,0)*$F43,0),IFERROR(VLOOKUP($G:$G,Structure!$A:$AJ,T$1,0)*$H43,0))</f>
        <v>0</v>
      </c>
      <c r="U43" s="9">
        <f>SUM(IFERROR(VLOOKUP($C:$C,Structure!$A:$AJ,U$1,0)*$D43,0),IFERROR(VLOOKUP($E:$E,Structure!$A:$AJ,U$1,0)*$F43,0),IFERROR(VLOOKUP($G:$G,Structure!$A:$AJ,U$1,0)*$H43,0))</f>
        <v>0</v>
      </c>
      <c r="V43" s="9">
        <f>SUM(IFERROR(VLOOKUP($C:$C,Structure!$A:$AJ,V$1,0)*$D43,0),IFERROR(VLOOKUP($E:$E,Structure!$A:$AJ,V$1,0)*$F43,0),IFERROR(VLOOKUP($G:$G,Structure!$A:$AJ,V$1,0)*$H43,0))</f>
        <v>0</v>
      </c>
      <c r="W43" s="9">
        <f>SUM(IFERROR(VLOOKUP($C:$C,Structure!$A:$AJ,W$1,0)*$D43,0),IFERROR(VLOOKUP($E:$E,Structure!$A:$AJ,W$1,0)*$F43,0),IFERROR(VLOOKUP($G:$G,Structure!$A:$AJ,W$1,0)*$H43,0))</f>
        <v>0</v>
      </c>
      <c r="X43" s="9">
        <f>SUM(IFERROR(VLOOKUP($C:$C,Structure!$A:$AJ,X$1,0)*$D43,0),IFERROR(VLOOKUP($E:$E,Structure!$A:$AJ,X$1,0)*$F43,0),IFERROR(VLOOKUP($G:$G,Structure!$A:$AJ,X$1,0)*$H43,0))</f>
        <v>0</v>
      </c>
      <c r="Y43" s="9">
        <f>SUM(IFERROR(VLOOKUP($C:$C,Structure!$A:$AJ,Y$1,0)*$D43,0),IFERROR(VLOOKUP($E:$E,Structure!$A:$AJ,Y$1,0)*$F43,0),IFERROR(VLOOKUP($G:$G,Structure!$A:$AJ,Y$1,0)*$H43,0))</f>
        <v>0</v>
      </c>
      <c r="Z43" s="9">
        <f>SUM(IFERROR(VLOOKUP($C:$C,Structure!$A:$AJ,Z$1,0)*$D43,0),IFERROR(VLOOKUP($E:$E,Structure!$A:$AJ,Z$1,0)*$F43,0),IFERROR(VLOOKUP($G:$G,Structure!$A:$AJ,Z$1,0)*$H43,0))</f>
        <v>0</v>
      </c>
      <c r="AA43" s="9">
        <f>SUM(IFERROR(VLOOKUP($C:$C,Structure!$A:$AJ,AA$1,0)*$D43,0),IFERROR(VLOOKUP($E:$E,Structure!$A:$AJ,AA$1,0)*$F43,0),IFERROR(VLOOKUP($G:$G,Structure!$A:$AJ,AA$1,0)*$H43,0))</f>
        <v>0</v>
      </c>
      <c r="AB43" s="9">
        <f>SUM(IFERROR(VLOOKUP($C:$C,Structure!$A:$AJ,AB$1,0)*$D43,0),IFERROR(VLOOKUP($E:$E,Structure!$A:$AJ,AB$1,0)*$F43,0),IFERROR(VLOOKUP($G:$G,Structure!$A:$AJ,AB$1,0)*$H43,0))</f>
        <v>0</v>
      </c>
      <c r="AC43" s="9">
        <f>SUM(IFERROR(VLOOKUP($C:$C,Structure!$A:$AJ,AC$1,0)*$D43,0),IFERROR(VLOOKUP($E:$E,Structure!$A:$AJ,AC$1,0)*$F43,0),IFERROR(VLOOKUP($G:$G,Structure!$A:$AJ,AC$1,0)*$H43,0))</f>
        <v>0</v>
      </c>
      <c r="AD43" s="9">
        <f>SUM(IFERROR(VLOOKUP($C:$C,Structure!$A:$AJ,AD$1,0)*$D43,0),IFERROR(VLOOKUP($E:$E,Structure!$A:$AJ,AD$1,0)*$F43,0),IFERROR(VLOOKUP($G:$G,Structure!$A:$AJ,AD$1,0)*$H43,0))</f>
        <v>0</v>
      </c>
      <c r="AE43" s="9">
        <f>SUM(IFERROR(VLOOKUP($C:$C,Structure!$A:$AJ,AE$1,0)*$D43,0),IFERROR(VLOOKUP($E:$E,Structure!$A:$AJ,AE$1,0)*$F43,0),IFERROR(VLOOKUP($G:$G,Structure!$A:$AJ,AE$1,0)*$H43,0))</f>
        <v>0</v>
      </c>
      <c r="AF43" s="9">
        <f>SUM(IFERROR(VLOOKUP($C:$C,Structure!$A:$AJ,AF$1,0)*$D43,0),IFERROR(VLOOKUP($E:$E,Structure!$A:$AJ,AF$1,0)*$F43,0),IFERROR(VLOOKUP($G:$G,Structure!$A:$AJ,AF$1,0)*$H43,0))</f>
        <v>0</v>
      </c>
      <c r="AG43" s="9">
        <f>SUM(IFERROR(VLOOKUP($C:$C,Structure!$A:$AJ,AG$1,0)*$D43,0),IFERROR(VLOOKUP($E:$E,Structure!$A:$AJ,AG$1,0)*$F43,0),IFERROR(VLOOKUP($G:$G,Structure!$A:$AJ,AG$1,0)*$H43,0))</f>
        <v>0</v>
      </c>
      <c r="AH43" s="9">
        <f>SUM(IFERROR(VLOOKUP($C:$C,Structure!$A:$AJ,AH$1,0)*$D43,0),IFERROR(VLOOKUP($E:$E,Structure!$A:$AJ,AH$1,0)*$F43,0),IFERROR(VLOOKUP($G:$G,Structure!$A:$AJ,AH$1,0)*$H43,0))</f>
        <v>0</v>
      </c>
      <c r="AI43" s="9">
        <f>SUM(IFERROR(VLOOKUP($C:$C,Structure!$A:$AJ,AI$1,0)*$D43,0),IFERROR(VLOOKUP($E:$E,Structure!$A:$AJ,AI$1,0)*$F43,0),IFERROR(VLOOKUP($G:$G,Structure!$A:$AJ,AI$1,0)*$H43,0))</f>
        <v>0</v>
      </c>
      <c r="AJ43" s="9">
        <f>SUM(IFERROR(VLOOKUP($C:$C,Structure!$A:$AJ,AJ$1,0)*$D43,0),IFERROR(VLOOKUP($E:$E,Structure!$A:$AJ,AJ$1,0)*$F43,0),IFERROR(VLOOKUP($G:$G,Structure!$A:$AJ,AJ$1,0)*$H43,0))</f>
        <v>0</v>
      </c>
      <c r="AK43" s="9">
        <f>SUM(IFERROR(VLOOKUP($C:$C,Structure!$A:$AJ,AK$1,0)*$D43,0),IFERROR(VLOOKUP($E:$E,Structure!$A:$AJ,AK$1,0)*$F43,0),IFERROR(VLOOKUP($G:$G,Structure!$A:$AJ,AK$1,0)*$H43,0))</f>
        <v>0</v>
      </c>
      <c r="AL43" s="9">
        <f>SUM(IFERROR(VLOOKUP($C:$C,Structure!$A:$AJ,AL$1,0)*$D43,0),IFERROR(VLOOKUP($E:$E,Structure!$A:$AJ,AL$1,0)*$F43,0),IFERROR(VLOOKUP($G:$G,Structure!$A:$AJ,AL$1,0)*$H43,0))</f>
        <v>0</v>
      </c>
      <c r="AM43" s="9">
        <f>SUM(IFERROR(VLOOKUP($C:$C,Structure!$A:$AJ,AM$1,0)*$D43,0),IFERROR(VLOOKUP($E:$E,Structure!$A:$AJ,AM$1,0)*$F43,0),IFERROR(VLOOKUP($G:$G,Structure!$A:$AJ,AM$1,0)*$H43,0))</f>
        <v>0</v>
      </c>
      <c r="AN43" s="9">
        <f>SUM(IFERROR(VLOOKUP($C:$C,Structure!$A:$AJ,AN$1,0)*$D43,0),IFERROR(VLOOKUP($E:$E,Structure!$A:$AJ,AN$1,0)*$F43,0),IFERROR(VLOOKUP($G:$G,Structure!$A:$AJ,AN$1,0)*$H43,0))</f>
        <v>0</v>
      </c>
      <c r="AO43" s="9">
        <f>SUM(IFERROR(VLOOKUP($C:$C,Structure!$A:$AJ,AO$1,0)*$D43,0),IFERROR(VLOOKUP($E:$E,Structure!$A:$AJ,AO$1,0)*$F43,0),IFERROR(VLOOKUP($G:$G,Structure!$A:$AJ,AO$1,0)*$H43,0))</f>
        <v>0</v>
      </c>
      <c r="AP43" s="9">
        <f>SUM(IFERROR(VLOOKUP($C:$C,Structure!$A:$AJ,AP$1,0)*$D43,0),IFERROR(VLOOKUP($E:$E,Structure!$A:$AJ,AP$1,0)*$F43,0),IFERROR(VLOOKUP($G:$G,Structure!$A:$AJ,AP$1,0)*$H43,0))</f>
        <v>0</v>
      </c>
      <c r="AQ43" s="9">
        <f>SUM(IFERROR(VLOOKUP($C:$C,Structure!$A:$AJ,AQ$1,0)*$D43,0),IFERROR(VLOOKUP($E:$E,Structure!$A:$AJ,AQ$1,0)*$F43,0),IFERROR(VLOOKUP($G:$G,Structure!$A:$AJ,AQ$1,0)*$H43,0))</f>
        <v>0</v>
      </c>
      <c r="AR43" s="21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4">
        <f t="shared" si="57"/>
        <v>0</v>
      </c>
      <c r="CE43" s="4">
        <f t="shared" si="58"/>
        <v>-43</v>
      </c>
      <c r="CF43" s="4">
        <f t="shared" si="59"/>
        <v>4</v>
      </c>
      <c r="CG43" s="4">
        <f t="shared" si="60"/>
        <v>23</v>
      </c>
      <c r="CH43" s="4">
        <f t="shared" si="61"/>
        <v>1</v>
      </c>
      <c r="CI43" s="4">
        <f t="shared" si="62"/>
        <v>51</v>
      </c>
      <c r="CJ43" s="4">
        <f t="shared" si="63"/>
        <v>-3</v>
      </c>
      <c r="CK43" s="4">
        <f t="shared" si="64"/>
        <v>286</v>
      </c>
      <c r="CL43" s="4">
        <f t="shared" si="65"/>
        <v>0</v>
      </c>
      <c r="CM43" s="4">
        <f t="shared" si="66"/>
        <v>4</v>
      </c>
      <c r="CN43" s="4">
        <f t="shared" si="67"/>
        <v>35</v>
      </c>
      <c r="CO43" s="4">
        <f t="shared" si="68"/>
        <v>0</v>
      </c>
      <c r="CP43" s="4">
        <f t="shared" si="69"/>
        <v>5</v>
      </c>
      <c r="CQ43" s="4">
        <f t="shared" si="70"/>
        <v>-57</v>
      </c>
      <c r="CR43" s="4">
        <f t="shared" si="71"/>
        <v>34</v>
      </c>
      <c r="CS43" s="4">
        <f t="shared" si="72"/>
        <v>0</v>
      </c>
      <c r="CT43" s="4">
        <f t="shared" si="73"/>
        <v>0</v>
      </c>
      <c r="CU43" s="4">
        <f t="shared" si="74"/>
        <v>0</v>
      </c>
      <c r="CV43" s="4">
        <f t="shared" si="75"/>
        <v>0</v>
      </c>
      <c r="CW43" s="4">
        <f t="shared" si="76"/>
        <v>0</v>
      </c>
      <c r="CX43" s="4">
        <f t="shared" si="77"/>
        <v>-37</v>
      </c>
      <c r="CY43" s="4">
        <f t="shared" si="78"/>
        <v>0</v>
      </c>
      <c r="CZ43" s="4">
        <f t="shared" si="79"/>
        <v>0</v>
      </c>
      <c r="DA43" s="4">
        <f t="shared" si="80"/>
        <v>0</v>
      </c>
      <c r="DB43" s="4">
        <f t="shared" si="81"/>
        <v>0</v>
      </c>
      <c r="DC43" s="4">
        <f t="shared" si="82"/>
        <v>0</v>
      </c>
      <c r="DD43" s="4">
        <f t="shared" si="83"/>
        <v>0</v>
      </c>
      <c r="DE43" s="4">
        <f t="shared" si="84"/>
        <v>0</v>
      </c>
      <c r="DF43" s="4">
        <f t="shared" si="85"/>
        <v>0</v>
      </c>
      <c r="DG43" s="4">
        <f t="shared" si="86"/>
        <v>0</v>
      </c>
      <c r="DH43" s="4">
        <f t="shared" si="87"/>
        <v>0</v>
      </c>
      <c r="DI43" s="4">
        <f t="shared" si="88"/>
        <v>0</v>
      </c>
      <c r="DJ43" s="4">
        <f t="shared" si="89"/>
        <v>0</v>
      </c>
      <c r="DK43" s="4">
        <f t="shared" si="90"/>
        <v>0</v>
      </c>
      <c r="DL43" s="4">
        <f t="shared" si="91"/>
        <v>0</v>
      </c>
    </row>
    <row r="44" spans="1:116" x14ac:dyDescent="0.25">
      <c r="A44" s="5">
        <v>46184</v>
      </c>
      <c r="B44" s="6">
        <v>0.16666666676610475</v>
      </c>
      <c r="C44" s="3"/>
      <c r="D44" s="3"/>
      <c r="E44" s="3" t="s">
        <v>57</v>
      </c>
      <c r="F44" s="3">
        <v>8</v>
      </c>
      <c r="G44" s="3"/>
      <c r="H44" s="9"/>
      <c r="I44" s="9">
        <f>SUM(IFERROR(VLOOKUP($C:$C,Structure!$A:$AJ,I$1,0)*$D44,0),IFERROR(VLOOKUP($E:$E,Structure!$A:$AJ,I$1,0)*$F44,0),IFERROR(VLOOKUP($G:$G,Structure!$A:$AJ,I$1,0)*$H44,0))</f>
        <v>0</v>
      </c>
      <c r="J44" s="9">
        <f>SUM(IFERROR(VLOOKUP($C:$C,Structure!$A:$AJ,J$1,0)*$D44,0),IFERROR(VLOOKUP($E:$E,Structure!$A:$AJ,J$1,0)*$F44,0),IFERROR(VLOOKUP($G:$G,Structure!$A:$AJ,J$1,0)*$H44,0))</f>
        <v>0</v>
      </c>
      <c r="K44" s="9">
        <f>SUM(IFERROR(VLOOKUP($C:$C,Structure!$A:$AJ,K$1,0)*$D44,0),IFERROR(VLOOKUP($E:$E,Structure!$A:$AJ,K$1,0)*$F44,0),IFERROR(VLOOKUP($G:$G,Structure!$A:$AJ,K$1,0)*$H44,0))</f>
        <v>0</v>
      </c>
      <c r="L44" s="9">
        <f>SUM(IFERROR(VLOOKUP($C:$C,Structure!$A:$AJ,L$1,0)*$D44,0),IFERROR(VLOOKUP($E:$E,Structure!$A:$AJ,L$1,0)*$F44,0),IFERROR(VLOOKUP($G:$G,Structure!$A:$AJ,L$1,0)*$H44,0))</f>
        <v>0</v>
      </c>
      <c r="M44" s="9">
        <f>SUM(IFERROR(VLOOKUP($C:$C,Structure!$A:$AJ,M$1,0)*$D44,0),IFERROR(VLOOKUP($E:$E,Structure!$A:$AJ,M$1,0)*$F44,0),IFERROR(VLOOKUP($G:$G,Structure!$A:$AJ,M$1,0)*$H44,0))</f>
        <v>0</v>
      </c>
      <c r="N44" s="9">
        <f>SUM(IFERROR(VLOOKUP($C:$C,Structure!$A:$AJ,N$1,0)*$D44,0),IFERROR(VLOOKUP($E:$E,Structure!$A:$AJ,N$1,0)*$F44,0),IFERROR(VLOOKUP($G:$G,Structure!$A:$AJ,N$1,0)*$H44,0))</f>
        <v>0</v>
      </c>
      <c r="O44" s="9">
        <f>SUM(IFERROR(VLOOKUP($C:$C,Structure!$A:$AJ,O$1,0)*$D44,0),IFERROR(VLOOKUP($E:$E,Structure!$A:$AJ,O$1,0)*$F44,0),IFERROR(VLOOKUP($G:$G,Structure!$A:$AJ,O$1,0)*$H44,0))</f>
        <v>8</v>
      </c>
      <c r="P44" s="9">
        <f>SUM(IFERROR(VLOOKUP($C:$C,Structure!$A:$AJ,P$1,0)*$D44,0),IFERROR(VLOOKUP($E:$E,Structure!$A:$AJ,P$1,0)*$F44,0),IFERROR(VLOOKUP($G:$G,Structure!$A:$AJ,P$1,0)*$H44,0))</f>
        <v>0</v>
      </c>
      <c r="Q44" s="9">
        <f>SUM(IFERROR(VLOOKUP($C:$C,Structure!$A:$AJ,Q$1,0)*$D44,0),IFERROR(VLOOKUP($E:$E,Structure!$A:$AJ,Q$1,0)*$F44,0),IFERROR(VLOOKUP($G:$G,Structure!$A:$AJ,Q$1,0)*$H44,0))</f>
        <v>0</v>
      </c>
      <c r="R44" s="9">
        <f>SUM(IFERROR(VLOOKUP($C:$C,Structure!$A:$AJ,R$1,0)*$D44,0),IFERROR(VLOOKUP($E:$E,Structure!$A:$AJ,R$1,0)*$F44,0),IFERROR(VLOOKUP($G:$G,Structure!$A:$AJ,R$1,0)*$H44,0))</f>
        <v>0</v>
      </c>
      <c r="S44" s="9">
        <f>SUM(IFERROR(VLOOKUP($C:$C,Structure!$A:$AJ,S$1,0)*$D44,0),IFERROR(VLOOKUP($E:$E,Structure!$A:$AJ,S$1,0)*$F44,0),IFERROR(VLOOKUP($G:$G,Structure!$A:$AJ,S$1,0)*$H44,0))</f>
        <v>8</v>
      </c>
      <c r="T44" s="9">
        <f>SUM(IFERROR(VLOOKUP($C:$C,Structure!$A:$AJ,T$1,0)*$D44,0),IFERROR(VLOOKUP($E:$E,Structure!$A:$AJ,T$1,0)*$F44,0),IFERROR(VLOOKUP($G:$G,Structure!$A:$AJ,T$1,0)*$H44,0))</f>
        <v>0</v>
      </c>
      <c r="U44" s="9">
        <f>SUM(IFERROR(VLOOKUP($C:$C,Structure!$A:$AJ,U$1,0)*$D44,0),IFERROR(VLOOKUP($E:$E,Structure!$A:$AJ,U$1,0)*$F44,0),IFERROR(VLOOKUP($G:$G,Structure!$A:$AJ,U$1,0)*$H44,0))</f>
        <v>0</v>
      </c>
      <c r="V44" s="9">
        <f>SUM(IFERROR(VLOOKUP($C:$C,Structure!$A:$AJ,V$1,0)*$D44,0),IFERROR(VLOOKUP($E:$E,Structure!$A:$AJ,V$1,0)*$F44,0),IFERROR(VLOOKUP($G:$G,Structure!$A:$AJ,V$1,0)*$H44,0))</f>
        <v>0</v>
      </c>
      <c r="W44" s="9">
        <f>SUM(IFERROR(VLOOKUP($C:$C,Structure!$A:$AJ,W$1,0)*$D44,0),IFERROR(VLOOKUP($E:$E,Structure!$A:$AJ,W$1,0)*$F44,0),IFERROR(VLOOKUP($G:$G,Structure!$A:$AJ,W$1,0)*$H44,0))</f>
        <v>0</v>
      </c>
      <c r="X44" s="9">
        <f>SUM(IFERROR(VLOOKUP($C:$C,Structure!$A:$AJ,X$1,0)*$D44,0),IFERROR(VLOOKUP($E:$E,Structure!$A:$AJ,X$1,0)*$F44,0),IFERROR(VLOOKUP($G:$G,Structure!$A:$AJ,X$1,0)*$H44,0))</f>
        <v>0</v>
      </c>
      <c r="Y44" s="9">
        <f>SUM(IFERROR(VLOOKUP($C:$C,Structure!$A:$AJ,Y$1,0)*$D44,0),IFERROR(VLOOKUP($E:$E,Structure!$A:$AJ,Y$1,0)*$F44,0),IFERROR(VLOOKUP($G:$G,Structure!$A:$AJ,Y$1,0)*$H44,0))</f>
        <v>0</v>
      </c>
      <c r="Z44" s="9">
        <f>SUM(IFERROR(VLOOKUP($C:$C,Structure!$A:$AJ,Z$1,0)*$D44,0),IFERROR(VLOOKUP($E:$E,Structure!$A:$AJ,Z$1,0)*$F44,0),IFERROR(VLOOKUP($G:$G,Structure!$A:$AJ,Z$1,0)*$H44,0))</f>
        <v>0</v>
      </c>
      <c r="AA44" s="9">
        <f>SUM(IFERROR(VLOOKUP($C:$C,Structure!$A:$AJ,AA$1,0)*$D44,0),IFERROR(VLOOKUP($E:$E,Structure!$A:$AJ,AA$1,0)*$F44,0),IFERROR(VLOOKUP($G:$G,Structure!$A:$AJ,AA$1,0)*$H44,0))</f>
        <v>0</v>
      </c>
      <c r="AB44" s="9">
        <f>SUM(IFERROR(VLOOKUP($C:$C,Structure!$A:$AJ,AB$1,0)*$D44,0),IFERROR(VLOOKUP($E:$E,Structure!$A:$AJ,AB$1,0)*$F44,0),IFERROR(VLOOKUP($G:$G,Structure!$A:$AJ,AB$1,0)*$H44,0))</f>
        <v>0</v>
      </c>
      <c r="AC44" s="9">
        <f>SUM(IFERROR(VLOOKUP($C:$C,Structure!$A:$AJ,AC$1,0)*$D44,0),IFERROR(VLOOKUP($E:$E,Structure!$A:$AJ,AC$1,0)*$F44,0),IFERROR(VLOOKUP($G:$G,Structure!$A:$AJ,AC$1,0)*$H44,0))</f>
        <v>0</v>
      </c>
      <c r="AD44" s="9">
        <f>SUM(IFERROR(VLOOKUP($C:$C,Structure!$A:$AJ,AD$1,0)*$D44,0),IFERROR(VLOOKUP($E:$E,Structure!$A:$AJ,AD$1,0)*$F44,0),IFERROR(VLOOKUP($G:$G,Structure!$A:$AJ,AD$1,0)*$H44,0))</f>
        <v>0</v>
      </c>
      <c r="AE44" s="9">
        <f>SUM(IFERROR(VLOOKUP($C:$C,Structure!$A:$AJ,AE$1,0)*$D44,0),IFERROR(VLOOKUP($E:$E,Structure!$A:$AJ,AE$1,0)*$F44,0),IFERROR(VLOOKUP($G:$G,Structure!$A:$AJ,AE$1,0)*$H44,0))</f>
        <v>0</v>
      </c>
      <c r="AF44" s="9">
        <f>SUM(IFERROR(VLOOKUP($C:$C,Structure!$A:$AJ,AF$1,0)*$D44,0),IFERROR(VLOOKUP($E:$E,Structure!$A:$AJ,AF$1,0)*$F44,0),IFERROR(VLOOKUP($G:$G,Structure!$A:$AJ,AF$1,0)*$H44,0))</f>
        <v>0</v>
      </c>
      <c r="AG44" s="9">
        <f>SUM(IFERROR(VLOOKUP($C:$C,Structure!$A:$AJ,AG$1,0)*$D44,0),IFERROR(VLOOKUP($E:$E,Structure!$A:$AJ,AG$1,0)*$F44,0),IFERROR(VLOOKUP($G:$G,Structure!$A:$AJ,AG$1,0)*$H44,0))</f>
        <v>0</v>
      </c>
      <c r="AH44" s="9">
        <f>SUM(IFERROR(VLOOKUP($C:$C,Structure!$A:$AJ,AH$1,0)*$D44,0),IFERROR(VLOOKUP($E:$E,Structure!$A:$AJ,AH$1,0)*$F44,0),IFERROR(VLOOKUP($G:$G,Structure!$A:$AJ,AH$1,0)*$H44,0))</f>
        <v>0</v>
      </c>
      <c r="AI44" s="9">
        <f>SUM(IFERROR(VLOOKUP($C:$C,Structure!$A:$AJ,AI$1,0)*$D44,0),IFERROR(VLOOKUP($E:$E,Structure!$A:$AJ,AI$1,0)*$F44,0),IFERROR(VLOOKUP($G:$G,Structure!$A:$AJ,AI$1,0)*$H44,0))</f>
        <v>0</v>
      </c>
      <c r="AJ44" s="9">
        <f>SUM(IFERROR(VLOOKUP($C:$C,Structure!$A:$AJ,AJ$1,0)*$D44,0),IFERROR(VLOOKUP($E:$E,Structure!$A:$AJ,AJ$1,0)*$F44,0),IFERROR(VLOOKUP($G:$G,Structure!$A:$AJ,AJ$1,0)*$H44,0))</f>
        <v>0</v>
      </c>
      <c r="AK44" s="9">
        <f>SUM(IFERROR(VLOOKUP($C:$C,Structure!$A:$AJ,AK$1,0)*$D44,0),IFERROR(VLOOKUP($E:$E,Structure!$A:$AJ,AK$1,0)*$F44,0),IFERROR(VLOOKUP($G:$G,Structure!$A:$AJ,AK$1,0)*$H44,0))</f>
        <v>0</v>
      </c>
      <c r="AL44" s="9">
        <f>SUM(IFERROR(VLOOKUP($C:$C,Structure!$A:$AJ,AL$1,0)*$D44,0),IFERROR(VLOOKUP($E:$E,Structure!$A:$AJ,AL$1,0)*$F44,0),IFERROR(VLOOKUP($G:$G,Structure!$A:$AJ,AL$1,0)*$H44,0))</f>
        <v>0</v>
      </c>
      <c r="AM44" s="9">
        <f>SUM(IFERROR(VLOOKUP($C:$C,Structure!$A:$AJ,AM$1,0)*$D44,0),IFERROR(VLOOKUP($E:$E,Structure!$A:$AJ,AM$1,0)*$F44,0),IFERROR(VLOOKUP($G:$G,Structure!$A:$AJ,AM$1,0)*$H44,0))</f>
        <v>0</v>
      </c>
      <c r="AN44" s="9">
        <f>SUM(IFERROR(VLOOKUP($C:$C,Structure!$A:$AJ,AN$1,0)*$D44,0),IFERROR(VLOOKUP($E:$E,Structure!$A:$AJ,AN$1,0)*$F44,0),IFERROR(VLOOKUP($G:$G,Structure!$A:$AJ,AN$1,0)*$H44,0))</f>
        <v>0</v>
      </c>
      <c r="AO44" s="9">
        <f>SUM(IFERROR(VLOOKUP($C:$C,Structure!$A:$AJ,AO$1,0)*$D44,0),IFERROR(VLOOKUP($E:$E,Structure!$A:$AJ,AO$1,0)*$F44,0),IFERROR(VLOOKUP($G:$G,Structure!$A:$AJ,AO$1,0)*$H44,0))</f>
        <v>0</v>
      </c>
      <c r="AP44" s="9">
        <f>SUM(IFERROR(VLOOKUP($C:$C,Structure!$A:$AJ,AP$1,0)*$D44,0),IFERROR(VLOOKUP($E:$E,Structure!$A:$AJ,AP$1,0)*$F44,0),IFERROR(VLOOKUP($G:$G,Structure!$A:$AJ,AP$1,0)*$H44,0))</f>
        <v>0</v>
      </c>
      <c r="AQ44" s="9">
        <f>SUM(IFERROR(VLOOKUP($C:$C,Structure!$A:$AJ,AQ$1,0)*$D44,0),IFERROR(VLOOKUP($E:$E,Structure!$A:$AJ,AQ$1,0)*$F44,0),IFERROR(VLOOKUP($G:$G,Structure!$A:$AJ,AQ$1,0)*$H44,0))</f>
        <v>0</v>
      </c>
      <c r="AR44" s="21" t="s">
        <v>819</v>
      </c>
      <c r="AS44" s="3" t="s">
        <v>352</v>
      </c>
      <c r="AT44" s="3" t="s">
        <v>822</v>
      </c>
      <c r="AU44" s="3"/>
      <c r="AV44" s="3">
        <v>100</v>
      </c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4">
        <f t="shared" si="57"/>
        <v>0</v>
      </c>
      <c r="CE44" s="4">
        <f t="shared" si="58"/>
        <v>57</v>
      </c>
      <c r="CF44" s="4">
        <f t="shared" si="59"/>
        <v>4</v>
      </c>
      <c r="CG44" s="4">
        <f t="shared" si="60"/>
        <v>23</v>
      </c>
      <c r="CH44" s="4">
        <f t="shared" si="61"/>
        <v>1</v>
      </c>
      <c r="CI44" s="4">
        <f t="shared" si="62"/>
        <v>51</v>
      </c>
      <c r="CJ44" s="4">
        <f t="shared" si="63"/>
        <v>-11</v>
      </c>
      <c r="CK44" s="4">
        <f t="shared" si="64"/>
        <v>286</v>
      </c>
      <c r="CL44" s="4">
        <f t="shared" si="65"/>
        <v>0</v>
      </c>
      <c r="CM44" s="4">
        <f t="shared" si="66"/>
        <v>4</v>
      </c>
      <c r="CN44" s="4">
        <f t="shared" si="67"/>
        <v>27</v>
      </c>
      <c r="CO44" s="4">
        <f t="shared" si="68"/>
        <v>0</v>
      </c>
      <c r="CP44" s="4">
        <f t="shared" si="69"/>
        <v>5</v>
      </c>
      <c r="CQ44" s="4">
        <f t="shared" si="70"/>
        <v>-57</v>
      </c>
      <c r="CR44" s="4">
        <f t="shared" si="71"/>
        <v>34</v>
      </c>
      <c r="CS44" s="4">
        <f t="shared" si="72"/>
        <v>0</v>
      </c>
      <c r="CT44" s="4">
        <f t="shared" si="73"/>
        <v>0</v>
      </c>
      <c r="CU44" s="4">
        <f t="shared" si="74"/>
        <v>0</v>
      </c>
      <c r="CV44" s="4">
        <f t="shared" si="75"/>
        <v>0</v>
      </c>
      <c r="CW44" s="4">
        <f t="shared" si="76"/>
        <v>0</v>
      </c>
      <c r="CX44" s="4">
        <f t="shared" si="77"/>
        <v>-37</v>
      </c>
      <c r="CY44" s="4">
        <f t="shared" si="78"/>
        <v>0</v>
      </c>
      <c r="CZ44" s="4">
        <f t="shared" si="79"/>
        <v>0</v>
      </c>
      <c r="DA44" s="4">
        <f t="shared" si="80"/>
        <v>0</v>
      </c>
      <c r="DB44" s="4">
        <f t="shared" si="81"/>
        <v>0</v>
      </c>
      <c r="DC44" s="4">
        <f t="shared" si="82"/>
        <v>0</v>
      </c>
      <c r="DD44" s="4">
        <f t="shared" si="83"/>
        <v>0</v>
      </c>
      <c r="DE44" s="4">
        <f t="shared" si="84"/>
        <v>0</v>
      </c>
      <c r="DF44" s="4">
        <f t="shared" si="85"/>
        <v>0</v>
      </c>
      <c r="DG44" s="4">
        <f t="shared" si="86"/>
        <v>0</v>
      </c>
      <c r="DH44" s="4">
        <f t="shared" si="87"/>
        <v>0</v>
      </c>
      <c r="DI44" s="4">
        <f t="shared" si="88"/>
        <v>0</v>
      </c>
      <c r="DJ44" s="4">
        <f t="shared" si="89"/>
        <v>0</v>
      </c>
      <c r="DK44" s="4">
        <f t="shared" si="90"/>
        <v>0</v>
      </c>
      <c r="DL44" s="4">
        <f t="shared" si="91"/>
        <v>0</v>
      </c>
    </row>
    <row r="45" spans="1:116" x14ac:dyDescent="0.25">
      <c r="A45" s="5">
        <v>46184</v>
      </c>
      <c r="B45" s="6">
        <v>0.18750000010186341</v>
      </c>
      <c r="C45" s="3"/>
      <c r="D45" s="3"/>
      <c r="E45" s="3" t="s">
        <v>57</v>
      </c>
      <c r="F45" s="3">
        <v>8</v>
      </c>
      <c r="G45" s="3"/>
      <c r="H45" s="9"/>
      <c r="I45" s="9">
        <f>SUM(IFERROR(VLOOKUP($C:$C,Structure!$A:$AJ,I$1,0)*$D45,0),IFERROR(VLOOKUP($E:$E,Structure!$A:$AJ,I$1,0)*$F45,0),IFERROR(VLOOKUP($G:$G,Structure!$A:$AJ,I$1,0)*$H45,0))</f>
        <v>0</v>
      </c>
      <c r="J45" s="9">
        <f>SUM(IFERROR(VLOOKUP($C:$C,Structure!$A:$AJ,J$1,0)*$D45,0),IFERROR(VLOOKUP($E:$E,Structure!$A:$AJ,J$1,0)*$F45,0),IFERROR(VLOOKUP($G:$G,Structure!$A:$AJ,J$1,0)*$H45,0))</f>
        <v>0</v>
      </c>
      <c r="K45" s="9">
        <f>SUM(IFERROR(VLOOKUP($C:$C,Structure!$A:$AJ,K$1,0)*$D45,0),IFERROR(VLOOKUP($E:$E,Structure!$A:$AJ,K$1,0)*$F45,0),IFERROR(VLOOKUP($G:$G,Structure!$A:$AJ,K$1,0)*$H45,0))</f>
        <v>0</v>
      </c>
      <c r="L45" s="9">
        <f>SUM(IFERROR(VLOOKUP($C:$C,Structure!$A:$AJ,L$1,0)*$D45,0),IFERROR(VLOOKUP($E:$E,Structure!$A:$AJ,L$1,0)*$F45,0),IFERROR(VLOOKUP($G:$G,Structure!$A:$AJ,L$1,0)*$H45,0))</f>
        <v>0</v>
      </c>
      <c r="M45" s="9">
        <f>SUM(IFERROR(VLOOKUP($C:$C,Structure!$A:$AJ,M$1,0)*$D45,0),IFERROR(VLOOKUP($E:$E,Structure!$A:$AJ,M$1,0)*$F45,0),IFERROR(VLOOKUP($G:$G,Structure!$A:$AJ,M$1,0)*$H45,0))</f>
        <v>0</v>
      </c>
      <c r="N45" s="9">
        <f>SUM(IFERROR(VLOOKUP($C:$C,Structure!$A:$AJ,N$1,0)*$D45,0),IFERROR(VLOOKUP($E:$E,Structure!$A:$AJ,N$1,0)*$F45,0),IFERROR(VLOOKUP($G:$G,Structure!$A:$AJ,N$1,0)*$H45,0))</f>
        <v>0</v>
      </c>
      <c r="O45" s="9">
        <f>SUM(IFERROR(VLOOKUP($C:$C,Structure!$A:$AJ,O$1,0)*$D45,0),IFERROR(VLOOKUP($E:$E,Structure!$A:$AJ,O$1,0)*$F45,0),IFERROR(VLOOKUP($G:$G,Structure!$A:$AJ,O$1,0)*$H45,0))</f>
        <v>8</v>
      </c>
      <c r="P45" s="9">
        <f>SUM(IFERROR(VLOOKUP($C:$C,Structure!$A:$AJ,P$1,0)*$D45,0),IFERROR(VLOOKUP($E:$E,Structure!$A:$AJ,P$1,0)*$F45,0),IFERROR(VLOOKUP($G:$G,Structure!$A:$AJ,P$1,0)*$H45,0))</f>
        <v>0</v>
      </c>
      <c r="Q45" s="9">
        <f>SUM(IFERROR(VLOOKUP($C:$C,Structure!$A:$AJ,Q$1,0)*$D45,0),IFERROR(VLOOKUP($E:$E,Structure!$A:$AJ,Q$1,0)*$F45,0),IFERROR(VLOOKUP($G:$G,Structure!$A:$AJ,Q$1,0)*$H45,0))</f>
        <v>0</v>
      </c>
      <c r="R45" s="9">
        <f>SUM(IFERROR(VLOOKUP($C:$C,Structure!$A:$AJ,R$1,0)*$D45,0),IFERROR(VLOOKUP($E:$E,Structure!$A:$AJ,R$1,0)*$F45,0),IFERROR(VLOOKUP($G:$G,Structure!$A:$AJ,R$1,0)*$H45,0))</f>
        <v>0</v>
      </c>
      <c r="S45" s="9">
        <f>SUM(IFERROR(VLOOKUP($C:$C,Structure!$A:$AJ,S$1,0)*$D45,0),IFERROR(VLOOKUP($E:$E,Structure!$A:$AJ,S$1,0)*$F45,0),IFERROR(VLOOKUP($G:$G,Structure!$A:$AJ,S$1,0)*$H45,0))</f>
        <v>8</v>
      </c>
      <c r="T45" s="9">
        <f>SUM(IFERROR(VLOOKUP($C:$C,Structure!$A:$AJ,T$1,0)*$D45,0),IFERROR(VLOOKUP($E:$E,Structure!$A:$AJ,T$1,0)*$F45,0),IFERROR(VLOOKUP($G:$G,Structure!$A:$AJ,T$1,0)*$H45,0))</f>
        <v>0</v>
      </c>
      <c r="U45" s="9">
        <f>SUM(IFERROR(VLOOKUP($C:$C,Structure!$A:$AJ,U$1,0)*$D45,0),IFERROR(VLOOKUP($E:$E,Structure!$A:$AJ,U$1,0)*$F45,0),IFERROR(VLOOKUP($G:$G,Structure!$A:$AJ,U$1,0)*$H45,0))</f>
        <v>0</v>
      </c>
      <c r="V45" s="9">
        <f>SUM(IFERROR(VLOOKUP($C:$C,Structure!$A:$AJ,V$1,0)*$D45,0),IFERROR(VLOOKUP($E:$E,Structure!$A:$AJ,V$1,0)*$F45,0),IFERROR(VLOOKUP($G:$G,Structure!$A:$AJ,V$1,0)*$H45,0))</f>
        <v>0</v>
      </c>
      <c r="W45" s="9">
        <f>SUM(IFERROR(VLOOKUP($C:$C,Structure!$A:$AJ,W$1,0)*$D45,0),IFERROR(VLOOKUP($E:$E,Structure!$A:$AJ,W$1,0)*$F45,0),IFERROR(VLOOKUP($G:$G,Structure!$A:$AJ,W$1,0)*$H45,0))</f>
        <v>0</v>
      </c>
      <c r="X45" s="9">
        <f>SUM(IFERROR(VLOOKUP($C:$C,Structure!$A:$AJ,X$1,0)*$D45,0),IFERROR(VLOOKUP($E:$E,Structure!$A:$AJ,X$1,0)*$F45,0),IFERROR(VLOOKUP($G:$G,Structure!$A:$AJ,X$1,0)*$H45,0))</f>
        <v>0</v>
      </c>
      <c r="Y45" s="9">
        <f>SUM(IFERROR(VLOOKUP($C:$C,Structure!$A:$AJ,Y$1,0)*$D45,0),IFERROR(VLOOKUP($E:$E,Structure!$A:$AJ,Y$1,0)*$F45,0),IFERROR(VLOOKUP($G:$G,Structure!$A:$AJ,Y$1,0)*$H45,0))</f>
        <v>0</v>
      </c>
      <c r="Z45" s="9">
        <f>SUM(IFERROR(VLOOKUP($C:$C,Structure!$A:$AJ,Z$1,0)*$D45,0),IFERROR(VLOOKUP($E:$E,Structure!$A:$AJ,Z$1,0)*$F45,0),IFERROR(VLOOKUP($G:$G,Structure!$A:$AJ,Z$1,0)*$H45,0))</f>
        <v>0</v>
      </c>
      <c r="AA45" s="9">
        <f>SUM(IFERROR(VLOOKUP($C:$C,Structure!$A:$AJ,AA$1,0)*$D45,0),IFERROR(VLOOKUP($E:$E,Structure!$A:$AJ,AA$1,0)*$F45,0),IFERROR(VLOOKUP($G:$G,Structure!$A:$AJ,AA$1,0)*$H45,0))</f>
        <v>0</v>
      </c>
      <c r="AB45" s="9">
        <f>SUM(IFERROR(VLOOKUP($C:$C,Structure!$A:$AJ,AB$1,0)*$D45,0),IFERROR(VLOOKUP($E:$E,Structure!$A:$AJ,AB$1,0)*$F45,0),IFERROR(VLOOKUP($G:$G,Structure!$A:$AJ,AB$1,0)*$H45,0))</f>
        <v>0</v>
      </c>
      <c r="AC45" s="9">
        <f>SUM(IFERROR(VLOOKUP($C:$C,Structure!$A:$AJ,AC$1,0)*$D45,0),IFERROR(VLOOKUP($E:$E,Structure!$A:$AJ,AC$1,0)*$F45,0),IFERROR(VLOOKUP($G:$G,Structure!$A:$AJ,AC$1,0)*$H45,0))</f>
        <v>0</v>
      </c>
      <c r="AD45" s="9">
        <f>SUM(IFERROR(VLOOKUP($C:$C,Structure!$A:$AJ,AD$1,0)*$D45,0),IFERROR(VLOOKUP($E:$E,Structure!$A:$AJ,AD$1,0)*$F45,0),IFERROR(VLOOKUP($G:$G,Structure!$A:$AJ,AD$1,0)*$H45,0))</f>
        <v>0</v>
      </c>
      <c r="AE45" s="9">
        <f>SUM(IFERROR(VLOOKUP($C:$C,Structure!$A:$AJ,AE$1,0)*$D45,0),IFERROR(VLOOKUP($E:$E,Structure!$A:$AJ,AE$1,0)*$F45,0),IFERROR(VLOOKUP($G:$G,Structure!$A:$AJ,AE$1,0)*$H45,0))</f>
        <v>0</v>
      </c>
      <c r="AF45" s="9">
        <f>SUM(IFERROR(VLOOKUP($C:$C,Structure!$A:$AJ,AF$1,0)*$D45,0),IFERROR(VLOOKUP($E:$E,Structure!$A:$AJ,AF$1,0)*$F45,0),IFERROR(VLOOKUP($G:$G,Structure!$A:$AJ,AF$1,0)*$H45,0))</f>
        <v>0</v>
      </c>
      <c r="AG45" s="9">
        <f>SUM(IFERROR(VLOOKUP($C:$C,Structure!$A:$AJ,AG$1,0)*$D45,0),IFERROR(VLOOKUP($E:$E,Structure!$A:$AJ,AG$1,0)*$F45,0),IFERROR(VLOOKUP($G:$G,Structure!$A:$AJ,AG$1,0)*$H45,0))</f>
        <v>0</v>
      </c>
      <c r="AH45" s="9">
        <f>SUM(IFERROR(VLOOKUP($C:$C,Structure!$A:$AJ,AH$1,0)*$D45,0),IFERROR(VLOOKUP($E:$E,Structure!$A:$AJ,AH$1,0)*$F45,0),IFERROR(VLOOKUP($G:$G,Structure!$A:$AJ,AH$1,0)*$H45,0))</f>
        <v>0</v>
      </c>
      <c r="AI45" s="9">
        <f>SUM(IFERROR(VLOOKUP($C:$C,Structure!$A:$AJ,AI$1,0)*$D45,0),IFERROR(VLOOKUP($E:$E,Structure!$A:$AJ,AI$1,0)*$F45,0),IFERROR(VLOOKUP($G:$G,Structure!$A:$AJ,AI$1,0)*$H45,0))</f>
        <v>0</v>
      </c>
      <c r="AJ45" s="9">
        <f>SUM(IFERROR(VLOOKUP($C:$C,Structure!$A:$AJ,AJ$1,0)*$D45,0),IFERROR(VLOOKUP($E:$E,Structure!$A:$AJ,AJ$1,0)*$F45,0),IFERROR(VLOOKUP($G:$G,Structure!$A:$AJ,AJ$1,0)*$H45,0))</f>
        <v>0</v>
      </c>
      <c r="AK45" s="9">
        <f>SUM(IFERROR(VLOOKUP($C:$C,Structure!$A:$AJ,AK$1,0)*$D45,0),IFERROR(VLOOKUP($E:$E,Structure!$A:$AJ,AK$1,0)*$F45,0),IFERROR(VLOOKUP($G:$G,Structure!$A:$AJ,AK$1,0)*$H45,0))</f>
        <v>0</v>
      </c>
      <c r="AL45" s="9">
        <f>SUM(IFERROR(VLOOKUP($C:$C,Structure!$A:$AJ,AL$1,0)*$D45,0),IFERROR(VLOOKUP($E:$E,Structure!$A:$AJ,AL$1,0)*$F45,0),IFERROR(VLOOKUP($G:$G,Structure!$A:$AJ,AL$1,0)*$H45,0))</f>
        <v>0</v>
      </c>
      <c r="AM45" s="9">
        <f>SUM(IFERROR(VLOOKUP($C:$C,Structure!$A:$AJ,AM$1,0)*$D45,0),IFERROR(VLOOKUP($E:$E,Structure!$A:$AJ,AM$1,0)*$F45,0),IFERROR(VLOOKUP($G:$G,Structure!$A:$AJ,AM$1,0)*$H45,0))</f>
        <v>0</v>
      </c>
      <c r="AN45" s="9">
        <f>SUM(IFERROR(VLOOKUP($C:$C,Structure!$A:$AJ,AN$1,0)*$D45,0),IFERROR(VLOOKUP($E:$E,Structure!$A:$AJ,AN$1,0)*$F45,0),IFERROR(VLOOKUP($G:$G,Structure!$A:$AJ,AN$1,0)*$H45,0))</f>
        <v>0</v>
      </c>
      <c r="AO45" s="9">
        <f>SUM(IFERROR(VLOOKUP($C:$C,Structure!$A:$AJ,AO$1,0)*$D45,0),IFERROR(VLOOKUP($E:$E,Structure!$A:$AJ,AO$1,0)*$F45,0),IFERROR(VLOOKUP($G:$G,Structure!$A:$AJ,AO$1,0)*$H45,0))</f>
        <v>0</v>
      </c>
      <c r="AP45" s="9">
        <f>SUM(IFERROR(VLOOKUP($C:$C,Structure!$A:$AJ,AP$1,0)*$D45,0),IFERROR(VLOOKUP($E:$E,Structure!$A:$AJ,AP$1,0)*$F45,0),IFERROR(VLOOKUP($G:$G,Structure!$A:$AJ,AP$1,0)*$H45,0))</f>
        <v>0</v>
      </c>
      <c r="AQ45" s="9">
        <f>SUM(IFERROR(VLOOKUP($C:$C,Structure!$A:$AJ,AQ$1,0)*$D45,0),IFERROR(VLOOKUP($E:$E,Structure!$A:$AJ,AQ$1,0)*$F45,0),IFERROR(VLOOKUP($G:$G,Structure!$A:$AJ,AQ$1,0)*$H45,0))</f>
        <v>0</v>
      </c>
      <c r="AR45" s="21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4">
        <f t="shared" si="57"/>
        <v>0</v>
      </c>
      <c r="CE45" s="4">
        <f t="shared" si="58"/>
        <v>57</v>
      </c>
      <c r="CF45" s="4">
        <f t="shared" si="59"/>
        <v>4</v>
      </c>
      <c r="CG45" s="4">
        <f t="shared" si="60"/>
        <v>23</v>
      </c>
      <c r="CH45" s="4">
        <f t="shared" si="61"/>
        <v>1</v>
      </c>
      <c r="CI45" s="4">
        <f t="shared" si="62"/>
        <v>51</v>
      </c>
      <c r="CJ45" s="4">
        <f t="shared" si="63"/>
        <v>-19</v>
      </c>
      <c r="CK45" s="4">
        <f t="shared" si="64"/>
        <v>286</v>
      </c>
      <c r="CL45" s="4">
        <f t="shared" si="65"/>
        <v>0</v>
      </c>
      <c r="CM45" s="4">
        <f t="shared" si="66"/>
        <v>4</v>
      </c>
      <c r="CN45" s="4">
        <f t="shared" si="67"/>
        <v>19</v>
      </c>
      <c r="CO45" s="4">
        <f t="shared" si="68"/>
        <v>0</v>
      </c>
      <c r="CP45" s="4">
        <f t="shared" si="69"/>
        <v>5</v>
      </c>
      <c r="CQ45" s="4">
        <f t="shared" si="70"/>
        <v>-57</v>
      </c>
      <c r="CR45" s="4">
        <f t="shared" si="71"/>
        <v>34</v>
      </c>
      <c r="CS45" s="4">
        <f t="shared" si="72"/>
        <v>0</v>
      </c>
      <c r="CT45" s="4">
        <f t="shared" si="73"/>
        <v>0</v>
      </c>
      <c r="CU45" s="4">
        <f t="shared" si="74"/>
        <v>0</v>
      </c>
      <c r="CV45" s="4">
        <f t="shared" si="75"/>
        <v>0</v>
      </c>
      <c r="CW45" s="4">
        <f t="shared" si="76"/>
        <v>0</v>
      </c>
      <c r="CX45" s="4">
        <f t="shared" si="77"/>
        <v>-37</v>
      </c>
      <c r="CY45" s="4">
        <f t="shared" si="78"/>
        <v>0</v>
      </c>
      <c r="CZ45" s="4">
        <f t="shared" si="79"/>
        <v>0</v>
      </c>
      <c r="DA45" s="4">
        <f t="shared" si="80"/>
        <v>0</v>
      </c>
      <c r="DB45" s="4">
        <f t="shared" si="81"/>
        <v>0</v>
      </c>
      <c r="DC45" s="4">
        <f t="shared" si="82"/>
        <v>0</v>
      </c>
      <c r="DD45" s="4">
        <f t="shared" si="83"/>
        <v>0</v>
      </c>
      <c r="DE45" s="4">
        <f t="shared" si="84"/>
        <v>0</v>
      </c>
      <c r="DF45" s="4">
        <f t="shared" si="85"/>
        <v>0</v>
      </c>
      <c r="DG45" s="4">
        <f t="shared" si="86"/>
        <v>0</v>
      </c>
      <c r="DH45" s="4">
        <f t="shared" si="87"/>
        <v>0</v>
      </c>
      <c r="DI45" s="4">
        <f t="shared" si="88"/>
        <v>0</v>
      </c>
      <c r="DJ45" s="4">
        <f t="shared" si="89"/>
        <v>0</v>
      </c>
      <c r="DK45" s="4">
        <f t="shared" si="90"/>
        <v>0</v>
      </c>
      <c r="DL45" s="4">
        <f t="shared" si="91"/>
        <v>0</v>
      </c>
    </row>
    <row r="46" spans="1:116" x14ac:dyDescent="0.25">
      <c r="A46" s="5">
        <v>46184</v>
      </c>
      <c r="B46" s="6">
        <v>0.20833333343762206</v>
      </c>
      <c r="C46" s="3"/>
      <c r="D46" s="3"/>
      <c r="E46" s="3" t="s">
        <v>30</v>
      </c>
      <c r="F46" s="3">
        <v>8</v>
      </c>
      <c r="G46" s="3"/>
      <c r="H46" s="9"/>
      <c r="I46" s="9">
        <f>SUM(IFERROR(VLOOKUP($C:$C,Structure!$A:$AJ,I$1,0)*$D46,0),IFERROR(VLOOKUP($E:$E,Structure!$A:$AJ,I$1,0)*$F46,0),IFERROR(VLOOKUP($G:$G,Structure!$A:$AJ,I$1,0)*$H46,0))</f>
        <v>0</v>
      </c>
      <c r="J46" s="9">
        <f>SUM(IFERROR(VLOOKUP($C:$C,Structure!$A:$AJ,J$1,0)*$D46,0),IFERROR(VLOOKUP($E:$E,Structure!$A:$AJ,J$1,0)*$F46,0),IFERROR(VLOOKUP($G:$G,Structure!$A:$AJ,J$1,0)*$H46,0))</f>
        <v>0</v>
      </c>
      <c r="K46" s="9">
        <f>SUM(IFERROR(VLOOKUP($C:$C,Structure!$A:$AJ,K$1,0)*$D46,0),IFERROR(VLOOKUP($E:$E,Structure!$A:$AJ,K$1,0)*$F46,0),IFERROR(VLOOKUP($G:$G,Structure!$A:$AJ,K$1,0)*$H46,0))</f>
        <v>0</v>
      </c>
      <c r="L46" s="9">
        <f>SUM(IFERROR(VLOOKUP($C:$C,Structure!$A:$AJ,L$1,0)*$D46,0),IFERROR(VLOOKUP($E:$E,Structure!$A:$AJ,L$1,0)*$F46,0),IFERROR(VLOOKUP($G:$G,Structure!$A:$AJ,L$1,0)*$H46,0))</f>
        <v>0</v>
      </c>
      <c r="M46" s="9">
        <f>SUM(IFERROR(VLOOKUP($C:$C,Structure!$A:$AJ,M$1,0)*$D46,0),IFERROR(VLOOKUP($E:$E,Structure!$A:$AJ,M$1,0)*$F46,0),IFERROR(VLOOKUP($G:$G,Structure!$A:$AJ,M$1,0)*$H46,0))</f>
        <v>0</v>
      </c>
      <c r="N46" s="9">
        <f>SUM(IFERROR(VLOOKUP($C:$C,Structure!$A:$AJ,N$1,0)*$D46,0),IFERROR(VLOOKUP($E:$E,Structure!$A:$AJ,N$1,0)*$F46,0),IFERROR(VLOOKUP($G:$G,Structure!$A:$AJ,N$1,0)*$H46,0))</f>
        <v>0</v>
      </c>
      <c r="O46" s="9">
        <f>SUM(IFERROR(VLOOKUP($C:$C,Structure!$A:$AJ,O$1,0)*$D46,0),IFERROR(VLOOKUP($E:$E,Structure!$A:$AJ,O$1,0)*$F46,0),IFERROR(VLOOKUP($G:$G,Structure!$A:$AJ,O$1,0)*$H46,0))</f>
        <v>0</v>
      </c>
      <c r="P46" s="9">
        <f>SUM(IFERROR(VLOOKUP($C:$C,Structure!$A:$AJ,P$1,0)*$D46,0),IFERROR(VLOOKUP($E:$E,Structure!$A:$AJ,P$1,0)*$F46,0),IFERROR(VLOOKUP($G:$G,Structure!$A:$AJ,P$1,0)*$H46,0))</f>
        <v>0</v>
      </c>
      <c r="Q46" s="9">
        <f>SUM(IFERROR(VLOOKUP($C:$C,Structure!$A:$AJ,Q$1,0)*$D46,0),IFERROR(VLOOKUP($E:$E,Structure!$A:$AJ,Q$1,0)*$F46,0),IFERROR(VLOOKUP($G:$G,Structure!$A:$AJ,Q$1,0)*$H46,0))</f>
        <v>0</v>
      </c>
      <c r="R46" s="9">
        <f>SUM(IFERROR(VLOOKUP($C:$C,Structure!$A:$AJ,R$1,0)*$D46,0),IFERROR(VLOOKUP($E:$E,Structure!$A:$AJ,R$1,0)*$F46,0),IFERROR(VLOOKUP($G:$G,Structure!$A:$AJ,R$1,0)*$H46,0))</f>
        <v>0</v>
      </c>
      <c r="S46" s="9">
        <f>SUM(IFERROR(VLOOKUP($C:$C,Structure!$A:$AJ,S$1,0)*$D46,0),IFERROR(VLOOKUP($E:$E,Structure!$A:$AJ,S$1,0)*$F46,0),IFERROR(VLOOKUP($G:$G,Structure!$A:$AJ,S$1,0)*$H46,0))</f>
        <v>0</v>
      </c>
      <c r="T46" s="9">
        <f>SUM(IFERROR(VLOOKUP($C:$C,Structure!$A:$AJ,T$1,0)*$D46,0),IFERROR(VLOOKUP($E:$E,Structure!$A:$AJ,T$1,0)*$F46,0),IFERROR(VLOOKUP($G:$G,Structure!$A:$AJ,T$1,0)*$H46,0))</f>
        <v>0</v>
      </c>
      <c r="U46" s="9">
        <f>SUM(IFERROR(VLOOKUP($C:$C,Structure!$A:$AJ,U$1,0)*$D46,0),IFERROR(VLOOKUP($E:$E,Structure!$A:$AJ,U$1,0)*$F46,0),IFERROR(VLOOKUP($G:$G,Structure!$A:$AJ,U$1,0)*$H46,0))</f>
        <v>0</v>
      </c>
      <c r="V46" s="9">
        <f>SUM(IFERROR(VLOOKUP($C:$C,Structure!$A:$AJ,V$1,0)*$D46,0),IFERROR(VLOOKUP($E:$E,Structure!$A:$AJ,V$1,0)*$F46,0),IFERROR(VLOOKUP($G:$G,Structure!$A:$AJ,V$1,0)*$H46,0))</f>
        <v>8</v>
      </c>
      <c r="W46" s="9">
        <f>SUM(IFERROR(VLOOKUP($C:$C,Structure!$A:$AJ,W$1,0)*$D46,0),IFERROR(VLOOKUP($E:$E,Structure!$A:$AJ,W$1,0)*$F46,0),IFERROR(VLOOKUP($G:$G,Structure!$A:$AJ,W$1,0)*$H46,0))</f>
        <v>0</v>
      </c>
      <c r="X46" s="9">
        <f>SUM(IFERROR(VLOOKUP($C:$C,Structure!$A:$AJ,X$1,0)*$D46,0),IFERROR(VLOOKUP($E:$E,Structure!$A:$AJ,X$1,0)*$F46,0),IFERROR(VLOOKUP($G:$G,Structure!$A:$AJ,X$1,0)*$H46,0))</f>
        <v>0</v>
      </c>
      <c r="Y46" s="9">
        <f>SUM(IFERROR(VLOOKUP($C:$C,Structure!$A:$AJ,Y$1,0)*$D46,0),IFERROR(VLOOKUP($E:$E,Structure!$A:$AJ,Y$1,0)*$F46,0),IFERROR(VLOOKUP($G:$G,Structure!$A:$AJ,Y$1,0)*$H46,0))</f>
        <v>0</v>
      </c>
      <c r="Z46" s="9">
        <f>SUM(IFERROR(VLOOKUP($C:$C,Structure!$A:$AJ,Z$1,0)*$D46,0),IFERROR(VLOOKUP($E:$E,Structure!$A:$AJ,Z$1,0)*$F46,0),IFERROR(VLOOKUP($G:$G,Structure!$A:$AJ,Z$1,0)*$H46,0))</f>
        <v>0</v>
      </c>
      <c r="AA46" s="9">
        <f>SUM(IFERROR(VLOOKUP($C:$C,Structure!$A:$AJ,AA$1,0)*$D46,0),IFERROR(VLOOKUP($E:$E,Structure!$A:$AJ,AA$1,0)*$F46,0),IFERROR(VLOOKUP($G:$G,Structure!$A:$AJ,AA$1,0)*$H46,0))</f>
        <v>0</v>
      </c>
      <c r="AB46" s="9">
        <f>SUM(IFERROR(VLOOKUP($C:$C,Structure!$A:$AJ,AB$1,0)*$D46,0),IFERROR(VLOOKUP($E:$E,Structure!$A:$AJ,AB$1,0)*$F46,0),IFERROR(VLOOKUP($G:$G,Structure!$A:$AJ,AB$1,0)*$H46,0))</f>
        <v>0</v>
      </c>
      <c r="AC46" s="9">
        <f>SUM(IFERROR(VLOOKUP($C:$C,Structure!$A:$AJ,AC$1,0)*$D46,0),IFERROR(VLOOKUP($E:$E,Structure!$A:$AJ,AC$1,0)*$F46,0),IFERROR(VLOOKUP($G:$G,Structure!$A:$AJ,AC$1,0)*$H46,0))</f>
        <v>8</v>
      </c>
      <c r="AD46" s="9">
        <f>SUM(IFERROR(VLOOKUP($C:$C,Structure!$A:$AJ,AD$1,0)*$D46,0),IFERROR(VLOOKUP($E:$E,Structure!$A:$AJ,AD$1,0)*$F46,0),IFERROR(VLOOKUP($G:$G,Structure!$A:$AJ,AD$1,0)*$H46,0))</f>
        <v>0</v>
      </c>
      <c r="AE46" s="9">
        <f>SUM(IFERROR(VLOOKUP($C:$C,Structure!$A:$AJ,AE$1,0)*$D46,0),IFERROR(VLOOKUP($E:$E,Structure!$A:$AJ,AE$1,0)*$F46,0),IFERROR(VLOOKUP($G:$G,Structure!$A:$AJ,AE$1,0)*$H46,0))</f>
        <v>0</v>
      </c>
      <c r="AF46" s="9">
        <f>SUM(IFERROR(VLOOKUP($C:$C,Structure!$A:$AJ,AF$1,0)*$D46,0),IFERROR(VLOOKUP($E:$E,Structure!$A:$AJ,AF$1,0)*$F46,0),IFERROR(VLOOKUP($G:$G,Structure!$A:$AJ,AF$1,0)*$H46,0))</f>
        <v>0</v>
      </c>
      <c r="AG46" s="9">
        <f>SUM(IFERROR(VLOOKUP($C:$C,Structure!$A:$AJ,AG$1,0)*$D46,0),IFERROR(VLOOKUP($E:$E,Structure!$A:$AJ,AG$1,0)*$F46,0),IFERROR(VLOOKUP($G:$G,Structure!$A:$AJ,AG$1,0)*$H46,0))</f>
        <v>0</v>
      </c>
      <c r="AH46" s="9">
        <f>SUM(IFERROR(VLOOKUP($C:$C,Structure!$A:$AJ,AH$1,0)*$D46,0),IFERROR(VLOOKUP($E:$E,Structure!$A:$AJ,AH$1,0)*$F46,0),IFERROR(VLOOKUP($G:$G,Structure!$A:$AJ,AH$1,0)*$H46,0))</f>
        <v>0</v>
      </c>
      <c r="AI46" s="9">
        <f>SUM(IFERROR(VLOOKUP($C:$C,Structure!$A:$AJ,AI$1,0)*$D46,0),IFERROR(VLOOKUP($E:$E,Structure!$A:$AJ,AI$1,0)*$F46,0),IFERROR(VLOOKUP($G:$G,Structure!$A:$AJ,AI$1,0)*$H46,0))</f>
        <v>0</v>
      </c>
      <c r="AJ46" s="9">
        <f>SUM(IFERROR(VLOOKUP($C:$C,Structure!$A:$AJ,AJ$1,0)*$D46,0),IFERROR(VLOOKUP($E:$E,Structure!$A:$AJ,AJ$1,0)*$F46,0),IFERROR(VLOOKUP($G:$G,Structure!$A:$AJ,AJ$1,0)*$H46,0))</f>
        <v>0</v>
      </c>
      <c r="AK46" s="9">
        <f>SUM(IFERROR(VLOOKUP($C:$C,Structure!$A:$AJ,AK$1,0)*$D46,0),IFERROR(VLOOKUP($E:$E,Structure!$A:$AJ,AK$1,0)*$F46,0),IFERROR(VLOOKUP($G:$G,Structure!$A:$AJ,AK$1,0)*$H46,0))</f>
        <v>0</v>
      </c>
      <c r="AL46" s="9">
        <f>SUM(IFERROR(VLOOKUP($C:$C,Structure!$A:$AJ,AL$1,0)*$D46,0),IFERROR(VLOOKUP($E:$E,Structure!$A:$AJ,AL$1,0)*$F46,0),IFERROR(VLOOKUP($G:$G,Structure!$A:$AJ,AL$1,0)*$H46,0))</f>
        <v>0</v>
      </c>
      <c r="AM46" s="9">
        <f>SUM(IFERROR(VLOOKUP($C:$C,Structure!$A:$AJ,AM$1,0)*$D46,0),IFERROR(VLOOKUP($E:$E,Structure!$A:$AJ,AM$1,0)*$F46,0),IFERROR(VLOOKUP($G:$G,Structure!$A:$AJ,AM$1,0)*$H46,0))</f>
        <v>0</v>
      </c>
      <c r="AN46" s="9">
        <f>SUM(IFERROR(VLOOKUP($C:$C,Structure!$A:$AJ,AN$1,0)*$D46,0),IFERROR(VLOOKUP($E:$E,Structure!$A:$AJ,AN$1,0)*$F46,0),IFERROR(VLOOKUP($G:$G,Structure!$A:$AJ,AN$1,0)*$H46,0))</f>
        <v>0</v>
      </c>
      <c r="AO46" s="9">
        <f>SUM(IFERROR(VLOOKUP($C:$C,Structure!$A:$AJ,AO$1,0)*$D46,0),IFERROR(VLOOKUP($E:$E,Structure!$A:$AJ,AO$1,0)*$F46,0),IFERROR(VLOOKUP($G:$G,Structure!$A:$AJ,AO$1,0)*$H46,0))</f>
        <v>0</v>
      </c>
      <c r="AP46" s="9">
        <f>SUM(IFERROR(VLOOKUP($C:$C,Structure!$A:$AJ,AP$1,0)*$D46,0),IFERROR(VLOOKUP($E:$E,Structure!$A:$AJ,AP$1,0)*$F46,0),IFERROR(VLOOKUP($G:$G,Structure!$A:$AJ,AP$1,0)*$H46,0))</f>
        <v>0</v>
      </c>
      <c r="AQ46" s="9">
        <f>SUM(IFERROR(VLOOKUP($C:$C,Structure!$A:$AJ,AQ$1,0)*$D46,0),IFERROR(VLOOKUP($E:$E,Structure!$A:$AJ,AQ$1,0)*$F46,0),IFERROR(VLOOKUP($G:$G,Structure!$A:$AJ,AQ$1,0)*$H46,0))</f>
        <v>0</v>
      </c>
      <c r="AR46" s="21" t="s">
        <v>820</v>
      </c>
      <c r="AS46" s="3" t="s">
        <v>352</v>
      </c>
      <c r="AT46" s="3" t="s">
        <v>822</v>
      </c>
      <c r="AU46" s="3"/>
      <c r="AV46" s="3">
        <v>100</v>
      </c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4">
        <f t="shared" si="57"/>
        <v>0</v>
      </c>
      <c r="CE46" s="4">
        <f t="shared" si="58"/>
        <v>157</v>
      </c>
      <c r="CF46" s="4">
        <f t="shared" si="59"/>
        <v>4</v>
      </c>
      <c r="CG46" s="4">
        <f t="shared" si="60"/>
        <v>23</v>
      </c>
      <c r="CH46" s="4">
        <f t="shared" si="61"/>
        <v>1</v>
      </c>
      <c r="CI46" s="4">
        <f t="shared" si="62"/>
        <v>51</v>
      </c>
      <c r="CJ46" s="4">
        <f t="shared" si="63"/>
        <v>-19</v>
      </c>
      <c r="CK46" s="4">
        <f t="shared" si="64"/>
        <v>286</v>
      </c>
      <c r="CL46" s="4">
        <f t="shared" si="65"/>
        <v>0</v>
      </c>
      <c r="CM46" s="4">
        <f t="shared" si="66"/>
        <v>4</v>
      </c>
      <c r="CN46" s="4">
        <f t="shared" si="67"/>
        <v>19</v>
      </c>
      <c r="CO46" s="4">
        <f t="shared" si="68"/>
        <v>0</v>
      </c>
      <c r="CP46" s="4">
        <f t="shared" si="69"/>
        <v>5</v>
      </c>
      <c r="CQ46" s="4">
        <f t="shared" si="70"/>
        <v>-65</v>
      </c>
      <c r="CR46" s="4">
        <f t="shared" si="71"/>
        <v>34</v>
      </c>
      <c r="CS46" s="4">
        <f t="shared" si="72"/>
        <v>0</v>
      </c>
      <c r="CT46" s="4">
        <f t="shared" si="73"/>
        <v>0</v>
      </c>
      <c r="CU46" s="4">
        <f t="shared" si="74"/>
        <v>0</v>
      </c>
      <c r="CV46" s="4">
        <f t="shared" si="75"/>
        <v>0</v>
      </c>
      <c r="CW46" s="4">
        <f t="shared" si="76"/>
        <v>0</v>
      </c>
      <c r="CX46" s="4">
        <f t="shared" si="77"/>
        <v>-45</v>
      </c>
      <c r="CY46" s="4">
        <f t="shared" si="78"/>
        <v>0</v>
      </c>
      <c r="CZ46" s="4">
        <f t="shared" si="79"/>
        <v>0</v>
      </c>
      <c r="DA46" s="4">
        <f t="shared" si="80"/>
        <v>0</v>
      </c>
      <c r="DB46" s="4">
        <f t="shared" si="81"/>
        <v>0</v>
      </c>
      <c r="DC46" s="4">
        <f t="shared" si="82"/>
        <v>0</v>
      </c>
      <c r="DD46" s="4">
        <f t="shared" si="83"/>
        <v>0</v>
      </c>
      <c r="DE46" s="4">
        <f t="shared" si="84"/>
        <v>0</v>
      </c>
      <c r="DF46" s="4">
        <f t="shared" si="85"/>
        <v>0</v>
      </c>
      <c r="DG46" s="4">
        <f t="shared" si="86"/>
        <v>0</v>
      </c>
      <c r="DH46" s="4">
        <f t="shared" si="87"/>
        <v>0</v>
      </c>
      <c r="DI46" s="4">
        <f t="shared" si="88"/>
        <v>0</v>
      </c>
      <c r="DJ46" s="4">
        <f t="shared" si="89"/>
        <v>0</v>
      </c>
      <c r="DK46" s="4">
        <f t="shared" si="90"/>
        <v>0</v>
      </c>
      <c r="DL46" s="4">
        <f t="shared" si="91"/>
        <v>0</v>
      </c>
    </row>
    <row r="47" spans="1:116" x14ac:dyDescent="0.25">
      <c r="A47" s="5">
        <v>46184</v>
      </c>
      <c r="B47" s="6">
        <v>0.22916666677338071</v>
      </c>
      <c r="C47" s="3"/>
      <c r="D47" s="3"/>
      <c r="E47" s="3" t="s">
        <v>30</v>
      </c>
      <c r="F47" s="3">
        <v>8</v>
      </c>
      <c r="G47" s="3"/>
      <c r="H47" s="9"/>
      <c r="I47" s="9">
        <f>SUM(IFERROR(VLOOKUP($C:$C,Structure!$A:$AJ,I$1,0)*$D47,0),IFERROR(VLOOKUP($E:$E,Structure!$A:$AJ,I$1,0)*$F47,0),IFERROR(VLOOKUP($G:$G,Structure!$A:$AJ,I$1,0)*$H47,0))</f>
        <v>0</v>
      </c>
      <c r="J47" s="9">
        <f>SUM(IFERROR(VLOOKUP($C:$C,Structure!$A:$AJ,J$1,0)*$D47,0),IFERROR(VLOOKUP($E:$E,Structure!$A:$AJ,J$1,0)*$F47,0),IFERROR(VLOOKUP($G:$G,Structure!$A:$AJ,J$1,0)*$H47,0))</f>
        <v>0</v>
      </c>
      <c r="K47" s="9">
        <f>SUM(IFERROR(VLOOKUP($C:$C,Structure!$A:$AJ,K$1,0)*$D47,0),IFERROR(VLOOKUP($E:$E,Structure!$A:$AJ,K$1,0)*$F47,0),IFERROR(VLOOKUP($G:$G,Structure!$A:$AJ,K$1,0)*$H47,0))</f>
        <v>0</v>
      </c>
      <c r="L47" s="9">
        <f>SUM(IFERROR(VLOOKUP($C:$C,Structure!$A:$AJ,L$1,0)*$D47,0),IFERROR(VLOOKUP($E:$E,Structure!$A:$AJ,L$1,0)*$F47,0),IFERROR(VLOOKUP($G:$G,Structure!$A:$AJ,L$1,0)*$H47,0))</f>
        <v>0</v>
      </c>
      <c r="M47" s="9">
        <f>SUM(IFERROR(VLOOKUP($C:$C,Structure!$A:$AJ,M$1,0)*$D47,0),IFERROR(VLOOKUP($E:$E,Structure!$A:$AJ,M$1,0)*$F47,0),IFERROR(VLOOKUP($G:$G,Structure!$A:$AJ,M$1,0)*$H47,0))</f>
        <v>0</v>
      </c>
      <c r="N47" s="9">
        <f>SUM(IFERROR(VLOOKUP($C:$C,Structure!$A:$AJ,N$1,0)*$D47,0),IFERROR(VLOOKUP($E:$E,Structure!$A:$AJ,N$1,0)*$F47,0),IFERROR(VLOOKUP($G:$G,Structure!$A:$AJ,N$1,0)*$H47,0))</f>
        <v>0</v>
      </c>
      <c r="O47" s="9">
        <f>SUM(IFERROR(VLOOKUP($C:$C,Structure!$A:$AJ,O$1,0)*$D47,0),IFERROR(VLOOKUP($E:$E,Structure!$A:$AJ,O$1,0)*$F47,0),IFERROR(VLOOKUP($G:$G,Structure!$A:$AJ,O$1,0)*$H47,0))</f>
        <v>0</v>
      </c>
      <c r="P47" s="9">
        <f>SUM(IFERROR(VLOOKUP($C:$C,Structure!$A:$AJ,P$1,0)*$D47,0),IFERROR(VLOOKUP($E:$E,Structure!$A:$AJ,P$1,0)*$F47,0),IFERROR(VLOOKUP($G:$G,Structure!$A:$AJ,P$1,0)*$H47,0))</f>
        <v>0</v>
      </c>
      <c r="Q47" s="9">
        <f>SUM(IFERROR(VLOOKUP($C:$C,Structure!$A:$AJ,Q$1,0)*$D47,0),IFERROR(VLOOKUP($E:$E,Structure!$A:$AJ,Q$1,0)*$F47,0),IFERROR(VLOOKUP($G:$G,Structure!$A:$AJ,Q$1,0)*$H47,0))</f>
        <v>0</v>
      </c>
      <c r="R47" s="9">
        <f>SUM(IFERROR(VLOOKUP($C:$C,Structure!$A:$AJ,R$1,0)*$D47,0),IFERROR(VLOOKUP($E:$E,Structure!$A:$AJ,R$1,0)*$F47,0),IFERROR(VLOOKUP($G:$G,Structure!$A:$AJ,R$1,0)*$H47,0))</f>
        <v>0</v>
      </c>
      <c r="S47" s="9">
        <f>SUM(IFERROR(VLOOKUP($C:$C,Structure!$A:$AJ,S$1,0)*$D47,0),IFERROR(VLOOKUP($E:$E,Structure!$A:$AJ,S$1,0)*$F47,0),IFERROR(VLOOKUP($G:$G,Structure!$A:$AJ,S$1,0)*$H47,0))</f>
        <v>0</v>
      </c>
      <c r="T47" s="9">
        <f>SUM(IFERROR(VLOOKUP($C:$C,Structure!$A:$AJ,T$1,0)*$D47,0),IFERROR(VLOOKUP($E:$E,Structure!$A:$AJ,T$1,0)*$F47,0),IFERROR(VLOOKUP($G:$G,Structure!$A:$AJ,T$1,0)*$H47,0))</f>
        <v>0</v>
      </c>
      <c r="U47" s="9">
        <f>SUM(IFERROR(VLOOKUP($C:$C,Structure!$A:$AJ,U$1,0)*$D47,0),IFERROR(VLOOKUP($E:$E,Structure!$A:$AJ,U$1,0)*$F47,0),IFERROR(VLOOKUP($G:$G,Structure!$A:$AJ,U$1,0)*$H47,0))</f>
        <v>0</v>
      </c>
      <c r="V47" s="9">
        <f>SUM(IFERROR(VLOOKUP($C:$C,Structure!$A:$AJ,V$1,0)*$D47,0),IFERROR(VLOOKUP($E:$E,Structure!$A:$AJ,V$1,0)*$F47,0),IFERROR(VLOOKUP($G:$G,Structure!$A:$AJ,V$1,0)*$H47,0))</f>
        <v>8</v>
      </c>
      <c r="W47" s="9">
        <f>SUM(IFERROR(VLOOKUP($C:$C,Structure!$A:$AJ,W$1,0)*$D47,0),IFERROR(VLOOKUP($E:$E,Structure!$A:$AJ,W$1,0)*$F47,0),IFERROR(VLOOKUP($G:$G,Structure!$A:$AJ,W$1,0)*$H47,0))</f>
        <v>0</v>
      </c>
      <c r="X47" s="9">
        <f>SUM(IFERROR(VLOOKUP($C:$C,Structure!$A:$AJ,X$1,0)*$D47,0),IFERROR(VLOOKUP($E:$E,Structure!$A:$AJ,X$1,0)*$F47,0),IFERROR(VLOOKUP($G:$G,Structure!$A:$AJ,X$1,0)*$H47,0))</f>
        <v>0</v>
      </c>
      <c r="Y47" s="9">
        <f>SUM(IFERROR(VLOOKUP($C:$C,Structure!$A:$AJ,Y$1,0)*$D47,0),IFERROR(VLOOKUP($E:$E,Structure!$A:$AJ,Y$1,0)*$F47,0),IFERROR(VLOOKUP($G:$G,Structure!$A:$AJ,Y$1,0)*$H47,0))</f>
        <v>0</v>
      </c>
      <c r="Z47" s="9">
        <f>SUM(IFERROR(VLOOKUP($C:$C,Structure!$A:$AJ,Z$1,0)*$D47,0),IFERROR(VLOOKUP($E:$E,Structure!$A:$AJ,Z$1,0)*$F47,0),IFERROR(VLOOKUP($G:$G,Structure!$A:$AJ,Z$1,0)*$H47,0))</f>
        <v>0</v>
      </c>
      <c r="AA47" s="9">
        <f>SUM(IFERROR(VLOOKUP($C:$C,Structure!$A:$AJ,AA$1,0)*$D47,0),IFERROR(VLOOKUP($E:$E,Structure!$A:$AJ,AA$1,0)*$F47,0),IFERROR(VLOOKUP($G:$G,Structure!$A:$AJ,AA$1,0)*$H47,0))</f>
        <v>0</v>
      </c>
      <c r="AB47" s="9">
        <f>SUM(IFERROR(VLOOKUP($C:$C,Structure!$A:$AJ,AB$1,0)*$D47,0),IFERROR(VLOOKUP($E:$E,Structure!$A:$AJ,AB$1,0)*$F47,0),IFERROR(VLOOKUP($G:$G,Structure!$A:$AJ,AB$1,0)*$H47,0))</f>
        <v>0</v>
      </c>
      <c r="AC47" s="9">
        <f>SUM(IFERROR(VLOOKUP($C:$C,Structure!$A:$AJ,AC$1,0)*$D47,0),IFERROR(VLOOKUP($E:$E,Structure!$A:$AJ,AC$1,0)*$F47,0),IFERROR(VLOOKUP($G:$G,Structure!$A:$AJ,AC$1,0)*$H47,0))</f>
        <v>8</v>
      </c>
      <c r="AD47" s="9">
        <f>SUM(IFERROR(VLOOKUP($C:$C,Structure!$A:$AJ,AD$1,0)*$D47,0),IFERROR(VLOOKUP($E:$E,Structure!$A:$AJ,AD$1,0)*$F47,0),IFERROR(VLOOKUP($G:$G,Structure!$A:$AJ,AD$1,0)*$H47,0))</f>
        <v>0</v>
      </c>
      <c r="AE47" s="9">
        <f>SUM(IFERROR(VLOOKUP($C:$C,Structure!$A:$AJ,AE$1,0)*$D47,0),IFERROR(VLOOKUP($E:$E,Structure!$A:$AJ,AE$1,0)*$F47,0),IFERROR(VLOOKUP($G:$G,Structure!$A:$AJ,AE$1,0)*$H47,0))</f>
        <v>0</v>
      </c>
      <c r="AF47" s="9">
        <f>SUM(IFERROR(VLOOKUP($C:$C,Structure!$A:$AJ,AF$1,0)*$D47,0),IFERROR(VLOOKUP($E:$E,Structure!$A:$AJ,AF$1,0)*$F47,0),IFERROR(VLOOKUP($G:$G,Structure!$A:$AJ,AF$1,0)*$H47,0))</f>
        <v>0</v>
      </c>
      <c r="AG47" s="9">
        <f>SUM(IFERROR(VLOOKUP($C:$C,Structure!$A:$AJ,AG$1,0)*$D47,0),IFERROR(VLOOKUP($E:$E,Structure!$A:$AJ,AG$1,0)*$F47,0),IFERROR(VLOOKUP($G:$G,Structure!$A:$AJ,AG$1,0)*$H47,0))</f>
        <v>0</v>
      </c>
      <c r="AH47" s="9">
        <f>SUM(IFERROR(VLOOKUP($C:$C,Structure!$A:$AJ,AH$1,0)*$D47,0),IFERROR(VLOOKUP($E:$E,Structure!$A:$AJ,AH$1,0)*$F47,0),IFERROR(VLOOKUP($G:$G,Structure!$A:$AJ,AH$1,0)*$H47,0))</f>
        <v>0</v>
      </c>
      <c r="AI47" s="9">
        <f>SUM(IFERROR(VLOOKUP($C:$C,Structure!$A:$AJ,AI$1,0)*$D47,0),IFERROR(VLOOKUP($E:$E,Structure!$A:$AJ,AI$1,0)*$F47,0),IFERROR(VLOOKUP($G:$G,Structure!$A:$AJ,AI$1,0)*$H47,0))</f>
        <v>0</v>
      </c>
      <c r="AJ47" s="9">
        <f>SUM(IFERROR(VLOOKUP($C:$C,Structure!$A:$AJ,AJ$1,0)*$D47,0),IFERROR(VLOOKUP($E:$E,Structure!$A:$AJ,AJ$1,0)*$F47,0),IFERROR(VLOOKUP($G:$G,Structure!$A:$AJ,AJ$1,0)*$H47,0))</f>
        <v>0</v>
      </c>
      <c r="AK47" s="9">
        <f>SUM(IFERROR(VLOOKUP($C:$C,Structure!$A:$AJ,AK$1,0)*$D47,0),IFERROR(VLOOKUP($E:$E,Structure!$A:$AJ,AK$1,0)*$F47,0),IFERROR(VLOOKUP($G:$G,Structure!$A:$AJ,AK$1,0)*$H47,0))</f>
        <v>0</v>
      </c>
      <c r="AL47" s="9">
        <f>SUM(IFERROR(VLOOKUP($C:$C,Structure!$A:$AJ,AL$1,0)*$D47,0),IFERROR(VLOOKUP($E:$E,Structure!$A:$AJ,AL$1,0)*$F47,0),IFERROR(VLOOKUP($G:$G,Structure!$A:$AJ,AL$1,0)*$H47,0))</f>
        <v>0</v>
      </c>
      <c r="AM47" s="9">
        <f>SUM(IFERROR(VLOOKUP($C:$C,Structure!$A:$AJ,AM$1,0)*$D47,0),IFERROR(VLOOKUP($E:$E,Structure!$A:$AJ,AM$1,0)*$F47,0),IFERROR(VLOOKUP($G:$G,Structure!$A:$AJ,AM$1,0)*$H47,0))</f>
        <v>0</v>
      </c>
      <c r="AN47" s="9">
        <f>SUM(IFERROR(VLOOKUP($C:$C,Structure!$A:$AJ,AN$1,0)*$D47,0),IFERROR(VLOOKUP($E:$E,Structure!$A:$AJ,AN$1,0)*$F47,0),IFERROR(VLOOKUP($G:$G,Structure!$A:$AJ,AN$1,0)*$H47,0))</f>
        <v>0</v>
      </c>
      <c r="AO47" s="9">
        <f>SUM(IFERROR(VLOOKUP($C:$C,Structure!$A:$AJ,AO$1,0)*$D47,0),IFERROR(VLOOKUP($E:$E,Structure!$A:$AJ,AO$1,0)*$F47,0),IFERROR(VLOOKUP($G:$G,Structure!$A:$AJ,AO$1,0)*$H47,0))</f>
        <v>0</v>
      </c>
      <c r="AP47" s="9">
        <f>SUM(IFERROR(VLOOKUP($C:$C,Structure!$A:$AJ,AP$1,0)*$D47,0),IFERROR(VLOOKUP($E:$E,Structure!$A:$AJ,AP$1,0)*$F47,0),IFERROR(VLOOKUP($G:$G,Structure!$A:$AJ,AP$1,0)*$H47,0))</f>
        <v>0</v>
      </c>
      <c r="AQ47" s="9">
        <f>SUM(IFERROR(VLOOKUP($C:$C,Structure!$A:$AJ,AQ$1,0)*$D47,0),IFERROR(VLOOKUP($E:$E,Structure!$A:$AJ,AQ$1,0)*$F47,0),IFERROR(VLOOKUP($G:$G,Structure!$A:$AJ,AQ$1,0)*$H47,0))</f>
        <v>0</v>
      </c>
      <c r="AR47" s="21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4">
        <f t="shared" si="57"/>
        <v>0</v>
      </c>
      <c r="CE47" s="4">
        <f t="shared" si="58"/>
        <v>157</v>
      </c>
      <c r="CF47" s="4">
        <f t="shared" si="59"/>
        <v>4</v>
      </c>
      <c r="CG47" s="4">
        <f t="shared" si="60"/>
        <v>23</v>
      </c>
      <c r="CH47" s="4">
        <f t="shared" si="61"/>
        <v>1</v>
      </c>
      <c r="CI47" s="4">
        <f t="shared" si="62"/>
        <v>51</v>
      </c>
      <c r="CJ47" s="4">
        <f t="shared" si="63"/>
        <v>-19</v>
      </c>
      <c r="CK47" s="4">
        <f t="shared" si="64"/>
        <v>286</v>
      </c>
      <c r="CL47" s="4">
        <f t="shared" si="65"/>
        <v>0</v>
      </c>
      <c r="CM47" s="4">
        <f t="shared" si="66"/>
        <v>4</v>
      </c>
      <c r="CN47" s="4">
        <f t="shared" si="67"/>
        <v>19</v>
      </c>
      <c r="CO47" s="4">
        <f t="shared" si="68"/>
        <v>0</v>
      </c>
      <c r="CP47" s="4">
        <f t="shared" si="69"/>
        <v>5</v>
      </c>
      <c r="CQ47" s="4">
        <f t="shared" si="70"/>
        <v>-73</v>
      </c>
      <c r="CR47" s="4">
        <f t="shared" si="71"/>
        <v>34</v>
      </c>
      <c r="CS47" s="4">
        <f t="shared" si="72"/>
        <v>0</v>
      </c>
      <c r="CT47" s="4">
        <f t="shared" si="73"/>
        <v>0</v>
      </c>
      <c r="CU47" s="4">
        <f t="shared" si="74"/>
        <v>0</v>
      </c>
      <c r="CV47" s="4">
        <f t="shared" si="75"/>
        <v>0</v>
      </c>
      <c r="CW47" s="4">
        <f t="shared" si="76"/>
        <v>0</v>
      </c>
      <c r="CX47" s="4">
        <f t="shared" si="77"/>
        <v>-53</v>
      </c>
      <c r="CY47" s="4">
        <f t="shared" si="78"/>
        <v>0</v>
      </c>
      <c r="CZ47" s="4">
        <f t="shared" si="79"/>
        <v>0</v>
      </c>
      <c r="DA47" s="4">
        <f t="shared" si="80"/>
        <v>0</v>
      </c>
      <c r="DB47" s="4">
        <f t="shared" si="81"/>
        <v>0</v>
      </c>
      <c r="DC47" s="4">
        <f t="shared" si="82"/>
        <v>0</v>
      </c>
      <c r="DD47" s="4">
        <f t="shared" si="83"/>
        <v>0</v>
      </c>
      <c r="DE47" s="4">
        <f t="shared" si="84"/>
        <v>0</v>
      </c>
      <c r="DF47" s="4">
        <f t="shared" si="85"/>
        <v>0</v>
      </c>
      <c r="DG47" s="4">
        <f t="shared" si="86"/>
        <v>0</v>
      </c>
      <c r="DH47" s="4">
        <f t="shared" si="87"/>
        <v>0</v>
      </c>
      <c r="DI47" s="4">
        <f t="shared" si="88"/>
        <v>0</v>
      </c>
      <c r="DJ47" s="4">
        <f t="shared" si="89"/>
        <v>0</v>
      </c>
      <c r="DK47" s="4">
        <f t="shared" si="90"/>
        <v>0</v>
      </c>
      <c r="DL47" s="4">
        <f t="shared" si="91"/>
        <v>0</v>
      </c>
    </row>
    <row r="48" spans="1:116" x14ac:dyDescent="0.25">
      <c r="A48" s="5">
        <v>46184</v>
      </c>
      <c r="B48" s="6">
        <v>0.25000000010913936</v>
      </c>
      <c r="C48" s="3"/>
      <c r="D48" s="3"/>
      <c r="E48" s="3" t="s">
        <v>30</v>
      </c>
      <c r="F48" s="3">
        <v>8</v>
      </c>
      <c r="G48" s="3"/>
      <c r="H48" s="9"/>
      <c r="I48" s="9">
        <f>SUM(IFERROR(VLOOKUP($C:$C,Structure!$A:$AJ,I$1,0)*$D48,0),IFERROR(VLOOKUP($E:$E,Structure!$A:$AJ,I$1,0)*$F48,0),IFERROR(VLOOKUP($G:$G,Structure!$A:$AJ,I$1,0)*$H48,0))</f>
        <v>0</v>
      </c>
      <c r="J48" s="9">
        <f>SUM(IFERROR(VLOOKUP($C:$C,Structure!$A:$AJ,J$1,0)*$D48,0),IFERROR(VLOOKUP($E:$E,Structure!$A:$AJ,J$1,0)*$F48,0),IFERROR(VLOOKUP($G:$G,Structure!$A:$AJ,J$1,0)*$H48,0))</f>
        <v>0</v>
      </c>
      <c r="K48" s="9">
        <f>SUM(IFERROR(VLOOKUP($C:$C,Structure!$A:$AJ,K$1,0)*$D48,0),IFERROR(VLOOKUP($E:$E,Structure!$A:$AJ,K$1,0)*$F48,0),IFERROR(VLOOKUP($G:$G,Structure!$A:$AJ,K$1,0)*$H48,0))</f>
        <v>0</v>
      </c>
      <c r="L48" s="9">
        <f>SUM(IFERROR(VLOOKUP($C:$C,Structure!$A:$AJ,L$1,0)*$D48,0),IFERROR(VLOOKUP($E:$E,Structure!$A:$AJ,L$1,0)*$F48,0),IFERROR(VLOOKUP($G:$G,Structure!$A:$AJ,L$1,0)*$H48,0))</f>
        <v>0</v>
      </c>
      <c r="M48" s="9">
        <f>SUM(IFERROR(VLOOKUP($C:$C,Structure!$A:$AJ,M$1,0)*$D48,0),IFERROR(VLOOKUP($E:$E,Structure!$A:$AJ,M$1,0)*$F48,0),IFERROR(VLOOKUP($G:$G,Structure!$A:$AJ,M$1,0)*$H48,0))</f>
        <v>0</v>
      </c>
      <c r="N48" s="9">
        <f>SUM(IFERROR(VLOOKUP($C:$C,Structure!$A:$AJ,N$1,0)*$D48,0),IFERROR(VLOOKUP($E:$E,Structure!$A:$AJ,N$1,0)*$F48,0),IFERROR(VLOOKUP($G:$G,Structure!$A:$AJ,N$1,0)*$H48,0))</f>
        <v>0</v>
      </c>
      <c r="O48" s="9">
        <f>SUM(IFERROR(VLOOKUP($C:$C,Structure!$A:$AJ,O$1,0)*$D48,0),IFERROR(VLOOKUP($E:$E,Structure!$A:$AJ,O$1,0)*$F48,0),IFERROR(VLOOKUP($G:$G,Structure!$A:$AJ,O$1,0)*$H48,0))</f>
        <v>0</v>
      </c>
      <c r="P48" s="9">
        <f>SUM(IFERROR(VLOOKUP($C:$C,Structure!$A:$AJ,P$1,0)*$D48,0),IFERROR(VLOOKUP($E:$E,Structure!$A:$AJ,P$1,0)*$F48,0),IFERROR(VLOOKUP($G:$G,Structure!$A:$AJ,P$1,0)*$H48,0))</f>
        <v>0</v>
      </c>
      <c r="Q48" s="9">
        <f>SUM(IFERROR(VLOOKUP($C:$C,Structure!$A:$AJ,Q$1,0)*$D48,0),IFERROR(VLOOKUP($E:$E,Structure!$A:$AJ,Q$1,0)*$F48,0),IFERROR(VLOOKUP($G:$G,Structure!$A:$AJ,Q$1,0)*$H48,0))</f>
        <v>0</v>
      </c>
      <c r="R48" s="9">
        <f>SUM(IFERROR(VLOOKUP($C:$C,Structure!$A:$AJ,R$1,0)*$D48,0),IFERROR(VLOOKUP($E:$E,Structure!$A:$AJ,R$1,0)*$F48,0),IFERROR(VLOOKUP($G:$G,Structure!$A:$AJ,R$1,0)*$H48,0))</f>
        <v>0</v>
      </c>
      <c r="S48" s="9">
        <f>SUM(IFERROR(VLOOKUP($C:$C,Structure!$A:$AJ,S$1,0)*$D48,0),IFERROR(VLOOKUP($E:$E,Structure!$A:$AJ,S$1,0)*$F48,0),IFERROR(VLOOKUP($G:$G,Structure!$A:$AJ,S$1,0)*$H48,0))</f>
        <v>0</v>
      </c>
      <c r="T48" s="9">
        <f>SUM(IFERROR(VLOOKUP($C:$C,Structure!$A:$AJ,T$1,0)*$D48,0),IFERROR(VLOOKUP($E:$E,Structure!$A:$AJ,T$1,0)*$F48,0),IFERROR(VLOOKUP($G:$G,Structure!$A:$AJ,T$1,0)*$H48,0))</f>
        <v>0</v>
      </c>
      <c r="U48" s="9">
        <f>SUM(IFERROR(VLOOKUP($C:$C,Structure!$A:$AJ,U$1,0)*$D48,0),IFERROR(VLOOKUP($E:$E,Structure!$A:$AJ,U$1,0)*$F48,0),IFERROR(VLOOKUP($G:$G,Structure!$A:$AJ,U$1,0)*$H48,0))</f>
        <v>0</v>
      </c>
      <c r="V48" s="9">
        <f>SUM(IFERROR(VLOOKUP($C:$C,Structure!$A:$AJ,V$1,0)*$D48,0),IFERROR(VLOOKUP($E:$E,Structure!$A:$AJ,V$1,0)*$F48,0),IFERROR(VLOOKUP($G:$G,Structure!$A:$AJ,V$1,0)*$H48,0))</f>
        <v>8</v>
      </c>
      <c r="W48" s="9">
        <f>SUM(IFERROR(VLOOKUP($C:$C,Structure!$A:$AJ,W$1,0)*$D48,0),IFERROR(VLOOKUP($E:$E,Structure!$A:$AJ,W$1,0)*$F48,0),IFERROR(VLOOKUP($G:$G,Structure!$A:$AJ,W$1,0)*$H48,0))</f>
        <v>0</v>
      </c>
      <c r="X48" s="9">
        <f>SUM(IFERROR(VLOOKUP($C:$C,Structure!$A:$AJ,X$1,0)*$D48,0),IFERROR(VLOOKUP($E:$E,Structure!$A:$AJ,X$1,0)*$F48,0),IFERROR(VLOOKUP($G:$G,Structure!$A:$AJ,X$1,0)*$H48,0))</f>
        <v>0</v>
      </c>
      <c r="Y48" s="9">
        <f>SUM(IFERROR(VLOOKUP($C:$C,Structure!$A:$AJ,Y$1,0)*$D48,0),IFERROR(VLOOKUP($E:$E,Structure!$A:$AJ,Y$1,0)*$F48,0),IFERROR(VLOOKUP($G:$G,Structure!$A:$AJ,Y$1,0)*$H48,0))</f>
        <v>0</v>
      </c>
      <c r="Z48" s="9">
        <f>SUM(IFERROR(VLOOKUP($C:$C,Structure!$A:$AJ,Z$1,0)*$D48,0),IFERROR(VLOOKUP($E:$E,Structure!$A:$AJ,Z$1,0)*$F48,0),IFERROR(VLOOKUP($G:$G,Structure!$A:$AJ,Z$1,0)*$H48,0))</f>
        <v>0</v>
      </c>
      <c r="AA48" s="9">
        <f>SUM(IFERROR(VLOOKUP($C:$C,Structure!$A:$AJ,AA$1,0)*$D48,0),IFERROR(VLOOKUP($E:$E,Structure!$A:$AJ,AA$1,0)*$F48,0),IFERROR(VLOOKUP($G:$G,Structure!$A:$AJ,AA$1,0)*$H48,0))</f>
        <v>0</v>
      </c>
      <c r="AB48" s="9">
        <f>SUM(IFERROR(VLOOKUP($C:$C,Structure!$A:$AJ,AB$1,0)*$D48,0),IFERROR(VLOOKUP($E:$E,Structure!$A:$AJ,AB$1,0)*$F48,0),IFERROR(VLOOKUP($G:$G,Structure!$A:$AJ,AB$1,0)*$H48,0))</f>
        <v>0</v>
      </c>
      <c r="AC48" s="9">
        <f>SUM(IFERROR(VLOOKUP($C:$C,Structure!$A:$AJ,AC$1,0)*$D48,0),IFERROR(VLOOKUP($E:$E,Structure!$A:$AJ,AC$1,0)*$F48,0),IFERROR(VLOOKUP($G:$G,Structure!$A:$AJ,AC$1,0)*$H48,0))</f>
        <v>8</v>
      </c>
      <c r="AD48" s="9">
        <f>SUM(IFERROR(VLOOKUP($C:$C,Structure!$A:$AJ,AD$1,0)*$D48,0),IFERROR(VLOOKUP($E:$E,Structure!$A:$AJ,AD$1,0)*$F48,0),IFERROR(VLOOKUP($G:$G,Structure!$A:$AJ,AD$1,0)*$H48,0))</f>
        <v>0</v>
      </c>
      <c r="AE48" s="9">
        <f>SUM(IFERROR(VLOOKUP($C:$C,Structure!$A:$AJ,AE$1,0)*$D48,0),IFERROR(VLOOKUP($E:$E,Structure!$A:$AJ,AE$1,0)*$F48,0),IFERROR(VLOOKUP($G:$G,Structure!$A:$AJ,AE$1,0)*$H48,0))</f>
        <v>0</v>
      </c>
      <c r="AF48" s="9">
        <f>SUM(IFERROR(VLOOKUP($C:$C,Structure!$A:$AJ,AF$1,0)*$D48,0),IFERROR(VLOOKUP($E:$E,Structure!$A:$AJ,AF$1,0)*$F48,0),IFERROR(VLOOKUP($G:$G,Structure!$A:$AJ,AF$1,0)*$H48,0))</f>
        <v>0</v>
      </c>
      <c r="AG48" s="9">
        <f>SUM(IFERROR(VLOOKUP($C:$C,Structure!$A:$AJ,AG$1,0)*$D48,0),IFERROR(VLOOKUP($E:$E,Structure!$A:$AJ,AG$1,0)*$F48,0),IFERROR(VLOOKUP($G:$G,Structure!$A:$AJ,AG$1,0)*$H48,0))</f>
        <v>0</v>
      </c>
      <c r="AH48" s="9">
        <f>SUM(IFERROR(VLOOKUP($C:$C,Structure!$A:$AJ,AH$1,0)*$D48,0),IFERROR(VLOOKUP($E:$E,Structure!$A:$AJ,AH$1,0)*$F48,0),IFERROR(VLOOKUP($G:$G,Structure!$A:$AJ,AH$1,0)*$H48,0))</f>
        <v>0</v>
      </c>
      <c r="AI48" s="9">
        <f>SUM(IFERROR(VLOOKUP($C:$C,Structure!$A:$AJ,AI$1,0)*$D48,0),IFERROR(VLOOKUP($E:$E,Structure!$A:$AJ,AI$1,0)*$F48,0),IFERROR(VLOOKUP($G:$G,Structure!$A:$AJ,AI$1,0)*$H48,0))</f>
        <v>0</v>
      </c>
      <c r="AJ48" s="9">
        <f>SUM(IFERROR(VLOOKUP($C:$C,Structure!$A:$AJ,AJ$1,0)*$D48,0),IFERROR(VLOOKUP($E:$E,Structure!$A:$AJ,AJ$1,0)*$F48,0),IFERROR(VLOOKUP($G:$G,Structure!$A:$AJ,AJ$1,0)*$H48,0))</f>
        <v>0</v>
      </c>
      <c r="AK48" s="9">
        <f>SUM(IFERROR(VLOOKUP($C:$C,Structure!$A:$AJ,AK$1,0)*$D48,0),IFERROR(VLOOKUP($E:$E,Structure!$A:$AJ,AK$1,0)*$F48,0),IFERROR(VLOOKUP($G:$G,Structure!$A:$AJ,AK$1,0)*$H48,0))</f>
        <v>0</v>
      </c>
      <c r="AL48" s="9">
        <f>SUM(IFERROR(VLOOKUP($C:$C,Structure!$A:$AJ,AL$1,0)*$D48,0),IFERROR(VLOOKUP($E:$E,Structure!$A:$AJ,AL$1,0)*$F48,0),IFERROR(VLOOKUP($G:$G,Structure!$A:$AJ,AL$1,0)*$H48,0))</f>
        <v>0</v>
      </c>
      <c r="AM48" s="9">
        <f>SUM(IFERROR(VLOOKUP($C:$C,Structure!$A:$AJ,AM$1,0)*$D48,0),IFERROR(VLOOKUP($E:$E,Structure!$A:$AJ,AM$1,0)*$F48,0),IFERROR(VLOOKUP($G:$G,Structure!$A:$AJ,AM$1,0)*$H48,0))</f>
        <v>0</v>
      </c>
      <c r="AN48" s="9">
        <f>SUM(IFERROR(VLOOKUP($C:$C,Structure!$A:$AJ,AN$1,0)*$D48,0),IFERROR(VLOOKUP($E:$E,Structure!$A:$AJ,AN$1,0)*$F48,0),IFERROR(VLOOKUP($G:$G,Structure!$A:$AJ,AN$1,0)*$H48,0))</f>
        <v>0</v>
      </c>
      <c r="AO48" s="9">
        <f>SUM(IFERROR(VLOOKUP($C:$C,Structure!$A:$AJ,AO$1,0)*$D48,0),IFERROR(VLOOKUP($E:$E,Structure!$A:$AJ,AO$1,0)*$F48,0),IFERROR(VLOOKUP($G:$G,Structure!$A:$AJ,AO$1,0)*$H48,0))</f>
        <v>0</v>
      </c>
      <c r="AP48" s="9">
        <f>SUM(IFERROR(VLOOKUP($C:$C,Structure!$A:$AJ,AP$1,0)*$D48,0),IFERROR(VLOOKUP($E:$E,Structure!$A:$AJ,AP$1,0)*$F48,0),IFERROR(VLOOKUP($G:$G,Structure!$A:$AJ,AP$1,0)*$H48,0))</f>
        <v>0</v>
      </c>
      <c r="AQ48" s="9">
        <f>SUM(IFERROR(VLOOKUP($C:$C,Structure!$A:$AJ,AQ$1,0)*$D48,0),IFERROR(VLOOKUP($E:$E,Structure!$A:$AJ,AQ$1,0)*$F48,0),IFERROR(VLOOKUP($G:$G,Structure!$A:$AJ,AQ$1,0)*$H48,0))</f>
        <v>0</v>
      </c>
      <c r="AR48" s="21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4">
        <f t="shared" si="57"/>
        <v>0</v>
      </c>
      <c r="CE48" s="4">
        <f t="shared" si="58"/>
        <v>157</v>
      </c>
      <c r="CF48" s="4">
        <f t="shared" si="59"/>
        <v>4</v>
      </c>
      <c r="CG48" s="4">
        <f t="shared" si="60"/>
        <v>23</v>
      </c>
      <c r="CH48" s="4">
        <f t="shared" si="61"/>
        <v>1</v>
      </c>
      <c r="CI48" s="4">
        <f t="shared" si="62"/>
        <v>51</v>
      </c>
      <c r="CJ48" s="4">
        <f t="shared" si="63"/>
        <v>-19</v>
      </c>
      <c r="CK48" s="4">
        <f t="shared" si="64"/>
        <v>286</v>
      </c>
      <c r="CL48" s="4">
        <f t="shared" si="65"/>
        <v>0</v>
      </c>
      <c r="CM48" s="4">
        <f t="shared" si="66"/>
        <v>4</v>
      </c>
      <c r="CN48" s="4">
        <f t="shared" si="67"/>
        <v>19</v>
      </c>
      <c r="CO48" s="4">
        <f t="shared" si="68"/>
        <v>0</v>
      </c>
      <c r="CP48" s="4">
        <f t="shared" si="69"/>
        <v>5</v>
      </c>
      <c r="CQ48" s="4">
        <f t="shared" si="70"/>
        <v>-81</v>
      </c>
      <c r="CR48" s="4">
        <f t="shared" si="71"/>
        <v>34</v>
      </c>
      <c r="CS48" s="4">
        <f t="shared" si="72"/>
        <v>0</v>
      </c>
      <c r="CT48" s="4">
        <f t="shared" si="73"/>
        <v>0</v>
      </c>
      <c r="CU48" s="4">
        <f t="shared" si="74"/>
        <v>0</v>
      </c>
      <c r="CV48" s="4">
        <f t="shared" si="75"/>
        <v>0</v>
      </c>
      <c r="CW48" s="4">
        <f t="shared" si="76"/>
        <v>0</v>
      </c>
      <c r="CX48" s="4">
        <f t="shared" si="77"/>
        <v>-61</v>
      </c>
      <c r="CY48" s="4">
        <f t="shared" si="78"/>
        <v>0</v>
      </c>
      <c r="CZ48" s="4">
        <f t="shared" si="79"/>
        <v>0</v>
      </c>
      <c r="DA48" s="4">
        <f t="shared" si="80"/>
        <v>0</v>
      </c>
      <c r="DB48" s="4">
        <f t="shared" si="81"/>
        <v>0</v>
      </c>
      <c r="DC48" s="4">
        <f t="shared" si="82"/>
        <v>0</v>
      </c>
      <c r="DD48" s="4">
        <f t="shared" si="83"/>
        <v>0</v>
      </c>
      <c r="DE48" s="4">
        <f t="shared" si="84"/>
        <v>0</v>
      </c>
      <c r="DF48" s="4">
        <f t="shared" si="85"/>
        <v>0</v>
      </c>
      <c r="DG48" s="4">
        <f t="shared" si="86"/>
        <v>0</v>
      </c>
      <c r="DH48" s="4">
        <f t="shared" si="87"/>
        <v>0</v>
      </c>
      <c r="DI48" s="4">
        <f t="shared" si="88"/>
        <v>0</v>
      </c>
      <c r="DJ48" s="4">
        <f t="shared" si="89"/>
        <v>0</v>
      </c>
      <c r="DK48" s="4">
        <f t="shared" si="90"/>
        <v>0</v>
      </c>
      <c r="DL48" s="4">
        <f t="shared" si="91"/>
        <v>0</v>
      </c>
    </row>
    <row r="49" spans="1:116" x14ac:dyDescent="0.25">
      <c r="A49" s="5">
        <v>46184</v>
      </c>
      <c r="B49" s="6">
        <v>0.27083333344489802</v>
      </c>
      <c r="C49" s="3"/>
      <c r="D49" s="3"/>
      <c r="E49" s="3" t="s">
        <v>30</v>
      </c>
      <c r="F49" s="3">
        <v>8</v>
      </c>
      <c r="G49" s="3"/>
      <c r="H49" s="9"/>
      <c r="I49" s="9">
        <f>SUM(IFERROR(VLOOKUP($C:$C,Structure!$A:$AJ,I$1,0)*$D49,0),IFERROR(VLOOKUP($E:$E,Structure!$A:$AJ,I$1,0)*$F49,0),IFERROR(VLOOKUP($G:$G,Structure!$A:$AJ,I$1,0)*$H49,0))</f>
        <v>0</v>
      </c>
      <c r="J49" s="9">
        <f>SUM(IFERROR(VLOOKUP($C:$C,Structure!$A:$AJ,J$1,0)*$D49,0),IFERROR(VLOOKUP($E:$E,Structure!$A:$AJ,J$1,0)*$F49,0),IFERROR(VLOOKUP($G:$G,Structure!$A:$AJ,J$1,0)*$H49,0))</f>
        <v>0</v>
      </c>
      <c r="K49" s="9">
        <f>SUM(IFERROR(VLOOKUP($C:$C,Structure!$A:$AJ,K$1,0)*$D49,0),IFERROR(VLOOKUP($E:$E,Structure!$A:$AJ,K$1,0)*$F49,0),IFERROR(VLOOKUP($G:$G,Structure!$A:$AJ,K$1,0)*$H49,0))</f>
        <v>0</v>
      </c>
      <c r="L49" s="9">
        <f>SUM(IFERROR(VLOOKUP($C:$C,Structure!$A:$AJ,L$1,0)*$D49,0),IFERROR(VLOOKUP($E:$E,Structure!$A:$AJ,L$1,0)*$F49,0),IFERROR(VLOOKUP($G:$G,Structure!$A:$AJ,L$1,0)*$H49,0))</f>
        <v>0</v>
      </c>
      <c r="M49" s="9">
        <f>SUM(IFERROR(VLOOKUP($C:$C,Structure!$A:$AJ,M$1,0)*$D49,0),IFERROR(VLOOKUP($E:$E,Structure!$A:$AJ,M$1,0)*$F49,0),IFERROR(VLOOKUP($G:$G,Structure!$A:$AJ,M$1,0)*$H49,0))</f>
        <v>0</v>
      </c>
      <c r="N49" s="9">
        <f>SUM(IFERROR(VLOOKUP($C:$C,Structure!$A:$AJ,N$1,0)*$D49,0),IFERROR(VLOOKUP($E:$E,Structure!$A:$AJ,N$1,0)*$F49,0),IFERROR(VLOOKUP($G:$G,Structure!$A:$AJ,N$1,0)*$H49,0))</f>
        <v>0</v>
      </c>
      <c r="O49" s="9">
        <f>SUM(IFERROR(VLOOKUP($C:$C,Structure!$A:$AJ,O$1,0)*$D49,0),IFERROR(VLOOKUP($E:$E,Structure!$A:$AJ,O$1,0)*$F49,0),IFERROR(VLOOKUP($G:$G,Structure!$A:$AJ,O$1,0)*$H49,0))</f>
        <v>0</v>
      </c>
      <c r="P49" s="9">
        <f>SUM(IFERROR(VLOOKUP($C:$C,Structure!$A:$AJ,P$1,0)*$D49,0),IFERROR(VLOOKUP($E:$E,Structure!$A:$AJ,P$1,0)*$F49,0),IFERROR(VLOOKUP($G:$G,Structure!$A:$AJ,P$1,0)*$H49,0))</f>
        <v>0</v>
      </c>
      <c r="Q49" s="9">
        <f>SUM(IFERROR(VLOOKUP($C:$C,Structure!$A:$AJ,Q$1,0)*$D49,0),IFERROR(VLOOKUP($E:$E,Structure!$A:$AJ,Q$1,0)*$F49,0),IFERROR(VLOOKUP($G:$G,Structure!$A:$AJ,Q$1,0)*$H49,0))</f>
        <v>0</v>
      </c>
      <c r="R49" s="9">
        <f>SUM(IFERROR(VLOOKUP($C:$C,Structure!$A:$AJ,R$1,0)*$D49,0),IFERROR(VLOOKUP($E:$E,Structure!$A:$AJ,R$1,0)*$F49,0),IFERROR(VLOOKUP($G:$G,Structure!$A:$AJ,R$1,0)*$H49,0))</f>
        <v>0</v>
      </c>
      <c r="S49" s="9">
        <f>SUM(IFERROR(VLOOKUP($C:$C,Structure!$A:$AJ,S$1,0)*$D49,0),IFERROR(VLOOKUP($E:$E,Structure!$A:$AJ,S$1,0)*$F49,0),IFERROR(VLOOKUP($G:$G,Structure!$A:$AJ,S$1,0)*$H49,0))</f>
        <v>0</v>
      </c>
      <c r="T49" s="9">
        <f>SUM(IFERROR(VLOOKUP($C:$C,Structure!$A:$AJ,T$1,0)*$D49,0),IFERROR(VLOOKUP($E:$E,Structure!$A:$AJ,T$1,0)*$F49,0),IFERROR(VLOOKUP($G:$G,Structure!$A:$AJ,T$1,0)*$H49,0))</f>
        <v>0</v>
      </c>
      <c r="U49" s="9">
        <f>SUM(IFERROR(VLOOKUP($C:$C,Structure!$A:$AJ,U$1,0)*$D49,0),IFERROR(VLOOKUP($E:$E,Structure!$A:$AJ,U$1,0)*$F49,0),IFERROR(VLOOKUP($G:$G,Structure!$A:$AJ,U$1,0)*$H49,0))</f>
        <v>0</v>
      </c>
      <c r="V49" s="9">
        <f>SUM(IFERROR(VLOOKUP($C:$C,Structure!$A:$AJ,V$1,0)*$D49,0),IFERROR(VLOOKUP($E:$E,Structure!$A:$AJ,V$1,0)*$F49,0),IFERROR(VLOOKUP($G:$G,Structure!$A:$AJ,V$1,0)*$H49,0))</f>
        <v>8</v>
      </c>
      <c r="W49" s="9">
        <f>SUM(IFERROR(VLOOKUP($C:$C,Structure!$A:$AJ,W$1,0)*$D49,0),IFERROR(VLOOKUP($E:$E,Structure!$A:$AJ,W$1,0)*$F49,0),IFERROR(VLOOKUP($G:$G,Structure!$A:$AJ,W$1,0)*$H49,0))</f>
        <v>0</v>
      </c>
      <c r="X49" s="9">
        <f>SUM(IFERROR(VLOOKUP($C:$C,Structure!$A:$AJ,X$1,0)*$D49,0),IFERROR(VLOOKUP($E:$E,Structure!$A:$AJ,X$1,0)*$F49,0),IFERROR(VLOOKUP($G:$G,Structure!$A:$AJ,X$1,0)*$H49,0))</f>
        <v>0</v>
      </c>
      <c r="Y49" s="9">
        <f>SUM(IFERROR(VLOOKUP($C:$C,Structure!$A:$AJ,Y$1,0)*$D49,0),IFERROR(VLOOKUP($E:$E,Structure!$A:$AJ,Y$1,0)*$F49,0),IFERROR(VLOOKUP($G:$G,Structure!$A:$AJ,Y$1,0)*$H49,0))</f>
        <v>0</v>
      </c>
      <c r="Z49" s="9">
        <f>SUM(IFERROR(VLOOKUP($C:$C,Structure!$A:$AJ,Z$1,0)*$D49,0),IFERROR(VLOOKUP($E:$E,Structure!$A:$AJ,Z$1,0)*$F49,0),IFERROR(VLOOKUP($G:$G,Structure!$A:$AJ,Z$1,0)*$H49,0))</f>
        <v>0</v>
      </c>
      <c r="AA49" s="9">
        <f>SUM(IFERROR(VLOOKUP($C:$C,Structure!$A:$AJ,AA$1,0)*$D49,0),IFERROR(VLOOKUP($E:$E,Structure!$A:$AJ,AA$1,0)*$F49,0),IFERROR(VLOOKUP($G:$G,Structure!$A:$AJ,AA$1,0)*$H49,0))</f>
        <v>0</v>
      </c>
      <c r="AB49" s="9">
        <f>SUM(IFERROR(VLOOKUP($C:$C,Structure!$A:$AJ,AB$1,0)*$D49,0),IFERROR(VLOOKUP($E:$E,Structure!$A:$AJ,AB$1,0)*$F49,0),IFERROR(VLOOKUP($G:$G,Structure!$A:$AJ,AB$1,0)*$H49,0))</f>
        <v>0</v>
      </c>
      <c r="AC49" s="9">
        <f>SUM(IFERROR(VLOOKUP($C:$C,Structure!$A:$AJ,AC$1,0)*$D49,0),IFERROR(VLOOKUP($E:$E,Structure!$A:$AJ,AC$1,0)*$F49,0),IFERROR(VLOOKUP($G:$G,Structure!$A:$AJ,AC$1,0)*$H49,0))</f>
        <v>8</v>
      </c>
      <c r="AD49" s="9">
        <f>SUM(IFERROR(VLOOKUP($C:$C,Structure!$A:$AJ,AD$1,0)*$D49,0),IFERROR(VLOOKUP($E:$E,Structure!$A:$AJ,AD$1,0)*$F49,0),IFERROR(VLOOKUP($G:$G,Structure!$A:$AJ,AD$1,0)*$H49,0))</f>
        <v>0</v>
      </c>
      <c r="AE49" s="9">
        <f>SUM(IFERROR(VLOOKUP($C:$C,Structure!$A:$AJ,AE$1,0)*$D49,0),IFERROR(VLOOKUP($E:$E,Structure!$A:$AJ,AE$1,0)*$F49,0),IFERROR(VLOOKUP($G:$G,Structure!$A:$AJ,AE$1,0)*$H49,0))</f>
        <v>0</v>
      </c>
      <c r="AF49" s="9">
        <f>SUM(IFERROR(VLOOKUP($C:$C,Structure!$A:$AJ,AF$1,0)*$D49,0),IFERROR(VLOOKUP($E:$E,Structure!$A:$AJ,AF$1,0)*$F49,0),IFERROR(VLOOKUP($G:$G,Structure!$A:$AJ,AF$1,0)*$H49,0))</f>
        <v>0</v>
      </c>
      <c r="AG49" s="9">
        <f>SUM(IFERROR(VLOOKUP($C:$C,Structure!$A:$AJ,AG$1,0)*$D49,0),IFERROR(VLOOKUP($E:$E,Structure!$A:$AJ,AG$1,0)*$F49,0),IFERROR(VLOOKUP($G:$G,Structure!$A:$AJ,AG$1,0)*$H49,0))</f>
        <v>0</v>
      </c>
      <c r="AH49" s="9">
        <f>SUM(IFERROR(VLOOKUP($C:$C,Structure!$A:$AJ,AH$1,0)*$D49,0),IFERROR(VLOOKUP($E:$E,Structure!$A:$AJ,AH$1,0)*$F49,0),IFERROR(VLOOKUP($G:$G,Structure!$A:$AJ,AH$1,0)*$H49,0))</f>
        <v>0</v>
      </c>
      <c r="AI49" s="9">
        <f>SUM(IFERROR(VLOOKUP($C:$C,Structure!$A:$AJ,AI$1,0)*$D49,0),IFERROR(VLOOKUP($E:$E,Structure!$A:$AJ,AI$1,0)*$F49,0),IFERROR(VLOOKUP($G:$G,Structure!$A:$AJ,AI$1,0)*$H49,0))</f>
        <v>0</v>
      </c>
      <c r="AJ49" s="9">
        <f>SUM(IFERROR(VLOOKUP($C:$C,Structure!$A:$AJ,AJ$1,0)*$D49,0),IFERROR(VLOOKUP($E:$E,Structure!$A:$AJ,AJ$1,0)*$F49,0),IFERROR(VLOOKUP($G:$G,Structure!$A:$AJ,AJ$1,0)*$H49,0))</f>
        <v>0</v>
      </c>
      <c r="AK49" s="9">
        <f>SUM(IFERROR(VLOOKUP($C:$C,Structure!$A:$AJ,AK$1,0)*$D49,0),IFERROR(VLOOKUP($E:$E,Structure!$A:$AJ,AK$1,0)*$F49,0),IFERROR(VLOOKUP($G:$G,Structure!$A:$AJ,AK$1,0)*$H49,0))</f>
        <v>0</v>
      </c>
      <c r="AL49" s="9">
        <f>SUM(IFERROR(VLOOKUP($C:$C,Structure!$A:$AJ,AL$1,0)*$D49,0),IFERROR(VLOOKUP($E:$E,Structure!$A:$AJ,AL$1,0)*$F49,0),IFERROR(VLOOKUP($G:$G,Structure!$A:$AJ,AL$1,0)*$H49,0))</f>
        <v>0</v>
      </c>
      <c r="AM49" s="9">
        <f>SUM(IFERROR(VLOOKUP($C:$C,Structure!$A:$AJ,AM$1,0)*$D49,0),IFERROR(VLOOKUP($E:$E,Structure!$A:$AJ,AM$1,0)*$F49,0),IFERROR(VLOOKUP($G:$G,Structure!$A:$AJ,AM$1,0)*$H49,0))</f>
        <v>0</v>
      </c>
      <c r="AN49" s="9">
        <f>SUM(IFERROR(VLOOKUP($C:$C,Structure!$A:$AJ,AN$1,0)*$D49,0),IFERROR(VLOOKUP($E:$E,Structure!$A:$AJ,AN$1,0)*$F49,0),IFERROR(VLOOKUP($G:$G,Structure!$A:$AJ,AN$1,0)*$H49,0))</f>
        <v>0</v>
      </c>
      <c r="AO49" s="9">
        <f>SUM(IFERROR(VLOOKUP($C:$C,Structure!$A:$AJ,AO$1,0)*$D49,0),IFERROR(VLOOKUP($E:$E,Structure!$A:$AJ,AO$1,0)*$F49,0),IFERROR(VLOOKUP($G:$G,Structure!$A:$AJ,AO$1,0)*$H49,0))</f>
        <v>0</v>
      </c>
      <c r="AP49" s="9">
        <f>SUM(IFERROR(VLOOKUP($C:$C,Structure!$A:$AJ,AP$1,0)*$D49,0),IFERROR(VLOOKUP($E:$E,Structure!$A:$AJ,AP$1,0)*$F49,0),IFERROR(VLOOKUP($G:$G,Structure!$A:$AJ,AP$1,0)*$H49,0))</f>
        <v>0</v>
      </c>
      <c r="AQ49" s="9">
        <f>SUM(IFERROR(VLOOKUP($C:$C,Structure!$A:$AJ,AQ$1,0)*$D49,0),IFERROR(VLOOKUP($E:$E,Structure!$A:$AJ,AQ$1,0)*$F49,0),IFERROR(VLOOKUP($G:$G,Structure!$A:$AJ,AQ$1,0)*$H49,0))</f>
        <v>0</v>
      </c>
      <c r="AR49" s="21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4">
        <f t="shared" si="57"/>
        <v>0</v>
      </c>
      <c r="CE49" s="4">
        <f t="shared" si="58"/>
        <v>157</v>
      </c>
      <c r="CF49" s="4">
        <f t="shared" si="59"/>
        <v>4</v>
      </c>
      <c r="CG49" s="4">
        <f t="shared" si="60"/>
        <v>23</v>
      </c>
      <c r="CH49" s="4">
        <f t="shared" si="61"/>
        <v>1</v>
      </c>
      <c r="CI49" s="4">
        <f t="shared" si="62"/>
        <v>51</v>
      </c>
      <c r="CJ49" s="4">
        <f t="shared" si="63"/>
        <v>-19</v>
      </c>
      <c r="CK49" s="4">
        <f t="shared" si="64"/>
        <v>286</v>
      </c>
      <c r="CL49" s="4">
        <f t="shared" si="65"/>
        <v>0</v>
      </c>
      <c r="CM49" s="4">
        <f t="shared" si="66"/>
        <v>4</v>
      </c>
      <c r="CN49" s="4">
        <f t="shared" si="67"/>
        <v>19</v>
      </c>
      <c r="CO49" s="4">
        <f t="shared" si="68"/>
        <v>0</v>
      </c>
      <c r="CP49" s="4">
        <f t="shared" si="69"/>
        <v>5</v>
      </c>
      <c r="CQ49" s="4">
        <f t="shared" si="70"/>
        <v>-89</v>
      </c>
      <c r="CR49" s="4">
        <f t="shared" si="71"/>
        <v>34</v>
      </c>
      <c r="CS49" s="4">
        <f t="shared" si="72"/>
        <v>0</v>
      </c>
      <c r="CT49" s="4">
        <f t="shared" si="73"/>
        <v>0</v>
      </c>
      <c r="CU49" s="4">
        <f t="shared" si="74"/>
        <v>0</v>
      </c>
      <c r="CV49" s="4">
        <f t="shared" si="75"/>
        <v>0</v>
      </c>
      <c r="CW49" s="4">
        <f t="shared" si="76"/>
        <v>0</v>
      </c>
      <c r="CX49" s="4">
        <f t="shared" si="77"/>
        <v>-69</v>
      </c>
      <c r="CY49" s="4">
        <f t="shared" si="78"/>
        <v>0</v>
      </c>
      <c r="CZ49" s="4">
        <f t="shared" si="79"/>
        <v>0</v>
      </c>
      <c r="DA49" s="4">
        <f t="shared" si="80"/>
        <v>0</v>
      </c>
      <c r="DB49" s="4">
        <f t="shared" si="81"/>
        <v>0</v>
      </c>
      <c r="DC49" s="4">
        <f t="shared" si="82"/>
        <v>0</v>
      </c>
      <c r="DD49" s="4">
        <f t="shared" si="83"/>
        <v>0</v>
      </c>
      <c r="DE49" s="4">
        <f t="shared" si="84"/>
        <v>0</v>
      </c>
      <c r="DF49" s="4">
        <f t="shared" si="85"/>
        <v>0</v>
      </c>
      <c r="DG49" s="4">
        <f t="shared" si="86"/>
        <v>0</v>
      </c>
      <c r="DH49" s="4">
        <f t="shared" si="87"/>
        <v>0</v>
      </c>
      <c r="DI49" s="4">
        <f t="shared" si="88"/>
        <v>0</v>
      </c>
      <c r="DJ49" s="4">
        <f t="shared" si="89"/>
        <v>0</v>
      </c>
      <c r="DK49" s="4">
        <f t="shared" si="90"/>
        <v>0</v>
      </c>
      <c r="DL49" s="4">
        <f t="shared" si="91"/>
        <v>0</v>
      </c>
    </row>
    <row r="50" spans="1:116" x14ac:dyDescent="0.25">
      <c r="A50" s="5">
        <v>46184</v>
      </c>
      <c r="B50" s="6">
        <v>0.29166666678065667</v>
      </c>
      <c r="C50" s="3"/>
      <c r="D50" s="3"/>
      <c r="E50" s="3" t="s">
        <v>30</v>
      </c>
      <c r="F50" s="3">
        <v>8</v>
      </c>
      <c r="G50" s="3"/>
      <c r="H50" s="9"/>
      <c r="I50" s="9">
        <f>SUM(IFERROR(VLOOKUP($C:$C,Structure!$A:$AJ,I$1,0)*$D50,0),IFERROR(VLOOKUP($E:$E,Structure!$A:$AJ,I$1,0)*$F50,0),IFERROR(VLOOKUP($G:$G,Structure!$A:$AJ,I$1,0)*$H50,0))</f>
        <v>0</v>
      </c>
      <c r="J50" s="9">
        <f>SUM(IFERROR(VLOOKUP($C:$C,Structure!$A:$AJ,J$1,0)*$D50,0),IFERROR(VLOOKUP($E:$E,Structure!$A:$AJ,J$1,0)*$F50,0),IFERROR(VLOOKUP($G:$G,Structure!$A:$AJ,J$1,0)*$H50,0))</f>
        <v>0</v>
      </c>
      <c r="K50" s="9">
        <f>SUM(IFERROR(VLOOKUP($C:$C,Structure!$A:$AJ,K$1,0)*$D50,0),IFERROR(VLOOKUP($E:$E,Structure!$A:$AJ,K$1,0)*$F50,0),IFERROR(VLOOKUP($G:$G,Structure!$A:$AJ,K$1,0)*$H50,0))</f>
        <v>0</v>
      </c>
      <c r="L50" s="9">
        <f>SUM(IFERROR(VLOOKUP($C:$C,Structure!$A:$AJ,L$1,0)*$D50,0),IFERROR(VLOOKUP($E:$E,Structure!$A:$AJ,L$1,0)*$F50,0),IFERROR(VLOOKUP($G:$G,Structure!$A:$AJ,L$1,0)*$H50,0))</f>
        <v>0</v>
      </c>
      <c r="M50" s="9">
        <f>SUM(IFERROR(VLOOKUP($C:$C,Structure!$A:$AJ,M$1,0)*$D50,0),IFERROR(VLOOKUP($E:$E,Structure!$A:$AJ,M$1,0)*$F50,0),IFERROR(VLOOKUP($G:$G,Structure!$A:$AJ,M$1,0)*$H50,0))</f>
        <v>0</v>
      </c>
      <c r="N50" s="9">
        <f>SUM(IFERROR(VLOOKUP($C:$C,Structure!$A:$AJ,N$1,0)*$D50,0),IFERROR(VLOOKUP($E:$E,Structure!$A:$AJ,N$1,0)*$F50,0),IFERROR(VLOOKUP($G:$G,Structure!$A:$AJ,N$1,0)*$H50,0))</f>
        <v>0</v>
      </c>
      <c r="O50" s="9">
        <f>SUM(IFERROR(VLOOKUP($C:$C,Structure!$A:$AJ,O$1,0)*$D50,0),IFERROR(VLOOKUP($E:$E,Structure!$A:$AJ,O$1,0)*$F50,0),IFERROR(VLOOKUP($G:$G,Structure!$A:$AJ,O$1,0)*$H50,0))</f>
        <v>0</v>
      </c>
      <c r="P50" s="9">
        <f>SUM(IFERROR(VLOOKUP($C:$C,Structure!$A:$AJ,P$1,0)*$D50,0),IFERROR(VLOOKUP($E:$E,Structure!$A:$AJ,P$1,0)*$F50,0),IFERROR(VLOOKUP($G:$G,Structure!$A:$AJ,P$1,0)*$H50,0))</f>
        <v>0</v>
      </c>
      <c r="Q50" s="9">
        <f>SUM(IFERROR(VLOOKUP($C:$C,Structure!$A:$AJ,Q$1,0)*$D50,0),IFERROR(VLOOKUP($E:$E,Structure!$A:$AJ,Q$1,0)*$F50,0),IFERROR(VLOOKUP($G:$G,Structure!$A:$AJ,Q$1,0)*$H50,0))</f>
        <v>0</v>
      </c>
      <c r="R50" s="9">
        <f>SUM(IFERROR(VLOOKUP($C:$C,Structure!$A:$AJ,R$1,0)*$D50,0),IFERROR(VLOOKUP($E:$E,Structure!$A:$AJ,R$1,0)*$F50,0),IFERROR(VLOOKUP($G:$G,Structure!$A:$AJ,R$1,0)*$H50,0))</f>
        <v>0</v>
      </c>
      <c r="S50" s="9">
        <f>SUM(IFERROR(VLOOKUP($C:$C,Structure!$A:$AJ,S$1,0)*$D50,0),IFERROR(VLOOKUP($E:$E,Structure!$A:$AJ,S$1,0)*$F50,0),IFERROR(VLOOKUP($G:$G,Structure!$A:$AJ,S$1,0)*$H50,0))</f>
        <v>0</v>
      </c>
      <c r="T50" s="9">
        <f>SUM(IFERROR(VLOOKUP($C:$C,Structure!$A:$AJ,T$1,0)*$D50,0),IFERROR(VLOOKUP($E:$E,Structure!$A:$AJ,T$1,0)*$F50,0),IFERROR(VLOOKUP($G:$G,Structure!$A:$AJ,T$1,0)*$H50,0))</f>
        <v>0</v>
      </c>
      <c r="U50" s="9">
        <f>SUM(IFERROR(VLOOKUP($C:$C,Structure!$A:$AJ,U$1,0)*$D50,0),IFERROR(VLOOKUP($E:$E,Structure!$A:$AJ,U$1,0)*$F50,0),IFERROR(VLOOKUP($G:$G,Structure!$A:$AJ,U$1,0)*$H50,0))</f>
        <v>0</v>
      </c>
      <c r="V50" s="9">
        <f>SUM(IFERROR(VLOOKUP($C:$C,Structure!$A:$AJ,V$1,0)*$D50,0),IFERROR(VLOOKUP($E:$E,Structure!$A:$AJ,V$1,0)*$F50,0),IFERROR(VLOOKUP($G:$G,Structure!$A:$AJ,V$1,0)*$H50,0))</f>
        <v>8</v>
      </c>
      <c r="W50" s="9">
        <f>SUM(IFERROR(VLOOKUP($C:$C,Structure!$A:$AJ,W$1,0)*$D50,0),IFERROR(VLOOKUP($E:$E,Structure!$A:$AJ,W$1,0)*$F50,0),IFERROR(VLOOKUP($G:$G,Structure!$A:$AJ,W$1,0)*$H50,0))</f>
        <v>0</v>
      </c>
      <c r="X50" s="9">
        <f>SUM(IFERROR(VLOOKUP($C:$C,Structure!$A:$AJ,X$1,0)*$D50,0),IFERROR(VLOOKUP($E:$E,Structure!$A:$AJ,X$1,0)*$F50,0),IFERROR(VLOOKUP($G:$G,Structure!$A:$AJ,X$1,0)*$H50,0))</f>
        <v>0</v>
      </c>
      <c r="Y50" s="9">
        <f>SUM(IFERROR(VLOOKUP($C:$C,Structure!$A:$AJ,Y$1,0)*$D50,0),IFERROR(VLOOKUP($E:$E,Structure!$A:$AJ,Y$1,0)*$F50,0),IFERROR(VLOOKUP($G:$G,Structure!$A:$AJ,Y$1,0)*$H50,0))</f>
        <v>0</v>
      </c>
      <c r="Z50" s="9">
        <f>SUM(IFERROR(VLOOKUP($C:$C,Structure!$A:$AJ,Z$1,0)*$D50,0),IFERROR(VLOOKUP($E:$E,Structure!$A:$AJ,Z$1,0)*$F50,0),IFERROR(VLOOKUP($G:$G,Structure!$A:$AJ,Z$1,0)*$H50,0))</f>
        <v>0</v>
      </c>
      <c r="AA50" s="9">
        <f>SUM(IFERROR(VLOOKUP($C:$C,Structure!$A:$AJ,AA$1,0)*$D50,0),IFERROR(VLOOKUP($E:$E,Structure!$A:$AJ,AA$1,0)*$F50,0),IFERROR(VLOOKUP($G:$G,Structure!$A:$AJ,AA$1,0)*$H50,0))</f>
        <v>0</v>
      </c>
      <c r="AB50" s="9">
        <f>SUM(IFERROR(VLOOKUP($C:$C,Structure!$A:$AJ,AB$1,0)*$D50,0),IFERROR(VLOOKUP($E:$E,Structure!$A:$AJ,AB$1,0)*$F50,0),IFERROR(VLOOKUP($G:$G,Structure!$A:$AJ,AB$1,0)*$H50,0))</f>
        <v>0</v>
      </c>
      <c r="AC50" s="9">
        <f>SUM(IFERROR(VLOOKUP($C:$C,Structure!$A:$AJ,AC$1,0)*$D50,0),IFERROR(VLOOKUP($E:$E,Structure!$A:$AJ,AC$1,0)*$F50,0),IFERROR(VLOOKUP($G:$G,Structure!$A:$AJ,AC$1,0)*$H50,0))</f>
        <v>8</v>
      </c>
      <c r="AD50" s="9">
        <f>SUM(IFERROR(VLOOKUP($C:$C,Structure!$A:$AJ,AD$1,0)*$D50,0),IFERROR(VLOOKUP($E:$E,Structure!$A:$AJ,AD$1,0)*$F50,0),IFERROR(VLOOKUP($G:$G,Structure!$A:$AJ,AD$1,0)*$H50,0))</f>
        <v>0</v>
      </c>
      <c r="AE50" s="9">
        <f>SUM(IFERROR(VLOOKUP($C:$C,Structure!$A:$AJ,AE$1,0)*$D50,0),IFERROR(VLOOKUP($E:$E,Structure!$A:$AJ,AE$1,0)*$F50,0),IFERROR(VLOOKUP($G:$G,Structure!$A:$AJ,AE$1,0)*$H50,0))</f>
        <v>0</v>
      </c>
      <c r="AF50" s="9">
        <f>SUM(IFERROR(VLOOKUP($C:$C,Structure!$A:$AJ,AF$1,0)*$D50,0),IFERROR(VLOOKUP($E:$E,Structure!$A:$AJ,AF$1,0)*$F50,0),IFERROR(VLOOKUP($G:$G,Structure!$A:$AJ,AF$1,0)*$H50,0))</f>
        <v>0</v>
      </c>
      <c r="AG50" s="9">
        <f>SUM(IFERROR(VLOOKUP($C:$C,Structure!$A:$AJ,AG$1,0)*$D50,0),IFERROR(VLOOKUP($E:$E,Structure!$A:$AJ,AG$1,0)*$F50,0),IFERROR(VLOOKUP($G:$G,Structure!$A:$AJ,AG$1,0)*$H50,0))</f>
        <v>0</v>
      </c>
      <c r="AH50" s="9">
        <f>SUM(IFERROR(VLOOKUP($C:$C,Structure!$A:$AJ,AH$1,0)*$D50,0),IFERROR(VLOOKUP($E:$E,Structure!$A:$AJ,AH$1,0)*$F50,0),IFERROR(VLOOKUP($G:$G,Structure!$A:$AJ,AH$1,0)*$H50,0))</f>
        <v>0</v>
      </c>
      <c r="AI50" s="9">
        <f>SUM(IFERROR(VLOOKUP($C:$C,Structure!$A:$AJ,AI$1,0)*$D50,0),IFERROR(VLOOKUP($E:$E,Structure!$A:$AJ,AI$1,0)*$F50,0),IFERROR(VLOOKUP($G:$G,Structure!$A:$AJ,AI$1,0)*$H50,0))</f>
        <v>0</v>
      </c>
      <c r="AJ50" s="9">
        <f>SUM(IFERROR(VLOOKUP($C:$C,Structure!$A:$AJ,AJ$1,0)*$D50,0),IFERROR(VLOOKUP($E:$E,Structure!$A:$AJ,AJ$1,0)*$F50,0),IFERROR(VLOOKUP($G:$G,Structure!$A:$AJ,AJ$1,0)*$H50,0))</f>
        <v>0</v>
      </c>
      <c r="AK50" s="9">
        <f>SUM(IFERROR(VLOOKUP($C:$C,Structure!$A:$AJ,AK$1,0)*$D50,0),IFERROR(VLOOKUP($E:$E,Structure!$A:$AJ,AK$1,0)*$F50,0),IFERROR(VLOOKUP($G:$G,Structure!$A:$AJ,AK$1,0)*$H50,0))</f>
        <v>0</v>
      </c>
      <c r="AL50" s="9">
        <f>SUM(IFERROR(VLOOKUP($C:$C,Structure!$A:$AJ,AL$1,0)*$D50,0),IFERROR(VLOOKUP($E:$E,Structure!$A:$AJ,AL$1,0)*$F50,0),IFERROR(VLOOKUP($G:$G,Structure!$A:$AJ,AL$1,0)*$H50,0))</f>
        <v>0</v>
      </c>
      <c r="AM50" s="9">
        <f>SUM(IFERROR(VLOOKUP($C:$C,Structure!$A:$AJ,AM$1,0)*$D50,0),IFERROR(VLOOKUP($E:$E,Structure!$A:$AJ,AM$1,0)*$F50,0),IFERROR(VLOOKUP($G:$G,Structure!$A:$AJ,AM$1,0)*$H50,0))</f>
        <v>0</v>
      </c>
      <c r="AN50" s="9">
        <f>SUM(IFERROR(VLOOKUP($C:$C,Structure!$A:$AJ,AN$1,0)*$D50,0),IFERROR(VLOOKUP($E:$E,Structure!$A:$AJ,AN$1,0)*$F50,0),IFERROR(VLOOKUP($G:$G,Structure!$A:$AJ,AN$1,0)*$H50,0))</f>
        <v>0</v>
      </c>
      <c r="AO50" s="9">
        <f>SUM(IFERROR(VLOOKUP($C:$C,Structure!$A:$AJ,AO$1,0)*$D50,0),IFERROR(VLOOKUP($E:$E,Structure!$A:$AJ,AO$1,0)*$F50,0),IFERROR(VLOOKUP($G:$G,Structure!$A:$AJ,AO$1,0)*$H50,0))</f>
        <v>0</v>
      </c>
      <c r="AP50" s="9">
        <f>SUM(IFERROR(VLOOKUP($C:$C,Structure!$A:$AJ,AP$1,0)*$D50,0),IFERROR(VLOOKUP($E:$E,Structure!$A:$AJ,AP$1,0)*$F50,0),IFERROR(VLOOKUP($G:$G,Structure!$A:$AJ,AP$1,0)*$H50,0))</f>
        <v>0</v>
      </c>
      <c r="AQ50" s="9">
        <f>SUM(IFERROR(VLOOKUP($C:$C,Structure!$A:$AJ,AQ$1,0)*$D50,0),IFERROR(VLOOKUP($E:$E,Structure!$A:$AJ,AQ$1,0)*$F50,0),IFERROR(VLOOKUP($G:$G,Structure!$A:$AJ,AQ$1,0)*$H50,0))</f>
        <v>0</v>
      </c>
      <c r="AR50" s="21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4">
        <f t="shared" si="57"/>
        <v>0</v>
      </c>
      <c r="CE50" s="4">
        <f t="shared" si="58"/>
        <v>157</v>
      </c>
      <c r="CF50" s="4">
        <f t="shared" si="59"/>
        <v>4</v>
      </c>
      <c r="CG50" s="4">
        <f t="shared" si="60"/>
        <v>23</v>
      </c>
      <c r="CH50" s="4">
        <f t="shared" si="61"/>
        <v>1</v>
      </c>
      <c r="CI50" s="4">
        <f t="shared" si="62"/>
        <v>51</v>
      </c>
      <c r="CJ50" s="4">
        <f t="shared" si="63"/>
        <v>-19</v>
      </c>
      <c r="CK50" s="4">
        <f t="shared" si="64"/>
        <v>286</v>
      </c>
      <c r="CL50" s="4">
        <f t="shared" si="65"/>
        <v>0</v>
      </c>
      <c r="CM50" s="4">
        <f t="shared" si="66"/>
        <v>4</v>
      </c>
      <c r="CN50" s="4">
        <f t="shared" si="67"/>
        <v>19</v>
      </c>
      <c r="CO50" s="4">
        <f t="shared" si="68"/>
        <v>0</v>
      </c>
      <c r="CP50" s="4">
        <f t="shared" si="69"/>
        <v>5</v>
      </c>
      <c r="CQ50" s="4">
        <f t="shared" si="70"/>
        <v>-97</v>
      </c>
      <c r="CR50" s="4">
        <f t="shared" si="71"/>
        <v>34</v>
      </c>
      <c r="CS50" s="4">
        <f t="shared" si="72"/>
        <v>0</v>
      </c>
      <c r="CT50" s="4">
        <f t="shared" si="73"/>
        <v>0</v>
      </c>
      <c r="CU50" s="4">
        <f t="shared" si="74"/>
        <v>0</v>
      </c>
      <c r="CV50" s="4">
        <f t="shared" si="75"/>
        <v>0</v>
      </c>
      <c r="CW50" s="4">
        <f t="shared" si="76"/>
        <v>0</v>
      </c>
      <c r="CX50" s="4">
        <f t="shared" si="77"/>
        <v>-77</v>
      </c>
      <c r="CY50" s="4">
        <f t="shared" si="78"/>
        <v>0</v>
      </c>
      <c r="CZ50" s="4">
        <f t="shared" si="79"/>
        <v>0</v>
      </c>
      <c r="DA50" s="4">
        <f t="shared" si="80"/>
        <v>0</v>
      </c>
      <c r="DB50" s="4">
        <f t="shared" si="81"/>
        <v>0</v>
      </c>
      <c r="DC50" s="4">
        <f t="shared" si="82"/>
        <v>0</v>
      </c>
      <c r="DD50" s="4">
        <f t="shared" si="83"/>
        <v>0</v>
      </c>
      <c r="DE50" s="4">
        <f t="shared" si="84"/>
        <v>0</v>
      </c>
      <c r="DF50" s="4">
        <f t="shared" si="85"/>
        <v>0</v>
      </c>
      <c r="DG50" s="4">
        <f t="shared" si="86"/>
        <v>0</v>
      </c>
      <c r="DH50" s="4">
        <f t="shared" si="87"/>
        <v>0</v>
      </c>
      <c r="DI50" s="4">
        <f t="shared" si="88"/>
        <v>0</v>
      </c>
      <c r="DJ50" s="4">
        <f t="shared" si="89"/>
        <v>0</v>
      </c>
      <c r="DK50" s="4">
        <f t="shared" si="90"/>
        <v>0</v>
      </c>
      <c r="DL50" s="4">
        <f t="shared" si="91"/>
        <v>0</v>
      </c>
    </row>
    <row r="51" spans="1:116" x14ac:dyDescent="0.25">
      <c r="A51" s="5">
        <v>46184</v>
      </c>
      <c r="B51" s="6">
        <v>0.31250000011641532</v>
      </c>
      <c r="C51" s="3"/>
      <c r="D51" s="3"/>
      <c r="E51" s="3" t="s">
        <v>38</v>
      </c>
      <c r="F51" s="3">
        <v>8</v>
      </c>
      <c r="G51" s="3"/>
      <c r="H51" s="9"/>
      <c r="I51" s="9">
        <f>SUM(IFERROR(VLOOKUP($C:$C,Structure!$A:$AJ,I$1,0)*$D51,0),IFERROR(VLOOKUP($E:$E,Structure!$A:$AJ,I$1,0)*$F51,0),IFERROR(VLOOKUP($G:$G,Structure!$A:$AJ,I$1,0)*$H51,0))</f>
        <v>0</v>
      </c>
      <c r="J51" s="9">
        <f>SUM(IFERROR(VLOOKUP($C:$C,Structure!$A:$AJ,J$1,0)*$D51,0),IFERROR(VLOOKUP($E:$E,Structure!$A:$AJ,J$1,0)*$F51,0),IFERROR(VLOOKUP($G:$G,Structure!$A:$AJ,J$1,0)*$H51,0))</f>
        <v>8</v>
      </c>
      <c r="K51" s="9">
        <f>SUM(IFERROR(VLOOKUP($C:$C,Structure!$A:$AJ,K$1,0)*$D51,0),IFERROR(VLOOKUP($E:$E,Structure!$A:$AJ,K$1,0)*$F51,0),IFERROR(VLOOKUP($G:$G,Structure!$A:$AJ,K$1,0)*$H51,0))</f>
        <v>0</v>
      </c>
      <c r="L51" s="9">
        <f>SUM(IFERROR(VLOOKUP($C:$C,Structure!$A:$AJ,L$1,0)*$D51,0),IFERROR(VLOOKUP($E:$E,Structure!$A:$AJ,L$1,0)*$F51,0),IFERROR(VLOOKUP($G:$G,Structure!$A:$AJ,L$1,0)*$H51,0))</f>
        <v>0</v>
      </c>
      <c r="M51" s="9">
        <f>SUM(IFERROR(VLOOKUP($C:$C,Structure!$A:$AJ,M$1,0)*$D51,0),IFERROR(VLOOKUP($E:$E,Structure!$A:$AJ,M$1,0)*$F51,0),IFERROR(VLOOKUP($G:$G,Structure!$A:$AJ,M$1,0)*$H51,0))</f>
        <v>0</v>
      </c>
      <c r="N51" s="9">
        <f>SUM(IFERROR(VLOOKUP($C:$C,Structure!$A:$AJ,N$1,0)*$D51,0),IFERROR(VLOOKUP($E:$E,Structure!$A:$AJ,N$1,0)*$F51,0),IFERROR(VLOOKUP($G:$G,Structure!$A:$AJ,N$1,0)*$H51,0))</f>
        <v>0</v>
      </c>
      <c r="O51" s="9">
        <f>SUM(IFERROR(VLOOKUP($C:$C,Structure!$A:$AJ,O$1,0)*$D51,0),IFERROR(VLOOKUP($E:$E,Structure!$A:$AJ,O$1,0)*$F51,0),IFERROR(VLOOKUP($G:$G,Structure!$A:$AJ,O$1,0)*$H51,0))</f>
        <v>0</v>
      </c>
      <c r="P51" s="9">
        <f>SUM(IFERROR(VLOOKUP($C:$C,Structure!$A:$AJ,P$1,0)*$D51,0),IFERROR(VLOOKUP($E:$E,Structure!$A:$AJ,P$1,0)*$F51,0),IFERROR(VLOOKUP($G:$G,Structure!$A:$AJ,P$1,0)*$H51,0))</f>
        <v>8</v>
      </c>
      <c r="Q51" s="9">
        <f>SUM(IFERROR(VLOOKUP($C:$C,Structure!$A:$AJ,Q$1,0)*$D51,0),IFERROR(VLOOKUP($E:$E,Structure!$A:$AJ,Q$1,0)*$F51,0),IFERROR(VLOOKUP($G:$G,Structure!$A:$AJ,Q$1,0)*$H51,0))</f>
        <v>0</v>
      </c>
      <c r="R51" s="9">
        <f>SUM(IFERROR(VLOOKUP($C:$C,Structure!$A:$AJ,R$1,0)*$D51,0),IFERROR(VLOOKUP($E:$E,Structure!$A:$AJ,R$1,0)*$F51,0),IFERROR(VLOOKUP($G:$G,Structure!$A:$AJ,R$1,0)*$H51,0))</f>
        <v>0</v>
      </c>
      <c r="S51" s="9">
        <f>SUM(IFERROR(VLOOKUP($C:$C,Structure!$A:$AJ,S$1,0)*$D51,0),IFERROR(VLOOKUP($E:$E,Structure!$A:$AJ,S$1,0)*$F51,0),IFERROR(VLOOKUP($G:$G,Structure!$A:$AJ,S$1,0)*$H51,0))</f>
        <v>0</v>
      </c>
      <c r="T51" s="9">
        <f>SUM(IFERROR(VLOOKUP($C:$C,Structure!$A:$AJ,T$1,0)*$D51,0),IFERROR(VLOOKUP($E:$E,Structure!$A:$AJ,T$1,0)*$F51,0),IFERROR(VLOOKUP($G:$G,Structure!$A:$AJ,T$1,0)*$H51,0))</f>
        <v>0</v>
      </c>
      <c r="U51" s="9">
        <f>SUM(IFERROR(VLOOKUP($C:$C,Structure!$A:$AJ,U$1,0)*$D51,0),IFERROR(VLOOKUP($E:$E,Structure!$A:$AJ,U$1,0)*$F51,0),IFERROR(VLOOKUP($G:$G,Structure!$A:$AJ,U$1,0)*$H51,0))</f>
        <v>0</v>
      </c>
      <c r="V51" s="9">
        <f>SUM(IFERROR(VLOOKUP($C:$C,Structure!$A:$AJ,V$1,0)*$D51,0),IFERROR(VLOOKUP($E:$E,Structure!$A:$AJ,V$1,0)*$F51,0),IFERROR(VLOOKUP($G:$G,Structure!$A:$AJ,V$1,0)*$H51,0))</f>
        <v>0</v>
      </c>
      <c r="W51" s="9">
        <f>SUM(IFERROR(VLOOKUP($C:$C,Structure!$A:$AJ,W$1,0)*$D51,0),IFERROR(VLOOKUP($E:$E,Structure!$A:$AJ,W$1,0)*$F51,0),IFERROR(VLOOKUP($G:$G,Structure!$A:$AJ,W$1,0)*$H51,0))</f>
        <v>0</v>
      </c>
      <c r="X51" s="9">
        <f>SUM(IFERROR(VLOOKUP($C:$C,Structure!$A:$AJ,X$1,0)*$D51,0),IFERROR(VLOOKUP($E:$E,Structure!$A:$AJ,X$1,0)*$F51,0),IFERROR(VLOOKUP($G:$G,Structure!$A:$AJ,X$1,0)*$H51,0))</f>
        <v>0</v>
      </c>
      <c r="Y51" s="9">
        <f>SUM(IFERROR(VLOOKUP($C:$C,Structure!$A:$AJ,Y$1,0)*$D51,0),IFERROR(VLOOKUP($E:$E,Structure!$A:$AJ,Y$1,0)*$F51,0),IFERROR(VLOOKUP($G:$G,Structure!$A:$AJ,Y$1,0)*$H51,0))</f>
        <v>0</v>
      </c>
      <c r="Z51" s="9">
        <f>SUM(IFERROR(VLOOKUP($C:$C,Structure!$A:$AJ,Z$1,0)*$D51,0),IFERROR(VLOOKUP($E:$E,Structure!$A:$AJ,Z$1,0)*$F51,0),IFERROR(VLOOKUP($G:$G,Structure!$A:$AJ,Z$1,0)*$H51,0))</f>
        <v>0</v>
      </c>
      <c r="AA51" s="9">
        <f>SUM(IFERROR(VLOOKUP($C:$C,Structure!$A:$AJ,AA$1,0)*$D51,0),IFERROR(VLOOKUP($E:$E,Structure!$A:$AJ,AA$1,0)*$F51,0),IFERROR(VLOOKUP($G:$G,Structure!$A:$AJ,AA$1,0)*$H51,0))</f>
        <v>0</v>
      </c>
      <c r="AB51" s="9">
        <f>SUM(IFERROR(VLOOKUP($C:$C,Structure!$A:$AJ,AB$1,0)*$D51,0),IFERROR(VLOOKUP($E:$E,Structure!$A:$AJ,AB$1,0)*$F51,0),IFERROR(VLOOKUP($G:$G,Structure!$A:$AJ,AB$1,0)*$H51,0))</f>
        <v>0</v>
      </c>
      <c r="AC51" s="9">
        <f>SUM(IFERROR(VLOOKUP($C:$C,Structure!$A:$AJ,AC$1,0)*$D51,0),IFERROR(VLOOKUP($E:$E,Structure!$A:$AJ,AC$1,0)*$F51,0),IFERROR(VLOOKUP($G:$G,Structure!$A:$AJ,AC$1,0)*$H51,0))</f>
        <v>0</v>
      </c>
      <c r="AD51" s="9">
        <f>SUM(IFERROR(VLOOKUP($C:$C,Structure!$A:$AJ,AD$1,0)*$D51,0),IFERROR(VLOOKUP($E:$E,Structure!$A:$AJ,AD$1,0)*$F51,0),IFERROR(VLOOKUP($G:$G,Structure!$A:$AJ,AD$1,0)*$H51,0))</f>
        <v>0</v>
      </c>
      <c r="AE51" s="9">
        <f>SUM(IFERROR(VLOOKUP($C:$C,Structure!$A:$AJ,AE$1,0)*$D51,0),IFERROR(VLOOKUP($E:$E,Structure!$A:$AJ,AE$1,0)*$F51,0),IFERROR(VLOOKUP($G:$G,Structure!$A:$AJ,AE$1,0)*$H51,0))</f>
        <v>0</v>
      </c>
      <c r="AF51" s="9">
        <f>SUM(IFERROR(VLOOKUP($C:$C,Structure!$A:$AJ,AF$1,0)*$D51,0),IFERROR(VLOOKUP($E:$E,Structure!$A:$AJ,AF$1,0)*$F51,0),IFERROR(VLOOKUP($G:$G,Structure!$A:$AJ,AF$1,0)*$H51,0))</f>
        <v>0</v>
      </c>
      <c r="AG51" s="9">
        <f>SUM(IFERROR(VLOOKUP($C:$C,Structure!$A:$AJ,AG$1,0)*$D51,0),IFERROR(VLOOKUP($E:$E,Structure!$A:$AJ,AG$1,0)*$F51,0),IFERROR(VLOOKUP($G:$G,Structure!$A:$AJ,AG$1,0)*$H51,0))</f>
        <v>0</v>
      </c>
      <c r="AH51" s="9">
        <f>SUM(IFERROR(VLOOKUP($C:$C,Structure!$A:$AJ,AH$1,0)*$D51,0),IFERROR(VLOOKUP($E:$E,Structure!$A:$AJ,AH$1,0)*$F51,0),IFERROR(VLOOKUP($G:$G,Structure!$A:$AJ,AH$1,0)*$H51,0))</f>
        <v>0</v>
      </c>
      <c r="AI51" s="9">
        <f>SUM(IFERROR(VLOOKUP($C:$C,Structure!$A:$AJ,AI$1,0)*$D51,0),IFERROR(VLOOKUP($E:$E,Structure!$A:$AJ,AI$1,0)*$F51,0),IFERROR(VLOOKUP($G:$G,Structure!$A:$AJ,AI$1,0)*$H51,0))</f>
        <v>0</v>
      </c>
      <c r="AJ51" s="9">
        <f>SUM(IFERROR(VLOOKUP($C:$C,Structure!$A:$AJ,AJ$1,0)*$D51,0),IFERROR(VLOOKUP($E:$E,Structure!$A:$AJ,AJ$1,0)*$F51,0),IFERROR(VLOOKUP($G:$G,Structure!$A:$AJ,AJ$1,0)*$H51,0))</f>
        <v>0</v>
      </c>
      <c r="AK51" s="9">
        <f>SUM(IFERROR(VLOOKUP($C:$C,Structure!$A:$AJ,AK$1,0)*$D51,0),IFERROR(VLOOKUP($E:$E,Structure!$A:$AJ,AK$1,0)*$F51,0),IFERROR(VLOOKUP($G:$G,Structure!$A:$AJ,AK$1,0)*$H51,0))</f>
        <v>0</v>
      </c>
      <c r="AL51" s="9">
        <f>SUM(IFERROR(VLOOKUP($C:$C,Structure!$A:$AJ,AL$1,0)*$D51,0),IFERROR(VLOOKUP($E:$E,Structure!$A:$AJ,AL$1,0)*$F51,0),IFERROR(VLOOKUP($G:$G,Structure!$A:$AJ,AL$1,0)*$H51,0))</f>
        <v>0</v>
      </c>
      <c r="AM51" s="9">
        <f>SUM(IFERROR(VLOOKUP($C:$C,Structure!$A:$AJ,AM$1,0)*$D51,0),IFERROR(VLOOKUP($E:$E,Structure!$A:$AJ,AM$1,0)*$F51,0),IFERROR(VLOOKUP($G:$G,Structure!$A:$AJ,AM$1,0)*$H51,0))</f>
        <v>0</v>
      </c>
      <c r="AN51" s="9">
        <f>SUM(IFERROR(VLOOKUP($C:$C,Structure!$A:$AJ,AN$1,0)*$D51,0),IFERROR(VLOOKUP($E:$E,Structure!$A:$AJ,AN$1,0)*$F51,0),IFERROR(VLOOKUP($G:$G,Structure!$A:$AJ,AN$1,0)*$H51,0))</f>
        <v>0</v>
      </c>
      <c r="AO51" s="9">
        <f>SUM(IFERROR(VLOOKUP($C:$C,Structure!$A:$AJ,AO$1,0)*$D51,0),IFERROR(VLOOKUP($E:$E,Structure!$A:$AJ,AO$1,0)*$F51,0),IFERROR(VLOOKUP($G:$G,Structure!$A:$AJ,AO$1,0)*$H51,0))</f>
        <v>0</v>
      </c>
      <c r="AP51" s="9">
        <f>SUM(IFERROR(VLOOKUP($C:$C,Structure!$A:$AJ,AP$1,0)*$D51,0),IFERROR(VLOOKUP($E:$E,Structure!$A:$AJ,AP$1,0)*$F51,0),IFERROR(VLOOKUP($G:$G,Structure!$A:$AJ,AP$1,0)*$H51,0))</f>
        <v>0</v>
      </c>
      <c r="AQ51" s="9">
        <f>SUM(IFERROR(VLOOKUP($C:$C,Structure!$A:$AJ,AQ$1,0)*$D51,0),IFERROR(VLOOKUP($E:$E,Structure!$A:$AJ,AQ$1,0)*$F51,0),IFERROR(VLOOKUP($G:$G,Structure!$A:$AJ,AQ$1,0)*$H51,0))</f>
        <v>0</v>
      </c>
      <c r="AR51" s="21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4">
        <f t="shared" si="57"/>
        <v>0</v>
      </c>
      <c r="CE51" s="4">
        <f t="shared" si="58"/>
        <v>149</v>
      </c>
      <c r="CF51" s="4">
        <f t="shared" si="59"/>
        <v>4</v>
      </c>
      <c r="CG51" s="4">
        <f t="shared" si="60"/>
        <v>23</v>
      </c>
      <c r="CH51" s="4">
        <f t="shared" si="61"/>
        <v>1</v>
      </c>
      <c r="CI51" s="4">
        <f t="shared" si="62"/>
        <v>51</v>
      </c>
      <c r="CJ51" s="4">
        <f t="shared" si="63"/>
        <v>-19</v>
      </c>
      <c r="CK51" s="4">
        <f t="shared" si="64"/>
        <v>278</v>
      </c>
      <c r="CL51" s="4">
        <f t="shared" si="65"/>
        <v>0</v>
      </c>
      <c r="CM51" s="4">
        <f t="shared" si="66"/>
        <v>4</v>
      </c>
      <c r="CN51" s="4">
        <f t="shared" si="67"/>
        <v>19</v>
      </c>
      <c r="CO51" s="4">
        <f t="shared" si="68"/>
        <v>0</v>
      </c>
      <c r="CP51" s="4">
        <f t="shared" si="69"/>
        <v>5</v>
      </c>
      <c r="CQ51" s="4">
        <f t="shared" si="70"/>
        <v>-97</v>
      </c>
      <c r="CR51" s="4">
        <f t="shared" si="71"/>
        <v>34</v>
      </c>
      <c r="CS51" s="4">
        <f t="shared" si="72"/>
        <v>0</v>
      </c>
      <c r="CT51" s="4">
        <f t="shared" si="73"/>
        <v>0</v>
      </c>
      <c r="CU51" s="4">
        <f t="shared" si="74"/>
        <v>0</v>
      </c>
      <c r="CV51" s="4">
        <f t="shared" si="75"/>
        <v>0</v>
      </c>
      <c r="CW51" s="4">
        <f t="shared" si="76"/>
        <v>0</v>
      </c>
      <c r="CX51" s="4">
        <f t="shared" si="77"/>
        <v>-77</v>
      </c>
      <c r="CY51" s="4">
        <f t="shared" si="78"/>
        <v>0</v>
      </c>
      <c r="CZ51" s="4">
        <f t="shared" si="79"/>
        <v>0</v>
      </c>
      <c r="DA51" s="4">
        <f t="shared" si="80"/>
        <v>0</v>
      </c>
      <c r="DB51" s="4">
        <f t="shared" si="81"/>
        <v>0</v>
      </c>
      <c r="DC51" s="4">
        <f t="shared" si="82"/>
        <v>0</v>
      </c>
      <c r="DD51" s="4">
        <f t="shared" si="83"/>
        <v>0</v>
      </c>
      <c r="DE51" s="4">
        <f t="shared" si="84"/>
        <v>0</v>
      </c>
      <c r="DF51" s="4">
        <f t="shared" si="85"/>
        <v>0</v>
      </c>
      <c r="DG51" s="4">
        <f t="shared" si="86"/>
        <v>0</v>
      </c>
      <c r="DH51" s="4">
        <f t="shared" si="87"/>
        <v>0</v>
      </c>
      <c r="DI51" s="4">
        <f t="shared" si="88"/>
        <v>0</v>
      </c>
      <c r="DJ51" s="4">
        <f t="shared" si="89"/>
        <v>0</v>
      </c>
      <c r="DK51" s="4">
        <f t="shared" si="90"/>
        <v>0</v>
      </c>
      <c r="DL51" s="4">
        <f t="shared" si="91"/>
        <v>0</v>
      </c>
    </row>
    <row r="52" spans="1:116" x14ac:dyDescent="0.25">
      <c r="A52" s="5">
        <v>46184</v>
      </c>
      <c r="B52" s="6">
        <v>0.33333333345217397</v>
      </c>
      <c r="C52" s="3"/>
      <c r="D52" s="3"/>
      <c r="E52" s="3" t="s">
        <v>38</v>
      </c>
      <c r="F52" s="3">
        <v>8</v>
      </c>
      <c r="G52" s="3"/>
      <c r="H52" s="9"/>
      <c r="I52" s="9">
        <f>SUM(IFERROR(VLOOKUP($C:$C,Structure!$A:$AJ,I$1,0)*$D52,0),IFERROR(VLOOKUP($E:$E,Structure!$A:$AJ,I$1,0)*$F52,0),IFERROR(VLOOKUP($G:$G,Structure!$A:$AJ,I$1,0)*$H52,0))</f>
        <v>0</v>
      </c>
      <c r="J52" s="9">
        <f>SUM(IFERROR(VLOOKUP($C:$C,Structure!$A:$AJ,J$1,0)*$D52,0),IFERROR(VLOOKUP($E:$E,Structure!$A:$AJ,J$1,0)*$F52,0),IFERROR(VLOOKUP($G:$G,Structure!$A:$AJ,J$1,0)*$H52,0))</f>
        <v>8</v>
      </c>
      <c r="K52" s="9">
        <f>SUM(IFERROR(VLOOKUP($C:$C,Structure!$A:$AJ,K$1,0)*$D52,0),IFERROR(VLOOKUP($E:$E,Structure!$A:$AJ,K$1,0)*$F52,0),IFERROR(VLOOKUP($G:$G,Structure!$A:$AJ,K$1,0)*$H52,0))</f>
        <v>0</v>
      </c>
      <c r="L52" s="9">
        <f>SUM(IFERROR(VLOOKUP($C:$C,Structure!$A:$AJ,L$1,0)*$D52,0),IFERROR(VLOOKUP($E:$E,Structure!$A:$AJ,L$1,0)*$F52,0),IFERROR(VLOOKUP($G:$G,Structure!$A:$AJ,L$1,0)*$H52,0))</f>
        <v>0</v>
      </c>
      <c r="M52" s="9">
        <f>SUM(IFERROR(VLOOKUP($C:$C,Structure!$A:$AJ,M$1,0)*$D52,0),IFERROR(VLOOKUP($E:$E,Structure!$A:$AJ,M$1,0)*$F52,0),IFERROR(VLOOKUP($G:$G,Structure!$A:$AJ,M$1,0)*$H52,0))</f>
        <v>0</v>
      </c>
      <c r="N52" s="9">
        <f>SUM(IFERROR(VLOOKUP($C:$C,Structure!$A:$AJ,N$1,0)*$D52,0),IFERROR(VLOOKUP($E:$E,Structure!$A:$AJ,N$1,0)*$F52,0),IFERROR(VLOOKUP($G:$G,Structure!$A:$AJ,N$1,0)*$H52,0))</f>
        <v>0</v>
      </c>
      <c r="O52" s="9">
        <f>SUM(IFERROR(VLOOKUP($C:$C,Structure!$A:$AJ,O$1,0)*$D52,0),IFERROR(VLOOKUP($E:$E,Structure!$A:$AJ,O$1,0)*$F52,0),IFERROR(VLOOKUP($G:$G,Structure!$A:$AJ,O$1,0)*$H52,0))</f>
        <v>0</v>
      </c>
      <c r="P52" s="9">
        <f>SUM(IFERROR(VLOOKUP($C:$C,Structure!$A:$AJ,P$1,0)*$D52,0),IFERROR(VLOOKUP($E:$E,Structure!$A:$AJ,P$1,0)*$F52,0),IFERROR(VLOOKUP($G:$G,Structure!$A:$AJ,P$1,0)*$H52,0))</f>
        <v>8</v>
      </c>
      <c r="Q52" s="9">
        <f>SUM(IFERROR(VLOOKUP($C:$C,Structure!$A:$AJ,Q$1,0)*$D52,0),IFERROR(VLOOKUP($E:$E,Structure!$A:$AJ,Q$1,0)*$F52,0),IFERROR(VLOOKUP($G:$G,Structure!$A:$AJ,Q$1,0)*$H52,0))</f>
        <v>0</v>
      </c>
      <c r="R52" s="9">
        <f>SUM(IFERROR(VLOOKUP($C:$C,Structure!$A:$AJ,R$1,0)*$D52,0),IFERROR(VLOOKUP($E:$E,Structure!$A:$AJ,R$1,0)*$F52,0),IFERROR(VLOOKUP($G:$G,Structure!$A:$AJ,R$1,0)*$H52,0))</f>
        <v>0</v>
      </c>
      <c r="S52" s="9">
        <f>SUM(IFERROR(VLOOKUP($C:$C,Structure!$A:$AJ,S$1,0)*$D52,0),IFERROR(VLOOKUP($E:$E,Structure!$A:$AJ,S$1,0)*$F52,0),IFERROR(VLOOKUP($G:$G,Structure!$A:$AJ,S$1,0)*$H52,0))</f>
        <v>0</v>
      </c>
      <c r="T52" s="9">
        <f>SUM(IFERROR(VLOOKUP($C:$C,Structure!$A:$AJ,T$1,0)*$D52,0),IFERROR(VLOOKUP($E:$E,Structure!$A:$AJ,T$1,0)*$F52,0),IFERROR(VLOOKUP($G:$G,Structure!$A:$AJ,T$1,0)*$H52,0))</f>
        <v>0</v>
      </c>
      <c r="U52" s="9">
        <f>SUM(IFERROR(VLOOKUP($C:$C,Structure!$A:$AJ,U$1,0)*$D52,0),IFERROR(VLOOKUP($E:$E,Structure!$A:$AJ,U$1,0)*$F52,0),IFERROR(VLOOKUP($G:$G,Structure!$A:$AJ,U$1,0)*$H52,0))</f>
        <v>0</v>
      </c>
      <c r="V52" s="9">
        <f>SUM(IFERROR(VLOOKUP($C:$C,Structure!$A:$AJ,V$1,0)*$D52,0),IFERROR(VLOOKUP($E:$E,Structure!$A:$AJ,V$1,0)*$F52,0),IFERROR(VLOOKUP($G:$G,Structure!$A:$AJ,V$1,0)*$H52,0))</f>
        <v>0</v>
      </c>
      <c r="W52" s="9">
        <f>SUM(IFERROR(VLOOKUP($C:$C,Structure!$A:$AJ,W$1,0)*$D52,0),IFERROR(VLOOKUP($E:$E,Structure!$A:$AJ,W$1,0)*$F52,0),IFERROR(VLOOKUP($G:$G,Structure!$A:$AJ,W$1,0)*$H52,0))</f>
        <v>0</v>
      </c>
      <c r="X52" s="9">
        <f>SUM(IFERROR(VLOOKUP($C:$C,Structure!$A:$AJ,X$1,0)*$D52,0),IFERROR(VLOOKUP($E:$E,Structure!$A:$AJ,X$1,0)*$F52,0),IFERROR(VLOOKUP($G:$G,Structure!$A:$AJ,X$1,0)*$H52,0))</f>
        <v>0</v>
      </c>
      <c r="Y52" s="9">
        <f>SUM(IFERROR(VLOOKUP($C:$C,Structure!$A:$AJ,Y$1,0)*$D52,0),IFERROR(VLOOKUP($E:$E,Structure!$A:$AJ,Y$1,0)*$F52,0),IFERROR(VLOOKUP($G:$G,Structure!$A:$AJ,Y$1,0)*$H52,0))</f>
        <v>0</v>
      </c>
      <c r="Z52" s="9">
        <f>SUM(IFERROR(VLOOKUP($C:$C,Structure!$A:$AJ,Z$1,0)*$D52,0),IFERROR(VLOOKUP($E:$E,Structure!$A:$AJ,Z$1,0)*$F52,0),IFERROR(VLOOKUP($G:$G,Structure!$A:$AJ,Z$1,0)*$H52,0))</f>
        <v>0</v>
      </c>
      <c r="AA52" s="9">
        <f>SUM(IFERROR(VLOOKUP($C:$C,Structure!$A:$AJ,AA$1,0)*$D52,0),IFERROR(VLOOKUP($E:$E,Structure!$A:$AJ,AA$1,0)*$F52,0),IFERROR(VLOOKUP($G:$G,Structure!$A:$AJ,AA$1,0)*$H52,0))</f>
        <v>0</v>
      </c>
      <c r="AB52" s="9">
        <f>SUM(IFERROR(VLOOKUP($C:$C,Structure!$A:$AJ,AB$1,0)*$D52,0),IFERROR(VLOOKUP($E:$E,Structure!$A:$AJ,AB$1,0)*$F52,0),IFERROR(VLOOKUP($G:$G,Structure!$A:$AJ,AB$1,0)*$H52,0))</f>
        <v>0</v>
      </c>
      <c r="AC52" s="9">
        <f>SUM(IFERROR(VLOOKUP($C:$C,Structure!$A:$AJ,AC$1,0)*$D52,0),IFERROR(VLOOKUP($E:$E,Structure!$A:$AJ,AC$1,0)*$F52,0),IFERROR(VLOOKUP($G:$G,Structure!$A:$AJ,AC$1,0)*$H52,0))</f>
        <v>0</v>
      </c>
      <c r="AD52" s="9">
        <f>SUM(IFERROR(VLOOKUP($C:$C,Structure!$A:$AJ,AD$1,0)*$D52,0),IFERROR(VLOOKUP($E:$E,Structure!$A:$AJ,AD$1,0)*$F52,0),IFERROR(VLOOKUP($G:$G,Structure!$A:$AJ,AD$1,0)*$H52,0))</f>
        <v>0</v>
      </c>
      <c r="AE52" s="9">
        <f>SUM(IFERROR(VLOOKUP($C:$C,Structure!$A:$AJ,AE$1,0)*$D52,0),IFERROR(VLOOKUP($E:$E,Structure!$A:$AJ,AE$1,0)*$F52,0),IFERROR(VLOOKUP($G:$G,Structure!$A:$AJ,AE$1,0)*$H52,0))</f>
        <v>0</v>
      </c>
      <c r="AF52" s="9">
        <f>SUM(IFERROR(VLOOKUP($C:$C,Structure!$A:$AJ,AF$1,0)*$D52,0),IFERROR(VLOOKUP($E:$E,Structure!$A:$AJ,AF$1,0)*$F52,0),IFERROR(VLOOKUP($G:$G,Structure!$A:$AJ,AF$1,0)*$H52,0))</f>
        <v>0</v>
      </c>
      <c r="AG52" s="9">
        <f>SUM(IFERROR(VLOOKUP($C:$C,Structure!$A:$AJ,AG$1,0)*$D52,0),IFERROR(VLOOKUP($E:$E,Structure!$A:$AJ,AG$1,0)*$F52,0),IFERROR(VLOOKUP($G:$G,Structure!$A:$AJ,AG$1,0)*$H52,0))</f>
        <v>0</v>
      </c>
      <c r="AH52" s="9">
        <f>SUM(IFERROR(VLOOKUP($C:$C,Structure!$A:$AJ,AH$1,0)*$D52,0),IFERROR(VLOOKUP($E:$E,Structure!$A:$AJ,AH$1,0)*$F52,0),IFERROR(VLOOKUP($G:$G,Structure!$A:$AJ,AH$1,0)*$H52,0))</f>
        <v>0</v>
      </c>
      <c r="AI52" s="9">
        <f>SUM(IFERROR(VLOOKUP($C:$C,Structure!$A:$AJ,AI$1,0)*$D52,0),IFERROR(VLOOKUP($E:$E,Structure!$A:$AJ,AI$1,0)*$F52,0),IFERROR(VLOOKUP($G:$G,Structure!$A:$AJ,AI$1,0)*$H52,0))</f>
        <v>0</v>
      </c>
      <c r="AJ52" s="9">
        <f>SUM(IFERROR(VLOOKUP($C:$C,Structure!$A:$AJ,AJ$1,0)*$D52,0),IFERROR(VLOOKUP($E:$E,Structure!$A:$AJ,AJ$1,0)*$F52,0),IFERROR(VLOOKUP($G:$G,Structure!$A:$AJ,AJ$1,0)*$H52,0))</f>
        <v>0</v>
      </c>
      <c r="AK52" s="9">
        <f>SUM(IFERROR(VLOOKUP($C:$C,Structure!$A:$AJ,AK$1,0)*$D52,0),IFERROR(VLOOKUP($E:$E,Structure!$A:$AJ,AK$1,0)*$F52,0),IFERROR(VLOOKUP($G:$G,Structure!$A:$AJ,AK$1,0)*$H52,0))</f>
        <v>0</v>
      </c>
      <c r="AL52" s="9">
        <f>SUM(IFERROR(VLOOKUP($C:$C,Structure!$A:$AJ,AL$1,0)*$D52,0),IFERROR(VLOOKUP($E:$E,Structure!$A:$AJ,AL$1,0)*$F52,0),IFERROR(VLOOKUP($G:$G,Structure!$A:$AJ,AL$1,0)*$H52,0))</f>
        <v>0</v>
      </c>
      <c r="AM52" s="9">
        <f>SUM(IFERROR(VLOOKUP($C:$C,Structure!$A:$AJ,AM$1,0)*$D52,0),IFERROR(VLOOKUP($E:$E,Structure!$A:$AJ,AM$1,0)*$F52,0),IFERROR(VLOOKUP($G:$G,Structure!$A:$AJ,AM$1,0)*$H52,0))</f>
        <v>0</v>
      </c>
      <c r="AN52" s="9">
        <f>SUM(IFERROR(VLOOKUP($C:$C,Structure!$A:$AJ,AN$1,0)*$D52,0),IFERROR(VLOOKUP($E:$E,Structure!$A:$AJ,AN$1,0)*$F52,0),IFERROR(VLOOKUP($G:$G,Structure!$A:$AJ,AN$1,0)*$H52,0))</f>
        <v>0</v>
      </c>
      <c r="AO52" s="9">
        <f>SUM(IFERROR(VLOOKUP($C:$C,Structure!$A:$AJ,AO$1,0)*$D52,0),IFERROR(VLOOKUP($E:$E,Structure!$A:$AJ,AO$1,0)*$F52,0),IFERROR(VLOOKUP($G:$G,Structure!$A:$AJ,AO$1,0)*$H52,0))</f>
        <v>0</v>
      </c>
      <c r="AP52" s="9">
        <f>SUM(IFERROR(VLOOKUP($C:$C,Structure!$A:$AJ,AP$1,0)*$D52,0),IFERROR(VLOOKUP($E:$E,Structure!$A:$AJ,AP$1,0)*$F52,0),IFERROR(VLOOKUP($G:$G,Structure!$A:$AJ,AP$1,0)*$H52,0))</f>
        <v>0</v>
      </c>
      <c r="AQ52" s="9">
        <f>SUM(IFERROR(VLOOKUP($C:$C,Structure!$A:$AJ,AQ$1,0)*$D52,0),IFERROR(VLOOKUP($E:$E,Structure!$A:$AJ,AQ$1,0)*$F52,0),IFERROR(VLOOKUP($G:$G,Structure!$A:$AJ,AQ$1,0)*$H52,0))</f>
        <v>0</v>
      </c>
      <c r="AR52" s="21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4">
        <f t="shared" si="57"/>
        <v>0</v>
      </c>
      <c r="CE52" s="4">
        <f t="shared" si="58"/>
        <v>141</v>
      </c>
      <c r="CF52" s="4">
        <f t="shared" si="59"/>
        <v>4</v>
      </c>
      <c r="CG52" s="4">
        <f t="shared" si="60"/>
        <v>23</v>
      </c>
      <c r="CH52" s="4">
        <f t="shared" si="61"/>
        <v>1</v>
      </c>
      <c r="CI52" s="4">
        <f t="shared" si="62"/>
        <v>51</v>
      </c>
      <c r="CJ52" s="4">
        <f t="shared" si="63"/>
        <v>-19</v>
      </c>
      <c r="CK52" s="4">
        <f t="shared" si="64"/>
        <v>270</v>
      </c>
      <c r="CL52" s="4">
        <f t="shared" si="65"/>
        <v>0</v>
      </c>
      <c r="CM52" s="4">
        <f t="shared" si="66"/>
        <v>4</v>
      </c>
      <c r="CN52" s="4">
        <f t="shared" si="67"/>
        <v>19</v>
      </c>
      <c r="CO52" s="4">
        <f t="shared" si="68"/>
        <v>0</v>
      </c>
      <c r="CP52" s="4">
        <f t="shared" si="69"/>
        <v>5</v>
      </c>
      <c r="CQ52" s="4">
        <f t="shared" si="70"/>
        <v>-97</v>
      </c>
      <c r="CR52" s="4">
        <f t="shared" si="71"/>
        <v>34</v>
      </c>
      <c r="CS52" s="4">
        <f t="shared" si="72"/>
        <v>0</v>
      </c>
      <c r="CT52" s="4">
        <f t="shared" si="73"/>
        <v>0</v>
      </c>
      <c r="CU52" s="4">
        <f t="shared" si="74"/>
        <v>0</v>
      </c>
      <c r="CV52" s="4">
        <f t="shared" si="75"/>
        <v>0</v>
      </c>
      <c r="CW52" s="4">
        <f t="shared" si="76"/>
        <v>0</v>
      </c>
      <c r="CX52" s="4">
        <f t="shared" si="77"/>
        <v>-77</v>
      </c>
      <c r="CY52" s="4">
        <f t="shared" si="78"/>
        <v>0</v>
      </c>
      <c r="CZ52" s="4">
        <f t="shared" si="79"/>
        <v>0</v>
      </c>
      <c r="DA52" s="4">
        <f t="shared" si="80"/>
        <v>0</v>
      </c>
      <c r="DB52" s="4">
        <f t="shared" si="81"/>
        <v>0</v>
      </c>
      <c r="DC52" s="4">
        <f t="shared" si="82"/>
        <v>0</v>
      </c>
      <c r="DD52" s="4">
        <f t="shared" si="83"/>
        <v>0</v>
      </c>
      <c r="DE52" s="4">
        <f t="shared" si="84"/>
        <v>0</v>
      </c>
      <c r="DF52" s="4">
        <f t="shared" si="85"/>
        <v>0</v>
      </c>
      <c r="DG52" s="4">
        <f t="shared" si="86"/>
        <v>0</v>
      </c>
      <c r="DH52" s="4">
        <f t="shared" si="87"/>
        <v>0</v>
      </c>
      <c r="DI52" s="4">
        <f t="shared" si="88"/>
        <v>0</v>
      </c>
      <c r="DJ52" s="4">
        <f t="shared" si="89"/>
        <v>0</v>
      </c>
      <c r="DK52" s="4">
        <f t="shared" si="90"/>
        <v>0</v>
      </c>
      <c r="DL52" s="4">
        <f t="shared" si="91"/>
        <v>0</v>
      </c>
    </row>
    <row r="53" spans="1:116" x14ac:dyDescent="0.25">
      <c r="A53" s="5">
        <v>46184</v>
      </c>
      <c r="B53" s="6">
        <v>0.35416666678793263</v>
      </c>
      <c r="C53" s="3"/>
      <c r="D53" s="3"/>
      <c r="E53" s="3" t="s">
        <v>38</v>
      </c>
      <c r="F53" s="3">
        <v>8</v>
      </c>
      <c r="G53" s="3"/>
      <c r="H53" s="9"/>
      <c r="I53" s="9">
        <f>SUM(IFERROR(VLOOKUP($C:$C,Structure!$A:$AJ,I$1,0)*$D53,0),IFERROR(VLOOKUP($E:$E,Structure!$A:$AJ,I$1,0)*$F53,0),IFERROR(VLOOKUP($G:$G,Structure!$A:$AJ,I$1,0)*$H53,0))</f>
        <v>0</v>
      </c>
      <c r="J53" s="9">
        <f>SUM(IFERROR(VLOOKUP($C:$C,Structure!$A:$AJ,J$1,0)*$D53,0),IFERROR(VLOOKUP($E:$E,Structure!$A:$AJ,J$1,0)*$F53,0),IFERROR(VLOOKUP($G:$G,Structure!$A:$AJ,J$1,0)*$H53,0))</f>
        <v>8</v>
      </c>
      <c r="K53" s="9">
        <f>SUM(IFERROR(VLOOKUP($C:$C,Structure!$A:$AJ,K$1,0)*$D53,0),IFERROR(VLOOKUP($E:$E,Structure!$A:$AJ,K$1,0)*$F53,0),IFERROR(VLOOKUP($G:$G,Structure!$A:$AJ,K$1,0)*$H53,0))</f>
        <v>0</v>
      </c>
      <c r="L53" s="9">
        <f>SUM(IFERROR(VLOOKUP($C:$C,Structure!$A:$AJ,L$1,0)*$D53,0),IFERROR(VLOOKUP($E:$E,Structure!$A:$AJ,L$1,0)*$F53,0),IFERROR(VLOOKUP($G:$G,Structure!$A:$AJ,L$1,0)*$H53,0))</f>
        <v>0</v>
      </c>
      <c r="M53" s="9">
        <f>SUM(IFERROR(VLOOKUP($C:$C,Structure!$A:$AJ,M$1,0)*$D53,0),IFERROR(VLOOKUP($E:$E,Structure!$A:$AJ,M$1,0)*$F53,0),IFERROR(VLOOKUP($G:$G,Structure!$A:$AJ,M$1,0)*$H53,0))</f>
        <v>0</v>
      </c>
      <c r="N53" s="9">
        <f>SUM(IFERROR(VLOOKUP($C:$C,Structure!$A:$AJ,N$1,0)*$D53,0),IFERROR(VLOOKUP($E:$E,Structure!$A:$AJ,N$1,0)*$F53,0),IFERROR(VLOOKUP($G:$G,Structure!$A:$AJ,N$1,0)*$H53,0))</f>
        <v>0</v>
      </c>
      <c r="O53" s="9">
        <f>SUM(IFERROR(VLOOKUP($C:$C,Structure!$A:$AJ,O$1,0)*$D53,0),IFERROR(VLOOKUP($E:$E,Structure!$A:$AJ,O$1,0)*$F53,0),IFERROR(VLOOKUP($G:$G,Structure!$A:$AJ,O$1,0)*$H53,0))</f>
        <v>0</v>
      </c>
      <c r="P53" s="9">
        <f>SUM(IFERROR(VLOOKUP($C:$C,Structure!$A:$AJ,P$1,0)*$D53,0),IFERROR(VLOOKUP($E:$E,Structure!$A:$AJ,P$1,0)*$F53,0),IFERROR(VLOOKUP($G:$G,Structure!$A:$AJ,P$1,0)*$H53,0))</f>
        <v>8</v>
      </c>
      <c r="Q53" s="9">
        <f>SUM(IFERROR(VLOOKUP($C:$C,Structure!$A:$AJ,Q$1,0)*$D53,0),IFERROR(VLOOKUP($E:$E,Structure!$A:$AJ,Q$1,0)*$F53,0),IFERROR(VLOOKUP($G:$G,Structure!$A:$AJ,Q$1,0)*$H53,0))</f>
        <v>0</v>
      </c>
      <c r="R53" s="9">
        <f>SUM(IFERROR(VLOOKUP($C:$C,Structure!$A:$AJ,R$1,0)*$D53,0),IFERROR(VLOOKUP($E:$E,Structure!$A:$AJ,R$1,0)*$F53,0),IFERROR(VLOOKUP($G:$G,Structure!$A:$AJ,R$1,0)*$H53,0))</f>
        <v>0</v>
      </c>
      <c r="S53" s="9">
        <f>SUM(IFERROR(VLOOKUP($C:$C,Structure!$A:$AJ,S$1,0)*$D53,0),IFERROR(VLOOKUP($E:$E,Structure!$A:$AJ,S$1,0)*$F53,0),IFERROR(VLOOKUP($G:$G,Structure!$A:$AJ,S$1,0)*$H53,0))</f>
        <v>0</v>
      </c>
      <c r="T53" s="9">
        <f>SUM(IFERROR(VLOOKUP($C:$C,Structure!$A:$AJ,T$1,0)*$D53,0),IFERROR(VLOOKUP($E:$E,Structure!$A:$AJ,T$1,0)*$F53,0),IFERROR(VLOOKUP($G:$G,Structure!$A:$AJ,T$1,0)*$H53,0))</f>
        <v>0</v>
      </c>
      <c r="U53" s="9">
        <f>SUM(IFERROR(VLOOKUP($C:$C,Structure!$A:$AJ,U$1,0)*$D53,0),IFERROR(VLOOKUP($E:$E,Structure!$A:$AJ,U$1,0)*$F53,0),IFERROR(VLOOKUP($G:$G,Structure!$A:$AJ,U$1,0)*$H53,0))</f>
        <v>0</v>
      </c>
      <c r="V53" s="9">
        <f>SUM(IFERROR(VLOOKUP($C:$C,Structure!$A:$AJ,V$1,0)*$D53,0),IFERROR(VLOOKUP($E:$E,Structure!$A:$AJ,V$1,0)*$F53,0),IFERROR(VLOOKUP($G:$G,Structure!$A:$AJ,V$1,0)*$H53,0))</f>
        <v>0</v>
      </c>
      <c r="W53" s="9">
        <f>SUM(IFERROR(VLOOKUP($C:$C,Structure!$A:$AJ,W$1,0)*$D53,0),IFERROR(VLOOKUP($E:$E,Structure!$A:$AJ,W$1,0)*$F53,0),IFERROR(VLOOKUP($G:$G,Structure!$A:$AJ,W$1,0)*$H53,0))</f>
        <v>0</v>
      </c>
      <c r="X53" s="9">
        <f>SUM(IFERROR(VLOOKUP($C:$C,Structure!$A:$AJ,X$1,0)*$D53,0),IFERROR(VLOOKUP($E:$E,Structure!$A:$AJ,X$1,0)*$F53,0),IFERROR(VLOOKUP($G:$G,Structure!$A:$AJ,X$1,0)*$H53,0))</f>
        <v>0</v>
      </c>
      <c r="Y53" s="9">
        <f>SUM(IFERROR(VLOOKUP($C:$C,Structure!$A:$AJ,Y$1,0)*$D53,0),IFERROR(VLOOKUP($E:$E,Structure!$A:$AJ,Y$1,0)*$F53,0),IFERROR(VLOOKUP($G:$G,Structure!$A:$AJ,Y$1,0)*$H53,0))</f>
        <v>0</v>
      </c>
      <c r="Z53" s="9">
        <f>SUM(IFERROR(VLOOKUP($C:$C,Structure!$A:$AJ,Z$1,0)*$D53,0),IFERROR(VLOOKUP($E:$E,Structure!$A:$AJ,Z$1,0)*$F53,0),IFERROR(VLOOKUP($G:$G,Structure!$A:$AJ,Z$1,0)*$H53,0))</f>
        <v>0</v>
      </c>
      <c r="AA53" s="9">
        <f>SUM(IFERROR(VLOOKUP($C:$C,Structure!$A:$AJ,AA$1,0)*$D53,0),IFERROR(VLOOKUP($E:$E,Structure!$A:$AJ,AA$1,0)*$F53,0),IFERROR(VLOOKUP($G:$G,Structure!$A:$AJ,AA$1,0)*$H53,0))</f>
        <v>0</v>
      </c>
      <c r="AB53" s="9">
        <f>SUM(IFERROR(VLOOKUP($C:$C,Structure!$A:$AJ,AB$1,0)*$D53,0),IFERROR(VLOOKUP($E:$E,Structure!$A:$AJ,AB$1,0)*$F53,0),IFERROR(VLOOKUP($G:$G,Structure!$A:$AJ,AB$1,0)*$H53,0))</f>
        <v>0</v>
      </c>
      <c r="AC53" s="9">
        <f>SUM(IFERROR(VLOOKUP($C:$C,Structure!$A:$AJ,AC$1,0)*$D53,0),IFERROR(VLOOKUP($E:$E,Structure!$A:$AJ,AC$1,0)*$F53,0),IFERROR(VLOOKUP($G:$G,Structure!$A:$AJ,AC$1,0)*$H53,0))</f>
        <v>0</v>
      </c>
      <c r="AD53" s="9">
        <f>SUM(IFERROR(VLOOKUP($C:$C,Structure!$A:$AJ,AD$1,0)*$D53,0),IFERROR(VLOOKUP($E:$E,Structure!$A:$AJ,AD$1,0)*$F53,0),IFERROR(VLOOKUP($G:$G,Structure!$A:$AJ,AD$1,0)*$H53,0))</f>
        <v>0</v>
      </c>
      <c r="AE53" s="9">
        <f>SUM(IFERROR(VLOOKUP($C:$C,Structure!$A:$AJ,AE$1,0)*$D53,0),IFERROR(VLOOKUP($E:$E,Structure!$A:$AJ,AE$1,0)*$F53,0),IFERROR(VLOOKUP($G:$G,Structure!$A:$AJ,AE$1,0)*$H53,0))</f>
        <v>0</v>
      </c>
      <c r="AF53" s="9">
        <f>SUM(IFERROR(VLOOKUP($C:$C,Structure!$A:$AJ,AF$1,0)*$D53,0),IFERROR(VLOOKUP($E:$E,Structure!$A:$AJ,AF$1,0)*$F53,0),IFERROR(VLOOKUP($G:$G,Structure!$A:$AJ,AF$1,0)*$H53,0))</f>
        <v>0</v>
      </c>
      <c r="AG53" s="9">
        <f>SUM(IFERROR(VLOOKUP($C:$C,Structure!$A:$AJ,AG$1,0)*$D53,0),IFERROR(VLOOKUP($E:$E,Structure!$A:$AJ,AG$1,0)*$F53,0),IFERROR(VLOOKUP($G:$G,Structure!$A:$AJ,AG$1,0)*$H53,0))</f>
        <v>0</v>
      </c>
      <c r="AH53" s="9">
        <f>SUM(IFERROR(VLOOKUP($C:$C,Structure!$A:$AJ,AH$1,0)*$D53,0),IFERROR(VLOOKUP($E:$E,Structure!$A:$AJ,AH$1,0)*$F53,0),IFERROR(VLOOKUP($G:$G,Structure!$A:$AJ,AH$1,0)*$H53,0))</f>
        <v>0</v>
      </c>
      <c r="AI53" s="9">
        <f>SUM(IFERROR(VLOOKUP($C:$C,Structure!$A:$AJ,AI$1,0)*$D53,0),IFERROR(VLOOKUP($E:$E,Structure!$A:$AJ,AI$1,0)*$F53,0),IFERROR(VLOOKUP($G:$G,Structure!$A:$AJ,AI$1,0)*$H53,0))</f>
        <v>0</v>
      </c>
      <c r="AJ53" s="9">
        <f>SUM(IFERROR(VLOOKUP($C:$C,Structure!$A:$AJ,AJ$1,0)*$D53,0),IFERROR(VLOOKUP($E:$E,Structure!$A:$AJ,AJ$1,0)*$F53,0),IFERROR(VLOOKUP($G:$G,Structure!$A:$AJ,AJ$1,0)*$H53,0))</f>
        <v>0</v>
      </c>
      <c r="AK53" s="9">
        <f>SUM(IFERROR(VLOOKUP($C:$C,Structure!$A:$AJ,AK$1,0)*$D53,0),IFERROR(VLOOKUP($E:$E,Structure!$A:$AJ,AK$1,0)*$F53,0),IFERROR(VLOOKUP($G:$G,Structure!$A:$AJ,AK$1,0)*$H53,0))</f>
        <v>0</v>
      </c>
      <c r="AL53" s="9">
        <f>SUM(IFERROR(VLOOKUP($C:$C,Structure!$A:$AJ,AL$1,0)*$D53,0),IFERROR(VLOOKUP($E:$E,Structure!$A:$AJ,AL$1,0)*$F53,0),IFERROR(VLOOKUP($G:$G,Structure!$A:$AJ,AL$1,0)*$H53,0))</f>
        <v>0</v>
      </c>
      <c r="AM53" s="9">
        <f>SUM(IFERROR(VLOOKUP($C:$C,Structure!$A:$AJ,AM$1,0)*$D53,0),IFERROR(VLOOKUP($E:$E,Structure!$A:$AJ,AM$1,0)*$F53,0),IFERROR(VLOOKUP($G:$G,Structure!$A:$AJ,AM$1,0)*$H53,0))</f>
        <v>0</v>
      </c>
      <c r="AN53" s="9">
        <f>SUM(IFERROR(VLOOKUP($C:$C,Structure!$A:$AJ,AN$1,0)*$D53,0),IFERROR(VLOOKUP($E:$E,Structure!$A:$AJ,AN$1,0)*$F53,0),IFERROR(VLOOKUP($G:$G,Structure!$A:$AJ,AN$1,0)*$H53,0))</f>
        <v>0</v>
      </c>
      <c r="AO53" s="9">
        <f>SUM(IFERROR(VLOOKUP($C:$C,Structure!$A:$AJ,AO$1,0)*$D53,0),IFERROR(VLOOKUP($E:$E,Structure!$A:$AJ,AO$1,0)*$F53,0),IFERROR(VLOOKUP($G:$G,Structure!$A:$AJ,AO$1,0)*$H53,0))</f>
        <v>0</v>
      </c>
      <c r="AP53" s="9">
        <f>SUM(IFERROR(VLOOKUP($C:$C,Structure!$A:$AJ,AP$1,0)*$D53,0),IFERROR(VLOOKUP($E:$E,Structure!$A:$AJ,AP$1,0)*$F53,0),IFERROR(VLOOKUP($G:$G,Structure!$A:$AJ,AP$1,0)*$H53,0))</f>
        <v>0</v>
      </c>
      <c r="AQ53" s="9">
        <f>SUM(IFERROR(VLOOKUP($C:$C,Structure!$A:$AJ,AQ$1,0)*$D53,0),IFERROR(VLOOKUP($E:$E,Structure!$A:$AJ,AQ$1,0)*$F53,0),IFERROR(VLOOKUP($G:$G,Structure!$A:$AJ,AQ$1,0)*$H53,0))</f>
        <v>0</v>
      </c>
      <c r="AR53" s="21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4">
        <f t="shared" si="57"/>
        <v>0</v>
      </c>
      <c r="CE53" s="4">
        <f t="shared" si="58"/>
        <v>133</v>
      </c>
      <c r="CF53" s="4">
        <f t="shared" si="59"/>
        <v>4</v>
      </c>
      <c r="CG53" s="4">
        <f t="shared" si="60"/>
        <v>23</v>
      </c>
      <c r="CH53" s="4">
        <f t="shared" si="61"/>
        <v>1</v>
      </c>
      <c r="CI53" s="4">
        <f t="shared" si="62"/>
        <v>51</v>
      </c>
      <c r="CJ53" s="4">
        <f t="shared" si="63"/>
        <v>-19</v>
      </c>
      <c r="CK53" s="4">
        <f t="shared" si="64"/>
        <v>262</v>
      </c>
      <c r="CL53" s="4">
        <f t="shared" si="65"/>
        <v>0</v>
      </c>
      <c r="CM53" s="4">
        <f t="shared" si="66"/>
        <v>4</v>
      </c>
      <c r="CN53" s="4">
        <f t="shared" si="67"/>
        <v>19</v>
      </c>
      <c r="CO53" s="4">
        <f t="shared" si="68"/>
        <v>0</v>
      </c>
      <c r="CP53" s="4">
        <f t="shared" si="69"/>
        <v>5</v>
      </c>
      <c r="CQ53" s="4">
        <f t="shared" si="70"/>
        <v>-97</v>
      </c>
      <c r="CR53" s="4">
        <f t="shared" si="71"/>
        <v>34</v>
      </c>
      <c r="CS53" s="4">
        <f t="shared" si="72"/>
        <v>0</v>
      </c>
      <c r="CT53" s="4">
        <f t="shared" si="73"/>
        <v>0</v>
      </c>
      <c r="CU53" s="4">
        <f t="shared" si="74"/>
        <v>0</v>
      </c>
      <c r="CV53" s="4">
        <f t="shared" si="75"/>
        <v>0</v>
      </c>
      <c r="CW53" s="4">
        <f t="shared" si="76"/>
        <v>0</v>
      </c>
      <c r="CX53" s="4">
        <f t="shared" si="77"/>
        <v>-77</v>
      </c>
      <c r="CY53" s="4">
        <f t="shared" si="78"/>
        <v>0</v>
      </c>
      <c r="CZ53" s="4">
        <f t="shared" si="79"/>
        <v>0</v>
      </c>
      <c r="DA53" s="4">
        <f t="shared" si="80"/>
        <v>0</v>
      </c>
      <c r="DB53" s="4">
        <f t="shared" si="81"/>
        <v>0</v>
      </c>
      <c r="DC53" s="4">
        <f t="shared" si="82"/>
        <v>0</v>
      </c>
      <c r="DD53" s="4">
        <f t="shared" si="83"/>
        <v>0</v>
      </c>
      <c r="DE53" s="4">
        <f t="shared" si="84"/>
        <v>0</v>
      </c>
      <c r="DF53" s="4">
        <f t="shared" si="85"/>
        <v>0</v>
      </c>
      <c r="DG53" s="4">
        <f t="shared" si="86"/>
        <v>0</v>
      </c>
      <c r="DH53" s="4">
        <f t="shared" si="87"/>
        <v>0</v>
      </c>
      <c r="DI53" s="4">
        <f t="shared" si="88"/>
        <v>0</v>
      </c>
      <c r="DJ53" s="4">
        <f t="shared" si="89"/>
        <v>0</v>
      </c>
      <c r="DK53" s="4">
        <f t="shared" si="90"/>
        <v>0</v>
      </c>
      <c r="DL53" s="4">
        <f t="shared" si="91"/>
        <v>0</v>
      </c>
    </row>
    <row r="54" spans="1:116" x14ac:dyDescent="0.25">
      <c r="A54" s="5">
        <v>46184</v>
      </c>
      <c r="B54" s="6">
        <v>0.37500000012369128</v>
      </c>
      <c r="C54" s="3"/>
      <c r="D54" s="3"/>
      <c r="E54" s="3" t="s">
        <v>38</v>
      </c>
      <c r="F54" s="3">
        <v>8</v>
      </c>
      <c r="G54" s="3"/>
      <c r="H54" s="9"/>
      <c r="I54" s="9">
        <f>SUM(IFERROR(VLOOKUP($C:$C,Structure!$A:$AJ,I$1,0)*$D54,0),IFERROR(VLOOKUP($E:$E,Structure!$A:$AJ,I$1,0)*$F54,0),IFERROR(VLOOKUP($G:$G,Structure!$A:$AJ,I$1,0)*$H54,0))</f>
        <v>0</v>
      </c>
      <c r="J54" s="9">
        <f>SUM(IFERROR(VLOOKUP($C:$C,Structure!$A:$AJ,J$1,0)*$D54,0),IFERROR(VLOOKUP($E:$E,Structure!$A:$AJ,J$1,0)*$F54,0),IFERROR(VLOOKUP($G:$G,Structure!$A:$AJ,J$1,0)*$H54,0))</f>
        <v>8</v>
      </c>
      <c r="K54" s="9">
        <f>SUM(IFERROR(VLOOKUP($C:$C,Structure!$A:$AJ,K$1,0)*$D54,0),IFERROR(VLOOKUP($E:$E,Structure!$A:$AJ,K$1,0)*$F54,0),IFERROR(VLOOKUP($G:$G,Structure!$A:$AJ,K$1,0)*$H54,0))</f>
        <v>0</v>
      </c>
      <c r="L54" s="9">
        <f>SUM(IFERROR(VLOOKUP($C:$C,Structure!$A:$AJ,L$1,0)*$D54,0),IFERROR(VLOOKUP($E:$E,Structure!$A:$AJ,L$1,0)*$F54,0),IFERROR(VLOOKUP($G:$G,Structure!$A:$AJ,L$1,0)*$H54,0))</f>
        <v>0</v>
      </c>
      <c r="M54" s="9">
        <f>SUM(IFERROR(VLOOKUP($C:$C,Structure!$A:$AJ,M$1,0)*$D54,0),IFERROR(VLOOKUP($E:$E,Structure!$A:$AJ,M$1,0)*$F54,0),IFERROR(VLOOKUP($G:$G,Structure!$A:$AJ,M$1,0)*$H54,0))</f>
        <v>0</v>
      </c>
      <c r="N54" s="9">
        <f>SUM(IFERROR(VLOOKUP($C:$C,Structure!$A:$AJ,N$1,0)*$D54,0),IFERROR(VLOOKUP($E:$E,Structure!$A:$AJ,N$1,0)*$F54,0),IFERROR(VLOOKUP($G:$G,Structure!$A:$AJ,N$1,0)*$H54,0))</f>
        <v>0</v>
      </c>
      <c r="O54" s="9">
        <f>SUM(IFERROR(VLOOKUP($C:$C,Structure!$A:$AJ,O$1,0)*$D54,0),IFERROR(VLOOKUP($E:$E,Structure!$A:$AJ,O$1,0)*$F54,0),IFERROR(VLOOKUP($G:$G,Structure!$A:$AJ,O$1,0)*$H54,0))</f>
        <v>0</v>
      </c>
      <c r="P54" s="9">
        <f>SUM(IFERROR(VLOOKUP($C:$C,Structure!$A:$AJ,P$1,0)*$D54,0),IFERROR(VLOOKUP($E:$E,Structure!$A:$AJ,P$1,0)*$F54,0),IFERROR(VLOOKUP($G:$G,Structure!$A:$AJ,P$1,0)*$H54,0))</f>
        <v>8</v>
      </c>
      <c r="Q54" s="9">
        <f>SUM(IFERROR(VLOOKUP($C:$C,Structure!$A:$AJ,Q$1,0)*$D54,0),IFERROR(VLOOKUP($E:$E,Structure!$A:$AJ,Q$1,0)*$F54,0),IFERROR(VLOOKUP($G:$G,Structure!$A:$AJ,Q$1,0)*$H54,0))</f>
        <v>0</v>
      </c>
      <c r="R54" s="9">
        <f>SUM(IFERROR(VLOOKUP($C:$C,Structure!$A:$AJ,R$1,0)*$D54,0),IFERROR(VLOOKUP($E:$E,Structure!$A:$AJ,R$1,0)*$F54,0),IFERROR(VLOOKUP($G:$G,Structure!$A:$AJ,R$1,0)*$H54,0))</f>
        <v>0</v>
      </c>
      <c r="S54" s="9">
        <f>SUM(IFERROR(VLOOKUP($C:$C,Structure!$A:$AJ,S$1,0)*$D54,0),IFERROR(VLOOKUP($E:$E,Structure!$A:$AJ,S$1,0)*$F54,0),IFERROR(VLOOKUP($G:$G,Structure!$A:$AJ,S$1,0)*$H54,0))</f>
        <v>0</v>
      </c>
      <c r="T54" s="9">
        <f>SUM(IFERROR(VLOOKUP($C:$C,Structure!$A:$AJ,T$1,0)*$D54,0),IFERROR(VLOOKUP($E:$E,Structure!$A:$AJ,T$1,0)*$F54,0),IFERROR(VLOOKUP($G:$G,Structure!$A:$AJ,T$1,0)*$H54,0))</f>
        <v>0</v>
      </c>
      <c r="U54" s="9">
        <f>SUM(IFERROR(VLOOKUP($C:$C,Structure!$A:$AJ,U$1,0)*$D54,0),IFERROR(VLOOKUP($E:$E,Structure!$A:$AJ,U$1,0)*$F54,0),IFERROR(VLOOKUP($G:$G,Structure!$A:$AJ,U$1,0)*$H54,0))</f>
        <v>0</v>
      </c>
      <c r="V54" s="9">
        <f>SUM(IFERROR(VLOOKUP($C:$C,Structure!$A:$AJ,V$1,0)*$D54,0),IFERROR(VLOOKUP($E:$E,Structure!$A:$AJ,V$1,0)*$F54,0),IFERROR(VLOOKUP($G:$G,Structure!$A:$AJ,V$1,0)*$H54,0))</f>
        <v>0</v>
      </c>
      <c r="W54" s="9">
        <f>SUM(IFERROR(VLOOKUP($C:$C,Structure!$A:$AJ,W$1,0)*$D54,0),IFERROR(VLOOKUP($E:$E,Structure!$A:$AJ,W$1,0)*$F54,0),IFERROR(VLOOKUP($G:$G,Structure!$A:$AJ,W$1,0)*$H54,0))</f>
        <v>0</v>
      </c>
      <c r="X54" s="9">
        <f>SUM(IFERROR(VLOOKUP($C:$C,Structure!$A:$AJ,X$1,0)*$D54,0),IFERROR(VLOOKUP($E:$E,Structure!$A:$AJ,X$1,0)*$F54,0),IFERROR(VLOOKUP($G:$G,Structure!$A:$AJ,X$1,0)*$H54,0))</f>
        <v>0</v>
      </c>
      <c r="Y54" s="9">
        <f>SUM(IFERROR(VLOOKUP($C:$C,Structure!$A:$AJ,Y$1,0)*$D54,0),IFERROR(VLOOKUP($E:$E,Structure!$A:$AJ,Y$1,0)*$F54,0),IFERROR(VLOOKUP($G:$G,Structure!$A:$AJ,Y$1,0)*$H54,0))</f>
        <v>0</v>
      </c>
      <c r="Z54" s="9">
        <f>SUM(IFERROR(VLOOKUP($C:$C,Structure!$A:$AJ,Z$1,0)*$D54,0),IFERROR(VLOOKUP($E:$E,Structure!$A:$AJ,Z$1,0)*$F54,0),IFERROR(VLOOKUP($G:$G,Structure!$A:$AJ,Z$1,0)*$H54,0))</f>
        <v>0</v>
      </c>
      <c r="AA54" s="9">
        <f>SUM(IFERROR(VLOOKUP($C:$C,Structure!$A:$AJ,AA$1,0)*$D54,0),IFERROR(VLOOKUP($E:$E,Structure!$A:$AJ,AA$1,0)*$F54,0),IFERROR(VLOOKUP($G:$G,Structure!$A:$AJ,AA$1,0)*$H54,0))</f>
        <v>0</v>
      </c>
      <c r="AB54" s="9">
        <f>SUM(IFERROR(VLOOKUP($C:$C,Structure!$A:$AJ,AB$1,0)*$D54,0),IFERROR(VLOOKUP($E:$E,Structure!$A:$AJ,AB$1,0)*$F54,0),IFERROR(VLOOKUP($G:$G,Structure!$A:$AJ,AB$1,0)*$H54,0))</f>
        <v>0</v>
      </c>
      <c r="AC54" s="9">
        <f>SUM(IFERROR(VLOOKUP($C:$C,Structure!$A:$AJ,AC$1,0)*$D54,0),IFERROR(VLOOKUP($E:$E,Structure!$A:$AJ,AC$1,0)*$F54,0),IFERROR(VLOOKUP($G:$G,Structure!$A:$AJ,AC$1,0)*$H54,0))</f>
        <v>0</v>
      </c>
      <c r="AD54" s="9">
        <f>SUM(IFERROR(VLOOKUP($C:$C,Structure!$A:$AJ,AD$1,0)*$D54,0),IFERROR(VLOOKUP($E:$E,Structure!$A:$AJ,AD$1,0)*$F54,0),IFERROR(VLOOKUP($G:$G,Structure!$A:$AJ,AD$1,0)*$H54,0))</f>
        <v>0</v>
      </c>
      <c r="AE54" s="9">
        <f>SUM(IFERROR(VLOOKUP($C:$C,Structure!$A:$AJ,AE$1,0)*$D54,0),IFERROR(VLOOKUP($E:$E,Structure!$A:$AJ,AE$1,0)*$F54,0),IFERROR(VLOOKUP($G:$G,Structure!$A:$AJ,AE$1,0)*$H54,0))</f>
        <v>0</v>
      </c>
      <c r="AF54" s="9">
        <f>SUM(IFERROR(VLOOKUP($C:$C,Structure!$A:$AJ,AF$1,0)*$D54,0),IFERROR(VLOOKUP($E:$E,Structure!$A:$AJ,AF$1,0)*$F54,0),IFERROR(VLOOKUP($G:$G,Structure!$A:$AJ,AF$1,0)*$H54,0))</f>
        <v>0</v>
      </c>
      <c r="AG54" s="9">
        <f>SUM(IFERROR(VLOOKUP($C:$C,Structure!$A:$AJ,AG$1,0)*$D54,0),IFERROR(VLOOKUP($E:$E,Structure!$A:$AJ,AG$1,0)*$F54,0),IFERROR(VLOOKUP($G:$G,Structure!$A:$AJ,AG$1,0)*$H54,0))</f>
        <v>0</v>
      </c>
      <c r="AH54" s="9">
        <f>SUM(IFERROR(VLOOKUP($C:$C,Structure!$A:$AJ,AH$1,0)*$D54,0),IFERROR(VLOOKUP($E:$E,Structure!$A:$AJ,AH$1,0)*$F54,0),IFERROR(VLOOKUP($G:$G,Structure!$A:$AJ,AH$1,0)*$H54,0))</f>
        <v>0</v>
      </c>
      <c r="AI54" s="9">
        <f>SUM(IFERROR(VLOOKUP($C:$C,Structure!$A:$AJ,AI$1,0)*$D54,0),IFERROR(VLOOKUP($E:$E,Structure!$A:$AJ,AI$1,0)*$F54,0),IFERROR(VLOOKUP($G:$G,Structure!$A:$AJ,AI$1,0)*$H54,0))</f>
        <v>0</v>
      </c>
      <c r="AJ54" s="9">
        <f>SUM(IFERROR(VLOOKUP($C:$C,Structure!$A:$AJ,AJ$1,0)*$D54,0),IFERROR(VLOOKUP($E:$E,Structure!$A:$AJ,AJ$1,0)*$F54,0),IFERROR(VLOOKUP($G:$G,Structure!$A:$AJ,AJ$1,0)*$H54,0))</f>
        <v>0</v>
      </c>
      <c r="AK54" s="9">
        <f>SUM(IFERROR(VLOOKUP($C:$C,Structure!$A:$AJ,AK$1,0)*$D54,0),IFERROR(VLOOKUP($E:$E,Structure!$A:$AJ,AK$1,0)*$F54,0),IFERROR(VLOOKUP($G:$G,Structure!$A:$AJ,AK$1,0)*$H54,0))</f>
        <v>0</v>
      </c>
      <c r="AL54" s="9">
        <f>SUM(IFERROR(VLOOKUP($C:$C,Structure!$A:$AJ,AL$1,0)*$D54,0),IFERROR(VLOOKUP($E:$E,Structure!$A:$AJ,AL$1,0)*$F54,0),IFERROR(VLOOKUP($G:$G,Structure!$A:$AJ,AL$1,0)*$H54,0))</f>
        <v>0</v>
      </c>
      <c r="AM54" s="9">
        <f>SUM(IFERROR(VLOOKUP($C:$C,Structure!$A:$AJ,AM$1,0)*$D54,0),IFERROR(VLOOKUP($E:$E,Structure!$A:$AJ,AM$1,0)*$F54,0),IFERROR(VLOOKUP($G:$G,Structure!$A:$AJ,AM$1,0)*$H54,0))</f>
        <v>0</v>
      </c>
      <c r="AN54" s="9">
        <f>SUM(IFERROR(VLOOKUP($C:$C,Structure!$A:$AJ,AN$1,0)*$D54,0),IFERROR(VLOOKUP($E:$E,Structure!$A:$AJ,AN$1,0)*$F54,0),IFERROR(VLOOKUP($G:$G,Structure!$A:$AJ,AN$1,0)*$H54,0))</f>
        <v>0</v>
      </c>
      <c r="AO54" s="9">
        <f>SUM(IFERROR(VLOOKUP($C:$C,Structure!$A:$AJ,AO$1,0)*$D54,0),IFERROR(VLOOKUP($E:$E,Structure!$A:$AJ,AO$1,0)*$F54,0),IFERROR(VLOOKUP($G:$G,Structure!$A:$AJ,AO$1,0)*$H54,0))</f>
        <v>0</v>
      </c>
      <c r="AP54" s="9">
        <f>SUM(IFERROR(VLOOKUP($C:$C,Structure!$A:$AJ,AP$1,0)*$D54,0),IFERROR(VLOOKUP($E:$E,Structure!$A:$AJ,AP$1,0)*$F54,0),IFERROR(VLOOKUP($G:$G,Structure!$A:$AJ,AP$1,0)*$H54,0))</f>
        <v>0</v>
      </c>
      <c r="AQ54" s="9">
        <f>SUM(IFERROR(VLOOKUP($C:$C,Structure!$A:$AJ,AQ$1,0)*$D54,0),IFERROR(VLOOKUP($E:$E,Structure!$A:$AJ,AQ$1,0)*$F54,0),IFERROR(VLOOKUP($G:$G,Structure!$A:$AJ,AQ$1,0)*$H54,0))</f>
        <v>0</v>
      </c>
      <c r="AR54" s="21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4">
        <f t="shared" si="57"/>
        <v>0</v>
      </c>
      <c r="CE54" s="4">
        <f t="shared" si="58"/>
        <v>125</v>
      </c>
      <c r="CF54" s="4">
        <f t="shared" si="59"/>
        <v>4</v>
      </c>
      <c r="CG54" s="4">
        <f t="shared" si="60"/>
        <v>23</v>
      </c>
      <c r="CH54" s="4">
        <f t="shared" si="61"/>
        <v>1</v>
      </c>
      <c r="CI54" s="4">
        <f t="shared" si="62"/>
        <v>51</v>
      </c>
      <c r="CJ54" s="4">
        <f t="shared" si="63"/>
        <v>-19</v>
      </c>
      <c r="CK54" s="4">
        <f t="shared" si="64"/>
        <v>254</v>
      </c>
      <c r="CL54" s="4">
        <f t="shared" si="65"/>
        <v>0</v>
      </c>
      <c r="CM54" s="4">
        <f t="shared" si="66"/>
        <v>4</v>
      </c>
      <c r="CN54" s="4">
        <f t="shared" si="67"/>
        <v>19</v>
      </c>
      <c r="CO54" s="4">
        <f t="shared" si="68"/>
        <v>0</v>
      </c>
      <c r="CP54" s="4">
        <f t="shared" si="69"/>
        <v>5</v>
      </c>
      <c r="CQ54" s="4">
        <f t="shared" si="70"/>
        <v>-97</v>
      </c>
      <c r="CR54" s="4">
        <f t="shared" si="71"/>
        <v>34</v>
      </c>
      <c r="CS54" s="4">
        <f t="shared" si="72"/>
        <v>0</v>
      </c>
      <c r="CT54" s="4">
        <f t="shared" si="73"/>
        <v>0</v>
      </c>
      <c r="CU54" s="4">
        <f t="shared" si="74"/>
        <v>0</v>
      </c>
      <c r="CV54" s="4">
        <f t="shared" si="75"/>
        <v>0</v>
      </c>
      <c r="CW54" s="4">
        <f t="shared" si="76"/>
        <v>0</v>
      </c>
      <c r="CX54" s="4">
        <f t="shared" si="77"/>
        <v>-77</v>
      </c>
      <c r="CY54" s="4">
        <f t="shared" si="78"/>
        <v>0</v>
      </c>
      <c r="CZ54" s="4">
        <f t="shared" si="79"/>
        <v>0</v>
      </c>
      <c r="DA54" s="4">
        <f t="shared" si="80"/>
        <v>0</v>
      </c>
      <c r="DB54" s="4">
        <f t="shared" si="81"/>
        <v>0</v>
      </c>
      <c r="DC54" s="4">
        <f t="shared" si="82"/>
        <v>0</v>
      </c>
      <c r="DD54" s="4">
        <f t="shared" si="83"/>
        <v>0</v>
      </c>
      <c r="DE54" s="4">
        <f t="shared" si="84"/>
        <v>0</v>
      </c>
      <c r="DF54" s="4">
        <f t="shared" si="85"/>
        <v>0</v>
      </c>
      <c r="DG54" s="4">
        <f t="shared" si="86"/>
        <v>0</v>
      </c>
      <c r="DH54" s="4">
        <f t="shared" si="87"/>
        <v>0</v>
      </c>
      <c r="DI54" s="4">
        <f t="shared" si="88"/>
        <v>0</v>
      </c>
      <c r="DJ54" s="4">
        <f t="shared" si="89"/>
        <v>0</v>
      </c>
      <c r="DK54" s="4">
        <f t="shared" si="90"/>
        <v>0</v>
      </c>
      <c r="DL54" s="4">
        <f t="shared" si="91"/>
        <v>0</v>
      </c>
    </row>
    <row r="55" spans="1:116" x14ac:dyDescent="0.25">
      <c r="A55" s="5">
        <v>46184</v>
      </c>
      <c r="B55" s="6">
        <v>0.39583333345944993</v>
      </c>
      <c r="C55" s="3"/>
      <c r="D55" s="3"/>
      <c r="E55" s="3" t="s">
        <v>38</v>
      </c>
      <c r="F55" s="3">
        <v>8</v>
      </c>
      <c r="G55" s="3"/>
      <c r="H55" s="9"/>
      <c r="I55" s="9">
        <f>SUM(IFERROR(VLOOKUP($C:$C,Structure!$A:$AJ,I$1,0)*$D55,0),IFERROR(VLOOKUP($E:$E,Structure!$A:$AJ,I$1,0)*$F55,0),IFERROR(VLOOKUP($G:$G,Structure!$A:$AJ,I$1,0)*$H55,0))</f>
        <v>0</v>
      </c>
      <c r="J55" s="9">
        <f>SUM(IFERROR(VLOOKUP($C:$C,Structure!$A:$AJ,J$1,0)*$D55,0),IFERROR(VLOOKUP($E:$E,Structure!$A:$AJ,J$1,0)*$F55,0),IFERROR(VLOOKUP($G:$G,Structure!$A:$AJ,J$1,0)*$H55,0))</f>
        <v>8</v>
      </c>
      <c r="K55" s="9">
        <f>SUM(IFERROR(VLOOKUP($C:$C,Structure!$A:$AJ,K$1,0)*$D55,0),IFERROR(VLOOKUP($E:$E,Structure!$A:$AJ,K$1,0)*$F55,0),IFERROR(VLOOKUP($G:$G,Structure!$A:$AJ,K$1,0)*$H55,0))</f>
        <v>0</v>
      </c>
      <c r="L55" s="9">
        <f>SUM(IFERROR(VLOOKUP($C:$C,Structure!$A:$AJ,L$1,0)*$D55,0),IFERROR(VLOOKUP($E:$E,Structure!$A:$AJ,L$1,0)*$F55,0),IFERROR(VLOOKUP($G:$G,Structure!$A:$AJ,L$1,0)*$H55,0))</f>
        <v>0</v>
      </c>
      <c r="M55" s="9">
        <f>SUM(IFERROR(VLOOKUP($C:$C,Structure!$A:$AJ,M$1,0)*$D55,0),IFERROR(VLOOKUP($E:$E,Structure!$A:$AJ,M$1,0)*$F55,0),IFERROR(VLOOKUP($G:$G,Structure!$A:$AJ,M$1,0)*$H55,0))</f>
        <v>0</v>
      </c>
      <c r="N55" s="9">
        <f>SUM(IFERROR(VLOOKUP($C:$C,Structure!$A:$AJ,N$1,0)*$D55,0),IFERROR(VLOOKUP($E:$E,Structure!$A:$AJ,N$1,0)*$F55,0),IFERROR(VLOOKUP($G:$G,Structure!$A:$AJ,N$1,0)*$H55,0))</f>
        <v>0</v>
      </c>
      <c r="O55" s="9">
        <f>SUM(IFERROR(VLOOKUP($C:$C,Structure!$A:$AJ,O$1,0)*$D55,0),IFERROR(VLOOKUP($E:$E,Structure!$A:$AJ,O$1,0)*$F55,0),IFERROR(VLOOKUP($G:$G,Structure!$A:$AJ,O$1,0)*$H55,0))</f>
        <v>0</v>
      </c>
      <c r="P55" s="9">
        <f>SUM(IFERROR(VLOOKUP($C:$C,Structure!$A:$AJ,P$1,0)*$D55,0),IFERROR(VLOOKUP($E:$E,Structure!$A:$AJ,P$1,0)*$F55,0),IFERROR(VLOOKUP($G:$G,Structure!$A:$AJ,P$1,0)*$H55,0))</f>
        <v>8</v>
      </c>
      <c r="Q55" s="9">
        <f>SUM(IFERROR(VLOOKUP($C:$C,Structure!$A:$AJ,Q$1,0)*$D55,0),IFERROR(VLOOKUP($E:$E,Structure!$A:$AJ,Q$1,0)*$F55,0),IFERROR(VLOOKUP($G:$G,Structure!$A:$AJ,Q$1,0)*$H55,0))</f>
        <v>0</v>
      </c>
      <c r="R55" s="9">
        <f>SUM(IFERROR(VLOOKUP($C:$C,Structure!$A:$AJ,R$1,0)*$D55,0),IFERROR(VLOOKUP($E:$E,Structure!$A:$AJ,R$1,0)*$F55,0),IFERROR(VLOOKUP($G:$G,Structure!$A:$AJ,R$1,0)*$H55,0))</f>
        <v>0</v>
      </c>
      <c r="S55" s="9">
        <f>SUM(IFERROR(VLOOKUP($C:$C,Structure!$A:$AJ,S$1,0)*$D55,0),IFERROR(VLOOKUP($E:$E,Structure!$A:$AJ,S$1,0)*$F55,0),IFERROR(VLOOKUP($G:$G,Structure!$A:$AJ,S$1,0)*$H55,0))</f>
        <v>0</v>
      </c>
      <c r="T55" s="9">
        <f>SUM(IFERROR(VLOOKUP($C:$C,Structure!$A:$AJ,T$1,0)*$D55,0),IFERROR(VLOOKUP($E:$E,Structure!$A:$AJ,T$1,0)*$F55,0),IFERROR(VLOOKUP($G:$G,Structure!$A:$AJ,T$1,0)*$H55,0))</f>
        <v>0</v>
      </c>
      <c r="U55" s="9">
        <f>SUM(IFERROR(VLOOKUP($C:$C,Structure!$A:$AJ,U$1,0)*$D55,0),IFERROR(VLOOKUP($E:$E,Structure!$A:$AJ,U$1,0)*$F55,0),IFERROR(VLOOKUP($G:$G,Structure!$A:$AJ,U$1,0)*$H55,0))</f>
        <v>0</v>
      </c>
      <c r="V55" s="9">
        <f>SUM(IFERROR(VLOOKUP($C:$C,Structure!$A:$AJ,V$1,0)*$D55,0),IFERROR(VLOOKUP($E:$E,Structure!$A:$AJ,V$1,0)*$F55,0),IFERROR(VLOOKUP($G:$G,Structure!$A:$AJ,V$1,0)*$H55,0))</f>
        <v>0</v>
      </c>
      <c r="W55" s="9">
        <f>SUM(IFERROR(VLOOKUP($C:$C,Structure!$A:$AJ,W$1,0)*$D55,0),IFERROR(VLOOKUP($E:$E,Structure!$A:$AJ,W$1,0)*$F55,0),IFERROR(VLOOKUP($G:$G,Structure!$A:$AJ,W$1,0)*$H55,0))</f>
        <v>0</v>
      </c>
      <c r="X55" s="9">
        <f>SUM(IFERROR(VLOOKUP($C:$C,Structure!$A:$AJ,X$1,0)*$D55,0),IFERROR(VLOOKUP($E:$E,Structure!$A:$AJ,X$1,0)*$F55,0),IFERROR(VLOOKUP($G:$G,Structure!$A:$AJ,X$1,0)*$H55,0))</f>
        <v>0</v>
      </c>
      <c r="Y55" s="9">
        <f>SUM(IFERROR(VLOOKUP($C:$C,Structure!$A:$AJ,Y$1,0)*$D55,0),IFERROR(VLOOKUP($E:$E,Structure!$A:$AJ,Y$1,0)*$F55,0),IFERROR(VLOOKUP($G:$G,Structure!$A:$AJ,Y$1,0)*$H55,0))</f>
        <v>0</v>
      </c>
      <c r="Z55" s="9">
        <f>SUM(IFERROR(VLOOKUP($C:$C,Structure!$A:$AJ,Z$1,0)*$D55,0),IFERROR(VLOOKUP($E:$E,Structure!$A:$AJ,Z$1,0)*$F55,0),IFERROR(VLOOKUP($G:$G,Structure!$A:$AJ,Z$1,0)*$H55,0))</f>
        <v>0</v>
      </c>
      <c r="AA55" s="9">
        <f>SUM(IFERROR(VLOOKUP($C:$C,Structure!$A:$AJ,AA$1,0)*$D55,0),IFERROR(VLOOKUP($E:$E,Structure!$A:$AJ,AA$1,0)*$F55,0),IFERROR(VLOOKUP($G:$G,Structure!$A:$AJ,AA$1,0)*$H55,0))</f>
        <v>0</v>
      </c>
      <c r="AB55" s="9">
        <f>SUM(IFERROR(VLOOKUP($C:$C,Structure!$A:$AJ,AB$1,0)*$D55,0),IFERROR(VLOOKUP($E:$E,Structure!$A:$AJ,AB$1,0)*$F55,0),IFERROR(VLOOKUP($G:$G,Structure!$A:$AJ,AB$1,0)*$H55,0))</f>
        <v>0</v>
      </c>
      <c r="AC55" s="9">
        <f>SUM(IFERROR(VLOOKUP($C:$C,Structure!$A:$AJ,AC$1,0)*$D55,0),IFERROR(VLOOKUP($E:$E,Structure!$A:$AJ,AC$1,0)*$F55,0),IFERROR(VLOOKUP($G:$G,Structure!$A:$AJ,AC$1,0)*$H55,0))</f>
        <v>0</v>
      </c>
      <c r="AD55" s="9">
        <f>SUM(IFERROR(VLOOKUP($C:$C,Structure!$A:$AJ,AD$1,0)*$D55,0),IFERROR(VLOOKUP($E:$E,Structure!$A:$AJ,AD$1,0)*$F55,0),IFERROR(VLOOKUP($G:$G,Structure!$A:$AJ,AD$1,0)*$H55,0))</f>
        <v>0</v>
      </c>
      <c r="AE55" s="9">
        <f>SUM(IFERROR(VLOOKUP($C:$C,Structure!$A:$AJ,AE$1,0)*$D55,0),IFERROR(VLOOKUP($E:$E,Structure!$A:$AJ,AE$1,0)*$F55,0),IFERROR(VLOOKUP($G:$G,Structure!$A:$AJ,AE$1,0)*$H55,0))</f>
        <v>0</v>
      </c>
      <c r="AF55" s="9">
        <f>SUM(IFERROR(VLOOKUP($C:$C,Structure!$A:$AJ,AF$1,0)*$D55,0),IFERROR(VLOOKUP($E:$E,Structure!$A:$AJ,AF$1,0)*$F55,0),IFERROR(VLOOKUP($G:$G,Structure!$A:$AJ,AF$1,0)*$H55,0))</f>
        <v>0</v>
      </c>
      <c r="AG55" s="9">
        <f>SUM(IFERROR(VLOOKUP($C:$C,Structure!$A:$AJ,AG$1,0)*$D55,0),IFERROR(VLOOKUP($E:$E,Structure!$A:$AJ,AG$1,0)*$F55,0),IFERROR(VLOOKUP($G:$G,Structure!$A:$AJ,AG$1,0)*$H55,0))</f>
        <v>0</v>
      </c>
      <c r="AH55" s="9">
        <f>SUM(IFERROR(VLOOKUP($C:$C,Structure!$A:$AJ,AH$1,0)*$D55,0),IFERROR(VLOOKUP($E:$E,Structure!$A:$AJ,AH$1,0)*$F55,0),IFERROR(VLOOKUP($G:$G,Structure!$A:$AJ,AH$1,0)*$H55,0))</f>
        <v>0</v>
      </c>
      <c r="AI55" s="9">
        <f>SUM(IFERROR(VLOOKUP($C:$C,Structure!$A:$AJ,AI$1,0)*$D55,0),IFERROR(VLOOKUP($E:$E,Structure!$A:$AJ,AI$1,0)*$F55,0),IFERROR(VLOOKUP($G:$G,Structure!$A:$AJ,AI$1,0)*$H55,0))</f>
        <v>0</v>
      </c>
      <c r="AJ55" s="9">
        <f>SUM(IFERROR(VLOOKUP($C:$C,Structure!$A:$AJ,AJ$1,0)*$D55,0),IFERROR(VLOOKUP($E:$E,Structure!$A:$AJ,AJ$1,0)*$F55,0),IFERROR(VLOOKUP($G:$G,Structure!$A:$AJ,AJ$1,0)*$H55,0))</f>
        <v>0</v>
      </c>
      <c r="AK55" s="9">
        <f>SUM(IFERROR(VLOOKUP($C:$C,Structure!$A:$AJ,AK$1,0)*$D55,0),IFERROR(VLOOKUP($E:$E,Structure!$A:$AJ,AK$1,0)*$F55,0),IFERROR(VLOOKUP($G:$G,Structure!$A:$AJ,AK$1,0)*$H55,0))</f>
        <v>0</v>
      </c>
      <c r="AL55" s="9">
        <f>SUM(IFERROR(VLOOKUP($C:$C,Structure!$A:$AJ,AL$1,0)*$D55,0),IFERROR(VLOOKUP($E:$E,Structure!$A:$AJ,AL$1,0)*$F55,0),IFERROR(VLOOKUP($G:$G,Structure!$A:$AJ,AL$1,0)*$H55,0))</f>
        <v>0</v>
      </c>
      <c r="AM55" s="9">
        <f>SUM(IFERROR(VLOOKUP($C:$C,Structure!$A:$AJ,AM$1,0)*$D55,0),IFERROR(VLOOKUP($E:$E,Structure!$A:$AJ,AM$1,0)*$F55,0),IFERROR(VLOOKUP($G:$G,Structure!$A:$AJ,AM$1,0)*$H55,0))</f>
        <v>0</v>
      </c>
      <c r="AN55" s="9">
        <f>SUM(IFERROR(VLOOKUP($C:$C,Structure!$A:$AJ,AN$1,0)*$D55,0),IFERROR(VLOOKUP($E:$E,Structure!$A:$AJ,AN$1,0)*$F55,0),IFERROR(VLOOKUP($G:$G,Structure!$A:$AJ,AN$1,0)*$H55,0))</f>
        <v>0</v>
      </c>
      <c r="AO55" s="9">
        <f>SUM(IFERROR(VLOOKUP($C:$C,Structure!$A:$AJ,AO$1,0)*$D55,0),IFERROR(VLOOKUP($E:$E,Structure!$A:$AJ,AO$1,0)*$F55,0),IFERROR(VLOOKUP($G:$G,Structure!$A:$AJ,AO$1,0)*$H55,0))</f>
        <v>0</v>
      </c>
      <c r="AP55" s="9">
        <f>SUM(IFERROR(VLOOKUP($C:$C,Structure!$A:$AJ,AP$1,0)*$D55,0),IFERROR(VLOOKUP($E:$E,Structure!$A:$AJ,AP$1,0)*$F55,0),IFERROR(VLOOKUP($G:$G,Structure!$A:$AJ,AP$1,0)*$H55,0))</f>
        <v>0</v>
      </c>
      <c r="AQ55" s="9">
        <f>SUM(IFERROR(VLOOKUP($C:$C,Structure!$A:$AJ,AQ$1,0)*$D55,0),IFERROR(VLOOKUP($E:$E,Structure!$A:$AJ,AQ$1,0)*$F55,0),IFERROR(VLOOKUP($G:$G,Structure!$A:$AJ,AQ$1,0)*$H55,0))</f>
        <v>0</v>
      </c>
      <c r="AR55" s="21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4">
        <f t="shared" si="57"/>
        <v>0</v>
      </c>
      <c r="CE55" s="4">
        <f t="shared" si="58"/>
        <v>117</v>
      </c>
      <c r="CF55" s="4">
        <f t="shared" si="59"/>
        <v>4</v>
      </c>
      <c r="CG55" s="4">
        <f t="shared" si="60"/>
        <v>23</v>
      </c>
      <c r="CH55" s="4">
        <f t="shared" si="61"/>
        <v>1</v>
      </c>
      <c r="CI55" s="4">
        <f t="shared" si="62"/>
        <v>51</v>
      </c>
      <c r="CJ55" s="4">
        <f t="shared" si="63"/>
        <v>-19</v>
      </c>
      <c r="CK55" s="4">
        <f t="shared" si="64"/>
        <v>246</v>
      </c>
      <c r="CL55" s="4">
        <f t="shared" si="65"/>
        <v>0</v>
      </c>
      <c r="CM55" s="4">
        <f t="shared" si="66"/>
        <v>4</v>
      </c>
      <c r="CN55" s="4">
        <f t="shared" si="67"/>
        <v>19</v>
      </c>
      <c r="CO55" s="4">
        <f t="shared" si="68"/>
        <v>0</v>
      </c>
      <c r="CP55" s="4">
        <f t="shared" si="69"/>
        <v>5</v>
      </c>
      <c r="CQ55" s="4">
        <f t="shared" si="70"/>
        <v>-97</v>
      </c>
      <c r="CR55" s="4">
        <f t="shared" si="71"/>
        <v>34</v>
      </c>
      <c r="CS55" s="4">
        <f t="shared" si="72"/>
        <v>0</v>
      </c>
      <c r="CT55" s="4">
        <f t="shared" si="73"/>
        <v>0</v>
      </c>
      <c r="CU55" s="4">
        <f t="shared" si="74"/>
        <v>0</v>
      </c>
      <c r="CV55" s="4">
        <f t="shared" si="75"/>
        <v>0</v>
      </c>
      <c r="CW55" s="4">
        <f t="shared" si="76"/>
        <v>0</v>
      </c>
      <c r="CX55" s="4">
        <f t="shared" si="77"/>
        <v>-77</v>
      </c>
      <c r="CY55" s="4">
        <f t="shared" si="78"/>
        <v>0</v>
      </c>
      <c r="CZ55" s="4">
        <f t="shared" si="79"/>
        <v>0</v>
      </c>
      <c r="DA55" s="4">
        <f t="shared" si="80"/>
        <v>0</v>
      </c>
      <c r="DB55" s="4">
        <f t="shared" si="81"/>
        <v>0</v>
      </c>
      <c r="DC55" s="4">
        <f t="shared" si="82"/>
        <v>0</v>
      </c>
      <c r="DD55" s="4">
        <f t="shared" si="83"/>
        <v>0</v>
      </c>
      <c r="DE55" s="4">
        <f t="shared" si="84"/>
        <v>0</v>
      </c>
      <c r="DF55" s="4">
        <f t="shared" si="85"/>
        <v>0</v>
      </c>
      <c r="DG55" s="4">
        <f t="shared" si="86"/>
        <v>0</v>
      </c>
      <c r="DH55" s="4">
        <f t="shared" si="87"/>
        <v>0</v>
      </c>
      <c r="DI55" s="4">
        <f t="shared" si="88"/>
        <v>0</v>
      </c>
      <c r="DJ55" s="4">
        <f t="shared" si="89"/>
        <v>0</v>
      </c>
      <c r="DK55" s="4">
        <f t="shared" si="90"/>
        <v>0</v>
      </c>
      <c r="DL55" s="4">
        <f t="shared" si="91"/>
        <v>0</v>
      </c>
    </row>
    <row r="56" spans="1:116" x14ac:dyDescent="0.25">
      <c r="A56" s="5">
        <v>46184</v>
      </c>
      <c r="B56" s="6">
        <v>0.41666666679520858</v>
      </c>
      <c r="C56" s="3"/>
      <c r="D56" s="3"/>
      <c r="E56" s="3" t="s">
        <v>30</v>
      </c>
      <c r="F56" s="3">
        <v>8</v>
      </c>
      <c r="G56" s="3"/>
      <c r="H56" s="9"/>
      <c r="I56" s="9">
        <f>SUM(IFERROR(VLOOKUP($C:$C,Structure!$A:$AJ,I$1,0)*$D56,0),IFERROR(VLOOKUP($E:$E,Structure!$A:$AJ,I$1,0)*$F56,0),IFERROR(VLOOKUP($G:$G,Structure!$A:$AJ,I$1,0)*$H56,0))</f>
        <v>0</v>
      </c>
      <c r="J56" s="9">
        <f>SUM(IFERROR(VLOOKUP($C:$C,Structure!$A:$AJ,J$1,0)*$D56,0),IFERROR(VLOOKUP($E:$E,Structure!$A:$AJ,J$1,0)*$F56,0),IFERROR(VLOOKUP($G:$G,Structure!$A:$AJ,J$1,0)*$H56,0))</f>
        <v>0</v>
      </c>
      <c r="K56" s="9">
        <f>SUM(IFERROR(VLOOKUP($C:$C,Structure!$A:$AJ,K$1,0)*$D56,0),IFERROR(VLOOKUP($E:$E,Structure!$A:$AJ,K$1,0)*$F56,0),IFERROR(VLOOKUP($G:$G,Structure!$A:$AJ,K$1,0)*$H56,0))</f>
        <v>0</v>
      </c>
      <c r="L56" s="9">
        <f>SUM(IFERROR(VLOOKUP($C:$C,Structure!$A:$AJ,L$1,0)*$D56,0),IFERROR(VLOOKUP($E:$E,Structure!$A:$AJ,L$1,0)*$F56,0),IFERROR(VLOOKUP($G:$G,Structure!$A:$AJ,L$1,0)*$H56,0))</f>
        <v>0</v>
      </c>
      <c r="M56" s="9">
        <f>SUM(IFERROR(VLOOKUP($C:$C,Structure!$A:$AJ,M$1,0)*$D56,0),IFERROR(VLOOKUP($E:$E,Structure!$A:$AJ,M$1,0)*$F56,0),IFERROR(VLOOKUP($G:$G,Structure!$A:$AJ,M$1,0)*$H56,0))</f>
        <v>0</v>
      </c>
      <c r="N56" s="9">
        <f>SUM(IFERROR(VLOOKUP($C:$C,Structure!$A:$AJ,N$1,0)*$D56,0),IFERROR(VLOOKUP($E:$E,Structure!$A:$AJ,N$1,0)*$F56,0),IFERROR(VLOOKUP($G:$G,Structure!$A:$AJ,N$1,0)*$H56,0))</f>
        <v>0</v>
      </c>
      <c r="O56" s="9">
        <f>SUM(IFERROR(VLOOKUP($C:$C,Structure!$A:$AJ,O$1,0)*$D56,0),IFERROR(VLOOKUP($E:$E,Structure!$A:$AJ,O$1,0)*$F56,0),IFERROR(VLOOKUP($G:$G,Structure!$A:$AJ,O$1,0)*$H56,0))</f>
        <v>0</v>
      </c>
      <c r="P56" s="9">
        <f>SUM(IFERROR(VLOOKUP($C:$C,Structure!$A:$AJ,P$1,0)*$D56,0),IFERROR(VLOOKUP($E:$E,Structure!$A:$AJ,P$1,0)*$F56,0),IFERROR(VLOOKUP($G:$G,Structure!$A:$AJ,P$1,0)*$H56,0))</f>
        <v>0</v>
      </c>
      <c r="Q56" s="9">
        <f>SUM(IFERROR(VLOOKUP($C:$C,Structure!$A:$AJ,Q$1,0)*$D56,0),IFERROR(VLOOKUP($E:$E,Structure!$A:$AJ,Q$1,0)*$F56,0),IFERROR(VLOOKUP($G:$G,Structure!$A:$AJ,Q$1,0)*$H56,0))</f>
        <v>0</v>
      </c>
      <c r="R56" s="9">
        <f>SUM(IFERROR(VLOOKUP($C:$C,Structure!$A:$AJ,R$1,0)*$D56,0),IFERROR(VLOOKUP($E:$E,Structure!$A:$AJ,R$1,0)*$F56,0),IFERROR(VLOOKUP($G:$G,Structure!$A:$AJ,R$1,0)*$H56,0))</f>
        <v>0</v>
      </c>
      <c r="S56" s="9">
        <f>SUM(IFERROR(VLOOKUP($C:$C,Structure!$A:$AJ,S$1,0)*$D56,0),IFERROR(VLOOKUP($E:$E,Structure!$A:$AJ,S$1,0)*$F56,0),IFERROR(VLOOKUP($G:$G,Structure!$A:$AJ,S$1,0)*$H56,0))</f>
        <v>0</v>
      </c>
      <c r="T56" s="9">
        <f>SUM(IFERROR(VLOOKUP($C:$C,Structure!$A:$AJ,T$1,0)*$D56,0),IFERROR(VLOOKUP($E:$E,Structure!$A:$AJ,T$1,0)*$F56,0),IFERROR(VLOOKUP($G:$G,Structure!$A:$AJ,T$1,0)*$H56,0))</f>
        <v>0</v>
      </c>
      <c r="U56" s="9">
        <f>SUM(IFERROR(VLOOKUP($C:$C,Structure!$A:$AJ,U$1,0)*$D56,0),IFERROR(VLOOKUP($E:$E,Structure!$A:$AJ,U$1,0)*$F56,0),IFERROR(VLOOKUP($G:$G,Structure!$A:$AJ,U$1,0)*$H56,0))</f>
        <v>0</v>
      </c>
      <c r="V56" s="9">
        <f>SUM(IFERROR(VLOOKUP($C:$C,Structure!$A:$AJ,V$1,0)*$D56,0),IFERROR(VLOOKUP($E:$E,Structure!$A:$AJ,V$1,0)*$F56,0),IFERROR(VLOOKUP($G:$G,Structure!$A:$AJ,V$1,0)*$H56,0))</f>
        <v>8</v>
      </c>
      <c r="W56" s="9">
        <f>SUM(IFERROR(VLOOKUP($C:$C,Structure!$A:$AJ,W$1,0)*$D56,0),IFERROR(VLOOKUP($E:$E,Structure!$A:$AJ,W$1,0)*$F56,0),IFERROR(VLOOKUP($G:$G,Structure!$A:$AJ,W$1,0)*$H56,0))</f>
        <v>0</v>
      </c>
      <c r="X56" s="9">
        <f>SUM(IFERROR(VLOOKUP($C:$C,Structure!$A:$AJ,X$1,0)*$D56,0),IFERROR(VLOOKUP($E:$E,Structure!$A:$AJ,X$1,0)*$F56,0),IFERROR(VLOOKUP($G:$G,Structure!$A:$AJ,X$1,0)*$H56,0))</f>
        <v>0</v>
      </c>
      <c r="Y56" s="9">
        <f>SUM(IFERROR(VLOOKUP($C:$C,Structure!$A:$AJ,Y$1,0)*$D56,0),IFERROR(VLOOKUP($E:$E,Structure!$A:$AJ,Y$1,0)*$F56,0),IFERROR(VLOOKUP($G:$G,Structure!$A:$AJ,Y$1,0)*$H56,0))</f>
        <v>0</v>
      </c>
      <c r="Z56" s="9">
        <f>SUM(IFERROR(VLOOKUP($C:$C,Structure!$A:$AJ,Z$1,0)*$D56,0),IFERROR(VLOOKUP($E:$E,Structure!$A:$AJ,Z$1,0)*$F56,0),IFERROR(VLOOKUP($G:$G,Structure!$A:$AJ,Z$1,0)*$H56,0))</f>
        <v>0</v>
      </c>
      <c r="AA56" s="9">
        <f>SUM(IFERROR(VLOOKUP($C:$C,Structure!$A:$AJ,AA$1,0)*$D56,0),IFERROR(VLOOKUP($E:$E,Structure!$A:$AJ,AA$1,0)*$F56,0),IFERROR(VLOOKUP($G:$G,Structure!$A:$AJ,AA$1,0)*$H56,0))</f>
        <v>0</v>
      </c>
      <c r="AB56" s="9">
        <f>SUM(IFERROR(VLOOKUP($C:$C,Structure!$A:$AJ,AB$1,0)*$D56,0),IFERROR(VLOOKUP($E:$E,Structure!$A:$AJ,AB$1,0)*$F56,0),IFERROR(VLOOKUP($G:$G,Structure!$A:$AJ,AB$1,0)*$H56,0))</f>
        <v>0</v>
      </c>
      <c r="AC56" s="9">
        <f>SUM(IFERROR(VLOOKUP($C:$C,Structure!$A:$AJ,AC$1,0)*$D56,0),IFERROR(VLOOKUP($E:$E,Structure!$A:$AJ,AC$1,0)*$F56,0),IFERROR(VLOOKUP($G:$G,Structure!$A:$AJ,AC$1,0)*$H56,0))</f>
        <v>8</v>
      </c>
      <c r="AD56" s="9">
        <f>SUM(IFERROR(VLOOKUP($C:$C,Structure!$A:$AJ,AD$1,0)*$D56,0),IFERROR(VLOOKUP($E:$E,Structure!$A:$AJ,AD$1,0)*$F56,0),IFERROR(VLOOKUP($G:$G,Structure!$A:$AJ,AD$1,0)*$H56,0))</f>
        <v>0</v>
      </c>
      <c r="AE56" s="9">
        <f>SUM(IFERROR(VLOOKUP($C:$C,Structure!$A:$AJ,AE$1,0)*$D56,0),IFERROR(VLOOKUP($E:$E,Structure!$A:$AJ,AE$1,0)*$F56,0),IFERROR(VLOOKUP($G:$G,Structure!$A:$AJ,AE$1,0)*$H56,0))</f>
        <v>0</v>
      </c>
      <c r="AF56" s="9">
        <f>SUM(IFERROR(VLOOKUP($C:$C,Structure!$A:$AJ,AF$1,0)*$D56,0),IFERROR(VLOOKUP($E:$E,Structure!$A:$AJ,AF$1,0)*$F56,0),IFERROR(VLOOKUP($G:$G,Structure!$A:$AJ,AF$1,0)*$H56,0))</f>
        <v>0</v>
      </c>
      <c r="AG56" s="9">
        <f>SUM(IFERROR(VLOOKUP($C:$C,Structure!$A:$AJ,AG$1,0)*$D56,0),IFERROR(VLOOKUP($E:$E,Structure!$A:$AJ,AG$1,0)*$F56,0),IFERROR(VLOOKUP($G:$G,Structure!$A:$AJ,AG$1,0)*$H56,0))</f>
        <v>0</v>
      </c>
      <c r="AH56" s="9">
        <f>SUM(IFERROR(VLOOKUP($C:$C,Structure!$A:$AJ,AH$1,0)*$D56,0),IFERROR(VLOOKUP($E:$E,Structure!$A:$AJ,AH$1,0)*$F56,0),IFERROR(VLOOKUP($G:$G,Structure!$A:$AJ,AH$1,0)*$H56,0))</f>
        <v>0</v>
      </c>
      <c r="AI56" s="9">
        <f>SUM(IFERROR(VLOOKUP($C:$C,Structure!$A:$AJ,AI$1,0)*$D56,0),IFERROR(VLOOKUP($E:$E,Structure!$A:$AJ,AI$1,0)*$F56,0),IFERROR(VLOOKUP($G:$G,Structure!$A:$AJ,AI$1,0)*$H56,0))</f>
        <v>0</v>
      </c>
      <c r="AJ56" s="9">
        <f>SUM(IFERROR(VLOOKUP($C:$C,Structure!$A:$AJ,AJ$1,0)*$D56,0),IFERROR(VLOOKUP($E:$E,Structure!$A:$AJ,AJ$1,0)*$F56,0),IFERROR(VLOOKUP($G:$G,Structure!$A:$AJ,AJ$1,0)*$H56,0))</f>
        <v>0</v>
      </c>
      <c r="AK56" s="9">
        <f>SUM(IFERROR(VLOOKUP($C:$C,Structure!$A:$AJ,AK$1,0)*$D56,0),IFERROR(VLOOKUP($E:$E,Structure!$A:$AJ,AK$1,0)*$F56,0),IFERROR(VLOOKUP($G:$G,Structure!$A:$AJ,AK$1,0)*$H56,0))</f>
        <v>0</v>
      </c>
      <c r="AL56" s="9">
        <f>SUM(IFERROR(VLOOKUP($C:$C,Structure!$A:$AJ,AL$1,0)*$D56,0),IFERROR(VLOOKUP($E:$E,Structure!$A:$AJ,AL$1,0)*$F56,0),IFERROR(VLOOKUP($G:$G,Structure!$A:$AJ,AL$1,0)*$H56,0))</f>
        <v>0</v>
      </c>
      <c r="AM56" s="9">
        <f>SUM(IFERROR(VLOOKUP($C:$C,Structure!$A:$AJ,AM$1,0)*$D56,0),IFERROR(VLOOKUP($E:$E,Structure!$A:$AJ,AM$1,0)*$F56,0),IFERROR(VLOOKUP($G:$G,Structure!$A:$AJ,AM$1,0)*$H56,0))</f>
        <v>0</v>
      </c>
      <c r="AN56" s="9">
        <f>SUM(IFERROR(VLOOKUP($C:$C,Structure!$A:$AJ,AN$1,0)*$D56,0),IFERROR(VLOOKUP($E:$E,Structure!$A:$AJ,AN$1,0)*$F56,0),IFERROR(VLOOKUP($G:$G,Structure!$A:$AJ,AN$1,0)*$H56,0))</f>
        <v>0</v>
      </c>
      <c r="AO56" s="9">
        <f>SUM(IFERROR(VLOOKUP($C:$C,Structure!$A:$AJ,AO$1,0)*$D56,0),IFERROR(VLOOKUP($E:$E,Structure!$A:$AJ,AO$1,0)*$F56,0),IFERROR(VLOOKUP($G:$G,Structure!$A:$AJ,AO$1,0)*$H56,0))</f>
        <v>0</v>
      </c>
      <c r="AP56" s="9">
        <f>SUM(IFERROR(VLOOKUP($C:$C,Structure!$A:$AJ,AP$1,0)*$D56,0),IFERROR(VLOOKUP($E:$E,Structure!$A:$AJ,AP$1,0)*$F56,0),IFERROR(VLOOKUP($G:$G,Structure!$A:$AJ,AP$1,0)*$H56,0))</f>
        <v>0</v>
      </c>
      <c r="AQ56" s="9">
        <f>SUM(IFERROR(VLOOKUP($C:$C,Structure!$A:$AJ,AQ$1,0)*$D56,0),IFERROR(VLOOKUP($E:$E,Structure!$A:$AJ,AQ$1,0)*$F56,0),IFERROR(VLOOKUP($G:$G,Structure!$A:$AJ,AQ$1,0)*$H56,0))</f>
        <v>0</v>
      </c>
      <c r="AR56" s="21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4">
        <f t="shared" si="57"/>
        <v>0</v>
      </c>
      <c r="CE56" s="4">
        <f t="shared" si="58"/>
        <v>117</v>
      </c>
      <c r="CF56" s="4">
        <f t="shared" si="59"/>
        <v>4</v>
      </c>
      <c r="CG56" s="4">
        <f t="shared" si="60"/>
        <v>23</v>
      </c>
      <c r="CH56" s="4">
        <f t="shared" si="61"/>
        <v>1</v>
      </c>
      <c r="CI56" s="4">
        <f t="shared" si="62"/>
        <v>51</v>
      </c>
      <c r="CJ56" s="4">
        <f t="shared" si="63"/>
        <v>-19</v>
      </c>
      <c r="CK56" s="4">
        <f t="shared" si="64"/>
        <v>246</v>
      </c>
      <c r="CL56" s="4">
        <f t="shared" si="65"/>
        <v>0</v>
      </c>
      <c r="CM56" s="4">
        <f t="shared" si="66"/>
        <v>4</v>
      </c>
      <c r="CN56" s="4">
        <f t="shared" si="67"/>
        <v>19</v>
      </c>
      <c r="CO56" s="4">
        <f t="shared" si="68"/>
        <v>0</v>
      </c>
      <c r="CP56" s="4">
        <f t="shared" si="69"/>
        <v>5</v>
      </c>
      <c r="CQ56" s="4">
        <f t="shared" si="70"/>
        <v>-105</v>
      </c>
      <c r="CR56" s="4">
        <f t="shared" si="71"/>
        <v>34</v>
      </c>
      <c r="CS56" s="4">
        <f t="shared" si="72"/>
        <v>0</v>
      </c>
      <c r="CT56" s="4">
        <f t="shared" si="73"/>
        <v>0</v>
      </c>
      <c r="CU56" s="4">
        <f t="shared" si="74"/>
        <v>0</v>
      </c>
      <c r="CV56" s="4">
        <f t="shared" si="75"/>
        <v>0</v>
      </c>
      <c r="CW56" s="4">
        <f t="shared" si="76"/>
        <v>0</v>
      </c>
      <c r="CX56" s="4">
        <f t="shared" si="77"/>
        <v>-85</v>
      </c>
      <c r="CY56" s="4">
        <f t="shared" si="78"/>
        <v>0</v>
      </c>
      <c r="CZ56" s="4">
        <f t="shared" si="79"/>
        <v>0</v>
      </c>
      <c r="DA56" s="4">
        <f t="shared" si="80"/>
        <v>0</v>
      </c>
      <c r="DB56" s="4">
        <f t="shared" si="81"/>
        <v>0</v>
      </c>
      <c r="DC56" s="4">
        <f t="shared" si="82"/>
        <v>0</v>
      </c>
      <c r="DD56" s="4">
        <f t="shared" si="83"/>
        <v>0</v>
      </c>
      <c r="DE56" s="4">
        <f t="shared" si="84"/>
        <v>0</v>
      </c>
      <c r="DF56" s="4">
        <f t="shared" si="85"/>
        <v>0</v>
      </c>
      <c r="DG56" s="4">
        <f t="shared" si="86"/>
        <v>0</v>
      </c>
      <c r="DH56" s="4">
        <f t="shared" si="87"/>
        <v>0</v>
      </c>
      <c r="DI56" s="4">
        <f t="shared" si="88"/>
        <v>0</v>
      </c>
      <c r="DJ56" s="4">
        <f t="shared" si="89"/>
        <v>0</v>
      </c>
      <c r="DK56" s="4">
        <f t="shared" si="90"/>
        <v>0</v>
      </c>
      <c r="DL56" s="4">
        <f t="shared" si="91"/>
        <v>0</v>
      </c>
    </row>
    <row r="57" spans="1:116" x14ac:dyDescent="0.25">
      <c r="A57" s="5">
        <v>46184</v>
      </c>
      <c r="B57" s="6">
        <v>0.43750000013096724</v>
      </c>
      <c r="C57" s="3"/>
      <c r="D57" s="3"/>
      <c r="E57" s="3" t="s">
        <v>30</v>
      </c>
      <c r="F57" s="3">
        <v>8</v>
      </c>
      <c r="G57" s="3"/>
      <c r="H57" s="9"/>
      <c r="I57" s="9">
        <f>SUM(IFERROR(VLOOKUP($C:$C,Structure!$A:$AJ,I$1,0)*$D57,0),IFERROR(VLOOKUP($E:$E,Structure!$A:$AJ,I$1,0)*$F57,0),IFERROR(VLOOKUP($G:$G,Structure!$A:$AJ,I$1,0)*$H57,0))</f>
        <v>0</v>
      </c>
      <c r="J57" s="9">
        <f>SUM(IFERROR(VLOOKUP($C:$C,Structure!$A:$AJ,J$1,0)*$D57,0),IFERROR(VLOOKUP($E:$E,Structure!$A:$AJ,J$1,0)*$F57,0),IFERROR(VLOOKUP($G:$G,Structure!$A:$AJ,J$1,0)*$H57,0))</f>
        <v>0</v>
      </c>
      <c r="K57" s="9">
        <f>SUM(IFERROR(VLOOKUP($C:$C,Structure!$A:$AJ,K$1,0)*$D57,0),IFERROR(VLOOKUP($E:$E,Structure!$A:$AJ,K$1,0)*$F57,0),IFERROR(VLOOKUP($G:$G,Structure!$A:$AJ,K$1,0)*$H57,0))</f>
        <v>0</v>
      </c>
      <c r="L57" s="9">
        <f>SUM(IFERROR(VLOOKUP($C:$C,Structure!$A:$AJ,L$1,0)*$D57,0),IFERROR(VLOOKUP($E:$E,Structure!$A:$AJ,L$1,0)*$F57,0),IFERROR(VLOOKUP($G:$G,Structure!$A:$AJ,L$1,0)*$H57,0))</f>
        <v>0</v>
      </c>
      <c r="M57" s="9">
        <f>SUM(IFERROR(VLOOKUP($C:$C,Structure!$A:$AJ,M$1,0)*$D57,0),IFERROR(VLOOKUP($E:$E,Structure!$A:$AJ,M$1,0)*$F57,0),IFERROR(VLOOKUP($G:$G,Structure!$A:$AJ,M$1,0)*$H57,0))</f>
        <v>0</v>
      </c>
      <c r="N57" s="9">
        <f>SUM(IFERROR(VLOOKUP($C:$C,Structure!$A:$AJ,N$1,0)*$D57,0),IFERROR(VLOOKUP($E:$E,Structure!$A:$AJ,N$1,0)*$F57,0),IFERROR(VLOOKUP($G:$G,Structure!$A:$AJ,N$1,0)*$H57,0))</f>
        <v>0</v>
      </c>
      <c r="O57" s="9">
        <f>SUM(IFERROR(VLOOKUP($C:$C,Structure!$A:$AJ,O$1,0)*$D57,0),IFERROR(VLOOKUP($E:$E,Structure!$A:$AJ,O$1,0)*$F57,0),IFERROR(VLOOKUP($G:$G,Structure!$A:$AJ,O$1,0)*$H57,0))</f>
        <v>0</v>
      </c>
      <c r="P57" s="9">
        <f>SUM(IFERROR(VLOOKUP($C:$C,Structure!$A:$AJ,P$1,0)*$D57,0),IFERROR(VLOOKUP($E:$E,Structure!$A:$AJ,P$1,0)*$F57,0),IFERROR(VLOOKUP($G:$G,Structure!$A:$AJ,P$1,0)*$H57,0))</f>
        <v>0</v>
      </c>
      <c r="Q57" s="9">
        <f>SUM(IFERROR(VLOOKUP($C:$C,Structure!$A:$AJ,Q$1,0)*$D57,0),IFERROR(VLOOKUP($E:$E,Structure!$A:$AJ,Q$1,0)*$F57,0),IFERROR(VLOOKUP($G:$G,Structure!$A:$AJ,Q$1,0)*$H57,0))</f>
        <v>0</v>
      </c>
      <c r="R57" s="9">
        <f>SUM(IFERROR(VLOOKUP($C:$C,Structure!$A:$AJ,R$1,0)*$D57,0),IFERROR(VLOOKUP($E:$E,Structure!$A:$AJ,R$1,0)*$F57,0),IFERROR(VLOOKUP($G:$G,Structure!$A:$AJ,R$1,0)*$H57,0))</f>
        <v>0</v>
      </c>
      <c r="S57" s="9">
        <f>SUM(IFERROR(VLOOKUP($C:$C,Structure!$A:$AJ,S$1,0)*$D57,0),IFERROR(VLOOKUP($E:$E,Structure!$A:$AJ,S$1,0)*$F57,0),IFERROR(VLOOKUP($G:$G,Structure!$A:$AJ,S$1,0)*$H57,0))</f>
        <v>0</v>
      </c>
      <c r="T57" s="9">
        <f>SUM(IFERROR(VLOOKUP($C:$C,Structure!$A:$AJ,T$1,0)*$D57,0),IFERROR(VLOOKUP($E:$E,Structure!$A:$AJ,T$1,0)*$F57,0),IFERROR(VLOOKUP($G:$G,Structure!$A:$AJ,T$1,0)*$H57,0))</f>
        <v>0</v>
      </c>
      <c r="U57" s="9">
        <f>SUM(IFERROR(VLOOKUP($C:$C,Structure!$A:$AJ,U$1,0)*$D57,0),IFERROR(VLOOKUP($E:$E,Structure!$A:$AJ,U$1,0)*$F57,0),IFERROR(VLOOKUP($G:$G,Structure!$A:$AJ,U$1,0)*$H57,0))</f>
        <v>0</v>
      </c>
      <c r="V57" s="9">
        <f>SUM(IFERROR(VLOOKUP($C:$C,Structure!$A:$AJ,V$1,0)*$D57,0),IFERROR(VLOOKUP($E:$E,Structure!$A:$AJ,V$1,0)*$F57,0),IFERROR(VLOOKUP($G:$G,Structure!$A:$AJ,V$1,0)*$H57,0))</f>
        <v>8</v>
      </c>
      <c r="W57" s="9">
        <f>SUM(IFERROR(VLOOKUP($C:$C,Structure!$A:$AJ,W$1,0)*$D57,0),IFERROR(VLOOKUP($E:$E,Structure!$A:$AJ,W$1,0)*$F57,0),IFERROR(VLOOKUP($G:$G,Structure!$A:$AJ,W$1,0)*$H57,0))</f>
        <v>0</v>
      </c>
      <c r="X57" s="9">
        <f>SUM(IFERROR(VLOOKUP($C:$C,Structure!$A:$AJ,X$1,0)*$D57,0),IFERROR(VLOOKUP($E:$E,Structure!$A:$AJ,X$1,0)*$F57,0),IFERROR(VLOOKUP($G:$G,Structure!$A:$AJ,X$1,0)*$H57,0))</f>
        <v>0</v>
      </c>
      <c r="Y57" s="9">
        <f>SUM(IFERROR(VLOOKUP($C:$C,Structure!$A:$AJ,Y$1,0)*$D57,0),IFERROR(VLOOKUP($E:$E,Structure!$A:$AJ,Y$1,0)*$F57,0),IFERROR(VLOOKUP($G:$G,Structure!$A:$AJ,Y$1,0)*$H57,0))</f>
        <v>0</v>
      </c>
      <c r="Z57" s="9">
        <f>SUM(IFERROR(VLOOKUP($C:$C,Structure!$A:$AJ,Z$1,0)*$D57,0),IFERROR(VLOOKUP($E:$E,Structure!$A:$AJ,Z$1,0)*$F57,0),IFERROR(VLOOKUP($G:$G,Structure!$A:$AJ,Z$1,0)*$H57,0))</f>
        <v>0</v>
      </c>
      <c r="AA57" s="9">
        <f>SUM(IFERROR(VLOOKUP($C:$C,Structure!$A:$AJ,AA$1,0)*$D57,0),IFERROR(VLOOKUP($E:$E,Structure!$A:$AJ,AA$1,0)*$F57,0),IFERROR(VLOOKUP($G:$G,Structure!$A:$AJ,AA$1,0)*$H57,0))</f>
        <v>0</v>
      </c>
      <c r="AB57" s="9">
        <f>SUM(IFERROR(VLOOKUP($C:$C,Structure!$A:$AJ,AB$1,0)*$D57,0),IFERROR(VLOOKUP($E:$E,Structure!$A:$AJ,AB$1,0)*$F57,0),IFERROR(VLOOKUP($G:$G,Structure!$A:$AJ,AB$1,0)*$H57,0))</f>
        <v>0</v>
      </c>
      <c r="AC57" s="9">
        <f>SUM(IFERROR(VLOOKUP($C:$C,Structure!$A:$AJ,AC$1,0)*$D57,0),IFERROR(VLOOKUP($E:$E,Structure!$A:$AJ,AC$1,0)*$F57,0),IFERROR(VLOOKUP($G:$G,Structure!$A:$AJ,AC$1,0)*$H57,0))</f>
        <v>8</v>
      </c>
      <c r="AD57" s="9">
        <f>SUM(IFERROR(VLOOKUP($C:$C,Structure!$A:$AJ,AD$1,0)*$D57,0),IFERROR(VLOOKUP($E:$E,Structure!$A:$AJ,AD$1,0)*$F57,0),IFERROR(VLOOKUP($G:$G,Structure!$A:$AJ,AD$1,0)*$H57,0))</f>
        <v>0</v>
      </c>
      <c r="AE57" s="9">
        <f>SUM(IFERROR(VLOOKUP($C:$C,Structure!$A:$AJ,AE$1,0)*$D57,0),IFERROR(VLOOKUP($E:$E,Structure!$A:$AJ,AE$1,0)*$F57,0),IFERROR(VLOOKUP($G:$G,Structure!$A:$AJ,AE$1,0)*$H57,0))</f>
        <v>0</v>
      </c>
      <c r="AF57" s="9">
        <f>SUM(IFERROR(VLOOKUP($C:$C,Structure!$A:$AJ,AF$1,0)*$D57,0),IFERROR(VLOOKUP($E:$E,Structure!$A:$AJ,AF$1,0)*$F57,0),IFERROR(VLOOKUP($G:$G,Structure!$A:$AJ,AF$1,0)*$H57,0))</f>
        <v>0</v>
      </c>
      <c r="AG57" s="9">
        <f>SUM(IFERROR(VLOOKUP($C:$C,Structure!$A:$AJ,AG$1,0)*$D57,0),IFERROR(VLOOKUP($E:$E,Structure!$A:$AJ,AG$1,0)*$F57,0),IFERROR(VLOOKUP($G:$G,Structure!$A:$AJ,AG$1,0)*$H57,0))</f>
        <v>0</v>
      </c>
      <c r="AH57" s="9">
        <f>SUM(IFERROR(VLOOKUP($C:$C,Structure!$A:$AJ,AH$1,0)*$D57,0),IFERROR(VLOOKUP($E:$E,Structure!$A:$AJ,AH$1,0)*$F57,0),IFERROR(VLOOKUP($G:$G,Structure!$A:$AJ,AH$1,0)*$H57,0))</f>
        <v>0</v>
      </c>
      <c r="AI57" s="9">
        <f>SUM(IFERROR(VLOOKUP($C:$C,Structure!$A:$AJ,AI$1,0)*$D57,0),IFERROR(VLOOKUP($E:$E,Structure!$A:$AJ,AI$1,0)*$F57,0),IFERROR(VLOOKUP($G:$G,Structure!$A:$AJ,AI$1,0)*$H57,0))</f>
        <v>0</v>
      </c>
      <c r="AJ57" s="9">
        <f>SUM(IFERROR(VLOOKUP($C:$C,Structure!$A:$AJ,AJ$1,0)*$D57,0),IFERROR(VLOOKUP($E:$E,Structure!$A:$AJ,AJ$1,0)*$F57,0),IFERROR(VLOOKUP($G:$G,Structure!$A:$AJ,AJ$1,0)*$H57,0))</f>
        <v>0</v>
      </c>
      <c r="AK57" s="9">
        <f>SUM(IFERROR(VLOOKUP($C:$C,Structure!$A:$AJ,AK$1,0)*$D57,0),IFERROR(VLOOKUP($E:$E,Structure!$A:$AJ,AK$1,0)*$F57,0),IFERROR(VLOOKUP($G:$G,Structure!$A:$AJ,AK$1,0)*$H57,0))</f>
        <v>0</v>
      </c>
      <c r="AL57" s="9">
        <f>SUM(IFERROR(VLOOKUP($C:$C,Structure!$A:$AJ,AL$1,0)*$D57,0),IFERROR(VLOOKUP($E:$E,Structure!$A:$AJ,AL$1,0)*$F57,0),IFERROR(VLOOKUP($G:$G,Structure!$A:$AJ,AL$1,0)*$H57,0))</f>
        <v>0</v>
      </c>
      <c r="AM57" s="9">
        <f>SUM(IFERROR(VLOOKUP($C:$C,Structure!$A:$AJ,AM$1,0)*$D57,0),IFERROR(VLOOKUP($E:$E,Structure!$A:$AJ,AM$1,0)*$F57,0),IFERROR(VLOOKUP($G:$G,Structure!$A:$AJ,AM$1,0)*$H57,0))</f>
        <v>0</v>
      </c>
      <c r="AN57" s="9">
        <f>SUM(IFERROR(VLOOKUP($C:$C,Structure!$A:$AJ,AN$1,0)*$D57,0),IFERROR(VLOOKUP($E:$E,Structure!$A:$AJ,AN$1,0)*$F57,0),IFERROR(VLOOKUP($G:$G,Structure!$A:$AJ,AN$1,0)*$H57,0))</f>
        <v>0</v>
      </c>
      <c r="AO57" s="9">
        <f>SUM(IFERROR(VLOOKUP($C:$C,Structure!$A:$AJ,AO$1,0)*$D57,0),IFERROR(VLOOKUP($E:$E,Structure!$A:$AJ,AO$1,0)*$F57,0),IFERROR(VLOOKUP($G:$G,Structure!$A:$AJ,AO$1,0)*$H57,0))</f>
        <v>0</v>
      </c>
      <c r="AP57" s="9">
        <f>SUM(IFERROR(VLOOKUP($C:$C,Structure!$A:$AJ,AP$1,0)*$D57,0),IFERROR(VLOOKUP($E:$E,Structure!$A:$AJ,AP$1,0)*$F57,0),IFERROR(VLOOKUP($G:$G,Structure!$A:$AJ,AP$1,0)*$H57,0))</f>
        <v>0</v>
      </c>
      <c r="AQ57" s="9">
        <f>SUM(IFERROR(VLOOKUP($C:$C,Structure!$A:$AJ,AQ$1,0)*$D57,0),IFERROR(VLOOKUP($E:$E,Structure!$A:$AJ,AQ$1,0)*$F57,0),IFERROR(VLOOKUP($G:$G,Structure!$A:$AJ,AQ$1,0)*$H57,0))</f>
        <v>0</v>
      </c>
      <c r="AR57" s="21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4">
        <f t="shared" si="57"/>
        <v>0</v>
      </c>
      <c r="CE57" s="4">
        <f t="shared" si="58"/>
        <v>117</v>
      </c>
      <c r="CF57" s="4">
        <f t="shared" si="59"/>
        <v>4</v>
      </c>
      <c r="CG57" s="4">
        <f t="shared" si="60"/>
        <v>23</v>
      </c>
      <c r="CH57" s="4">
        <f t="shared" si="61"/>
        <v>1</v>
      </c>
      <c r="CI57" s="4">
        <f t="shared" si="62"/>
        <v>51</v>
      </c>
      <c r="CJ57" s="4">
        <f t="shared" si="63"/>
        <v>-19</v>
      </c>
      <c r="CK57" s="4">
        <f t="shared" si="64"/>
        <v>246</v>
      </c>
      <c r="CL57" s="4">
        <f t="shared" si="65"/>
        <v>0</v>
      </c>
      <c r="CM57" s="4">
        <f t="shared" si="66"/>
        <v>4</v>
      </c>
      <c r="CN57" s="4">
        <f t="shared" si="67"/>
        <v>19</v>
      </c>
      <c r="CO57" s="4">
        <f t="shared" si="68"/>
        <v>0</v>
      </c>
      <c r="CP57" s="4">
        <f t="shared" si="69"/>
        <v>5</v>
      </c>
      <c r="CQ57" s="4">
        <f t="shared" si="70"/>
        <v>-113</v>
      </c>
      <c r="CR57" s="4">
        <f t="shared" si="71"/>
        <v>34</v>
      </c>
      <c r="CS57" s="4">
        <f t="shared" si="72"/>
        <v>0</v>
      </c>
      <c r="CT57" s="4">
        <f t="shared" si="73"/>
        <v>0</v>
      </c>
      <c r="CU57" s="4">
        <f t="shared" si="74"/>
        <v>0</v>
      </c>
      <c r="CV57" s="4">
        <f t="shared" si="75"/>
        <v>0</v>
      </c>
      <c r="CW57" s="4">
        <f t="shared" si="76"/>
        <v>0</v>
      </c>
      <c r="CX57" s="4">
        <f t="shared" si="77"/>
        <v>-93</v>
      </c>
      <c r="CY57" s="4">
        <f t="shared" si="78"/>
        <v>0</v>
      </c>
      <c r="CZ57" s="4">
        <f t="shared" si="79"/>
        <v>0</v>
      </c>
      <c r="DA57" s="4">
        <f t="shared" si="80"/>
        <v>0</v>
      </c>
      <c r="DB57" s="4">
        <f t="shared" si="81"/>
        <v>0</v>
      </c>
      <c r="DC57" s="4">
        <f t="shared" si="82"/>
        <v>0</v>
      </c>
      <c r="DD57" s="4">
        <f t="shared" si="83"/>
        <v>0</v>
      </c>
      <c r="DE57" s="4">
        <f t="shared" si="84"/>
        <v>0</v>
      </c>
      <c r="DF57" s="4">
        <f t="shared" si="85"/>
        <v>0</v>
      </c>
      <c r="DG57" s="4">
        <f t="shared" si="86"/>
        <v>0</v>
      </c>
      <c r="DH57" s="4">
        <f t="shared" si="87"/>
        <v>0</v>
      </c>
      <c r="DI57" s="4">
        <f t="shared" si="88"/>
        <v>0</v>
      </c>
      <c r="DJ57" s="4">
        <f t="shared" si="89"/>
        <v>0</v>
      </c>
      <c r="DK57" s="4">
        <f t="shared" si="90"/>
        <v>0</v>
      </c>
      <c r="DL57" s="4">
        <f t="shared" si="91"/>
        <v>0</v>
      </c>
    </row>
    <row r="58" spans="1:116" x14ac:dyDescent="0.25">
      <c r="A58" s="5">
        <v>46184</v>
      </c>
      <c r="B58" s="6">
        <v>0.45833333346672589</v>
      </c>
      <c r="C58" s="3"/>
      <c r="D58" s="3"/>
      <c r="E58" s="3" t="s">
        <v>30</v>
      </c>
      <c r="F58" s="3">
        <v>8</v>
      </c>
      <c r="G58" s="3"/>
      <c r="H58" s="9"/>
      <c r="I58" s="9">
        <f>SUM(IFERROR(VLOOKUP($C:$C,Structure!$A:$AJ,I$1,0)*$D58,0),IFERROR(VLOOKUP($E:$E,Structure!$A:$AJ,I$1,0)*$F58,0),IFERROR(VLOOKUP($G:$G,Structure!$A:$AJ,I$1,0)*$H58,0))</f>
        <v>0</v>
      </c>
      <c r="J58" s="9">
        <f>SUM(IFERROR(VLOOKUP($C:$C,Structure!$A:$AJ,J$1,0)*$D58,0),IFERROR(VLOOKUP($E:$E,Structure!$A:$AJ,J$1,0)*$F58,0),IFERROR(VLOOKUP($G:$G,Structure!$A:$AJ,J$1,0)*$H58,0))</f>
        <v>0</v>
      </c>
      <c r="K58" s="9">
        <f>SUM(IFERROR(VLOOKUP($C:$C,Structure!$A:$AJ,K$1,0)*$D58,0),IFERROR(VLOOKUP($E:$E,Structure!$A:$AJ,K$1,0)*$F58,0),IFERROR(VLOOKUP($G:$G,Structure!$A:$AJ,K$1,0)*$H58,0))</f>
        <v>0</v>
      </c>
      <c r="L58" s="9">
        <f>SUM(IFERROR(VLOOKUP($C:$C,Structure!$A:$AJ,L$1,0)*$D58,0),IFERROR(VLOOKUP($E:$E,Structure!$A:$AJ,L$1,0)*$F58,0),IFERROR(VLOOKUP($G:$G,Structure!$A:$AJ,L$1,0)*$H58,0))</f>
        <v>0</v>
      </c>
      <c r="M58" s="9">
        <f>SUM(IFERROR(VLOOKUP($C:$C,Structure!$A:$AJ,M$1,0)*$D58,0),IFERROR(VLOOKUP($E:$E,Structure!$A:$AJ,M$1,0)*$F58,0),IFERROR(VLOOKUP($G:$G,Structure!$A:$AJ,M$1,0)*$H58,0))</f>
        <v>0</v>
      </c>
      <c r="N58" s="9">
        <f>SUM(IFERROR(VLOOKUP($C:$C,Structure!$A:$AJ,N$1,0)*$D58,0),IFERROR(VLOOKUP($E:$E,Structure!$A:$AJ,N$1,0)*$F58,0),IFERROR(VLOOKUP($G:$G,Structure!$A:$AJ,N$1,0)*$H58,0))</f>
        <v>0</v>
      </c>
      <c r="O58" s="9">
        <f>SUM(IFERROR(VLOOKUP($C:$C,Structure!$A:$AJ,O$1,0)*$D58,0),IFERROR(VLOOKUP($E:$E,Structure!$A:$AJ,O$1,0)*$F58,0),IFERROR(VLOOKUP($G:$G,Structure!$A:$AJ,O$1,0)*$H58,0))</f>
        <v>0</v>
      </c>
      <c r="P58" s="9">
        <f>SUM(IFERROR(VLOOKUP($C:$C,Structure!$A:$AJ,P$1,0)*$D58,0),IFERROR(VLOOKUP($E:$E,Structure!$A:$AJ,P$1,0)*$F58,0),IFERROR(VLOOKUP($G:$G,Structure!$A:$AJ,P$1,0)*$H58,0))</f>
        <v>0</v>
      </c>
      <c r="Q58" s="9">
        <f>SUM(IFERROR(VLOOKUP($C:$C,Structure!$A:$AJ,Q$1,0)*$D58,0),IFERROR(VLOOKUP($E:$E,Structure!$A:$AJ,Q$1,0)*$F58,0),IFERROR(VLOOKUP($G:$G,Structure!$A:$AJ,Q$1,0)*$H58,0))</f>
        <v>0</v>
      </c>
      <c r="R58" s="9">
        <f>SUM(IFERROR(VLOOKUP($C:$C,Structure!$A:$AJ,R$1,0)*$D58,0),IFERROR(VLOOKUP($E:$E,Structure!$A:$AJ,R$1,0)*$F58,0),IFERROR(VLOOKUP($G:$G,Structure!$A:$AJ,R$1,0)*$H58,0))</f>
        <v>0</v>
      </c>
      <c r="S58" s="9">
        <f>SUM(IFERROR(VLOOKUP($C:$C,Structure!$A:$AJ,S$1,0)*$D58,0),IFERROR(VLOOKUP($E:$E,Structure!$A:$AJ,S$1,0)*$F58,0),IFERROR(VLOOKUP($G:$G,Structure!$A:$AJ,S$1,0)*$H58,0))</f>
        <v>0</v>
      </c>
      <c r="T58" s="9">
        <f>SUM(IFERROR(VLOOKUP($C:$C,Structure!$A:$AJ,T$1,0)*$D58,0),IFERROR(VLOOKUP($E:$E,Structure!$A:$AJ,T$1,0)*$F58,0),IFERROR(VLOOKUP($G:$G,Structure!$A:$AJ,T$1,0)*$H58,0))</f>
        <v>0</v>
      </c>
      <c r="U58" s="9">
        <f>SUM(IFERROR(VLOOKUP($C:$C,Structure!$A:$AJ,U$1,0)*$D58,0),IFERROR(VLOOKUP($E:$E,Structure!$A:$AJ,U$1,0)*$F58,0),IFERROR(VLOOKUP($G:$G,Structure!$A:$AJ,U$1,0)*$H58,0))</f>
        <v>0</v>
      </c>
      <c r="V58" s="9">
        <f>SUM(IFERROR(VLOOKUP($C:$C,Structure!$A:$AJ,V$1,0)*$D58,0),IFERROR(VLOOKUP($E:$E,Structure!$A:$AJ,V$1,0)*$F58,0),IFERROR(VLOOKUP($G:$G,Structure!$A:$AJ,V$1,0)*$H58,0))</f>
        <v>8</v>
      </c>
      <c r="W58" s="9">
        <f>SUM(IFERROR(VLOOKUP($C:$C,Structure!$A:$AJ,W$1,0)*$D58,0),IFERROR(VLOOKUP($E:$E,Structure!$A:$AJ,W$1,0)*$F58,0),IFERROR(VLOOKUP($G:$G,Structure!$A:$AJ,W$1,0)*$H58,0))</f>
        <v>0</v>
      </c>
      <c r="X58" s="9">
        <f>SUM(IFERROR(VLOOKUP($C:$C,Structure!$A:$AJ,X$1,0)*$D58,0),IFERROR(VLOOKUP($E:$E,Structure!$A:$AJ,X$1,0)*$F58,0),IFERROR(VLOOKUP($G:$G,Structure!$A:$AJ,X$1,0)*$H58,0))</f>
        <v>0</v>
      </c>
      <c r="Y58" s="9">
        <f>SUM(IFERROR(VLOOKUP($C:$C,Structure!$A:$AJ,Y$1,0)*$D58,0),IFERROR(VLOOKUP($E:$E,Structure!$A:$AJ,Y$1,0)*$F58,0),IFERROR(VLOOKUP($G:$G,Structure!$A:$AJ,Y$1,0)*$H58,0))</f>
        <v>0</v>
      </c>
      <c r="Z58" s="9">
        <f>SUM(IFERROR(VLOOKUP($C:$C,Structure!$A:$AJ,Z$1,0)*$D58,0),IFERROR(VLOOKUP($E:$E,Structure!$A:$AJ,Z$1,0)*$F58,0),IFERROR(VLOOKUP($G:$G,Structure!$A:$AJ,Z$1,0)*$H58,0))</f>
        <v>0</v>
      </c>
      <c r="AA58" s="9">
        <f>SUM(IFERROR(VLOOKUP($C:$C,Structure!$A:$AJ,AA$1,0)*$D58,0),IFERROR(VLOOKUP($E:$E,Structure!$A:$AJ,AA$1,0)*$F58,0),IFERROR(VLOOKUP($G:$G,Structure!$A:$AJ,AA$1,0)*$H58,0))</f>
        <v>0</v>
      </c>
      <c r="AB58" s="9">
        <f>SUM(IFERROR(VLOOKUP($C:$C,Structure!$A:$AJ,AB$1,0)*$D58,0),IFERROR(VLOOKUP($E:$E,Structure!$A:$AJ,AB$1,0)*$F58,0),IFERROR(VLOOKUP($G:$G,Structure!$A:$AJ,AB$1,0)*$H58,0))</f>
        <v>0</v>
      </c>
      <c r="AC58" s="9">
        <f>SUM(IFERROR(VLOOKUP($C:$C,Structure!$A:$AJ,AC$1,0)*$D58,0),IFERROR(VLOOKUP($E:$E,Structure!$A:$AJ,AC$1,0)*$F58,0),IFERROR(VLOOKUP($G:$G,Structure!$A:$AJ,AC$1,0)*$H58,0))</f>
        <v>8</v>
      </c>
      <c r="AD58" s="9">
        <f>SUM(IFERROR(VLOOKUP($C:$C,Structure!$A:$AJ,AD$1,0)*$D58,0),IFERROR(VLOOKUP($E:$E,Structure!$A:$AJ,AD$1,0)*$F58,0),IFERROR(VLOOKUP($G:$G,Structure!$A:$AJ,AD$1,0)*$H58,0))</f>
        <v>0</v>
      </c>
      <c r="AE58" s="9">
        <f>SUM(IFERROR(VLOOKUP($C:$C,Structure!$A:$AJ,AE$1,0)*$D58,0),IFERROR(VLOOKUP($E:$E,Structure!$A:$AJ,AE$1,0)*$F58,0),IFERROR(VLOOKUP($G:$G,Structure!$A:$AJ,AE$1,0)*$H58,0))</f>
        <v>0</v>
      </c>
      <c r="AF58" s="9">
        <f>SUM(IFERROR(VLOOKUP($C:$C,Structure!$A:$AJ,AF$1,0)*$D58,0),IFERROR(VLOOKUP($E:$E,Structure!$A:$AJ,AF$1,0)*$F58,0),IFERROR(VLOOKUP($G:$G,Structure!$A:$AJ,AF$1,0)*$H58,0))</f>
        <v>0</v>
      </c>
      <c r="AG58" s="9">
        <f>SUM(IFERROR(VLOOKUP($C:$C,Structure!$A:$AJ,AG$1,0)*$D58,0),IFERROR(VLOOKUP($E:$E,Structure!$A:$AJ,AG$1,0)*$F58,0),IFERROR(VLOOKUP($G:$G,Structure!$A:$AJ,AG$1,0)*$H58,0))</f>
        <v>0</v>
      </c>
      <c r="AH58" s="9">
        <f>SUM(IFERROR(VLOOKUP($C:$C,Structure!$A:$AJ,AH$1,0)*$D58,0),IFERROR(VLOOKUP($E:$E,Structure!$A:$AJ,AH$1,0)*$F58,0),IFERROR(VLOOKUP($G:$G,Structure!$A:$AJ,AH$1,0)*$H58,0))</f>
        <v>0</v>
      </c>
      <c r="AI58" s="9">
        <f>SUM(IFERROR(VLOOKUP($C:$C,Structure!$A:$AJ,AI$1,0)*$D58,0),IFERROR(VLOOKUP($E:$E,Structure!$A:$AJ,AI$1,0)*$F58,0),IFERROR(VLOOKUP($G:$G,Structure!$A:$AJ,AI$1,0)*$H58,0))</f>
        <v>0</v>
      </c>
      <c r="AJ58" s="9">
        <f>SUM(IFERROR(VLOOKUP($C:$C,Structure!$A:$AJ,AJ$1,0)*$D58,0),IFERROR(VLOOKUP($E:$E,Structure!$A:$AJ,AJ$1,0)*$F58,0),IFERROR(VLOOKUP($G:$G,Structure!$A:$AJ,AJ$1,0)*$H58,0))</f>
        <v>0</v>
      </c>
      <c r="AK58" s="9">
        <f>SUM(IFERROR(VLOOKUP($C:$C,Structure!$A:$AJ,AK$1,0)*$D58,0),IFERROR(VLOOKUP($E:$E,Structure!$A:$AJ,AK$1,0)*$F58,0),IFERROR(VLOOKUP($G:$G,Structure!$A:$AJ,AK$1,0)*$H58,0))</f>
        <v>0</v>
      </c>
      <c r="AL58" s="9">
        <f>SUM(IFERROR(VLOOKUP($C:$C,Structure!$A:$AJ,AL$1,0)*$D58,0),IFERROR(VLOOKUP($E:$E,Structure!$A:$AJ,AL$1,0)*$F58,0),IFERROR(VLOOKUP($G:$G,Structure!$A:$AJ,AL$1,0)*$H58,0))</f>
        <v>0</v>
      </c>
      <c r="AM58" s="9">
        <f>SUM(IFERROR(VLOOKUP($C:$C,Structure!$A:$AJ,AM$1,0)*$D58,0),IFERROR(VLOOKUP($E:$E,Structure!$A:$AJ,AM$1,0)*$F58,0),IFERROR(VLOOKUP($G:$G,Structure!$A:$AJ,AM$1,0)*$H58,0))</f>
        <v>0</v>
      </c>
      <c r="AN58" s="9">
        <f>SUM(IFERROR(VLOOKUP($C:$C,Structure!$A:$AJ,AN$1,0)*$D58,0),IFERROR(VLOOKUP($E:$E,Structure!$A:$AJ,AN$1,0)*$F58,0),IFERROR(VLOOKUP($G:$G,Structure!$A:$AJ,AN$1,0)*$H58,0))</f>
        <v>0</v>
      </c>
      <c r="AO58" s="9">
        <f>SUM(IFERROR(VLOOKUP($C:$C,Structure!$A:$AJ,AO$1,0)*$D58,0),IFERROR(VLOOKUP($E:$E,Structure!$A:$AJ,AO$1,0)*$F58,0),IFERROR(VLOOKUP($G:$G,Structure!$A:$AJ,AO$1,0)*$H58,0))</f>
        <v>0</v>
      </c>
      <c r="AP58" s="9">
        <f>SUM(IFERROR(VLOOKUP($C:$C,Structure!$A:$AJ,AP$1,0)*$D58,0),IFERROR(VLOOKUP($E:$E,Structure!$A:$AJ,AP$1,0)*$F58,0),IFERROR(VLOOKUP($G:$G,Structure!$A:$AJ,AP$1,0)*$H58,0))</f>
        <v>0</v>
      </c>
      <c r="AQ58" s="9">
        <f>SUM(IFERROR(VLOOKUP($C:$C,Structure!$A:$AJ,AQ$1,0)*$D58,0),IFERROR(VLOOKUP($E:$E,Structure!$A:$AJ,AQ$1,0)*$F58,0),IFERROR(VLOOKUP($G:$G,Structure!$A:$AJ,AQ$1,0)*$H58,0))</f>
        <v>0</v>
      </c>
      <c r="AR58" s="21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4">
        <f t="shared" si="57"/>
        <v>0</v>
      </c>
      <c r="CE58" s="4">
        <f t="shared" si="58"/>
        <v>117</v>
      </c>
      <c r="CF58" s="4">
        <f t="shared" si="59"/>
        <v>4</v>
      </c>
      <c r="CG58" s="4">
        <f t="shared" si="60"/>
        <v>23</v>
      </c>
      <c r="CH58" s="4">
        <f t="shared" si="61"/>
        <v>1</v>
      </c>
      <c r="CI58" s="4">
        <f t="shared" si="62"/>
        <v>51</v>
      </c>
      <c r="CJ58" s="4">
        <f t="shared" si="63"/>
        <v>-19</v>
      </c>
      <c r="CK58" s="4">
        <f t="shared" si="64"/>
        <v>246</v>
      </c>
      <c r="CL58" s="4">
        <f t="shared" si="65"/>
        <v>0</v>
      </c>
      <c r="CM58" s="4">
        <f t="shared" si="66"/>
        <v>4</v>
      </c>
      <c r="CN58" s="4">
        <f t="shared" si="67"/>
        <v>19</v>
      </c>
      <c r="CO58" s="4">
        <f t="shared" si="68"/>
        <v>0</v>
      </c>
      <c r="CP58" s="4">
        <f t="shared" si="69"/>
        <v>5</v>
      </c>
      <c r="CQ58" s="4">
        <f t="shared" si="70"/>
        <v>-121</v>
      </c>
      <c r="CR58" s="4">
        <f t="shared" si="71"/>
        <v>34</v>
      </c>
      <c r="CS58" s="4">
        <f t="shared" si="72"/>
        <v>0</v>
      </c>
      <c r="CT58" s="4">
        <f t="shared" si="73"/>
        <v>0</v>
      </c>
      <c r="CU58" s="4">
        <f t="shared" si="74"/>
        <v>0</v>
      </c>
      <c r="CV58" s="4">
        <f t="shared" si="75"/>
        <v>0</v>
      </c>
      <c r="CW58" s="4">
        <f t="shared" si="76"/>
        <v>0</v>
      </c>
      <c r="CX58" s="4">
        <f t="shared" si="77"/>
        <v>-101</v>
      </c>
      <c r="CY58" s="4">
        <f t="shared" si="78"/>
        <v>0</v>
      </c>
      <c r="CZ58" s="4">
        <f t="shared" si="79"/>
        <v>0</v>
      </c>
      <c r="DA58" s="4">
        <f t="shared" si="80"/>
        <v>0</v>
      </c>
      <c r="DB58" s="4">
        <f t="shared" si="81"/>
        <v>0</v>
      </c>
      <c r="DC58" s="4">
        <f t="shared" si="82"/>
        <v>0</v>
      </c>
      <c r="DD58" s="4">
        <f t="shared" si="83"/>
        <v>0</v>
      </c>
      <c r="DE58" s="4">
        <f t="shared" si="84"/>
        <v>0</v>
      </c>
      <c r="DF58" s="4">
        <f t="shared" si="85"/>
        <v>0</v>
      </c>
      <c r="DG58" s="4">
        <f t="shared" si="86"/>
        <v>0</v>
      </c>
      <c r="DH58" s="4">
        <f t="shared" si="87"/>
        <v>0</v>
      </c>
      <c r="DI58" s="4">
        <f t="shared" si="88"/>
        <v>0</v>
      </c>
      <c r="DJ58" s="4">
        <f t="shared" si="89"/>
        <v>0</v>
      </c>
      <c r="DK58" s="4">
        <f t="shared" si="90"/>
        <v>0</v>
      </c>
      <c r="DL58" s="4">
        <f t="shared" si="91"/>
        <v>0</v>
      </c>
    </row>
    <row r="59" spans="1:116" x14ac:dyDescent="0.25">
      <c r="A59" s="5">
        <v>46184</v>
      </c>
      <c r="B59" s="6">
        <v>0.47916666680248454</v>
      </c>
      <c r="C59" s="3"/>
      <c r="D59" s="3"/>
      <c r="E59" s="3" t="s">
        <v>30</v>
      </c>
      <c r="F59" s="3">
        <v>8</v>
      </c>
      <c r="G59" s="3"/>
      <c r="H59" s="9"/>
      <c r="I59" s="9">
        <f>SUM(IFERROR(VLOOKUP($C:$C,Structure!$A:$AJ,I$1,0)*$D59,0),IFERROR(VLOOKUP($E:$E,Structure!$A:$AJ,I$1,0)*$F59,0),IFERROR(VLOOKUP($G:$G,Structure!$A:$AJ,I$1,0)*$H59,0))</f>
        <v>0</v>
      </c>
      <c r="J59" s="9">
        <f>SUM(IFERROR(VLOOKUP($C:$C,Structure!$A:$AJ,J$1,0)*$D59,0),IFERROR(VLOOKUP($E:$E,Structure!$A:$AJ,J$1,0)*$F59,0),IFERROR(VLOOKUP($G:$G,Structure!$A:$AJ,J$1,0)*$H59,0))</f>
        <v>0</v>
      </c>
      <c r="K59" s="9">
        <f>SUM(IFERROR(VLOOKUP($C:$C,Structure!$A:$AJ,K$1,0)*$D59,0),IFERROR(VLOOKUP($E:$E,Structure!$A:$AJ,K$1,0)*$F59,0),IFERROR(VLOOKUP($G:$G,Structure!$A:$AJ,K$1,0)*$H59,0))</f>
        <v>0</v>
      </c>
      <c r="L59" s="9">
        <f>SUM(IFERROR(VLOOKUP($C:$C,Structure!$A:$AJ,L$1,0)*$D59,0),IFERROR(VLOOKUP($E:$E,Structure!$A:$AJ,L$1,0)*$F59,0),IFERROR(VLOOKUP($G:$G,Structure!$A:$AJ,L$1,0)*$H59,0))</f>
        <v>0</v>
      </c>
      <c r="M59" s="9">
        <f>SUM(IFERROR(VLOOKUP($C:$C,Structure!$A:$AJ,M$1,0)*$D59,0),IFERROR(VLOOKUP($E:$E,Structure!$A:$AJ,M$1,0)*$F59,0),IFERROR(VLOOKUP($G:$G,Structure!$A:$AJ,M$1,0)*$H59,0))</f>
        <v>0</v>
      </c>
      <c r="N59" s="9">
        <f>SUM(IFERROR(VLOOKUP($C:$C,Structure!$A:$AJ,N$1,0)*$D59,0),IFERROR(VLOOKUP($E:$E,Structure!$A:$AJ,N$1,0)*$F59,0),IFERROR(VLOOKUP($G:$G,Structure!$A:$AJ,N$1,0)*$H59,0))</f>
        <v>0</v>
      </c>
      <c r="O59" s="9">
        <f>SUM(IFERROR(VLOOKUP($C:$C,Structure!$A:$AJ,O$1,0)*$D59,0),IFERROR(VLOOKUP($E:$E,Structure!$A:$AJ,O$1,0)*$F59,0),IFERROR(VLOOKUP($G:$G,Structure!$A:$AJ,O$1,0)*$H59,0))</f>
        <v>0</v>
      </c>
      <c r="P59" s="9">
        <f>SUM(IFERROR(VLOOKUP($C:$C,Structure!$A:$AJ,P$1,0)*$D59,0),IFERROR(VLOOKUP($E:$E,Structure!$A:$AJ,P$1,0)*$F59,0),IFERROR(VLOOKUP($G:$G,Structure!$A:$AJ,P$1,0)*$H59,0))</f>
        <v>0</v>
      </c>
      <c r="Q59" s="9">
        <f>SUM(IFERROR(VLOOKUP($C:$C,Structure!$A:$AJ,Q$1,0)*$D59,0),IFERROR(VLOOKUP($E:$E,Structure!$A:$AJ,Q$1,0)*$F59,0),IFERROR(VLOOKUP($G:$G,Structure!$A:$AJ,Q$1,0)*$H59,0))</f>
        <v>0</v>
      </c>
      <c r="R59" s="9">
        <f>SUM(IFERROR(VLOOKUP($C:$C,Structure!$A:$AJ,R$1,0)*$D59,0),IFERROR(VLOOKUP($E:$E,Structure!$A:$AJ,R$1,0)*$F59,0),IFERROR(VLOOKUP($G:$G,Structure!$A:$AJ,R$1,0)*$H59,0))</f>
        <v>0</v>
      </c>
      <c r="S59" s="9">
        <f>SUM(IFERROR(VLOOKUP($C:$C,Structure!$A:$AJ,S$1,0)*$D59,0),IFERROR(VLOOKUP($E:$E,Structure!$A:$AJ,S$1,0)*$F59,0),IFERROR(VLOOKUP($G:$G,Structure!$A:$AJ,S$1,0)*$H59,0))</f>
        <v>0</v>
      </c>
      <c r="T59" s="9">
        <f>SUM(IFERROR(VLOOKUP($C:$C,Structure!$A:$AJ,T$1,0)*$D59,0),IFERROR(VLOOKUP($E:$E,Structure!$A:$AJ,T$1,0)*$F59,0),IFERROR(VLOOKUP($G:$G,Structure!$A:$AJ,T$1,0)*$H59,0))</f>
        <v>0</v>
      </c>
      <c r="U59" s="9">
        <f>SUM(IFERROR(VLOOKUP($C:$C,Structure!$A:$AJ,U$1,0)*$D59,0),IFERROR(VLOOKUP($E:$E,Structure!$A:$AJ,U$1,0)*$F59,0),IFERROR(VLOOKUP($G:$G,Structure!$A:$AJ,U$1,0)*$H59,0))</f>
        <v>0</v>
      </c>
      <c r="V59" s="9">
        <f>SUM(IFERROR(VLOOKUP($C:$C,Structure!$A:$AJ,V$1,0)*$D59,0),IFERROR(VLOOKUP($E:$E,Structure!$A:$AJ,V$1,0)*$F59,0),IFERROR(VLOOKUP($G:$G,Structure!$A:$AJ,V$1,0)*$H59,0))</f>
        <v>8</v>
      </c>
      <c r="W59" s="9">
        <f>SUM(IFERROR(VLOOKUP($C:$C,Structure!$A:$AJ,W$1,0)*$D59,0),IFERROR(VLOOKUP($E:$E,Structure!$A:$AJ,W$1,0)*$F59,0),IFERROR(VLOOKUP($G:$G,Structure!$A:$AJ,W$1,0)*$H59,0))</f>
        <v>0</v>
      </c>
      <c r="X59" s="9">
        <f>SUM(IFERROR(VLOOKUP($C:$C,Structure!$A:$AJ,X$1,0)*$D59,0),IFERROR(VLOOKUP($E:$E,Structure!$A:$AJ,X$1,0)*$F59,0),IFERROR(VLOOKUP($G:$G,Structure!$A:$AJ,X$1,0)*$H59,0))</f>
        <v>0</v>
      </c>
      <c r="Y59" s="9">
        <f>SUM(IFERROR(VLOOKUP($C:$C,Structure!$A:$AJ,Y$1,0)*$D59,0),IFERROR(VLOOKUP($E:$E,Structure!$A:$AJ,Y$1,0)*$F59,0),IFERROR(VLOOKUP($G:$G,Structure!$A:$AJ,Y$1,0)*$H59,0))</f>
        <v>0</v>
      </c>
      <c r="Z59" s="9">
        <f>SUM(IFERROR(VLOOKUP($C:$C,Structure!$A:$AJ,Z$1,0)*$D59,0),IFERROR(VLOOKUP($E:$E,Structure!$A:$AJ,Z$1,0)*$F59,0),IFERROR(VLOOKUP($G:$G,Structure!$A:$AJ,Z$1,0)*$H59,0))</f>
        <v>0</v>
      </c>
      <c r="AA59" s="9">
        <f>SUM(IFERROR(VLOOKUP($C:$C,Structure!$A:$AJ,AA$1,0)*$D59,0),IFERROR(VLOOKUP($E:$E,Structure!$A:$AJ,AA$1,0)*$F59,0),IFERROR(VLOOKUP($G:$G,Structure!$A:$AJ,AA$1,0)*$H59,0))</f>
        <v>0</v>
      </c>
      <c r="AB59" s="9">
        <f>SUM(IFERROR(VLOOKUP($C:$C,Structure!$A:$AJ,AB$1,0)*$D59,0),IFERROR(VLOOKUP($E:$E,Structure!$A:$AJ,AB$1,0)*$F59,0),IFERROR(VLOOKUP($G:$G,Structure!$A:$AJ,AB$1,0)*$H59,0))</f>
        <v>0</v>
      </c>
      <c r="AC59" s="9">
        <f>SUM(IFERROR(VLOOKUP($C:$C,Structure!$A:$AJ,AC$1,0)*$D59,0),IFERROR(VLOOKUP($E:$E,Structure!$A:$AJ,AC$1,0)*$F59,0),IFERROR(VLOOKUP($G:$G,Structure!$A:$AJ,AC$1,0)*$H59,0))</f>
        <v>8</v>
      </c>
      <c r="AD59" s="9">
        <f>SUM(IFERROR(VLOOKUP($C:$C,Structure!$A:$AJ,AD$1,0)*$D59,0),IFERROR(VLOOKUP($E:$E,Structure!$A:$AJ,AD$1,0)*$F59,0),IFERROR(VLOOKUP($G:$G,Structure!$A:$AJ,AD$1,0)*$H59,0))</f>
        <v>0</v>
      </c>
      <c r="AE59" s="9">
        <f>SUM(IFERROR(VLOOKUP($C:$C,Structure!$A:$AJ,AE$1,0)*$D59,0),IFERROR(VLOOKUP($E:$E,Structure!$A:$AJ,AE$1,0)*$F59,0),IFERROR(VLOOKUP($G:$G,Structure!$A:$AJ,AE$1,0)*$H59,0))</f>
        <v>0</v>
      </c>
      <c r="AF59" s="9">
        <f>SUM(IFERROR(VLOOKUP($C:$C,Structure!$A:$AJ,AF$1,0)*$D59,0),IFERROR(VLOOKUP($E:$E,Structure!$A:$AJ,AF$1,0)*$F59,0),IFERROR(VLOOKUP($G:$G,Structure!$A:$AJ,AF$1,0)*$H59,0))</f>
        <v>0</v>
      </c>
      <c r="AG59" s="9">
        <f>SUM(IFERROR(VLOOKUP($C:$C,Structure!$A:$AJ,AG$1,0)*$D59,0),IFERROR(VLOOKUP($E:$E,Structure!$A:$AJ,AG$1,0)*$F59,0),IFERROR(VLOOKUP($G:$G,Structure!$A:$AJ,AG$1,0)*$H59,0))</f>
        <v>0</v>
      </c>
      <c r="AH59" s="9">
        <f>SUM(IFERROR(VLOOKUP($C:$C,Structure!$A:$AJ,AH$1,0)*$D59,0),IFERROR(VLOOKUP($E:$E,Structure!$A:$AJ,AH$1,0)*$F59,0),IFERROR(VLOOKUP($G:$G,Structure!$A:$AJ,AH$1,0)*$H59,0))</f>
        <v>0</v>
      </c>
      <c r="AI59" s="9">
        <f>SUM(IFERROR(VLOOKUP($C:$C,Structure!$A:$AJ,AI$1,0)*$D59,0),IFERROR(VLOOKUP($E:$E,Structure!$A:$AJ,AI$1,0)*$F59,0),IFERROR(VLOOKUP($G:$G,Structure!$A:$AJ,AI$1,0)*$H59,0))</f>
        <v>0</v>
      </c>
      <c r="AJ59" s="9">
        <f>SUM(IFERROR(VLOOKUP($C:$C,Structure!$A:$AJ,AJ$1,0)*$D59,0),IFERROR(VLOOKUP($E:$E,Structure!$A:$AJ,AJ$1,0)*$F59,0),IFERROR(VLOOKUP($G:$G,Structure!$A:$AJ,AJ$1,0)*$H59,0))</f>
        <v>0</v>
      </c>
      <c r="AK59" s="9">
        <f>SUM(IFERROR(VLOOKUP($C:$C,Structure!$A:$AJ,AK$1,0)*$D59,0),IFERROR(VLOOKUP($E:$E,Structure!$A:$AJ,AK$1,0)*$F59,0),IFERROR(VLOOKUP($G:$G,Structure!$A:$AJ,AK$1,0)*$H59,0))</f>
        <v>0</v>
      </c>
      <c r="AL59" s="9">
        <f>SUM(IFERROR(VLOOKUP($C:$C,Structure!$A:$AJ,AL$1,0)*$D59,0),IFERROR(VLOOKUP($E:$E,Structure!$A:$AJ,AL$1,0)*$F59,0),IFERROR(VLOOKUP($G:$G,Structure!$A:$AJ,AL$1,0)*$H59,0))</f>
        <v>0</v>
      </c>
      <c r="AM59" s="9">
        <f>SUM(IFERROR(VLOOKUP($C:$C,Structure!$A:$AJ,AM$1,0)*$D59,0),IFERROR(VLOOKUP($E:$E,Structure!$A:$AJ,AM$1,0)*$F59,0),IFERROR(VLOOKUP($G:$G,Structure!$A:$AJ,AM$1,0)*$H59,0))</f>
        <v>0</v>
      </c>
      <c r="AN59" s="9">
        <f>SUM(IFERROR(VLOOKUP($C:$C,Structure!$A:$AJ,AN$1,0)*$D59,0),IFERROR(VLOOKUP($E:$E,Structure!$A:$AJ,AN$1,0)*$F59,0),IFERROR(VLOOKUP($G:$G,Structure!$A:$AJ,AN$1,0)*$H59,0))</f>
        <v>0</v>
      </c>
      <c r="AO59" s="9">
        <f>SUM(IFERROR(VLOOKUP($C:$C,Structure!$A:$AJ,AO$1,0)*$D59,0),IFERROR(VLOOKUP($E:$E,Structure!$A:$AJ,AO$1,0)*$F59,0),IFERROR(VLOOKUP($G:$G,Structure!$A:$AJ,AO$1,0)*$H59,0))</f>
        <v>0</v>
      </c>
      <c r="AP59" s="9">
        <f>SUM(IFERROR(VLOOKUP($C:$C,Structure!$A:$AJ,AP$1,0)*$D59,0),IFERROR(VLOOKUP($E:$E,Structure!$A:$AJ,AP$1,0)*$F59,0),IFERROR(VLOOKUP($G:$G,Structure!$A:$AJ,AP$1,0)*$H59,0))</f>
        <v>0</v>
      </c>
      <c r="AQ59" s="9">
        <f>SUM(IFERROR(VLOOKUP($C:$C,Structure!$A:$AJ,AQ$1,0)*$D59,0),IFERROR(VLOOKUP($E:$E,Structure!$A:$AJ,AQ$1,0)*$F59,0),IFERROR(VLOOKUP($G:$G,Structure!$A:$AJ,AQ$1,0)*$H59,0))</f>
        <v>0</v>
      </c>
      <c r="AR59" s="21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4">
        <f t="shared" si="57"/>
        <v>0</v>
      </c>
      <c r="CE59" s="4">
        <f t="shared" si="58"/>
        <v>117</v>
      </c>
      <c r="CF59" s="4">
        <f t="shared" si="59"/>
        <v>4</v>
      </c>
      <c r="CG59" s="4">
        <f t="shared" si="60"/>
        <v>23</v>
      </c>
      <c r="CH59" s="4">
        <f t="shared" si="61"/>
        <v>1</v>
      </c>
      <c r="CI59" s="4">
        <f t="shared" si="62"/>
        <v>51</v>
      </c>
      <c r="CJ59" s="4">
        <f t="shared" si="63"/>
        <v>-19</v>
      </c>
      <c r="CK59" s="4">
        <f t="shared" si="64"/>
        <v>246</v>
      </c>
      <c r="CL59" s="4">
        <f t="shared" si="65"/>
        <v>0</v>
      </c>
      <c r="CM59" s="4">
        <f t="shared" si="66"/>
        <v>4</v>
      </c>
      <c r="CN59" s="4">
        <f t="shared" si="67"/>
        <v>19</v>
      </c>
      <c r="CO59" s="4">
        <f t="shared" si="68"/>
        <v>0</v>
      </c>
      <c r="CP59" s="4">
        <f t="shared" si="69"/>
        <v>5</v>
      </c>
      <c r="CQ59" s="4">
        <f t="shared" si="70"/>
        <v>-129</v>
      </c>
      <c r="CR59" s="4">
        <f t="shared" si="71"/>
        <v>34</v>
      </c>
      <c r="CS59" s="4">
        <f t="shared" si="72"/>
        <v>0</v>
      </c>
      <c r="CT59" s="4">
        <f t="shared" si="73"/>
        <v>0</v>
      </c>
      <c r="CU59" s="4">
        <f t="shared" si="74"/>
        <v>0</v>
      </c>
      <c r="CV59" s="4">
        <f t="shared" si="75"/>
        <v>0</v>
      </c>
      <c r="CW59" s="4">
        <f t="shared" si="76"/>
        <v>0</v>
      </c>
      <c r="CX59" s="4">
        <f t="shared" si="77"/>
        <v>-109</v>
      </c>
      <c r="CY59" s="4">
        <f t="shared" si="78"/>
        <v>0</v>
      </c>
      <c r="CZ59" s="4">
        <f t="shared" si="79"/>
        <v>0</v>
      </c>
      <c r="DA59" s="4">
        <f t="shared" si="80"/>
        <v>0</v>
      </c>
      <c r="DB59" s="4">
        <f t="shared" si="81"/>
        <v>0</v>
      </c>
      <c r="DC59" s="4">
        <f t="shared" si="82"/>
        <v>0</v>
      </c>
      <c r="DD59" s="4">
        <f t="shared" si="83"/>
        <v>0</v>
      </c>
      <c r="DE59" s="4">
        <f t="shared" si="84"/>
        <v>0</v>
      </c>
      <c r="DF59" s="4">
        <f t="shared" si="85"/>
        <v>0</v>
      </c>
      <c r="DG59" s="4">
        <f t="shared" si="86"/>
        <v>0</v>
      </c>
      <c r="DH59" s="4">
        <f t="shared" si="87"/>
        <v>0</v>
      </c>
      <c r="DI59" s="4">
        <f t="shared" si="88"/>
        <v>0</v>
      </c>
      <c r="DJ59" s="4">
        <f t="shared" si="89"/>
        <v>0</v>
      </c>
      <c r="DK59" s="4">
        <f t="shared" si="90"/>
        <v>0</v>
      </c>
      <c r="DL59" s="4">
        <f t="shared" si="91"/>
        <v>0</v>
      </c>
    </row>
    <row r="60" spans="1:116" x14ac:dyDescent="0.25">
      <c r="A60" s="5">
        <v>46184</v>
      </c>
      <c r="B60" s="6">
        <v>0.50000000013824319</v>
      </c>
      <c r="C60" s="3"/>
      <c r="D60" s="3"/>
      <c r="E60" s="3" t="s">
        <v>30</v>
      </c>
      <c r="F60" s="3">
        <v>8</v>
      </c>
      <c r="G60" s="3"/>
      <c r="H60" s="9"/>
      <c r="I60" s="9">
        <f>SUM(IFERROR(VLOOKUP($C:$C,Structure!$A:$AJ,I$1,0)*$D60,0),IFERROR(VLOOKUP($E:$E,Structure!$A:$AJ,I$1,0)*$F60,0),IFERROR(VLOOKUP($G:$G,Structure!$A:$AJ,I$1,0)*$H60,0))</f>
        <v>0</v>
      </c>
      <c r="J60" s="9">
        <f>SUM(IFERROR(VLOOKUP($C:$C,Structure!$A:$AJ,J$1,0)*$D60,0),IFERROR(VLOOKUP($E:$E,Structure!$A:$AJ,J$1,0)*$F60,0),IFERROR(VLOOKUP($G:$G,Structure!$A:$AJ,J$1,0)*$H60,0))</f>
        <v>0</v>
      </c>
      <c r="K60" s="9">
        <f>SUM(IFERROR(VLOOKUP($C:$C,Structure!$A:$AJ,K$1,0)*$D60,0),IFERROR(VLOOKUP($E:$E,Structure!$A:$AJ,K$1,0)*$F60,0),IFERROR(VLOOKUP($G:$G,Structure!$A:$AJ,K$1,0)*$H60,0))</f>
        <v>0</v>
      </c>
      <c r="L60" s="9">
        <f>SUM(IFERROR(VLOOKUP($C:$C,Structure!$A:$AJ,L$1,0)*$D60,0),IFERROR(VLOOKUP($E:$E,Structure!$A:$AJ,L$1,0)*$F60,0),IFERROR(VLOOKUP($G:$G,Structure!$A:$AJ,L$1,0)*$H60,0))</f>
        <v>0</v>
      </c>
      <c r="M60" s="9">
        <f>SUM(IFERROR(VLOOKUP($C:$C,Structure!$A:$AJ,M$1,0)*$D60,0),IFERROR(VLOOKUP($E:$E,Structure!$A:$AJ,M$1,0)*$F60,0),IFERROR(VLOOKUP($G:$G,Structure!$A:$AJ,M$1,0)*$H60,0))</f>
        <v>0</v>
      </c>
      <c r="N60" s="9">
        <f>SUM(IFERROR(VLOOKUP($C:$C,Structure!$A:$AJ,N$1,0)*$D60,0),IFERROR(VLOOKUP($E:$E,Structure!$A:$AJ,N$1,0)*$F60,0),IFERROR(VLOOKUP($G:$G,Structure!$A:$AJ,N$1,0)*$H60,0))</f>
        <v>0</v>
      </c>
      <c r="O60" s="9">
        <f>SUM(IFERROR(VLOOKUP($C:$C,Structure!$A:$AJ,O$1,0)*$D60,0),IFERROR(VLOOKUP($E:$E,Structure!$A:$AJ,O$1,0)*$F60,0),IFERROR(VLOOKUP($G:$G,Structure!$A:$AJ,O$1,0)*$H60,0))</f>
        <v>0</v>
      </c>
      <c r="P60" s="9">
        <f>SUM(IFERROR(VLOOKUP($C:$C,Structure!$A:$AJ,P$1,0)*$D60,0),IFERROR(VLOOKUP($E:$E,Structure!$A:$AJ,P$1,0)*$F60,0),IFERROR(VLOOKUP($G:$G,Structure!$A:$AJ,P$1,0)*$H60,0))</f>
        <v>0</v>
      </c>
      <c r="Q60" s="9">
        <f>SUM(IFERROR(VLOOKUP($C:$C,Structure!$A:$AJ,Q$1,0)*$D60,0),IFERROR(VLOOKUP($E:$E,Structure!$A:$AJ,Q$1,0)*$F60,0),IFERROR(VLOOKUP($G:$G,Structure!$A:$AJ,Q$1,0)*$H60,0))</f>
        <v>0</v>
      </c>
      <c r="R60" s="9">
        <f>SUM(IFERROR(VLOOKUP($C:$C,Structure!$A:$AJ,R$1,0)*$D60,0),IFERROR(VLOOKUP($E:$E,Structure!$A:$AJ,R$1,0)*$F60,0),IFERROR(VLOOKUP($G:$G,Structure!$A:$AJ,R$1,0)*$H60,0))</f>
        <v>0</v>
      </c>
      <c r="S60" s="9">
        <f>SUM(IFERROR(VLOOKUP($C:$C,Structure!$A:$AJ,S$1,0)*$D60,0),IFERROR(VLOOKUP($E:$E,Structure!$A:$AJ,S$1,0)*$F60,0),IFERROR(VLOOKUP($G:$G,Structure!$A:$AJ,S$1,0)*$H60,0))</f>
        <v>0</v>
      </c>
      <c r="T60" s="9">
        <f>SUM(IFERROR(VLOOKUP($C:$C,Structure!$A:$AJ,T$1,0)*$D60,0),IFERROR(VLOOKUP($E:$E,Structure!$A:$AJ,T$1,0)*$F60,0),IFERROR(VLOOKUP($G:$G,Structure!$A:$AJ,T$1,0)*$H60,0))</f>
        <v>0</v>
      </c>
      <c r="U60" s="9">
        <f>SUM(IFERROR(VLOOKUP($C:$C,Structure!$A:$AJ,U$1,0)*$D60,0),IFERROR(VLOOKUP($E:$E,Structure!$A:$AJ,U$1,0)*$F60,0),IFERROR(VLOOKUP($G:$G,Structure!$A:$AJ,U$1,0)*$H60,0))</f>
        <v>0</v>
      </c>
      <c r="V60" s="9">
        <f>SUM(IFERROR(VLOOKUP($C:$C,Structure!$A:$AJ,V$1,0)*$D60,0),IFERROR(VLOOKUP($E:$E,Structure!$A:$AJ,V$1,0)*$F60,0),IFERROR(VLOOKUP($G:$G,Structure!$A:$AJ,V$1,0)*$H60,0))</f>
        <v>8</v>
      </c>
      <c r="W60" s="9">
        <f>SUM(IFERROR(VLOOKUP($C:$C,Structure!$A:$AJ,W$1,0)*$D60,0),IFERROR(VLOOKUP($E:$E,Structure!$A:$AJ,W$1,0)*$F60,0),IFERROR(VLOOKUP($G:$G,Structure!$A:$AJ,W$1,0)*$H60,0))</f>
        <v>0</v>
      </c>
      <c r="X60" s="9">
        <f>SUM(IFERROR(VLOOKUP($C:$C,Structure!$A:$AJ,X$1,0)*$D60,0),IFERROR(VLOOKUP($E:$E,Structure!$A:$AJ,X$1,0)*$F60,0),IFERROR(VLOOKUP($G:$G,Structure!$A:$AJ,X$1,0)*$H60,0))</f>
        <v>0</v>
      </c>
      <c r="Y60" s="9">
        <f>SUM(IFERROR(VLOOKUP($C:$C,Structure!$A:$AJ,Y$1,0)*$D60,0),IFERROR(VLOOKUP($E:$E,Structure!$A:$AJ,Y$1,0)*$F60,0),IFERROR(VLOOKUP($G:$G,Structure!$A:$AJ,Y$1,0)*$H60,0))</f>
        <v>0</v>
      </c>
      <c r="Z60" s="9">
        <f>SUM(IFERROR(VLOOKUP($C:$C,Structure!$A:$AJ,Z$1,0)*$D60,0),IFERROR(VLOOKUP($E:$E,Structure!$A:$AJ,Z$1,0)*$F60,0),IFERROR(VLOOKUP($G:$G,Structure!$A:$AJ,Z$1,0)*$H60,0))</f>
        <v>0</v>
      </c>
      <c r="AA60" s="9">
        <f>SUM(IFERROR(VLOOKUP($C:$C,Structure!$A:$AJ,AA$1,0)*$D60,0),IFERROR(VLOOKUP($E:$E,Structure!$A:$AJ,AA$1,0)*$F60,0),IFERROR(VLOOKUP($G:$G,Structure!$A:$AJ,AA$1,0)*$H60,0))</f>
        <v>0</v>
      </c>
      <c r="AB60" s="9">
        <f>SUM(IFERROR(VLOOKUP($C:$C,Structure!$A:$AJ,AB$1,0)*$D60,0),IFERROR(VLOOKUP($E:$E,Structure!$A:$AJ,AB$1,0)*$F60,0),IFERROR(VLOOKUP($G:$G,Structure!$A:$AJ,AB$1,0)*$H60,0))</f>
        <v>0</v>
      </c>
      <c r="AC60" s="9">
        <f>SUM(IFERROR(VLOOKUP($C:$C,Structure!$A:$AJ,AC$1,0)*$D60,0),IFERROR(VLOOKUP($E:$E,Structure!$A:$AJ,AC$1,0)*$F60,0),IFERROR(VLOOKUP($G:$G,Structure!$A:$AJ,AC$1,0)*$H60,0))</f>
        <v>8</v>
      </c>
      <c r="AD60" s="9">
        <f>SUM(IFERROR(VLOOKUP($C:$C,Structure!$A:$AJ,AD$1,0)*$D60,0),IFERROR(VLOOKUP($E:$E,Structure!$A:$AJ,AD$1,0)*$F60,0),IFERROR(VLOOKUP($G:$G,Structure!$A:$AJ,AD$1,0)*$H60,0))</f>
        <v>0</v>
      </c>
      <c r="AE60" s="9">
        <f>SUM(IFERROR(VLOOKUP($C:$C,Structure!$A:$AJ,AE$1,0)*$D60,0),IFERROR(VLOOKUP($E:$E,Structure!$A:$AJ,AE$1,0)*$F60,0),IFERROR(VLOOKUP($G:$G,Structure!$A:$AJ,AE$1,0)*$H60,0))</f>
        <v>0</v>
      </c>
      <c r="AF60" s="9">
        <f>SUM(IFERROR(VLOOKUP($C:$C,Structure!$A:$AJ,AF$1,0)*$D60,0),IFERROR(VLOOKUP($E:$E,Structure!$A:$AJ,AF$1,0)*$F60,0),IFERROR(VLOOKUP($G:$G,Structure!$A:$AJ,AF$1,0)*$H60,0))</f>
        <v>0</v>
      </c>
      <c r="AG60" s="9">
        <f>SUM(IFERROR(VLOOKUP($C:$C,Structure!$A:$AJ,AG$1,0)*$D60,0),IFERROR(VLOOKUP($E:$E,Structure!$A:$AJ,AG$1,0)*$F60,0),IFERROR(VLOOKUP($G:$G,Structure!$A:$AJ,AG$1,0)*$H60,0))</f>
        <v>0</v>
      </c>
      <c r="AH60" s="9">
        <f>SUM(IFERROR(VLOOKUP($C:$C,Structure!$A:$AJ,AH$1,0)*$D60,0),IFERROR(VLOOKUP($E:$E,Structure!$A:$AJ,AH$1,0)*$F60,0),IFERROR(VLOOKUP($G:$G,Structure!$A:$AJ,AH$1,0)*$H60,0))</f>
        <v>0</v>
      </c>
      <c r="AI60" s="9">
        <f>SUM(IFERROR(VLOOKUP($C:$C,Structure!$A:$AJ,AI$1,0)*$D60,0),IFERROR(VLOOKUP($E:$E,Structure!$A:$AJ,AI$1,0)*$F60,0),IFERROR(VLOOKUP($G:$G,Structure!$A:$AJ,AI$1,0)*$H60,0))</f>
        <v>0</v>
      </c>
      <c r="AJ60" s="9">
        <f>SUM(IFERROR(VLOOKUP($C:$C,Structure!$A:$AJ,AJ$1,0)*$D60,0),IFERROR(VLOOKUP($E:$E,Structure!$A:$AJ,AJ$1,0)*$F60,0),IFERROR(VLOOKUP($G:$G,Structure!$A:$AJ,AJ$1,0)*$H60,0))</f>
        <v>0</v>
      </c>
      <c r="AK60" s="9">
        <f>SUM(IFERROR(VLOOKUP($C:$C,Structure!$A:$AJ,AK$1,0)*$D60,0),IFERROR(VLOOKUP($E:$E,Structure!$A:$AJ,AK$1,0)*$F60,0),IFERROR(VLOOKUP($G:$G,Structure!$A:$AJ,AK$1,0)*$H60,0))</f>
        <v>0</v>
      </c>
      <c r="AL60" s="9">
        <f>SUM(IFERROR(VLOOKUP($C:$C,Structure!$A:$AJ,AL$1,0)*$D60,0),IFERROR(VLOOKUP($E:$E,Structure!$A:$AJ,AL$1,0)*$F60,0),IFERROR(VLOOKUP($G:$G,Structure!$A:$AJ,AL$1,0)*$H60,0))</f>
        <v>0</v>
      </c>
      <c r="AM60" s="9">
        <f>SUM(IFERROR(VLOOKUP($C:$C,Structure!$A:$AJ,AM$1,0)*$D60,0),IFERROR(VLOOKUP($E:$E,Structure!$A:$AJ,AM$1,0)*$F60,0),IFERROR(VLOOKUP($G:$G,Structure!$A:$AJ,AM$1,0)*$H60,0))</f>
        <v>0</v>
      </c>
      <c r="AN60" s="9">
        <f>SUM(IFERROR(VLOOKUP($C:$C,Structure!$A:$AJ,AN$1,0)*$D60,0),IFERROR(VLOOKUP($E:$E,Structure!$A:$AJ,AN$1,0)*$F60,0),IFERROR(VLOOKUP($G:$G,Structure!$A:$AJ,AN$1,0)*$H60,0))</f>
        <v>0</v>
      </c>
      <c r="AO60" s="9">
        <f>SUM(IFERROR(VLOOKUP($C:$C,Structure!$A:$AJ,AO$1,0)*$D60,0),IFERROR(VLOOKUP($E:$E,Structure!$A:$AJ,AO$1,0)*$F60,0),IFERROR(VLOOKUP($G:$G,Structure!$A:$AJ,AO$1,0)*$H60,0))</f>
        <v>0</v>
      </c>
      <c r="AP60" s="9">
        <f>SUM(IFERROR(VLOOKUP($C:$C,Structure!$A:$AJ,AP$1,0)*$D60,0),IFERROR(VLOOKUP($E:$E,Structure!$A:$AJ,AP$1,0)*$F60,0),IFERROR(VLOOKUP($G:$G,Structure!$A:$AJ,AP$1,0)*$H60,0))</f>
        <v>0</v>
      </c>
      <c r="AQ60" s="9">
        <f>SUM(IFERROR(VLOOKUP($C:$C,Structure!$A:$AJ,AQ$1,0)*$D60,0),IFERROR(VLOOKUP($E:$E,Structure!$A:$AJ,AQ$1,0)*$F60,0),IFERROR(VLOOKUP($G:$G,Structure!$A:$AJ,AQ$1,0)*$H60,0))</f>
        <v>0</v>
      </c>
      <c r="AR60" s="21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4">
        <f t="shared" si="57"/>
        <v>0</v>
      </c>
      <c r="CE60" s="4">
        <f t="shared" si="58"/>
        <v>117</v>
      </c>
      <c r="CF60" s="4">
        <f t="shared" si="59"/>
        <v>4</v>
      </c>
      <c r="CG60" s="4">
        <f t="shared" si="60"/>
        <v>23</v>
      </c>
      <c r="CH60" s="4">
        <f t="shared" si="61"/>
        <v>1</v>
      </c>
      <c r="CI60" s="4">
        <f t="shared" si="62"/>
        <v>51</v>
      </c>
      <c r="CJ60" s="4">
        <f t="shared" si="63"/>
        <v>-19</v>
      </c>
      <c r="CK60" s="4">
        <f t="shared" si="64"/>
        <v>246</v>
      </c>
      <c r="CL60" s="4">
        <f t="shared" si="65"/>
        <v>0</v>
      </c>
      <c r="CM60" s="4">
        <f t="shared" si="66"/>
        <v>4</v>
      </c>
      <c r="CN60" s="4">
        <f t="shared" si="67"/>
        <v>19</v>
      </c>
      <c r="CO60" s="4">
        <f t="shared" si="68"/>
        <v>0</v>
      </c>
      <c r="CP60" s="4">
        <f t="shared" si="69"/>
        <v>5</v>
      </c>
      <c r="CQ60" s="4">
        <f t="shared" si="70"/>
        <v>-137</v>
      </c>
      <c r="CR60" s="4">
        <f t="shared" si="71"/>
        <v>34</v>
      </c>
      <c r="CS60" s="4">
        <f t="shared" si="72"/>
        <v>0</v>
      </c>
      <c r="CT60" s="4">
        <f t="shared" si="73"/>
        <v>0</v>
      </c>
      <c r="CU60" s="4">
        <f t="shared" si="74"/>
        <v>0</v>
      </c>
      <c r="CV60" s="4">
        <f t="shared" si="75"/>
        <v>0</v>
      </c>
      <c r="CW60" s="4">
        <f t="shared" si="76"/>
        <v>0</v>
      </c>
      <c r="CX60" s="4">
        <f t="shared" si="77"/>
        <v>-117</v>
      </c>
      <c r="CY60" s="4">
        <f t="shared" si="78"/>
        <v>0</v>
      </c>
      <c r="CZ60" s="4">
        <f t="shared" si="79"/>
        <v>0</v>
      </c>
      <c r="DA60" s="4">
        <f t="shared" si="80"/>
        <v>0</v>
      </c>
      <c r="DB60" s="4">
        <f t="shared" si="81"/>
        <v>0</v>
      </c>
      <c r="DC60" s="4">
        <f t="shared" si="82"/>
        <v>0</v>
      </c>
      <c r="DD60" s="4">
        <f t="shared" si="83"/>
        <v>0</v>
      </c>
      <c r="DE60" s="4">
        <f t="shared" si="84"/>
        <v>0</v>
      </c>
      <c r="DF60" s="4">
        <f t="shared" si="85"/>
        <v>0</v>
      </c>
      <c r="DG60" s="4">
        <f t="shared" si="86"/>
        <v>0</v>
      </c>
      <c r="DH60" s="4">
        <f t="shared" si="87"/>
        <v>0</v>
      </c>
      <c r="DI60" s="4">
        <f t="shared" si="88"/>
        <v>0</v>
      </c>
      <c r="DJ60" s="4">
        <f t="shared" si="89"/>
        <v>0</v>
      </c>
      <c r="DK60" s="4">
        <f t="shared" si="90"/>
        <v>0</v>
      </c>
      <c r="DL60" s="4">
        <f t="shared" si="91"/>
        <v>0</v>
      </c>
    </row>
    <row r="61" spans="1:116" x14ac:dyDescent="0.25">
      <c r="A61" s="5">
        <v>46184</v>
      </c>
      <c r="B61" s="6">
        <v>0.52083333347400185</v>
      </c>
      <c r="C61" s="3"/>
      <c r="D61" s="3"/>
      <c r="E61" s="3" t="s">
        <v>30</v>
      </c>
      <c r="F61" s="3">
        <v>8</v>
      </c>
      <c r="G61" s="3"/>
      <c r="H61" s="9"/>
      <c r="I61" s="9">
        <f>SUM(IFERROR(VLOOKUP($C:$C,Structure!$A:$AJ,I$1,0)*$D61,0),IFERROR(VLOOKUP($E:$E,Structure!$A:$AJ,I$1,0)*$F61,0),IFERROR(VLOOKUP($G:$G,Structure!$A:$AJ,I$1,0)*$H61,0))</f>
        <v>0</v>
      </c>
      <c r="J61" s="9">
        <f>SUM(IFERROR(VLOOKUP($C:$C,Structure!$A:$AJ,J$1,0)*$D61,0),IFERROR(VLOOKUP($E:$E,Structure!$A:$AJ,J$1,0)*$F61,0),IFERROR(VLOOKUP($G:$G,Structure!$A:$AJ,J$1,0)*$H61,0))</f>
        <v>0</v>
      </c>
      <c r="K61" s="9">
        <f>SUM(IFERROR(VLOOKUP($C:$C,Structure!$A:$AJ,K$1,0)*$D61,0),IFERROR(VLOOKUP($E:$E,Structure!$A:$AJ,K$1,0)*$F61,0),IFERROR(VLOOKUP($G:$G,Structure!$A:$AJ,K$1,0)*$H61,0))</f>
        <v>0</v>
      </c>
      <c r="L61" s="9">
        <f>SUM(IFERROR(VLOOKUP($C:$C,Structure!$A:$AJ,L$1,0)*$D61,0),IFERROR(VLOOKUP($E:$E,Structure!$A:$AJ,L$1,0)*$F61,0),IFERROR(VLOOKUP($G:$G,Structure!$A:$AJ,L$1,0)*$H61,0))</f>
        <v>0</v>
      </c>
      <c r="M61" s="9">
        <f>SUM(IFERROR(VLOOKUP($C:$C,Structure!$A:$AJ,M$1,0)*$D61,0),IFERROR(VLOOKUP($E:$E,Structure!$A:$AJ,M$1,0)*$F61,0),IFERROR(VLOOKUP($G:$G,Structure!$A:$AJ,M$1,0)*$H61,0))</f>
        <v>0</v>
      </c>
      <c r="N61" s="9">
        <f>SUM(IFERROR(VLOOKUP($C:$C,Structure!$A:$AJ,N$1,0)*$D61,0),IFERROR(VLOOKUP($E:$E,Structure!$A:$AJ,N$1,0)*$F61,0),IFERROR(VLOOKUP($G:$G,Structure!$A:$AJ,N$1,0)*$H61,0))</f>
        <v>0</v>
      </c>
      <c r="O61" s="9">
        <f>SUM(IFERROR(VLOOKUP($C:$C,Structure!$A:$AJ,O$1,0)*$D61,0),IFERROR(VLOOKUP($E:$E,Structure!$A:$AJ,O$1,0)*$F61,0),IFERROR(VLOOKUP($G:$G,Structure!$A:$AJ,O$1,0)*$H61,0))</f>
        <v>0</v>
      </c>
      <c r="P61" s="9">
        <f>SUM(IFERROR(VLOOKUP($C:$C,Structure!$A:$AJ,P$1,0)*$D61,0),IFERROR(VLOOKUP($E:$E,Structure!$A:$AJ,P$1,0)*$F61,0),IFERROR(VLOOKUP($G:$G,Structure!$A:$AJ,P$1,0)*$H61,0))</f>
        <v>0</v>
      </c>
      <c r="Q61" s="9">
        <f>SUM(IFERROR(VLOOKUP($C:$C,Structure!$A:$AJ,Q$1,0)*$D61,0),IFERROR(VLOOKUP($E:$E,Structure!$A:$AJ,Q$1,0)*$F61,0),IFERROR(VLOOKUP($G:$G,Structure!$A:$AJ,Q$1,0)*$H61,0))</f>
        <v>0</v>
      </c>
      <c r="R61" s="9">
        <f>SUM(IFERROR(VLOOKUP($C:$C,Structure!$A:$AJ,R$1,0)*$D61,0),IFERROR(VLOOKUP($E:$E,Structure!$A:$AJ,R$1,0)*$F61,0),IFERROR(VLOOKUP($G:$G,Structure!$A:$AJ,R$1,0)*$H61,0))</f>
        <v>0</v>
      </c>
      <c r="S61" s="9">
        <f>SUM(IFERROR(VLOOKUP($C:$C,Structure!$A:$AJ,S$1,0)*$D61,0),IFERROR(VLOOKUP($E:$E,Structure!$A:$AJ,S$1,0)*$F61,0),IFERROR(VLOOKUP($G:$G,Structure!$A:$AJ,S$1,0)*$H61,0))</f>
        <v>0</v>
      </c>
      <c r="T61" s="9">
        <f>SUM(IFERROR(VLOOKUP($C:$C,Structure!$A:$AJ,T$1,0)*$D61,0),IFERROR(VLOOKUP($E:$E,Structure!$A:$AJ,T$1,0)*$F61,0),IFERROR(VLOOKUP($G:$G,Structure!$A:$AJ,T$1,0)*$H61,0))</f>
        <v>0</v>
      </c>
      <c r="U61" s="9">
        <f>SUM(IFERROR(VLOOKUP($C:$C,Structure!$A:$AJ,U$1,0)*$D61,0),IFERROR(VLOOKUP($E:$E,Structure!$A:$AJ,U$1,0)*$F61,0),IFERROR(VLOOKUP($G:$G,Structure!$A:$AJ,U$1,0)*$H61,0))</f>
        <v>0</v>
      </c>
      <c r="V61" s="9">
        <f>SUM(IFERROR(VLOOKUP($C:$C,Structure!$A:$AJ,V$1,0)*$D61,0),IFERROR(VLOOKUP($E:$E,Structure!$A:$AJ,V$1,0)*$F61,0),IFERROR(VLOOKUP($G:$G,Structure!$A:$AJ,V$1,0)*$H61,0))</f>
        <v>8</v>
      </c>
      <c r="W61" s="9">
        <f>SUM(IFERROR(VLOOKUP($C:$C,Structure!$A:$AJ,W$1,0)*$D61,0),IFERROR(VLOOKUP($E:$E,Structure!$A:$AJ,W$1,0)*$F61,0),IFERROR(VLOOKUP($G:$G,Structure!$A:$AJ,W$1,0)*$H61,0))</f>
        <v>0</v>
      </c>
      <c r="X61" s="9">
        <f>SUM(IFERROR(VLOOKUP($C:$C,Structure!$A:$AJ,X$1,0)*$D61,0),IFERROR(VLOOKUP($E:$E,Structure!$A:$AJ,X$1,0)*$F61,0),IFERROR(VLOOKUP($G:$G,Structure!$A:$AJ,X$1,0)*$H61,0))</f>
        <v>0</v>
      </c>
      <c r="Y61" s="9">
        <f>SUM(IFERROR(VLOOKUP($C:$C,Structure!$A:$AJ,Y$1,0)*$D61,0),IFERROR(VLOOKUP($E:$E,Structure!$A:$AJ,Y$1,0)*$F61,0),IFERROR(VLOOKUP($G:$G,Structure!$A:$AJ,Y$1,0)*$H61,0))</f>
        <v>0</v>
      </c>
      <c r="Z61" s="9">
        <f>SUM(IFERROR(VLOOKUP($C:$C,Structure!$A:$AJ,Z$1,0)*$D61,0),IFERROR(VLOOKUP($E:$E,Structure!$A:$AJ,Z$1,0)*$F61,0),IFERROR(VLOOKUP($G:$G,Structure!$A:$AJ,Z$1,0)*$H61,0))</f>
        <v>0</v>
      </c>
      <c r="AA61" s="9">
        <f>SUM(IFERROR(VLOOKUP($C:$C,Structure!$A:$AJ,AA$1,0)*$D61,0),IFERROR(VLOOKUP($E:$E,Structure!$A:$AJ,AA$1,0)*$F61,0),IFERROR(VLOOKUP($G:$G,Structure!$A:$AJ,AA$1,0)*$H61,0))</f>
        <v>0</v>
      </c>
      <c r="AB61" s="9">
        <f>SUM(IFERROR(VLOOKUP($C:$C,Structure!$A:$AJ,AB$1,0)*$D61,0),IFERROR(VLOOKUP($E:$E,Structure!$A:$AJ,AB$1,0)*$F61,0),IFERROR(VLOOKUP($G:$G,Structure!$A:$AJ,AB$1,0)*$H61,0))</f>
        <v>0</v>
      </c>
      <c r="AC61" s="9">
        <f>SUM(IFERROR(VLOOKUP($C:$C,Structure!$A:$AJ,AC$1,0)*$D61,0),IFERROR(VLOOKUP($E:$E,Structure!$A:$AJ,AC$1,0)*$F61,0),IFERROR(VLOOKUP($G:$G,Structure!$A:$AJ,AC$1,0)*$H61,0))</f>
        <v>8</v>
      </c>
      <c r="AD61" s="9">
        <f>SUM(IFERROR(VLOOKUP($C:$C,Structure!$A:$AJ,AD$1,0)*$D61,0),IFERROR(VLOOKUP($E:$E,Structure!$A:$AJ,AD$1,0)*$F61,0),IFERROR(VLOOKUP($G:$G,Structure!$A:$AJ,AD$1,0)*$H61,0))</f>
        <v>0</v>
      </c>
      <c r="AE61" s="9">
        <f>SUM(IFERROR(VLOOKUP($C:$C,Structure!$A:$AJ,AE$1,0)*$D61,0),IFERROR(VLOOKUP($E:$E,Structure!$A:$AJ,AE$1,0)*$F61,0),IFERROR(VLOOKUP($G:$G,Structure!$A:$AJ,AE$1,0)*$H61,0))</f>
        <v>0</v>
      </c>
      <c r="AF61" s="9">
        <f>SUM(IFERROR(VLOOKUP($C:$C,Structure!$A:$AJ,AF$1,0)*$D61,0),IFERROR(VLOOKUP($E:$E,Structure!$A:$AJ,AF$1,0)*$F61,0),IFERROR(VLOOKUP($G:$G,Structure!$A:$AJ,AF$1,0)*$H61,0))</f>
        <v>0</v>
      </c>
      <c r="AG61" s="9">
        <f>SUM(IFERROR(VLOOKUP($C:$C,Structure!$A:$AJ,AG$1,0)*$D61,0),IFERROR(VLOOKUP($E:$E,Structure!$A:$AJ,AG$1,0)*$F61,0),IFERROR(VLOOKUP($G:$G,Structure!$A:$AJ,AG$1,0)*$H61,0))</f>
        <v>0</v>
      </c>
      <c r="AH61" s="9">
        <f>SUM(IFERROR(VLOOKUP($C:$C,Structure!$A:$AJ,AH$1,0)*$D61,0),IFERROR(VLOOKUP($E:$E,Structure!$A:$AJ,AH$1,0)*$F61,0),IFERROR(VLOOKUP($G:$G,Structure!$A:$AJ,AH$1,0)*$H61,0))</f>
        <v>0</v>
      </c>
      <c r="AI61" s="9">
        <f>SUM(IFERROR(VLOOKUP($C:$C,Structure!$A:$AJ,AI$1,0)*$D61,0),IFERROR(VLOOKUP($E:$E,Structure!$A:$AJ,AI$1,0)*$F61,0),IFERROR(VLOOKUP($G:$G,Structure!$A:$AJ,AI$1,0)*$H61,0))</f>
        <v>0</v>
      </c>
      <c r="AJ61" s="9">
        <f>SUM(IFERROR(VLOOKUP($C:$C,Structure!$A:$AJ,AJ$1,0)*$D61,0),IFERROR(VLOOKUP($E:$E,Structure!$A:$AJ,AJ$1,0)*$F61,0),IFERROR(VLOOKUP($G:$G,Structure!$A:$AJ,AJ$1,0)*$H61,0))</f>
        <v>0</v>
      </c>
      <c r="AK61" s="9">
        <f>SUM(IFERROR(VLOOKUP($C:$C,Structure!$A:$AJ,AK$1,0)*$D61,0),IFERROR(VLOOKUP($E:$E,Structure!$A:$AJ,AK$1,0)*$F61,0),IFERROR(VLOOKUP($G:$G,Structure!$A:$AJ,AK$1,0)*$H61,0))</f>
        <v>0</v>
      </c>
      <c r="AL61" s="9">
        <f>SUM(IFERROR(VLOOKUP($C:$C,Structure!$A:$AJ,AL$1,0)*$D61,0),IFERROR(VLOOKUP($E:$E,Structure!$A:$AJ,AL$1,0)*$F61,0),IFERROR(VLOOKUP($G:$G,Structure!$A:$AJ,AL$1,0)*$H61,0))</f>
        <v>0</v>
      </c>
      <c r="AM61" s="9">
        <f>SUM(IFERROR(VLOOKUP($C:$C,Structure!$A:$AJ,AM$1,0)*$D61,0),IFERROR(VLOOKUP($E:$E,Structure!$A:$AJ,AM$1,0)*$F61,0),IFERROR(VLOOKUP($G:$G,Structure!$A:$AJ,AM$1,0)*$H61,0))</f>
        <v>0</v>
      </c>
      <c r="AN61" s="9">
        <f>SUM(IFERROR(VLOOKUP($C:$C,Structure!$A:$AJ,AN$1,0)*$D61,0),IFERROR(VLOOKUP($E:$E,Structure!$A:$AJ,AN$1,0)*$F61,0),IFERROR(VLOOKUP($G:$G,Structure!$A:$AJ,AN$1,0)*$H61,0))</f>
        <v>0</v>
      </c>
      <c r="AO61" s="9">
        <f>SUM(IFERROR(VLOOKUP($C:$C,Structure!$A:$AJ,AO$1,0)*$D61,0),IFERROR(VLOOKUP($E:$E,Structure!$A:$AJ,AO$1,0)*$F61,0),IFERROR(VLOOKUP($G:$G,Structure!$A:$AJ,AO$1,0)*$H61,0))</f>
        <v>0</v>
      </c>
      <c r="AP61" s="9">
        <f>SUM(IFERROR(VLOOKUP($C:$C,Structure!$A:$AJ,AP$1,0)*$D61,0),IFERROR(VLOOKUP($E:$E,Structure!$A:$AJ,AP$1,0)*$F61,0),IFERROR(VLOOKUP($G:$G,Structure!$A:$AJ,AP$1,0)*$H61,0))</f>
        <v>0</v>
      </c>
      <c r="AQ61" s="9">
        <f>SUM(IFERROR(VLOOKUP($C:$C,Structure!$A:$AJ,AQ$1,0)*$D61,0),IFERROR(VLOOKUP($E:$E,Structure!$A:$AJ,AQ$1,0)*$F61,0),IFERROR(VLOOKUP($G:$G,Structure!$A:$AJ,AQ$1,0)*$H61,0))</f>
        <v>0</v>
      </c>
      <c r="AR61" s="21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4">
        <f t="shared" si="57"/>
        <v>0</v>
      </c>
      <c r="CE61" s="4">
        <f t="shared" si="58"/>
        <v>117</v>
      </c>
      <c r="CF61" s="4">
        <f t="shared" si="59"/>
        <v>4</v>
      </c>
      <c r="CG61" s="4">
        <f t="shared" si="60"/>
        <v>23</v>
      </c>
      <c r="CH61" s="4">
        <f t="shared" si="61"/>
        <v>1</v>
      </c>
      <c r="CI61" s="4">
        <f t="shared" si="62"/>
        <v>51</v>
      </c>
      <c r="CJ61" s="4">
        <f t="shared" si="63"/>
        <v>-19</v>
      </c>
      <c r="CK61" s="4">
        <f t="shared" si="64"/>
        <v>246</v>
      </c>
      <c r="CL61" s="4">
        <f t="shared" si="65"/>
        <v>0</v>
      </c>
      <c r="CM61" s="4">
        <f t="shared" si="66"/>
        <v>4</v>
      </c>
      <c r="CN61" s="4">
        <f t="shared" si="67"/>
        <v>19</v>
      </c>
      <c r="CO61" s="4">
        <f t="shared" si="68"/>
        <v>0</v>
      </c>
      <c r="CP61" s="4">
        <f t="shared" si="69"/>
        <v>5</v>
      </c>
      <c r="CQ61" s="4">
        <f t="shared" si="70"/>
        <v>-145</v>
      </c>
      <c r="CR61" s="4">
        <f t="shared" si="71"/>
        <v>34</v>
      </c>
      <c r="CS61" s="4">
        <f t="shared" si="72"/>
        <v>0</v>
      </c>
      <c r="CT61" s="4">
        <f t="shared" si="73"/>
        <v>0</v>
      </c>
      <c r="CU61" s="4">
        <f t="shared" si="74"/>
        <v>0</v>
      </c>
      <c r="CV61" s="4">
        <f t="shared" si="75"/>
        <v>0</v>
      </c>
      <c r="CW61" s="4">
        <f t="shared" si="76"/>
        <v>0</v>
      </c>
      <c r="CX61" s="4">
        <f t="shared" si="77"/>
        <v>-125</v>
      </c>
      <c r="CY61" s="4">
        <f t="shared" si="78"/>
        <v>0</v>
      </c>
      <c r="CZ61" s="4">
        <f t="shared" si="79"/>
        <v>0</v>
      </c>
      <c r="DA61" s="4">
        <f t="shared" si="80"/>
        <v>0</v>
      </c>
      <c r="DB61" s="4">
        <f t="shared" si="81"/>
        <v>0</v>
      </c>
      <c r="DC61" s="4">
        <f t="shared" si="82"/>
        <v>0</v>
      </c>
      <c r="DD61" s="4">
        <f t="shared" si="83"/>
        <v>0</v>
      </c>
      <c r="DE61" s="4">
        <f t="shared" si="84"/>
        <v>0</v>
      </c>
      <c r="DF61" s="4">
        <f t="shared" si="85"/>
        <v>0</v>
      </c>
      <c r="DG61" s="4">
        <f t="shared" si="86"/>
        <v>0</v>
      </c>
      <c r="DH61" s="4">
        <f t="shared" si="87"/>
        <v>0</v>
      </c>
      <c r="DI61" s="4">
        <f t="shared" si="88"/>
        <v>0</v>
      </c>
      <c r="DJ61" s="4">
        <f t="shared" si="89"/>
        <v>0</v>
      </c>
      <c r="DK61" s="4">
        <f t="shared" si="90"/>
        <v>0</v>
      </c>
      <c r="DL61" s="4">
        <f t="shared" si="91"/>
        <v>0</v>
      </c>
    </row>
    <row r="62" spans="1:116" x14ac:dyDescent="0.25">
      <c r="A62" s="5">
        <v>46184</v>
      </c>
      <c r="B62" s="6">
        <v>0.5416666668097605</v>
      </c>
      <c r="C62" s="3"/>
      <c r="D62" s="3"/>
      <c r="E62" s="3" t="s">
        <v>30</v>
      </c>
      <c r="F62" s="3">
        <v>8</v>
      </c>
      <c r="G62" s="3"/>
      <c r="H62" s="9"/>
      <c r="I62" s="9">
        <f>SUM(IFERROR(VLOOKUP($C:$C,Structure!$A:$AJ,I$1,0)*$D62,0),IFERROR(VLOOKUP($E:$E,Structure!$A:$AJ,I$1,0)*$F62,0),IFERROR(VLOOKUP($G:$G,Structure!$A:$AJ,I$1,0)*$H62,0))</f>
        <v>0</v>
      </c>
      <c r="J62" s="9">
        <f>SUM(IFERROR(VLOOKUP($C:$C,Structure!$A:$AJ,J$1,0)*$D62,0),IFERROR(VLOOKUP($E:$E,Structure!$A:$AJ,J$1,0)*$F62,0),IFERROR(VLOOKUP($G:$G,Structure!$A:$AJ,J$1,0)*$H62,0))</f>
        <v>0</v>
      </c>
      <c r="K62" s="9">
        <f>SUM(IFERROR(VLOOKUP($C:$C,Structure!$A:$AJ,K$1,0)*$D62,0),IFERROR(VLOOKUP($E:$E,Structure!$A:$AJ,K$1,0)*$F62,0),IFERROR(VLOOKUP($G:$G,Structure!$A:$AJ,K$1,0)*$H62,0))</f>
        <v>0</v>
      </c>
      <c r="L62" s="9">
        <f>SUM(IFERROR(VLOOKUP($C:$C,Structure!$A:$AJ,L$1,0)*$D62,0),IFERROR(VLOOKUP($E:$E,Structure!$A:$AJ,L$1,0)*$F62,0),IFERROR(VLOOKUP($G:$G,Structure!$A:$AJ,L$1,0)*$H62,0))</f>
        <v>0</v>
      </c>
      <c r="M62" s="9">
        <f>SUM(IFERROR(VLOOKUP($C:$C,Structure!$A:$AJ,M$1,0)*$D62,0),IFERROR(VLOOKUP($E:$E,Structure!$A:$AJ,M$1,0)*$F62,0),IFERROR(VLOOKUP($G:$G,Structure!$A:$AJ,M$1,0)*$H62,0))</f>
        <v>0</v>
      </c>
      <c r="N62" s="9">
        <f>SUM(IFERROR(VLOOKUP($C:$C,Structure!$A:$AJ,N$1,0)*$D62,0),IFERROR(VLOOKUP($E:$E,Structure!$A:$AJ,N$1,0)*$F62,0),IFERROR(VLOOKUP($G:$G,Structure!$A:$AJ,N$1,0)*$H62,0))</f>
        <v>0</v>
      </c>
      <c r="O62" s="9">
        <f>SUM(IFERROR(VLOOKUP($C:$C,Structure!$A:$AJ,O$1,0)*$D62,0),IFERROR(VLOOKUP($E:$E,Structure!$A:$AJ,O$1,0)*$F62,0),IFERROR(VLOOKUP($G:$G,Structure!$A:$AJ,O$1,0)*$H62,0))</f>
        <v>0</v>
      </c>
      <c r="P62" s="9">
        <f>SUM(IFERROR(VLOOKUP($C:$C,Structure!$A:$AJ,P$1,0)*$D62,0),IFERROR(VLOOKUP($E:$E,Structure!$A:$AJ,P$1,0)*$F62,0),IFERROR(VLOOKUP($G:$G,Structure!$A:$AJ,P$1,0)*$H62,0))</f>
        <v>0</v>
      </c>
      <c r="Q62" s="9">
        <f>SUM(IFERROR(VLOOKUP($C:$C,Structure!$A:$AJ,Q$1,0)*$D62,0),IFERROR(VLOOKUP($E:$E,Structure!$A:$AJ,Q$1,0)*$F62,0),IFERROR(VLOOKUP($G:$G,Structure!$A:$AJ,Q$1,0)*$H62,0))</f>
        <v>0</v>
      </c>
      <c r="R62" s="9">
        <f>SUM(IFERROR(VLOOKUP($C:$C,Structure!$A:$AJ,R$1,0)*$D62,0),IFERROR(VLOOKUP($E:$E,Structure!$A:$AJ,R$1,0)*$F62,0),IFERROR(VLOOKUP($G:$G,Structure!$A:$AJ,R$1,0)*$H62,0))</f>
        <v>0</v>
      </c>
      <c r="S62" s="9">
        <f>SUM(IFERROR(VLOOKUP($C:$C,Structure!$A:$AJ,S$1,0)*$D62,0),IFERROR(VLOOKUP($E:$E,Structure!$A:$AJ,S$1,0)*$F62,0),IFERROR(VLOOKUP($G:$G,Structure!$A:$AJ,S$1,0)*$H62,0))</f>
        <v>0</v>
      </c>
      <c r="T62" s="9">
        <f>SUM(IFERROR(VLOOKUP($C:$C,Structure!$A:$AJ,T$1,0)*$D62,0),IFERROR(VLOOKUP($E:$E,Structure!$A:$AJ,T$1,0)*$F62,0),IFERROR(VLOOKUP($G:$G,Structure!$A:$AJ,T$1,0)*$H62,0))</f>
        <v>0</v>
      </c>
      <c r="U62" s="9">
        <f>SUM(IFERROR(VLOOKUP($C:$C,Structure!$A:$AJ,U$1,0)*$D62,0),IFERROR(VLOOKUP($E:$E,Structure!$A:$AJ,U$1,0)*$F62,0),IFERROR(VLOOKUP($G:$G,Structure!$A:$AJ,U$1,0)*$H62,0))</f>
        <v>0</v>
      </c>
      <c r="V62" s="9">
        <f>SUM(IFERROR(VLOOKUP($C:$C,Structure!$A:$AJ,V$1,0)*$D62,0),IFERROR(VLOOKUP($E:$E,Structure!$A:$AJ,V$1,0)*$F62,0),IFERROR(VLOOKUP($G:$G,Structure!$A:$AJ,V$1,0)*$H62,0))</f>
        <v>8</v>
      </c>
      <c r="W62" s="9">
        <f>SUM(IFERROR(VLOOKUP($C:$C,Structure!$A:$AJ,W$1,0)*$D62,0),IFERROR(VLOOKUP($E:$E,Structure!$A:$AJ,W$1,0)*$F62,0),IFERROR(VLOOKUP($G:$G,Structure!$A:$AJ,W$1,0)*$H62,0))</f>
        <v>0</v>
      </c>
      <c r="X62" s="9">
        <f>SUM(IFERROR(VLOOKUP($C:$C,Structure!$A:$AJ,X$1,0)*$D62,0),IFERROR(VLOOKUP($E:$E,Structure!$A:$AJ,X$1,0)*$F62,0),IFERROR(VLOOKUP($G:$G,Structure!$A:$AJ,X$1,0)*$H62,0))</f>
        <v>0</v>
      </c>
      <c r="Y62" s="9">
        <f>SUM(IFERROR(VLOOKUP($C:$C,Structure!$A:$AJ,Y$1,0)*$D62,0),IFERROR(VLOOKUP($E:$E,Structure!$A:$AJ,Y$1,0)*$F62,0),IFERROR(VLOOKUP($G:$G,Structure!$A:$AJ,Y$1,0)*$H62,0))</f>
        <v>0</v>
      </c>
      <c r="Z62" s="9">
        <f>SUM(IFERROR(VLOOKUP($C:$C,Structure!$A:$AJ,Z$1,0)*$D62,0),IFERROR(VLOOKUP($E:$E,Structure!$A:$AJ,Z$1,0)*$F62,0),IFERROR(VLOOKUP($G:$G,Structure!$A:$AJ,Z$1,0)*$H62,0))</f>
        <v>0</v>
      </c>
      <c r="AA62" s="9">
        <f>SUM(IFERROR(VLOOKUP($C:$C,Structure!$A:$AJ,AA$1,0)*$D62,0),IFERROR(VLOOKUP($E:$E,Structure!$A:$AJ,AA$1,0)*$F62,0),IFERROR(VLOOKUP($G:$G,Structure!$A:$AJ,AA$1,0)*$H62,0))</f>
        <v>0</v>
      </c>
      <c r="AB62" s="9">
        <f>SUM(IFERROR(VLOOKUP($C:$C,Structure!$A:$AJ,AB$1,0)*$D62,0),IFERROR(VLOOKUP($E:$E,Structure!$A:$AJ,AB$1,0)*$F62,0),IFERROR(VLOOKUP($G:$G,Structure!$A:$AJ,AB$1,0)*$H62,0))</f>
        <v>0</v>
      </c>
      <c r="AC62" s="9">
        <f>SUM(IFERROR(VLOOKUP($C:$C,Structure!$A:$AJ,AC$1,0)*$D62,0),IFERROR(VLOOKUP($E:$E,Structure!$A:$AJ,AC$1,0)*$F62,0),IFERROR(VLOOKUP($G:$G,Structure!$A:$AJ,AC$1,0)*$H62,0))</f>
        <v>8</v>
      </c>
      <c r="AD62" s="9">
        <f>SUM(IFERROR(VLOOKUP($C:$C,Structure!$A:$AJ,AD$1,0)*$D62,0),IFERROR(VLOOKUP($E:$E,Structure!$A:$AJ,AD$1,0)*$F62,0),IFERROR(VLOOKUP($G:$G,Structure!$A:$AJ,AD$1,0)*$H62,0))</f>
        <v>0</v>
      </c>
      <c r="AE62" s="9">
        <f>SUM(IFERROR(VLOOKUP($C:$C,Structure!$A:$AJ,AE$1,0)*$D62,0),IFERROR(VLOOKUP($E:$E,Structure!$A:$AJ,AE$1,0)*$F62,0),IFERROR(VLOOKUP($G:$G,Structure!$A:$AJ,AE$1,0)*$H62,0))</f>
        <v>0</v>
      </c>
      <c r="AF62" s="9">
        <f>SUM(IFERROR(VLOOKUP($C:$C,Structure!$A:$AJ,AF$1,0)*$D62,0),IFERROR(VLOOKUP($E:$E,Structure!$A:$AJ,AF$1,0)*$F62,0),IFERROR(VLOOKUP($G:$G,Structure!$A:$AJ,AF$1,0)*$H62,0))</f>
        <v>0</v>
      </c>
      <c r="AG62" s="9">
        <f>SUM(IFERROR(VLOOKUP($C:$C,Structure!$A:$AJ,AG$1,0)*$D62,0),IFERROR(VLOOKUP($E:$E,Structure!$A:$AJ,AG$1,0)*$F62,0),IFERROR(VLOOKUP($G:$G,Structure!$A:$AJ,AG$1,0)*$H62,0))</f>
        <v>0</v>
      </c>
      <c r="AH62" s="9">
        <f>SUM(IFERROR(VLOOKUP($C:$C,Structure!$A:$AJ,AH$1,0)*$D62,0),IFERROR(VLOOKUP($E:$E,Structure!$A:$AJ,AH$1,0)*$F62,0),IFERROR(VLOOKUP($G:$G,Structure!$A:$AJ,AH$1,0)*$H62,0))</f>
        <v>0</v>
      </c>
      <c r="AI62" s="9">
        <f>SUM(IFERROR(VLOOKUP($C:$C,Structure!$A:$AJ,AI$1,0)*$D62,0),IFERROR(VLOOKUP($E:$E,Structure!$A:$AJ,AI$1,0)*$F62,0),IFERROR(VLOOKUP($G:$G,Structure!$A:$AJ,AI$1,0)*$H62,0))</f>
        <v>0</v>
      </c>
      <c r="AJ62" s="9">
        <f>SUM(IFERROR(VLOOKUP($C:$C,Structure!$A:$AJ,AJ$1,0)*$D62,0),IFERROR(VLOOKUP($E:$E,Structure!$A:$AJ,AJ$1,0)*$F62,0),IFERROR(VLOOKUP($G:$G,Structure!$A:$AJ,AJ$1,0)*$H62,0))</f>
        <v>0</v>
      </c>
      <c r="AK62" s="9">
        <f>SUM(IFERROR(VLOOKUP($C:$C,Structure!$A:$AJ,AK$1,0)*$D62,0),IFERROR(VLOOKUP($E:$E,Structure!$A:$AJ,AK$1,0)*$F62,0),IFERROR(VLOOKUP($G:$G,Structure!$A:$AJ,AK$1,0)*$H62,0))</f>
        <v>0</v>
      </c>
      <c r="AL62" s="9">
        <f>SUM(IFERROR(VLOOKUP($C:$C,Structure!$A:$AJ,AL$1,0)*$D62,0),IFERROR(VLOOKUP($E:$E,Structure!$A:$AJ,AL$1,0)*$F62,0),IFERROR(VLOOKUP($G:$G,Structure!$A:$AJ,AL$1,0)*$H62,0))</f>
        <v>0</v>
      </c>
      <c r="AM62" s="9">
        <f>SUM(IFERROR(VLOOKUP($C:$C,Structure!$A:$AJ,AM$1,0)*$D62,0),IFERROR(VLOOKUP($E:$E,Structure!$A:$AJ,AM$1,0)*$F62,0),IFERROR(VLOOKUP($G:$G,Structure!$A:$AJ,AM$1,0)*$H62,0))</f>
        <v>0</v>
      </c>
      <c r="AN62" s="9">
        <f>SUM(IFERROR(VLOOKUP($C:$C,Structure!$A:$AJ,AN$1,0)*$D62,0),IFERROR(VLOOKUP($E:$E,Structure!$A:$AJ,AN$1,0)*$F62,0),IFERROR(VLOOKUP($G:$G,Structure!$A:$AJ,AN$1,0)*$H62,0))</f>
        <v>0</v>
      </c>
      <c r="AO62" s="9">
        <f>SUM(IFERROR(VLOOKUP($C:$C,Structure!$A:$AJ,AO$1,0)*$D62,0),IFERROR(VLOOKUP($E:$E,Structure!$A:$AJ,AO$1,0)*$F62,0),IFERROR(VLOOKUP($G:$G,Structure!$A:$AJ,AO$1,0)*$H62,0))</f>
        <v>0</v>
      </c>
      <c r="AP62" s="9">
        <f>SUM(IFERROR(VLOOKUP($C:$C,Structure!$A:$AJ,AP$1,0)*$D62,0),IFERROR(VLOOKUP($E:$E,Structure!$A:$AJ,AP$1,0)*$F62,0),IFERROR(VLOOKUP($G:$G,Structure!$A:$AJ,AP$1,0)*$H62,0))</f>
        <v>0</v>
      </c>
      <c r="AQ62" s="9">
        <f>SUM(IFERROR(VLOOKUP($C:$C,Structure!$A:$AJ,AQ$1,0)*$D62,0),IFERROR(VLOOKUP($E:$E,Structure!$A:$AJ,AQ$1,0)*$F62,0),IFERROR(VLOOKUP($G:$G,Structure!$A:$AJ,AQ$1,0)*$H62,0))</f>
        <v>0</v>
      </c>
      <c r="AR62" s="21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4">
        <f t="shared" si="57"/>
        <v>0</v>
      </c>
      <c r="CE62" s="4">
        <f t="shared" si="58"/>
        <v>117</v>
      </c>
      <c r="CF62" s="4">
        <f t="shared" si="59"/>
        <v>4</v>
      </c>
      <c r="CG62" s="4">
        <f t="shared" si="60"/>
        <v>23</v>
      </c>
      <c r="CH62" s="4">
        <f t="shared" si="61"/>
        <v>1</v>
      </c>
      <c r="CI62" s="4">
        <f t="shared" si="62"/>
        <v>51</v>
      </c>
      <c r="CJ62" s="4">
        <f t="shared" si="63"/>
        <v>-19</v>
      </c>
      <c r="CK62" s="4">
        <f t="shared" si="64"/>
        <v>246</v>
      </c>
      <c r="CL62" s="4">
        <f t="shared" si="65"/>
        <v>0</v>
      </c>
      <c r="CM62" s="4">
        <f t="shared" si="66"/>
        <v>4</v>
      </c>
      <c r="CN62" s="4">
        <f t="shared" si="67"/>
        <v>19</v>
      </c>
      <c r="CO62" s="4">
        <f t="shared" si="68"/>
        <v>0</v>
      </c>
      <c r="CP62" s="4">
        <f t="shared" si="69"/>
        <v>5</v>
      </c>
      <c r="CQ62" s="4">
        <f t="shared" si="70"/>
        <v>-153</v>
      </c>
      <c r="CR62" s="4">
        <f t="shared" si="71"/>
        <v>34</v>
      </c>
      <c r="CS62" s="4">
        <f t="shared" si="72"/>
        <v>0</v>
      </c>
      <c r="CT62" s="4">
        <f t="shared" si="73"/>
        <v>0</v>
      </c>
      <c r="CU62" s="4">
        <f t="shared" si="74"/>
        <v>0</v>
      </c>
      <c r="CV62" s="4">
        <f t="shared" si="75"/>
        <v>0</v>
      </c>
      <c r="CW62" s="4">
        <f t="shared" si="76"/>
        <v>0</v>
      </c>
      <c r="CX62" s="4">
        <f t="shared" si="77"/>
        <v>-133</v>
      </c>
      <c r="CY62" s="4">
        <f t="shared" si="78"/>
        <v>0</v>
      </c>
      <c r="CZ62" s="4">
        <f t="shared" si="79"/>
        <v>0</v>
      </c>
      <c r="DA62" s="4">
        <f t="shared" si="80"/>
        <v>0</v>
      </c>
      <c r="DB62" s="4">
        <f t="shared" si="81"/>
        <v>0</v>
      </c>
      <c r="DC62" s="4">
        <f t="shared" si="82"/>
        <v>0</v>
      </c>
      <c r="DD62" s="4">
        <f t="shared" si="83"/>
        <v>0</v>
      </c>
      <c r="DE62" s="4">
        <f t="shared" si="84"/>
        <v>0</v>
      </c>
      <c r="DF62" s="4">
        <f t="shared" si="85"/>
        <v>0</v>
      </c>
      <c r="DG62" s="4">
        <f t="shared" si="86"/>
        <v>0</v>
      </c>
      <c r="DH62" s="4">
        <f t="shared" si="87"/>
        <v>0</v>
      </c>
      <c r="DI62" s="4">
        <f t="shared" si="88"/>
        <v>0</v>
      </c>
      <c r="DJ62" s="4">
        <f t="shared" si="89"/>
        <v>0</v>
      </c>
      <c r="DK62" s="4">
        <f t="shared" si="90"/>
        <v>0</v>
      </c>
      <c r="DL62" s="4">
        <f t="shared" si="91"/>
        <v>0</v>
      </c>
    </row>
    <row r="63" spans="1:116" x14ac:dyDescent="0.25">
      <c r="A63" s="5">
        <v>46184</v>
      </c>
      <c r="B63" s="6">
        <v>0.56250000014551915</v>
      </c>
      <c r="C63" s="3"/>
      <c r="D63" s="3"/>
      <c r="E63" s="3" t="s">
        <v>57</v>
      </c>
      <c r="F63" s="3">
        <v>8</v>
      </c>
      <c r="G63" s="3"/>
      <c r="H63" s="9"/>
      <c r="I63" s="9">
        <f>SUM(IFERROR(VLOOKUP($C:$C,Structure!$A:$AJ,I$1,0)*$D63,0),IFERROR(VLOOKUP($E:$E,Structure!$A:$AJ,I$1,0)*$F63,0),IFERROR(VLOOKUP($G:$G,Structure!$A:$AJ,I$1,0)*$H63,0))</f>
        <v>0</v>
      </c>
      <c r="J63" s="9">
        <f>SUM(IFERROR(VLOOKUP($C:$C,Structure!$A:$AJ,J$1,0)*$D63,0),IFERROR(VLOOKUP($E:$E,Structure!$A:$AJ,J$1,0)*$F63,0),IFERROR(VLOOKUP($G:$G,Structure!$A:$AJ,J$1,0)*$H63,0))</f>
        <v>0</v>
      </c>
      <c r="K63" s="9">
        <f>SUM(IFERROR(VLOOKUP($C:$C,Structure!$A:$AJ,K$1,0)*$D63,0),IFERROR(VLOOKUP($E:$E,Structure!$A:$AJ,K$1,0)*$F63,0),IFERROR(VLOOKUP($G:$G,Structure!$A:$AJ,K$1,0)*$H63,0))</f>
        <v>0</v>
      </c>
      <c r="L63" s="9">
        <f>SUM(IFERROR(VLOOKUP($C:$C,Structure!$A:$AJ,L$1,0)*$D63,0),IFERROR(VLOOKUP($E:$E,Structure!$A:$AJ,L$1,0)*$F63,0),IFERROR(VLOOKUP($G:$G,Structure!$A:$AJ,L$1,0)*$H63,0))</f>
        <v>0</v>
      </c>
      <c r="M63" s="9">
        <f>SUM(IFERROR(VLOOKUP($C:$C,Structure!$A:$AJ,M$1,0)*$D63,0),IFERROR(VLOOKUP($E:$E,Structure!$A:$AJ,M$1,0)*$F63,0),IFERROR(VLOOKUP($G:$G,Structure!$A:$AJ,M$1,0)*$H63,0))</f>
        <v>0</v>
      </c>
      <c r="N63" s="9">
        <f>SUM(IFERROR(VLOOKUP($C:$C,Structure!$A:$AJ,N$1,0)*$D63,0),IFERROR(VLOOKUP($E:$E,Structure!$A:$AJ,N$1,0)*$F63,0),IFERROR(VLOOKUP($G:$G,Structure!$A:$AJ,N$1,0)*$H63,0))</f>
        <v>0</v>
      </c>
      <c r="O63" s="9">
        <f>SUM(IFERROR(VLOOKUP($C:$C,Structure!$A:$AJ,O$1,0)*$D63,0),IFERROR(VLOOKUP($E:$E,Structure!$A:$AJ,O$1,0)*$F63,0),IFERROR(VLOOKUP($G:$G,Structure!$A:$AJ,O$1,0)*$H63,0))</f>
        <v>8</v>
      </c>
      <c r="P63" s="9">
        <f>SUM(IFERROR(VLOOKUP($C:$C,Structure!$A:$AJ,P$1,0)*$D63,0),IFERROR(VLOOKUP($E:$E,Structure!$A:$AJ,P$1,0)*$F63,0),IFERROR(VLOOKUP($G:$G,Structure!$A:$AJ,P$1,0)*$H63,0))</f>
        <v>0</v>
      </c>
      <c r="Q63" s="9">
        <f>SUM(IFERROR(VLOOKUP($C:$C,Structure!$A:$AJ,Q$1,0)*$D63,0),IFERROR(VLOOKUP($E:$E,Structure!$A:$AJ,Q$1,0)*$F63,0),IFERROR(VLOOKUP($G:$G,Structure!$A:$AJ,Q$1,0)*$H63,0))</f>
        <v>0</v>
      </c>
      <c r="R63" s="9">
        <f>SUM(IFERROR(VLOOKUP($C:$C,Structure!$A:$AJ,R$1,0)*$D63,0),IFERROR(VLOOKUP($E:$E,Structure!$A:$AJ,R$1,0)*$F63,0),IFERROR(VLOOKUP($G:$G,Structure!$A:$AJ,R$1,0)*$H63,0))</f>
        <v>0</v>
      </c>
      <c r="S63" s="9">
        <f>SUM(IFERROR(VLOOKUP($C:$C,Structure!$A:$AJ,S$1,0)*$D63,0),IFERROR(VLOOKUP($E:$E,Structure!$A:$AJ,S$1,0)*$F63,0),IFERROR(VLOOKUP($G:$G,Structure!$A:$AJ,S$1,0)*$H63,0))</f>
        <v>8</v>
      </c>
      <c r="T63" s="9">
        <f>SUM(IFERROR(VLOOKUP($C:$C,Structure!$A:$AJ,T$1,0)*$D63,0),IFERROR(VLOOKUP($E:$E,Structure!$A:$AJ,T$1,0)*$F63,0),IFERROR(VLOOKUP($G:$G,Structure!$A:$AJ,T$1,0)*$H63,0))</f>
        <v>0</v>
      </c>
      <c r="U63" s="9">
        <f>SUM(IFERROR(VLOOKUP($C:$C,Structure!$A:$AJ,U$1,0)*$D63,0),IFERROR(VLOOKUP($E:$E,Structure!$A:$AJ,U$1,0)*$F63,0),IFERROR(VLOOKUP($G:$G,Structure!$A:$AJ,U$1,0)*$H63,0))</f>
        <v>0</v>
      </c>
      <c r="V63" s="9">
        <f>SUM(IFERROR(VLOOKUP($C:$C,Structure!$A:$AJ,V$1,0)*$D63,0),IFERROR(VLOOKUP($E:$E,Structure!$A:$AJ,V$1,0)*$F63,0),IFERROR(VLOOKUP($G:$G,Structure!$A:$AJ,V$1,0)*$H63,0))</f>
        <v>0</v>
      </c>
      <c r="W63" s="9">
        <f>SUM(IFERROR(VLOOKUP($C:$C,Structure!$A:$AJ,W$1,0)*$D63,0),IFERROR(VLOOKUP($E:$E,Structure!$A:$AJ,W$1,0)*$F63,0),IFERROR(VLOOKUP($G:$G,Structure!$A:$AJ,W$1,0)*$H63,0))</f>
        <v>0</v>
      </c>
      <c r="X63" s="9">
        <f>SUM(IFERROR(VLOOKUP($C:$C,Structure!$A:$AJ,X$1,0)*$D63,0),IFERROR(VLOOKUP($E:$E,Structure!$A:$AJ,X$1,0)*$F63,0),IFERROR(VLOOKUP($G:$G,Structure!$A:$AJ,X$1,0)*$H63,0))</f>
        <v>0</v>
      </c>
      <c r="Y63" s="9">
        <f>SUM(IFERROR(VLOOKUP($C:$C,Structure!$A:$AJ,Y$1,0)*$D63,0),IFERROR(VLOOKUP($E:$E,Structure!$A:$AJ,Y$1,0)*$F63,0),IFERROR(VLOOKUP($G:$G,Structure!$A:$AJ,Y$1,0)*$H63,0))</f>
        <v>0</v>
      </c>
      <c r="Z63" s="9">
        <f>SUM(IFERROR(VLOOKUP($C:$C,Structure!$A:$AJ,Z$1,0)*$D63,0),IFERROR(VLOOKUP($E:$E,Structure!$A:$AJ,Z$1,0)*$F63,0),IFERROR(VLOOKUP($G:$G,Structure!$A:$AJ,Z$1,0)*$H63,0))</f>
        <v>0</v>
      </c>
      <c r="AA63" s="9">
        <f>SUM(IFERROR(VLOOKUP($C:$C,Structure!$A:$AJ,AA$1,0)*$D63,0),IFERROR(VLOOKUP($E:$E,Structure!$A:$AJ,AA$1,0)*$F63,0),IFERROR(VLOOKUP($G:$G,Structure!$A:$AJ,AA$1,0)*$H63,0))</f>
        <v>0</v>
      </c>
      <c r="AB63" s="9">
        <f>SUM(IFERROR(VLOOKUP($C:$C,Structure!$A:$AJ,AB$1,0)*$D63,0),IFERROR(VLOOKUP($E:$E,Structure!$A:$AJ,AB$1,0)*$F63,0),IFERROR(VLOOKUP($G:$G,Structure!$A:$AJ,AB$1,0)*$H63,0))</f>
        <v>0</v>
      </c>
      <c r="AC63" s="9">
        <f>SUM(IFERROR(VLOOKUP($C:$C,Structure!$A:$AJ,AC$1,0)*$D63,0),IFERROR(VLOOKUP($E:$E,Structure!$A:$AJ,AC$1,0)*$F63,0),IFERROR(VLOOKUP($G:$G,Structure!$A:$AJ,AC$1,0)*$H63,0))</f>
        <v>0</v>
      </c>
      <c r="AD63" s="9">
        <f>SUM(IFERROR(VLOOKUP($C:$C,Structure!$A:$AJ,AD$1,0)*$D63,0),IFERROR(VLOOKUP($E:$E,Structure!$A:$AJ,AD$1,0)*$F63,0),IFERROR(VLOOKUP($G:$G,Structure!$A:$AJ,AD$1,0)*$H63,0))</f>
        <v>0</v>
      </c>
      <c r="AE63" s="9">
        <f>SUM(IFERROR(VLOOKUP($C:$C,Structure!$A:$AJ,AE$1,0)*$D63,0),IFERROR(VLOOKUP($E:$E,Structure!$A:$AJ,AE$1,0)*$F63,0),IFERROR(VLOOKUP($G:$G,Structure!$A:$AJ,AE$1,0)*$H63,0))</f>
        <v>0</v>
      </c>
      <c r="AF63" s="9">
        <f>SUM(IFERROR(VLOOKUP($C:$C,Structure!$A:$AJ,AF$1,0)*$D63,0),IFERROR(VLOOKUP($E:$E,Structure!$A:$AJ,AF$1,0)*$F63,0),IFERROR(VLOOKUP($G:$G,Structure!$A:$AJ,AF$1,0)*$H63,0))</f>
        <v>0</v>
      </c>
      <c r="AG63" s="9">
        <f>SUM(IFERROR(VLOOKUP($C:$C,Structure!$A:$AJ,AG$1,0)*$D63,0),IFERROR(VLOOKUP($E:$E,Structure!$A:$AJ,AG$1,0)*$F63,0),IFERROR(VLOOKUP($G:$G,Structure!$A:$AJ,AG$1,0)*$H63,0))</f>
        <v>0</v>
      </c>
      <c r="AH63" s="9">
        <f>SUM(IFERROR(VLOOKUP($C:$C,Structure!$A:$AJ,AH$1,0)*$D63,0),IFERROR(VLOOKUP($E:$E,Structure!$A:$AJ,AH$1,0)*$F63,0),IFERROR(VLOOKUP($G:$G,Structure!$A:$AJ,AH$1,0)*$H63,0))</f>
        <v>0</v>
      </c>
      <c r="AI63" s="9">
        <f>SUM(IFERROR(VLOOKUP($C:$C,Structure!$A:$AJ,AI$1,0)*$D63,0),IFERROR(VLOOKUP($E:$E,Structure!$A:$AJ,AI$1,0)*$F63,0),IFERROR(VLOOKUP($G:$G,Structure!$A:$AJ,AI$1,0)*$H63,0))</f>
        <v>0</v>
      </c>
      <c r="AJ63" s="9">
        <f>SUM(IFERROR(VLOOKUP($C:$C,Structure!$A:$AJ,AJ$1,0)*$D63,0),IFERROR(VLOOKUP($E:$E,Structure!$A:$AJ,AJ$1,0)*$F63,0),IFERROR(VLOOKUP($G:$G,Structure!$A:$AJ,AJ$1,0)*$H63,0))</f>
        <v>0</v>
      </c>
      <c r="AK63" s="9">
        <f>SUM(IFERROR(VLOOKUP($C:$C,Structure!$A:$AJ,AK$1,0)*$D63,0),IFERROR(VLOOKUP($E:$E,Structure!$A:$AJ,AK$1,0)*$F63,0),IFERROR(VLOOKUP($G:$G,Structure!$A:$AJ,AK$1,0)*$H63,0))</f>
        <v>0</v>
      </c>
      <c r="AL63" s="9">
        <f>SUM(IFERROR(VLOOKUP($C:$C,Structure!$A:$AJ,AL$1,0)*$D63,0),IFERROR(VLOOKUP($E:$E,Structure!$A:$AJ,AL$1,0)*$F63,0),IFERROR(VLOOKUP($G:$G,Structure!$A:$AJ,AL$1,0)*$H63,0))</f>
        <v>0</v>
      </c>
      <c r="AM63" s="9">
        <f>SUM(IFERROR(VLOOKUP($C:$C,Structure!$A:$AJ,AM$1,0)*$D63,0),IFERROR(VLOOKUP($E:$E,Structure!$A:$AJ,AM$1,0)*$F63,0),IFERROR(VLOOKUP($G:$G,Structure!$A:$AJ,AM$1,0)*$H63,0))</f>
        <v>0</v>
      </c>
      <c r="AN63" s="9">
        <f>SUM(IFERROR(VLOOKUP($C:$C,Structure!$A:$AJ,AN$1,0)*$D63,0),IFERROR(VLOOKUP($E:$E,Structure!$A:$AJ,AN$1,0)*$F63,0),IFERROR(VLOOKUP($G:$G,Structure!$A:$AJ,AN$1,0)*$H63,0))</f>
        <v>0</v>
      </c>
      <c r="AO63" s="9">
        <f>SUM(IFERROR(VLOOKUP($C:$C,Structure!$A:$AJ,AO$1,0)*$D63,0),IFERROR(VLOOKUP($E:$E,Structure!$A:$AJ,AO$1,0)*$F63,0),IFERROR(VLOOKUP($G:$G,Structure!$A:$AJ,AO$1,0)*$H63,0))</f>
        <v>0</v>
      </c>
      <c r="AP63" s="9">
        <f>SUM(IFERROR(VLOOKUP($C:$C,Structure!$A:$AJ,AP$1,0)*$D63,0),IFERROR(VLOOKUP($E:$E,Structure!$A:$AJ,AP$1,0)*$F63,0),IFERROR(VLOOKUP($G:$G,Structure!$A:$AJ,AP$1,0)*$H63,0))</f>
        <v>0</v>
      </c>
      <c r="AQ63" s="9">
        <f>SUM(IFERROR(VLOOKUP($C:$C,Structure!$A:$AJ,AQ$1,0)*$D63,0),IFERROR(VLOOKUP($E:$E,Structure!$A:$AJ,AQ$1,0)*$F63,0),IFERROR(VLOOKUP($G:$G,Structure!$A:$AJ,AQ$1,0)*$H63,0))</f>
        <v>0</v>
      </c>
      <c r="AR63" s="21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4">
        <f t="shared" si="57"/>
        <v>0</v>
      </c>
      <c r="CE63" s="4">
        <f t="shared" si="58"/>
        <v>117</v>
      </c>
      <c r="CF63" s="4">
        <f t="shared" si="59"/>
        <v>4</v>
      </c>
      <c r="CG63" s="4">
        <f t="shared" si="60"/>
        <v>23</v>
      </c>
      <c r="CH63" s="4">
        <f t="shared" si="61"/>
        <v>1</v>
      </c>
      <c r="CI63" s="4">
        <f t="shared" si="62"/>
        <v>51</v>
      </c>
      <c r="CJ63" s="4">
        <f t="shared" si="63"/>
        <v>-27</v>
      </c>
      <c r="CK63" s="4">
        <f t="shared" si="64"/>
        <v>246</v>
      </c>
      <c r="CL63" s="4">
        <f t="shared" si="65"/>
        <v>0</v>
      </c>
      <c r="CM63" s="4">
        <f t="shared" si="66"/>
        <v>4</v>
      </c>
      <c r="CN63" s="4">
        <f t="shared" si="67"/>
        <v>11</v>
      </c>
      <c r="CO63" s="4">
        <f t="shared" si="68"/>
        <v>0</v>
      </c>
      <c r="CP63" s="4">
        <f t="shared" si="69"/>
        <v>5</v>
      </c>
      <c r="CQ63" s="4">
        <f t="shared" si="70"/>
        <v>-153</v>
      </c>
      <c r="CR63" s="4">
        <f t="shared" si="71"/>
        <v>34</v>
      </c>
      <c r="CS63" s="4">
        <f t="shared" si="72"/>
        <v>0</v>
      </c>
      <c r="CT63" s="4">
        <f t="shared" si="73"/>
        <v>0</v>
      </c>
      <c r="CU63" s="4">
        <f t="shared" si="74"/>
        <v>0</v>
      </c>
      <c r="CV63" s="4">
        <f t="shared" si="75"/>
        <v>0</v>
      </c>
      <c r="CW63" s="4">
        <f t="shared" si="76"/>
        <v>0</v>
      </c>
      <c r="CX63" s="4">
        <f t="shared" si="77"/>
        <v>-133</v>
      </c>
      <c r="CY63" s="4">
        <f t="shared" si="78"/>
        <v>0</v>
      </c>
      <c r="CZ63" s="4">
        <f t="shared" si="79"/>
        <v>0</v>
      </c>
      <c r="DA63" s="4">
        <f t="shared" si="80"/>
        <v>0</v>
      </c>
      <c r="DB63" s="4">
        <f t="shared" si="81"/>
        <v>0</v>
      </c>
      <c r="DC63" s="4">
        <f t="shared" si="82"/>
        <v>0</v>
      </c>
      <c r="DD63" s="4">
        <f t="shared" si="83"/>
        <v>0</v>
      </c>
      <c r="DE63" s="4">
        <f t="shared" si="84"/>
        <v>0</v>
      </c>
      <c r="DF63" s="4">
        <f t="shared" si="85"/>
        <v>0</v>
      </c>
      <c r="DG63" s="4">
        <f t="shared" si="86"/>
        <v>0</v>
      </c>
      <c r="DH63" s="4">
        <f t="shared" si="87"/>
        <v>0</v>
      </c>
      <c r="DI63" s="4">
        <f t="shared" si="88"/>
        <v>0</v>
      </c>
      <c r="DJ63" s="4">
        <f t="shared" si="89"/>
        <v>0</v>
      </c>
      <c r="DK63" s="4">
        <f t="shared" si="90"/>
        <v>0</v>
      </c>
      <c r="DL63" s="4">
        <f t="shared" si="91"/>
        <v>0</v>
      </c>
    </row>
    <row r="64" spans="1:116" x14ac:dyDescent="0.25">
      <c r="A64" s="5">
        <v>46184</v>
      </c>
      <c r="B64" s="6">
        <v>0.5833333334812778</v>
      </c>
      <c r="C64" s="3"/>
      <c r="D64" s="3"/>
      <c r="E64" s="3" t="s">
        <v>57</v>
      </c>
      <c r="F64" s="3">
        <v>8</v>
      </c>
      <c r="G64" s="3"/>
      <c r="H64" s="9"/>
      <c r="I64" s="9">
        <f>SUM(IFERROR(VLOOKUP($C:$C,Structure!$A:$AJ,I$1,0)*$D64,0),IFERROR(VLOOKUP($E:$E,Structure!$A:$AJ,I$1,0)*$F64,0),IFERROR(VLOOKUP($G:$G,Structure!$A:$AJ,I$1,0)*$H64,0))</f>
        <v>0</v>
      </c>
      <c r="J64" s="9">
        <f>SUM(IFERROR(VLOOKUP($C:$C,Structure!$A:$AJ,J$1,0)*$D64,0),IFERROR(VLOOKUP($E:$E,Structure!$A:$AJ,J$1,0)*$F64,0),IFERROR(VLOOKUP($G:$G,Structure!$A:$AJ,J$1,0)*$H64,0))</f>
        <v>0</v>
      </c>
      <c r="K64" s="9">
        <f>SUM(IFERROR(VLOOKUP($C:$C,Structure!$A:$AJ,K$1,0)*$D64,0),IFERROR(VLOOKUP($E:$E,Structure!$A:$AJ,K$1,0)*$F64,0),IFERROR(VLOOKUP($G:$G,Structure!$A:$AJ,K$1,0)*$H64,0))</f>
        <v>0</v>
      </c>
      <c r="L64" s="9">
        <f>SUM(IFERROR(VLOOKUP($C:$C,Structure!$A:$AJ,L$1,0)*$D64,0),IFERROR(VLOOKUP($E:$E,Structure!$A:$AJ,L$1,0)*$F64,0),IFERROR(VLOOKUP($G:$G,Structure!$A:$AJ,L$1,0)*$H64,0))</f>
        <v>0</v>
      </c>
      <c r="M64" s="9">
        <f>SUM(IFERROR(VLOOKUP($C:$C,Structure!$A:$AJ,M$1,0)*$D64,0),IFERROR(VLOOKUP($E:$E,Structure!$A:$AJ,M$1,0)*$F64,0),IFERROR(VLOOKUP($G:$G,Structure!$A:$AJ,M$1,0)*$H64,0))</f>
        <v>0</v>
      </c>
      <c r="N64" s="9">
        <f>SUM(IFERROR(VLOOKUP($C:$C,Structure!$A:$AJ,N$1,0)*$D64,0),IFERROR(VLOOKUP($E:$E,Structure!$A:$AJ,N$1,0)*$F64,0),IFERROR(VLOOKUP($G:$G,Structure!$A:$AJ,N$1,0)*$H64,0))</f>
        <v>0</v>
      </c>
      <c r="O64" s="9">
        <f>SUM(IFERROR(VLOOKUP($C:$C,Structure!$A:$AJ,O$1,0)*$D64,0),IFERROR(VLOOKUP($E:$E,Structure!$A:$AJ,O$1,0)*$F64,0),IFERROR(VLOOKUP($G:$G,Structure!$A:$AJ,O$1,0)*$H64,0))</f>
        <v>8</v>
      </c>
      <c r="P64" s="9">
        <f>SUM(IFERROR(VLOOKUP($C:$C,Structure!$A:$AJ,P$1,0)*$D64,0),IFERROR(VLOOKUP($E:$E,Structure!$A:$AJ,P$1,0)*$F64,0),IFERROR(VLOOKUP($G:$G,Structure!$A:$AJ,P$1,0)*$H64,0))</f>
        <v>0</v>
      </c>
      <c r="Q64" s="9">
        <f>SUM(IFERROR(VLOOKUP($C:$C,Structure!$A:$AJ,Q$1,0)*$D64,0),IFERROR(VLOOKUP($E:$E,Structure!$A:$AJ,Q$1,0)*$F64,0),IFERROR(VLOOKUP($G:$G,Structure!$A:$AJ,Q$1,0)*$H64,0))</f>
        <v>0</v>
      </c>
      <c r="R64" s="9">
        <f>SUM(IFERROR(VLOOKUP($C:$C,Structure!$A:$AJ,R$1,0)*$D64,0),IFERROR(VLOOKUP($E:$E,Structure!$A:$AJ,R$1,0)*$F64,0),IFERROR(VLOOKUP($G:$G,Structure!$A:$AJ,R$1,0)*$H64,0))</f>
        <v>0</v>
      </c>
      <c r="S64" s="9">
        <f>SUM(IFERROR(VLOOKUP($C:$C,Structure!$A:$AJ,S$1,0)*$D64,0),IFERROR(VLOOKUP($E:$E,Structure!$A:$AJ,S$1,0)*$F64,0),IFERROR(VLOOKUP($G:$G,Structure!$A:$AJ,S$1,0)*$H64,0))</f>
        <v>8</v>
      </c>
      <c r="T64" s="9">
        <f>SUM(IFERROR(VLOOKUP($C:$C,Structure!$A:$AJ,T$1,0)*$D64,0),IFERROR(VLOOKUP($E:$E,Structure!$A:$AJ,T$1,0)*$F64,0),IFERROR(VLOOKUP($G:$G,Structure!$A:$AJ,T$1,0)*$H64,0))</f>
        <v>0</v>
      </c>
      <c r="U64" s="9">
        <f>SUM(IFERROR(VLOOKUP($C:$C,Structure!$A:$AJ,U$1,0)*$D64,0),IFERROR(VLOOKUP($E:$E,Structure!$A:$AJ,U$1,0)*$F64,0),IFERROR(VLOOKUP($G:$G,Structure!$A:$AJ,U$1,0)*$H64,0))</f>
        <v>0</v>
      </c>
      <c r="V64" s="9">
        <f>SUM(IFERROR(VLOOKUP($C:$C,Structure!$A:$AJ,V$1,0)*$D64,0),IFERROR(VLOOKUP($E:$E,Structure!$A:$AJ,V$1,0)*$F64,0),IFERROR(VLOOKUP($G:$G,Structure!$A:$AJ,V$1,0)*$H64,0))</f>
        <v>0</v>
      </c>
      <c r="W64" s="9">
        <f>SUM(IFERROR(VLOOKUP($C:$C,Structure!$A:$AJ,W$1,0)*$D64,0),IFERROR(VLOOKUP($E:$E,Structure!$A:$AJ,W$1,0)*$F64,0),IFERROR(VLOOKUP($G:$G,Structure!$A:$AJ,W$1,0)*$H64,0))</f>
        <v>0</v>
      </c>
      <c r="X64" s="9">
        <f>SUM(IFERROR(VLOOKUP($C:$C,Structure!$A:$AJ,X$1,0)*$D64,0),IFERROR(VLOOKUP($E:$E,Structure!$A:$AJ,X$1,0)*$F64,0),IFERROR(VLOOKUP($G:$G,Structure!$A:$AJ,X$1,0)*$H64,0))</f>
        <v>0</v>
      </c>
      <c r="Y64" s="9">
        <f>SUM(IFERROR(VLOOKUP($C:$C,Structure!$A:$AJ,Y$1,0)*$D64,0),IFERROR(VLOOKUP($E:$E,Structure!$A:$AJ,Y$1,0)*$F64,0),IFERROR(VLOOKUP($G:$G,Structure!$A:$AJ,Y$1,0)*$H64,0))</f>
        <v>0</v>
      </c>
      <c r="Z64" s="9">
        <f>SUM(IFERROR(VLOOKUP($C:$C,Structure!$A:$AJ,Z$1,0)*$D64,0),IFERROR(VLOOKUP($E:$E,Structure!$A:$AJ,Z$1,0)*$F64,0),IFERROR(VLOOKUP($G:$G,Structure!$A:$AJ,Z$1,0)*$H64,0))</f>
        <v>0</v>
      </c>
      <c r="AA64" s="9">
        <f>SUM(IFERROR(VLOOKUP($C:$C,Structure!$A:$AJ,AA$1,0)*$D64,0),IFERROR(VLOOKUP($E:$E,Structure!$A:$AJ,AA$1,0)*$F64,0),IFERROR(VLOOKUP($G:$G,Structure!$A:$AJ,AA$1,0)*$H64,0))</f>
        <v>0</v>
      </c>
      <c r="AB64" s="9">
        <f>SUM(IFERROR(VLOOKUP($C:$C,Structure!$A:$AJ,AB$1,0)*$D64,0),IFERROR(VLOOKUP($E:$E,Structure!$A:$AJ,AB$1,0)*$F64,0),IFERROR(VLOOKUP($G:$G,Structure!$A:$AJ,AB$1,0)*$H64,0))</f>
        <v>0</v>
      </c>
      <c r="AC64" s="9">
        <f>SUM(IFERROR(VLOOKUP($C:$C,Structure!$A:$AJ,AC$1,0)*$D64,0),IFERROR(VLOOKUP($E:$E,Structure!$A:$AJ,AC$1,0)*$F64,0),IFERROR(VLOOKUP($G:$G,Structure!$A:$AJ,AC$1,0)*$H64,0))</f>
        <v>0</v>
      </c>
      <c r="AD64" s="9">
        <f>SUM(IFERROR(VLOOKUP($C:$C,Structure!$A:$AJ,AD$1,0)*$D64,0),IFERROR(VLOOKUP($E:$E,Structure!$A:$AJ,AD$1,0)*$F64,0),IFERROR(VLOOKUP($G:$G,Structure!$A:$AJ,AD$1,0)*$H64,0))</f>
        <v>0</v>
      </c>
      <c r="AE64" s="9">
        <f>SUM(IFERROR(VLOOKUP($C:$C,Structure!$A:$AJ,AE$1,0)*$D64,0),IFERROR(VLOOKUP($E:$E,Structure!$A:$AJ,AE$1,0)*$F64,0),IFERROR(VLOOKUP($G:$G,Structure!$A:$AJ,AE$1,0)*$H64,0))</f>
        <v>0</v>
      </c>
      <c r="AF64" s="9">
        <f>SUM(IFERROR(VLOOKUP($C:$C,Structure!$A:$AJ,AF$1,0)*$D64,0),IFERROR(VLOOKUP($E:$E,Structure!$A:$AJ,AF$1,0)*$F64,0),IFERROR(VLOOKUP($G:$G,Structure!$A:$AJ,AF$1,0)*$H64,0))</f>
        <v>0</v>
      </c>
      <c r="AG64" s="9">
        <f>SUM(IFERROR(VLOOKUP($C:$C,Structure!$A:$AJ,AG$1,0)*$D64,0),IFERROR(VLOOKUP($E:$E,Structure!$A:$AJ,AG$1,0)*$F64,0),IFERROR(VLOOKUP($G:$G,Structure!$A:$AJ,AG$1,0)*$H64,0))</f>
        <v>0</v>
      </c>
      <c r="AH64" s="9">
        <f>SUM(IFERROR(VLOOKUP($C:$C,Structure!$A:$AJ,AH$1,0)*$D64,0),IFERROR(VLOOKUP($E:$E,Structure!$A:$AJ,AH$1,0)*$F64,0),IFERROR(VLOOKUP($G:$G,Structure!$A:$AJ,AH$1,0)*$H64,0))</f>
        <v>0</v>
      </c>
      <c r="AI64" s="9">
        <f>SUM(IFERROR(VLOOKUP($C:$C,Structure!$A:$AJ,AI$1,0)*$D64,0),IFERROR(VLOOKUP($E:$E,Structure!$A:$AJ,AI$1,0)*$F64,0),IFERROR(VLOOKUP($G:$G,Structure!$A:$AJ,AI$1,0)*$H64,0))</f>
        <v>0</v>
      </c>
      <c r="AJ64" s="9">
        <f>SUM(IFERROR(VLOOKUP($C:$C,Structure!$A:$AJ,AJ$1,0)*$D64,0),IFERROR(VLOOKUP($E:$E,Structure!$A:$AJ,AJ$1,0)*$F64,0),IFERROR(VLOOKUP($G:$G,Structure!$A:$AJ,AJ$1,0)*$H64,0))</f>
        <v>0</v>
      </c>
      <c r="AK64" s="9">
        <f>SUM(IFERROR(VLOOKUP($C:$C,Structure!$A:$AJ,AK$1,0)*$D64,0),IFERROR(VLOOKUP($E:$E,Structure!$A:$AJ,AK$1,0)*$F64,0),IFERROR(VLOOKUP($G:$G,Structure!$A:$AJ,AK$1,0)*$H64,0))</f>
        <v>0</v>
      </c>
      <c r="AL64" s="9">
        <f>SUM(IFERROR(VLOOKUP($C:$C,Structure!$A:$AJ,AL$1,0)*$D64,0),IFERROR(VLOOKUP($E:$E,Structure!$A:$AJ,AL$1,0)*$F64,0),IFERROR(VLOOKUP($G:$G,Structure!$A:$AJ,AL$1,0)*$H64,0))</f>
        <v>0</v>
      </c>
      <c r="AM64" s="9">
        <f>SUM(IFERROR(VLOOKUP($C:$C,Structure!$A:$AJ,AM$1,0)*$D64,0),IFERROR(VLOOKUP($E:$E,Structure!$A:$AJ,AM$1,0)*$F64,0),IFERROR(VLOOKUP($G:$G,Structure!$A:$AJ,AM$1,0)*$H64,0))</f>
        <v>0</v>
      </c>
      <c r="AN64" s="9">
        <f>SUM(IFERROR(VLOOKUP($C:$C,Structure!$A:$AJ,AN$1,0)*$D64,0),IFERROR(VLOOKUP($E:$E,Structure!$A:$AJ,AN$1,0)*$F64,0),IFERROR(VLOOKUP($G:$G,Structure!$A:$AJ,AN$1,0)*$H64,0))</f>
        <v>0</v>
      </c>
      <c r="AO64" s="9">
        <f>SUM(IFERROR(VLOOKUP($C:$C,Structure!$A:$AJ,AO$1,0)*$D64,0),IFERROR(VLOOKUP($E:$E,Structure!$A:$AJ,AO$1,0)*$F64,0),IFERROR(VLOOKUP($G:$G,Structure!$A:$AJ,AO$1,0)*$H64,0))</f>
        <v>0</v>
      </c>
      <c r="AP64" s="9">
        <f>SUM(IFERROR(VLOOKUP($C:$C,Structure!$A:$AJ,AP$1,0)*$D64,0),IFERROR(VLOOKUP($E:$E,Structure!$A:$AJ,AP$1,0)*$F64,0),IFERROR(VLOOKUP($G:$G,Structure!$A:$AJ,AP$1,0)*$H64,0))</f>
        <v>0</v>
      </c>
      <c r="AQ64" s="9">
        <f>SUM(IFERROR(VLOOKUP($C:$C,Structure!$A:$AJ,AQ$1,0)*$D64,0),IFERROR(VLOOKUP($E:$E,Structure!$A:$AJ,AQ$1,0)*$F64,0),IFERROR(VLOOKUP($G:$G,Structure!$A:$AJ,AQ$1,0)*$H64,0))</f>
        <v>0</v>
      </c>
      <c r="AR64" s="21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4">
        <f t="shared" si="57"/>
        <v>0</v>
      </c>
      <c r="CE64" s="4">
        <f t="shared" si="58"/>
        <v>117</v>
      </c>
      <c r="CF64" s="4">
        <f t="shared" si="59"/>
        <v>4</v>
      </c>
      <c r="CG64" s="4">
        <f t="shared" si="60"/>
        <v>23</v>
      </c>
      <c r="CH64" s="4">
        <f t="shared" si="61"/>
        <v>1</v>
      </c>
      <c r="CI64" s="4">
        <f t="shared" si="62"/>
        <v>51</v>
      </c>
      <c r="CJ64" s="4">
        <f t="shared" si="63"/>
        <v>-35</v>
      </c>
      <c r="CK64" s="4">
        <f t="shared" si="64"/>
        <v>246</v>
      </c>
      <c r="CL64" s="4">
        <f t="shared" si="65"/>
        <v>0</v>
      </c>
      <c r="CM64" s="4">
        <f t="shared" si="66"/>
        <v>4</v>
      </c>
      <c r="CN64" s="4">
        <f t="shared" si="67"/>
        <v>3</v>
      </c>
      <c r="CO64" s="4">
        <f t="shared" si="68"/>
        <v>0</v>
      </c>
      <c r="CP64" s="4">
        <f t="shared" si="69"/>
        <v>5</v>
      </c>
      <c r="CQ64" s="4">
        <f t="shared" si="70"/>
        <v>-153</v>
      </c>
      <c r="CR64" s="4">
        <f t="shared" si="71"/>
        <v>34</v>
      </c>
      <c r="CS64" s="4">
        <f t="shared" si="72"/>
        <v>0</v>
      </c>
      <c r="CT64" s="4">
        <f t="shared" si="73"/>
        <v>0</v>
      </c>
      <c r="CU64" s="4">
        <f t="shared" si="74"/>
        <v>0</v>
      </c>
      <c r="CV64" s="4">
        <f t="shared" si="75"/>
        <v>0</v>
      </c>
      <c r="CW64" s="4">
        <f t="shared" si="76"/>
        <v>0</v>
      </c>
      <c r="CX64" s="4">
        <f t="shared" si="77"/>
        <v>-133</v>
      </c>
      <c r="CY64" s="4">
        <f t="shared" si="78"/>
        <v>0</v>
      </c>
      <c r="CZ64" s="4">
        <f t="shared" si="79"/>
        <v>0</v>
      </c>
      <c r="DA64" s="4">
        <f t="shared" si="80"/>
        <v>0</v>
      </c>
      <c r="DB64" s="4">
        <f t="shared" si="81"/>
        <v>0</v>
      </c>
      <c r="DC64" s="4">
        <f t="shared" si="82"/>
        <v>0</v>
      </c>
      <c r="DD64" s="4">
        <f t="shared" si="83"/>
        <v>0</v>
      </c>
      <c r="DE64" s="4">
        <f t="shared" si="84"/>
        <v>0</v>
      </c>
      <c r="DF64" s="4">
        <f t="shared" si="85"/>
        <v>0</v>
      </c>
      <c r="DG64" s="4">
        <f t="shared" si="86"/>
        <v>0</v>
      </c>
      <c r="DH64" s="4">
        <f t="shared" si="87"/>
        <v>0</v>
      </c>
      <c r="DI64" s="4">
        <f t="shared" si="88"/>
        <v>0</v>
      </c>
      <c r="DJ64" s="4">
        <f t="shared" si="89"/>
        <v>0</v>
      </c>
      <c r="DK64" s="4">
        <f t="shared" si="90"/>
        <v>0</v>
      </c>
      <c r="DL64" s="4">
        <f t="shared" si="91"/>
        <v>0</v>
      </c>
    </row>
    <row r="65" spans="1:116" x14ac:dyDescent="0.25">
      <c r="A65" s="5">
        <v>46184</v>
      </c>
      <c r="B65" s="6">
        <v>0.60416666681703646</v>
      </c>
      <c r="C65" s="3"/>
      <c r="D65" s="3"/>
      <c r="E65" s="3" t="s">
        <v>57</v>
      </c>
      <c r="F65" s="3">
        <v>8</v>
      </c>
      <c r="G65" s="3"/>
      <c r="H65" s="9"/>
      <c r="I65" s="9">
        <f>SUM(IFERROR(VLOOKUP($C:$C,Structure!$A:$AJ,I$1,0)*$D65,0),IFERROR(VLOOKUP($E:$E,Structure!$A:$AJ,I$1,0)*$F65,0),IFERROR(VLOOKUP($G:$G,Structure!$A:$AJ,I$1,0)*$H65,0))</f>
        <v>0</v>
      </c>
      <c r="J65" s="9">
        <f>SUM(IFERROR(VLOOKUP($C:$C,Structure!$A:$AJ,J$1,0)*$D65,0),IFERROR(VLOOKUP($E:$E,Structure!$A:$AJ,J$1,0)*$F65,0),IFERROR(VLOOKUP($G:$G,Structure!$A:$AJ,J$1,0)*$H65,0))</f>
        <v>0</v>
      </c>
      <c r="K65" s="9">
        <f>SUM(IFERROR(VLOOKUP($C:$C,Structure!$A:$AJ,K$1,0)*$D65,0),IFERROR(VLOOKUP($E:$E,Structure!$A:$AJ,K$1,0)*$F65,0),IFERROR(VLOOKUP($G:$G,Structure!$A:$AJ,K$1,0)*$H65,0))</f>
        <v>0</v>
      </c>
      <c r="L65" s="9">
        <f>SUM(IFERROR(VLOOKUP($C:$C,Structure!$A:$AJ,L$1,0)*$D65,0),IFERROR(VLOOKUP($E:$E,Structure!$A:$AJ,L$1,0)*$F65,0),IFERROR(VLOOKUP($G:$G,Structure!$A:$AJ,L$1,0)*$H65,0))</f>
        <v>0</v>
      </c>
      <c r="M65" s="9">
        <f>SUM(IFERROR(VLOOKUP($C:$C,Structure!$A:$AJ,M$1,0)*$D65,0),IFERROR(VLOOKUP($E:$E,Structure!$A:$AJ,M$1,0)*$F65,0),IFERROR(VLOOKUP($G:$G,Structure!$A:$AJ,M$1,0)*$H65,0))</f>
        <v>0</v>
      </c>
      <c r="N65" s="9">
        <f>SUM(IFERROR(VLOOKUP($C:$C,Structure!$A:$AJ,N$1,0)*$D65,0),IFERROR(VLOOKUP($E:$E,Structure!$A:$AJ,N$1,0)*$F65,0),IFERROR(VLOOKUP($G:$G,Structure!$A:$AJ,N$1,0)*$H65,0))</f>
        <v>0</v>
      </c>
      <c r="O65" s="9">
        <f>SUM(IFERROR(VLOOKUP($C:$C,Structure!$A:$AJ,O$1,0)*$D65,0),IFERROR(VLOOKUP($E:$E,Structure!$A:$AJ,O$1,0)*$F65,0),IFERROR(VLOOKUP($G:$G,Structure!$A:$AJ,O$1,0)*$H65,0))</f>
        <v>8</v>
      </c>
      <c r="P65" s="9">
        <f>SUM(IFERROR(VLOOKUP($C:$C,Structure!$A:$AJ,P$1,0)*$D65,0),IFERROR(VLOOKUP($E:$E,Structure!$A:$AJ,P$1,0)*$F65,0),IFERROR(VLOOKUP($G:$G,Structure!$A:$AJ,P$1,0)*$H65,0))</f>
        <v>0</v>
      </c>
      <c r="Q65" s="9">
        <f>SUM(IFERROR(VLOOKUP($C:$C,Structure!$A:$AJ,Q$1,0)*$D65,0),IFERROR(VLOOKUP($E:$E,Structure!$A:$AJ,Q$1,0)*$F65,0),IFERROR(VLOOKUP($G:$G,Structure!$A:$AJ,Q$1,0)*$H65,0))</f>
        <v>0</v>
      </c>
      <c r="R65" s="9">
        <f>SUM(IFERROR(VLOOKUP($C:$C,Structure!$A:$AJ,R$1,0)*$D65,0),IFERROR(VLOOKUP($E:$E,Structure!$A:$AJ,R$1,0)*$F65,0),IFERROR(VLOOKUP($G:$G,Structure!$A:$AJ,R$1,0)*$H65,0))</f>
        <v>0</v>
      </c>
      <c r="S65" s="9">
        <f>SUM(IFERROR(VLOOKUP($C:$C,Structure!$A:$AJ,S$1,0)*$D65,0),IFERROR(VLOOKUP($E:$E,Structure!$A:$AJ,S$1,0)*$F65,0),IFERROR(VLOOKUP($G:$G,Structure!$A:$AJ,S$1,0)*$H65,0))</f>
        <v>8</v>
      </c>
      <c r="T65" s="9">
        <f>SUM(IFERROR(VLOOKUP($C:$C,Structure!$A:$AJ,T$1,0)*$D65,0),IFERROR(VLOOKUP($E:$E,Structure!$A:$AJ,T$1,0)*$F65,0),IFERROR(VLOOKUP($G:$G,Structure!$A:$AJ,T$1,0)*$H65,0))</f>
        <v>0</v>
      </c>
      <c r="U65" s="9">
        <f>SUM(IFERROR(VLOOKUP($C:$C,Structure!$A:$AJ,U$1,0)*$D65,0),IFERROR(VLOOKUP($E:$E,Structure!$A:$AJ,U$1,0)*$F65,0),IFERROR(VLOOKUP($G:$G,Structure!$A:$AJ,U$1,0)*$H65,0))</f>
        <v>0</v>
      </c>
      <c r="V65" s="9">
        <f>SUM(IFERROR(VLOOKUP($C:$C,Structure!$A:$AJ,V$1,0)*$D65,0),IFERROR(VLOOKUP($E:$E,Structure!$A:$AJ,V$1,0)*$F65,0),IFERROR(VLOOKUP($G:$G,Structure!$A:$AJ,V$1,0)*$H65,0))</f>
        <v>0</v>
      </c>
      <c r="W65" s="9">
        <f>SUM(IFERROR(VLOOKUP($C:$C,Structure!$A:$AJ,W$1,0)*$D65,0),IFERROR(VLOOKUP($E:$E,Structure!$A:$AJ,W$1,0)*$F65,0),IFERROR(VLOOKUP($G:$G,Structure!$A:$AJ,W$1,0)*$H65,0))</f>
        <v>0</v>
      </c>
      <c r="X65" s="9">
        <f>SUM(IFERROR(VLOOKUP($C:$C,Structure!$A:$AJ,X$1,0)*$D65,0),IFERROR(VLOOKUP($E:$E,Structure!$A:$AJ,X$1,0)*$F65,0),IFERROR(VLOOKUP($G:$G,Structure!$A:$AJ,X$1,0)*$H65,0))</f>
        <v>0</v>
      </c>
      <c r="Y65" s="9">
        <f>SUM(IFERROR(VLOOKUP($C:$C,Structure!$A:$AJ,Y$1,0)*$D65,0),IFERROR(VLOOKUP($E:$E,Structure!$A:$AJ,Y$1,0)*$F65,0),IFERROR(VLOOKUP($G:$G,Structure!$A:$AJ,Y$1,0)*$H65,0))</f>
        <v>0</v>
      </c>
      <c r="Z65" s="9">
        <f>SUM(IFERROR(VLOOKUP($C:$C,Structure!$A:$AJ,Z$1,0)*$D65,0),IFERROR(VLOOKUP($E:$E,Structure!$A:$AJ,Z$1,0)*$F65,0),IFERROR(VLOOKUP($G:$G,Structure!$A:$AJ,Z$1,0)*$H65,0))</f>
        <v>0</v>
      </c>
      <c r="AA65" s="9">
        <f>SUM(IFERROR(VLOOKUP($C:$C,Structure!$A:$AJ,AA$1,0)*$D65,0),IFERROR(VLOOKUP($E:$E,Structure!$A:$AJ,AA$1,0)*$F65,0),IFERROR(VLOOKUP($G:$G,Structure!$A:$AJ,AA$1,0)*$H65,0))</f>
        <v>0</v>
      </c>
      <c r="AB65" s="9">
        <f>SUM(IFERROR(VLOOKUP($C:$C,Structure!$A:$AJ,AB$1,0)*$D65,0),IFERROR(VLOOKUP($E:$E,Structure!$A:$AJ,AB$1,0)*$F65,0),IFERROR(VLOOKUP($G:$G,Structure!$A:$AJ,AB$1,0)*$H65,0))</f>
        <v>0</v>
      </c>
      <c r="AC65" s="9">
        <f>SUM(IFERROR(VLOOKUP($C:$C,Structure!$A:$AJ,AC$1,0)*$D65,0),IFERROR(VLOOKUP($E:$E,Structure!$A:$AJ,AC$1,0)*$F65,0),IFERROR(VLOOKUP($G:$G,Structure!$A:$AJ,AC$1,0)*$H65,0))</f>
        <v>0</v>
      </c>
      <c r="AD65" s="9">
        <f>SUM(IFERROR(VLOOKUP($C:$C,Structure!$A:$AJ,AD$1,0)*$D65,0),IFERROR(VLOOKUP($E:$E,Structure!$A:$AJ,AD$1,0)*$F65,0),IFERROR(VLOOKUP($G:$G,Structure!$A:$AJ,AD$1,0)*$H65,0))</f>
        <v>0</v>
      </c>
      <c r="AE65" s="9">
        <f>SUM(IFERROR(VLOOKUP($C:$C,Structure!$A:$AJ,AE$1,0)*$D65,0),IFERROR(VLOOKUP($E:$E,Structure!$A:$AJ,AE$1,0)*$F65,0),IFERROR(VLOOKUP($G:$G,Structure!$A:$AJ,AE$1,0)*$H65,0))</f>
        <v>0</v>
      </c>
      <c r="AF65" s="9">
        <f>SUM(IFERROR(VLOOKUP($C:$C,Structure!$A:$AJ,AF$1,0)*$D65,0),IFERROR(VLOOKUP($E:$E,Structure!$A:$AJ,AF$1,0)*$F65,0),IFERROR(VLOOKUP($G:$G,Structure!$A:$AJ,AF$1,0)*$H65,0))</f>
        <v>0</v>
      </c>
      <c r="AG65" s="9">
        <f>SUM(IFERROR(VLOOKUP($C:$C,Structure!$A:$AJ,AG$1,0)*$D65,0),IFERROR(VLOOKUP($E:$E,Structure!$A:$AJ,AG$1,0)*$F65,0),IFERROR(VLOOKUP($G:$G,Structure!$A:$AJ,AG$1,0)*$H65,0))</f>
        <v>0</v>
      </c>
      <c r="AH65" s="9">
        <f>SUM(IFERROR(VLOOKUP($C:$C,Structure!$A:$AJ,AH$1,0)*$D65,0),IFERROR(VLOOKUP($E:$E,Structure!$A:$AJ,AH$1,0)*$F65,0),IFERROR(VLOOKUP($G:$G,Structure!$A:$AJ,AH$1,0)*$H65,0))</f>
        <v>0</v>
      </c>
      <c r="AI65" s="9">
        <f>SUM(IFERROR(VLOOKUP($C:$C,Structure!$A:$AJ,AI$1,0)*$D65,0),IFERROR(VLOOKUP($E:$E,Structure!$A:$AJ,AI$1,0)*$F65,0),IFERROR(VLOOKUP($G:$G,Structure!$A:$AJ,AI$1,0)*$H65,0))</f>
        <v>0</v>
      </c>
      <c r="AJ65" s="9">
        <f>SUM(IFERROR(VLOOKUP($C:$C,Structure!$A:$AJ,AJ$1,0)*$D65,0),IFERROR(VLOOKUP($E:$E,Structure!$A:$AJ,AJ$1,0)*$F65,0),IFERROR(VLOOKUP($G:$G,Structure!$A:$AJ,AJ$1,0)*$H65,0))</f>
        <v>0</v>
      </c>
      <c r="AK65" s="9">
        <f>SUM(IFERROR(VLOOKUP($C:$C,Structure!$A:$AJ,AK$1,0)*$D65,0),IFERROR(VLOOKUP($E:$E,Structure!$A:$AJ,AK$1,0)*$F65,0),IFERROR(VLOOKUP($G:$G,Structure!$A:$AJ,AK$1,0)*$H65,0))</f>
        <v>0</v>
      </c>
      <c r="AL65" s="9">
        <f>SUM(IFERROR(VLOOKUP($C:$C,Structure!$A:$AJ,AL$1,0)*$D65,0),IFERROR(VLOOKUP($E:$E,Structure!$A:$AJ,AL$1,0)*$F65,0),IFERROR(VLOOKUP($G:$G,Structure!$A:$AJ,AL$1,0)*$H65,0))</f>
        <v>0</v>
      </c>
      <c r="AM65" s="9">
        <f>SUM(IFERROR(VLOOKUP($C:$C,Structure!$A:$AJ,AM$1,0)*$D65,0),IFERROR(VLOOKUP($E:$E,Structure!$A:$AJ,AM$1,0)*$F65,0),IFERROR(VLOOKUP($G:$G,Structure!$A:$AJ,AM$1,0)*$H65,0))</f>
        <v>0</v>
      </c>
      <c r="AN65" s="9">
        <f>SUM(IFERROR(VLOOKUP($C:$C,Structure!$A:$AJ,AN$1,0)*$D65,0),IFERROR(VLOOKUP($E:$E,Structure!$A:$AJ,AN$1,0)*$F65,0),IFERROR(VLOOKUP($G:$G,Structure!$A:$AJ,AN$1,0)*$H65,0))</f>
        <v>0</v>
      </c>
      <c r="AO65" s="9">
        <f>SUM(IFERROR(VLOOKUP($C:$C,Structure!$A:$AJ,AO$1,0)*$D65,0),IFERROR(VLOOKUP($E:$E,Structure!$A:$AJ,AO$1,0)*$F65,0),IFERROR(VLOOKUP($G:$G,Structure!$A:$AJ,AO$1,0)*$H65,0))</f>
        <v>0</v>
      </c>
      <c r="AP65" s="9">
        <f>SUM(IFERROR(VLOOKUP($C:$C,Structure!$A:$AJ,AP$1,0)*$D65,0),IFERROR(VLOOKUP($E:$E,Structure!$A:$AJ,AP$1,0)*$F65,0),IFERROR(VLOOKUP($G:$G,Structure!$A:$AJ,AP$1,0)*$H65,0))</f>
        <v>0</v>
      </c>
      <c r="AQ65" s="9">
        <f>SUM(IFERROR(VLOOKUP($C:$C,Structure!$A:$AJ,AQ$1,0)*$D65,0),IFERROR(VLOOKUP($E:$E,Structure!$A:$AJ,AQ$1,0)*$F65,0),IFERROR(VLOOKUP($G:$G,Structure!$A:$AJ,AQ$1,0)*$H65,0))</f>
        <v>0</v>
      </c>
      <c r="AR65" s="21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4">
        <f t="shared" si="57"/>
        <v>0</v>
      </c>
      <c r="CE65" s="4">
        <f t="shared" si="58"/>
        <v>117</v>
      </c>
      <c r="CF65" s="4">
        <f t="shared" si="59"/>
        <v>4</v>
      </c>
      <c r="CG65" s="4">
        <f t="shared" si="60"/>
        <v>23</v>
      </c>
      <c r="CH65" s="4">
        <f t="shared" si="61"/>
        <v>1</v>
      </c>
      <c r="CI65" s="4">
        <f t="shared" si="62"/>
        <v>51</v>
      </c>
      <c r="CJ65" s="4">
        <f t="shared" si="63"/>
        <v>-43</v>
      </c>
      <c r="CK65" s="4">
        <f t="shared" si="64"/>
        <v>246</v>
      </c>
      <c r="CL65" s="4">
        <f t="shared" si="65"/>
        <v>0</v>
      </c>
      <c r="CM65" s="4">
        <f t="shared" si="66"/>
        <v>4</v>
      </c>
      <c r="CN65" s="4">
        <f t="shared" si="67"/>
        <v>-5</v>
      </c>
      <c r="CO65" s="4">
        <f t="shared" si="68"/>
        <v>0</v>
      </c>
      <c r="CP65" s="4">
        <f t="shared" si="69"/>
        <v>5</v>
      </c>
      <c r="CQ65" s="4">
        <f t="shared" si="70"/>
        <v>-153</v>
      </c>
      <c r="CR65" s="4">
        <f t="shared" si="71"/>
        <v>34</v>
      </c>
      <c r="CS65" s="4">
        <f t="shared" si="72"/>
        <v>0</v>
      </c>
      <c r="CT65" s="4">
        <f t="shared" si="73"/>
        <v>0</v>
      </c>
      <c r="CU65" s="4">
        <f t="shared" si="74"/>
        <v>0</v>
      </c>
      <c r="CV65" s="4">
        <f t="shared" si="75"/>
        <v>0</v>
      </c>
      <c r="CW65" s="4">
        <f t="shared" si="76"/>
        <v>0</v>
      </c>
      <c r="CX65" s="4">
        <f t="shared" si="77"/>
        <v>-133</v>
      </c>
      <c r="CY65" s="4">
        <f t="shared" si="78"/>
        <v>0</v>
      </c>
      <c r="CZ65" s="4">
        <f t="shared" si="79"/>
        <v>0</v>
      </c>
      <c r="DA65" s="4">
        <f t="shared" si="80"/>
        <v>0</v>
      </c>
      <c r="DB65" s="4">
        <f t="shared" si="81"/>
        <v>0</v>
      </c>
      <c r="DC65" s="4">
        <f t="shared" si="82"/>
        <v>0</v>
      </c>
      <c r="DD65" s="4">
        <f t="shared" si="83"/>
        <v>0</v>
      </c>
      <c r="DE65" s="4">
        <f t="shared" si="84"/>
        <v>0</v>
      </c>
      <c r="DF65" s="4">
        <f t="shared" si="85"/>
        <v>0</v>
      </c>
      <c r="DG65" s="4">
        <f t="shared" si="86"/>
        <v>0</v>
      </c>
      <c r="DH65" s="4">
        <f t="shared" si="87"/>
        <v>0</v>
      </c>
      <c r="DI65" s="4">
        <f t="shared" si="88"/>
        <v>0</v>
      </c>
      <c r="DJ65" s="4">
        <f t="shared" si="89"/>
        <v>0</v>
      </c>
      <c r="DK65" s="4">
        <f t="shared" si="90"/>
        <v>0</v>
      </c>
      <c r="DL65" s="4">
        <f t="shared" si="91"/>
        <v>0</v>
      </c>
    </row>
    <row r="66" spans="1:116" x14ac:dyDescent="0.25">
      <c r="A66" s="5">
        <v>46184</v>
      </c>
      <c r="B66" s="6">
        <v>0.62500000015279511</v>
      </c>
      <c r="C66" s="3"/>
      <c r="D66" s="3"/>
      <c r="E66" s="3" t="s">
        <v>57</v>
      </c>
      <c r="F66" s="3">
        <v>8</v>
      </c>
      <c r="G66" s="3"/>
      <c r="H66" s="9"/>
      <c r="I66" s="9">
        <f>SUM(IFERROR(VLOOKUP($C:$C,Structure!$A:$AJ,I$1,0)*$D66,0),IFERROR(VLOOKUP($E:$E,Structure!$A:$AJ,I$1,0)*$F66,0),IFERROR(VLOOKUP($G:$G,Structure!$A:$AJ,I$1,0)*$H66,0))</f>
        <v>0</v>
      </c>
      <c r="J66" s="9">
        <f>SUM(IFERROR(VLOOKUP($C:$C,Structure!$A:$AJ,J$1,0)*$D66,0),IFERROR(VLOOKUP($E:$E,Structure!$A:$AJ,J$1,0)*$F66,0),IFERROR(VLOOKUP($G:$G,Structure!$A:$AJ,J$1,0)*$H66,0))</f>
        <v>0</v>
      </c>
      <c r="K66" s="9">
        <f>SUM(IFERROR(VLOOKUP($C:$C,Structure!$A:$AJ,K$1,0)*$D66,0),IFERROR(VLOOKUP($E:$E,Structure!$A:$AJ,K$1,0)*$F66,0),IFERROR(VLOOKUP($G:$G,Structure!$A:$AJ,K$1,0)*$H66,0))</f>
        <v>0</v>
      </c>
      <c r="L66" s="9">
        <f>SUM(IFERROR(VLOOKUP($C:$C,Structure!$A:$AJ,L$1,0)*$D66,0),IFERROR(VLOOKUP($E:$E,Structure!$A:$AJ,L$1,0)*$F66,0),IFERROR(VLOOKUP($G:$G,Structure!$A:$AJ,L$1,0)*$H66,0))</f>
        <v>0</v>
      </c>
      <c r="M66" s="9">
        <f>SUM(IFERROR(VLOOKUP($C:$C,Structure!$A:$AJ,M$1,0)*$D66,0),IFERROR(VLOOKUP($E:$E,Structure!$A:$AJ,M$1,0)*$F66,0),IFERROR(VLOOKUP($G:$G,Structure!$A:$AJ,M$1,0)*$H66,0))</f>
        <v>0</v>
      </c>
      <c r="N66" s="9">
        <f>SUM(IFERROR(VLOOKUP($C:$C,Structure!$A:$AJ,N$1,0)*$D66,0),IFERROR(VLOOKUP($E:$E,Structure!$A:$AJ,N$1,0)*$F66,0),IFERROR(VLOOKUP($G:$G,Structure!$A:$AJ,N$1,0)*$H66,0))</f>
        <v>0</v>
      </c>
      <c r="O66" s="9">
        <f>SUM(IFERROR(VLOOKUP($C:$C,Structure!$A:$AJ,O$1,0)*$D66,0),IFERROR(VLOOKUP($E:$E,Structure!$A:$AJ,O$1,0)*$F66,0),IFERROR(VLOOKUP($G:$G,Structure!$A:$AJ,O$1,0)*$H66,0))</f>
        <v>8</v>
      </c>
      <c r="P66" s="9">
        <f>SUM(IFERROR(VLOOKUP($C:$C,Structure!$A:$AJ,P$1,0)*$D66,0),IFERROR(VLOOKUP($E:$E,Structure!$A:$AJ,P$1,0)*$F66,0),IFERROR(VLOOKUP($G:$G,Structure!$A:$AJ,P$1,0)*$H66,0))</f>
        <v>0</v>
      </c>
      <c r="Q66" s="9">
        <f>SUM(IFERROR(VLOOKUP($C:$C,Structure!$A:$AJ,Q$1,0)*$D66,0),IFERROR(VLOOKUP($E:$E,Structure!$A:$AJ,Q$1,0)*$F66,0),IFERROR(VLOOKUP($G:$G,Structure!$A:$AJ,Q$1,0)*$H66,0))</f>
        <v>0</v>
      </c>
      <c r="R66" s="9">
        <f>SUM(IFERROR(VLOOKUP($C:$C,Structure!$A:$AJ,R$1,0)*$D66,0),IFERROR(VLOOKUP($E:$E,Structure!$A:$AJ,R$1,0)*$F66,0),IFERROR(VLOOKUP($G:$G,Structure!$A:$AJ,R$1,0)*$H66,0))</f>
        <v>0</v>
      </c>
      <c r="S66" s="9">
        <f>SUM(IFERROR(VLOOKUP($C:$C,Structure!$A:$AJ,S$1,0)*$D66,0),IFERROR(VLOOKUP($E:$E,Structure!$A:$AJ,S$1,0)*$F66,0),IFERROR(VLOOKUP($G:$G,Structure!$A:$AJ,S$1,0)*$H66,0))</f>
        <v>8</v>
      </c>
      <c r="T66" s="9">
        <f>SUM(IFERROR(VLOOKUP($C:$C,Structure!$A:$AJ,T$1,0)*$D66,0),IFERROR(VLOOKUP($E:$E,Structure!$A:$AJ,T$1,0)*$F66,0),IFERROR(VLOOKUP($G:$G,Structure!$A:$AJ,T$1,0)*$H66,0))</f>
        <v>0</v>
      </c>
      <c r="U66" s="9">
        <f>SUM(IFERROR(VLOOKUP($C:$C,Structure!$A:$AJ,U$1,0)*$D66,0),IFERROR(VLOOKUP($E:$E,Structure!$A:$AJ,U$1,0)*$F66,0),IFERROR(VLOOKUP($G:$G,Structure!$A:$AJ,U$1,0)*$H66,0))</f>
        <v>0</v>
      </c>
      <c r="V66" s="9">
        <f>SUM(IFERROR(VLOOKUP($C:$C,Structure!$A:$AJ,V$1,0)*$D66,0),IFERROR(VLOOKUP($E:$E,Structure!$A:$AJ,V$1,0)*$F66,0),IFERROR(VLOOKUP($G:$G,Structure!$A:$AJ,V$1,0)*$H66,0))</f>
        <v>0</v>
      </c>
      <c r="W66" s="9">
        <f>SUM(IFERROR(VLOOKUP($C:$C,Structure!$A:$AJ,W$1,0)*$D66,0),IFERROR(VLOOKUP($E:$E,Structure!$A:$AJ,W$1,0)*$F66,0),IFERROR(VLOOKUP($G:$G,Structure!$A:$AJ,W$1,0)*$H66,0))</f>
        <v>0</v>
      </c>
      <c r="X66" s="9">
        <f>SUM(IFERROR(VLOOKUP($C:$C,Structure!$A:$AJ,X$1,0)*$D66,0),IFERROR(VLOOKUP($E:$E,Structure!$A:$AJ,X$1,0)*$F66,0),IFERROR(VLOOKUP($G:$G,Structure!$A:$AJ,X$1,0)*$H66,0))</f>
        <v>0</v>
      </c>
      <c r="Y66" s="9">
        <f>SUM(IFERROR(VLOOKUP($C:$C,Structure!$A:$AJ,Y$1,0)*$D66,0),IFERROR(VLOOKUP($E:$E,Structure!$A:$AJ,Y$1,0)*$F66,0),IFERROR(VLOOKUP($G:$G,Structure!$A:$AJ,Y$1,0)*$H66,0))</f>
        <v>0</v>
      </c>
      <c r="Z66" s="9">
        <f>SUM(IFERROR(VLOOKUP($C:$C,Structure!$A:$AJ,Z$1,0)*$D66,0),IFERROR(VLOOKUP($E:$E,Structure!$A:$AJ,Z$1,0)*$F66,0),IFERROR(VLOOKUP($G:$G,Structure!$A:$AJ,Z$1,0)*$H66,0))</f>
        <v>0</v>
      </c>
      <c r="AA66" s="9">
        <f>SUM(IFERROR(VLOOKUP($C:$C,Structure!$A:$AJ,AA$1,0)*$D66,0),IFERROR(VLOOKUP($E:$E,Structure!$A:$AJ,AA$1,0)*$F66,0),IFERROR(VLOOKUP($G:$G,Structure!$A:$AJ,AA$1,0)*$H66,0))</f>
        <v>0</v>
      </c>
      <c r="AB66" s="9">
        <f>SUM(IFERROR(VLOOKUP($C:$C,Structure!$A:$AJ,AB$1,0)*$D66,0),IFERROR(VLOOKUP($E:$E,Structure!$A:$AJ,AB$1,0)*$F66,0),IFERROR(VLOOKUP($G:$G,Structure!$A:$AJ,AB$1,0)*$H66,0))</f>
        <v>0</v>
      </c>
      <c r="AC66" s="9">
        <f>SUM(IFERROR(VLOOKUP($C:$C,Structure!$A:$AJ,AC$1,0)*$D66,0),IFERROR(VLOOKUP($E:$E,Structure!$A:$AJ,AC$1,0)*$F66,0),IFERROR(VLOOKUP($G:$G,Structure!$A:$AJ,AC$1,0)*$H66,0))</f>
        <v>0</v>
      </c>
      <c r="AD66" s="9">
        <f>SUM(IFERROR(VLOOKUP($C:$C,Structure!$A:$AJ,AD$1,0)*$D66,0),IFERROR(VLOOKUP($E:$E,Structure!$A:$AJ,AD$1,0)*$F66,0),IFERROR(VLOOKUP($G:$G,Structure!$A:$AJ,AD$1,0)*$H66,0))</f>
        <v>0</v>
      </c>
      <c r="AE66" s="9">
        <f>SUM(IFERROR(VLOOKUP($C:$C,Structure!$A:$AJ,AE$1,0)*$D66,0),IFERROR(VLOOKUP($E:$E,Structure!$A:$AJ,AE$1,0)*$F66,0),IFERROR(VLOOKUP($G:$G,Structure!$A:$AJ,AE$1,0)*$H66,0))</f>
        <v>0</v>
      </c>
      <c r="AF66" s="9">
        <f>SUM(IFERROR(VLOOKUP($C:$C,Structure!$A:$AJ,AF$1,0)*$D66,0),IFERROR(VLOOKUP($E:$E,Structure!$A:$AJ,AF$1,0)*$F66,0),IFERROR(VLOOKUP($G:$G,Structure!$A:$AJ,AF$1,0)*$H66,0))</f>
        <v>0</v>
      </c>
      <c r="AG66" s="9">
        <f>SUM(IFERROR(VLOOKUP($C:$C,Structure!$A:$AJ,AG$1,0)*$D66,0),IFERROR(VLOOKUP($E:$E,Structure!$A:$AJ,AG$1,0)*$F66,0),IFERROR(VLOOKUP($G:$G,Structure!$A:$AJ,AG$1,0)*$H66,0))</f>
        <v>0</v>
      </c>
      <c r="AH66" s="9">
        <f>SUM(IFERROR(VLOOKUP($C:$C,Structure!$A:$AJ,AH$1,0)*$D66,0),IFERROR(VLOOKUP($E:$E,Structure!$A:$AJ,AH$1,0)*$F66,0),IFERROR(VLOOKUP($G:$G,Structure!$A:$AJ,AH$1,0)*$H66,0))</f>
        <v>0</v>
      </c>
      <c r="AI66" s="9">
        <f>SUM(IFERROR(VLOOKUP($C:$C,Structure!$A:$AJ,AI$1,0)*$D66,0),IFERROR(VLOOKUP($E:$E,Structure!$A:$AJ,AI$1,0)*$F66,0),IFERROR(VLOOKUP($G:$G,Structure!$A:$AJ,AI$1,0)*$H66,0))</f>
        <v>0</v>
      </c>
      <c r="AJ66" s="9">
        <f>SUM(IFERROR(VLOOKUP($C:$C,Structure!$A:$AJ,AJ$1,0)*$D66,0),IFERROR(VLOOKUP($E:$E,Structure!$A:$AJ,AJ$1,0)*$F66,0),IFERROR(VLOOKUP($G:$G,Structure!$A:$AJ,AJ$1,0)*$H66,0))</f>
        <v>0</v>
      </c>
      <c r="AK66" s="9">
        <f>SUM(IFERROR(VLOOKUP($C:$C,Structure!$A:$AJ,AK$1,0)*$D66,0),IFERROR(VLOOKUP($E:$E,Structure!$A:$AJ,AK$1,0)*$F66,0),IFERROR(VLOOKUP($G:$G,Structure!$A:$AJ,AK$1,0)*$H66,0))</f>
        <v>0</v>
      </c>
      <c r="AL66" s="9">
        <f>SUM(IFERROR(VLOOKUP($C:$C,Structure!$A:$AJ,AL$1,0)*$D66,0),IFERROR(VLOOKUP($E:$E,Structure!$A:$AJ,AL$1,0)*$F66,0),IFERROR(VLOOKUP($G:$G,Structure!$A:$AJ,AL$1,0)*$H66,0))</f>
        <v>0</v>
      </c>
      <c r="AM66" s="9">
        <f>SUM(IFERROR(VLOOKUP($C:$C,Structure!$A:$AJ,AM$1,0)*$D66,0),IFERROR(VLOOKUP($E:$E,Structure!$A:$AJ,AM$1,0)*$F66,0),IFERROR(VLOOKUP($G:$G,Structure!$A:$AJ,AM$1,0)*$H66,0))</f>
        <v>0</v>
      </c>
      <c r="AN66" s="9">
        <f>SUM(IFERROR(VLOOKUP($C:$C,Structure!$A:$AJ,AN$1,0)*$D66,0),IFERROR(VLOOKUP($E:$E,Structure!$A:$AJ,AN$1,0)*$F66,0),IFERROR(VLOOKUP($G:$G,Structure!$A:$AJ,AN$1,0)*$H66,0))</f>
        <v>0</v>
      </c>
      <c r="AO66" s="9">
        <f>SUM(IFERROR(VLOOKUP($C:$C,Structure!$A:$AJ,AO$1,0)*$D66,0),IFERROR(VLOOKUP($E:$E,Structure!$A:$AJ,AO$1,0)*$F66,0),IFERROR(VLOOKUP($G:$G,Structure!$A:$AJ,AO$1,0)*$H66,0))</f>
        <v>0</v>
      </c>
      <c r="AP66" s="9">
        <f>SUM(IFERROR(VLOOKUP($C:$C,Structure!$A:$AJ,AP$1,0)*$D66,0),IFERROR(VLOOKUP($E:$E,Structure!$A:$AJ,AP$1,0)*$F66,0),IFERROR(VLOOKUP($G:$G,Structure!$A:$AJ,AP$1,0)*$H66,0))</f>
        <v>0</v>
      </c>
      <c r="AQ66" s="9">
        <f>SUM(IFERROR(VLOOKUP($C:$C,Structure!$A:$AJ,AQ$1,0)*$D66,0),IFERROR(VLOOKUP($E:$E,Structure!$A:$AJ,AQ$1,0)*$F66,0),IFERROR(VLOOKUP($G:$G,Structure!$A:$AJ,AQ$1,0)*$H66,0))</f>
        <v>0</v>
      </c>
      <c r="AR66" s="21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4">
        <f t="shared" si="57"/>
        <v>0</v>
      </c>
      <c r="CE66" s="4">
        <f t="shared" si="58"/>
        <v>117</v>
      </c>
      <c r="CF66" s="4">
        <f t="shared" si="59"/>
        <v>4</v>
      </c>
      <c r="CG66" s="4">
        <f t="shared" si="60"/>
        <v>23</v>
      </c>
      <c r="CH66" s="4">
        <f t="shared" si="61"/>
        <v>1</v>
      </c>
      <c r="CI66" s="4">
        <f t="shared" si="62"/>
        <v>51</v>
      </c>
      <c r="CJ66" s="4">
        <f t="shared" si="63"/>
        <v>-51</v>
      </c>
      <c r="CK66" s="4">
        <f t="shared" si="64"/>
        <v>246</v>
      </c>
      <c r="CL66" s="4">
        <f t="shared" si="65"/>
        <v>0</v>
      </c>
      <c r="CM66" s="4">
        <f t="shared" si="66"/>
        <v>4</v>
      </c>
      <c r="CN66" s="4">
        <f t="shared" si="67"/>
        <v>-13</v>
      </c>
      <c r="CO66" s="4">
        <f t="shared" si="68"/>
        <v>0</v>
      </c>
      <c r="CP66" s="4">
        <f t="shared" si="69"/>
        <v>5</v>
      </c>
      <c r="CQ66" s="4">
        <f t="shared" si="70"/>
        <v>-153</v>
      </c>
      <c r="CR66" s="4">
        <f t="shared" si="71"/>
        <v>34</v>
      </c>
      <c r="CS66" s="4">
        <f t="shared" si="72"/>
        <v>0</v>
      </c>
      <c r="CT66" s="4">
        <f t="shared" si="73"/>
        <v>0</v>
      </c>
      <c r="CU66" s="4">
        <f t="shared" si="74"/>
        <v>0</v>
      </c>
      <c r="CV66" s="4">
        <f t="shared" si="75"/>
        <v>0</v>
      </c>
      <c r="CW66" s="4">
        <f t="shared" si="76"/>
        <v>0</v>
      </c>
      <c r="CX66" s="4">
        <f t="shared" si="77"/>
        <v>-133</v>
      </c>
      <c r="CY66" s="4">
        <f t="shared" si="78"/>
        <v>0</v>
      </c>
      <c r="CZ66" s="4">
        <f t="shared" si="79"/>
        <v>0</v>
      </c>
      <c r="DA66" s="4">
        <f t="shared" si="80"/>
        <v>0</v>
      </c>
      <c r="DB66" s="4">
        <f t="shared" si="81"/>
        <v>0</v>
      </c>
      <c r="DC66" s="4">
        <f t="shared" si="82"/>
        <v>0</v>
      </c>
      <c r="DD66" s="4">
        <f t="shared" si="83"/>
        <v>0</v>
      </c>
      <c r="DE66" s="4">
        <f t="shared" si="84"/>
        <v>0</v>
      </c>
      <c r="DF66" s="4">
        <f t="shared" si="85"/>
        <v>0</v>
      </c>
      <c r="DG66" s="4">
        <f t="shared" si="86"/>
        <v>0</v>
      </c>
      <c r="DH66" s="4">
        <f t="shared" si="87"/>
        <v>0</v>
      </c>
      <c r="DI66" s="4">
        <f t="shared" si="88"/>
        <v>0</v>
      </c>
      <c r="DJ66" s="4">
        <f t="shared" si="89"/>
        <v>0</v>
      </c>
      <c r="DK66" s="4">
        <f t="shared" si="90"/>
        <v>0</v>
      </c>
      <c r="DL66" s="4">
        <f t="shared" si="91"/>
        <v>0</v>
      </c>
    </row>
    <row r="67" spans="1:116" x14ac:dyDescent="0.25">
      <c r="A67" s="5">
        <v>46184</v>
      </c>
      <c r="B67" s="6">
        <v>0.64583333348855376</v>
      </c>
      <c r="C67" s="3"/>
      <c r="D67" s="3"/>
      <c r="E67" s="3" t="s">
        <v>57</v>
      </c>
      <c r="F67" s="3">
        <v>7</v>
      </c>
      <c r="G67" s="3"/>
      <c r="H67" s="9"/>
      <c r="I67" s="9">
        <f>SUM(IFERROR(VLOOKUP($C:$C,Structure!$A:$AJ,I$1,0)*$D67,0),IFERROR(VLOOKUP($E:$E,Structure!$A:$AJ,I$1,0)*$F67,0),IFERROR(VLOOKUP($G:$G,Structure!$A:$AJ,I$1,0)*$H67,0))</f>
        <v>0</v>
      </c>
      <c r="J67" s="9">
        <f>SUM(IFERROR(VLOOKUP($C:$C,Structure!$A:$AJ,J$1,0)*$D67,0),IFERROR(VLOOKUP($E:$E,Structure!$A:$AJ,J$1,0)*$F67,0),IFERROR(VLOOKUP($G:$G,Structure!$A:$AJ,J$1,0)*$H67,0))</f>
        <v>0</v>
      </c>
      <c r="K67" s="9">
        <f>SUM(IFERROR(VLOOKUP($C:$C,Structure!$A:$AJ,K$1,0)*$D67,0),IFERROR(VLOOKUP($E:$E,Structure!$A:$AJ,K$1,0)*$F67,0),IFERROR(VLOOKUP($G:$G,Structure!$A:$AJ,K$1,0)*$H67,0))</f>
        <v>0</v>
      </c>
      <c r="L67" s="9">
        <f>SUM(IFERROR(VLOOKUP($C:$C,Structure!$A:$AJ,L$1,0)*$D67,0),IFERROR(VLOOKUP($E:$E,Structure!$A:$AJ,L$1,0)*$F67,0),IFERROR(VLOOKUP($G:$G,Structure!$A:$AJ,L$1,0)*$H67,0))</f>
        <v>0</v>
      </c>
      <c r="M67" s="9">
        <f>SUM(IFERROR(VLOOKUP($C:$C,Structure!$A:$AJ,M$1,0)*$D67,0),IFERROR(VLOOKUP($E:$E,Structure!$A:$AJ,M$1,0)*$F67,0),IFERROR(VLOOKUP($G:$G,Structure!$A:$AJ,M$1,0)*$H67,0))</f>
        <v>0</v>
      </c>
      <c r="N67" s="9">
        <f>SUM(IFERROR(VLOOKUP($C:$C,Structure!$A:$AJ,N$1,0)*$D67,0),IFERROR(VLOOKUP($E:$E,Structure!$A:$AJ,N$1,0)*$F67,0),IFERROR(VLOOKUP($G:$G,Structure!$A:$AJ,N$1,0)*$H67,0))</f>
        <v>0</v>
      </c>
      <c r="O67" s="9">
        <f>SUM(IFERROR(VLOOKUP($C:$C,Structure!$A:$AJ,O$1,0)*$D67,0),IFERROR(VLOOKUP($E:$E,Structure!$A:$AJ,O$1,0)*$F67,0),IFERROR(VLOOKUP($G:$G,Structure!$A:$AJ,O$1,0)*$H67,0))</f>
        <v>7</v>
      </c>
      <c r="P67" s="9">
        <f>SUM(IFERROR(VLOOKUP($C:$C,Structure!$A:$AJ,P$1,0)*$D67,0),IFERROR(VLOOKUP($E:$E,Structure!$A:$AJ,P$1,0)*$F67,0),IFERROR(VLOOKUP($G:$G,Structure!$A:$AJ,P$1,0)*$H67,0))</f>
        <v>0</v>
      </c>
      <c r="Q67" s="9">
        <f>SUM(IFERROR(VLOOKUP($C:$C,Structure!$A:$AJ,Q$1,0)*$D67,0),IFERROR(VLOOKUP($E:$E,Structure!$A:$AJ,Q$1,0)*$F67,0),IFERROR(VLOOKUP($G:$G,Structure!$A:$AJ,Q$1,0)*$H67,0))</f>
        <v>0</v>
      </c>
      <c r="R67" s="9">
        <f>SUM(IFERROR(VLOOKUP($C:$C,Structure!$A:$AJ,R$1,0)*$D67,0),IFERROR(VLOOKUP($E:$E,Structure!$A:$AJ,R$1,0)*$F67,0),IFERROR(VLOOKUP($G:$G,Structure!$A:$AJ,R$1,0)*$H67,0))</f>
        <v>0</v>
      </c>
      <c r="S67" s="9">
        <f>SUM(IFERROR(VLOOKUP($C:$C,Structure!$A:$AJ,S$1,0)*$D67,0),IFERROR(VLOOKUP($E:$E,Structure!$A:$AJ,S$1,0)*$F67,0),IFERROR(VLOOKUP($G:$G,Structure!$A:$AJ,S$1,0)*$H67,0))</f>
        <v>7</v>
      </c>
      <c r="T67" s="9">
        <f>SUM(IFERROR(VLOOKUP($C:$C,Structure!$A:$AJ,T$1,0)*$D67,0),IFERROR(VLOOKUP($E:$E,Structure!$A:$AJ,T$1,0)*$F67,0),IFERROR(VLOOKUP($G:$G,Structure!$A:$AJ,T$1,0)*$H67,0))</f>
        <v>0</v>
      </c>
      <c r="U67" s="9">
        <f>SUM(IFERROR(VLOOKUP($C:$C,Structure!$A:$AJ,U$1,0)*$D67,0),IFERROR(VLOOKUP($E:$E,Structure!$A:$AJ,U$1,0)*$F67,0),IFERROR(VLOOKUP($G:$G,Structure!$A:$AJ,U$1,0)*$H67,0))</f>
        <v>0</v>
      </c>
      <c r="V67" s="9">
        <f>SUM(IFERROR(VLOOKUP($C:$C,Structure!$A:$AJ,V$1,0)*$D67,0),IFERROR(VLOOKUP($E:$E,Structure!$A:$AJ,V$1,0)*$F67,0),IFERROR(VLOOKUP($G:$G,Structure!$A:$AJ,V$1,0)*$H67,0))</f>
        <v>0</v>
      </c>
      <c r="W67" s="9">
        <f>SUM(IFERROR(VLOOKUP($C:$C,Structure!$A:$AJ,W$1,0)*$D67,0),IFERROR(VLOOKUP($E:$E,Structure!$A:$AJ,W$1,0)*$F67,0),IFERROR(VLOOKUP($G:$G,Structure!$A:$AJ,W$1,0)*$H67,0))</f>
        <v>0</v>
      </c>
      <c r="X67" s="9">
        <f>SUM(IFERROR(VLOOKUP($C:$C,Structure!$A:$AJ,X$1,0)*$D67,0),IFERROR(VLOOKUP($E:$E,Structure!$A:$AJ,X$1,0)*$F67,0),IFERROR(VLOOKUP($G:$G,Structure!$A:$AJ,X$1,0)*$H67,0))</f>
        <v>0</v>
      </c>
      <c r="Y67" s="9">
        <f>SUM(IFERROR(VLOOKUP($C:$C,Structure!$A:$AJ,Y$1,0)*$D67,0),IFERROR(VLOOKUP($E:$E,Structure!$A:$AJ,Y$1,0)*$F67,0),IFERROR(VLOOKUP($G:$G,Structure!$A:$AJ,Y$1,0)*$H67,0))</f>
        <v>0</v>
      </c>
      <c r="Z67" s="9">
        <f>SUM(IFERROR(VLOOKUP($C:$C,Structure!$A:$AJ,Z$1,0)*$D67,0),IFERROR(VLOOKUP($E:$E,Structure!$A:$AJ,Z$1,0)*$F67,0),IFERROR(VLOOKUP($G:$G,Structure!$A:$AJ,Z$1,0)*$H67,0))</f>
        <v>0</v>
      </c>
      <c r="AA67" s="9">
        <f>SUM(IFERROR(VLOOKUP($C:$C,Structure!$A:$AJ,AA$1,0)*$D67,0),IFERROR(VLOOKUP($E:$E,Structure!$A:$AJ,AA$1,0)*$F67,0),IFERROR(VLOOKUP($G:$G,Structure!$A:$AJ,AA$1,0)*$H67,0))</f>
        <v>0</v>
      </c>
      <c r="AB67" s="9">
        <f>SUM(IFERROR(VLOOKUP($C:$C,Structure!$A:$AJ,AB$1,0)*$D67,0),IFERROR(VLOOKUP($E:$E,Structure!$A:$AJ,AB$1,0)*$F67,0),IFERROR(VLOOKUP($G:$G,Structure!$A:$AJ,AB$1,0)*$H67,0))</f>
        <v>0</v>
      </c>
      <c r="AC67" s="9">
        <f>SUM(IFERROR(VLOOKUP($C:$C,Structure!$A:$AJ,AC$1,0)*$D67,0),IFERROR(VLOOKUP($E:$E,Structure!$A:$AJ,AC$1,0)*$F67,0),IFERROR(VLOOKUP($G:$G,Structure!$A:$AJ,AC$1,0)*$H67,0))</f>
        <v>0</v>
      </c>
      <c r="AD67" s="9">
        <f>SUM(IFERROR(VLOOKUP($C:$C,Structure!$A:$AJ,AD$1,0)*$D67,0),IFERROR(VLOOKUP($E:$E,Structure!$A:$AJ,AD$1,0)*$F67,0),IFERROR(VLOOKUP($G:$G,Structure!$A:$AJ,AD$1,0)*$H67,0))</f>
        <v>0</v>
      </c>
      <c r="AE67" s="9">
        <f>SUM(IFERROR(VLOOKUP($C:$C,Structure!$A:$AJ,AE$1,0)*$D67,0),IFERROR(VLOOKUP($E:$E,Structure!$A:$AJ,AE$1,0)*$F67,0),IFERROR(VLOOKUP($G:$G,Structure!$A:$AJ,AE$1,0)*$H67,0))</f>
        <v>0</v>
      </c>
      <c r="AF67" s="9">
        <f>SUM(IFERROR(VLOOKUP($C:$C,Structure!$A:$AJ,AF$1,0)*$D67,0),IFERROR(VLOOKUP($E:$E,Structure!$A:$AJ,AF$1,0)*$F67,0),IFERROR(VLOOKUP($G:$G,Structure!$A:$AJ,AF$1,0)*$H67,0))</f>
        <v>0</v>
      </c>
      <c r="AG67" s="9">
        <f>SUM(IFERROR(VLOOKUP($C:$C,Structure!$A:$AJ,AG$1,0)*$D67,0),IFERROR(VLOOKUP($E:$E,Structure!$A:$AJ,AG$1,0)*$F67,0),IFERROR(VLOOKUP($G:$G,Structure!$A:$AJ,AG$1,0)*$H67,0))</f>
        <v>0</v>
      </c>
      <c r="AH67" s="9">
        <f>SUM(IFERROR(VLOOKUP($C:$C,Structure!$A:$AJ,AH$1,0)*$D67,0),IFERROR(VLOOKUP($E:$E,Structure!$A:$AJ,AH$1,0)*$F67,0),IFERROR(VLOOKUP($G:$G,Structure!$A:$AJ,AH$1,0)*$H67,0))</f>
        <v>0</v>
      </c>
      <c r="AI67" s="9">
        <f>SUM(IFERROR(VLOOKUP($C:$C,Structure!$A:$AJ,AI$1,0)*$D67,0),IFERROR(VLOOKUP($E:$E,Structure!$A:$AJ,AI$1,0)*$F67,0),IFERROR(VLOOKUP($G:$G,Structure!$A:$AJ,AI$1,0)*$H67,0))</f>
        <v>0</v>
      </c>
      <c r="AJ67" s="9">
        <f>SUM(IFERROR(VLOOKUP($C:$C,Structure!$A:$AJ,AJ$1,0)*$D67,0),IFERROR(VLOOKUP($E:$E,Structure!$A:$AJ,AJ$1,0)*$F67,0),IFERROR(VLOOKUP($G:$G,Structure!$A:$AJ,AJ$1,0)*$H67,0))</f>
        <v>0</v>
      </c>
      <c r="AK67" s="9">
        <f>SUM(IFERROR(VLOOKUP($C:$C,Structure!$A:$AJ,AK$1,0)*$D67,0),IFERROR(VLOOKUP($E:$E,Structure!$A:$AJ,AK$1,0)*$F67,0),IFERROR(VLOOKUP($G:$G,Structure!$A:$AJ,AK$1,0)*$H67,0))</f>
        <v>0</v>
      </c>
      <c r="AL67" s="9">
        <f>SUM(IFERROR(VLOOKUP($C:$C,Structure!$A:$AJ,AL$1,0)*$D67,0),IFERROR(VLOOKUP($E:$E,Structure!$A:$AJ,AL$1,0)*$F67,0),IFERROR(VLOOKUP($G:$G,Structure!$A:$AJ,AL$1,0)*$H67,0))</f>
        <v>0</v>
      </c>
      <c r="AM67" s="9">
        <f>SUM(IFERROR(VLOOKUP($C:$C,Structure!$A:$AJ,AM$1,0)*$D67,0),IFERROR(VLOOKUP($E:$E,Structure!$A:$AJ,AM$1,0)*$F67,0),IFERROR(VLOOKUP($G:$G,Structure!$A:$AJ,AM$1,0)*$H67,0))</f>
        <v>0</v>
      </c>
      <c r="AN67" s="9">
        <f>SUM(IFERROR(VLOOKUP($C:$C,Structure!$A:$AJ,AN$1,0)*$D67,0),IFERROR(VLOOKUP($E:$E,Structure!$A:$AJ,AN$1,0)*$F67,0),IFERROR(VLOOKUP($G:$G,Structure!$A:$AJ,AN$1,0)*$H67,0))</f>
        <v>0</v>
      </c>
      <c r="AO67" s="9">
        <f>SUM(IFERROR(VLOOKUP($C:$C,Structure!$A:$AJ,AO$1,0)*$D67,0),IFERROR(VLOOKUP($E:$E,Structure!$A:$AJ,AO$1,0)*$F67,0),IFERROR(VLOOKUP($G:$G,Structure!$A:$AJ,AO$1,0)*$H67,0))</f>
        <v>0</v>
      </c>
      <c r="AP67" s="9">
        <f>SUM(IFERROR(VLOOKUP($C:$C,Structure!$A:$AJ,AP$1,0)*$D67,0),IFERROR(VLOOKUP($E:$E,Structure!$A:$AJ,AP$1,0)*$F67,0),IFERROR(VLOOKUP($G:$G,Structure!$A:$AJ,AP$1,0)*$H67,0))</f>
        <v>0</v>
      </c>
      <c r="AQ67" s="9">
        <f>SUM(IFERROR(VLOOKUP($C:$C,Structure!$A:$AJ,AQ$1,0)*$D67,0),IFERROR(VLOOKUP($E:$E,Structure!$A:$AJ,AQ$1,0)*$F67,0),IFERROR(VLOOKUP($G:$G,Structure!$A:$AJ,AQ$1,0)*$H67,0))</f>
        <v>0</v>
      </c>
      <c r="AR67" s="21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4">
        <f t="shared" si="57"/>
        <v>0</v>
      </c>
      <c r="CE67" s="4">
        <f t="shared" si="58"/>
        <v>117</v>
      </c>
      <c r="CF67" s="4">
        <f t="shared" si="59"/>
        <v>4</v>
      </c>
      <c r="CG67" s="4">
        <f t="shared" si="60"/>
        <v>23</v>
      </c>
      <c r="CH67" s="4">
        <f t="shared" si="61"/>
        <v>1</v>
      </c>
      <c r="CI67" s="4">
        <f t="shared" si="62"/>
        <v>51</v>
      </c>
      <c r="CJ67" s="4">
        <f t="shared" si="63"/>
        <v>-58</v>
      </c>
      <c r="CK67" s="4">
        <f t="shared" si="64"/>
        <v>246</v>
      </c>
      <c r="CL67" s="4">
        <f t="shared" si="65"/>
        <v>0</v>
      </c>
      <c r="CM67" s="4">
        <f t="shared" si="66"/>
        <v>4</v>
      </c>
      <c r="CN67" s="4">
        <f t="shared" si="67"/>
        <v>-20</v>
      </c>
      <c r="CO67" s="4">
        <f t="shared" si="68"/>
        <v>0</v>
      </c>
      <c r="CP67" s="4">
        <f t="shared" si="69"/>
        <v>5</v>
      </c>
      <c r="CQ67" s="4">
        <f t="shared" si="70"/>
        <v>-153</v>
      </c>
      <c r="CR67" s="4">
        <f t="shared" si="71"/>
        <v>34</v>
      </c>
      <c r="CS67" s="4">
        <f t="shared" si="72"/>
        <v>0</v>
      </c>
      <c r="CT67" s="4">
        <f t="shared" si="73"/>
        <v>0</v>
      </c>
      <c r="CU67" s="4">
        <f t="shared" si="74"/>
        <v>0</v>
      </c>
      <c r="CV67" s="4">
        <f t="shared" si="75"/>
        <v>0</v>
      </c>
      <c r="CW67" s="4">
        <f t="shared" si="76"/>
        <v>0</v>
      </c>
      <c r="CX67" s="4">
        <f t="shared" si="77"/>
        <v>-133</v>
      </c>
      <c r="CY67" s="4">
        <f t="shared" si="78"/>
        <v>0</v>
      </c>
      <c r="CZ67" s="4">
        <f t="shared" si="79"/>
        <v>0</v>
      </c>
      <c r="DA67" s="4">
        <f t="shared" si="80"/>
        <v>0</v>
      </c>
      <c r="DB67" s="4">
        <f t="shared" si="81"/>
        <v>0</v>
      </c>
      <c r="DC67" s="4">
        <f t="shared" si="82"/>
        <v>0</v>
      </c>
      <c r="DD67" s="4">
        <f t="shared" si="83"/>
        <v>0</v>
      </c>
      <c r="DE67" s="4">
        <f t="shared" si="84"/>
        <v>0</v>
      </c>
      <c r="DF67" s="4">
        <f t="shared" si="85"/>
        <v>0</v>
      </c>
      <c r="DG67" s="4">
        <f t="shared" si="86"/>
        <v>0</v>
      </c>
      <c r="DH67" s="4">
        <f t="shared" si="87"/>
        <v>0</v>
      </c>
      <c r="DI67" s="4">
        <f t="shared" si="88"/>
        <v>0</v>
      </c>
      <c r="DJ67" s="4">
        <f t="shared" si="89"/>
        <v>0</v>
      </c>
      <c r="DK67" s="4">
        <f t="shared" si="90"/>
        <v>0</v>
      </c>
      <c r="DL67" s="4">
        <f t="shared" si="91"/>
        <v>0</v>
      </c>
    </row>
    <row r="68" spans="1:116" x14ac:dyDescent="0.25">
      <c r="A68" s="5">
        <v>46184</v>
      </c>
      <c r="B68" s="6">
        <v>0.66666666682431241</v>
      </c>
      <c r="C68" s="3"/>
      <c r="D68" s="3"/>
      <c r="E68" s="3" t="s">
        <v>34</v>
      </c>
      <c r="F68" s="3">
        <v>2</v>
      </c>
      <c r="G68" s="3"/>
      <c r="H68" s="9"/>
      <c r="I68" s="9">
        <f>SUM(IFERROR(VLOOKUP($C:$C,Structure!$A:$AJ,I$1,0)*$D68,0),IFERROR(VLOOKUP($E:$E,Structure!$A:$AJ,I$1,0)*$F68,0),IFERROR(VLOOKUP($G:$G,Structure!$A:$AJ,I$1,0)*$H68,0))</f>
        <v>0</v>
      </c>
      <c r="J68" s="9">
        <f>SUM(IFERROR(VLOOKUP($C:$C,Structure!$A:$AJ,J$1,0)*$D68,0),IFERROR(VLOOKUP($E:$E,Structure!$A:$AJ,J$1,0)*$F68,0),IFERROR(VLOOKUP($G:$G,Structure!$A:$AJ,J$1,0)*$H68,0))</f>
        <v>0</v>
      </c>
      <c r="K68" s="9">
        <f>SUM(IFERROR(VLOOKUP($C:$C,Structure!$A:$AJ,K$1,0)*$D68,0),IFERROR(VLOOKUP($E:$E,Structure!$A:$AJ,K$1,0)*$F68,0),IFERROR(VLOOKUP($G:$G,Structure!$A:$AJ,K$1,0)*$H68,0))</f>
        <v>0</v>
      </c>
      <c r="L68" s="9">
        <f>SUM(IFERROR(VLOOKUP($C:$C,Structure!$A:$AJ,L$1,0)*$D68,0),IFERROR(VLOOKUP($E:$E,Structure!$A:$AJ,L$1,0)*$F68,0),IFERROR(VLOOKUP($G:$G,Structure!$A:$AJ,L$1,0)*$H68,0))</f>
        <v>0</v>
      </c>
      <c r="M68" s="9">
        <f>SUM(IFERROR(VLOOKUP($C:$C,Structure!$A:$AJ,M$1,0)*$D68,0),IFERROR(VLOOKUP($E:$E,Structure!$A:$AJ,M$1,0)*$F68,0),IFERROR(VLOOKUP($G:$G,Structure!$A:$AJ,M$1,0)*$H68,0))</f>
        <v>0</v>
      </c>
      <c r="N68" s="9">
        <f>SUM(IFERROR(VLOOKUP($C:$C,Structure!$A:$AJ,N$1,0)*$D68,0),IFERROR(VLOOKUP($E:$E,Structure!$A:$AJ,N$1,0)*$F68,0),IFERROR(VLOOKUP($G:$G,Structure!$A:$AJ,N$1,0)*$H68,0))</f>
        <v>0</v>
      </c>
      <c r="O68" s="9">
        <f>SUM(IFERROR(VLOOKUP($C:$C,Structure!$A:$AJ,O$1,0)*$D68,0),IFERROR(VLOOKUP($E:$E,Structure!$A:$AJ,O$1,0)*$F68,0),IFERROR(VLOOKUP($G:$G,Structure!$A:$AJ,O$1,0)*$H68,0))</f>
        <v>0</v>
      </c>
      <c r="P68" s="9">
        <f>SUM(IFERROR(VLOOKUP($C:$C,Structure!$A:$AJ,P$1,0)*$D68,0),IFERROR(VLOOKUP($E:$E,Structure!$A:$AJ,P$1,0)*$F68,0),IFERROR(VLOOKUP($G:$G,Structure!$A:$AJ,P$1,0)*$H68,0))</f>
        <v>0</v>
      </c>
      <c r="Q68" s="9">
        <f>SUM(IFERROR(VLOOKUP($C:$C,Structure!$A:$AJ,Q$1,0)*$D68,0),IFERROR(VLOOKUP($E:$E,Structure!$A:$AJ,Q$1,0)*$F68,0),IFERROR(VLOOKUP($G:$G,Structure!$A:$AJ,Q$1,0)*$H68,0))</f>
        <v>0</v>
      </c>
      <c r="R68" s="9">
        <f>SUM(IFERROR(VLOOKUP($C:$C,Structure!$A:$AJ,R$1,0)*$D68,0),IFERROR(VLOOKUP($E:$E,Structure!$A:$AJ,R$1,0)*$F68,0),IFERROR(VLOOKUP($G:$G,Structure!$A:$AJ,R$1,0)*$H68,0))</f>
        <v>0</v>
      </c>
      <c r="S68" s="9">
        <f>SUM(IFERROR(VLOOKUP($C:$C,Structure!$A:$AJ,S$1,0)*$D68,0),IFERROR(VLOOKUP($E:$E,Structure!$A:$AJ,S$1,0)*$F68,0),IFERROR(VLOOKUP($G:$G,Structure!$A:$AJ,S$1,0)*$H68,0))</f>
        <v>0</v>
      </c>
      <c r="T68" s="9">
        <f>SUM(IFERROR(VLOOKUP($C:$C,Structure!$A:$AJ,T$1,0)*$D68,0),IFERROR(VLOOKUP($E:$E,Structure!$A:$AJ,T$1,0)*$F68,0),IFERROR(VLOOKUP($G:$G,Structure!$A:$AJ,T$1,0)*$H68,0))</f>
        <v>0</v>
      </c>
      <c r="U68" s="9">
        <f>SUM(IFERROR(VLOOKUP($C:$C,Structure!$A:$AJ,U$1,0)*$D68,0),IFERROR(VLOOKUP($E:$E,Structure!$A:$AJ,U$1,0)*$F68,0),IFERROR(VLOOKUP($G:$G,Structure!$A:$AJ,U$1,0)*$H68,0))</f>
        <v>2</v>
      </c>
      <c r="V68" s="9">
        <f>SUM(IFERROR(VLOOKUP($C:$C,Structure!$A:$AJ,V$1,0)*$D68,0),IFERROR(VLOOKUP($E:$E,Structure!$A:$AJ,V$1,0)*$F68,0),IFERROR(VLOOKUP($G:$G,Structure!$A:$AJ,V$1,0)*$H68,0))</f>
        <v>0</v>
      </c>
      <c r="W68" s="9">
        <f>SUM(IFERROR(VLOOKUP($C:$C,Structure!$A:$AJ,W$1,0)*$D68,0),IFERROR(VLOOKUP($E:$E,Structure!$A:$AJ,W$1,0)*$F68,0),IFERROR(VLOOKUP($G:$G,Structure!$A:$AJ,W$1,0)*$H68,0))</f>
        <v>0</v>
      </c>
      <c r="X68" s="9">
        <f>SUM(IFERROR(VLOOKUP($C:$C,Structure!$A:$AJ,X$1,0)*$D68,0),IFERROR(VLOOKUP($E:$E,Structure!$A:$AJ,X$1,0)*$F68,0),IFERROR(VLOOKUP($G:$G,Structure!$A:$AJ,X$1,0)*$H68,0))</f>
        <v>0</v>
      </c>
      <c r="Y68" s="9">
        <f>SUM(IFERROR(VLOOKUP($C:$C,Structure!$A:$AJ,Y$1,0)*$D68,0),IFERROR(VLOOKUP($E:$E,Structure!$A:$AJ,Y$1,0)*$F68,0),IFERROR(VLOOKUP($G:$G,Structure!$A:$AJ,Y$1,0)*$H68,0))</f>
        <v>0</v>
      </c>
      <c r="Z68" s="9">
        <f>SUM(IFERROR(VLOOKUP($C:$C,Structure!$A:$AJ,Z$1,0)*$D68,0),IFERROR(VLOOKUP($E:$E,Structure!$A:$AJ,Z$1,0)*$F68,0),IFERROR(VLOOKUP($G:$G,Structure!$A:$AJ,Z$1,0)*$H68,0))</f>
        <v>0</v>
      </c>
      <c r="AA68" s="9">
        <f>SUM(IFERROR(VLOOKUP($C:$C,Structure!$A:$AJ,AA$1,0)*$D68,0),IFERROR(VLOOKUP($E:$E,Structure!$A:$AJ,AA$1,0)*$F68,0),IFERROR(VLOOKUP($G:$G,Structure!$A:$AJ,AA$1,0)*$H68,0))</f>
        <v>0</v>
      </c>
      <c r="AB68" s="9">
        <f>SUM(IFERROR(VLOOKUP($C:$C,Structure!$A:$AJ,AB$1,0)*$D68,0),IFERROR(VLOOKUP($E:$E,Structure!$A:$AJ,AB$1,0)*$F68,0),IFERROR(VLOOKUP($G:$G,Structure!$A:$AJ,AB$1,0)*$H68,0))</f>
        <v>0</v>
      </c>
      <c r="AC68" s="9">
        <f>SUM(IFERROR(VLOOKUP($C:$C,Structure!$A:$AJ,AC$1,0)*$D68,0),IFERROR(VLOOKUP($E:$E,Structure!$A:$AJ,AC$1,0)*$F68,0),IFERROR(VLOOKUP($G:$G,Structure!$A:$AJ,AC$1,0)*$H68,0))</f>
        <v>2</v>
      </c>
      <c r="AD68" s="9">
        <f>SUM(IFERROR(VLOOKUP($C:$C,Structure!$A:$AJ,AD$1,0)*$D68,0),IFERROR(VLOOKUP($E:$E,Structure!$A:$AJ,AD$1,0)*$F68,0),IFERROR(VLOOKUP($G:$G,Structure!$A:$AJ,AD$1,0)*$H68,0))</f>
        <v>0</v>
      </c>
      <c r="AE68" s="9">
        <f>SUM(IFERROR(VLOOKUP($C:$C,Structure!$A:$AJ,AE$1,0)*$D68,0),IFERROR(VLOOKUP($E:$E,Structure!$A:$AJ,AE$1,0)*$F68,0),IFERROR(VLOOKUP($G:$G,Structure!$A:$AJ,AE$1,0)*$H68,0))</f>
        <v>0</v>
      </c>
      <c r="AF68" s="9">
        <f>SUM(IFERROR(VLOOKUP($C:$C,Structure!$A:$AJ,AF$1,0)*$D68,0),IFERROR(VLOOKUP($E:$E,Structure!$A:$AJ,AF$1,0)*$F68,0),IFERROR(VLOOKUP($G:$G,Structure!$A:$AJ,AF$1,0)*$H68,0))</f>
        <v>0</v>
      </c>
      <c r="AG68" s="9">
        <f>SUM(IFERROR(VLOOKUP($C:$C,Structure!$A:$AJ,AG$1,0)*$D68,0),IFERROR(VLOOKUP($E:$E,Structure!$A:$AJ,AG$1,0)*$F68,0),IFERROR(VLOOKUP($G:$G,Structure!$A:$AJ,AG$1,0)*$H68,0))</f>
        <v>0</v>
      </c>
      <c r="AH68" s="9">
        <f>SUM(IFERROR(VLOOKUP($C:$C,Structure!$A:$AJ,AH$1,0)*$D68,0),IFERROR(VLOOKUP($E:$E,Structure!$A:$AJ,AH$1,0)*$F68,0),IFERROR(VLOOKUP($G:$G,Structure!$A:$AJ,AH$1,0)*$H68,0))</f>
        <v>0</v>
      </c>
      <c r="AI68" s="9">
        <f>SUM(IFERROR(VLOOKUP($C:$C,Structure!$A:$AJ,AI$1,0)*$D68,0),IFERROR(VLOOKUP($E:$E,Structure!$A:$AJ,AI$1,0)*$F68,0),IFERROR(VLOOKUP($G:$G,Structure!$A:$AJ,AI$1,0)*$H68,0))</f>
        <v>0</v>
      </c>
      <c r="AJ68" s="9">
        <f>SUM(IFERROR(VLOOKUP($C:$C,Structure!$A:$AJ,AJ$1,0)*$D68,0),IFERROR(VLOOKUP($E:$E,Structure!$A:$AJ,AJ$1,0)*$F68,0),IFERROR(VLOOKUP($G:$G,Structure!$A:$AJ,AJ$1,0)*$H68,0))</f>
        <v>0</v>
      </c>
      <c r="AK68" s="9">
        <f>SUM(IFERROR(VLOOKUP($C:$C,Structure!$A:$AJ,AK$1,0)*$D68,0),IFERROR(VLOOKUP($E:$E,Structure!$A:$AJ,AK$1,0)*$F68,0),IFERROR(VLOOKUP($G:$G,Structure!$A:$AJ,AK$1,0)*$H68,0))</f>
        <v>0</v>
      </c>
      <c r="AL68" s="9">
        <f>SUM(IFERROR(VLOOKUP($C:$C,Structure!$A:$AJ,AL$1,0)*$D68,0),IFERROR(VLOOKUP($E:$E,Structure!$A:$AJ,AL$1,0)*$F68,0),IFERROR(VLOOKUP($G:$G,Structure!$A:$AJ,AL$1,0)*$H68,0))</f>
        <v>0</v>
      </c>
      <c r="AM68" s="9">
        <f>SUM(IFERROR(VLOOKUP($C:$C,Structure!$A:$AJ,AM$1,0)*$D68,0),IFERROR(VLOOKUP($E:$E,Structure!$A:$AJ,AM$1,0)*$F68,0),IFERROR(VLOOKUP($G:$G,Structure!$A:$AJ,AM$1,0)*$H68,0))</f>
        <v>0</v>
      </c>
      <c r="AN68" s="9">
        <f>SUM(IFERROR(VLOOKUP($C:$C,Structure!$A:$AJ,AN$1,0)*$D68,0),IFERROR(VLOOKUP($E:$E,Structure!$A:$AJ,AN$1,0)*$F68,0),IFERROR(VLOOKUP($G:$G,Structure!$A:$AJ,AN$1,0)*$H68,0))</f>
        <v>0</v>
      </c>
      <c r="AO68" s="9">
        <f>SUM(IFERROR(VLOOKUP($C:$C,Structure!$A:$AJ,AO$1,0)*$D68,0),IFERROR(VLOOKUP($E:$E,Structure!$A:$AJ,AO$1,0)*$F68,0),IFERROR(VLOOKUP($G:$G,Structure!$A:$AJ,AO$1,0)*$H68,0))</f>
        <v>0</v>
      </c>
      <c r="AP68" s="9">
        <f>SUM(IFERROR(VLOOKUP($C:$C,Structure!$A:$AJ,AP$1,0)*$D68,0),IFERROR(VLOOKUP($E:$E,Structure!$A:$AJ,AP$1,0)*$F68,0),IFERROR(VLOOKUP($G:$G,Structure!$A:$AJ,AP$1,0)*$H68,0))</f>
        <v>0</v>
      </c>
      <c r="AQ68" s="9">
        <f>SUM(IFERROR(VLOOKUP($C:$C,Structure!$A:$AJ,AQ$1,0)*$D68,0),IFERROR(VLOOKUP($E:$E,Structure!$A:$AJ,AQ$1,0)*$F68,0),IFERROR(VLOOKUP($G:$G,Structure!$A:$AJ,AQ$1,0)*$H68,0))</f>
        <v>0</v>
      </c>
      <c r="AR68" s="21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4">
        <f t="shared" si="57"/>
        <v>0</v>
      </c>
      <c r="CE68" s="4">
        <f t="shared" si="58"/>
        <v>117</v>
      </c>
      <c r="CF68" s="4">
        <f t="shared" si="59"/>
        <v>4</v>
      </c>
      <c r="CG68" s="4">
        <f t="shared" si="60"/>
        <v>23</v>
      </c>
      <c r="CH68" s="4">
        <f t="shared" si="61"/>
        <v>1</v>
      </c>
      <c r="CI68" s="4">
        <f t="shared" si="62"/>
        <v>51</v>
      </c>
      <c r="CJ68" s="4">
        <f t="shared" si="63"/>
        <v>-58</v>
      </c>
      <c r="CK68" s="4">
        <f t="shared" si="64"/>
        <v>246</v>
      </c>
      <c r="CL68" s="4">
        <f t="shared" si="65"/>
        <v>0</v>
      </c>
      <c r="CM68" s="4">
        <f t="shared" si="66"/>
        <v>4</v>
      </c>
      <c r="CN68" s="4">
        <f t="shared" si="67"/>
        <v>-20</v>
      </c>
      <c r="CO68" s="4">
        <f t="shared" si="68"/>
        <v>0</v>
      </c>
      <c r="CP68" s="4">
        <f t="shared" si="69"/>
        <v>3</v>
      </c>
      <c r="CQ68" s="4">
        <f t="shared" si="70"/>
        <v>-153</v>
      </c>
      <c r="CR68" s="4">
        <f t="shared" si="71"/>
        <v>34</v>
      </c>
      <c r="CS68" s="4">
        <f t="shared" si="72"/>
        <v>0</v>
      </c>
      <c r="CT68" s="4">
        <f t="shared" si="73"/>
        <v>0</v>
      </c>
      <c r="CU68" s="4">
        <f t="shared" si="74"/>
        <v>0</v>
      </c>
      <c r="CV68" s="4">
        <f t="shared" si="75"/>
        <v>0</v>
      </c>
      <c r="CW68" s="4">
        <f t="shared" si="76"/>
        <v>0</v>
      </c>
      <c r="CX68" s="4">
        <f t="shared" si="77"/>
        <v>-135</v>
      </c>
      <c r="CY68" s="4">
        <f t="shared" si="78"/>
        <v>0</v>
      </c>
      <c r="CZ68" s="4">
        <f t="shared" si="79"/>
        <v>0</v>
      </c>
      <c r="DA68" s="4">
        <f t="shared" si="80"/>
        <v>0</v>
      </c>
      <c r="DB68" s="4">
        <f t="shared" si="81"/>
        <v>0</v>
      </c>
      <c r="DC68" s="4">
        <f t="shared" si="82"/>
        <v>0</v>
      </c>
      <c r="DD68" s="4">
        <f t="shared" si="83"/>
        <v>0</v>
      </c>
      <c r="DE68" s="4">
        <f t="shared" si="84"/>
        <v>0</v>
      </c>
      <c r="DF68" s="4">
        <f t="shared" si="85"/>
        <v>0</v>
      </c>
      <c r="DG68" s="4">
        <f t="shared" si="86"/>
        <v>0</v>
      </c>
      <c r="DH68" s="4">
        <f t="shared" si="87"/>
        <v>0</v>
      </c>
      <c r="DI68" s="4">
        <f t="shared" si="88"/>
        <v>0</v>
      </c>
      <c r="DJ68" s="4">
        <f t="shared" si="89"/>
        <v>0</v>
      </c>
      <c r="DK68" s="4">
        <f t="shared" si="90"/>
        <v>0</v>
      </c>
      <c r="DL68" s="4">
        <f t="shared" si="91"/>
        <v>0</v>
      </c>
    </row>
    <row r="69" spans="1:116" x14ac:dyDescent="0.25">
      <c r="A69" s="5">
        <v>46184</v>
      </c>
      <c r="B69" s="6">
        <v>0.68750000016007107</v>
      </c>
      <c r="C69" s="3"/>
      <c r="D69" s="3"/>
      <c r="E69" s="3" t="s">
        <v>38</v>
      </c>
      <c r="F69" s="3">
        <v>8</v>
      </c>
      <c r="G69" s="3"/>
      <c r="H69" s="9"/>
      <c r="I69" s="9">
        <f>SUM(IFERROR(VLOOKUP($C:$C,Structure!$A:$AJ,I$1,0)*$D69,0),IFERROR(VLOOKUP($E:$E,Structure!$A:$AJ,I$1,0)*$F69,0),IFERROR(VLOOKUP($G:$G,Structure!$A:$AJ,I$1,0)*$H69,0))</f>
        <v>0</v>
      </c>
      <c r="J69" s="9">
        <f>SUM(IFERROR(VLOOKUP($C:$C,Structure!$A:$AJ,J$1,0)*$D69,0),IFERROR(VLOOKUP($E:$E,Structure!$A:$AJ,J$1,0)*$F69,0),IFERROR(VLOOKUP($G:$G,Structure!$A:$AJ,J$1,0)*$H69,0))</f>
        <v>8</v>
      </c>
      <c r="K69" s="9">
        <f>SUM(IFERROR(VLOOKUP($C:$C,Structure!$A:$AJ,K$1,0)*$D69,0),IFERROR(VLOOKUP($E:$E,Structure!$A:$AJ,K$1,0)*$F69,0),IFERROR(VLOOKUP($G:$G,Structure!$A:$AJ,K$1,0)*$H69,0))</f>
        <v>0</v>
      </c>
      <c r="L69" s="9">
        <f>SUM(IFERROR(VLOOKUP($C:$C,Structure!$A:$AJ,L$1,0)*$D69,0),IFERROR(VLOOKUP($E:$E,Structure!$A:$AJ,L$1,0)*$F69,0),IFERROR(VLOOKUP($G:$G,Structure!$A:$AJ,L$1,0)*$H69,0))</f>
        <v>0</v>
      </c>
      <c r="M69" s="9">
        <f>SUM(IFERROR(VLOOKUP($C:$C,Structure!$A:$AJ,M$1,0)*$D69,0),IFERROR(VLOOKUP($E:$E,Structure!$A:$AJ,M$1,0)*$F69,0),IFERROR(VLOOKUP($G:$G,Structure!$A:$AJ,M$1,0)*$H69,0))</f>
        <v>0</v>
      </c>
      <c r="N69" s="9">
        <f>SUM(IFERROR(VLOOKUP($C:$C,Structure!$A:$AJ,N$1,0)*$D69,0),IFERROR(VLOOKUP($E:$E,Structure!$A:$AJ,N$1,0)*$F69,0),IFERROR(VLOOKUP($G:$G,Structure!$A:$AJ,N$1,0)*$H69,0))</f>
        <v>0</v>
      </c>
      <c r="O69" s="9">
        <f>SUM(IFERROR(VLOOKUP($C:$C,Structure!$A:$AJ,O$1,0)*$D69,0),IFERROR(VLOOKUP($E:$E,Structure!$A:$AJ,O$1,0)*$F69,0),IFERROR(VLOOKUP($G:$G,Structure!$A:$AJ,O$1,0)*$H69,0))</f>
        <v>0</v>
      </c>
      <c r="P69" s="9">
        <f>SUM(IFERROR(VLOOKUP($C:$C,Structure!$A:$AJ,P$1,0)*$D69,0),IFERROR(VLOOKUP($E:$E,Structure!$A:$AJ,P$1,0)*$F69,0),IFERROR(VLOOKUP($G:$G,Structure!$A:$AJ,P$1,0)*$H69,0))</f>
        <v>8</v>
      </c>
      <c r="Q69" s="9">
        <f>SUM(IFERROR(VLOOKUP($C:$C,Structure!$A:$AJ,Q$1,0)*$D69,0),IFERROR(VLOOKUP($E:$E,Structure!$A:$AJ,Q$1,0)*$F69,0),IFERROR(VLOOKUP($G:$G,Structure!$A:$AJ,Q$1,0)*$H69,0))</f>
        <v>0</v>
      </c>
      <c r="R69" s="9">
        <f>SUM(IFERROR(VLOOKUP($C:$C,Structure!$A:$AJ,R$1,0)*$D69,0),IFERROR(VLOOKUP($E:$E,Structure!$A:$AJ,R$1,0)*$F69,0),IFERROR(VLOOKUP($G:$G,Structure!$A:$AJ,R$1,0)*$H69,0))</f>
        <v>0</v>
      </c>
      <c r="S69" s="9">
        <f>SUM(IFERROR(VLOOKUP($C:$C,Structure!$A:$AJ,S$1,0)*$D69,0),IFERROR(VLOOKUP($E:$E,Structure!$A:$AJ,S$1,0)*$F69,0),IFERROR(VLOOKUP($G:$G,Structure!$A:$AJ,S$1,0)*$H69,0))</f>
        <v>0</v>
      </c>
      <c r="T69" s="9">
        <f>SUM(IFERROR(VLOOKUP($C:$C,Structure!$A:$AJ,T$1,0)*$D69,0),IFERROR(VLOOKUP($E:$E,Structure!$A:$AJ,T$1,0)*$F69,0),IFERROR(VLOOKUP($G:$G,Structure!$A:$AJ,T$1,0)*$H69,0))</f>
        <v>0</v>
      </c>
      <c r="U69" s="9">
        <f>SUM(IFERROR(VLOOKUP($C:$C,Structure!$A:$AJ,U$1,0)*$D69,0),IFERROR(VLOOKUP($E:$E,Structure!$A:$AJ,U$1,0)*$F69,0),IFERROR(VLOOKUP($G:$G,Structure!$A:$AJ,U$1,0)*$H69,0))</f>
        <v>0</v>
      </c>
      <c r="V69" s="9">
        <f>SUM(IFERROR(VLOOKUP($C:$C,Structure!$A:$AJ,V$1,0)*$D69,0),IFERROR(VLOOKUP($E:$E,Structure!$A:$AJ,V$1,0)*$F69,0),IFERROR(VLOOKUP($G:$G,Structure!$A:$AJ,V$1,0)*$H69,0))</f>
        <v>0</v>
      </c>
      <c r="W69" s="9">
        <f>SUM(IFERROR(VLOOKUP($C:$C,Structure!$A:$AJ,W$1,0)*$D69,0),IFERROR(VLOOKUP($E:$E,Structure!$A:$AJ,W$1,0)*$F69,0),IFERROR(VLOOKUP($G:$G,Structure!$A:$AJ,W$1,0)*$H69,0))</f>
        <v>0</v>
      </c>
      <c r="X69" s="9">
        <f>SUM(IFERROR(VLOOKUP($C:$C,Structure!$A:$AJ,X$1,0)*$D69,0),IFERROR(VLOOKUP($E:$E,Structure!$A:$AJ,X$1,0)*$F69,0),IFERROR(VLOOKUP($G:$G,Structure!$A:$AJ,X$1,0)*$H69,0))</f>
        <v>0</v>
      </c>
      <c r="Y69" s="9">
        <f>SUM(IFERROR(VLOOKUP($C:$C,Structure!$A:$AJ,Y$1,0)*$D69,0),IFERROR(VLOOKUP($E:$E,Structure!$A:$AJ,Y$1,0)*$F69,0),IFERROR(VLOOKUP($G:$G,Structure!$A:$AJ,Y$1,0)*$H69,0))</f>
        <v>0</v>
      </c>
      <c r="Z69" s="9">
        <f>SUM(IFERROR(VLOOKUP($C:$C,Structure!$A:$AJ,Z$1,0)*$D69,0),IFERROR(VLOOKUP($E:$E,Structure!$A:$AJ,Z$1,0)*$F69,0),IFERROR(VLOOKUP($G:$G,Structure!$A:$AJ,Z$1,0)*$H69,0))</f>
        <v>0</v>
      </c>
      <c r="AA69" s="9">
        <f>SUM(IFERROR(VLOOKUP($C:$C,Structure!$A:$AJ,AA$1,0)*$D69,0),IFERROR(VLOOKUP($E:$E,Structure!$A:$AJ,AA$1,0)*$F69,0),IFERROR(VLOOKUP($G:$G,Structure!$A:$AJ,AA$1,0)*$H69,0))</f>
        <v>0</v>
      </c>
      <c r="AB69" s="9">
        <f>SUM(IFERROR(VLOOKUP($C:$C,Structure!$A:$AJ,AB$1,0)*$D69,0),IFERROR(VLOOKUP($E:$E,Structure!$A:$AJ,AB$1,0)*$F69,0),IFERROR(VLOOKUP($G:$G,Structure!$A:$AJ,AB$1,0)*$H69,0))</f>
        <v>0</v>
      </c>
      <c r="AC69" s="9">
        <f>SUM(IFERROR(VLOOKUP($C:$C,Structure!$A:$AJ,AC$1,0)*$D69,0),IFERROR(VLOOKUP($E:$E,Structure!$A:$AJ,AC$1,0)*$F69,0),IFERROR(VLOOKUP($G:$G,Structure!$A:$AJ,AC$1,0)*$H69,0))</f>
        <v>0</v>
      </c>
      <c r="AD69" s="9">
        <f>SUM(IFERROR(VLOOKUP($C:$C,Structure!$A:$AJ,AD$1,0)*$D69,0),IFERROR(VLOOKUP($E:$E,Structure!$A:$AJ,AD$1,0)*$F69,0),IFERROR(VLOOKUP($G:$G,Structure!$A:$AJ,AD$1,0)*$H69,0))</f>
        <v>0</v>
      </c>
      <c r="AE69" s="9">
        <f>SUM(IFERROR(VLOOKUP($C:$C,Structure!$A:$AJ,AE$1,0)*$D69,0),IFERROR(VLOOKUP($E:$E,Structure!$A:$AJ,AE$1,0)*$F69,0),IFERROR(VLOOKUP($G:$G,Structure!$A:$AJ,AE$1,0)*$H69,0))</f>
        <v>0</v>
      </c>
      <c r="AF69" s="9">
        <f>SUM(IFERROR(VLOOKUP($C:$C,Structure!$A:$AJ,AF$1,0)*$D69,0),IFERROR(VLOOKUP($E:$E,Structure!$A:$AJ,AF$1,0)*$F69,0),IFERROR(VLOOKUP($G:$G,Structure!$A:$AJ,AF$1,0)*$H69,0))</f>
        <v>0</v>
      </c>
      <c r="AG69" s="9">
        <f>SUM(IFERROR(VLOOKUP($C:$C,Structure!$A:$AJ,AG$1,0)*$D69,0),IFERROR(VLOOKUP($E:$E,Structure!$A:$AJ,AG$1,0)*$F69,0),IFERROR(VLOOKUP($G:$G,Structure!$A:$AJ,AG$1,0)*$H69,0))</f>
        <v>0</v>
      </c>
      <c r="AH69" s="9">
        <f>SUM(IFERROR(VLOOKUP($C:$C,Structure!$A:$AJ,AH$1,0)*$D69,0),IFERROR(VLOOKUP($E:$E,Structure!$A:$AJ,AH$1,0)*$F69,0),IFERROR(VLOOKUP($G:$G,Structure!$A:$AJ,AH$1,0)*$H69,0))</f>
        <v>0</v>
      </c>
      <c r="AI69" s="9">
        <f>SUM(IFERROR(VLOOKUP($C:$C,Structure!$A:$AJ,AI$1,0)*$D69,0),IFERROR(VLOOKUP($E:$E,Structure!$A:$AJ,AI$1,0)*$F69,0),IFERROR(VLOOKUP($G:$G,Structure!$A:$AJ,AI$1,0)*$H69,0))</f>
        <v>0</v>
      </c>
      <c r="AJ69" s="9">
        <f>SUM(IFERROR(VLOOKUP($C:$C,Structure!$A:$AJ,AJ$1,0)*$D69,0),IFERROR(VLOOKUP($E:$E,Structure!$A:$AJ,AJ$1,0)*$F69,0),IFERROR(VLOOKUP($G:$G,Structure!$A:$AJ,AJ$1,0)*$H69,0))</f>
        <v>0</v>
      </c>
      <c r="AK69" s="9">
        <f>SUM(IFERROR(VLOOKUP($C:$C,Structure!$A:$AJ,AK$1,0)*$D69,0),IFERROR(VLOOKUP($E:$E,Structure!$A:$AJ,AK$1,0)*$F69,0),IFERROR(VLOOKUP($G:$G,Structure!$A:$AJ,AK$1,0)*$H69,0))</f>
        <v>0</v>
      </c>
      <c r="AL69" s="9">
        <f>SUM(IFERROR(VLOOKUP($C:$C,Structure!$A:$AJ,AL$1,0)*$D69,0),IFERROR(VLOOKUP($E:$E,Structure!$A:$AJ,AL$1,0)*$F69,0),IFERROR(VLOOKUP($G:$G,Structure!$A:$AJ,AL$1,0)*$H69,0))</f>
        <v>0</v>
      </c>
      <c r="AM69" s="9">
        <f>SUM(IFERROR(VLOOKUP($C:$C,Structure!$A:$AJ,AM$1,0)*$D69,0),IFERROR(VLOOKUP($E:$E,Structure!$A:$AJ,AM$1,0)*$F69,0),IFERROR(VLOOKUP($G:$G,Structure!$A:$AJ,AM$1,0)*$H69,0))</f>
        <v>0</v>
      </c>
      <c r="AN69" s="9">
        <f>SUM(IFERROR(VLOOKUP($C:$C,Structure!$A:$AJ,AN$1,0)*$D69,0),IFERROR(VLOOKUP($E:$E,Structure!$A:$AJ,AN$1,0)*$F69,0),IFERROR(VLOOKUP($G:$G,Structure!$A:$AJ,AN$1,0)*$H69,0))</f>
        <v>0</v>
      </c>
      <c r="AO69" s="9">
        <f>SUM(IFERROR(VLOOKUP($C:$C,Structure!$A:$AJ,AO$1,0)*$D69,0),IFERROR(VLOOKUP($E:$E,Structure!$A:$AJ,AO$1,0)*$F69,0),IFERROR(VLOOKUP($G:$G,Structure!$A:$AJ,AO$1,0)*$H69,0))</f>
        <v>0</v>
      </c>
      <c r="AP69" s="9">
        <f>SUM(IFERROR(VLOOKUP($C:$C,Structure!$A:$AJ,AP$1,0)*$D69,0),IFERROR(VLOOKUP($E:$E,Structure!$A:$AJ,AP$1,0)*$F69,0),IFERROR(VLOOKUP($G:$G,Structure!$A:$AJ,AP$1,0)*$H69,0))</f>
        <v>0</v>
      </c>
      <c r="AQ69" s="9">
        <f>SUM(IFERROR(VLOOKUP($C:$C,Structure!$A:$AJ,AQ$1,0)*$D69,0),IFERROR(VLOOKUP($E:$E,Structure!$A:$AJ,AQ$1,0)*$F69,0),IFERROR(VLOOKUP($G:$G,Structure!$A:$AJ,AQ$1,0)*$H69,0))</f>
        <v>0</v>
      </c>
      <c r="AR69" s="21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4">
        <f t="shared" ref="CD69:CD100" si="92">CD68+AU69-I69</f>
        <v>0</v>
      </c>
      <c r="CE69" s="4">
        <f t="shared" ref="CE69:CE100" si="93">CE68+AV69-J69</f>
        <v>109</v>
      </c>
      <c r="CF69" s="4">
        <f t="shared" ref="CF69:CF100" si="94">CF68+AW69-K69</f>
        <v>4</v>
      </c>
      <c r="CG69" s="4">
        <f t="shared" ref="CG69:CG100" si="95">CG68+AX69-L69</f>
        <v>23</v>
      </c>
      <c r="CH69" s="4">
        <f t="shared" ref="CH69:CH100" si="96">CH68+AY69-M69</f>
        <v>1</v>
      </c>
      <c r="CI69" s="4">
        <f t="shared" ref="CI69:CI100" si="97">CI68+AZ69-N69</f>
        <v>51</v>
      </c>
      <c r="CJ69" s="4">
        <f t="shared" ref="CJ69:CJ100" si="98">CJ68+BA69-O69</f>
        <v>-58</v>
      </c>
      <c r="CK69" s="4">
        <f t="shared" ref="CK69:CK100" si="99">CK68+BB69-P69</f>
        <v>238</v>
      </c>
      <c r="CL69" s="4">
        <f t="shared" ref="CL69:CL100" si="100">CL68+BC69-Q69</f>
        <v>0</v>
      </c>
      <c r="CM69" s="4">
        <f t="shared" ref="CM69:CM100" si="101">CM68+BD69-R69</f>
        <v>4</v>
      </c>
      <c r="CN69" s="4">
        <f t="shared" ref="CN69:CN100" si="102">CN68+BE69-S69</f>
        <v>-20</v>
      </c>
      <c r="CO69" s="4">
        <f t="shared" ref="CO69:CO100" si="103">CO68+BF69-T69</f>
        <v>0</v>
      </c>
      <c r="CP69" s="4">
        <f t="shared" ref="CP69:CP100" si="104">CP68+BG69-U69</f>
        <v>3</v>
      </c>
      <c r="CQ69" s="4">
        <f t="shared" ref="CQ69:CQ100" si="105">CQ68+BH69-V69</f>
        <v>-153</v>
      </c>
      <c r="CR69" s="4">
        <f t="shared" ref="CR69:CR100" si="106">CR68+BI69-W69</f>
        <v>34</v>
      </c>
      <c r="CS69" s="4">
        <f t="shared" ref="CS69:CS100" si="107">CS68+BJ69-X69</f>
        <v>0</v>
      </c>
      <c r="CT69" s="4">
        <f t="shared" ref="CT69:CT100" si="108">CT68+BK69-Y69</f>
        <v>0</v>
      </c>
      <c r="CU69" s="4">
        <f t="shared" ref="CU69:CU100" si="109">CU68+BL69-Z69</f>
        <v>0</v>
      </c>
      <c r="CV69" s="4">
        <f t="shared" ref="CV69:CV100" si="110">CV68+BM69-AA69</f>
        <v>0</v>
      </c>
      <c r="CW69" s="4">
        <f t="shared" ref="CW69:CW100" si="111">CW68+BN69-AB69</f>
        <v>0</v>
      </c>
      <c r="CX69" s="4">
        <f t="shared" ref="CX69:CX100" si="112">CX68+BO69-AC69</f>
        <v>-135</v>
      </c>
      <c r="CY69" s="4">
        <f t="shared" ref="CY69:CY100" si="113">CY68+BP69-AD69</f>
        <v>0</v>
      </c>
      <c r="CZ69" s="4">
        <f t="shared" ref="CZ69:CZ100" si="114">CZ68+BQ69-AE69</f>
        <v>0</v>
      </c>
      <c r="DA69" s="4">
        <f t="shared" ref="DA69:DA100" si="115">DA68+BR69-AF69</f>
        <v>0</v>
      </c>
      <c r="DB69" s="4">
        <f t="shared" ref="DB69:DB100" si="116">DB68+BS69-AG69</f>
        <v>0</v>
      </c>
      <c r="DC69" s="4">
        <f t="shared" ref="DC69:DC100" si="117">DC68+BT69-AH69</f>
        <v>0</v>
      </c>
      <c r="DD69" s="4">
        <f t="shared" ref="DD69:DD100" si="118">DD68+BU69-AI69</f>
        <v>0</v>
      </c>
      <c r="DE69" s="4">
        <f t="shared" ref="DE69:DE100" si="119">DE68+BV69-AJ69</f>
        <v>0</v>
      </c>
      <c r="DF69" s="4">
        <f t="shared" ref="DF69:DF100" si="120">DF68+BW69-AK69</f>
        <v>0</v>
      </c>
      <c r="DG69" s="4">
        <f t="shared" ref="DG69:DG100" si="121">DG68+BX69-AL69</f>
        <v>0</v>
      </c>
      <c r="DH69" s="4">
        <f t="shared" ref="DH69:DH100" si="122">DH68+BY69-AM69</f>
        <v>0</v>
      </c>
      <c r="DI69" s="4">
        <f t="shared" ref="DI69:DI100" si="123">DI68+BZ69-AN69</f>
        <v>0</v>
      </c>
      <c r="DJ69" s="4">
        <f t="shared" ref="DJ69:DJ100" si="124">DJ68+CA69-AO69</f>
        <v>0</v>
      </c>
      <c r="DK69" s="4">
        <f t="shared" ref="DK69:DK100" si="125">DK68+CB69-AP69</f>
        <v>0</v>
      </c>
      <c r="DL69" s="4">
        <f t="shared" ref="DL69:DL100" si="126">DL68+CC69-AQ69</f>
        <v>0</v>
      </c>
    </row>
    <row r="70" spans="1:116" x14ac:dyDescent="0.25">
      <c r="A70" s="5">
        <v>46184</v>
      </c>
      <c r="B70" s="6">
        <v>0.70833333349582972</v>
      </c>
      <c r="C70" s="3"/>
      <c r="D70" s="3"/>
      <c r="E70" s="3" t="s">
        <v>40</v>
      </c>
      <c r="F70" s="3">
        <v>8</v>
      </c>
      <c r="G70" s="3"/>
      <c r="H70" s="9"/>
      <c r="I70" s="9">
        <f>SUM(IFERROR(VLOOKUP($C:$C,Structure!$A:$AJ,I$1,0)*$D70,0),IFERROR(VLOOKUP($E:$E,Structure!$A:$AJ,I$1,0)*$F70,0),IFERROR(VLOOKUP($G:$G,Structure!$A:$AJ,I$1,0)*$H70,0))</f>
        <v>0</v>
      </c>
      <c r="J70" s="9">
        <f>SUM(IFERROR(VLOOKUP($C:$C,Structure!$A:$AJ,J$1,0)*$D70,0),IFERROR(VLOOKUP($E:$E,Structure!$A:$AJ,J$1,0)*$F70,0),IFERROR(VLOOKUP($G:$G,Structure!$A:$AJ,J$1,0)*$H70,0))</f>
        <v>8</v>
      </c>
      <c r="K70" s="9">
        <f>SUM(IFERROR(VLOOKUP($C:$C,Structure!$A:$AJ,K$1,0)*$D70,0),IFERROR(VLOOKUP($E:$E,Structure!$A:$AJ,K$1,0)*$F70,0),IFERROR(VLOOKUP($G:$G,Structure!$A:$AJ,K$1,0)*$H70,0))</f>
        <v>0</v>
      </c>
      <c r="L70" s="9">
        <f>SUM(IFERROR(VLOOKUP($C:$C,Structure!$A:$AJ,L$1,0)*$D70,0),IFERROR(VLOOKUP($E:$E,Structure!$A:$AJ,L$1,0)*$F70,0),IFERROR(VLOOKUP($G:$G,Structure!$A:$AJ,L$1,0)*$H70,0))</f>
        <v>0</v>
      </c>
      <c r="M70" s="9">
        <f>SUM(IFERROR(VLOOKUP($C:$C,Structure!$A:$AJ,M$1,0)*$D70,0),IFERROR(VLOOKUP($E:$E,Structure!$A:$AJ,M$1,0)*$F70,0),IFERROR(VLOOKUP($G:$G,Structure!$A:$AJ,M$1,0)*$H70,0))</f>
        <v>0</v>
      </c>
      <c r="N70" s="9">
        <f>SUM(IFERROR(VLOOKUP($C:$C,Structure!$A:$AJ,N$1,0)*$D70,0),IFERROR(VLOOKUP($E:$E,Structure!$A:$AJ,N$1,0)*$F70,0),IFERROR(VLOOKUP($G:$G,Structure!$A:$AJ,N$1,0)*$H70,0))</f>
        <v>0</v>
      </c>
      <c r="O70" s="9">
        <f>SUM(IFERROR(VLOOKUP($C:$C,Structure!$A:$AJ,O$1,0)*$D70,0),IFERROR(VLOOKUP($E:$E,Structure!$A:$AJ,O$1,0)*$F70,0),IFERROR(VLOOKUP($G:$G,Structure!$A:$AJ,O$1,0)*$H70,0))</f>
        <v>0</v>
      </c>
      <c r="P70" s="9">
        <f>SUM(IFERROR(VLOOKUP($C:$C,Structure!$A:$AJ,P$1,0)*$D70,0),IFERROR(VLOOKUP($E:$E,Structure!$A:$AJ,P$1,0)*$F70,0),IFERROR(VLOOKUP($G:$G,Structure!$A:$AJ,P$1,0)*$H70,0))</f>
        <v>8</v>
      </c>
      <c r="Q70" s="9">
        <f>SUM(IFERROR(VLOOKUP($C:$C,Structure!$A:$AJ,Q$1,0)*$D70,0),IFERROR(VLOOKUP($E:$E,Structure!$A:$AJ,Q$1,0)*$F70,0),IFERROR(VLOOKUP($G:$G,Structure!$A:$AJ,Q$1,0)*$H70,0))</f>
        <v>0</v>
      </c>
      <c r="R70" s="9">
        <f>SUM(IFERROR(VLOOKUP($C:$C,Structure!$A:$AJ,R$1,0)*$D70,0),IFERROR(VLOOKUP($E:$E,Structure!$A:$AJ,R$1,0)*$F70,0),IFERROR(VLOOKUP($G:$G,Structure!$A:$AJ,R$1,0)*$H70,0))</f>
        <v>0</v>
      </c>
      <c r="S70" s="9">
        <f>SUM(IFERROR(VLOOKUP($C:$C,Structure!$A:$AJ,S$1,0)*$D70,0),IFERROR(VLOOKUP($E:$E,Structure!$A:$AJ,S$1,0)*$F70,0),IFERROR(VLOOKUP($G:$G,Structure!$A:$AJ,S$1,0)*$H70,0))</f>
        <v>0</v>
      </c>
      <c r="T70" s="9">
        <f>SUM(IFERROR(VLOOKUP($C:$C,Structure!$A:$AJ,T$1,0)*$D70,0),IFERROR(VLOOKUP($E:$E,Structure!$A:$AJ,T$1,0)*$F70,0),IFERROR(VLOOKUP($G:$G,Structure!$A:$AJ,T$1,0)*$H70,0))</f>
        <v>0</v>
      </c>
      <c r="U70" s="9">
        <f>SUM(IFERROR(VLOOKUP($C:$C,Structure!$A:$AJ,U$1,0)*$D70,0),IFERROR(VLOOKUP($E:$E,Structure!$A:$AJ,U$1,0)*$F70,0),IFERROR(VLOOKUP($G:$G,Structure!$A:$AJ,U$1,0)*$H70,0))</f>
        <v>0</v>
      </c>
      <c r="V70" s="9">
        <f>SUM(IFERROR(VLOOKUP($C:$C,Structure!$A:$AJ,V$1,0)*$D70,0),IFERROR(VLOOKUP($E:$E,Structure!$A:$AJ,V$1,0)*$F70,0),IFERROR(VLOOKUP($G:$G,Structure!$A:$AJ,V$1,0)*$H70,0))</f>
        <v>0</v>
      </c>
      <c r="W70" s="9">
        <f>SUM(IFERROR(VLOOKUP($C:$C,Structure!$A:$AJ,W$1,0)*$D70,0),IFERROR(VLOOKUP($E:$E,Structure!$A:$AJ,W$1,0)*$F70,0),IFERROR(VLOOKUP($G:$G,Structure!$A:$AJ,W$1,0)*$H70,0))</f>
        <v>0</v>
      </c>
      <c r="X70" s="9">
        <f>SUM(IFERROR(VLOOKUP($C:$C,Structure!$A:$AJ,X$1,0)*$D70,0),IFERROR(VLOOKUP($E:$E,Structure!$A:$AJ,X$1,0)*$F70,0),IFERROR(VLOOKUP($G:$G,Structure!$A:$AJ,X$1,0)*$H70,0))</f>
        <v>0</v>
      </c>
      <c r="Y70" s="9">
        <f>SUM(IFERROR(VLOOKUP($C:$C,Structure!$A:$AJ,Y$1,0)*$D70,0),IFERROR(VLOOKUP($E:$E,Structure!$A:$AJ,Y$1,0)*$F70,0),IFERROR(VLOOKUP($G:$G,Structure!$A:$AJ,Y$1,0)*$H70,0))</f>
        <v>0</v>
      </c>
      <c r="Z70" s="9">
        <f>SUM(IFERROR(VLOOKUP($C:$C,Structure!$A:$AJ,Z$1,0)*$D70,0),IFERROR(VLOOKUP($E:$E,Structure!$A:$AJ,Z$1,0)*$F70,0),IFERROR(VLOOKUP($G:$G,Structure!$A:$AJ,Z$1,0)*$H70,0))</f>
        <v>0</v>
      </c>
      <c r="AA70" s="9">
        <f>SUM(IFERROR(VLOOKUP($C:$C,Structure!$A:$AJ,AA$1,0)*$D70,0),IFERROR(VLOOKUP($E:$E,Structure!$A:$AJ,AA$1,0)*$F70,0),IFERROR(VLOOKUP($G:$G,Structure!$A:$AJ,AA$1,0)*$H70,0))</f>
        <v>0</v>
      </c>
      <c r="AB70" s="9">
        <f>SUM(IFERROR(VLOOKUP($C:$C,Structure!$A:$AJ,AB$1,0)*$D70,0),IFERROR(VLOOKUP($E:$E,Structure!$A:$AJ,AB$1,0)*$F70,0),IFERROR(VLOOKUP($G:$G,Structure!$A:$AJ,AB$1,0)*$H70,0))</f>
        <v>0</v>
      </c>
      <c r="AC70" s="9">
        <f>SUM(IFERROR(VLOOKUP($C:$C,Structure!$A:$AJ,AC$1,0)*$D70,0),IFERROR(VLOOKUP($E:$E,Structure!$A:$AJ,AC$1,0)*$F70,0),IFERROR(VLOOKUP($G:$G,Structure!$A:$AJ,AC$1,0)*$H70,0))</f>
        <v>0</v>
      </c>
      <c r="AD70" s="9">
        <f>SUM(IFERROR(VLOOKUP($C:$C,Structure!$A:$AJ,AD$1,0)*$D70,0),IFERROR(VLOOKUP($E:$E,Structure!$A:$AJ,AD$1,0)*$F70,0),IFERROR(VLOOKUP($G:$G,Structure!$A:$AJ,AD$1,0)*$H70,0))</f>
        <v>0</v>
      </c>
      <c r="AE70" s="9">
        <f>SUM(IFERROR(VLOOKUP($C:$C,Structure!$A:$AJ,AE$1,0)*$D70,0),IFERROR(VLOOKUP($E:$E,Structure!$A:$AJ,AE$1,0)*$F70,0),IFERROR(VLOOKUP($G:$G,Structure!$A:$AJ,AE$1,0)*$H70,0))</f>
        <v>0</v>
      </c>
      <c r="AF70" s="9">
        <f>SUM(IFERROR(VLOOKUP($C:$C,Structure!$A:$AJ,AF$1,0)*$D70,0),IFERROR(VLOOKUP($E:$E,Structure!$A:$AJ,AF$1,0)*$F70,0),IFERROR(VLOOKUP($G:$G,Structure!$A:$AJ,AF$1,0)*$H70,0))</f>
        <v>0</v>
      </c>
      <c r="AG70" s="9">
        <f>SUM(IFERROR(VLOOKUP($C:$C,Structure!$A:$AJ,AG$1,0)*$D70,0),IFERROR(VLOOKUP($E:$E,Structure!$A:$AJ,AG$1,0)*$F70,0),IFERROR(VLOOKUP($G:$G,Structure!$A:$AJ,AG$1,0)*$H70,0))</f>
        <v>0</v>
      </c>
      <c r="AH70" s="9">
        <f>SUM(IFERROR(VLOOKUP($C:$C,Structure!$A:$AJ,AH$1,0)*$D70,0),IFERROR(VLOOKUP($E:$E,Structure!$A:$AJ,AH$1,0)*$F70,0),IFERROR(VLOOKUP($G:$G,Structure!$A:$AJ,AH$1,0)*$H70,0))</f>
        <v>0</v>
      </c>
      <c r="AI70" s="9">
        <f>SUM(IFERROR(VLOOKUP($C:$C,Structure!$A:$AJ,AI$1,0)*$D70,0),IFERROR(VLOOKUP($E:$E,Structure!$A:$AJ,AI$1,0)*$F70,0),IFERROR(VLOOKUP($G:$G,Structure!$A:$AJ,AI$1,0)*$H70,0))</f>
        <v>0</v>
      </c>
      <c r="AJ70" s="9">
        <f>SUM(IFERROR(VLOOKUP($C:$C,Structure!$A:$AJ,AJ$1,0)*$D70,0),IFERROR(VLOOKUP($E:$E,Structure!$A:$AJ,AJ$1,0)*$F70,0),IFERROR(VLOOKUP($G:$G,Structure!$A:$AJ,AJ$1,0)*$H70,0))</f>
        <v>0</v>
      </c>
      <c r="AK70" s="9">
        <f>SUM(IFERROR(VLOOKUP($C:$C,Structure!$A:$AJ,AK$1,0)*$D70,0),IFERROR(VLOOKUP($E:$E,Structure!$A:$AJ,AK$1,0)*$F70,0),IFERROR(VLOOKUP($G:$G,Structure!$A:$AJ,AK$1,0)*$H70,0))</f>
        <v>0</v>
      </c>
      <c r="AL70" s="9">
        <f>SUM(IFERROR(VLOOKUP($C:$C,Structure!$A:$AJ,AL$1,0)*$D70,0),IFERROR(VLOOKUP($E:$E,Structure!$A:$AJ,AL$1,0)*$F70,0),IFERROR(VLOOKUP($G:$G,Structure!$A:$AJ,AL$1,0)*$H70,0))</f>
        <v>0</v>
      </c>
      <c r="AM70" s="9">
        <f>SUM(IFERROR(VLOOKUP($C:$C,Structure!$A:$AJ,AM$1,0)*$D70,0),IFERROR(VLOOKUP($E:$E,Structure!$A:$AJ,AM$1,0)*$F70,0),IFERROR(VLOOKUP($G:$G,Structure!$A:$AJ,AM$1,0)*$H70,0))</f>
        <v>0</v>
      </c>
      <c r="AN70" s="9">
        <f>SUM(IFERROR(VLOOKUP($C:$C,Structure!$A:$AJ,AN$1,0)*$D70,0),IFERROR(VLOOKUP($E:$E,Structure!$A:$AJ,AN$1,0)*$F70,0),IFERROR(VLOOKUP($G:$G,Structure!$A:$AJ,AN$1,0)*$H70,0))</f>
        <v>0</v>
      </c>
      <c r="AO70" s="9">
        <f>SUM(IFERROR(VLOOKUP($C:$C,Structure!$A:$AJ,AO$1,0)*$D70,0),IFERROR(VLOOKUP($E:$E,Structure!$A:$AJ,AO$1,0)*$F70,0),IFERROR(VLOOKUP($G:$G,Structure!$A:$AJ,AO$1,0)*$H70,0))</f>
        <v>0</v>
      </c>
      <c r="AP70" s="9">
        <f>SUM(IFERROR(VLOOKUP($C:$C,Structure!$A:$AJ,AP$1,0)*$D70,0),IFERROR(VLOOKUP($E:$E,Structure!$A:$AJ,AP$1,0)*$F70,0),IFERROR(VLOOKUP($G:$G,Structure!$A:$AJ,AP$1,0)*$H70,0))</f>
        <v>0</v>
      </c>
      <c r="AQ70" s="9">
        <f>SUM(IFERROR(VLOOKUP($C:$C,Structure!$A:$AJ,AQ$1,0)*$D70,0),IFERROR(VLOOKUP($E:$E,Structure!$A:$AJ,AQ$1,0)*$F70,0),IFERROR(VLOOKUP($G:$G,Structure!$A:$AJ,AQ$1,0)*$H70,0))</f>
        <v>0</v>
      </c>
      <c r="AR70" s="21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4">
        <f t="shared" si="92"/>
        <v>0</v>
      </c>
      <c r="CE70" s="4">
        <f t="shared" si="93"/>
        <v>101</v>
      </c>
      <c r="CF70" s="4">
        <f t="shared" si="94"/>
        <v>4</v>
      </c>
      <c r="CG70" s="4">
        <f t="shared" si="95"/>
        <v>23</v>
      </c>
      <c r="CH70" s="4">
        <f t="shared" si="96"/>
        <v>1</v>
      </c>
      <c r="CI70" s="4">
        <f t="shared" si="97"/>
        <v>51</v>
      </c>
      <c r="CJ70" s="4">
        <f t="shared" si="98"/>
        <v>-58</v>
      </c>
      <c r="CK70" s="4">
        <f t="shared" si="99"/>
        <v>230</v>
      </c>
      <c r="CL70" s="4">
        <f t="shared" si="100"/>
        <v>0</v>
      </c>
      <c r="CM70" s="4">
        <f t="shared" si="101"/>
        <v>4</v>
      </c>
      <c r="CN70" s="4">
        <f t="shared" si="102"/>
        <v>-20</v>
      </c>
      <c r="CO70" s="4">
        <f t="shared" si="103"/>
        <v>0</v>
      </c>
      <c r="CP70" s="4">
        <f t="shared" si="104"/>
        <v>3</v>
      </c>
      <c r="CQ70" s="4">
        <f t="shared" si="105"/>
        <v>-153</v>
      </c>
      <c r="CR70" s="4">
        <f t="shared" si="106"/>
        <v>34</v>
      </c>
      <c r="CS70" s="4">
        <f t="shared" si="107"/>
        <v>0</v>
      </c>
      <c r="CT70" s="4">
        <f t="shared" si="108"/>
        <v>0</v>
      </c>
      <c r="CU70" s="4">
        <f t="shared" si="109"/>
        <v>0</v>
      </c>
      <c r="CV70" s="4">
        <f t="shared" si="110"/>
        <v>0</v>
      </c>
      <c r="CW70" s="4">
        <f t="shared" si="111"/>
        <v>0</v>
      </c>
      <c r="CX70" s="4">
        <f t="shared" si="112"/>
        <v>-135</v>
      </c>
      <c r="CY70" s="4">
        <f t="shared" si="113"/>
        <v>0</v>
      </c>
      <c r="CZ70" s="4">
        <f t="shared" si="114"/>
        <v>0</v>
      </c>
      <c r="DA70" s="4">
        <f t="shared" si="115"/>
        <v>0</v>
      </c>
      <c r="DB70" s="4">
        <f t="shared" si="116"/>
        <v>0</v>
      </c>
      <c r="DC70" s="4">
        <f t="shared" si="117"/>
        <v>0</v>
      </c>
      <c r="DD70" s="4">
        <f t="shared" si="118"/>
        <v>0</v>
      </c>
      <c r="DE70" s="4">
        <f t="shared" si="119"/>
        <v>0</v>
      </c>
      <c r="DF70" s="4">
        <f t="shared" si="120"/>
        <v>0</v>
      </c>
      <c r="DG70" s="4">
        <f t="shared" si="121"/>
        <v>0</v>
      </c>
      <c r="DH70" s="4">
        <f t="shared" si="122"/>
        <v>0</v>
      </c>
      <c r="DI70" s="4">
        <f t="shared" si="123"/>
        <v>0</v>
      </c>
      <c r="DJ70" s="4">
        <f t="shared" si="124"/>
        <v>0</v>
      </c>
      <c r="DK70" s="4">
        <f t="shared" si="125"/>
        <v>0</v>
      </c>
      <c r="DL70" s="4">
        <f t="shared" si="126"/>
        <v>0</v>
      </c>
    </row>
    <row r="71" spans="1:116" x14ac:dyDescent="0.25">
      <c r="A71" s="5">
        <v>46184</v>
      </c>
      <c r="B71" s="6">
        <v>0.72916666683158837</v>
      </c>
      <c r="C71" s="3"/>
      <c r="D71" s="3"/>
      <c r="E71" s="3" t="s">
        <v>40</v>
      </c>
      <c r="F71" s="3">
        <v>8</v>
      </c>
      <c r="G71" s="3"/>
      <c r="H71" s="9"/>
      <c r="I71" s="9">
        <f>SUM(IFERROR(VLOOKUP($C:$C,Structure!$A:$AJ,I$1,0)*$D71,0),IFERROR(VLOOKUP($E:$E,Structure!$A:$AJ,I$1,0)*$F71,0),IFERROR(VLOOKUP($G:$G,Structure!$A:$AJ,I$1,0)*$H71,0))</f>
        <v>0</v>
      </c>
      <c r="J71" s="9">
        <f>SUM(IFERROR(VLOOKUP($C:$C,Structure!$A:$AJ,J$1,0)*$D71,0),IFERROR(VLOOKUP($E:$E,Structure!$A:$AJ,J$1,0)*$F71,0),IFERROR(VLOOKUP($G:$G,Structure!$A:$AJ,J$1,0)*$H71,0))</f>
        <v>8</v>
      </c>
      <c r="K71" s="9">
        <f>SUM(IFERROR(VLOOKUP($C:$C,Structure!$A:$AJ,K$1,0)*$D71,0),IFERROR(VLOOKUP($E:$E,Structure!$A:$AJ,K$1,0)*$F71,0),IFERROR(VLOOKUP($G:$G,Structure!$A:$AJ,K$1,0)*$H71,0))</f>
        <v>0</v>
      </c>
      <c r="L71" s="9">
        <f>SUM(IFERROR(VLOOKUP($C:$C,Structure!$A:$AJ,L$1,0)*$D71,0),IFERROR(VLOOKUP($E:$E,Structure!$A:$AJ,L$1,0)*$F71,0),IFERROR(VLOOKUP($G:$G,Structure!$A:$AJ,L$1,0)*$H71,0))</f>
        <v>0</v>
      </c>
      <c r="M71" s="9">
        <f>SUM(IFERROR(VLOOKUP($C:$C,Structure!$A:$AJ,M$1,0)*$D71,0),IFERROR(VLOOKUP($E:$E,Structure!$A:$AJ,M$1,0)*$F71,0),IFERROR(VLOOKUP($G:$G,Structure!$A:$AJ,M$1,0)*$H71,0))</f>
        <v>0</v>
      </c>
      <c r="N71" s="9">
        <f>SUM(IFERROR(VLOOKUP($C:$C,Structure!$A:$AJ,N$1,0)*$D71,0),IFERROR(VLOOKUP($E:$E,Structure!$A:$AJ,N$1,0)*$F71,0),IFERROR(VLOOKUP($G:$G,Structure!$A:$AJ,N$1,0)*$H71,0))</f>
        <v>0</v>
      </c>
      <c r="O71" s="9">
        <f>SUM(IFERROR(VLOOKUP($C:$C,Structure!$A:$AJ,O$1,0)*$D71,0),IFERROR(VLOOKUP($E:$E,Structure!$A:$AJ,O$1,0)*$F71,0),IFERROR(VLOOKUP($G:$G,Structure!$A:$AJ,O$1,0)*$H71,0))</f>
        <v>0</v>
      </c>
      <c r="P71" s="9">
        <f>SUM(IFERROR(VLOOKUP($C:$C,Structure!$A:$AJ,P$1,0)*$D71,0),IFERROR(VLOOKUP($E:$E,Structure!$A:$AJ,P$1,0)*$F71,0),IFERROR(VLOOKUP($G:$G,Structure!$A:$AJ,P$1,0)*$H71,0))</f>
        <v>8</v>
      </c>
      <c r="Q71" s="9">
        <f>SUM(IFERROR(VLOOKUP($C:$C,Structure!$A:$AJ,Q$1,0)*$D71,0),IFERROR(VLOOKUP($E:$E,Structure!$A:$AJ,Q$1,0)*$F71,0),IFERROR(VLOOKUP($G:$G,Structure!$A:$AJ,Q$1,0)*$H71,0))</f>
        <v>0</v>
      </c>
      <c r="R71" s="9">
        <f>SUM(IFERROR(VLOOKUP($C:$C,Structure!$A:$AJ,R$1,0)*$D71,0),IFERROR(VLOOKUP($E:$E,Structure!$A:$AJ,R$1,0)*$F71,0),IFERROR(VLOOKUP($G:$G,Structure!$A:$AJ,R$1,0)*$H71,0))</f>
        <v>0</v>
      </c>
      <c r="S71" s="9">
        <f>SUM(IFERROR(VLOOKUP($C:$C,Structure!$A:$AJ,S$1,0)*$D71,0),IFERROR(VLOOKUP($E:$E,Structure!$A:$AJ,S$1,0)*$F71,0),IFERROR(VLOOKUP($G:$G,Structure!$A:$AJ,S$1,0)*$H71,0))</f>
        <v>0</v>
      </c>
      <c r="T71" s="9">
        <f>SUM(IFERROR(VLOOKUP($C:$C,Structure!$A:$AJ,T$1,0)*$D71,0),IFERROR(VLOOKUP($E:$E,Structure!$A:$AJ,T$1,0)*$F71,0),IFERROR(VLOOKUP($G:$G,Structure!$A:$AJ,T$1,0)*$H71,0))</f>
        <v>0</v>
      </c>
      <c r="U71" s="9">
        <f>SUM(IFERROR(VLOOKUP($C:$C,Structure!$A:$AJ,U$1,0)*$D71,0),IFERROR(VLOOKUP($E:$E,Structure!$A:$AJ,U$1,0)*$F71,0),IFERROR(VLOOKUP($G:$G,Structure!$A:$AJ,U$1,0)*$H71,0))</f>
        <v>0</v>
      </c>
      <c r="V71" s="9">
        <f>SUM(IFERROR(VLOOKUP($C:$C,Structure!$A:$AJ,V$1,0)*$D71,0),IFERROR(VLOOKUP($E:$E,Structure!$A:$AJ,V$1,0)*$F71,0),IFERROR(VLOOKUP($G:$G,Structure!$A:$AJ,V$1,0)*$H71,0))</f>
        <v>0</v>
      </c>
      <c r="W71" s="9">
        <f>SUM(IFERROR(VLOOKUP($C:$C,Structure!$A:$AJ,W$1,0)*$D71,0),IFERROR(VLOOKUP($E:$E,Structure!$A:$AJ,W$1,0)*$F71,0),IFERROR(VLOOKUP($G:$G,Structure!$A:$AJ,W$1,0)*$H71,0))</f>
        <v>0</v>
      </c>
      <c r="X71" s="9">
        <f>SUM(IFERROR(VLOOKUP($C:$C,Structure!$A:$AJ,X$1,0)*$D71,0),IFERROR(VLOOKUP($E:$E,Structure!$A:$AJ,X$1,0)*$F71,0),IFERROR(VLOOKUP($G:$G,Structure!$A:$AJ,X$1,0)*$H71,0))</f>
        <v>0</v>
      </c>
      <c r="Y71" s="9">
        <f>SUM(IFERROR(VLOOKUP($C:$C,Structure!$A:$AJ,Y$1,0)*$D71,0),IFERROR(VLOOKUP($E:$E,Structure!$A:$AJ,Y$1,0)*$F71,0),IFERROR(VLOOKUP($G:$G,Structure!$A:$AJ,Y$1,0)*$H71,0))</f>
        <v>0</v>
      </c>
      <c r="Z71" s="9">
        <f>SUM(IFERROR(VLOOKUP($C:$C,Structure!$A:$AJ,Z$1,0)*$D71,0),IFERROR(VLOOKUP($E:$E,Structure!$A:$AJ,Z$1,0)*$F71,0),IFERROR(VLOOKUP($G:$G,Structure!$A:$AJ,Z$1,0)*$H71,0))</f>
        <v>0</v>
      </c>
      <c r="AA71" s="9">
        <f>SUM(IFERROR(VLOOKUP($C:$C,Structure!$A:$AJ,AA$1,0)*$D71,0),IFERROR(VLOOKUP($E:$E,Structure!$A:$AJ,AA$1,0)*$F71,0),IFERROR(VLOOKUP($G:$G,Structure!$A:$AJ,AA$1,0)*$H71,0))</f>
        <v>0</v>
      </c>
      <c r="AB71" s="9">
        <f>SUM(IFERROR(VLOOKUP($C:$C,Structure!$A:$AJ,AB$1,0)*$D71,0),IFERROR(VLOOKUP($E:$E,Structure!$A:$AJ,AB$1,0)*$F71,0),IFERROR(VLOOKUP($G:$G,Structure!$A:$AJ,AB$1,0)*$H71,0))</f>
        <v>0</v>
      </c>
      <c r="AC71" s="9">
        <f>SUM(IFERROR(VLOOKUP($C:$C,Structure!$A:$AJ,AC$1,0)*$D71,0),IFERROR(VLOOKUP($E:$E,Structure!$A:$AJ,AC$1,0)*$F71,0),IFERROR(VLOOKUP($G:$G,Structure!$A:$AJ,AC$1,0)*$H71,0))</f>
        <v>0</v>
      </c>
      <c r="AD71" s="9">
        <f>SUM(IFERROR(VLOOKUP($C:$C,Structure!$A:$AJ,AD$1,0)*$D71,0),IFERROR(VLOOKUP($E:$E,Structure!$A:$AJ,AD$1,0)*$F71,0),IFERROR(VLOOKUP($G:$G,Structure!$A:$AJ,AD$1,0)*$H71,0))</f>
        <v>0</v>
      </c>
      <c r="AE71" s="9">
        <f>SUM(IFERROR(VLOOKUP($C:$C,Structure!$A:$AJ,AE$1,0)*$D71,0),IFERROR(VLOOKUP($E:$E,Structure!$A:$AJ,AE$1,0)*$F71,0),IFERROR(VLOOKUP($G:$G,Structure!$A:$AJ,AE$1,0)*$H71,0))</f>
        <v>0</v>
      </c>
      <c r="AF71" s="9">
        <f>SUM(IFERROR(VLOOKUP($C:$C,Structure!$A:$AJ,AF$1,0)*$D71,0),IFERROR(VLOOKUP($E:$E,Structure!$A:$AJ,AF$1,0)*$F71,0),IFERROR(VLOOKUP($G:$G,Structure!$A:$AJ,AF$1,0)*$H71,0))</f>
        <v>0</v>
      </c>
      <c r="AG71" s="9">
        <f>SUM(IFERROR(VLOOKUP($C:$C,Structure!$A:$AJ,AG$1,0)*$D71,0),IFERROR(VLOOKUP($E:$E,Structure!$A:$AJ,AG$1,0)*$F71,0),IFERROR(VLOOKUP($G:$G,Structure!$A:$AJ,AG$1,0)*$H71,0))</f>
        <v>0</v>
      </c>
      <c r="AH71" s="9">
        <f>SUM(IFERROR(VLOOKUP($C:$C,Structure!$A:$AJ,AH$1,0)*$D71,0),IFERROR(VLOOKUP($E:$E,Structure!$A:$AJ,AH$1,0)*$F71,0),IFERROR(VLOOKUP($G:$G,Structure!$A:$AJ,AH$1,0)*$H71,0))</f>
        <v>0</v>
      </c>
      <c r="AI71" s="9">
        <f>SUM(IFERROR(VLOOKUP($C:$C,Structure!$A:$AJ,AI$1,0)*$D71,0),IFERROR(VLOOKUP($E:$E,Structure!$A:$AJ,AI$1,0)*$F71,0),IFERROR(VLOOKUP($G:$G,Structure!$A:$AJ,AI$1,0)*$H71,0))</f>
        <v>0</v>
      </c>
      <c r="AJ71" s="9">
        <f>SUM(IFERROR(VLOOKUP($C:$C,Structure!$A:$AJ,AJ$1,0)*$D71,0),IFERROR(VLOOKUP($E:$E,Structure!$A:$AJ,AJ$1,0)*$F71,0),IFERROR(VLOOKUP($G:$G,Structure!$A:$AJ,AJ$1,0)*$H71,0))</f>
        <v>0</v>
      </c>
      <c r="AK71" s="9">
        <f>SUM(IFERROR(VLOOKUP($C:$C,Structure!$A:$AJ,AK$1,0)*$D71,0),IFERROR(VLOOKUP($E:$E,Structure!$A:$AJ,AK$1,0)*$F71,0),IFERROR(VLOOKUP($G:$G,Structure!$A:$AJ,AK$1,0)*$H71,0))</f>
        <v>0</v>
      </c>
      <c r="AL71" s="9">
        <f>SUM(IFERROR(VLOOKUP($C:$C,Structure!$A:$AJ,AL$1,0)*$D71,0),IFERROR(VLOOKUP($E:$E,Structure!$A:$AJ,AL$1,0)*$F71,0),IFERROR(VLOOKUP($G:$G,Structure!$A:$AJ,AL$1,0)*$H71,0))</f>
        <v>0</v>
      </c>
      <c r="AM71" s="9">
        <f>SUM(IFERROR(VLOOKUP($C:$C,Structure!$A:$AJ,AM$1,0)*$D71,0),IFERROR(VLOOKUP($E:$E,Structure!$A:$AJ,AM$1,0)*$F71,0),IFERROR(VLOOKUP($G:$G,Structure!$A:$AJ,AM$1,0)*$H71,0))</f>
        <v>0</v>
      </c>
      <c r="AN71" s="9">
        <f>SUM(IFERROR(VLOOKUP($C:$C,Structure!$A:$AJ,AN$1,0)*$D71,0),IFERROR(VLOOKUP($E:$E,Structure!$A:$AJ,AN$1,0)*$F71,0),IFERROR(VLOOKUP($G:$G,Structure!$A:$AJ,AN$1,0)*$H71,0))</f>
        <v>0</v>
      </c>
      <c r="AO71" s="9">
        <f>SUM(IFERROR(VLOOKUP($C:$C,Structure!$A:$AJ,AO$1,0)*$D71,0),IFERROR(VLOOKUP($E:$E,Structure!$A:$AJ,AO$1,0)*$F71,0),IFERROR(VLOOKUP($G:$G,Structure!$A:$AJ,AO$1,0)*$H71,0))</f>
        <v>0</v>
      </c>
      <c r="AP71" s="9">
        <f>SUM(IFERROR(VLOOKUP($C:$C,Structure!$A:$AJ,AP$1,0)*$D71,0),IFERROR(VLOOKUP($E:$E,Structure!$A:$AJ,AP$1,0)*$F71,0),IFERROR(VLOOKUP($G:$G,Structure!$A:$AJ,AP$1,0)*$H71,0))</f>
        <v>0</v>
      </c>
      <c r="AQ71" s="9">
        <f>SUM(IFERROR(VLOOKUP($C:$C,Structure!$A:$AJ,AQ$1,0)*$D71,0),IFERROR(VLOOKUP($E:$E,Structure!$A:$AJ,AQ$1,0)*$F71,0),IFERROR(VLOOKUP($G:$G,Structure!$A:$AJ,AQ$1,0)*$H71,0))</f>
        <v>0</v>
      </c>
      <c r="AR71" s="21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4">
        <f t="shared" si="92"/>
        <v>0</v>
      </c>
      <c r="CE71" s="4">
        <f t="shared" si="93"/>
        <v>93</v>
      </c>
      <c r="CF71" s="4">
        <f t="shared" si="94"/>
        <v>4</v>
      </c>
      <c r="CG71" s="4">
        <f t="shared" si="95"/>
        <v>23</v>
      </c>
      <c r="CH71" s="4">
        <f t="shared" si="96"/>
        <v>1</v>
      </c>
      <c r="CI71" s="4">
        <f t="shared" si="97"/>
        <v>51</v>
      </c>
      <c r="CJ71" s="4">
        <f t="shared" si="98"/>
        <v>-58</v>
      </c>
      <c r="CK71" s="4">
        <f t="shared" si="99"/>
        <v>222</v>
      </c>
      <c r="CL71" s="4">
        <f t="shared" si="100"/>
        <v>0</v>
      </c>
      <c r="CM71" s="4">
        <f t="shared" si="101"/>
        <v>4</v>
      </c>
      <c r="CN71" s="4">
        <f t="shared" si="102"/>
        <v>-20</v>
      </c>
      <c r="CO71" s="4">
        <f t="shared" si="103"/>
        <v>0</v>
      </c>
      <c r="CP71" s="4">
        <f t="shared" si="104"/>
        <v>3</v>
      </c>
      <c r="CQ71" s="4">
        <f t="shared" si="105"/>
        <v>-153</v>
      </c>
      <c r="CR71" s="4">
        <f t="shared" si="106"/>
        <v>34</v>
      </c>
      <c r="CS71" s="4">
        <f t="shared" si="107"/>
        <v>0</v>
      </c>
      <c r="CT71" s="4">
        <f t="shared" si="108"/>
        <v>0</v>
      </c>
      <c r="CU71" s="4">
        <f t="shared" si="109"/>
        <v>0</v>
      </c>
      <c r="CV71" s="4">
        <f t="shared" si="110"/>
        <v>0</v>
      </c>
      <c r="CW71" s="4">
        <f t="shared" si="111"/>
        <v>0</v>
      </c>
      <c r="CX71" s="4">
        <f t="shared" si="112"/>
        <v>-135</v>
      </c>
      <c r="CY71" s="4">
        <f t="shared" si="113"/>
        <v>0</v>
      </c>
      <c r="CZ71" s="4">
        <f t="shared" si="114"/>
        <v>0</v>
      </c>
      <c r="DA71" s="4">
        <f t="shared" si="115"/>
        <v>0</v>
      </c>
      <c r="DB71" s="4">
        <f t="shared" si="116"/>
        <v>0</v>
      </c>
      <c r="DC71" s="4">
        <f t="shared" si="117"/>
        <v>0</v>
      </c>
      <c r="DD71" s="4">
        <f t="shared" si="118"/>
        <v>0</v>
      </c>
      <c r="DE71" s="4">
        <f t="shared" si="119"/>
        <v>0</v>
      </c>
      <c r="DF71" s="4">
        <f t="shared" si="120"/>
        <v>0</v>
      </c>
      <c r="DG71" s="4">
        <f t="shared" si="121"/>
        <v>0</v>
      </c>
      <c r="DH71" s="4">
        <f t="shared" si="122"/>
        <v>0</v>
      </c>
      <c r="DI71" s="4">
        <f t="shared" si="123"/>
        <v>0</v>
      </c>
      <c r="DJ71" s="4">
        <f t="shared" si="124"/>
        <v>0</v>
      </c>
      <c r="DK71" s="4">
        <f t="shared" si="125"/>
        <v>0</v>
      </c>
      <c r="DL71" s="4">
        <f t="shared" si="126"/>
        <v>0</v>
      </c>
    </row>
    <row r="72" spans="1:116" x14ac:dyDescent="0.25">
      <c r="A72" s="5">
        <v>46184</v>
      </c>
      <c r="B72" s="6">
        <v>0.75000000016734703</v>
      </c>
      <c r="C72" s="3"/>
      <c r="D72" s="3"/>
      <c r="E72" s="3" t="s">
        <v>40</v>
      </c>
      <c r="F72" s="3">
        <v>8</v>
      </c>
      <c r="G72" s="3"/>
      <c r="H72" s="9"/>
      <c r="I72" s="9">
        <f>SUM(IFERROR(VLOOKUP($C:$C,Structure!$A:$AJ,I$1,0)*$D72,0),IFERROR(VLOOKUP($E:$E,Structure!$A:$AJ,I$1,0)*$F72,0),IFERROR(VLOOKUP($G:$G,Structure!$A:$AJ,I$1,0)*$H72,0))</f>
        <v>0</v>
      </c>
      <c r="J72" s="9">
        <f>SUM(IFERROR(VLOOKUP($C:$C,Structure!$A:$AJ,J$1,0)*$D72,0),IFERROR(VLOOKUP($E:$E,Structure!$A:$AJ,J$1,0)*$F72,0),IFERROR(VLOOKUP($G:$G,Structure!$A:$AJ,J$1,0)*$H72,0))</f>
        <v>8</v>
      </c>
      <c r="K72" s="9">
        <f>SUM(IFERROR(VLOOKUP($C:$C,Structure!$A:$AJ,K$1,0)*$D72,0),IFERROR(VLOOKUP($E:$E,Structure!$A:$AJ,K$1,0)*$F72,0),IFERROR(VLOOKUP($G:$G,Structure!$A:$AJ,K$1,0)*$H72,0))</f>
        <v>0</v>
      </c>
      <c r="L72" s="9">
        <f>SUM(IFERROR(VLOOKUP($C:$C,Structure!$A:$AJ,L$1,0)*$D72,0),IFERROR(VLOOKUP($E:$E,Structure!$A:$AJ,L$1,0)*$F72,0),IFERROR(VLOOKUP($G:$G,Structure!$A:$AJ,L$1,0)*$H72,0))</f>
        <v>0</v>
      </c>
      <c r="M72" s="9">
        <f>SUM(IFERROR(VLOOKUP($C:$C,Structure!$A:$AJ,M$1,0)*$D72,0),IFERROR(VLOOKUP($E:$E,Structure!$A:$AJ,M$1,0)*$F72,0),IFERROR(VLOOKUP($G:$G,Structure!$A:$AJ,M$1,0)*$H72,0))</f>
        <v>0</v>
      </c>
      <c r="N72" s="9">
        <f>SUM(IFERROR(VLOOKUP($C:$C,Structure!$A:$AJ,N$1,0)*$D72,0),IFERROR(VLOOKUP($E:$E,Structure!$A:$AJ,N$1,0)*$F72,0),IFERROR(VLOOKUP($G:$G,Structure!$A:$AJ,N$1,0)*$H72,0))</f>
        <v>0</v>
      </c>
      <c r="O72" s="9">
        <f>SUM(IFERROR(VLOOKUP($C:$C,Structure!$A:$AJ,O$1,0)*$D72,0),IFERROR(VLOOKUP($E:$E,Structure!$A:$AJ,O$1,0)*$F72,0),IFERROR(VLOOKUP($G:$G,Structure!$A:$AJ,O$1,0)*$H72,0))</f>
        <v>0</v>
      </c>
      <c r="P72" s="9">
        <f>SUM(IFERROR(VLOOKUP($C:$C,Structure!$A:$AJ,P$1,0)*$D72,0),IFERROR(VLOOKUP($E:$E,Structure!$A:$AJ,P$1,0)*$F72,0),IFERROR(VLOOKUP($G:$G,Structure!$A:$AJ,P$1,0)*$H72,0))</f>
        <v>8</v>
      </c>
      <c r="Q72" s="9">
        <f>SUM(IFERROR(VLOOKUP($C:$C,Structure!$A:$AJ,Q$1,0)*$D72,0),IFERROR(VLOOKUP($E:$E,Structure!$A:$AJ,Q$1,0)*$F72,0),IFERROR(VLOOKUP($G:$G,Structure!$A:$AJ,Q$1,0)*$H72,0))</f>
        <v>0</v>
      </c>
      <c r="R72" s="9">
        <f>SUM(IFERROR(VLOOKUP($C:$C,Structure!$A:$AJ,R$1,0)*$D72,0),IFERROR(VLOOKUP($E:$E,Structure!$A:$AJ,R$1,0)*$F72,0),IFERROR(VLOOKUP($G:$G,Structure!$A:$AJ,R$1,0)*$H72,0))</f>
        <v>0</v>
      </c>
      <c r="S72" s="9">
        <f>SUM(IFERROR(VLOOKUP($C:$C,Structure!$A:$AJ,S$1,0)*$D72,0),IFERROR(VLOOKUP($E:$E,Structure!$A:$AJ,S$1,0)*$F72,0),IFERROR(VLOOKUP($G:$G,Structure!$A:$AJ,S$1,0)*$H72,0))</f>
        <v>0</v>
      </c>
      <c r="T72" s="9">
        <f>SUM(IFERROR(VLOOKUP($C:$C,Structure!$A:$AJ,T$1,0)*$D72,0),IFERROR(VLOOKUP($E:$E,Structure!$A:$AJ,T$1,0)*$F72,0),IFERROR(VLOOKUP($G:$G,Structure!$A:$AJ,T$1,0)*$H72,0))</f>
        <v>0</v>
      </c>
      <c r="U72" s="9">
        <f>SUM(IFERROR(VLOOKUP($C:$C,Structure!$A:$AJ,U$1,0)*$D72,0),IFERROR(VLOOKUP($E:$E,Structure!$A:$AJ,U$1,0)*$F72,0),IFERROR(VLOOKUP($G:$G,Structure!$A:$AJ,U$1,0)*$H72,0))</f>
        <v>0</v>
      </c>
      <c r="V72" s="9">
        <f>SUM(IFERROR(VLOOKUP($C:$C,Structure!$A:$AJ,V$1,0)*$D72,0),IFERROR(VLOOKUP($E:$E,Structure!$A:$AJ,V$1,0)*$F72,0),IFERROR(VLOOKUP($G:$G,Structure!$A:$AJ,V$1,0)*$H72,0))</f>
        <v>0</v>
      </c>
      <c r="W72" s="9">
        <f>SUM(IFERROR(VLOOKUP($C:$C,Structure!$A:$AJ,W$1,0)*$D72,0),IFERROR(VLOOKUP($E:$E,Structure!$A:$AJ,W$1,0)*$F72,0),IFERROR(VLOOKUP($G:$G,Structure!$A:$AJ,W$1,0)*$H72,0))</f>
        <v>0</v>
      </c>
      <c r="X72" s="9">
        <f>SUM(IFERROR(VLOOKUP($C:$C,Structure!$A:$AJ,X$1,0)*$D72,0),IFERROR(VLOOKUP($E:$E,Structure!$A:$AJ,X$1,0)*$F72,0),IFERROR(VLOOKUP($G:$G,Structure!$A:$AJ,X$1,0)*$H72,0))</f>
        <v>0</v>
      </c>
      <c r="Y72" s="9">
        <f>SUM(IFERROR(VLOOKUP($C:$C,Structure!$A:$AJ,Y$1,0)*$D72,0),IFERROR(VLOOKUP($E:$E,Structure!$A:$AJ,Y$1,0)*$F72,0),IFERROR(VLOOKUP($G:$G,Structure!$A:$AJ,Y$1,0)*$H72,0))</f>
        <v>0</v>
      </c>
      <c r="Z72" s="9">
        <f>SUM(IFERROR(VLOOKUP($C:$C,Structure!$A:$AJ,Z$1,0)*$D72,0),IFERROR(VLOOKUP($E:$E,Structure!$A:$AJ,Z$1,0)*$F72,0),IFERROR(VLOOKUP($G:$G,Structure!$A:$AJ,Z$1,0)*$H72,0))</f>
        <v>0</v>
      </c>
      <c r="AA72" s="9">
        <f>SUM(IFERROR(VLOOKUP($C:$C,Structure!$A:$AJ,AA$1,0)*$D72,0),IFERROR(VLOOKUP($E:$E,Structure!$A:$AJ,AA$1,0)*$F72,0),IFERROR(VLOOKUP($G:$G,Structure!$A:$AJ,AA$1,0)*$H72,0))</f>
        <v>0</v>
      </c>
      <c r="AB72" s="9">
        <f>SUM(IFERROR(VLOOKUP($C:$C,Structure!$A:$AJ,AB$1,0)*$D72,0),IFERROR(VLOOKUP($E:$E,Structure!$A:$AJ,AB$1,0)*$F72,0),IFERROR(VLOOKUP($G:$G,Structure!$A:$AJ,AB$1,0)*$H72,0))</f>
        <v>0</v>
      </c>
      <c r="AC72" s="9">
        <f>SUM(IFERROR(VLOOKUP($C:$C,Structure!$A:$AJ,AC$1,0)*$D72,0),IFERROR(VLOOKUP($E:$E,Structure!$A:$AJ,AC$1,0)*$F72,0),IFERROR(VLOOKUP($G:$G,Structure!$A:$AJ,AC$1,0)*$H72,0))</f>
        <v>0</v>
      </c>
      <c r="AD72" s="9">
        <f>SUM(IFERROR(VLOOKUP($C:$C,Structure!$A:$AJ,AD$1,0)*$D72,0),IFERROR(VLOOKUP($E:$E,Structure!$A:$AJ,AD$1,0)*$F72,0),IFERROR(VLOOKUP($G:$G,Structure!$A:$AJ,AD$1,0)*$H72,0))</f>
        <v>0</v>
      </c>
      <c r="AE72" s="9">
        <f>SUM(IFERROR(VLOOKUP($C:$C,Structure!$A:$AJ,AE$1,0)*$D72,0),IFERROR(VLOOKUP($E:$E,Structure!$A:$AJ,AE$1,0)*$F72,0),IFERROR(VLOOKUP($G:$G,Structure!$A:$AJ,AE$1,0)*$H72,0))</f>
        <v>0</v>
      </c>
      <c r="AF72" s="9">
        <f>SUM(IFERROR(VLOOKUP($C:$C,Structure!$A:$AJ,AF$1,0)*$D72,0),IFERROR(VLOOKUP($E:$E,Structure!$A:$AJ,AF$1,0)*$F72,0),IFERROR(VLOOKUP($G:$G,Structure!$A:$AJ,AF$1,0)*$H72,0))</f>
        <v>0</v>
      </c>
      <c r="AG72" s="9">
        <f>SUM(IFERROR(VLOOKUP($C:$C,Structure!$A:$AJ,AG$1,0)*$D72,0),IFERROR(VLOOKUP($E:$E,Structure!$A:$AJ,AG$1,0)*$F72,0),IFERROR(VLOOKUP($G:$G,Structure!$A:$AJ,AG$1,0)*$H72,0))</f>
        <v>0</v>
      </c>
      <c r="AH72" s="9">
        <f>SUM(IFERROR(VLOOKUP($C:$C,Structure!$A:$AJ,AH$1,0)*$D72,0),IFERROR(VLOOKUP($E:$E,Structure!$A:$AJ,AH$1,0)*$F72,0),IFERROR(VLOOKUP($G:$G,Structure!$A:$AJ,AH$1,0)*$H72,0))</f>
        <v>0</v>
      </c>
      <c r="AI72" s="9">
        <f>SUM(IFERROR(VLOOKUP($C:$C,Structure!$A:$AJ,AI$1,0)*$D72,0),IFERROR(VLOOKUP($E:$E,Structure!$A:$AJ,AI$1,0)*$F72,0),IFERROR(VLOOKUP($G:$G,Structure!$A:$AJ,AI$1,0)*$H72,0))</f>
        <v>0</v>
      </c>
      <c r="AJ72" s="9">
        <f>SUM(IFERROR(VLOOKUP($C:$C,Structure!$A:$AJ,AJ$1,0)*$D72,0),IFERROR(VLOOKUP($E:$E,Structure!$A:$AJ,AJ$1,0)*$F72,0),IFERROR(VLOOKUP($G:$G,Structure!$A:$AJ,AJ$1,0)*$H72,0))</f>
        <v>0</v>
      </c>
      <c r="AK72" s="9">
        <f>SUM(IFERROR(VLOOKUP($C:$C,Structure!$A:$AJ,AK$1,0)*$D72,0),IFERROR(VLOOKUP($E:$E,Structure!$A:$AJ,AK$1,0)*$F72,0),IFERROR(VLOOKUP($G:$G,Structure!$A:$AJ,AK$1,0)*$H72,0))</f>
        <v>0</v>
      </c>
      <c r="AL72" s="9">
        <f>SUM(IFERROR(VLOOKUP($C:$C,Structure!$A:$AJ,AL$1,0)*$D72,0),IFERROR(VLOOKUP($E:$E,Structure!$A:$AJ,AL$1,0)*$F72,0),IFERROR(VLOOKUP($G:$G,Structure!$A:$AJ,AL$1,0)*$H72,0))</f>
        <v>0</v>
      </c>
      <c r="AM72" s="9">
        <f>SUM(IFERROR(VLOOKUP($C:$C,Structure!$A:$AJ,AM$1,0)*$D72,0),IFERROR(VLOOKUP($E:$E,Structure!$A:$AJ,AM$1,0)*$F72,0),IFERROR(VLOOKUP($G:$G,Structure!$A:$AJ,AM$1,0)*$H72,0))</f>
        <v>0</v>
      </c>
      <c r="AN72" s="9">
        <f>SUM(IFERROR(VLOOKUP($C:$C,Structure!$A:$AJ,AN$1,0)*$D72,0),IFERROR(VLOOKUP($E:$E,Structure!$A:$AJ,AN$1,0)*$F72,0),IFERROR(VLOOKUP($G:$G,Structure!$A:$AJ,AN$1,0)*$H72,0))</f>
        <v>0</v>
      </c>
      <c r="AO72" s="9">
        <f>SUM(IFERROR(VLOOKUP($C:$C,Structure!$A:$AJ,AO$1,0)*$D72,0),IFERROR(VLOOKUP($E:$E,Structure!$A:$AJ,AO$1,0)*$F72,0),IFERROR(VLOOKUP($G:$G,Structure!$A:$AJ,AO$1,0)*$H72,0))</f>
        <v>0</v>
      </c>
      <c r="AP72" s="9">
        <f>SUM(IFERROR(VLOOKUP($C:$C,Structure!$A:$AJ,AP$1,0)*$D72,0),IFERROR(VLOOKUP($E:$E,Structure!$A:$AJ,AP$1,0)*$F72,0),IFERROR(VLOOKUP($G:$G,Structure!$A:$AJ,AP$1,0)*$H72,0))</f>
        <v>0</v>
      </c>
      <c r="AQ72" s="9">
        <f>SUM(IFERROR(VLOOKUP($C:$C,Structure!$A:$AJ,AQ$1,0)*$D72,0),IFERROR(VLOOKUP($E:$E,Structure!$A:$AJ,AQ$1,0)*$F72,0),IFERROR(VLOOKUP($G:$G,Structure!$A:$AJ,AQ$1,0)*$H72,0))</f>
        <v>0</v>
      </c>
      <c r="AR72" s="21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4">
        <f t="shared" si="92"/>
        <v>0</v>
      </c>
      <c r="CE72" s="4">
        <f t="shared" si="93"/>
        <v>85</v>
      </c>
      <c r="CF72" s="4">
        <f t="shared" si="94"/>
        <v>4</v>
      </c>
      <c r="CG72" s="4">
        <f t="shared" si="95"/>
        <v>23</v>
      </c>
      <c r="CH72" s="4">
        <f t="shared" si="96"/>
        <v>1</v>
      </c>
      <c r="CI72" s="4">
        <f t="shared" si="97"/>
        <v>51</v>
      </c>
      <c r="CJ72" s="4">
        <f t="shared" si="98"/>
        <v>-58</v>
      </c>
      <c r="CK72" s="4">
        <f t="shared" si="99"/>
        <v>214</v>
      </c>
      <c r="CL72" s="4">
        <f t="shared" si="100"/>
        <v>0</v>
      </c>
      <c r="CM72" s="4">
        <f t="shared" si="101"/>
        <v>4</v>
      </c>
      <c r="CN72" s="4">
        <f t="shared" si="102"/>
        <v>-20</v>
      </c>
      <c r="CO72" s="4">
        <f t="shared" si="103"/>
        <v>0</v>
      </c>
      <c r="CP72" s="4">
        <f t="shared" si="104"/>
        <v>3</v>
      </c>
      <c r="CQ72" s="4">
        <f t="shared" si="105"/>
        <v>-153</v>
      </c>
      <c r="CR72" s="4">
        <f t="shared" si="106"/>
        <v>34</v>
      </c>
      <c r="CS72" s="4">
        <f t="shared" si="107"/>
        <v>0</v>
      </c>
      <c r="CT72" s="4">
        <f t="shared" si="108"/>
        <v>0</v>
      </c>
      <c r="CU72" s="4">
        <f t="shared" si="109"/>
        <v>0</v>
      </c>
      <c r="CV72" s="4">
        <f t="shared" si="110"/>
        <v>0</v>
      </c>
      <c r="CW72" s="4">
        <f t="shared" si="111"/>
        <v>0</v>
      </c>
      <c r="CX72" s="4">
        <f t="shared" si="112"/>
        <v>-135</v>
      </c>
      <c r="CY72" s="4">
        <f t="shared" si="113"/>
        <v>0</v>
      </c>
      <c r="CZ72" s="4">
        <f t="shared" si="114"/>
        <v>0</v>
      </c>
      <c r="DA72" s="4">
        <f t="shared" si="115"/>
        <v>0</v>
      </c>
      <c r="DB72" s="4">
        <f t="shared" si="116"/>
        <v>0</v>
      </c>
      <c r="DC72" s="4">
        <f t="shared" si="117"/>
        <v>0</v>
      </c>
      <c r="DD72" s="4">
        <f t="shared" si="118"/>
        <v>0</v>
      </c>
      <c r="DE72" s="4">
        <f t="shared" si="119"/>
        <v>0</v>
      </c>
      <c r="DF72" s="4">
        <f t="shared" si="120"/>
        <v>0</v>
      </c>
      <c r="DG72" s="4">
        <f t="shared" si="121"/>
        <v>0</v>
      </c>
      <c r="DH72" s="4">
        <f t="shared" si="122"/>
        <v>0</v>
      </c>
      <c r="DI72" s="4">
        <f t="shared" si="123"/>
        <v>0</v>
      </c>
      <c r="DJ72" s="4">
        <f t="shared" si="124"/>
        <v>0</v>
      </c>
      <c r="DK72" s="4">
        <f t="shared" si="125"/>
        <v>0</v>
      </c>
      <c r="DL72" s="4">
        <f t="shared" si="126"/>
        <v>0</v>
      </c>
    </row>
    <row r="73" spans="1:116" x14ac:dyDescent="0.25">
      <c r="A73" s="5">
        <v>46184</v>
      </c>
      <c r="B73" s="6">
        <v>0.77083333350310568</v>
      </c>
      <c r="C73" s="3"/>
      <c r="D73" s="3"/>
      <c r="E73" s="3" t="s">
        <v>40</v>
      </c>
      <c r="F73" s="3">
        <v>8</v>
      </c>
      <c r="G73" s="3"/>
      <c r="H73" s="9"/>
      <c r="I73" s="9">
        <f>SUM(IFERROR(VLOOKUP($C:$C,Structure!$A:$AJ,I$1,0)*$D73,0),IFERROR(VLOOKUP($E:$E,Structure!$A:$AJ,I$1,0)*$F73,0),IFERROR(VLOOKUP($G:$G,Structure!$A:$AJ,I$1,0)*$H73,0))</f>
        <v>0</v>
      </c>
      <c r="J73" s="9">
        <f>SUM(IFERROR(VLOOKUP($C:$C,Structure!$A:$AJ,J$1,0)*$D73,0),IFERROR(VLOOKUP($E:$E,Structure!$A:$AJ,J$1,0)*$F73,0),IFERROR(VLOOKUP($G:$G,Structure!$A:$AJ,J$1,0)*$H73,0))</f>
        <v>8</v>
      </c>
      <c r="K73" s="9">
        <f>SUM(IFERROR(VLOOKUP($C:$C,Structure!$A:$AJ,K$1,0)*$D73,0),IFERROR(VLOOKUP($E:$E,Structure!$A:$AJ,K$1,0)*$F73,0),IFERROR(VLOOKUP($G:$G,Structure!$A:$AJ,K$1,0)*$H73,0))</f>
        <v>0</v>
      </c>
      <c r="L73" s="9">
        <f>SUM(IFERROR(VLOOKUP($C:$C,Structure!$A:$AJ,L$1,0)*$D73,0),IFERROR(VLOOKUP($E:$E,Structure!$A:$AJ,L$1,0)*$F73,0),IFERROR(VLOOKUP($G:$G,Structure!$A:$AJ,L$1,0)*$H73,0))</f>
        <v>0</v>
      </c>
      <c r="M73" s="9">
        <f>SUM(IFERROR(VLOOKUP($C:$C,Structure!$A:$AJ,M$1,0)*$D73,0),IFERROR(VLOOKUP($E:$E,Structure!$A:$AJ,M$1,0)*$F73,0),IFERROR(VLOOKUP($G:$G,Structure!$A:$AJ,M$1,0)*$H73,0))</f>
        <v>0</v>
      </c>
      <c r="N73" s="9">
        <f>SUM(IFERROR(VLOOKUP($C:$C,Structure!$A:$AJ,N$1,0)*$D73,0),IFERROR(VLOOKUP($E:$E,Structure!$A:$AJ,N$1,0)*$F73,0),IFERROR(VLOOKUP($G:$G,Structure!$A:$AJ,N$1,0)*$H73,0))</f>
        <v>0</v>
      </c>
      <c r="O73" s="9">
        <f>SUM(IFERROR(VLOOKUP($C:$C,Structure!$A:$AJ,O$1,0)*$D73,0),IFERROR(VLOOKUP($E:$E,Structure!$A:$AJ,O$1,0)*$F73,0),IFERROR(VLOOKUP($G:$G,Structure!$A:$AJ,O$1,0)*$H73,0))</f>
        <v>0</v>
      </c>
      <c r="P73" s="9">
        <f>SUM(IFERROR(VLOOKUP($C:$C,Structure!$A:$AJ,P$1,0)*$D73,0),IFERROR(VLOOKUP($E:$E,Structure!$A:$AJ,P$1,0)*$F73,0),IFERROR(VLOOKUP($G:$G,Structure!$A:$AJ,P$1,0)*$H73,0))</f>
        <v>8</v>
      </c>
      <c r="Q73" s="9">
        <f>SUM(IFERROR(VLOOKUP($C:$C,Structure!$A:$AJ,Q$1,0)*$D73,0),IFERROR(VLOOKUP($E:$E,Structure!$A:$AJ,Q$1,0)*$F73,0),IFERROR(VLOOKUP($G:$G,Structure!$A:$AJ,Q$1,0)*$H73,0))</f>
        <v>0</v>
      </c>
      <c r="R73" s="9">
        <f>SUM(IFERROR(VLOOKUP($C:$C,Structure!$A:$AJ,R$1,0)*$D73,0),IFERROR(VLOOKUP($E:$E,Structure!$A:$AJ,R$1,0)*$F73,0),IFERROR(VLOOKUP($G:$G,Structure!$A:$AJ,R$1,0)*$H73,0))</f>
        <v>0</v>
      </c>
      <c r="S73" s="9">
        <f>SUM(IFERROR(VLOOKUP($C:$C,Structure!$A:$AJ,S$1,0)*$D73,0),IFERROR(VLOOKUP($E:$E,Structure!$A:$AJ,S$1,0)*$F73,0),IFERROR(VLOOKUP($G:$G,Structure!$A:$AJ,S$1,0)*$H73,0))</f>
        <v>0</v>
      </c>
      <c r="T73" s="9">
        <f>SUM(IFERROR(VLOOKUP($C:$C,Structure!$A:$AJ,T$1,0)*$D73,0),IFERROR(VLOOKUP($E:$E,Structure!$A:$AJ,T$1,0)*$F73,0),IFERROR(VLOOKUP($G:$G,Structure!$A:$AJ,T$1,0)*$H73,0))</f>
        <v>0</v>
      </c>
      <c r="U73" s="9">
        <f>SUM(IFERROR(VLOOKUP($C:$C,Structure!$A:$AJ,U$1,0)*$D73,0),IFERROR(VLOOKUP($E:$E,Structure!$A:$AJ,U$1,0)*$F73,0),IFERROR(VLOOKUP($G:$G,Structure!$A:$AJ,U$1,0)*$H73,0))</f>
        <v>0</v>
      </c>
      <c r="V73" s="9">
        <f>SUM(IFERROR(VLOOKUP($C:$C,Structure!$A:$AJ,V$1,0)*$D73,0),IFERROR(VLOOKUP($E:$E,Structure!$A:$AJ,V$1,0)*$F73,0),IFERROR(VLOOKUP($G:$G,Structure!$A:$AJ,V$1,0)*$H73,0))</f>
        <v>0</v>
      </c>
      <c r="W73" s="9">
        <f>SUM(IFERROR(VLOOKUP($C:$C,Structure!$A:$AJ,W$1,0)*$D73,0),IFERROR(VLOOKUP($E:$E,Structure!$A:$AJ,W$1,0)*$F73,0),IFERROR(VLOOKUP($G:$G,Structure!$A:$AJ,W$1,0)*$H73,0))</f>
        <v>0</v>
      </c>
      <c r="X73" s="9">
        <f>SUM(IFERROR(VLOOKUP($C:$C,Structure!$A:$AJ,X$1,0)*$D73,0),IFERROR(VLOOKUP($E:$E,Structure!$A:$AJ,X$1,0)*$F73,0),IFERROR(VLOOKUP($G:$G,Structure!$A:$AJ,X$1,0)*$H73,0))</f>
        <v>0</v>
      </c>
      <c r="Y73" s="9">
        <f>SUM(IFERROR(VLOOKUP($C:$C,Structure!$A:$AJ,Y$1,0)*$D73,0),IFERROR(VLOOKUP($E:$E,Structure!$A:$AJ,Y$1,0)*$F73,0),IFERROR(VLOOKUP($G:$G,Structure!$A:$AJ,Y$1,0)*$H73,0))</f>
        <v>0</v>
      </c>
      <c r="Z73" s="9">
        <f>SUM(IFERROR(VLOOKUP($C:$C,Structure!$A:$AJ,Z$1,0)*$D73,0),IFERROR(VLOOKUP($E:$E,Structure!$A:$AJ,Z$1,0)*$F73,0),IFERROR(VLOOKUP($G:$G,Structure!$A:$AJ,Z$1,0)*$H73,0))</f>
        <v>0</v>
      </c>
      <c r="AA73" s="9">
        <f>SUM(IFERROR(VLOOKUP($C:$C,Structure!$A:$AJ,AA$1,0)*$D73,0),IFERROR(VLOOKUP($E:$E,Structure!$A:$AJ,AA$1,0)*$F73,0),IFERROR(VLOOKUP($G:$G,Structure!$A:$AJ,AA$1,0)*$H73,0))</f>
        <v>0</v>
      </c>
      <c r="AB73" s="9">
        <f>SUM(IFERROR(VLOOKUP($C:$C,Structure!$A:$AJ,AB$1,0)*$D73,0),IFERROR(VLOOKUP($E:$E,Structure!$A:$AJ,AB$1,0)*$F73,0),IFERROR(VLOOKUP($G:$G,Structure!$A:$AJ,AB$1,0)*$H73,0))</f>
        <v>0</v>
      </c>
      <c r="AC73" s="9">
        <f>SUM(IFERROR(VLOOKUP($C:$C,Structure!$A:$AJ,AC$1,0)*$D73,0),IFERROR(VLOOKUP($E:$E,Structure!$A:$AJ,AC$1,0)*$F73,0),IFERROR(VLOOKUP($G:$G,Structure!$A:$AJ,AC$1,0)*$H73,0))</f>
        <v>0</v>
      </c>
      <c r="AD73" s="9">
        <f>SUM(IFERROR(VLOOKUP($C:$C,Structure!$A:$AJ,AD$1,0)*$D73,0),IFERROR(VLOOKUP($E:$E,Structure!$A:$AJ,AD$1,0)*$F73,0),IFERROR(VLOOKUP($G:$G,Structure!$A:$AJ,AD$1,0)*$H73,0))</f>
        <v>0</v>
      </c>
      <c r="AE73" s="9">
        <f>SUM(IFERROR(VLOOKUP($C:$C,Structure!$A:$AJ,AE$1,0)*$D73,0),IFERROR(VLOOKUP($E:$E,Structure!$A:$AJ,AE$1,0)*$F73,0),IFERROR(VLOOKUP($G:$G,Structure!$A:$AJ,AE$1,0)*$H73,0))</f>
        <v>0</v>
      </c>
      <c r="AF73" s="9">
        <f>SUM(IFERROR(VLOOKUP($C:$C,Structure!$A:$AJ,AF$1,0)*$D73,0),IFERROR(VLOOKUP($E:$E,Structure!$A:$AJ,AF$1,0)*$F73,0),IFERROR(VLOOKUP($G:$G,Structure!$A:$AJ,AF$1,0)*$H73,0))</f>
        <v>0</v>
      </c>
      <c r="AG73" s="9">
        <f>SUM(IFERROR(VLOOKUP($C:$C,Structure!$A:$AJ,AG$1,0)*$D73,0),IFERROR(VLOOKUP($E:$E,Structure!$A:$AJ,AG$1,0)*$F73,0),IFERROR(VLOOKUP($G:$G,Structure!$A:$AJ,AG$1,0)*$H73,0))</f>
        <v>0</v>
      </c>
      <c r="AH73" s="9">
        <f>SUM(IFERROR(VLOOKUP($C:$C,Structure!$A:$AJ,AH$1,0)*$D73,0),IFERROR(VLOOKUP($E:$E,Structure!$A:$AJ,AH$1,0)*$F73,0),IFERROR(VLOOKUP($G:$G,Structure!$A:$AJ,AH$1,0)*$H73,0))</f>
        <v>0</v>
      </c>
      <c r="AI73" s="9">
        <f>SUM(IFERROR(VLOOKUP($C:$C,Structure!$A:$AJ,AI$1,0)*$D73,0),IFERROR(VLOOKUP($E:$E,Structure!$A:$AJ,AI$1,0)*$F73,0),IFERROR(VLOOKUP($G:$G,Structure!$A:$AJ,AI$1,0)*$H73,0))</f>
        <v>0</v>
      </c>
      <c r="AJ73" s="9">
        <f>SUM(IFERROR(VLOOKUP($C:$C,Structure!$A:$AJ,AJ$1,0)*$D73,0),IFERROR(VLOOKUP($E:$E,Structure!$A:$AJ,AJ$1,0)*$F73,0),IFERROR(VLOOKUP($G:$G,Structure!$A:$AJ,AJ$1,0)*$H73,0))</f>
        <v>0</v>
      </c>
      <c r="AK73" s="9">
        <f>SUM(IFERROR(VLOOKUP($C:$C,Structure!$A:$AJ,AK$1,0)*$D73,0),IFERROR(VLOOKUP($E:$E,Structure!$A:$AJ,AK$1,0)*$F73,0),IFERROR(VLOOKUP($G:$G,Structure!$A:$AJ,AK$1,0)*$H73,0))</f>
        <v>0</v>
      </c>
      <c r="AL73" s="9">
        <f>SUM(IFERROR(VLOOKUP($C:$C,Structure!$A:$AJ,AL$1,0)*$D73,0),IFERROR(VLOOKUP($E:$E,Structure!$A:$AJ,AL$1,0)*$F73,0),IFERROR(VLOOKUP($G:$G,Structure!$A:$AJ,AL$1,0)*$H73,0))</f>
        <v>0</v>
      </c>
      <c r="AM73" s="9">
        <f>SUM(IFERROR(VLOOKUP($C:$C,Structure!$A:$AJ,AM$1,0)*$D73,0),IFERROR(VLOOKUP($E:$E,Structure!$A:$AJ,AM$1,0)*$F73,0),IFERROR(VLOOKUP($G:$G,Structure!$A:$AJ,AM$1,0)*$H73,0))</f>
        <v>0</v>
      </c>
      <c r="AN73" s="9">
        <f>SUM(IFERROR(VLOOKUP($C:$C,Structure!$A:$AJ,AN$1,0)*$D73,0),IFERROR(VLOOKUP($E:$E,Structure!$A:$AJ,AN$1,0)*$F73,0),IFERROR(VLOOKUP($G:$G,Structure!$A:$AJ,AN$1,0)*$H73,0))</f>
        <v>0</v>
      </c>
      <c r="AO73" s="9">
        <f>SUM(IFERROR(VLOOKUP($C:$C,Structure!$A:$AJ,AO$1,0)*$D73,0),IFERROR(VLOOKUP($E:$E,Structure!$A:$AJ,AO$1,0)*$F73,0),IFERROR(VLOOKUP($G:$G,Structure!$A:$AJ,AO$1,0)*$H73,0))</f>
        <v>0</v>
      </c>
      <c r="AP73" s="9">
        <f>SUM(IFERROR(VLOOKUP($C:$C,Structure!$A:$AJ,AP$1,0)*$D73,0),IFERROR(VLOOKUP($E:$E,Structure!$A:$AJ,AP$1,0)*$F73,0),IFERROR(VLOOKUP($G:$G,Structure!$A:$AJ,AP$1,0)*$H73,0))</f>
        <v>0</v>
      </c>
      <c r="AQ73" s="9">
        <f>SUM(IFERROR(VLOOKUP($C:$C,Structure!$A:$AJ,AQ$1,0)*$D73,0),IFERROR(VLOOKUP($E:$E,Structure!$A:$AJ,AQ$1,0)*$F73,0),IFERROR(VLOOKUP($G:$G,Structure!$A:$AJ,AQ$1,0)*$H73,0))</f>
        <v>0</v>
      </c>
      <c r="AR73" s="21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4">
        <f t="shared" si="92"/>
        <v>0</v>
      </c>
      <c r="CE73" s="4">
        <f t="shared" si="93"/>
        <v>77</v>
      </c>
      <c r="CF73" s="4">
        <f t="shared" si="94"/>
        <v>4</v>
      </c>
      <c r="CG73" s="4">
        <f t="shared" si="95"/>
        <v>23</v>
      </c>
      <c r="CH73" s="4">
        <f t="shared" si="96"/>
        <v>1</v>
      </c>
      <c r="CI73" s="4">
        <f t="shared" si="97"/>
        <v>51</v>
      </c>
      <c r="CJ73" s="4">
        <f t="shared" si="98"/>
        <v>-58</v>
      </c>
      <c r="CK73" s="4">
        <f t="shared" si="99"/>
        <v>206</v>
      </c>
      <c r="CL73" s="4">
        <f t="shared" si="100"/>
        <v>0</v>
      </c>
      <c r="CM73" s="4">
        <f t="shared" si="101"/>
        <v>4</v>
      </c>
      <c r="CN73" s="4">
        <f t="shared" si="102"/>
        <v>-20</v>
      </c>
      <c r="CO73" s="4">
        <f t="shared" si="103"/>
        <v>0</v>
      </c>
      <c r="CP73" s="4">
        <f t="shared" si="104"/>
        <v>3</v>
      </c>
      <c r="CQ73" s="4">
        <f t="shared" si="105"/>
        <v>-153</v>
      </c>
      <c r="CR73" s="4">
        <f t="shared" si="106"/>
        <v>34</v>
      </c>
      <c r="CS73" s="4">
        <f t="shared" si="107"/>
        <v>0</v>
      </c>
      <c r="CT73" s="4">
        <f t="shared" si="108"/>
        <v>0</v>
      </c>
      <c r="CU73" s="4">
        <f t="shared" si="109"/>
        <v>0</v>
      </c>
      <c r="CV73" s="4">
        <f t="shared" si="110"/>
        <v>0</v>
      </c>
      <c r="CW73" s="4">
        <f t="shared" si="111"/>
        <v>0</v>
      </c>
      <c r="CX73" s="4">
        <f t="shared" si="112"/>
        <v>-135</v>
      </c>
      <c r="CY73" s="4">
        <f t="shared" si="113"/>
        <v>0</v>
      </c>
      <c r="CZ73" s="4">
        <f t="shared" si="114"/>
        <v>0</v>
      </c>
      <c r="DA73" s="4">
        <f t="shared" si="115"/>
        <v>0</v>
      </c>
      <c r="DB73" s="4">
        <f t="shared" si="116"/>
        <v>0</v>
      </c>
      <c r="DC73" s="4">
        <f t="shared" si="117"/>
        <v>0</v>
      </c>
      <c r="DD73" s="4">
        <f t="shared" si="118"/>
        <v>0</v>
      </c>
      <c r="DE73" s="4">
        <f t="shared" si="119"/>
        <v>0</v>
      </c>
      <c r="DF73" s="4">
        <f t="shared" si="120"/>
        <v>0</v>
      </c>
      <c r="DG73" s="4">
        <f t="shared" si="121"/>
        <v>0</v>
      </c>
      <c r="DH73" s="4">
        <f t="shared" si="122"/>
        <v>0</v>
      </c>
      <c r="DI73" s="4">
        <f t="shared" si="123"/>
        <v>0</v>
      </c>
      <c r="DJ73" s="4">
        <f t="shared" si="124"/>
        <v>0</v>
      </c>
      <c r="DK73" s="4">
        <f t="shared" si="125"/>
        <v>0</v>
      </c>
      <c r="DL73" s="4">
        <f t="shared" si="126"/>
        <v>0</v>
      </c>
    </row>
    <row r="74" spans="1:116" x14ac:dyDescent="0.25">
      <c r="A74" s="5">
        <v>46184</v>
      </c>
      <c r="B74" s="6">
        <v>0.79166666683886433</v>
      </c>
      <c r="C74" s="3"/>
      <c r="D74" s="3"/>
      <c r="E74" s="3" t="s">
        <v>40</v>
      </c>
      <c r="F74" s="3">
        <v>8</v>
      </c>
      <c r="G74" s="3"/>
      <c r="H74" s="9"/>
      <c r="I74" s="9">
        <f>SUM(IFERROR(VLOOKUP($C:$C,Structure!$A:$AJ,I$1,0)*$D74,0),IFERROR(VLOOKUP($E:$E,Structure!$A:$AJ,I$1,0)*$F74,0),IFERROR(VLOOKUP($G:$G,Structure!$A:$AJ,I$1,0)*$H74,0))</f>
        <v>0</v>
      </c>
      <c r="J74" s="9">
        <f>SUM(IFERROR(VLOOKUP($C:$C,Structure!$A:$AJ,J$1,0)*$D74,0),IFERROR(VLOOKUP($E:$E,Structure!$A:$AJ,J$1,0)*$F74,0),IFERROR(VLOOKUP($G:$G,Structure!$A:$AJ,J$1,0)*$H74,0))</f>
        <v>8</v>
      </c>
      <c r="K74" s="9">
        <f>SUM(IFERROR(VLOOKUP($C:$C,Structure!$A:$AJ,K$1,0)*$D74,0),IFERROR(VLOOKUP($E:$E,Structure!$A:$AJ,K$1,0)*$F74,0),IFERROR(VLOOKUP($G:$G,Structure!$A:$AJ,K$1,0)*$H74,0))</f>
        <v>0</v>
      </c>
      <c r="L74" s="9">
        <f>SUM(IFERROR(VLOOKUP($C:$C,Structure!$A:$AJ,L$1,0)*$D74,0),IFERROR(VLOOKUP($E:$E,Structure!$A:$AJ,L$1,0)*$F74,0),IFERROR(VLOOKUP($G:$G,Structure!$A:$AJ,L$1,0)*$H74,0))</f>
        <v>0</v>
      </c>
      <c r="M74" s="9">
        <f>SUM(IFERROR(VLOOKUP($C:$C,Structure!$A:$AJ,M$1,0)*$D74,0),IFERROR(VLOOKUP($E:$E,Structure!$A:$AJ,M$1,0)*$F74,0),IFERROR(VLOOKUP($G:$G,Structure!$A:$AJ,M$1,0)*$H74,0))</f>
        <v>0</v>
      </c>
      <c r="N74" s="9">
        <f>SUM(IFERROR(VLOOKUP($C:$C,Structure!$A:$AJ,N$1,0)*$D74,0),IFERROR(VLOOKUP($E:$E,Structure!$A:$AJ,N$1,0)*$F74,0),IFERROR(VLOOKUP($G:$G,Structure!$A:$AJ,N$1,0)*$H74,0))</f>
        <v>0</v>
      </c>
      <c r="O74" s="9">
        <f>SUM(IFERROR(VLOOKUP($C:$C,Structure!$A:$AJ,O$1,0)*$D74,0),IFERROR(VLOOKUP($E:$E,Structure!$A:$AJ,O$1,0)*$F74,0),IFERROR(VLOOKUP($G:$G,Structure!$A:$AJ,O$1,0)*$H74,0))</f>
        <v>0</v>
      </c>
      <c r="P74" s="9">
        <f>SUM(IFERROR(VLOOKUP($C:$C,Structure!$A:$AJ,P$1,0)*$D74,0),IFERROR(VLOOKUP($E:$E,Structure!$A:$AJ,P$1,0)*$F74,0),IFERROR(VLOOKUP($G:$G,Structure!$A:$AJ,P$1,0)*$H74,0))</f>
        <v>8</v>
      </c>
      <c r="Q74" s="9">
        <f>SUM(IFERROR(VLOOKUP($C:$C,Structure!$A:$AJ,Q$1,0)*$D74,0),IFERROR(VLOOKUP($E:$E,Structure!$A:$AJ,Q$1,0)*$F74,0),IFERROR(VLOOKUP($G:$G,Structure!$A:$AJ,Q$1,0)*$H74,0))</f>
        <v>0</v>
      </c>
      <c r="R74" s="9">
        <f>SUM(IFERROR(VLOOKUP($C:$C,Structure!$A:$AJ,R$1,0)*$D74,0),IFERROR(VLOOKUP($E:$E,Structure!$A:$AJ,R$1,0)*$F74,0),IFERROR(VLOOKUP($G:$G,Structure!$A:$AJ,R$1,0)*$H74,0))</f>
        <v>0</v>
      </c>
      <c r="S74" s="9">
        <f>SUM(IFERROR(VLOOKUP($C:$C,Structure!$A:$AJ,S$1,0)*$D74,0),IFERROR(VLOOKUP($E:$E,Structure!$A:$AJ,S$1,0)*$F74,0),IFERROR(VLOOKUP($G:$G,Structure!$A:$AJ,S$1,0)*$H74,0))</f>
        <v>0</v>
      </c>
      <c r="T74" s="9">
        <f>SUM(IFERROR(VLOOKUP($C:$C,Structure!$A:$AJ,T$1,0)*$D74,0),IFERROR(VLOOKUP($E:$E,Structure!$A:$AJ,T$1,0)*$F74,0),IFERROR(VLOOKUP($G:$G,Structure!$A:$AJ,T$1,0)*$H74,0))</f>
        <v>0</v>
      </c>
      <c r="U74" s="9">
        <f>SUM(IFERROR(VLOOKUP($C:$C,Structure!$A:$AJ,U$1,0)*$D74,0),IFERROR(VLOOKUP($E:$E,Structure!$A:$AJ,U$1,0)*$F74,0),IFERROR(VLOOKUP($G:$G,Structure!$A:$AJ,U$1,0)*$H74,0))</f>
        <v>0</v>
      </c>
      <c r="V74" s="9">
        <f>SUM(IFERROR(VLOOKUP($C:$C,Structure!$A:$AJ,V$1,0)*$D74,0),IFERROR(VLOOKUP($E:$E,Structure!$A:$AJ,V$1,0)*$F74,0),IFERROR(VLOOKUP($G:$G,Structure!$A:$AJ,V$1,0)*$H74,0))</f>
        <v>0</v>
      </c>
      <c r="W74" s="9">
        <f>SUM(IFERROR(VLOOKUP($C:$C,Structure!$A:$AJ,W$1,0)*$D74,0),IFERROR(VLOOKUP($E:$E,Structure!$A:$AJ,W$1,0)*$F74,0),IFERROR(VLOOKUP($G:$G,Structure!$A:$AJ,W$1,0)*$H74,0))</f>
        <v>0</v>
      </c>
      <c r="X74" s="9">
        <f>SUM(IFERROR(VLOOKUP($C:$C,Structure!$A:$AJ,X$1,0)*$D74,0),IFERROR(VLOOKUP($E:$E,Structure!$A:$AJ,X$1,0)*$F74,0),IFERROR(VLOOKUP($G:$G,Structure!$A:$AJ,X$1,0)*$H74,0))</f>
        <v>0</v>
      </c>
      <c r="Y74" s="9">
        <f>SUM(IFERROR(VLOOKUP($C:$C,Structure!$A:$AJ,Y$1,0)*$D74,0),IFERROR(VLOOKUP($E:$E,Structure!$A:$AJ,Y$1,0)*$F74,0),IFERROR(VLOOKUP($G:$G,Structure!$A:$AJ,Y$1,0)*$H74,0))</f>
        <v>0</v>
      </c>
      <c r="Z74" s="9">
        <f>SUM(IFERROR(VLOOKUP($C:$C,Structure!$A:$AJ,Z$1,0)*$D74,0),IFERROR(VLOOKUP($E:$E,Structure!$A:$AJ,Z$1,0)*$F74,0),IFERROR(VLOOKUP($G:$G,Structure!$A:$AJ,Z$1,0)*$H74,0))</f>
        <v>0</v>
      </c>
      <c r="AA74" s="9">
        <f>SUM(IFERROR(VLOOKUP($C:$C,Structure!$A:$AJ,AA$1,0)*$D74,0),IFERROR(VLOOKUP($E:$E,Structure!$A:$AJ,AA$1,0)*$F74,0),IFERROR(VLOOKUP($G:$G,Structure!$A:$AJ,AA$1,0)*$H74,0))</f>
        <v>0</v>
      </c>
      <c r="AB74" s="9">
        <f>SUM(IFERROR(VLOOKUP($C:$C,Structure!$A:$AJ,AB$1,0)*$D74,0),IFERROR(VLOOKUP($E:$E,Structure!$A:$AJ,AB$1,0)*$F74,0),IFERROR(VLOOKUP($G:$G,Structure!$A:$AJ,AB$1,0)*$H74,0))</f>
        <v>0</v>
      </c>
      <c r="AC74" s="9">
        <f>SUM(IFERROR(VLOOKUP($C:$C,Structure!$A:$AJ,AC$1,0)*$D74,0),IFERROR(VLOOKUP($E:$E,Structure!$A:$AJ,AC$1,0)*$F74,0),IFERROR(VLOOKUP($G:$G,Structure!$A:$AJ,AC$1,0)*$H74,0))</f>
        <v>0</v>
      </c>
      <c r="AD74" s="9">
        <f>SUM(IFERROR(VLOOKUP($C:$C,Structure!$A:$AJ,AD$1,0)*$D74,0),IFERROR(VLOOKUP($E:$E,Structure!$A:$AJ,AD$1,0)*$F74,0),IFERROR(VLOOKUP($G:$G,Structure!$A:$AJ,AD$1,0)*$H74,0))</f>
        <v>0</v>
      </c>
      <c r="AE74" s="9">
        <f>SUM(IFERROR(VLOOKUP($C:$C,Structure!$A:$AJ,AE$1,0)*$D74,0),IFERROR(VLOOKUP($E:$E,Structure!$A:$AJ,AE$1,0)*$F74,0),IFERROR(VLOOKUP($G:$G,Structure!$A:$AJ,AE$1,0)*$H74,0))</f>
        <v>0</v>
      </c>
      <c r="AF74" s="9">
        <f>SUM(IFERROR(VLOOKUP($C:$C,Structure!$A:$AJ,AF$1,0)*$D74,0),IFERROR(VLOOKUP($E:$E,Structure!$A:$AJ,AF$1,0)*$F74,0),IFERROR(VLOOKUP($G:$G,Structure!$A:$AJ,AF$1,0)*$H74,0))</f>
        <v>0</v>
      </c>
      <c r="AG74" s="9">
        <f>SUM(IFERROR(VLOOKUP($C:$C,Structure!$A:$AJ,AG$1,0)*$D74,0),IFERROR(VLOOKUP($E:$E,Structure!$A:$AJ,AG$1,0)*$F74,0),IFERROR(VLOOKUP($G:$G,Structure!$A:$AJ,AG$1,0)*$H74,0))</f>
        <v>0</v>
      </c>
      <c r="AH74" s="9">
        <f>SUM(IFERROR(VLOOKUP($C:$C,Structure!$A:$AJ,AH$1,0)*$D74,0),IFERROR(VLOOKUP($E:$E,Structure!$A:$AJ,AH$1,0)*$F74,0),IFERROR(VLOOKUP($G:$G,Structure!$A:$AJ,AH$1,0)*$H74,0))</f>
        <v>0</v>
      </c>
      <c r="AI74" s="9">
        <f>SUM(IFERROR(VLOOKUP($C:$C,Structure!$A:$AJ,AI$1,0)*$D74,0),IFERROR(VLOOKUP($E:$E,Structure!$A:$AJ,AI$1,0)*$F74,0),IFERROR(VLOOKUP($G:$G,Structure!$A:$AJ,AI$1,0)*$H74,0))</f>
        <v>0</v>
      </c>
      <c r="AJ74" s="9">
        <f>SUM(IFERROR(VLOOKUP($C:$C,Structure!$A:$AJ,AJ$1,0)*$D74,0),IFERROR(VLOOKUP($E:$E,Structure!$A:$AJ,AJ$1,0)*$F74,0),IFERROR(VLOOKUP($G:$G,Structure!$A:$AJ,AJ$1,0)*$H74,0))</f>
        <v>0</v>
      </c>
      <c r="AK74" s="9">
        <f>SUM(IFERROR(VLOOKUP($C:$C,Structure!$A:$AJ,AK$1,0)*$D74,0),IFERROR(VLOOKUP($E:$E,Structure!$A:$AJ,AK$1,0)*$F74,0),IFERROR(VLOOKUP($G:$G,Structure!$A:$AJ,AK$1,0)*$H74,0))</f>
        <v>0</v>
      </c>
      <c r="AL74" s="9">
        <f>SUM(IFERROR(VLOOKUP($C:$C,Structure!$A:$AJ,AL$1,0)*$D74,0),IFERROR(VLOOKUP($E:$E,Structure!$A:$AJ,AL$1,0)*$F74,0),IFERROR(VLOOKUP($G:$G,Structure!$A:$AJ,AL$1,0)*$H74,0))</f>
        <v>0</v>
      </c>
      <c r="AM74" s="9">
        <f>SUM(IFERROR(VLOOKUP($C:$C,Structure!$A:$AJ,AM$1,0)*$D74,0),IFERROR(VLOOKUP($E:$E,Structure!$A:$AJ,AM$1,0)*$F74,0),IFERROR(VLOOKUP($G:$G,Structure!$A:$AJ,AM$1,0)*$H74,0))</f>
        <v>0</v>
      </c>
      <c r="AN74" s="9">
        <f>SUM(IFERROR(VLOOKUP($C:$C,Structure!$A:$AJ,AN$1,0)*$D74,0),IFERROR(VLOOKUP($E:$E,Structure!$A:$AJ,AN$1,0)*$F74,0),IFERROR(VLOOKUP($G:$G,Structure!$A:$AJ,AN$1,0)*$H74,0))</f>
        <v>0</v>
      </c>
      <c r="AO74" s="9">
        <f>SUM(IFERROR(VLOOKUP($C:$C,Structure!$A:$AJ,AO$1,0)*$D74,0),IFERROR(VLOOKUP($E:$E,Structure!$A:$AJ,AO$1,0)*$F74,0),IFERROR(VLOOKUP($G:$G,Structure!$A:$AJ,AO$1,0)*$H74,0))</f>
        <v>0</v>
      </c>
      <c r="AP74" s="9">
        <f>SUM(IFERROR(VLOOKUP($C:$C,Structure!$A:$AJ,AP$1,0)*$D74,0),IFERROR(VLOOKUP($E:$E,Structure!$A:$AJ,AP$1,0)*$F74,0),IFERROR(VLOOKUP($G:$G,Structure!$A:$AJ,AP$1,0)*$H74,0))</f>
        <v>0</v>
      </c>
      <c r="AQ74" s="9">
        <f>SUM(IFERROR(VLOOKUP($C:$C,Structure!$A:$AJ,AQ$1,0)*$D74,0),IFERROR(VLOOKUP($E:$E,Structure!$A:$AJ,AQ$1,0)*$F74,0),IFERROR(VLOOKUP($G:$G,Structure!$A:$AJ,AQ$1,0)*$H74,0))</f>
        <v>0</v>
      </c>
      <c r="AR74" s="21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4">
        <f t="shared" si="92"/>
        <v>0</v>
      </c>
      <c r="CE74" s="4">
        <f t="shared" si="93"/>
        <v>69</v>
      </c>
      <c r="CF74" s="4">
        <f t="shared" si="94"/>
        <v>4</v>
      </c>
      <c r="CG74" s="4">
        <f t="shared" si="95"/>
        <v>23</v>
      </c>
      <c r="CH74" s="4">
        <f t="shared" si="96"/>
        <v>1</v>
      </c>
      <c r="CI74" s="4">
        <f t="shared" si="97"/>
        <v>51</v>
      </c>
      <c r="CJ74" s="4">
        <f t="shared" si="98"/>
        <v>-58</v>
      </c>
      <c r="CK74" s="4">
        <f t="shared" si="99"/>
        <v>198</v>
      </c>
      <c r="CL74" s="4">
        <f t="shared" si="100"/>
        <v>0</v>
      </c>
      <c r="CM74" s="4">
        <f t="shared" si="101"/>
        <v>4</v>
      </c>
      <c r="CN74" s="4">
        <f t="shared" si="102"/>
        <v>-20</v>
      </c>
      <c r="CO74" s="4">
        <f t="shared" si="103"/>
        <v>0</v>
      </c>
      <c r="CP74" s="4">
        <f t="shared" si="104"/>
        <v>3</v>
      </c>
      <c r="CQ74" s="4">
        <f t="shared" si="105"/>
        <v>-153</v>
      </c>
      <c r="CR74" s="4">
        <f t="shared" si="106"/>
        <v>34</v>
      </c>
      <c r="CS74" s="4">
        <f t="shared" si="107"/>
        <v>0</v>
      </c>
      <c r="CT74" s="4">
        <f t="shared" si="108"/>
        <v>0</v>
      </c>
      <c r="CU74" s="4">
        <f t="shared" si="109"/>
        <v>0</v>
      </c>
      <c r="CV74" s="4">
        <f t="shared" si="110"/>
        <v>0</v>
      </c>
      <c r="CW74" s="4">
        <f t="shared" si="111"/>
        <v>0</v>
      </c>
      <c r="CX74" s="4">
        <f t="shared" si="112"/>
        <v>-135</v>
      </c>
      <c r="CY74" s="4">
        <f t="shared" si="113"/>
        <v>0</v>
      </c>
      <c r="CZ74" s="4">
        <f t="shared" si="114"/>
        <v>0</v>
      </c>
      <c r="DA74" s="4">
        <f t="shared" si="115"/>
        <v>0</v>
      </c>
      <c r="DB74" s="4">
        <f t="shared" si="116"/>
        <v>0</v>
      </c>
      <c r="DC74" s="4">
        <f t="shared" si="117"/>
        <v>0</v>
      </c>
      <c r="DD74" s="4">
        <f t="shared" si="118"/>
        <v>0</v>
      </c>
      <c r="DE74" s="4">
        <f t="shared" si="119"/>
        <v>0</v>
      </c>
      <c r="DF74" s="4">
        <f t="shared" si="120"/>
        <v>0</v>
      </c>
      <c r="DG74" s="4">
        <f t="shared" si="121"/>
        <v>0</v>
      </c>
      <c r="DH74" s="4">
        <f t="shared" si="122"/>
        <v>0</v>
      </c>
      <c r="DI74" s="4">
        <f t="shared" si="123"/>
        <v>0</v>
      </c>
      <c r="DJ74" s="4">
        <f t="shared" si="124"/>
        <v>0</v>
      </c>
      <c r="DK74" s="4">
        <f t="shared" si="125"/>
        <v>0</v>
      </c>
      <c r="DL74" s="4">
        <f t="shared" si="126"/>
        <v>0</v>
      </c>
    </row>
    <row r="75" spans="1:116" x14ac:dyDescent="0.25">
      <c r="A75" s="5">
        <v>46184</v>
      </c>
      <c r="B75" s="6">
        <v>0.81250000017462298</v>
      </c>
      <c r="C75" s="3"/>
      <c r="D75" s="3"/>
      <c r="E75" s="3" t="s">
        <v>40</v>
      </c>
      <c r="F75" s="3">
        <v>8</v>
      </c>
      <c r="G75" s="3"/>
      <c r="H75" s="9"/>
      <c r="I75" s="9">
        <f>SUM(IFERROR(VLOOKUP($C:$C,Structure!$A:$AJ,I$1,0)*$D75,0),IFERROR(VLOOKUP($E:$E,Structure!$A:$AJ,I$1,0)*$F75,0),IFERROR(VLOOKUP($G:$G,Structure!$A:$AJ,I$1,0)*$H75,0))</f>
        <v>0</v>
      </c>
      <c r="J75" s="9">
        <f>SUM(IFERROR(VLOOKUP($C:$C,Structure!$A:$AJ,J$1,0)*$D75,0),IFERROR(VLOOKUP($E:$E,Structure!$A:$AJ,J$1,0)*$F75,0),IFERROR(VLOOKUP($G:$G,Structure!$A:$AJ,J$1,0)*$H75,0))</f>
        <v>8</v>
      </c>
      <c r="K75" s="9">
        <f>SUM(IFERROR(VLOOKUP($C:$C,Structure!$A:$AJ,K$1,0)*$D75,0),IFERROR(VLOOKUP($E:$E,Structure!$A:$AJ,K$1,0)*$F75,0),IFERROR(VLOOKUP($G:$G,Structure!$A:$AJ,K$1,0)*$H75,0))</f>
        <v>0</v>
      </c>
      <c r="L75" s="9">
        <f>SUM(IFERROR(VLOOKUP($C:$C,Structure!$A:$AJ,L$1,0)*$D75,0),IFERROR(VLOOKUP($E:$E,Structure!$A:$AJ,L$1,0)*$F75,0),IFERROR(VLOOKUP($G:$G,Structure!$A:$AJ,L$1,0)*$H75,0))</f>
        <v>0</v>
      </c>
      <c r="M75" s="9">
        <f>SUM(IFERROR(VLOOKUP($C:$C,Structure!$A:$AJ,M$1,0)*$D75,0),IFERROR(VLOOKUP($E:$E,Structure!$A:$AJ,M$1,0)*$F75,0),IFERROR(VLOOKUP($G:$G,Structure!$A:$AJ,M$1,0)*$H75,0))</f>
        <v>0</v>
      </c>
      <c r="N75" s="9">
        <f>SUM(IFERROR(VLOOKUP($C:$C,Structure!$A:$AJ,N$1,0)*$D75,0),IFERROR(VLOOKUP($E:$E,Structure!$A:$AJ,N$1,0)*$F75,0),IFERROR(VLOOKUP($G:$G,Structure!$A:$AJ,N$1,0)*$H75,0))</f>
        <v>0</v>
      </c>
      <c r="O75" s="9">
        <f>SUM(IFERROR(VLOOKUP($C:$C,Structure!$A:$AJ,O$1,0)*$D75,0),IFERROR(VLOOKUP($E:$E,Structure!$A:$AJ,O$1,0)*$F75,0),IFERROR(VLOOKUP($G:$G,Structure!$A:$AJ,O$1,0)*$H75,0))</f>
        <v>0</v>
      </c>
      <c r="P75" s="9">
        <f>SUM(IFERROR(VLOOKUP($C:$C,Structure!$A:$AJ,P$1,0)*$D75,0),IFERROR(VLOOKUP($E:$E,Structure!$A:$AJ,P$1,0)*$F75,0),IFERROR(VLOOKUP($G:$G,Structure!$A:$AJ,P$1,0)*$H75,0))</f>
        <v>8</v>
      </c>
      <c r="Q75" s="9">
        <f>SUM(IFERROR(VLOOKUP($C:$C,Structure!$A:$AJ,Q$1,0)*$D75,0),IFERROR(VLOOKUP($E:$E,Structure!$A:$AJ,Q$1,0)*$F75,0),IFERROR(VLOOKUP($G:$G,Structure!$A:$AJ,Q$1,0)*$H75,0))</f>
        <v>0</v>
      </c>
      <c r="R75" s="9">
        <f>SUM(IFERROR(VLOOKUP($C:$C,Structure!$A:$AJ,R$1,0)*$D75,0),IFERROR(VLOOKUP($E:$E,Structure!$A:$AJ,R$1,0)*$F75,0),IFERROR(VLOOKUP($G:$G,Structure!$A:$AJ,R$1,0)*$H75,0))</f>
        <v>0</v>
      </c>
      <c r="S75" s="9">
        <f>SUM(IFERROR(VLOOKUP($C:$C,Structure!$A:$AJ,S$1,0)*$D75,0),IFERROR(VLOOKUP($E:$E,Structure!$A:$AJ,S$1,0)*$F75,0),IFERROR(VLOOKUP($G:$G,Structure!$A:$AJ,S$1,0)*$H75,0))</f>
        <v>0</v>
      </c>
      <c r="T75" s="9">
        <f>SUM(IFERROR(VLOOKUP($C:$C,Structure!$A:$AJ,T$1,0)*$D75,0),IFERROR(VLOOKUP($E:$E,Structure!$A:$AJ,T$1,0)*$F75,0),IFERROR(VLOOKUP($G:$G,Structure!$A:$AJ,T$1,0)*$H75,0))</f>
        <v>0</v>
      </c>
      <c r="U75" s="9">
        <f>SUM(IFERROR(VLOOKUP($C:$C,Structure!$A:$AJ,U$1,0)*$D75,0),IFERROR(VLOOKUP($E:$E,Structure!$A:$AJ,U$1,0)*$F75,0),IFERROR(VLOOKUP($G:$G,Structure!$A:$AJ,U$1,0)*$H75,0))</f>
        <v>0</v>
      </c>
      <c r="V75" s="9">
        <f>SUM(IFERROR(VLOOKUP($C:$C,Structure!$A:$AJ,V$1,0)*$D75,0),IFERROR(VLOOKUP($E:$E,Structure!$A:$AJ,V$1,0)*$F75,0),IFERROR(VLOOKUP($G:$G,Structure!$A:$AJ,V$1,0)*$H75,0))</f>
        <v>0</v>
      </c>
      <c r="W75" s="9">
        <f>SUM(IFERROR(VLOOKUP($C:$C,Structure!$A:$AJ,W$1,0)*$D75,0),IFERROR(VLOOKUP($E:$E,Structure!$A:$AJ,W$1,0)*$F75,0),IFERROR(VLOOKUP($G:$G,Structure!$A:$AJ,W$1,0)*$H75,0))</f>
        <v>0</v>
      </c>
      <c r="X75" s="9">
        <f>SUM(IFERROR(VLOOKUP($C:$C,Structure!$A:$AJ,X$1,0)*$D75,0),IFERROR(VLOOKUP($E:$E,Structure!$A:$AJ,X$1,0)*$F75,0),IFERROR(VLOOKUP($G:$G,Structure!$A:$AJ,X$1,0)*$H75,0))</f>
        <v>0</v>
      </c>
      <c r="Y75" s="9">
        <f>SUM(IFERROR(VLOOKUP($C:$C,Structure!$A:$AJ,Y$1,0)*$D75,0),IFERROR(VLOOKUP($E:$E,Structure!$A:$AJ,Y$1,0)*$F75,0),IFERROR(VLOOKUP($G:$G,Structure!$A:$AJ,Y$1,0)*$H75,0))</f>
        <v>0</v>
      </c>
      <c r="Z75" s="9">
        <f>SUM(IFERROR(VLOOKUP($C:$C,Structure!$A:$AJ,Z$1,0)*$D75,0),IFERROR(VLOOKUP($E:$E,Structure!$A:$AJ,Z$1,0)*$F75,0),IFERROR(VLOOKUP($G:$G,Structure!$A:$AJ,Z$1,0)*$H75,0))</f>
        <v>0</v>
      </c>
      <c r="AA75" s="9">
        <f>SUM(IFERROR(VLOOKUP($C:$C,Structure!$A:$AJ,AA$1,0)*$D75,0),IFERROR(VLOOKUP($E:$E,Structure!$A:$AJ,AA$1,0)*$F75,0),IFERROR(VLOOKUP($G:$G,Structure!$A:$AJ,AA$1,0)*$H75,0))</f>
        <v>0</v>
      </c>
      <c r="AB75" s="9">
        <f>SUM(IFERROR(VLOOKUP($C:$C,Structure!$A:$AJ,AB$1,0)*$D75,0),IFERROR(VLOOKUP($E:$E,Structure!$A:$AJ,AB$1,0)*$F75,0),IFERROR(VLOOKUP($G:$G,Structure!$A:$AJ,AB$1,0)*$H75,0))</f>
        <v>0</v>
      </c>
      <c r="AC75" s="9">
        <f>SUM(IFERROR(VLOOKUP($C:$C,Structure!$A:$AJ,AC$1,0)*$D75,0),IFERROR(VLOOKUP($E:$E,Structure!$A:$AJ,AC$1,0)*$F75,0),IFERROR(VLOOKUP($G:$G,Structure!$A:$AJ,AC$1,0)*$H75,0))</f>
        <v>0</v>
      </c>
      <c r="AD75" s="9">
        <f>SUM(IFERROR(VLOOKUP($C:$C,Structure!$A:$AJ,AD$1,0)*$D75,0),IFERROR(VLOOKUP($E:$E,Structure!$A:$AJ,AD$1,0)*$F75,0),IFERROR(VLOOKUP($G:$G,Structure!$A:$AJ,AD$1,0)*$H75,0))</f>
        <v>0</v>
      </c>
      <c r="AE75" s="9">
        <f>SUM(IFERROR(VLOOKUP($C:$C,Structure!$A:$AJ,AE$1,0)*$D75,0),IFERROR(VLOOKUP($E:$E,Structure!$A:$AJ,AE$1,0)*$F75,0),IFERROR(VLOOKUP($G:$G,Structure!$A:$AJ,AE$1,0)*$H75,0))</f>
        <v>0</v>
      </c>
      <c r="AF75" s="9">
        <f>SUM(IFERROR(VLOOKUP($C:$C,Structure!$A:$AJ,AF$1,0)*$D75,0),IFERROR(VLOOKUP($E:$E,Structure!$A:$AJ,AF$1,0)*$F75,0),IFERROR(VLOOKUP($G:$G,Structure!$A:$AJ,AF$1,0)*$H75,0))</f>
        <v>0</v>
      </c>
      <c r="AG75" s="9">
        <f>SUM(IFERROR(VLOOKUP($C:$C,Structure!$A:$AJ,AG$1,0)*$D75,0),IFERROR(VLOOKUP($E:$E,Structure!$A:$AJ,AG$1,0)*$F75,0),IFERROR(VLOOKUP($G:$G,Structure!$A:$AJ,AG$1,0)*$H75,0))</f>
        <v>0</v>
      </c>
      <c r="AH75" s="9">
        <f>SUM(IFERROR(VLOOKUP($C:$C,Structure!$A:$AJ,AH$1,0)*$D75,0),IFERROR(VLOOKUP($E:$E,Structure!$A:$AJ,AH$1,0)*$F75,0),IFERROR(VLOOKUP($G:$G,Structure!$A:$AJ,AH$1,0)*$H75,0))</f>
        <v>0</v>
      </c>
      <c r="AI75" s="9">
        <f>SUM(IFERROR(VLOOKUP($C:$C,Structure!$A:$AJ,AI$1,0)*$D75,0),IFERROR(VLOOKUP($E:$E,Structure!$A:$AJ,AI$1,0)*$F75,0),IFERROR(VLOOKUP($G:$G,Structure!$A:$AJ,AI$1,0)*$H75,0))</f>
        <v>0</v>
      </c>
      <c r="AJ75" s="9">
        <f>SUM(IFERROR(VLOOKUP($C:$C,Structure!$A:$AJ,AJ$1,0)*$D75,0),IFERROR(VLOOKUP($E:$E,Structure!$A:$AJ,AJ$1,0)*$F75,0),IFERROR(VLOOKUP($G:$G,Structure!$A:$AJ,AJ$1,0)*$H75,0))</f>
        <v>0</v>
      </c>
      <c r="AK75" s="9">
        <f>SUM(IFERROR(VLOOKUP($C:$C,Structure!$A:$AJ,AK$1,0)*$D75,0),IFERROR(VLOOKUP($E:$E,Structure!$A:$AJ,AK$1,0)*$F75,0),IFERROR(VLOOKUP($G:$G,Structure!$A:$AJ,AK$1,0)*$H75,0))</f>
        <v>0</v>
      </c>
      <c r="AL75" s="9">
        <f>SUM(IFERROR(VLOOKUP($C:$C,Structure!$A:$AJ,AL$1,0)*$D75,0),IFERROR(VLOOKUP($E:$E,Structure!$A:$AJ,AL$1,0)*$F75,0),IFERROR(VLOOKUP($G:$G,Structure!$A:$AJ,AL$1,0)*$H75,0))</f>
        <v>0</v>
      </c>
      <c r="AM75" s="9">
        <f>SUM(IFERROR(VLOOKUP($C:$C,Structure!$A:$AJ,AM$1,0)*$D75,0),IFERROR(VLOOKUP($E:$E,Structure!$A:$AJ,AM$1,0)*$F75,0),IFERROR(VLOOKUP($G:$G,Structure!$A:$AJ,AM$1,0)*$H75,0))</f>
        <v>0</v>
      </c>
      <c r="AN75" s="9">
        <f>SUM(IFERROR(VLOOKUP($C:$C,Structure!$A:$AJ,AN$1,0)*$D75,0),IFERROR(VLOOKUP($E:$E,Structure!$A:$AJ,AN$1,0)*$F75,0),IFERROR(VLOOKUP($G:$G,Structure!$A:$AJ,AN$1,0)*$H75,0))</f>
        <v>0</v>
      </c>
      <c r="AO75" s="9">
        <f>SUM(IFERROR(VLOOKUP($C:$C,Structure!$A:$AJ,AO$1,0)*$D75,0),IFERROR(VLOOKUP($E:$E,Structure!$A:$AJ,AO$1,0)*$F75,0),IFERROR(VLOOKUP($G:$G,Structure!$A:$AJ,AO$1,0)*$H75,0))</f>
        <v>0</v>
      </c>
      <c r="AP75" s="9">
        <f>SUM(IFERROR(VLOOKUP($C:$C,Structure!$A:$AJ,AP$1,0)*$D75,0),IFERROR(VLOOKUP($E:$E,Structure!$A:$AJ,AP$1,0)*$F75,0),IFERROR(VLOOKUP($G:$G,Structure!$A:$AJ,AP$1,0)*$H75,0))</f>
        <v>0</v>
      </c>
      <c r="AQ75" s="9">
        <f>SUM(IFERROR(VLOOKUP($C:$C,Structure!$A:$AJ,AQ$1,0)*$D75,0),IFERROR(VLOOKUP($E:$E,Structure!$A:$AJ,AQ$1,0)*$F75,0),IFERROR(VLOOKUP($G:$G,Structure!$A:$AJ,AQ$1,0)*$H75,0))</f>
        <v>0</v>
      </c>
      <c r="AR75" s="21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4">
        <f t="shared" si="92"/>
        <v>0</v>
      </c>
      <c r="CE75" s="4">
        <f t="shared" si="93"/>
        <v>61</v>
      </c>
      <c r="CF75" s="4">
        <f t="shared" si="94"/>
        <v>4</v>
      </c>
      <c r="CG75" s="4">
        <f t="shared" si="95"/>
        <v>23</v>
      </c>
      <c r="CH75" s="4">
        <f t="shared" si="96"/>
        <v>1</v>
      </c>
      <c r="CI75" s="4">
        <f t="shared" si="97"/>
        <v>51</v>
      </c>
      <c r="CJ75" s="4">
        <f t="shared" si="98"/>
        <v>-58</v>
      </c>
      <c r="CK75" s="4">
        <f t="shared" si="99"/>
        <v>190</v>
      </c>
      <c r="CL75" s="4">
        <f t="shared" si="100"/>
        <v>0</v>
      </c>
      <c r="CM75" s="4">
        <f t="shared" si="101"/>
        <v>4</v>
      </c>
      <c r="CN75" s="4">
        <f t="shared" si="102"/>
        <v>-20</v>
      </c>
      <c r="CO75" s="4">
        <f t="shared" si="103"/>
        <v>0</v>
      </c>
      <c r="CP75" s="4">
        <f t="shared" si="104"/>
        <v>3</v>
      </c>
      <c r="CQ75" s="4">
        <f t="shared" si="105"/>
        <v>-153</v>
      </c>
      <c r="CR75" s="4">
        <f t="shared" si="106"/>
        <v>34</v>
      </c>
      <c r="CS75" s="4">
        <f t="shared" si="107"/>
        <v>0</v>
      </c>
      <c r="CT75" s="4">
        <f t="shared" si="108"/>
        <v>0</v>
      </c>
      <c r="CU75" s="4">
        <f t="shared" si="109"/>
        <v>0</v>
      </c>
      <c r="CV75" s="4">
        <f t="shared" si="110"/>
        <v>0</v>
      </c>
      <c r="CW75" s="4">
        <f t="shared" si="111"/>
        <v>0</v>
      </c>
      <c r="CX75" s="4">
        <f t="shared" si="112"/>
        <v>-135</v>
      </c>
      <c r="CY75" s="4">
        <f t="shared" si="113"/>
        <v>0</v>
      </c>
      <c r="CZ75" s="4">
        <f t="shared" si="114"/>
        <v>0</v>
      </c>
      <c r="DA75" s="4">
        <f t="shared" si="115"/>
        <v>0</v>
      </c>
      <c r="DB75" s="4">
        <f t="shared" si="116"/>
        <v>0</v>
      </c>
      <c r="DC75" s="4">
        <f t="shared" si="117"/>
        <v>0</v>
      </c>
      <c r="DD75" s="4">
        <f t="shared" si="118"/>
        <v>0</v>
      </c>
      <c r="DE75" s="4">
        <f t="shared" si="119"/>
        <v>0</v>
      </c>
      <c r="DF75" s="4">
        <f t="shared" si="120"/>
        <v>0</v>
      </c>
      <c r="DG75" s="4">
        <f t="shared" si="121"/>
        <v>0</v>
      </c>
      <c r="DH75" s="4">
        <f t="shared" si="122"/>
        <v>0</v>
      </c>
      <c r="DI75" s="4">
        <f t="shared" si="123"/>
        <v>0</v>
      </c>
      <c r="DJ75" s="4">
        <f t="shared" si="124"/>
        <v>0</v>
      </c>
      <c r="DK75" s="4">
        <f t="shared" si="125"/>
        <v>0</v>
      </c>
      <c r="DL75" s="4">
        <f t="shared" si="126"/>
        <v>0</v>
      </c>
    </row>
    <row r="76" spans="1:116" x14ac:dyDescent="0.25">
      <c r="A76" s="5">
        <v>46184</v>
      </c>
      <c r="B76" s="6">
        <v>0.83333333351038164</v>
      </c>
      <c r="C76" s="3"/>
      <c r="D76" s="3"/>
      <c r="E76" s="3" t="s">
        <v>40</v>
      </c>
      <c r="F76" s="3">
        <v>8</v>
      </c>
      <c r="G76" s="3"/>
      <c r="H76" s="9"/>
      <c r="I76" s="9">
        <f>SUM(IFERROR(VLOOKUP($C:$C,Structure!$A:$AJ,I$1,0)*$D76,0),IFERROR(VLOOKUP($E:$E,Structure!$A:$AJ,I$1,0)*$F76,0),IFERROR(VLOOKUP($G:$G,Structure!$A:$AJ,I$1,0)*$H76,0))</f>
        <v>0</v>
      </c>
      <c r="J76" s="9">
        <f>SUM(IFERROR(VLOOKUP($C:$C,Structure!$A:$AJ,J$1,0)*$D76,0),IFERROR(VLOOKUP($E:$E,Structure!$A:$AJ,J$1,0)*$F76,0),IFERROR(VLOOKUP($G:$G,Structure!$A:$AJ,J$1,0)*$H76,0))</f>
        <v>8</v>
      </c>
      <c r="K76" s="9">
        <f>SUM(IFERROR(VLOOKUP($C:$C,Structure!$A:$AJ,K$1,0)*$D76,0),IFERROR(VLOOKUP($E:$E,Structure!$A:$AJ,K$1,0)*$F76,0),IFERROR(VLOOKUP($G:$G,Structure!$A:$AJ,K$1,0)*$H76,0))</f>
        <v>0</v>
      </c>
      <c r="L76" s="9">
        <f>SUM(IFERROR(VLOOKUP($C:$C,Structure!$A:$AJ,L$1,0)*$D76,0),IFERROR(VLOOKUP($E:$E,Structure!$A:$AJ,L$1,0)*$F76,0),IFERROR(VLOOKUP($G:$G,Structure!$A:$AJ,L$1,0)*$H76,0))</f>
        <v>0</v>
      </c>
      <c r="M76" s="9">
        <f>SUM(IFERROR(VLOOKUP($C:$C,Structure!$A:$AJ,M$1,0)*$D76,0),IFERROR(VLOOKUP($E:$E,Structure!$A:$AJ,M$1,0)*$F76,0),IFERROR(VLOOKUP($G:$G,Structure!$A:$AJ,M$1,0)*$H76,0))</f>
        <v>0</v>
      </c>
      <c r="N76" s="9">
        <f>SUM(IFERROR(VLOOKUP($C:$C,Structure!$A:$AJ,N$1,0)*$D76,0),IFERROR(VLOOKUP($E:$E,Structure!$A:$AJ,N$1,0)*$F76,0),IFERROR(VLOOKUP($G:$G,Structure!$A:$AJ,N$1,0)*$H76,0))</f>
        <v>0</v>
      </c>
      <c r="O76" s="9">
        <f>SUM(IFERROR(VLOOKUP($C:$C,Structure!$A:$AJ,O$1,0)*$D76,0),IFERROR(VLOOKUP($E:$E,Structure!$A:$AJ,O$1,0)*$F76,0),IFERROR(VLOOKUP($G:$G,Structure!$A:$AJ,O$1,0)*$H76,0))</f>
        <v>0</v>
      </c>
      <c r="P76" s="9">
        <f>SUM(IFERROR(VLOOKUP($C:$C,Structure!$A:$AJ,P$1,0)*$D76,0),IFERROR(VLOOKUP($E:$E,Structure!$A:$AJ,P$1,0)*$F76,0),IFERROR(VLOOKUP($G:$G,Structure!$A:$AJ,P$1,0)*$H76,0))</f>
        <v>8</v>
      </c>
      <c r="Q76" s="9">
        <f>SUM(IFERROR(VLOOKUP($C:$C,Structure!$A:$AJ,Q$1,0)*$D76,0),IFERROR(VLOOKUP($E:$E,Structure!$A:$AJ,Q$1,0)*$F76,0),IFERROR(VLOOKUP($G:$G,Structure!$A:$AJ,Q$1,0)*$H76,0))</f>
        <v>0</v>
      </c>
      <c r="R76" s="9">
        <f>SUM(IFERROR(VLOOKUP($C:$C,Structure!$A:$AJ,R$1,0)*$D76,0),IFERROR(VLOOKUP($E:$E,Structure!$A:$AJ,R$1,0)*$F76,0),IFERROR(VLOOKUP($G:$G,Structure!$A:$AJ,R$1,0)*$H76,0))</f>
        <v>0</v>
      </c>
      <c r="S76" s="9">
        <f>SUM(IFERROR(VLOOKUP($C:$C,Structure!$A:$AJ,S$1,0)*$D76,0),IFERROR(VLOOKUP($E:$E,Structure!$A:$AJ,S$1,0)*$F76,0),IFERROR(VLOOKUP($G:$G,Structure!$A:$AJ,S$1,0)*$H76,0))</f>
        <v>0</v>
      </c>
      <c r="T76" s="9">
        <f>SUM(IFERROR(VLOOKUP($C:$C,Structure!$A:$AJ,T$1,0)*$D76,0),IFERROR(VLOOKUP($E:$E,Structure!$A:$AJ,T$1,0)*$F76,0),IFERROR(VLOOKUP($G:$G,Structure!$A:$AJ,T$1,0)*$H76,0))</f>
        <v>0</v>
      </c>
      <c r="U76" s="9">
        <f>SUM(IFERROR(VLOOKUP($C:$C,Structure!$A:$AJ,U$1,0)*$D76,0),IFERROR(VLOOKUP($E:$E,Structure!$A:$AJ,U$1,0)*$F76,0),IFERROR(VLOOKUP($G:$G,Structure!$A:$AJ,U$1,0)*$H76,0))</f>
        <v>0</v>
      </c>
      <c r="V76" s="9">
        <f>SUM(IFERROR(VLOOKUP($C:$C,Structure!$A:$AJ,V$1,0)*$D76,0),IFERROR(VLOOKUP($E:$E,Structure!$A:$AJ,V$1,0)*$F76,0),IFERROR(VLOOKUP($G:$G,Structure!$A:$AJ,V$1,0)*$H76,0))</f>
        <v>0</v>
      </c>
      <c r="W76" s="9">
        <f>SUM(IFERROR(VLOOKUP($C:$C,Structure!$A:$AJ,W$1,0)*$D76,0),IFERROR(VLOOKUP($E:$E,Structure!$A:$AJ,W$1,0)*$F76,0),IFERROR(VLOOKUP($G:$G,Structure!$A:$AJ,W$1,0)*$H76,0))</f>
        <v>0</v>
      </c>
      <c r="X76" s="9">
        <f>SUM(IFERROR(VLOOKUP($C:$C,Structure!$A:$AJ,X$1,0)*$D76,0),IFERROR(VLOOKUP($E:$E,Structure!$A:$AJ,X$1,0)*$F76,0),IFERROR(VLOOKUP($G:$G,Structure!$A:$AJ,X$1,0)*$H76,0))</f>
        <v>0</v>
      </c>
      <c r="Y76" s="9">
        <f>SUM(IFERROR(VLOOKUP($C:$C,Structure!$A:$AJ,Y$1,0)*$D76,0),IFERROR(VLOOKUP($E:$E,Structure!$A:$AJ,Y$1,0)*$F76,0),IFERROR(VLOOKUP($G:$G,Structure!$A:$AJ,Y$1,0)*$H76,0))</f>
        <v>0</v>
      </c>
      <c r="Z76" s="9">
        <f>SUM(IFERROR(VLOOKUP($C:$C,Structure!$A:$AJ,Z$1,0)*$D76,0),IFERROR(VLOOKUP($E:$E,Structure!$A:$AJ,Z$1,0)*$F76,0),IFERROR(VLOOKUP($G:$G,Structure!$A:$AJ,Z$1,0)*$H76,0))</f>
        <v>0</v>
      </c>
      <c r="AA76" s="9">
        <f>SUM(IFERROR(VLOOKUP($C:$C,Structure!$A:$AJ,AA$1,0)*$D76,0),IFERROR(VLOOKUP($E:$E,Structure!$A:$AJ,AA$1,0)*$F76,0),IFERROR(VLOOKUP($G:$G,Structure!$A:$AJ,AA$1,0)*$H76,0))</f>
        <v>0</v>
      </c>
      <c r="AB76" s="9">
        <f>SUM(IFERROR(VLOOKUP($C:$C,Structure!$A:$AJ,AB$1,0)*$D76,0),IFERROR(VLOOKUP($E:$E,Structure!$A:$AJ,AB$1,0)*$F76,0),IFERROR(VLOOKUP($G:$G,Structure!$A:$AJ,AB$1,0)*$H76,0))</f>
        <v>0</v>
      </c>
      <c r="AC76" s="9">
        <f>SUM(IFERROR(VLOOKUP($C:$C,Structure!$A:$AJ,AC$1,0)*$D76,0),IFERROR(VLOOKUP($E:$E,Structure!$A:$AJ,AC$1,0)*$F76,0),IFERROR(VLOOKUP($G:$G,Structure!$A:$AJ,AC$1,0)*$H76,0))</f>
        <v>0</v>
      </c>
      <c r="AD76" s="9">
        <f>SUM(IFERROR(VLOOKUP($C:$C,Structure!$A:$AJ,AD$1,0)*$D76,0),IFERROR(VLOOKUP($E:$E,Structure!$A:$AJ,AD$1,0)*$F76,0),IFERROR(VLOOKUP($G:$G,Structure!$A:$AJ,AD$1,0)*$H76,0))</f>
        <v>0</v>
      </c>
      <c r="AE76" s="9">
        <f>SUM(IFERROR(VLOOKUP($C:$C,Structure!$A:$AJ,AE$1,0)*$D76,0),IFERROR(VLOOKUP($E:$E,Structure!$A:$AJ,AE$1,0)*$F76,0),IFERROR(VLOOKUP($G:$G,Structure!$A:$AJ,AE$1,0)*$H76,0))</f>
        <v>0</v>
      </c>
      <c r="AF76" s="9">
        <f>SUM(IFERROR(VLOOKUP($C:$C,Structure!$A:$AJ,AF$1,0)*$D76,0),IFERROR(VLOOKUP($E:$E,Structure!$A:$AJ,AF$1,0)*$F76,0),IFERROR(VLOOKUP($G:$G,Structure!$A:$AJ,AF$1,0)*$H76,0))</f>
        <v>0</v>
      </c>
      <c r="AG76" s="9">
        <f>SUM(IFERROR(VLOOKUP($C:$C,Structure!$A:$AJ,AG$1,0)*$D76,0),IFERROR(VLOOKUP($E:$E,Structure!$A:$AJ,AG$1,0)*$F76,0),IFERROR(VLOOKUP($G:$G,Structure!$A:$AJ,AG$1,0)*$H76,0))</f>
        <v>0</v>
      </c>
      <c r="AH76" s="9">
        <f>SUM(IFERROR(VLOOKUP($C:$C,Structure!$A:$AJ,AH$1,0)*$D76,0),IFERROR(VLOOKUP($E:$E,Structure!$A:$AJ,AH$1,0)*$F76,0),IFERROR(VLOOKUP($G:$G,Structure!$A:$AJ,AH$1,0)*$H76,0))</f>
        <v>0</v>
      </c>
      <c r="AI76" s="9">
        <f>SUM(IFERROR(VLOOKUP($C:$C,Structure!$A:$AJ,AI$1,0)*$D76,0),IFERROR(VLOOKUP($E:$E,Structure!$A:$AJ,AI$1,0)*$F76,0),IFERROR(VLOOKUP($G:$G,Structure!$A:$AJ,AI$1,0)*$H76,0))</f>
        <v>0</v>
      </c>
      <c r="AJ76" s="9">
        <f>SUM(IFERROR(VLOOKUP($C:$C,Structure!$A:$AJ,AJ$1,0)*$D76,0),IFERROR(VLOOKUP($E:$E,Structure!$A:$AJ,AJ$1,0)*$F76,0),IFERROR(VLOOKUP($G:$G,Structure!$A:$AJ,AJ$1,0)*$H76,0))</f>
        <v>0</v>
      </c>
      <c r="AK76" s="9">
        <f>SUM(IFERROR(VLOOKUP($C:$C,Structure!$A:$AJ,AK$1,0)*$D76,0),IFERROR(VLOOKUP($E:$E,Structure!$A:$AJ,AK$1,0)*$F76,0),IFERROR(VLOOKUP($G:$G,Structure!$A:$AJ,AK$1,0)*$H76,0))</f>
        <v>0</v>
      </c>
      <c r="AL76" s="9">
        <f>SUM(IFERROR(VLOOKUP($C:$C,Structure!$A:$AJ,AL$1,0)*$D76,0),IFERROR(VLOOKUP($E:$E,Structure!$A:$AJ,AL$1,0)*$F76,0),IFERROR(VLOOKUP($G:$G,Structure!$A:$AJ,AL$1,0)*$H76,0))</f>
        <v>0</v>
      </c>
      <c r="AM76" s="9">
        <f>SUM(IFERROR(VLOOKUP($C:$C,Structure!$A:$AJ,AM$1,0)*$D76,0),IFERROR(VLOOKUP($E:$E,Structure!$A:$AJ,AM$1,0)*$F76,0),IFERROR(VLOOKUP($G:$G,Structure!$A:$AJ,AM$1,0)*$H76,0))</f>
        <v>0</v>
      </c>
      <c r="AN76" s="9">
        <f>SUM(IFERROR(VLOOKUP($C:$C,Structure!$A:$AJ,AN$1,0)*$D76,0),IFERROR(VLOOKUP($E:$E,Structure!$A:$AJ,AN$1,0)*$F76,0),IFERROR(VLOOKUP($G:$G,Structure!$A:$AJ,AN$1,0)*$H76,0))</f>
        <v>0</v>
      </c>
      <c r="AO76" s="9">
        <f>SUM(IFERROR(VLOOKUP($C:$C,Structure!$A:$AJ,AO$1,0)*$D76,0),IFERROR(VLOOKUP($E:$E,Structure!$A:$AJ,AO$1,0)*$F76,0),IFERROR(VLOOKUP($G:$G,Structure!$A:$AJ,AO$1,0)*$H76,0))</f>
        <v>0</v>
      </c>
      <c r="AP76" s="9">
        <f>SUM(IFERROR(VLOOKUP($C:$C,Structure!$A:$AJ,AP$1,0)*$D76,0),IFERROR(VLOOKUP($E:$E,Structure!$A:$AJ,AP$1,0)*$F76,0),IFERROR(VLOOKUP($G:$G,Structure!$A:$AJ,AP$1,0)*$H76,0))</f>
        <v>0</v>
      </c>
      <c r="AQ76" s="9">
        <f>SUM(IFERROR(VLOOKUP($C:$C,Structure!$A:$AJ,AQ$1,0)*$D76,0),IFERROR(VLOOKUP($E:$E,Structure!$A:$AJ,AQ$1,0)*$F76,0),IFERROR(VLOOKUP($G:$G,Structure!$A:$AJ,AQ$1,0)*$H76,0))</f>
        <v>0</v>
      </c>
      <c r="AR76" s="21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4">
        <f t="shared" si="92"/>
        <v>0</v>
      </c>
      <c r="CE76" s="4">
        <f t="shared" si="93"/>
        <v>53</v>
      </c>
      <c r="CF76" s="4">
        <f t="shared" si="94"/>
        <v>4</v>
      </c>
      <c r="CG76" s="4">
        <f t="shared" si="95"/>
        <v>23</v>
      </c>
      <c r="CH76" s="4">
        <f t="shared" si="96"/>
        <v>1</v>
      </c>
      <c r="CI76" s="4">
        <f t="shared" si="97"/>
        <v>51</v>
      </c>
      <c r="CJ76" s="4">
        <f t="shared" si="98"/>
        <v>-58</v>
      </c>
      <c r="CK76" s="4">
        <f t="shared" si="99"/>
        <v>182</v>
      </c>
      <c r="CL76" s="4">
        <f t="shared" si="100"/>
        <v>0</v>
      </c>
      <c r="CM76" s="4">
        <f t="shared" si="101"/>
        <v>4</v>
      </c>
      <c r="CN76" s="4">
        <f t="shared" si="102"/>
        <v>-20</v>
      </c>
      <c r="CO76" s="4">
        <f t="shared" si="103"/>
        <v>0</v>
      </c>
      <c r="CP76" s="4">
        <f t="shared" si="104"/>
        <v>3</v>
      </c>
      <c r="CQ76" s="4">
        <f t="shared" si="105"/>
        <v>-153</v>
      </c>
      <c r="CR76" s="4">
        <f t="shared" si="106"/>
        <v>34</v>
      </c>
      <c r="CS76" s="4">
        <f t="shared" si="107"/>
        <v>0</v>
      </c>
      <c r="CT76" s="4">
        <f t="shared" si="108"/>
        <v>0</v>
      </c>
      <c r="CU76" s="4">
        <f t="shared" si="109"/>
        <v>0</v>
      </c>
      <c r="CV76" s="4">
        <f t="shared" si="110"/>
        <v>0</v>
      </c>
      <c r="CW76" s="4">
        <f t="shared" si="111"/>
        <v>0</v>
      </c>
      <c r="CX76" s="4">
        <f t="shared" si="112"/>
        <v>-135</v>
      </c>
      <c r="CY76" s="4">
        <f t="shared" si="113"/>
        <v>0</v>
      </c>
      <c r="CZ76" s="4">
        <f t="shared" si="114"/>
        <v>0</v>
      </c>
      <c r="DA76" s="4">
        <f t="shared" si="115"/>
        <v>0</v>
      </c>
      <c r="DB76" s="4">
        <f t="shared" si="116"/>
        <v>0</v>
      </c>
      <c r="DC76" s="4">
        <f t="shared" si="117"/>
        <v>0</v>
      </c>
      <c r="DD76" s="4">
        <f t="shared" si="118"/>
        <v>0</v>
      </c>
      <c r="DE76" s="4">
        <f t="shared" si="119"/>
        <v>0</v>
      </c>
      <c r="DF76" s="4">
        <f t="shared" si="120"/>
        <v>0</v>
      </c>
      <c r="DG76" s="4">
        <f t="shared" si="121"/>
        <v>0</v>
      </c>
      <c r="DH76" s="4">
        <f t="shared" si="122"/>
        <v>0</v>
      </c>
      <c r="DI76" s="4">
        <f t="shared" si="123"/>
        <v>0</v>
      </c>
      <c r="DJ76" s="4">
        <f t="shared" si="124"/>
        <v>0</v>
      </c>
      <c r="DK76" s="4">
        <f t="shared" si="125"/>
        <v>0</v>
      </c>
      <c r="DL76" s="4">
        <f t="shared" si="126"/>
        <v>0</v>
      </c>
    </row>
    <row r="77" spans="1:116" x14ac:dyDescent="0.25">
      <c r="A77" s="5">
        <v>46184</v>
      </c>
      <c r="B77" s="6">
        <v>0.85416666684614029</v>
      </c>
      <c r="C77" s="3"/>
      <c r="D77" s="3"/>
      <c r="E77" s="3" t="s">
        <v>40</v>
      </c>
      <c r="F77" s="3">
        <v>8</v>
      </c>
      <c r="G77" s="3"/>
      <c r="H77" s="9"/>
      <c r="I77" s="9">
        <f>SUM(IFERROR(VLOOKUP($C:$C,Structure!$A:$AJ,I$1,0)*$D77,0),IFERROR(VLOOKUP($E:$E,Structure!$A:$AJ,I$1,0)*$F77,0),IFERROR(VLOOKUP($G:$G,Structure!$A:$AJ,I$1,0)*$H77,0))</f>
        <v>0</v>
      </c>
      <c r="J77" s="9">
        <f>SUM(IFERROR(VLOOKUP($C:$C,Structure!$A:$AJ,J$1,0)*$D77,0),IFERROR(VLOOKUP($E:$E,Structure!$A:$AJ,J$1,0)*$F77,0),IFERROR(VLOOKUP($G:$G,Structure!$A:$AJ,J$1,0)*$H77,0))</f>
        <v>8</v>
      </c>
      <c r="K77" s="9">
        <f>SUM(IFERROR(VLOOKUP($C:$C,Structure!$A:$AJ,K$1,0)*$D77,0),IFERROR(VLOOKUP($E:$E,Structure!$A:$AJ,K$1,0)*$F77,0),IFERROR(VLOOKUP($G:$G,Structure!$A:$AJ,K$1,0)*$H77,0))</f>
        <v>0</v>
      </c>
      <c r="L77" s="9">
        <f>SUM(IFERROR(VLOOKUP($C:$C,Structure!$A:$AJ,L$1,0)*$D77,0),IFERROR(VLOOKUP($E:$E,Structure!$A:$AJ,L$1,0)*$F77,0),IFERROR(VLOOKUP($G:$G,Structure!$A:$AJ,L$1,0)*$H77,0))</f>
        <v>0</v>
      </c>
      <c r="M77" s="9">
        <f>SUM(IFERROR(VLOOKUP($C:$C,Structure!$A:$AJ,M$1,0)*$D77,0),IFERROR(VLOOKUP($E:$E,Structure!$A:$AJ,M$1,0)*$F77,0),IFERROR(VLOOKUP($G:$G,Structure!$A:$AJ,M$1,0)*$H77,0))</f>
        <v>0</v>
      </c>
      <c r="N77" s="9">
        <f>SUM(IFERROR(VLOOKUP($C:$C,Structure!$A:$AJ,N$1,0)*$D77,0),IFERROR(VLOOKUP($E:$E,Structure!$A:$AJ,N$1,0)*$F77,0),IFERROR(VLOOKUP($G:$G,Structure!$A:$AJ,N$1,0)*$H77,0))</f>
        <v>0</v>
      </c>
      <c r="O77" s="9">
        <f>SUM(IFERROR(VLOOKUP($C:$C,Structure!$A:$AJ,O$1,0)*$D77,0),IFERROR(VLOOKUP($E:$E,Structure!$A:$AJ,O$1,0)*$F77,0),IFERROR(VLOOKUP($G:$G,Structure!$A:$AJ,O$1,0)*$H77,0))</f>
        <v>0</v>
      </c>
      <c r="P77" s="9">
        <f>SUM(IFERROR(VLOOKUP($C:$C,Structure!$A:$AJ,P$1,0)*$D77,0),IFERROR(VLOOKUP($E:$E,Structure!$A:$AJ,P$1,0)*$F77,0),IFERROR(VLOOKUP($G:$G,Structure!$A:$AJ,P$1,0)*$H77,0))</f>
        <v>8</v>
      </c>
      <c r="Q77" s="9">
        <f>SUM(IFERROR(VLOOKUP($C:$C,Structure!$A:$AJ,Q$1,0)*$D77,0),IFERROR(VLOOKUP($E:$E,Structure!$A:$AJ,Q$1,0)*$F77,0),IFERROR(VLOOKUP($G:$G,Structure!$A:$AJ,Q$1,0)*$H77,0))</f>
        <v>0</v>
      </c>
      <c r="R77" s="9">
        <f>SUM(IFERROR(VLOOKUP($C:$C,Structure!$A:$AJ,R$1,0)*$D77,0),IFERROR(VLOOKUP($E:$E,Structure!$A:$AJ,R$1,0)*$F77,0),IFERROR(VLOOKUP($G:$G,Structure!$A:$AJ,R$1,0)*$H77,0))</f>
        <v>0</v>
      </c>
      <c r="S77" s="9">
        <f>SUM(IFERROR(VLOOKUP($C:$C,Structure!$A:$AJ,S$1,0)*$D77,0),IFERROR(VLOOKUP($E:$E,Structure!$A:$AJ,S$1,0)*$F77,0),IFERROR(VLOOKUP($G:$G,Structure!$A:$AJ,S$1,0)*$H77,0))</f>
        <v>0</v>
      </c>
      <c r="T77" s="9">
        <f>SUM(IFERROR(VLOOKUP($C:$C,Structure!$A:$AJ,T$1,0)*$D77,0),IFERROR(VLOOKUP($E:$E,Structure!$A:$AJ,T$1,0)*$F77,0),IFERROR(VLOOKUP($G:$G,Structure!$A:$AJ,T$1,0)*$H77,0))</f>
        <v>0</v>
      </c>
      <c r="U77" s="9">
        <f>SUM(IFERROR(VLOOKUP($C:$C,Structure!$A:$AJ,U$1,0)*$D77,0),IFERROR(VLOOKUP($E:$E,Structure!$A:$AJ,U$1,0)*$F77,0),IFERROR(VLOOKUP($G:$G,Structure!$A:$AJ,U$1,0)*$H77,0))</f>
        <v>0</v>
      </c>
      <c r="V77" s="9">
        <f>SUM(IFERROR(VLOOKUP($C:$C,Structure!$A:$AJ,V$1,0)*$D77,0),IFERROR(VLOOKUP($E:$E,Structure!$A:$AJ,V$1,0)*$F77,0),IFERROR(VLOOKUP($G:$G,Structure!$A:$AJ,V$1,0)*$H77,0))</f>
        <v>0</v>
      </c>
      <c r="W77" s="9">
        <f>SUM(IFERROR(VLOOKUP($C:$C,Structure!$A:$AJ,W$1,0)*$D77,0),IFERROR(VLOOKUP($E:$E,Structure!$A:$AJ,W$1,0)*$F77,0),IFERROR(VLOOKUP($G:$G,Structure!$A:$AJ,W$1,0)*$H77,0))</f>
        <v>0</v>
      </c>
      <c r="X77" s="9">
        <f>SUM(IFERROR(VLOOKUP($C:$C,Structure!$A:$AJ,X$1,0)*$D77,0),IFERROR(VLOOKUP($E:$E,Structure!$A:$AJ,X$1,0)*$F77,0),IFERROR(VLOOKUP($G:$G,Structure!$A:$AJ,X$1,0)*$H77,0))</f>
        <v>0</v>
      </c>
      <c r="Y77" s="9">
        <f>SUM(IFERROR(VLOOKUP($C:$C,Structure!$A:$AJ,Y$1,0)*$D77,0),IFERROR(VLOOKUP($E:$E,Structure!$A:$AJ,Y$1,0)*$F77,0),IFERROR(VLOOKUP($G:$G,Structure!$A:$AJ,Y$1,0)*$H77,0))</f>
        <v>0</v>
      </c>
      <c r="Z77" s="9">
        <f>SUM(IFERROR(VLOOKUP($C:$C,Structure!$A:$AJ,Z$1,0)*$D77,0),IFERROR(VLOOKUP($E:$E,Structure!$A:$AJ,Z$1,0)*$F77,0),IFERROR(VLOOKUP($G:$G,Structure!$A:$AJ,Z$1,0)*$H77,0))</f>
        <v>0</v>
      </c>
      <c r="AA77" s="9">
        <f>SUM(IFERROR(VLOOKUP($C:$C,Structure!$A:$AJ,AA$1,0)*$D77,0),IFERROR(VLOOKUP($E:$E,Structure!$A:$AJ,AA$1,0)*$F77,0),IFERROR(VLOOKUP($G:$G,Structure!$A:$AJ,AA$1,0)*$H77,0))</f>
        <v>0</v>
      </c>
      <c r="AB77" s="9">
        <f>SUM(IFERROR(VLOOKUP($C:$C,Structure!$A:$AJ,AB$1,0)*$D77,0),IFERROR(VLOOKUP($E:$E,Structure!$A:$AJ,AB$1,0)*$F77,0),IFERROR(VLOOKUP($G:$G,Structure!$A:$AJ,AB$1,0)*$H77,0))</f>
        <v>0</v>
      </c>
      <c r="AC77" s="9">
        <f>SUM(IFERROR(VLOOKUP($C:$C,Structure!$A:$AJ,AC$1,0)*$D77,0),IFERROR(VLOOKUP($E:$E,Structure!$A:$AJ,AC$1,0)*$F77,0),IFERROR(VLOOKUP($G:$G,Structure!$A:$AJ,AC$1,0)*$H77,0))</f>
        <v>0</v>
      </c>
      <c r="AD77" s="9">
        <f>SUM(IFERROR(VLOOKUP($C:$C,Structure!$A:$AJ,AD$1,0)*$D77,0),IFERROR(VLOOKUP($E:$E,Structure!$A:$AJ,AD$1,0)*$F77,0),IFERROR(VLOOKUP($G:$G,Structure!$A:$AJ,AD$1,0)*$H77,0))</f>
        <v>0</v>
      </c>
      <c r="AE77" s="9">
        <f>SUM(IFERROR(VLOOKUP($C:$C,Structure!$A:$AJ,AE$1,0)*$D77,0),IFERROR(VLOOKUP($E:$E,Structure!$A:$AJ,AE$1,0)*$F77,0),IFERROR(VLOOKUP($G:$G,Structure!$A:$AJ,AE$1,0)*$H77,0))</f>
        <v>0</v>
      </c>
      <c r="AF77" s="9">
        <f>SUM(IFERROR(VLOOKUP($C:$C,Structure!$A:$AJ,AF$1,0)*$D77,0),IFERROR(VLOOKUP($E:$E,Structure!$A:$AJ,AF$1,0)*$F77,0),IFERROR(VLOOKUP($G:$G,Structure!$A:$AJ,AF$1,0)*$H77,0))</f>
        <v>0</v>
      </c>
      <c r="AG77" s="9">
        <f>SUM(IFERROR(VLOOKUP($C:$C,Structure!$A:$AJ,AG$1,0)*$D77,0),IFERROR(VLOOKUP($E:$E,Structure!$A:$AJ,AG$1,0)*$F77,0),IFERROR(VLOOKUP($G:$G,Structure!$A:$AJ,AG$1,0)*$H77,0))</f>
        <v>0</v>
      </c>
      <c r="AH77" s="9">
        <f>SUM(IFERROR(VLOOKUP($C:$C,Structure!$A:$AJ,AH$1,0)*$D77,0),IFERROR(VLOOKUP($E:$E,Structure!$A:$AJ,AH$1,0)*$F77,0),IFERROR(VLOOKUP($G:$G,Structure!$A:$AJ,AH$1,0)*$H77,0))</f>
        <v>0</v>
      </c>
      <c r="AI77" s="9">
        <f>SUM(IFERROR(VLOOKUP($C:$C,Structure!$A:$AJ,AI$1,0)*$D77,0),IFERROR(VLOOKUP($E:$E,Structure!$A:$AJ,AI$1,0)*$F77,0),IFERROR(VLOOKUP($G:$G,Structure!$A:$AJ,AI$1,0)*$H77,0))</f>
        <v>0</v>
      </c>
      <c r="AJ77" s="9">
        <f>SUM(IFERROR(VLOOKUP($C:$C,Structure!$A:$AJ,AJ$1,0)*$D77,0),IFERROR(VLOOKUP($E:$E,Structure!$A:$AJ,AJ$1,0)*$F77,0),IFERROR(VLOOKUP($G:$G,Structure!$A:$AJ,AJ$1,0)*$H77,0))</f>
        <v>0</v>
      </c>
      <c r="AK77" s="9">
        <f>SUM(IFERROR(VLOOKUP($C:$C,Structure!$A:$AJ,AK$1,0)*$D77,0),IFERROR(VLOOKUP($E:$E,Structure!$A:$AJ,AK$1,0)*$F77,0),IFERROR(VLOOKUP($G:$G,Structure!$A:$AJ,AK$1,0)*$H77,0))</f>
        <v>0</v>
      </c>
      <c r="AL77" s="9">
        <f>SUM(IFERROR(VLOOKUP($C:$C,Structure!$A:$AJ,AL$1,0)*$D77,0),IFERROR(VLOOKUP($E:$E,Structure!$A:$AJ,AL$1,0)*$F77,0),IFERROR(VLOOKUP($G:$G,Structure!$A:$AJ,AL$1,0)*$H77,0))</f>
        <v>0</v>
      </c>
      <c r="AM77" s="9">
        <f>SUM(IFERROR(VLOOKUP($C:$C,Structure!$A:$AJ,AM$1,0)*$D77,0),IFERROR(VLOOKUP($E:$E,Structure!$A:$AJ,AM$1,0)*$F77,0),IFERROR(VLOOKUP($G:$G,Structure!$A:$AJ,AM$1,0)*$H77,0))</f>
        <v>0</v>
      </c>
      <c r="AN77" s="9">
        <f>SUM(IFERROR(VLOOKUP($C:$C,Structure!$A:$AJ,AN$1,0)*$D77,0),IFERROR(VLOOKUP($E:$E,Structure!$A:$AJ,AN$1,0)*$F77,0),IFERROR(VLOOKUP($G:$G,Structure!$A:$AJ,AN$1,0)*$H77,0))</f>
        <v>0</v>
      </c>
      <c r="AO77" s="9">
        <f>SUM(IFERROR(VLOOKUP($C:$C,Structure!$A:$AJ,AO$1,0)*$D77,0),IFERROR(VLOOKUP($E:$E,Structure!$A:$AJ,AO$1,0)*$F77,0),IFERROR(VLOOKUP($G:$G,Structure!$A:$AJ,AO$1,0)*$H77,0))</f>
        <v>0</v>
      </c>
      <c r="AP77" s="9">
        <f>SUM(IFERROR(VLOOKUP($C:$C,Structure!$A:$AJ,AP$1,0)*$D77,0),IFERROR(VLOOKUP($E:$E,Structure!$A:$AJ,AP$1,0)*$F77,0),IFERROR(VLOOKUP($G:$G,Structure!$A:$AJ,AP$1,0)*$H77,0))</f>
        <v>0</v>
      </c>
      <c r="AQ77" s="9">
        <f>SUM(IFERROR(VLOOKUP($C:$C,Structure!$A:$AJ,AQ$1,0)*$D77,0),IFERROR(VLOOKUP($E:$E,Structure!$A:$AJ,AQ$1,0)*$F77,0),IFERROR(VLOOKUP($G:$G,Structure!$A:$AJ,AQ$1,0)*$H77,0))</f>
        <v>0</v>
      </c>
      <c r="AR77" s="21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4">
        <f t="shared" si="92"/>
        <v>0</v>
      </c>
      <c r="CE77" s="4">
        <f t="shared" si="93"/>
        <v>45</v>
      </c>
      <c r="CF77" s="4">
        <f t="shared" si="94"/>
        <v>4</v>
      </c>
      <c r="CG77" s="4">
        <f t="shared" si="95"/>
        <v>23</v>
      </c>
      <c r="CH77" s="4">
        <f t="shared" si="96"/>
        <v>1</v>
      </c>
      <c r="CI77" s="4">
        <f t="shared" si="97"/>
        <v>51</v>
      </c>
      <c r="CJ77" s="4">
        <f t="shared" si="98"/>
        <v>-58</v>
      </c>
      <c r="CK77" s="4">
        <f t="shared" si="99"/>
        <v>174</v>
      </c>
      <c r="CL77" s="4">
        <f t="shared" si="100"/>
        <v>0</v>
      </c>
      <c r="CM77" s="4">
        <f t="shared" si="101"/>
        <v>4</v>
      </c>
      <c r="CN77" s="4">
        <f t="shared" si="102"/>
        <v>-20</v>
      </c>
      <c r="CO77" s="4">
        <f t="shared" si="103"/>
        <v>0</v>
      </c>
      <c r="CP77" s="4">
        <f t="shared" si="104"/>
        <v>3</v>
      </c>
      <c r="CQ77" s="4">
        <f t="shared" si="105"/>
        <v>-153</v>
      </c>
      <c r="CR77" s="4">
        <f t="shared" si="106"/>
        <v>34</v>
      </c>
      <c r="CS77" s="4">
        <f t="shared" si="107"/>
        <v>0</v>
      </c>
      <c r="CT77" s="4">
        <f t="shared" si="108"/>
        <v>0</v>
      </c>
      <c r="CU77" s="4">
        <f t="shared" si="109"/>
        <v>0</v>
      </c>
      <c r="CV77" s="4">
        <f t="shared" si="110"/>
        <v>0</v>
      </c>
      <c r="CW77" s="4">
        <f t="shared" si="111"/>
        <v>0</v>
      </c>
      <c r="CX77" s="4">
        <f t="shared" si="112"/>
        <v>-135</v>
      </c>
      <c r="CY77" s="4">
        <f t="shared" si="113"/>
        <v>0</v>
      </c>
      <c r="CZ77" s="4">
        <f t="shared" si="114"/>
        <v>0</v>
      </c>
      <c r="DA77" s="4">
        <f t="shared" si="115"/>
        <v>0</v>
      </c>
      <c r="DB77" s="4">
        <f t="shared" si="116"/>
        <v>0</v>
      </c>
      <c r="DC77" s="4">
        <f t="shared" si="117"/>
        <v>0</v>
      </c>
      <c r="DD77" s="4">
        <f t="shared" si="118"/>
        <v>0</v>
      </c>
      <c r="DE77" s="4">
        <f t="shared" si="119"/>
        <v>0</v>
      </c>
      <c r="DF77" s="4">
        <f t="shared" si="120"/>
        <v>0</v>
      </c>
      <c r="DG77" s="4">
        <f t="shared" si="121"/>
        <v>0</v>
      </c>
      <c r="DH77" s="4">
        <f t="shared" si="122"/>
        <v>0</v>
      </c>
      <c r="DI77" s="4">
        <f t="shared" si="123"/>
        <v>0</v>
      </c>
      <c r="DJ77" s="4">
        <f t="shared" si="124"/>
        <v>0</v>
      </c>
      <c r="DK77" s="4">
        <f t="shared" si="125"/>
        <v>0</v>
      </c>
      <c r="DL77" s="4">
        <f t="shared" si="126"/>
        <v>0</v>
      </c>
    </row>
    <row r="78" spans="1:116" x14ac:dyDescent="0.25">
      <c r="A78" s="5">
        <v>46184</v>
      </c>
      <c r="B78" s="6">
        <v>0.87500000018189894</v>
      </c>
      <c r="C78" s="3"/>
      <c r="D78" s="3"/>
      <c r="E78" s="3" t="s">
        <v>40</v>
      </c>
      <c r="F78" s="3">
        <v>8</v>
      </c>
      <c r="G78" s="3"/>
      <c r="H78" s="9"/>
      <c r="I78" s="9">
        <f>SUM(IFERROR(VLOOKUP($C:$C,Structure!$A:$AJ,I$1,0)*$D78,0),IFERROR(VLOOKUP($E:$E,Structure!$A:$AJ,I$1,0)*$F78,0),IFERROR(VLOOKUP($G:$G,Structure!$A:$AJ,I$1,0)*$H78,0))</f>
        <v>0</v>
      </c>
      <c r="J78" s="9">
        <f>SUM(IFERROR(VLOOKUP($C:$C,Structure!$A:$AJ,J$1,0)*$D78,0),IFERROR(VLOOKUP($E:$E,Structure!$A:$AJ,J$1,0)*$F78,0),IFERROR(VLOOKUP($G:$G,Structure!$A:$AJ,J$1,0)*$H78,0))</f>
        <v>8</v>
      </c>
      <c r="K78" s="9">
        <f>SUM(IFERROR(VLOOKUP($C:$C,Structure!$A:$AJ,K$1,0)*$D78,0),IFERROR(VLOOKUP($E:$E,Structure!$A:$AJ,K$1,0)*$F78,0),IFERROR(VLOOKUP($G:$G,Structure!$A:$AJ,K$1,0)*$H78,0))</f>
        <v>0</v>
      </c>
      <c r="L78" s="9">
        <f>SUM(IFERROR(VLOOKUP($C:$C,Structure!$A:$AJ,L$1,0)*$D78,0),IFERROR(VLOOKUP($E:$E,Structure!$A:$AJ,L$1,0)*$F78,0),IFERROR(VLOOKUP($G:$G,Structure!$A:$AJ,L$1,0)*$H78,0))</f>
        <v>0</v>
      </c>
      <c r="M78" s="9">
        <f>SUM(IFERROR(VLOOKUP($C:$C,Structure!$A:$AJ,M$1,0)*$D78,0),IFERROR(VLOOKUP($E:$E,Structure!$A:$AJ,M$1,0)*$F78,0),IFERROR(VLOOKUP($G:$G,Structure!$A:$AJ,M$1,0)*$H78,0))</f>
        <v>0</v>
      </c>
      <c r="N78" s="9">
        <f>SUM(IFERROR(VLOOKUP($C:$C,Structure!$A:$AJ,N$1,0)*$D78,0),IFERROR(VLOOKUP($E:$E,Structure!$A:$AJ,N$1,0)*$F78,0),IFERROR(VLOOKUP($G:$G,Structure!$A:$AJ,N$1,0)*$H78,0))</f>
        <v>0</v>
      </c>
      <c r="O78" s="9">
        <f>SUM(IFERROR(VLOOKUP($C:$C,Structure!$A:$AJ,O$1,0)*$D78,0),IFERROR(VLOOKUP($E:$E,Structure!$A:$AJ,O$1,0)*$F78,0),IFERROR(VLOOKUP($G:$G,Structure!$A:$AJ,O$1,0)*$H78,0))</f>
        <v>0</v>
      </c>
      <c r="P78" s="9">
        <f>SUM(IFERROR(VLOOKUP($C:$C,Structure!$A:$AJ,P$1,0)*$D78,0),IFERROR(VLOOKUP($E:$E,Structure!$A:$AJ,P$1,0)*$F78,0),IFERROR(VLOOKUP($G:$G,Structure!$A:$AJ,P$1,0)*$H78,0))</f>
        <v>8</v>
      </c>
      <c r="Q78" s="9">
        <f>SUM(IFERROR(VLOOKUP($C:$C,Structure!$A:$AJ,Q$1,0)*$D78,0),IFERROR(VLOOKUP($E:$E,Structure!$A:$AJ,Q$1,0)*$F78,0),IFERROR(VLOOKUP($G:$G,Structure!$A:$AJ,Q$1,0)*$H78,0))</f>
        <v>0</v>
      </c>
      <c r="R78" s="9">
        <f>SUM(IFERROR(VLOOKUP($C:$C,Structure!$A:$AJ,R$1,0)*$D78,0),IFERROR(VLOOKUP($E:$E,Structure!$A:$AJ,R$1,0)*$F78,0),IFERROR(VLOOKUP($G:$G,Structure!$A:$AJ,R$1,0)*$H78,0))</f>
        <v>0</v>
      </c>
      <c r="S78" s="9">
        <f>SUM(IFERROR(VLOOKUP($C:$C,Structure!$A:$AJ,S$1,0)*$D78,0),IFERROR(VLOOKUP($E:$E,Structure!$A:$AJ,S$1,0)*$F78,0),IFERROR(VLOOKUP($G:$G,Structure!$A:$AJ,S$1,0)*$H78,0))</f>
        <v>0</v>
      </c>
      <c r="T78" s="9">
        <f>SUM(IFERROR(VLOOKUP($C:$C,Structure!$A:$AJ,T$1,0)*$D78,0),IFERROR(VLOOKUP($E:$E,Structure!$A:$AJ,T$1,0)*$F78,0),IFERROR(VLOOKUP($G:$G,Structure!$A:$AJ,T$1,0)*$H78,0))</f>
        <v>0</v>
      </c>
      <c r="U78" s="9">
        <f>SUM(IFERROR(VLOOKUP($C:$C,Structure!$A:$AJ,U$1,0)*$D78,0),IFERROR(VLOOKUP($E:$E,Structure!$A:$AJ,U$1,0)*$F78,0),IFERROR(VLOOKUP($G:$G,Structure!$A:$AJ,U$1,0)*$H78,0))</f>
        <v>0</v>
      </c>
      <c r="V78" s="9">
        <f>SUM(IFERROR(VLOOKUP($C:$C,Structure!$A:$AJ,V$1,0)*$D78,0),IFERROR(VLOOKUP($E:$E,Structure!$A:$AJ,V$1,0)*$F78,0),IFERROR(VLOOKUP($G:$G,Structure!$A:$AJ,V$1,0)*$H78,0))</f>
        <v>0</v>
      </c>
      <c r="W78" s="9">
        <f>SUM(IFERROR(VLOOKUP($C:$C,Structure!$A:$AJ,W$1,0)*$D78,0),IFERROR(VLOOKUP($E:$E,Structure!$A:$AJ,W$1,0)*$F78,0),IFERROR(VLOOKUP($G:$G,Structure!$A:$AJ,W$1,0)*$H78,0))</f>
        <v>0</v>
      </c>
      <c r="X78" s="9">
        <f>SUM(IFERROR(VLOOKUP($C:$C,Structure!$A:$AJ,X$1,0)*$D78,0),IFERROR(VLOOKUP($E:$E,Structure!$A:$AJ,X$1,0)*$F78,0),IFERROR(VLOOKUP($G:$G,Structure!$A:$AJ,X$1,0)*$H78,0))</f>
        <v>0</v>
      </c>
      <c r="Y78" s="9">
        <f>SUM(IFERROR(VLOOKUP($C:$C,Structure!$A:$AJ,Y$1,0)*$D78,0),IFERROR(VLOOKUP($E:$E,Structure!$A:$AJ,Y$1,0)*$F78,0),IFERROR(VLOOKUP($G:$G,Structure!$A:$AJ,Y$1,0)*$H78,0))</f>
        <v>0</v>
      </c>
      <c r="Z78" s="9">
        <f>SUM(IFERROR(VLOOKUP($C:$C,Structure!$A:$AJ,Z$1,0)*$D78,0),IFERROR(VLOOKUP($E:$E,Structure!$A:$AJ,Z$1,0)*$F78,0),IFERROR(VLOOKUP($G:$G,Structure!$A:$AJ,Z$1,0)*$H78,0))</f>
        <v>0</v>
      </c>
      <c r="AA78" s="9">
        <f>SUM(IFERROR(VLOOKUP($C:$C,Structure!$A:$AJ,AA$1,0)*$D78,0),IFERROR(VLOOKUP($E:$E,Structure!$A:$AJ,AA$1,0)*$F78,0),IFERROR(VLOOKUP($G:$G,Structure!$A:$AJ,AA$1,0)*$H78,0))</f>
        <v>0</v>
      </c>
      <c r="AB78" s="9">
        <f>SUM(IFERROR(VLOOKUP($C:$C,Structure!$A:$AJ,AB$1,0)*$D78,0),IFERROR(VLOOKUP($E:$E,Structure!$A:$AJ,AB$1,0)*$F78,0),IFERROR(VLOOKUP($G:$G,Structure!$A:$AJ,AB$1,0)*$H78,0))</f>
        <v>0</v>
      </c>
      <c r="AC78" s="9">
        <f>SUM(IFERROR(VLOOKUP($C:$C,Structure!$A:$AJ,AC$1,0)*$D78,0),IFERROR(VLOOKUP($E:$E,Structure!$A:$AJ,AC$1,0)*$F78,0),IFERROR(VLOOKUP($G:$G,Structure!$A:$AJ,AC$1,0)*$H78,0))</f>
        <v>0</v>
      </c>
      <c r="AD78" s="9">
        <f>SUM(IFERROR(VLOOKUP($C:$C,Structure!$A:$AJ,AD$1,0)*$D78,0),IFERROR(VLOOKUP($E:$E,Structure!$A:$AJ,AD$1,0)*$F78,0),IFERROR(VLOOKUP($G:$G,Structure!$A:$AJ,AD$1,0)*$H78,0))</f>
        <v>0</v>
      </c>
      <c r="AE78" s="9">
        <f>SUM(IFERROR(VLOOKUP($C:$C,Structure!$A:$AJ,AE$1,0)*$D78,0),IFERROR(VLOOKUP($E:$E,Structure!$A:$AJ,AE$1,0)*$F78,0),IFERROR(VLOOKUP($G:$G,Structure!$A:$AJ,AE$1,0)*$H78,0))</f>
        <v>0</v>
      </c>
      <c r="AF78" s="9">
        <f>SUM(IFERROR(VLOOKUP($C:$C,Structure!$A:$AJ,AF$1,0)*$D78,0),IFERROR(VLOOKUP($E:$E,Structure!$A:$AJ,AF$1,0)*$F78,0),IFERROR(VLOOKUP($G:$G,Structure!$A:$AJ,AF$1,0)*$H78,0))</f>
        <v>0</v>
      </c>
      <c r="AG78" s="9">
        <f>SUM(IFERROR(VLOOKUP($C:$C,Structure!$A:$AJ,AG$1,0)*$D78,0),IFERROR(VLOOKUP($E:$E,Structure!$A:$AJ,AG$1,0)*$F78,0),IFERROR(VLOOKUP($G:$G,Structure!$A:$AJ,AG$1,0)*$H78,0))</f>
        <v>0</v>
      </c>
      <c r="AH78" s="9">
        <f>SUM(IFERROR(VLOOKUP($C:$C,Structure!$A:$AJ,AH$1,0)*$D78,0),IFERROR(VLOOKUP($E:$E,Structure!$A:$AJ,AH$1,0)*$F78,0),IFERROR(VLOOKUP($G:$G,Structure!$A:$AJ,AH$1,0)*$H78,0))</f>
        <v>0</v>
      </c>
      <c r="AI78" s="9">
        <f>SUM(IFERROR(VLOOKUP($C:$C,Structure!$A:$AJ,AI$1,0)*$D78,0),IFERROR(VLOOKUP($E:$E,Structure!$A:$AJ,AI$1,0)*$F78,0),IFERROR(VLOOKUP($G:$G,Structure!$A:$AJ,AI$1,0)*$H78,0))</f>
        <v>0</v>
      </c>
      <c r="AJ78" s="9">
        <f>SUM(IFERROR(VLOOKUP($C:$C,Structure!$A:$AJ,AJ$1,0)*$D78,0),IFERROR(VLOOKUP($E:$E,Structure!$A:$AJ,AJ$1,0)*$F78,0),IFERROR(VLOOKUP($G:$G,Structure!$A:$AJ,AJ$1,0)*$H78,0))</f>
        <v>0</v>
      </c>
      <c r="AK78" s="9">
        <f>SUM(IFERROR(VLOOKUP($C:$C,Structure!$A:$AJ,AK$1,0)*$D78,0),IFERROR(VLOOKUP($E:$E,Structure!$A:$AJ,AK$1,0)*$F78,0),IFERROR(VLOOKUP($G:$G,Structure!$A:$AJ,AK$1,0)*$H78,0))</f>
        <v>0</v>
      </c>
      <c r="AL78" s="9">
        <f>SUM(IFERROR(VLOOKUP($C:$C,Structure!$A:$AJ,AL$1,0)*$D78,0),IFERROR(VLOOKUP($E:$E,Structure!$A:$AJ,AL$1,0)*$F78,0),IFERROR(VLOOKUP($G:$G,Structure!$A:$AJ,AL$1,0)*$H78,0))</f>
        <v>0</v>
      </c>
      <c r="AM78" s="9">
        <f>SUM(IFERROR(VLOOKUP($C:$C,Structure!$A:$AJ,AM$1,0)*$D78,0),IFERROR(VLOOKUP($E:$E,Structure!$A:$AJ,AM$1,0)*$F78,0),IFERROR(VLOOKUP($G:$G,Structure!$A:$AJ,AM$1,0)*$H78,0))</f>
        <v>0</v>
      </c>
      <c r="AN78" s="9">
        <f>SUM(IFERROR(VLOOKUP($C:$C,Structure!$A:$AJ,AN$1,0)*$D78,0),IFERROR(VLOOKUP($E:$E,Structure!$A:$AJ,AN$1,0)*$F78,0),IFERROR(VLOOKUP($G:$G,Structure!$A:$AJ,AN$1,0)*$H78,0))</f>
        <v>0</v>
      </c>
      <c r="AO78" s="9">
        <f>SUM(IFERROR(VLOOKUP($C:$C,Structure!$A:$AJ,AO$1,0)*$D78,0),IFERROR(VLOOKUP($E:$E,Structure!$A:$AJ,AO$1,0)*$F78,0),IFERROR(VLOOKUP($G:$G,Structure!$A:$AJ,AO$1,0)*$H78,0))</f>
        <v>0</v>
      </c>
      <c r="AP78" s="9">
        <f>SUM(IFERROR(VLOOKUP($C:$C,Structure!$A:$AJ,AP$1,0)*$D78,0),IFERROR(VLOOKUP($E:$E,Structure!$A:$AJ,AP$1,0)*$F78,0),IFERROR(VLOOKUP($G:$G,Structure!$A:$AJ,AP$1,0)*$H78,0))</f>
        <v>0</v>
      </c>
      <c r="AQ78" s="9">
        <f>SUM(IFERROR(VLOOKUP($C:$C,Structure!$A:$AJ,AQ$1,0)*$D78,0),IFERROR(VLOOKUP($E:$E,Structure!$A:$AJ,AQ$1,0)*$F78,0),IFERROR(VLOOKUP($G:$G,Structure!$A:$AJ,AQ$1,0)*$H78,0))</f>
        <v>0</v>
      </c>
      <c r="AR78" s="21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4">
        <f t="shared" si="92"/>
        <v>0</v>
      </c>
      <c r="CE78" s="4">
        <f t="shared" si="93"/>
        <v>37</v>
      </c>
      <c r="CF78" s="4">
        <f t="shared" si="94"/>
        <v>4</v>
      </c>
      <c r="CG78" s="4">
        <f t="shared" si="95"/>
        <v>23</v>
      </c>
      <c r="CH78" s="4">
        <f t="shared" si="96"/>
        <v>1</v>
      </c>
      <c r="CI78" s="4">
        <f t="shared" si="97"/>
        <v>51</v>
      </c>
      <c r="CJ78" s="4">
        <f t="shared" si="98"/>
        <v>-58</v>
      </c>
      <c r="CK78" s="4">
        <f t="shared" si="99"/>
        <v>166</v>
      </c>
      <c r="CL78" s="4">
        <f t="shared" si="100"/>
        <v>0</v>
      </c>
      <c r="CM78" s="4">
        <f t="shared" si="101"/>
        <v>4</v>
      </c>
      <c r="CN78" s="4">
        <f t="shared" si="102"/>
        <v>-20</v>
      </c>
      <c r="CO78" s="4">
        <f t="shared" si="103"/>
        <v>0</v>
      </c>
      <c r="CP78" s="4">
        <f t="shared" si="104"/>
        <v>3</v>
      </c>
      <c r="CQ78" s="4">
        <f t="shared" si="105"/>
        <v>-153</v>
      </c>
      <c r="CR78" s="4">
        <f t="shared" si="106"/>
        <v>34</v>
      </c>
      <c r="CS78" s="4">
        <f t="shared" si="107"/>
        <v>0</v>
      </c>
      <c r="CT78" s="4">
        <f t="shared" si="108"/>
        <v>0</v>
      </c>
      <c r="CU78" s="4">
        <f t="shared" si="109"/>
        <v>0</v>
      </c>
      <c r="CV78" s="4">
        <f t="shared" si="110"/>
        <v>0</v>
      </c>
      <c r="CW78" s="4">
        <f t="shared" si="111"/>
        <v>0</v>
      </c>
      <c r="CX78" s="4">
        <f t="shared" si="112"/>
        <v>-135</v>
      </c>
      <c r="CY78" s="4">
        <f t="shared" si="113"/>
        <v>0</v>
      </c>
      <c r="CZ78" s="4">
        <f t="shared" si="114"/>
        <v>0</v>
      </c>
      <c r="DA78" s="4">
        <f t="shared" si="115"/>
        <v>0</v>
      </c>
      <c r="DB78" s="4">
        <f t="shared" si="116"/>
        <v>0</v>
      </c>
      <c r="DC78" s="4">
        <f t="shared" si="117"/>
        <v>0</v>
      </c>
      <c r="DD78" s="4">
        <f t="shared" si="118"/>
        <v>0</v>
      </c>
      <c r="DE78" s="4">
        <f t="shared" si="119"/>
        <v>0</v>
      </c>
      <c r="DF78" s="4">
        <f t="shared" si="120"/>
        <v>0</v>
      </c>
      <c r="DG78" s="4">
        <f t="shared" si="121"/>
        <v>0</v>
      </c>
      <c r="DH78" s="4">
        <f t="shared" si="122"/>
        <v>0</v>
      </c>
      <c r="DI78" s="4">
        <f t="shared" si="123"/>
        <v>0</v>
      </c>
      <c r="DJ78" s="4">
        <f t="shared" si="124"/>
        <v>0</v>
      </c>
      <c r="DK78" s="4">
        <f t="shared" si="125"/>
        <v>0</v>
      </c>
      <c r="DL78" s="4">
        <f t="shared" si="126"/>
        <v>0</v>
      </c>
    </row>
    <row r="79" spans="1:116" x14ac:dyDescent="0.25">
      <c r="A79" s="5">
        <v>46184</v>
      </c>
      <c r="B79" s="6">
        <v>0.89583333351765759</v>
      </c>
      <c r="C79" s="3"/>
      <c r="D79" s="3"/>
      <c r="E79" s="3" t="s">
        <v>40</v>
      </c>
      <c r="F79" s="3">
        <v>8</v>
      </c>
      <c r="G79" s="3"/>
      <c r="H79" s="9"/>
      <c r="I79" s="9">
        <f>SUM(IFERROR(VLOOKUP($C:$C,Structure!$A:$AJ,I$1,0)*$D79,0),IFERROR(VLOOKUP($E:$E,Structure!$A:$AJ,I$1,0)*$F79,0),IFERROR(VLOOKUP($G:$G,Structure!$A:$AJ,I$1,0)*$H79,0))</f>
        <v>0</v>
      </c>
      <c r="J79" s="9">
        <f>SUM(IFERROR(VLOOKUP($C:$C,Structure!$A:$AJ,J$1,0)*$D79,0),IFERROR(VLOOKUP($E:$E,Structure!$A:$AJ,J$1,0)*$F79,0),IFERROR(VLOOKUP($G:$G,Structure!$A:$AJ,J$1,0)*$H79,0))</f>
        <v>8</v>
      </c>
      <c r="K79" s="9">
        <f>SUM(IFERROR(VLOOKUP($C:$C,Structure!$A:$AJ,K$1,0)*$D79,0),IFERROR(VLOOKUP($E:$E,Structure!$A:$AJ,K$1,0)*$F79,0),IFERROR(VLOOKUP($G:$G,Structure!$A:$AJ,K$1,0)*$H79,0))</f>
        <v>0</v>
      </c>
      <c r="L79" s="9">
        <f>SUM(IFERROR(VLOOKUP($C:$C,Structure!$A:$AJ,L$1,0)*$D79,0),IFERROR(VLOOKUP($E:$E,Structure!$A:$AJ,L$1,0)*$F79,0),IFERROR(VLOOKUP($G:$G,Structure!$A:$AJ,L$1,0)*$H79,0))</f>
        <v>0</v>
      </c>
      <c r="M79" s="9">
        <f>SUM(IFERROR(VLOOKUP($C:$C,Structure!$A:$AJ,M$1,0)*$D79,0),IFERROR(VLOOKUP($E:$E,Structure!$A:$AJ,M$1,0)*$F79,0),IFERROR(VLOOKUP($G:$G,Structure!$A:$AJ,M$1,0)*$H79,0))</f>
        <v>0</v>
      </c>
      <c r="N79" s="9">
        <f>SUM(IFERROR(VLOOKUP($C:$C,Structure!$A:$AJ,N$1,0)*$D79,0),IFERROR(VLOOKUP($E:$E,Structure!$A:$AJ,N$1,0)*$F79,0),IFERROR(VLOOKUP($G:$G,Structure!$A:$AJ,N$1,0)*$H79,0))</f>
        <v>0</v>
      </c>
      <c r="O79" s="9">
        <f>SUM(IFERROR(VLOOKUP($C:$C,Structure!$A:$AJ,O$1,0)*$D79,0),IFERROR(VLOOKUP($E:$E,Structure!$A:$AJ,O$1,0)*$F79,0),IFERROR(VLOOKUP($G:$G,Structure!$A:$AJ,O$1,0)*$H79,0))</f>
        <v>0</v>
      </c>
      <c r="P79" s="9">
        <f>SUM(IFERROR(VLOOKUP($C:$C,Structure!$A:$AJ,P$1,0)*$D79,0),IFERROR(VLOOKUP($E:$E,Structure!$A:$AJ,P$1,0)*$F79,0),IFERROR(VLOOKUP($G:$G,Structure!$A:$AJ,P$1,0)*$H79,0))</f>
        <v>8</v>
      </c>
      <c r="Q79" s="9">
        <f>SUM(IFERROR(VLOOKUP($C:$C,Structure!$A:$AJ,Q$1,0)*$D79,0),IFERROR(VLOOKUP($E:$E,Structure!$A:$AJ,Q$1,0)*$F79,0),IFERROR(VLOOKUP($G:$G,Structure!$A:$AJ,Q$1,0)*$H79,0))</f>
        <v>0</v>
      </c>
      <c r="R79" s="9">
        <f>SUM(IFERROR(VLOOKUP($C:$C,Structure!$A:$AJ,R$1,0)*$D79,0),IFERROR(VLOOKUP($E:$E,Structure!$A:$AJ,R$1,0)*$F79,0),IFERROR(VLOOKUP($G:$G,Structure!$A:$AJ,R$1,0)*$H79,0))</f>
        <v>0</v>
      </c>
      <c r="S79" s="9">
        <f>SUM(IFERROR(VLOOKUP($C:$C,Structure!$A:$AJ,S$1,0)*$D79,0),IFERROR(VLOOKUP($E:$E,Structure!$A:$AJ,S$1,0)*$F79,0),IFERROR(VLOOKUP($G:$G,Structure!$A:$AJ,S$1,0)*$H79,0))</f>
        <v>0</v>
      </c>
      <c r="T79" s="9">
        <f>SUM(IFERROR(VLOOKUP($C:$C,Structure!$A:$AJ,T$1,0)*$D79,0),IFERROR(VLOOKUP($E:$E,Structure!$A:$AJ,T$1,0)*$F79,0),IFERROR(VLOOKUP($G:$G,Structure!$A:$AJ,T$1,0)*$H79,0))</f>
        <v>0</v>
      </c>
      <c r="U79" s="9">
        <f>SUM(IFERROR(VLOOKUP($C:$C,Structure!$A:$AJ,U$1,0)*$D79,0),IFERROR(VLOOKUP($E:$E,Structure!$A:$AJ,U$1,0)*$F79,0),IFERROR(VLOOKUP($G:$G,Structure!$A:$AJ,U$1,0)*$H79,0))</f>
        <v>0</v>
      </c>
      <c r="V79" s="9">
        <f>SUM(IFERROR(VLOOKUP($C:$C,Structure!$A:$AJ,V$1,0)*$D79,0),IFERROR(VLOOKUP($E:$E,Structure!$A:$AJ,V$1,0)*$F79,0),IFERROR(VLOOKUP($G:$G,Structure!$A:$AJ,V$1,0)*$H79,0))</f>
        <v>0</v>
      </c>
      <c r="W79" s="9">
        <f>SUM(IFERROR(VLOOKUP($C:$C,Structure!$A:$AJ,W$1,0)*$D79,0),IFERROR(VLOOKUP($E:$E,Structure!$A:$AJ,W$1,0)*$F79,0),IFERROR(VLOOKUP($G:$G,Structure!$A:$AJ,W$1,0)*$H79,0))</f>
        <v>0</v>
      </c>
      <c r="X79" s="9">
        <f>SUM(IFERROR(VLOOKUP($C:$C,Structure!$A:$AJ,X$1,0)*$D79,0),IFERROR(VLOOKUP($E:$E,Structure!$A:$AJ,X$1,0)*$F79,0),IFERROR(VLOOKUP($G:$G,Structure!$A:$AJ,X$1,0)*$H79,0))</f>
        <v>0</v>
      </c>
      <c r="Y79" s="9">
        <f>SUM(IFERROR(VLOOKUP($C:$C,Structure!$A:$AJ,Y$1,0)*$D79,0),IFERROR(VLOOKUP($E:$E,Structure!$A:$AJ,Y$1,0)*$F79,0),IFERROR(VLOOKUP($G:$G,Structure!$A:$AJ,Y$1,0)*$H79,0))</f>
        <v>0</v>
      </c>
      <c r="Z79" s="9">
        <f>SUM(IFERROR(VLOOKUP($C:$C,Structure!$A:$AJ,Z$1,0)*$D79,0),IFERROR(VLOOKUP($E:$E,Structure!$A:$AJ,Z$1,0)*$F79,0),IFERROR(VLOOKUP($G:$G,Structure!$A:$AJ,Z$1,0)*$H79,0))</f>
        <v>0</v>
      </c>
      <c r="AA79" s="9">
        <f>SUM(IFERROR(VLOOKUP($C:$C,Structure!$A:$AJ,AA$1,0)*$D79,0),IFERROR(VLOOKUP($E:$E,Structure!$A:$AJ,AA$1,0)*$F79,0),IFERROR(VLOOKUP($G:$G,Structure!$A:$AJ,AA$1,0)*$H79,0))</f>
        <v>0</v>
      </c>
      <c r="AB79" s="9">
        <f>SUM(IFERROR(VLOOKUP($C:$C,Structure!$A:$AJ,AB$1,0)*$D79,0),IFERROR(VLOOKUP($E:$E,Structure!$A:$AJ,AB$1,0)*$F79,0),IFERROR(VLOOKUP($G:$G,Structure!$A:$AJ,AB$1,0)*$H79,0))</f>
        <v>0</v>
      </c>
      <c r="AC79" s="9">
        <f>SUM(IFERROR(VLOOKUP($C:$C,Structure!$A:$AJ,AC$1,0)*$D79,0),IFERROR(VLOOKUP($E:$E,Structure!$A:$AJ,AC$1,0)*$F79,0),IFERROR(VLOOKUP($G:$G,Structure!$A:$AJ,AC$1,0)*$H79,0))</f>
        <v>0</v>
      </c>
      <c r="AD79" s="9">
        <f>SUM(IFERROR(VLOOKUP($C:$C,Structure!$A:$AJ,AD$1,0)*$D79,0),IFERROR(VLOOKUP($E:$E,Structure!$A:$AJ,AD$1,0)*$F79,0),IFERROR(VLOOKUP($G:$G,Structure!$A:$AJ,AD$1,0)*$H79,0))</f>
        <v>0</v>
      </c>
      <c r="AE79" s="9">
        <f>SUM(IFERROR(VLOOKUP($C:$C,Structure!$A:$AJ,AE$1,0)*$D79,0),IFERROR(VLOOKUP($E:$E,Structure!$A:$AJ,AE$1,0)*$F79,0),IFERROR(VLOOKUP($G:$G,Structure!$A:$AJ,AE$1,0)*$H79,0))</f>
        <v>0</v>
      </c>
      <c r="AF79" s="9">
        <f>SUM(IFERROR(VLOOKUP($C:$C,Structure!$A:$AJ,AF$1,0)*$D79,0),IFERROR(VLOOKUP($E:$E,Structure!$A:$AJ,AF$1,0)*$F79,0),IFERROR(VLOOKUP($G:$G,Structure!$A:$AJ,AF$1,0)*$H79,0))</f>
        <v>0</v>
      </c>
      <c r="AG79" s="9">
        <f>SUM(IFERROR(VLOOKUP($C:$C,Structure!$A:$AJ,AG$1,0)*$D79,0),IFERROR(VLOOKUP($E:$E,Structure!$A:$AJ,AG$1,0)*$F79,0),IFERROR(VLOOKUP($G:$G,Structure!$A:$AJ,AG$1,0)*$H79,0))</f>
        <v>0</v>
      </c>
      <c r="AH79" s="9">
        <f>SUM(IFERROR(VLOOKUP($C:$C,Structure!$A:$AJ,AH$1,0)*$D79,0),IFERROR(VLOOKUP($E:$E,Structure!$A:$AJ,AH$1,0)*$F79,0),IFERROR(VLOOKUP($G:$G,Structure!$A:$AJ,AH$1,0)*$H79,0))</f>
        <v>0</v>
      </c>
      <c r="AI79" s="9">
        <f>SUM(IFERROR(VLOOKUP($C:$C,Structure!$A:$AJ,AI$1,0)*$D79,0),IFERROR(VLOOKUP($E:$E,Structure!$A:$AJ,AI$1,0)*$F79,0),IFERROR(VLOOKUP($G:$G,Structure!$A:$AJ,AI$1,0)*$H79,0))</f>
        <v>0</v>
      </c>
      <c r="AJ79" s="9">
        <f>SUM(IFERROR(VLOOKUP($C:$C,Structure!$A:$AJ,AJ$1,0)*$D79,0),IFERROR(VLOOKUP($E:$E,Structure!$A:$AJ,AJ$1,0)*$F79,0),IFERROR(VLOOKUP($G:$G,Structure!$A:$AJ,AJ$1,0)*$H79,0))</f>
        <v>0</v>
      </c>
      <c r="AK79" s="9">
        <f>SUM(IFERROR(VLOOKUP($C:$C,Structure!$A:$AJ,AK$1,0)*$D79,0),IFERROR(VLOOKUP($E:$E,Structure!$A:$AJ,AK$1,0)*$F79,0),IFERROR(VLOOKUP($G:$G,Structure!$A:$AJ,AK$1,0)*$H79,0))</f>
        <v>0</v>
      </c>
      <c r="AL79" s="9">
        <f>SUM(IFERROR(VLOOKUP($C:$C,Structure!$A:$AJ,AL$1,0)*$D79,0),IFERROR(VLOOKUP($E:$E,Structure!$A:$AJ,AL$1,0)*$F79,0),IFERROR(VLOOKUP($G:$G,Structure!$A:$AJ,AL$1,0)*$H79,0))</f>
        <v>0</v>
      </c>
      <c r="AM79" s="9">
        <f>SUM(IFERROR(VLOOKUP($C:$C,Structure!$A:$AJ,AM$1,0)*$D79,0),IFERROR(VLOOKUP($E:$E,Structure!$A:$AJ,AM$1,0)*$F79,0),IFERROR(VLOOKUP($G:$G,Structure!$A:$AJ,AM$1,0)*$H79,0))</f>
        <v>0</v>
      </c>
      <c r="AN79" s="9">
        <f>SUM(IFERROR(VLOOKUP($C:$C,Structure!$A:$AJ,AN$1,0)*$D79,0),IFERROR(VLOOKUP($E:$E,Structure!$A:$AJ,AN$1,0)*$F79,0),IFERROR(VLOOKUP($G:$G,Structure!$A:$AJ,AN$1,0)*$H79,0))</f>
        <v>0</v>
      </c>
      <c r="AO79" s="9">
        <f>SUM(IFERROR(VLOOKUP($C:$C,Structure!$A:$AJ,AO$1,0)*$D79,0),IFERROR(VLOOKUP($E:$E,Structure!$A:$AJ,AO$1,0)*$F79,0),IFERROR(VLOOKUP($G:$G,Structure!$A:$AJ,AO$1,0)*$H79,0))</f>
        <v>0</v>
      </c>
      <c r="AP79" s="9">
        <f>SUM(IFERROR(VLOOKUP($C:$C,Structure!$A:$AJ,AP$1,0)*$D79,0),IFERROR(VLOOKUP($E:$E,Structure!$A:$AJ,AP$1,0)*$F79,0),IFERROR(VLOOKUP($G:$G,Structure!$A:$AJ,AP$1,0)*$H79,0))</f>
        <v>0</v>
      </c>
      <c r="AQ79" s="9">
        <f>SUM(IFERROR(VLOOKUP($C:$C,Structure!$A:$AJ,AQ$1,0)*$D79,0),IFERROR(VLOOKUP($E:$E,Structure!$A:$AJ,AQ$1,0)*$F79,0),IFERROR(VLOOKUP($G:$G,Structure!$A:$AJ,AQ$1,0)*$H79,0))</f>
        <v>0</v>
      </c>
      <c r="AR79" s="21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4">
        <f t="shared" si="92"/>
        <v>0</v>
      </c>
      <c r="CE79" s="4">
        <f t="shared" si="93"/>
        <v>29</v>
      </c>
      <c r="CF79" s="4">
        <f t="shared" si="94"/>
        <v>4</v>
      </c>
      <c r="CG79" s="4">
        <f t="shared" si="95"/>
        <v>23</v>
      </c>
      <c r="CH79" s="4">
        <f t="shared" si="96"/>
        <v>1</v>
      </c>
      <c r="CI79" s="4">
        <f t="shared" si="97"/>
        <v>51</v>
      </c>
      <c r="CJ79" s="4">
        <f t="shared" si="98"/>
        <v>-58</v>
      </c>
      <c r="CK79" s="4">
        <f t="shared" si="99"/>
        <v>158</v>
      </c>
      <c r="CL79" s="4">
        <f t="shared" si="100"/>
        <v>0</v>
      </c>
      <c r="CM79" s="4">
        <f t="shared" si="101"/>
        <v>4</v>
      </c>
      <c r="CN79" s="4">
        <f t="shared" si="102"/>
        <v>-20</v>
      </c>
      <c r="CO79" s="4">
        <f t="shared" si="103"/>
        <v>0</v>
      </c>
      <c r="CP79" s="4">
        <f t="shared" si="104"/>
        <v>3</v>
      </c>
      <c r="CQ79" s="4">
        <f t="shared" si="105"/>
        <v>-153</v>
      </c>
      <c r="CR79" s="4">
        <f t="shared" si="106"/>
        <v>34</v>
      </c>
      <c r="CS79" s="4">
        <f t="shared" si="107"/>
        <v>0</v>
      </c>
      <c r="CT79" s="4">
        <f t="shared" si="108"/>
        <v>0</v>
      </c>
      <c r="CU79" s="4">
        <f t="shared" si="109"/>
        <v>0</v>
      </c>
      <c r="CV79" s="4">
        <f t="shared" si="110"/>
        <v>0</v>
      </c>
      <c r="CW79" s="4">
        <f t="shared" si="111"/>
        <v>0</v>
      </c>
      <c r="CX79" s="4">
        <f t="shared" si="112"/>
        <v>-135</v>
      </c>
      <c r="CY79" s="4">
        <f t="shared" si="113"/>
        <v>0</v>
      </c>
      <c r="CZ79" s="4">
        <f t="shared" si="114"/>
        <v>0</v>
      </c>
      <c r="DA79" s="4">
        <f t="shared" si="115"/>
        <v>0</v>
      </c>
      <c r="DB79" s="4">
        <f t="shared" si="116"/>
        <v>0</v>
      </c>
      <c r="DC79" s="4">
        <f t="shared" si="117"/>
        <v>0</v>
      </c>
      <c r="DD79" s="4">
        <f t="shared" si="118"/>
        <v>0</v>
      </c>
      <c r="DE79" s="4">
        <f t="shared" si="119"/>
        <v>0</v>
      </c>
      <c r="DF79" s="4">
        <f t="shared" si="120"/>
        <v>0</v>
      </c>
      <c r="DG79" s="4">
        <f t="shared" si="121"/>
        <v>0</v>
      </c>
      <c r="DH79" s="4">
        <f t="shared" si="122"/>
        <v>0</v>
      </c>
      <c r="DI79" s="4">
        <f t="shared" si="123"/>
        <v>0</v>
      </c>
      <c r="DJ79" s="4">
        <f t="shared" si="124"/>
        <v>0</v>
      </c>
      <c r="DK79" s="4">
        <f t="shared" si="125"/>
        <v>0</v>
      </c>
      <c r="DL79" s="4">
        <f t="shared" si="126"/>
        <v>0</v>
      </c>
    </row>
    <row r="80" spans="1:116" x14ac:dyDescent="0.25">
      <c r="A80" s="5">
        <v>46184</v>
      </c>
      <c r="B80" s="6">
        <v>0.91666666685341625</v>
      </c>
      <c r="C80" s="3"/>
      <c r="D80" s="3"/>
      <c r="E80" s="3" t="s">
        <v>40</v>
      </c>
      <c r="F80" s="3">
        <v>8</v>
      </c>
      <c r="G80" s="3"/>
      <c r="H80" s="9"/>
      <c r="I80" s="9">
        <f>SUM(IFERROR(VLOOKUP($C:$C,Structure!$A:$AJ,I$1,0)*$D80,0),IFERROR(VLOOKUP($E:$E,Structure!$A:$AJ,I$1,0)*$F80,0),IFERROR(VLOOKUP($G:$G,Structure!$A:$AJ,I$1,0)*$H80,0))</f>
        <v>0</v>
      </c>
      <c r="J80" s="9">
        <f>SUM(IFERROR(VLOOKUP($C:$C,Structure!$A:$AJ,J$1,0)*$D80,0),IFERROR(VLOOKUP($E:$E,Structure!$A:$AJ,J$1,0)*$F80,0),IFERROR(VLOOKUP($G:$G,Structure!$A:$AJ,J$1,0)*$H80,0))</f>
        <v>8</v>
      </c>
      <c r="K80" s="9">
        <f>SUM(IFERROR(VLOOKUP($C:$C,Structure!$A:$AJ,K$1,0)*$D80,0),IFERROR(VLOOKUP($E:$E,Structure!$A:$AJ,K$1,0)*$F80,0),IFERROR(VLOOKUP($G:$G,Structure!$A:$AJ,K$1,0)*$H80,0))</f>
        <v>0</v>
      </c>
      <c r="L80" s="9">
        <f>SUM(IFERROR(VLOOKUP($C:$C,Structure!$A:$AJ,L$1,0)*$D80,0),IFERROR(VLOOKUP($E:$E,Structure!$A:$AJ,L$1,0)*$F80,0),IFERROR(VLOOKUP($G:$G,Structure!$A:$AJ,L$1,0)*$H80,0))</f>
        <v>0</v>
      </c>
      <c r="M80" s="9">
        <f>SUM(IFERROR(VLOOKUP($C:$C,Structure!$A:$AJ,M$1,0)*$D80,0),IFERROR(VLOOKUP($E:$E,Structure!$A:$AJ,M$1,0)*$F80,0),IFERROR(VLOOKUP($G:$G,Structure!$A:$AJ,M$1,0)*$H80,0))</f>
        <v>0</v>
      </c>
      <c r="N80" s="9">
        <f>SUM(IFERROR(VLOOKUP($C:$C,Structure!$A:$AJ,N$1,0)*$D80,0),IFERROR(VLOOKUP($E:$E,Structure!$A:$AJ,N$1,0)*$F80,0),IFERROR(VLOOKUP($G:$G,Structure!$A:$AJ,N$1,0)*$H80,0))</f>
        <v>0</v>
      </c>
      <c r="O80" s="9">
        <f>SUM(IFERROR(VLOOKUP($C:$C,Structure!$A:$AJ,O$1,0)*$D80,0),IFERROR(VLOOKUP($E:$E,Structure!$A:$AJ,O$1,0)*$F80,0),IFERROR(VLOOKUP($G:$G,Structure!$A:$AJ,O$1,0)*$H80,0))</f>
        <v>0</v>
      </c>
      <c r="P80" s="9">
        <f>SUM(IFERROR(VLOOKUP($C:$C,Structure!$A:$AJ,P$1,0)*$D80,0),IFERROR(VLOOKUP($E:$E,Structure!$A:$AJ,P$1,0)*$F80,0),IFERROR(VLOOKUP($G:$G,Structure!$A:$AJ,P$1,0)*$H80,0))</f>
        <v>8</v>
      </c>
      <c r="Q80" s="9">
        <f>SUM(IFERROR(VLOOKUP($C:$C,Structure!$A:$AJ,Q$1,0)*$D80,0),IFERROR(VLOOKUP($E:$E,Structure!$A:$AJ,Q$1,0)*$F80,0),IFERROR(VLOOKUP($G:$G,Structure!$A:$AJ,Q$1,0)*$H80,0))</f>
        <v>0</v>
      </c>
      <c r="R80" s="9">
        <f>SUM(IFERROR(VLOOKUP($C:$C,Structure!$A:$AJ,R$1,0)*$D80,0),IFERROR(VLOOKUP($E:$E,Structure!$A:$AJ,R$1,0)*$F80,0),IFERROR(VLOOKUP($G:$G,Structure!$A:$AJ,R$1,0)*$H80,0))</f>
        <v>0</v>
      </c>
      <c r="S80" s="9">
        <f>SUM(IFERROR(VLOOKUP($C:$C,Structure!$A:$AJ,S$1,0)*$D80,0),IFERROR(VLOOKUP($E:$E,Structure!$A:$AJ,S$1,0)*$F80,0),IFERROR(VLOOKUP($G:$G,Structure!$A:$AJ,S$1,0)*$H80,0))</f>
        <v>0</v>
      </c>
      <c r="T80" s="9">
        <f>SUM(IFERROR(VLOOKUP($C:$C,Structure!$A:$AJ,T$1,0)*$D80,0),IFERROR(VLOOKUP($E:$E,Structure!$A:$AJ,T$1,0)*$F80,0),IFERROR(VLOOKUP($G:$G,Structure!$A:$AJ,T$1,0)*$H80,0))</f>
        <v>0</v>
      </c>
      <c r="U80" s="9">
        <f>SUM(IFERROR(VLOOKUP($C:$C,Structure!$A:$AJ,U$1,0)*$D80,0),IFERROR(VLOOKUP($E:$E,Structure!$A:$AJ,U$1,0)*$F80,0),IFERROR(VLOOKUP($G:$G,Structure!$A:$AJ,U$1,0)*$H80,0))</f>
        <v>0</v>
      </c>
      <c r="V80" s="9">
        <f>SUM(IFERROR(VLOOKUP($C:$C,Structure!$A:$AJ,V$1,0)*$D80,0),IFERROR(VLOOKUP($E:$E,Structure!$A:$AJ,V$1,0)*$F80,0),IFERROR(VLOOKUP($G:$G,Structure!$A:$AJ,V$1,0)*$H80,0))</f>
        <v>0</v>
      </c>
      <c r="W80" s="9">
        <f>SUM(IFERROR(VLOOKUP($C:$C,Structure!$A:$AJ,W$1,0)*$D80,0),IFERROR(VLOOKUP($E:$E,Structure!$A:$AJ,W$1,0)*$F80,0),IFERROR(VLOOKUP($G:$G,Structure!$A:$AJ,W$1,0)*$H80,0))</f>
        <v>0</v>
      </c>
      <c r="X80" s="9">
        <f>SUM(IFERROR(VLOOKUP($C:$C,Structure!$A:$AJ,X$1,0)*$D80,0),IFERROR(VLOOKUP($E:$E,Structure!$A:$AJ,X$1,0)*$F80,0),IFERROR(VLOOKUP($G:$G,Structure!$A:$AJ,X$1,0)*$H80,0))</f>
        <v>0</v>
      </c>
      <c r="Y80" s="9">
        <f>SUM(IFERROR(VLOOKUP($C:$C,Structure!$A:$AJ,Y$1,0)*$D80,0),IFERROR(VLOOKUP($E:$E,Structure!$A:$AJ,Y$1,0)*$F80,0),IFERROR(VLOOKUP($G:$G,Structure!$A:$AJ,Y$1,0)*$H80,0))</f>
        <v>0</v>
      </c>
      <c r="Z80" s="9">
        <f>SUM(IFERROR(VLOOKUP($C:$C,Structure!$A:$AJ,Z$1,0)*$D80,0),IFERROR(VLOOKUP($E:$E,Structure!$A:$AJ,Z$1,0)*$F80,0),IFERROR(VLOOKUP($G:$G,Structure!$A:$AJ,Z$1,0)*$H80,0))</f>
        <v>0</v>
      </c>
      <c r="AA80" s="9">
        <f>SUM(IFERROR(VLOOKUP($C:$C,Structure!$A:$AJ,AA$1,0)*$D80,0),IFERROR(VLOOKUP($E:$E,Structure!$A:$AJ,AA$1,0)*$F80,0),IFERROR(VLOOKUP($G:$G,Structure!$A:$AJ,AA$1,0)*$H80,0))</f>
        <v>0</v>
      </c>
      <c r="AB80" s="9">
        <f>SUM(IFERROR(VLOOKUP($C:$C,Structure!$A:$AJ,AB$1,0)*$D80,0),IFERROR(VLOOKUP($E:$E,Structure!$A:$AJ,AB$1,0)*$F80,0),IFERROR(VLOOKUP($G:$G,Structure!$A:$AJ,AB$1,0)*$H80,0))</f>
        <v>0</v>
      </c>
      <c r="AC80" s="9">
        <f>SUM(IFERROR(VLOOKUP($C:$C,Structure!$A:$AJ,AC$1,0)*$D80,0),IFERROR(VLOOKUP($E:$E,Structure!$A:$AJ,AC$1,0)*$F80,0),IFERROR(VLOOKUP($G:$G,Structure!$A:$AJ,AC$1,0)*$H80,0))</f>
        <v>0</v>
      </c>
      <c r="AD80" s="9">
        <f>SUM(IFERROR(VLOOKUP($C:$C,Structure!$A:$AJ,AD$1,0)*$D80,0),IFERROR(VLOOKUP($E:$E,Structure!$A:$AJ,AD$1,0)*$F80,0),IFERROR(VLOOKUP($G:$G,Structure!$A:$AJ,AD$1,0)*$H80,0))</f>
        <v>0</v>
      </c>
      <c r="AE80" s="9">
        <f>SUM(IFERROR(VLOOKUP($C:$C,Structure!$A:$AJ,AE$1,0)*$D80,0),IFERROR(VLOOKUP($E:$E,Structure!$A:$AJ,AE$1,0)*$F80,0),IFERROR(VLOOKUP($G:$G,Structure!$A:$AJ,AE$1,0)*$H80,0))</f>
        <v>0</v>
      </c>
      <c r="AF80" s="9">
        <f>SUM(IFERROR(VLOOKUP($C:$C,Structure!$A:$AJ,AF$1,0)*$D80,0),IFERROR(VLOOKUP($E:$E,Structure!$A:$AJ,AF$1,0)*$F80,0),IFERROR(VLOOKUP($G:$G,Structure!$A:$AJ,AF$1,0)*$H80,0))</f>
        <v>0</v>
      </c>
      <c r="AG80" s="9">
        <f>SUM(IFERROR(VLOOKUP($C:$C,Structure!$A:$AJ,AG$1,0)*$D80,0),IFERROR(VLOOKUP($E:$E,Structure!$A:$AJ,AG$1,0)*$F80,0),IFERROR(VLOOKUP($G:$G,Structure!$A:$AJ,AG$1,0)*$H80,0))</f>
        <v>0</v>
      </c>
      <c r="AH80" s="9">
        <f>SUM(IFERROR(VLOOKUP($C:$C,Structure!$A:$AJ,AH$1,0)*$D80,0),IFERROR(VLOOKUP($E:$E,Structure!$A:$AJ,AH$1,0)*$F80,0),IFERROR(VLOOKUP($G:$G,Structure!$A:$AJ,AH$1,0)*$H80,0))</f>
        <v>0</v>
      </c>
      <c r="AI80" s="9">
        <f>SUM(IFERROR(VLOOKUP($C:$C,Structure!$A:$AJ,AI$1,0)*$D80,0),IFERROR(VLOOKUP($E:$E,Structure!$A:$AJ,AI$1,0)*$F80,0),IFERROR(VLOOKUP($G:$G,Structure!$A:$AJ,AI$1,0)*$H80,0))</f>
        <v>0</v>
      </c>
      <c r="AJ80" s="9">
        <f>SUM(IFERROR(VLOOKUP($C:$C,Structure!$A:$AJ,AJ$1,0)*$D80,0),IFERROR(VLOOKUP($E:$E,Structure!$A:$AJ,AJ$1,0)*$F80,0),IFERROR(VLOOKUP($G:$G,Structure!$A:$AJ,AJ$1,0)*$H80,0))</f>
        <v>0</v>
      </c>
      <c r="AK80" s="9">
        <f>SUM(IFERROR(VLOOKUP($C:$C,Structure!$A:$AJ,AK$1,0)*$D80,0),IFERROR(VLOOKUP($E:$E,Structure!$A:$AJ,AK$1,0)*$F80,0),IFERROR(VLOOKUP($G:$G,Structure!$A:$AJ,AK$1,0)*$H80,0))</f>
        <v>0</v>
      </c>
      <c r="AL80" s="9">
        <f>SUM(IFERROR(VLOOKUP($C:$C,Structure!$A:$AJ,AL$1,0)*$D80,0),IFERROR(VLOOKUP($E:$E,Structure!$A:$AJ,AL$1,0)*$F80,0),IFERROR(VLOOKUP($G:$G,Structure!$A:$AJ,AL$1,0)*$H80,0))</f>
        <v>0</v>
      </c>
      <c r="AM80" s="9">
        <f>SUM(IFERROR(VLOOKUP($C:$C,Structure!$A:$AJ,AM$1,0)*$D80,0),IFERROR(VLOOKUP($E:$E,Structure!$A:$AJ,AM$1,0)*$F80,0),IFERROR(VLOOKUP($G:$G,Structure!$A:$AJ,AM$1,0)*$H80,0))</f>
        <v>0</v>
      </c>
      <c r="AN80" s="9">
        <f>SUM(IFERROR(VLOOKUP($C:$C,Structure!$A:$AJ,AN$1,0)*$D80,0),IFERROR(VLOOKUP($E:$E,Structure!$A:$AJ,AN$1,0)*$F80,0),IFERROR(VLOOKUP($G:$G,Structure!$A:$AJ,AN$1,0)*$H80,0))</f>
        <v>0</v>
      </c>
      <c r="AO80" s="9">
        <f>SUM(IFERROR(VLOOKUP($C:$C,Structure!$A:$AJ,AO$1,0)*$D80,0),IFERROR(VLOOKUP($E:$E,Structure!$A:$AJ,AO$1,0)*$F80,0),IFERROR(VLOOKUP($G:$G,Structure!$A:$AJ,AO$1,0)*$H80,0))</f>
        <v>0</v>
      </c>
      <c r="AP80" s="9">
        <f>SUM(IFERROR(VLOOKUP($C:$C,Structure!$A:$AJ,AP$1,0)*$D80,0),IFERROR(VLOOKUP($E:$E,Structure!$A:$AJ,AP$1,0)*$F80,0),IFERROR(VLOOKUP($G:$G,Structure!$A:$AJ,AP$1,0)*$H80,0))</f>
        <v>0</v>
      </c>
      <c r="AQ80" s="9">
        <f>SUM(IFERROR(VLOOKUP($C:$C,Structure!$A:$AJ,AQ$1,0)*$D80,0),IFERROR(VLOOKUP($E:$E,Structure!$A:$AJ,AQ$1,0)*$F80,0),IFERROR(VLOOKUP($G:$G,Structure!$A:$AJ,AQ$1,0)*$H80,0))</f>
        <v>0</v>
      </c>
      <c r="AR80" s="21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4">
        <f t="shared" si="92"/>
        <v>0</v>
      </c>
      <c r="CE80" s="4">
        <f t="shared" si="93"/>
        <v>21</v>
      </c>
      <c r="CF80" s="4">
        <f t="shared" si="94"/>
        <v>4</v>
      </c>
      <c r="CG80" s="4">
        <f t="shared" si="95"/>
        <v>23</v>
      </c>
      <c r="CH80" s="4">
        <f t="shared" si="96"/>
        <v>1</v>
      </c>
      <c r="CI80" s="4">
        <f t="shared" si="97"/>
        <v>51</v>
      </c>
      <c r="CJ80" s="4">
        <f t="shared" si="98"/>
        <v>-58</v>
      </c>
      <c r="CK80" s="4">
        <f t="shared" si="99"/>
        <v>150</v>
      </c>
      <c r="CL80" s="4">
        <f t="shared" si="100"/>
        <v>0</v>
      </c>
      <c r="CM80" s="4">
        <f t="shared" si="101"/>
        <v>4</v>
      </c>
      <c r="CN80" s="4">
        <f t="shared" si="102"/>
        <v>-20</v>
      </c>
      <c r="CO80" s="4">
        <f t="shared" si="103"/>
        <v>0</v>
      </c>
      <c r="CP80" s="4">
        <f t="shared" si="104"/>
        <v>3</v>
      </c>
      <c r="CQ80" s="4">
        <f t="shared" si="105"/>
        <v>-153</v>
      </c>
      <c r="CR80" s="4">
        <f t="shared" si="106"/>
        <v>34</v>
      </c>
      <c r="CS80" s="4">
        <f t="shared" si="107"/>
        <v>0</v>
      </c>
      <c r="CT80" s="4">
        <f t="shared" si="108"/>
        <v>0</v>
      </c>
      <c r="CU80" s="4">
        <f t="shared" si="109"/>
        <v>0</v>
      </c>
      <c r="CV80" s="4">
        <f t="shared" si="110"/>
        <v>0</v>
      </c>
      <c r="CW80" s="4">
        <f t="shared" si="111"/>
        <v>0</v>
      </c>
      <c r="CX80" s="4">
        <f t="shared" si="112"/>
        <v>-135</v>
      </c>
      <c r="CY80" s="4">
        <f t="shared" si="113"/>
        <v>0</v>
      </c>
      <c r="CZ80" s="4">
        <f t="shared" si="114"/>
        <v>0</v>
      </c>
      <c r="DA80" s="4">
        <f t="shared" si="115"/>
        <v>0</v>
      </c>
      <c r="DB80" s="4">
        <f t="shared" si="116"/>
        <v>0</v>
      </c>
      <c r="DC80" s="4">
        <f t="shared" si="117"/>
        <v>0</v>
      </c>
      <c r="DD80" s="4">
        <f t="shared" si="118"/>
        <v>0</v>
      </c>
      <c r="DE80" s="4">
        <f t="shared" si="119"/>
        <v>0</v>
      </c>
      <c r="DF80" s="4">
        <f t="shared" si="120"/>
        <v>0</v>
      </c>
      <c r="DG80" s="4">
        <f t="shared" si="121"/>
        <v>0</v>
      </c>
      <c r="DH80" s="4">
        <f t="shared" si="122"/>
        <v>0</v>
      </c>
      <c r="DI80" s="4">
        <f t="shared" si="123"/>
        <v>0</v>
      </c>
      <c r="DJ80" s="4">
        <f t="shared" si="124"/>
        <v>0</v>
      </c>
      <c r="DK80" s="4">
        <f t="shared" si="125"/>
        <v>0</v>
      </c>
      <c r="DL80" s="4">
        <f t="shared" si="126"/>
        <v>0</v>
      </c>
    </row>
    <row r="81" spans="1:116" x14ac:dyDescent="0.25">
      <c r="A81" s="5">
        <v>46184</v>
      </c>
      <c r="B81" s="6">
        <v>0.9375000001891749</v>
      </c>
      <c r="C81" s="3"/>
      <c r="D81" s="3"/>
      <c r="E81" s="3" t="s">
        <v>40</v>
      </c>
      <c r="F81" s="3">
        <v>8</v>
      </c>
      <c r="G81" s="3"/>
      <c r="H81" s="9"/>
      <c r="I81" s="9">
        <f>SUM(IFERROR(VLOOKUP($C:$C,Structure!$A:$AJ,I$1,0)*$D81,0),IFERROR(VLOOKUP($E:$E,Structure!$A:$AJ,I$1,0)*$F81,0),IFERROR(VLOOKUP($G:$G,Structure!$A:$AJ,I$1,0)*$H81,0))</f>
        <v>0</v>
      </c>
      <c r="J81" s="9">
        <f>SUM(IFERROR(VLOOKUP($C:$C,Structure!$A:$AJ,J$1,0)*$D81,0),IFERROR(VLOOKUP($E:$E,Structure!$A:$AJ,J$1,0)*$F81,0),IFERROR(VLOOKUP($G:$G,Structure!$A:$AJ,J$1,0)*$H81,0))</f>
        <v>8</v>
      </c>
      <c r="K81" s="9">
        <f>SUM(IFERROR(VLOOKUP($C:$C,Structure!$A:$AJ,K$1,0)*$D81,0),IFERROR(VLOOKUP($E:$E,Structure!$A:$AJ,K$1,0)*$F81,0),IFERROR(VLOOKUP($G:$G,Structure!$A:$AJ,K$1,0)*$H81,0))</f>
        <v>0</v>
      </c>
      <c r="L81" s="9">
        <f>SUM(IFERROR(VLOOKUP($C:$C,Structure!$A:$AJ,L$1,0)*$D81,0),IFERROR(VLOOKUP($E:$E,Structure!$A:$AJ,L$1,0)*$F81,0),IFERROR(VLOOKUP($G:$G,Structure!$A:$AJ,L$1,0)*$H81,0))</f>
        <v>0</v>
      </c>
      <c r="M81" s="9">
        <f>SUM(IFERROR(VLOOKUP($C:$C,Structure!$A:$AJ,M$1,0)*$D81,0),IFERROR(VLOOKUP($E:$E,Structure!$A:$AJ,M$1,0)*$F81,0),IFERROR(VLOOKUP($G:$G,Structure!$A:$AJ,M$1,0)*$H81,0))</f>
        <v>0</v>
      </c>
      <c r="N81" s="9">
        <f>SUM(IFERROR(VLOOKUP($C:$C,Structure!$A:$AJ,N$1,0)*$D81,0),IFERROR(VLOOKUP($E:$E,Structure!$A:$AJ,N$1,0)*$F81,0),IFERROR(VLOOKUP($G:$G,Structure!$A:$AJ,N$1,0)*$H81,0))</f>
        <v>0</v>
      </c>
      <c r="O81" s="9">
        <f>SUM(IFERROR(VLOOKUP($C:$C,Structure!$A:$AJ,O$1,0)*$D81,0),IFERROR(VLOOKUP($E:$E,Structure!$A:$AJ,O$1,0)*$F81,0),IFERROR(VLOOKUP($G:$G,Structure!$A:$AJ,O$1,0)*$H81,0))</f>
        <v>0</v>
      </c>
      <c r="P81" s="9">
        <f>SUM(IFERROR(VLOOKUP($C:$C,Structure!$A:$AJ,P$1,0)*$D81,0),IFERROR(VLOOKUP($E:$E,Structure!$A:$AJ,P$1,0)*$F81,0),IFERROR(VLOOKUP($G:$G,Structure!$A:$AJ,P$1,0)*$H81,0))</f>
        <v>8</v>
      </c>
      <c r="Q81" s="9">
        <f>SUM(IFERROR(VLOOKUP($C:$C,Structure!$A:$AJ,Q$1,0)*$D81,0),IFERROR(VLOOKUP($E:$E,Structure!$A:$AJ,Q$1,0)*$F81,0),IFERROR(VLOOKUP($G:$G,Structure!$A:$AJ,Q$1,0)*$H81,0))</f>
        <v>0</v>
      </c>
      <c r="R81" s="9">
        <f>SUM(IFERROR(VLOOKUP($C:$C,Structure!$A:$AJ,R$1,0)*$D81,0),IFERROR(VLOOKUP($E:$E,Structure!$A:$AJ,R$1,0)*$F81,0),IFERROR(VLOOKUP($G:$G,Structure!$A:$AJ,R$1,0)*$H81,0))</f>
        <v>0</v>
      </c>
      <c r="S81" s="9">
        <f>SUM(IFERROR(VLOOKUP($C:$C,Structure!$A:$AJ,S$1,0)*$D81,0),IFERROR(VLOOKUP($E:$E,Structure!$A:$AJ,S$1,0)*$F81,0),IFERROR(VLOOKUP($G:$G,Structure!$A:$AJ,S$1,0)*$H81,0))</f>
        <v>0</v>
      </c>
      <c r="T81" s="9">
        <f>SUM(IFERROR(VLOOKUP($C:$C,Structure!$A:$AJ,T$1,0)*$D81,0),IFERROR(VLOOKUP($E:$E,Structure!$A:$AJ,T$1,0)*$F81,0),IFERROR(VLOOKUP($G:$G,Structure!$A:$AJ,T$1,0)*$H81,0))</f>
        <v>0</v>
      </c>
      <c r="U81" s="9">
        <f>SUM(IFERROR(VLOOKUP($C:$C,Structure!$A:$AJ,U$1,0)*$D81,0),IFERROR(VLOOKUP($E:$E,Structure!$A:$AJ,U$1,0)*$F81,0),IFERROR(VLOOKUP($G:$G,Structure!$A:$AJ,U$1,0)*$H81,0))</f>
        <v>0</v>
      </c>
      <c r="V81" s="9">
        <f>SUM(IFERROR(VLOOKUP($C:$C,Structure!$A:$AJ,V$1,0)*$D81,0),IFERROR(VLOOKUP($E:$E,Structure!$A:$AJ,V$1,0)*$F81,0),IFERROR(VLOOKUP($G:$G,Structure!$A:$AJ,V$1,0)*$H81,0))</f>
        <v>0</v>
      </c>
      <c r="W81" s="9">
        <f>SUM(IFERROR(VLOOKUP($C:$C,Structure!$A:$AJ,W$1,0)*$D81,0),IFERROR(VLOOKUP($E:$E,Structure!$A:$AJ,W$1,0)*$F81,0),IFERROR(VLOOKUP($G:$G,Structure!$A:$AJ,W$1,0)*$H81,0))</f>
        <v>0</v>
      </c>
      <c r="X81" s="9">
        <f>SUM(IFERROR(VLOOKUP($C:$C,Structure!$A:$AJ,X$1,0)*$D81,0),IFERROR(VLOOKUP($E:$E,Structure!$A:$AJ,X$1,0)*$F81,0),IFERROR(VLOOKUP($G:$G,Structure!$A:$AJ,X$1,0)*$H81,0))</f>
        <v>0</v>
      </c>
      <c r="Y81" s="9">
        <f>SUM(IFERROR(VLOOKUP($C:$C,Structure!$A:$AJ,Y$1,0)*$D81,0),IFERROR(VLOOKUP($E:$E,Structure!$A:$AJ,Y$1,0)*$F81,0),IFERROR(VLOOKUP($G:$G,Structure!$A:$AJ,Y$1,0)*$H81,0))</f>
        <v>0</v>
      </c>
      <c r="Z81" s="9">
        <f>SUM(IFERROR(VLOOKUP($C:$C,Structure!$A:$AJ,Z$1,0)*$D81,0),IFERROR(VLOOKUP($E:$E,Structure!$A:$AJ,Z$1,0)*$F81,0),IFERROR(VLOOKUP($G:$G,Structure!$A:$AJ,Z$1,0)*$H81,0))</f>
        <v>0</v>
      </c>
      <c r="AA81" s="9">
        <f>SUM(IFERROR(VLOOKUP($C:$C,Structure!$A:$AJ,AA$1,0)*$D81,0),IFERROR(VLOOKUP($E:$E,Structure!$A:$AJ,AA$1,0)*$F81,0),IFERROR(VLOOKUP($G:$G,Structure!$A:$AJ,AA$1,0)*$H81,0))</f>
        <v>0</v>
      </c>
      <c r="AB81" s="9">
        <f>SUM(IFERROR(VLOOKUP($C:$C,Structure!$A:$AJ,AB$1,0)*$D81,0),IFERROR(VLOOKUP($E:$E,Structure!$A:$AJ,AB$1,0)*$F81,0),IFERROR(VLOOKUP($G:$G,Structure!$A:$AJ,AB$1,0)*$H81,0))</f>
        <v>0</v>
      </c>
      <c r="AC81" s="9">
        <f>SUM(IFERROR(VLOOKUP($C:$C,Structure!$A:$AJ,AC$1,0)*$D81,0),IFERROR(VLOOKUP($E:$E,Structure!$A:$AJ,AC$1,0)*$F81,0),IFERROR(VLOOKUP($G:$G,Structure!$A:$AJ,AC$1,0)*$H81,0))</f>
        <v>0</v>
      </c>
      <c r="AD81" s="9">
        <f>SUM(IFERROR(VLOOKUP($C:$C,Structure!$A:$AJ,AD$1,0)*$D81,0),IFERROR(VLOOKUP($E:$E,Structure!$A:$AJ,AD$1,0)*$F81,0),IFERROR(VLOOKUP($G:$G,Structure!$A:$AJ,AD$1,0)*$H81,0))</f>
        <v>0</v>
      </c>
      <c r="AE81" s="9">
        <f>SUM(IFERROR(VLOOKUP($C:$C,Structure!$A:$AJ,AE$1,0)*$D81,0),IFERROR(VLOOKUP($E:$E,Structure!$A:$AJ,AE$1,0)*$F81,0),IFERROR(VLOOKUP($G:$G,Structure!$A:$AJ,AE$1,0)*$H81,0))</f>
        <v>0</v>
      </c>
      <c r="AF81" s="9">
        <f>SUM(IFERROR(VLOOKUP($C:$C,Structure!$A:$AJ,AF$1,0)*$D81,0),IFERROR(VLOOKUP($E:$E,Structure!$A:$AJ,AF$1,0)*$F81,0),IFERROR(VLOOKUP($G:$G,Structure!$A:$AJ,AF$1,0)*$H81,0))</f>
        <v>0</v>
      </c>
      <c r="AG81" s="9">
        <f>SUM(IFERROR(VLOOKUP($C:$C,Structure!$A:$AJ,AG$1,0)*$D81,0),IFERROR(VLOOKUP($E:$E,Structure!$A:$AJ,AG$1,0)*$F81,0),IFERROR(VLOOKUP($G:$G,Structure!$A:$AJ,AG$1,0)*$H81,0))</f>
        <v>0</v>
      </c>
      <c r="AH81" s="9">
        <f>SUM(IFERROR(VLOOKUP($C:$C,Structure!$A:$AJ,AH$1,0)*$D81,0),IFERROR(VLOOKUP($E:$E,Structure!$A:$AJ,AH$1,0)*$F81,0),IFERROR(VLOOKUP($G:$G,Structure!$A:$AJ,AH$1,0)*$H81,0))</f>
        <v>0</v>
      </c>
      <c r="AI81" s="9">
        <f>SUM(IFERROR(VLOOKUP($C:$C,Structure!$A:$AJ,AI$1,0)*$D81,0),IFERROR(VLOOKUP($E:$E,Structure!$A:$AJ,AI$1,0)*$F81,0),IFERROR(VLOOKUP($G:$G,Structure!$A:$AJ,AI$1,0)*$H81,0))</f>
        <v>0</v>
      </c>
      <c r="AJ81" s="9">
        <f>SUM(IFERROR(VLOOKUP($C:$C,Structure!$A:$AJ,AJ$1,0)*$D81,0),IFERROR(VLOOKUP($E:$E,Structure!$A:$AJ,AJ$1,0)*$F81,0),IFERROR(VLOOKUP($G:$G,Structure!$A:$AJ,AJ$1,0)*$H81,0))</f>
        <v>0</v>
      </c>
      <c r="AK81" s="9">
        <f>SUM(IFERROR(VLOOKUP($C:$C,Structure!$A:$AJ,AK$1,0)*$D81,0),IFERROR(VLOOKUP($E:$E,Structure!$A:$AJ,AK$1,0)*$F81,0),IFERROR(VLOOKUP($G:$G,Structure!$A:$AJ,AK$1,0)*$H81,0))</f>
        <v>0</v>
      </c>
      <c r="AL81" s="9">
        <f>SUM(IFERROR(VLOOKUP($C:$C,Structure!$A:$AJ,AL$1,0)*$D81,0),IFERROR(VLOOKUP($E:$E,Structure!$A:$AJ,AL$1,0)*$F81,0),IFERROR(VLOOKUP($G:$G,Structure!$A:$AJ,AL$1,0)*$H81,0))</f>
        <v>0</v>
      </c>
      <c r="AM81" s="9">
        <f>SUM(IFERROR(VLOOKUP($C:$C,Structure!$A:$AJ,AM$1,0)*$D81,0),IFERROR(VLOOKUP($E:$E,Structure!$A:$AJ,AM$1,0)*$F81,0),IFERROR(VLOOKUP($G:$G,Structure!$A:$AJ,AM$1,0)*$H81,0))</f>
        <v>0</v>
      </c>
      <c r="AN81" s="9">
        <f>SUM(IFERROR(VLOOKUP($C:$C,Structure!$A:$AJ,AN$1,0)*$D81,0),IFERROR(VLOOKUP($E:$E,Structure!$A:$AJ,AN$1,0)*$F81,0),IFERROR(VLOOKUP($G:$G,Structure!$A:$AJ,AN$1,0)*$H81,0))</f>
        <v>0</v>
      </c>
      <c r="AO81" s="9">
        <f>SUM(IFERROR(VLOOKUP($C:$C,Structure!$A:$AJ,AO$1,0)*$D81,0),IFERROR(VLOOKUP($E:$E,Structure!$A:$AJ,AO$1,0)*$F81,0),IFERROR(VLOOKUP($G:$G,Structure!$A:$AJ,AO$1,0)*$H81,0))</f>
        <v>0</v>
      </c>
      <c r="AP81" s="9">
        <f>SUM(IFERROR(VLOOKUP($C:$C,Structure!$A:$AJ,AP$1,0)*$D81,0),IFERROR(VLOOKUP($E:$E,Structure!$A:$AJ,AP$1,0)*$F81,0),IFERROR(VLOOKUP($G:$G,Structure!$A:$AJ,AP$1,0)*$H81,0))</f>
        <v>0</v>
      </c>
      <c r="AQ81" s="9">
        <f>SUM(IFERROR(VLOOKUP($C:$C,Structure!$A:$AJ,AQ$1,0)*$D81,0),IFERROR(VLOOKUP($E:$E,Structure!$A:$AJ,AQ$1,0)*$F81,0),IFERROR(VLOOKUP($G:$G,Structure!$A:$AJ,AQ$1,0)*$H81,0))</f>
        <v>0</v>
      </c>
      <c r="AR81" s="21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4">
        <f t="shared" si="92"/>
        <v>0</v>
      </c>
      <c r="CE81" s="4">
        <f t="shared" si="93"/>
        <v>13</v>
      </c>
      <c r="CF81" s="4">
        <f t="shared" si="94"/>
        <v>4</v>
      </c>
      <c r="CG81" s="4">
        <f t="shared" si="95"/>
        <v>23</v>
      </c>
      <c r="CH81" s="4">
        <f t="shared" si="96"/>
        <v>1</v>
      </c>
      <c r="CI81" s="4">
        <f t="shared" si="97"/>
        <v>51</v>
      </c>
      <c r="CJ81" s="4">
        <f t="shared" si="98"/>
        <v>-58</v>
      </c>
      <c r="CK81" s="4">
        <f t="shared" si="99"/>
        <v>142</v>
      </c>
      <c r="CL81" s="4">
        <f t="shared" si="100"/>
        <v>0</v>
      </c>
      <c r="CM81" s="4">
        <f t="shared" si="101"/>
        <v>4</v>
      </c>
      <c r="CN81" s="4">
        <f t="shared" si="102"/>
        <v>-20</v>
      </c>
      <c r="CO81" s="4">
        <f t="shared" si="103"/>
        <v>0</v>
      </c>
      <c r="CP81" s="4">
        <f t="shared" si="104"/>
        <v>3</v>
      </c>
      <c r="CQ81" s="4">
        <f t="shared" si="105"/>
        <v>-153</v>
      </c>
      <c r="CR81" s="4">
        <f t="shared" si="106"/>
        <v>34</v>
      </c>
      <c r="CS81" s="4">
        <f t="shared" si="107"/>
        <v>0</v>
      </c>
      <c r="CT81" s="4">
        <f t="shared" si="108"/>
        <v>0</v>
      </c>
      <c r="CU81" s="4">
        <f t="shared" si="109"/>
        <v>0</v>
      </c>
      <c r="CV81" s="4">
        <f t="shared" si="110"/>
        <v>0</v>
      </c>
      <c r="CW81" s="4">
        <f t="shared" si="111"/>
        <v>0</v>
      </c>
      <c r="CX81" s="4">
        <f t="shared" si="112"/>
        <v>-135</v>
      </c>
      <c r="CY81" s="4">
        <f t="shared" si="113"/>
        <v>0</v>
      </c>
      <c r="CZ81" s="4">
        <f t="shared" si="114"/>
        <v>0</v>
      </c>
      <c r="DA81" s="4">
        <f t="shared" si="115"/>
        <v>0</v>
      </c>
      <c r="DB81" s="4">
        <f t="shared" si="116"/>
        <v>0</v>
      </c>
      <c r="DC81" s="4">
        <f t="shared" si="117"/>
        <v>0</v>
      </c>
      <c r="DD81" s="4">
        <f t="shared" si="118"/>
        <v>0</v>
      </c>
      <c r="DE81" s="4">
        <f t="shared" si="119"/>
        <v>0</v>
      </c>
      <c r="DF81" s="4">
        <f t="shared" si="120"/>
        <v>0</v>
      </c>
      <c r="DG81" s="4">
        <f t="shared" si="121"/>
        <v>0</v>
      </c>
      <c r="DH81" s="4">
        <f t="shared" si="122"/>
        <v>0</v>
      </c>
      <c r="DI81" s="4">
        <f t="shared" si="123"/>
        <v>0</v>
      </c>
      <c r="DJ81" s="4">
        <f t="shared" si="124"/>
        <v>0</v>
      </c>
      <c r="DK81" s="4">
        <f t="shared" si="125"/>
        <v>0</v>
      </c>
      <c r="DL81" s="4">
        <f t="shared" si="126"/>
        <v>0</v>
      </c>
    </row>
    <row r="82" spans="1:116" x14ac:dyDescent="0.25">
      <c r="A82" s="5">
        <v>46184</v>
      </c>
      <c r="B82" s="6">
        <v>0.95833333352493355</v>
      </c>
      <c r="C82" s="3"/>
      <c r="D82" s="3"/>
      <c r="E82" s="3" t="s">
        <v>40</v>
      </c>
      <c r="F82" s="3">
        <v>8</v>
      </c>
      <c r="G82" s="3"/>
      <c r="H82" s="9"/>
      <c r="I82" s="9">
        <f>SUM(IFERROR(VLOOKUP($C:$C,Structure!$A:$AJ,I$1,0)*$D82,0),IFERROR(VLOOKUP($E:$E,Structure!$A:$AJ,I$1,0)*$F82,0),IFERROR(VLOOKUP($G:$G,Structure!$A:$AJ,I$1,0)*$H82,0))</f>
        <v>0</v>
      </c>
      <c r="J82" s="9">
        <f>SUM(IFERROR(VLOOKUP($C:$C,Structure!$A:$AJ,J$1,0)*$D82,0),IFERROR(VLOOKUP($E:$E,Structure!$A:$AJ,J$1,0)*$F82,0),IFERROR(VLOOKUP($G:$G,Structure!$A:$AJ,J$1,0)*$H82,0))</f>
        <v>8</v>
      </c>
      <c r="K82" s="9">
        <f>SUM(IFERROR(VLOOKUP($C:$C,Structure!$A:$AJ,K$1,0)*$D82,0),IFERROR(VLOOKUP($E:$E,Structure!$A:$AJ,K$1,0)*$F82,0),IFERROR(VLOOKUP($G:$G,Structure!$A:$AJ,K$1,0)*$H82,0))</f>
        <v>0</v>
      </c>
      <c r="L82" s="9">
        <f>SUM(IFERROR(VLOOKUP($C:$C,Structure!$A:$AJ,L$1,0)*$D82,0),IFERROR(VLOOKUP($E:$E,Structure!$A:$AJ,L$1,0)*$F82,0),IFERROR(VLOOKUP($G:$G,Structure!$A:$AJ,L$1,0)*$H82,0))</f>
        <v>0</v>
      </c>
      <c r="M82" s="9">
        <f>SUM(IFERROR(VLOOKUP($C:$C,Structure!$A:$AJ,M$1,0)*$D82,0),IFERROR(VLOOKUP($E:$E,Structure!$A:$AJ,M$1,0)*$F82,0),IFERROR(VLOOKUP($G:$G,Structure!$A:$AJ,M$1,0)*$H82,0))</f>
        <v>0</v>
      </c>
      <c r="N82" s="9">
        <f>SUM(IFERROR(VLOOKUP($C:$C,Structure!$A:$AJ,N$1,0)*$D82,0),IFERROR(VLOOKUP($E:$E,Structure!$A:$AJ,N$1,0)*$F82,0),IFERROR(VLOOKUP($G:$G,Structure!$A:$AJ,N$1,0)*$H82,0))</f>
        <v>0</v>
      </c>
      <c r="O82" s="9">
        <f>SUM(IFERROR(VLOOKUP($C:$C,Structure!$A:$AJ,O$1,0)*$D82,0),IFERROR(VLOOKUP($E:$E,Structure!$A:$AJ,O$1,0)*$F82,0),IFERROR(VLOOKUP($G:$G,Structure!$A:$AJ,O$1,0)*$H82,0))</f>
        <v>0</v>
      </c>
      <c r="P82" s="9">
        <f>SUM(IFERROR(VLOOKUP($C:$C,Structure!$A:$AJ,P$1,0)*$D82,0),IFERROR(VLOOKUP($E:$E,Structure!$A:$AJ,P$1,0)*$F82,0),IFERROR(VLOOKUP($G:$G,Structure!$A:$AJ,P$1,0)*$H82,0))</f>
        <v>8</v>
      </c>
      <c r="Q82" s="9">
        <f>SUM(IFERROR(VLOOKUP($C:$C,Structure!$A:$AJ,Q$1,0)*$D82,0),IFERROR(VLOOKUP($E:$E,Structure!$A:$AJ,Q$1,0)*$F82,0),IFERROR(VLOOKUP($G:$G,Structure!$A:$AJ,Q$1,0)*$H82,0))</f>
        <v>0</v>
      </c>
      <c r="R82" s="9">
        <f>SUM(IFERROR(VLOOKUP($C:$C,Structure!$A:$AJ,R$1,0)*$D82,0),IFERROR(VLOOKUP($E:$E,Structure!$A:$AJ,R$1,0)*$F82,0),IFERROR(VLOOKUP($G:$G,Structure!$A:$AJ,R$1,0)*$H82,0))</f>
        <v>0</v>
      </c>
      <c r="S82" s="9">
        <f>SUM(IFERROR(VLOOKUP($C:$C,Structure!$A:$AJ,S$1,0)*$D82,0),IFERROR(VLOOKUP($E:$E,Structure!$A:$AJ,S$1,0)*$F82,0),IFERROR(VLOOKUP($G:$G,Structure!$A:$AJ,S$1,0)*$H82,0))</f>
        <v>0</v>
      </c>
      <c r="T82" s="9">
        <f>SUM(IFERROR(VLOOKUP($C:$C,Structure!$A:$AJ,T$1,0)*$D82,0),IFERROR(VLOOKUP($E:$E,Structure!$A:$AJ,T$1,0)*$F82,0),IFERROR(VLOOKUP($G:$G,Structure!$A:$AJ,T$1,0)*$H82,0))</f>
        <v>0</v>
      </c>
      <c r="U82" s="9">
        <f>SUM(IFERROR(VLOOKUP($C:$C,Structure!$A:$AJ,U$1,0)*$D82,0),IFERROR(VLOOKUP($E:$E,Structure!$A:$AJ,U$1,0)*$F82,0),IFERROR(VLOOKUP($G:$G,Structure!$A:$AJ,U$1,0)*$H82,0))</f>
        <v>0</v>
      </c>
      <c r="V82" s="9">
        <f>SUM(IFERROR(VLOOKUP($C:$C,Structure!$A:$AJ,V$1,0)*$D82,0),IFERROR(VLOOKUP($E:$E,Structure!$A:$AJ,V$1,0)*$F82,0),IFERROR(VLOOKUP($G:$G,Structure!$A:$AJ,V$1,0)*$H82,0))</f>
        <v>0</v>
      </c>
      <c r="W82" s="9">
        <f>SUM(IFERROR(VLOOKUP($C:$C,Structure!$A:$AJ,W$1,0)*$D82,0),IFERROR(VLOOKUP($E:$E,Structure!$A:$AJ,W$1,0)*$F82,0),IFERROR(VLOOKUP($G:$G,Structure!$A:$AJ,W$1,0)*$H82,0))</f>
        <v>0</v>
      </c>
      <c r="X82" s="9">
        <f>SUM(IFERROR(VLOOKUP($C:$C,Structure!$A:$AJ,X$1,0)*$D82,0),IFERROR(VLOOKUP($E:$E,Structure!$A:$AJ,X$1,0)*$F82,0),IFERROR(VLOOKUP($G:$G,Structure!$A:$AJ,X$1,0)*$H82,0))</f>
        <v>0</v>
      </c>
      <c r="Y82" s="9">
        <f>SUM(IFERROR(VLOOKUP($C:$C,Structure!$A:$AJ,Y$1,0)*$D82,0),IFERROR(VLOOKUP($E:$E,Structure!$A:$AJ,Y$1,0)*$F82,0),IFERROR(VLOOKUP($G:$G,Structure!$A:$AJ,Y$1,0)*$H82,0))</f>
        <v>0</v>
      </c>
      <c r="Z82" s="9">
        <f>SUM(IFERROR(VLOOKUP($C:$C,Structure!$A:$AJ,Z$1,0)*$D82,0),IFERROR(VLOOKUP($E:$E,Structure!$A:$AJ,Z$1,0)*$F82,0),IFERROR(VLOOKUP($G:$G,Structure!$A:$AJ,Z$1,0)*$H82,0))</f>
        <v>0</v>
      </c>
      <c r="AA82" s="9">
        <f>SUM(IFERROR(VLOOKUP($C:$C,Structure!$A:$AJ,AA$1,0)*$D82,0),IFERROR(VLOOKUP($E:$E,Structure!$A:$AJ,AA$1,0)*$F82,0),IFERROR(VLOOKUP($G:$G,Structure!$A:$AJ,AA$1,0)*$H82,0))</f>
        <v>0</v>
      </c>
      <c r="AB82" s="9">
        <f>SUM(IFERROR(VLOOKUP($C:$C,Structure!$A:$AJ,AB$1,0)*$D82,0),IFERROR(VLOOKUP($E:$E,Structure!$A:$AJ,AB$1,0)*$F82,0),IFERROR(VLOOKUP($G:$G,Structure!$A:$AJ,AB$1,0)*$H82,0))</f>
        <v>0</v>
      </c>
      <c r="AC82" s="9">
        <f>SUM(IFERROR(VLOOKUP($C:$C,Structure!$A:$AJ,AC$1,0)*$D82,0),IFERROR(VLOOKUP($E:$E,Structure!$A:$AJ,AC$1,0)*$F82,0),IFERROR(VLOOKUP($G:$G,Structure!$A:$AJ,AC$1,0)*$H82,0))</f>
        <v>0</v>
      </c>
      <c r="AD82" s="9">
        <f>SUM(IFERROR(VLOOKUP($C:$C,Structure!$A:$AJ,AD$1,0)*$D82,0),IFERROR(VLOOKUP($E:$E,Structure!$A:$AJ,AD$1,0)*$F82,0),IFERROR(VLOOKUP($G:$G,Structure!$A:$AJ,AD$1,0)*$H82,0))</f>
        <v>0</v>
      </c>
      <c r="AE82" s="9">
        <f>SUM(IFERROR(VLOOKUP($C:$C,Structure!$A:$AJ,AE$1,0)*$D82,0),IFERROR(VLOOKUP($E:$E,Structure!$A:$AJ,AE$1,0)*$F82,0),IFERROR(VLOOKUP($G:$G,Structure!$A:$AJ,AE$1,0)*$H82,0))</f>
        <v>0</v>
      </c>
      <c r="AF82" s="9">
        <f>SUM(IFERROR(VLOOKUP($C:$C,Structure!$A:$AJ,AF$1,0)*$D82,0),IFERROR(VLOOKUP($E:$E,Structure!$A:$AJ,AF$1,0)*$F82,0),IFERROR(VLOOKUP($G:$G,Structure!$A:$AJ,AF$1,0)*$H82,0))</f>
        <v>0</v>
      </c>
      <c r="AG82" s="9">
        <f>SUM(IFERROR(VLOOKUP($C:$C,Structure!$A:$AJ,AG$1,0)*$D82,0),IFERROR(VLOOKUP($E:$E,Structure!$A:$AJ,AG$1,0)*$F82,0),IFERROR(VLOOKUP($G:$G,Structure!$A:$AJ,AG$1,0)*$H82,0))</f>
        <v>0</v>
      </c>
      <c r="AH82" s="9">
        <f>SUM(IFERROR(VLOOKUP($C:$C,Structure!$A:$AJ,AH$1,0)*$D82,0),IFERROR(VLOOKUP($E:$E,Structure!$A:$AJ,AH$1,0)*$F82,0),IFERROR(VLOOKUP($G:$G,Structure!$A:$AJ,AH$1,0)*$H82,0))</f>
        <v>0</v>
      </c>
      <c r="AI82" s="9">
        <f>SUM(IFERROR(VLOOKUP($C:$C,Structure!$A:$AJ,AI$1,0)*$D82,0),IFERROR(VLOOKUP($E:$E,Structure!$A:$AJ,AI$1,0)*$F82,0),IFERROR(VLOOKUP($G:$G,Structure!$A:$AJ,AI$1,0)*$H82,0))</f>
        <v>0</v>
      </c>
      <c r="AJ82" s="9">
        <f>SUM(IFERROR(VLOOKUP($C:$C,Structure!$A:$AJ,AJ$1,0)*$D82,0),IFERROR(VLOOKUP($E:$E,Structure!$A:$AJ,AJ$1,0)*$F82,0),IFERROR(VLOOKUP($G:$G,Structure!$A:$AJ,AJ$1,0)*$H82,0))</f>
        <v>0</v>
      </c>
      <c r="AK82" s="9">
        <f>SUM(IFERROR(VLOOKUP($C:$C,Structure!$A:$AJ,AK$1,0)*$D82,0),IFERROR(VLOOKUP($E:$E,Structure!$A:$AJ,AK$1,0)*$F82,0),IFERROR(VLOOKUP($G:$G,Structure!$A:$AJ,AK$1,0)*$H82,0))</f>
        <v>0</v>
      </c>
      <c r="AL82" s="9">
        <f>SUM(IFERROR(VLOOKUP($C:$C,Structure!$A:$AJ,AL$1,0)*$D82,0),IFERROR(VLOOKUP($E:$E,Structure!$A:$AJ,AL$1,0)*$F82,0),IFERROR(VLOOKUP($G:$G,Structure!$A:$AJ,AL$1,0)*$H82,0))</f>
        <v>0</v>
      </c>
      <c r="AM82" s="9">
        <f>SUM(IFERROR(VLOOKUP($C:$C,Structure!$A:$AJ,AM$1,0)*$D82,0),IFERROR(VLOOKUP($E:$E,Structure!$A:$AJ,AM$1,0)*$F82,0),IFERROR(VLOOKUP($G:$G,Structure!$A:$AJ,AM$1,0)*$H82,0))</f>
        <v>0</v>
      </c>
      <c r="AN82" s="9">
        <f>SUM(IFERROR(VLOOKUP($C:$C,Structure!$A:$AJ,AN$1,0)*$D82,0),IFERROR(VLOOKUP($E:$E,Structure!$A:$AJ,AN$1,0)*$F82,0),IFERROR(VLOOKUP($G:$G,Structure!$A:$AJ,AN$1,0)*$H82,0))</f>
        <v>0</v>
      </c>
      <c r="AO82" s="9">
        <f>SUM(IFERROR(VLOOKUP($C:$C,Structure!$A:$AJ,AO$1,0)*$D82,0),IFERROR(VLOOKUP($E:$E,Structure!$A:$AJ,AO$1,0)*$F82,0),IFERROR(VLOOKUP($G:$G,Structure!$A:$AJ,AO$1,0)*$H82,0))</f>
        <v>0</v>
      </c>
      <c r="AP82" s="9">
        <f>SUM(IFERROR(VLOOKUP($C:$C,Structure!$A:$AJ,AP$1,0)*$D82,0),IFERROR(VLOOKUP($E:$E,Structure!$A:$AJ,AP$1,0)*$F82,0),IFERROR(VLOOKUP($G:$G,Structure!$A:$AJ,AP$1,0)*$H82,0))</f>
        <v>0</v>
      </c>
      <c r="AQ82" s="9">
        <f>SUM(IFERROR(VLOOKUP($C:$C,Structure!$A:$AJ,AQ$1,0)*$D82,0),IFERROR(VLOOKUP($E:$E,Structure!$A:$AJ,AQ$1,0)*$F82,0),IFERROR(VLOOKUP($G:$G,Structure!$A:$AJ,AQ$1,0)*$H82,0))</f>
        <v>0</v>
      </c>
      <c r="AR82" s="21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4">
        <f t="shared" si="92"/>
        <v>0</v>
      </c>
      <c r="CE82" s="4">
        <f t="shared" si="93"/>
        <v>5</v>
      </c>
      <c r="CF82" s="4">
        <f t="shared" si="94"/>
        <v>4</v>
      </c>
      <c r="CG82" s="4">
        <f t="shared" si="95"/>
        <v>23</v>
      </c>
      <c r="CH82" s="4">
        <f t="shared" si="96"/>
        <v>1</v>
      </c>
      <c r="CI82" s="4">
        <f t="shared" si="97"/>
        <v>51</v>
      </c>
      <c r="CJ82" s="4">
        <f t="shared" si="98"/>
        <v>-58</v>
      </c>
      <c r="CK82" s="4">
        <f t="shared" si="99"/>
        <v>134</v>
      </c>
      <c r="CL82" s="4">
        <f t="shared" si="100"/>
        <v>0</v>
      </c>
      <c r="CM82" s="4">
        <f t="shared" si="101"/>
        <v>4</v>
      </c>
      <c r="CN82" s="4">
        <f t="shared" si="102"/>
        <v>-20</v>
      </c>
      <c r="CO82" s="4">
        <f t="shared" si="103"/>
        <v>0</v>
      </c>
      <c r="CP82" s="4">
        <f t="shared" si="104"/>
        <v>3</v>
      </c>
      <c r="CQ82" s="4">
        <f t="shared" si="105"/>
        <v>-153</v>
      </c>
      <c r="CR82" s="4">
        <f t="shared" si="106"/>
        <v>34</v>
      </c>
      <c r="CS82" s="4">
        <f t="shared" si="107"/>
        <v>0</v>
      </c>
      <c r="CT82" s="4">
        <f t="shared" si="108"/>
        <v>0</v>
      </c>
      <c r="CU82" s="4">
        <f t="shared" si="109"/>
        <v>0</v>
      </c>
      <c r="CV82" s="4">
        <f t="shared" si="110"/>
        <v>0</v>
      </c>
      <c r="CW82" s="4">
        <f t="shared" si="111"/>
        <v>0</v>
      </c>
      <c r="CX82" s="4">
        <f t="shared" si="112"/>
        <v>-135</v>
      </c>
      <c r="CY82" s="4">
        <f t="shared" si="113"/>
        <v>0</v>
      </c>
      <c r="CZ82" s="4">
        <f t="shared" si="114"/>
        <v>0</v>
      </c>
      <c r="DA82" s="4">
        <f t="shared" si="115"/>
        <v>0</v>
      </c>
      <c r="DB82" s="4">
        <f t="shared" si="116"/>
        <v>0</v>
      </c>
      <c r="DC82" s="4">
        <f t="shared" si="117"/>
        <v>0</v>
      </c>
      <c r="DD82" s="4">
        <f t="shared" si="118"/>
        <v>0</v>
      </c>
      <c r="DE82" s="4">
        <f t="shared" si="119"/>
        <v>0</v>
      </c>
      <c r="DF82" s="4">
        <f t="shared" si="120"/>
        <v>0</v>
      </c>
      <c r="DG82" s="4">
        <f t="shared" si="121"/>
        <v>0</v>
      </c>
      <c r="DH82" s="4">
        <f t="shared" si="122"/>
        <v>0</v>
      </c>
      <c r="DI82" s="4">
        <f t="shared" si="123"/>
        <v>0</v>
      </c>
      <c r="DJ82" s="4">
        <f t="shared" si="124"/>
        <v>0</v>
      </c>
      <c r="DK82" s="4">
        <f t="shared" si="125"/>
        <v>0</v>
      </c>
      <c r="DL82" s="4">
        <f t="shared" si="126"/>
        <v>0</v>
      </c>
    </row>
    <row r="83" spans="1:116" x14ac:dyDescent="0.25">
      <c r="A83" s="5">
        <v>46184</v>
      </c>
      <c r="B83" s="6">
        <v>0.9791666668606922</v>
      </c>
      <c r="C83" s="3"/>
      <c r="D83" s="3"/>
      <c r="E83" s="3" t="s">
        <v>40</v>
      </c>
      <c r="F83" s="3">
        <v>8</v>
      </c>
      <c r="G83" s="3"/>
      <c r="H83" s="9"/>
      <c r="I83" s="9">
        <f>SUM(IFERROR(VLOOKUP($C:$C,Structure!$A:$AJ,I$1,0)*$D83,0),IFERROR(VLOOKUP($E:$E,Structure!$A:$AJ,I$1,0)*$F83,0),IFERROR(VLOOKUP($G:$G,Structure!$A:$AJ,I$1,0)*$H83,0))</f>
        <v>0</v>
      </c>
      <c r="J83" s="9">
        <f>SUM(IFERROR(VLOOKUP($C:$C,Structure!$A:$AJ,J$1,0)*$D83,0),IFERROR(VLOOKUP($E:$E,Structure!$A:$AJ,J$1,0)*$F83,0),IFERROR(VLOOKUP($G:$G,Structure!$A:$AJ,J$1,0)*$H83,0))</f>
        <v>8</v>
      </c>
      <c r="K83" s="9">
        <f>SUM(IFERROR(VLOOKUP($C:$C,Structure!$A:$AJ,K$1,0)*$D83,0),IFERROR(VLOOKUP($E:$E,Structure!$A:$AJ,K$1,0)*$F83,0),IFERROR(VLOOKUP($G:$G,Structure!$A:$AJ,K$1,0)*$H83,0))</f>
        <v>0</v>
      </c>
      <c r="L83" s="9">
        <f>SUM(IFERROR(VLOOKUP($C:$C,Structure!$A:$AJ,L$1,0)*$D83,0),IFERROR(VLOOKUP($E:$E,Structure!$A:$AJ,L$1,0)*$F83,0),IFERROR(VLOOKUP($G:$G,Structure!$A:$AJ,L$1,0)*$H83,0))</f>
        <v>0</v>
      </c>
      <c r="M83" s="9">
        <f>SUM(IFERROR(VLOOKUP($C:$C,Structure!$A:$AJ,M$1,0)*$D83,0),IFERROR(VLOOKUP($E:$E,Structure!$A:$AJ,M$1,0)*$F83,0),IFERROR(VLOOKUP($G:$G,Structure!$A:$AJ,M$1,0)*$H83,0))</f>
        <v>0</v>
      </c>
      <c r="N83" s="9">
        <f>SUM(IFERROR(VLOOKUP($C:$C,Structure!$A:$AJ,N$1,0)*$D83,0),IFERROR(VLOOKUP($E:$E,Structure!$A:$AJ,N$1,0)*$F83,0),IFERROR(VLOOKUP($G:$G,Structure!$A:$AJ,N$1,0)*$H83,0))</f>
        <v>0</v>
      </c>
      <c r="O83" s="9">
        <f>SUM(IFERROR(VLOOKUP($C:$C,Structure!$A:$AJ,O$1,0)*$D83,0),IFERROR(VLOOKUP($E:$E,Structure!$A:$AJ,O$1,0)*$F83,0),IFERROR(VLOOKUP($G:$G,Structure!$A:$AJ,O$1,0)*$H83,0))</f>
        <v>0</v>
      </c>
      <c r="P83" s="9">
        <f>SUM(IFERROR(VLOOKUP($C:$C,Structure!$A:$AJ,P$1,0)*$D83,0),IFERROR(VLOOKUP($E:$E,Structure!$A:$AJ,P$1,0)*$F83,0),IFERROR(VLOOKUP($G:$G,Structure!$A:$AJ,P$1,0)*$H83,0))</f>
        <v>8</v>
      </c>
      <c r="Q83" s="9">
        <f>SUM(IFERROR(VLOOKUP($C:$C,Structure!$A:$AJ,Q$1,0)*$D83,0),IFERROR(VLOOKUP($E:$E,Structure!$A:$AJ,Q$1,0)*$F83,0),IFERROR(VLOOKUP($G:$G,Structure!$A:$AJ,Q$1,0)*$H83,0))</f>
        <v>0</v>
      </c>
      <c r="R83" s="9">
        <f>SUM(IFERROR(VLOOKUP($C:$C,Structure!$A:$AJ,R$1,0)*$D83,0),IFERROR(VLOOKUP($E:$E,Structure!$A:$AJ,R$1,0)*$F83,0),IFERROR(VLOOKUP($G:$G,Structure!$A:$AJ,R$1,0)*$H83,0))</f>
        <v>0</v>
      </c>
      <c r="S83" s="9">
        <f>SUM(IFERROR(VLOOKUP($C:$C,Structure!$A:$AJ,S$1,0)*$D83,0),IFERROR(VLOOKUP($E:$E,Structure!$A:$AJ,S$1,0)*$F83,0),IFERROR(VLOOKUP($G:$G,Structure!$A:$AJ,S$1,0)*$H83,0))</f>
        <v>0</v>
      </c>
      <c r="T83" s="9">
        <f>SUM(IFERROR(VLOOKUP($C:$C,Structure!$A:$AJ,T$1,0)*$D83,0),IFERROR(VLOOKUP($E:$E,Structure!$A:$AJ,T$1,0)*$F83,0),IFERROR(VLOOKUP($G:$G,Structure!$A:$AJ,T$1,0)*$H83,0))</f>
        <v>0</v>
      </c>
      <c r="U83" s="9">
        <f>SUM(IFERROR(VLOOKUP($C:$C,Structure!$A:$AJ,U$1,0)*$D83,0),IFERROR(VLOOKUP($E:$E,Structure!$A:$AJ,U$1,0)*$F83,0),IFERROR(VLOOKUP($G:$G,Structure!$A:$AJ,U$1,0)*$H83,0))</f>
        <v>0</v>
      </c>
      <c r="V83" s="9">
        <f>SUM(IFERROR(VLOOKUP($C:$C,Structure!$A:$AJ,V$1,0)*$D83,0),IFERROR(VLOOKUP($E:$E,Structure!$A:$AJ,V$1,0)*$F83,0),IFERROR(VLOOKUP($G:$G,Structure!$A:$AJ,V$1,0)*$H83,0))</f>
        <v>0</v>
      </c>
      <c r="W83" s="9">
        <f>SUM(IFERROR(VLOOKUP($C:$C,Structure!$A:$AJ,W$1,0)*$D83,0),IFERROR(VLOOKUP($E:$E,Structure!$A:$AJ,W$1,0)*$F83,0),IFERROR(VLOOKUP($G:$G,Structure!$A:$AJ,W$1,0)*$H83,0))</f>
        <v>0</v>
      </c>
      <c r="X83" s="9">
        <f>SUM(IFERROR(VLOOKUP($C:$C,Structure!$A:$AJ,X$1,0)*$D83,0),IFERROR(VLOOKUP($E:$E,Structure!$A:$AJ,X$1,0)*$F83,0),IFERROR(VLOOKUP($G:$G,Structure!$A:$AJ,X$1,0)*$H83,0))</f>
        <v>0</v>
      </c>
      <c r="Y83" s="9">
        <f>SUM(IFERROR(VLOOKUP($C:$C,Structure!$A:$AJ,Y$1,0)*$D83,0),IFERROR(VLOOKUP($E:$E,Structure!$A:$AJ,Y$1,0)*$F83,0),IFERROR(VLOOKUP($G:$G,Structure!$A:$AJ,Y$1,0)*$H83,0))</f>
        <v>0</v>
      </c>
      <c r="Z83" s="9">
        <f>SUM(IFERROR(VLOOKUP($C:$C,Structure!$A:$AJ,Z$1,0)*$D83,0),IFERROR(VLOOKUP($E:$E,Structure!$A:$AJ,Z$1,0)*$F83,0),IFERROR(VLOOKUP($G:$G,Structure!$A:$AJ,Z$1,0)*$H83,0))</f>
        <v>0</v>
      </c>
      <c r="AA83" s="9">
        <f>SUM(IFERROR(VLOOKUP($C:$C,Structure!$A:$AJ,AA$1,0)*$D83,0),IFERROR(VLOOKUP($E:$E,Structure!$A:$AJ,AA$1,0)*$F83,0),IFERROR(VLOOKUP($G:$G,Structure!$A:$AJ,AA$1,0)*$H83,0))</f>
        <v>0</v>
      </c>
      <c r="AB83" s="9">
        <f>SUM(IFERROR(VLOOKUP($C:$C,Structure!$A:$AJ,AB$1,0)*$D83,0),IFERROR(VLOOKUP($E:$E,Structure!$A:$AJ,AB$1,0)*$F83,0),IFERROR(VLOOKUP($G:$G,Structure!$A:$AJ,AB$1,0)*$H83,0))</f>
        <v>0</v>
      </c>
      <c r="AC83" s="9">
        <f>SUM(IFERROR(VLOOKUP($C:$C,Structure!$A:$AJ,AC$1,0)*$D83,0),IFERROR(VLOOKUP($E:$E,Structure!$A:$AJ,AC$1,0)*$F83,0),IFERROR(VLOOKUP($G:$G,Structure!$A:$AJ,AC$1,0)*$H83,0))</f>
        <v>0</v>
      </c>
      <c r="AD83" s="9">
        <f>SUM(IFERROR(VLOOKUP($C:$C,Structure!$A:$AJ,AD$1,0)*$D83,0),IFERROR(VLOOKUP($E:$E,Structure!$A:$AJ,AD$1,0)*$F83,0),IFERROR(VLOOKUP($G:$G,Structure!$A:$AJ,AD$1,0)*$H83,0))</f>
        <v>0</v>
      </c>
      <c r="AE83" s="9">
        <f>SUM(IFERROR(VLOOKUP($C:$C,Structure!$A:$AJ,AE$1,0)*$D83,0),IFERROR(VLOOKUP($E:$E,Structure!$A:$AJ,AE$1,0)*$F83,0),IFERROR(VLOOKUP($G:$G,Structure!$A:$AJ,AE$1,0)*$H83,0))</f>
        <v>0</v>
      </c>
      <c r="AF83" s="9">
        <f>SUM(IFERROR(VLOOKUP($C:$C,Structure!$A:$AJ,AF$1,0)*$D83,0),IFERROR(VLOOKUP($E:$E,Structure!$A:$AJ,AF$1,0)*$F83,0),IFERROR(VLOOKUP($G:$G,Structure!$A:$AJ,AF$1,0)*$H83,0))</f>
        <v>0</v>
      </c>
      <c r="AG83" s="9">
        <f>SUM(IFERROR(VLOOKUP($C:$C,Structure!$A:$AJ,AG$1,0)*$D83,0),IFERROR(VLOOKUP($E:$E,Structure!$A:$AJ,AG$1,0)*$F83,0),IFERROR(VLOOKUP($G:$G,Structure!$A:$AJ,AG$1,0)*$H83,0))</f>
        <v>0</v>
      </c>
      <c r="AH83" s="9">
        <f>SUM(IFERROR(VLOOKUP($C:$C,Structure!$A:$AJ,AH$1,0)*$D83,0),IFERROR(VLOOKUP($E:$E,Structure!$A:$AJ,AH$1,0)*$F83,0),IFERROR(VLOOKUP($G:$G,Structure!$A:$AJ,AH$1,0)*$H83,0))</f>
        <v>0</v>
      </c>
      <c r="AI83" s="9">
        <f>SUM(IFERROR(VLOOKUP($C:$C,Structure!$A:$AJ,AI$1,0)*$D83,0),IFERROR(VLOOKUP($E:$E,Structure!$A:$AJ,AI$1,0)*$F83,0),IFERROR(VLOOKUP($G:$G,Structure!$A:$AJ,AI$1,0)*$H83,0))</f>
        <v>0</v>
      </c>
      <c r="AJ83" s="9">
        <f>SUM(IFERROR(VLOOKUP($C:$C,Structure!$A:$AJ,AJ$1,0)*$D83,0),IFERROR(VLOOKUP($E:$E,Structure!$A:$AJ,AJ$1,0)*$F83,0),IFERROR(VLOOKUP($G:$G,Structure!$A:$AJ,AJ$1,0)*$H83,0))</f>
        <v>0</v>
      </c>
      <c r="AK83" s="9">
        <f>SUM(IFERROR(VLOOKUP($C:$C,Structure!$A:$AJ,AK$1,0)*$D83,0),IFERROR(VLOOKUP($E:$E,Structure!$A:$AJ,AK$1,0)*$F83,0),IFERROR(VLOOKUP($G:$G,Structure!$A:$AJ,AK$1,0)*$H83,0))</f>
        <v>0</v>
      </c>
      <c r="AL83" s="9">
        <f>SUM(IFERROR(VLOOKUP($C:$C,Structure!$A:$AJ,AL$1,0)*$D83,0),IFERROR(VLOOKUP($E:$E,Structure!$A:$AJ,AL$1,0)*$F83,0),IFERROR(VLOOKUP($G:$G,Structure!$A:$AJ,AL$1,0)*$H83,0))</f>
        <v>0</v>
      </c>
      <c r="AM83" s="9">
        <f>SUM(IFERROR(VLOOKUP($C:$C,Structure!$A:$AJ,AM$1,0)*$D83,0),IFERROR(VLOOKUP($E:$E,Structure!$A:$AJ,AM$1,0)*$F83,0),IFERROR(VLOOKUP($G:$G,Structure!$A:$AJ,AM$1,0)*$H83,0))</f>
        <v>0</v>
      </c>
      <c r="AN83" s="9">
        <f>SUM(IFERROR(VLOOKUP($C:$C,Structure!$A:$AJ,AN$1,0)*$D83,0),IFERROR(VLOOKUP($E:$E,Structure!$A:$AJ,AN$1,0)*$F83,0),IFERROR(VLOOKUP($G:$G,Structure!$A:$AJ,AN$1,0)*$H83,0))</f>
        <v>0</v>
      </c>
      <c r="AO83" s="9">
        <f>SUM(IFERROR(VLOOKUP($C:$C,Structure!$A:$AJ,AO$1,0)*$D83,0),IFERROR(VLOOKUP($E:$E,Structure!$A:$AJ,AO$1,0)*$F83,0),IFERROR(VLOOKUP($G:$G,Structure!$A:$AJ,AO$1,0)*$H83,0))</f>
        <v>0</v>
      </c>
      <c r="AP83" s="9">
        <f>SUM(IFERROR(VLOOKUP($C:$C,Structure!$A:$AJ,AP$1,0)*$D83,0),IFERROR(VLOOKUP($E:$E,Structure!$A:$AJ,AP$1,0)*$F83,0),IFERROR(VLOOKUP($G:$G,Structure!$A:$AJ,AP$1,0)*$H83,0))</f>
        <v>0</v>
      </c>
      <c r="AQ83" s="9">
        <f>SUM(IFERROR(VLOOKUP($C:$C,Structure!$A:$AJ,AQ$1,0)*$D83,0),IFERROR(VLOOKUP($E:$E,Structure!$A:$AJ,AQ$1,0)*$F83,0),IFERROR(VLOOKUP($G:$G,Structure!$A:$AJ,AQ$1,0)*$H83,0))</f>
        <v>0</v>
      </c>
      <c r="AR83" s="21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4">
        <f t="shared" si="92"/>
        <v>0</v>
      </c>
      <c r="CE83" s="4">
        <f t="shared" si="93"/>
        <v>-3</v>
      </c>
      <c r="CF83" s="4">
        <f t="shared" si="94"/>
        <v>4</v>
      </c>
      <c r="CG83" s="4">
        <f t="shared" si="95"/>
        <v>23</v>
      </c>
      <c r="CH83" s="4">
        <f t="shared" si="96"/>
        <v>1</v>
      </c>
      <c r="CI83" s="4">
        <f t="shared" si="97"/>
        <v>51</v>
      </c>
      <c r="CJ83" s="4">
        <f t="shared" si="98"/>
        <v>-58</v>
      </c>
      <c r="CK83" s="4">
        <f t="shared" si="99"/>
        <v>126</v>
      </c>
      <c r="CL83" s="4">
        <f t="shared" si="100"/>
        <v>0</v>
      </c>
      <c r="CM83" s="4">
        <f t="shared" si="101"/>
        <v>4</v>
      </c>
      <c r="CN83" s="4">
        <f t="shared" si="102"/>
        <v>-20</v>
      </c>
      <c r="CO83" s="4">
        <f t="shared" si="103"/>
        <v>0</v>
      </c>
      <c r="CP83" s="4">
        <f t="shared" si="104"/>
        <v>3</v>
      </c>
      <c r="CQ83" s="4">
        <f t="shared" si="105"/>
        <v>-153</v>
      </c>
      <c r="CR83" s="4">
        <f t="shared" si="106"/>
        <v>34</v>
      </c>
      <c r="CS83" s="4">
        <f t="shared" si="107"/>
        <v>0</v>
      </c>
      <c r="CT83" s="4">
        <f t="shared" si="108"/>
        <v>0</v>
      </c>
      <c r="CU83" s="4">
        <f t="shared" si="109"/>
        <v>0</v>
      </c>
      <c r="CV83" s="4">
        <f t="shared" si="110"/>
        <v>0</v>
      </c>
      <c r="CW83" s="4">
        <f t="shared" si="111"/>
        <v>0</v>
      </c>
      <c r="CX83" s="4">
        <f t="shared" si="112"/>
        <v>-135</v>
      </c>
      <c r="CY83" s="4">
        <f t="shared" si="113"/>
        <v>0</v>
      </c>
      <c r="CZ83" s="4">
        <f t="shared" si="114"/>
        <v>0</v>
      </c>
      <c r="DA83" s="4">
        <f t="shared" si="115"/>
        <v>0</v>
      </c>
      <c r="DB83" s="4">
        <f t="shared" si="116"/>
        <v>0</v>
      </c>
      <c r="DC83" s="4">
        <f t="shared" si="117"/>
        <v>0</v>
      </c>
      <c r="DD83" s="4">
        <f t="shared" si="118"/>
        <v>0</v>
      </c>
      <c r="DE83" s="4">
        <f t="shared" si="119"/>
        <v>0</v>
      </c>
      <c r="DF83" s="4">
        <f t="shared" si="120"/>
        <v>0</v>
      </c>
      <c r="DG83" s="4">
        <f t="shared" si="121"/>
        <v>0</v>
      </c>
      <c r="DH83" s="4">
        <f t="shared" si="122"/>
        <v>0</v>
      </c>
      <c r="DI83" s="4">
        <f t="shared" si="123"/>
        <v>0</v>
      </c>
      <c r="DJ83" s="4">
        <f t="shared" si="124"/>
        <v>0</v>
      </c>
      <c r="DK83" s="4">
        <f t="shared" si="125"/>
        <v>0</v>
      </c>
      <c r="DL83" s="4">
        <f t="shared" si="126"/>
        <v>0</v>
      </c>
    </row>
    <row r="84" spans="1:116" x14ac:dyDescent="0.25">
      <c r="A84" s="5">
        <v>46185</v>
      </c>
      <c r="B84" s="6">
        <v>1.964508555829525E-10</v>
      </c>
      <c r="C84" s="3"/>
      <c r="D84" s="3"/>
      <c r="E84" s="3" t="s">
        <v>40</v>
      </c>
      <c r="F84" s="3">
        <v>8</v>
      </c>
      <c r="G84" s="3"/>
      <c r="H84" s="9"/>
      <c r="I84" s="9">
        <f>SUM(IFERROR(VLOOKUP($C:$C,Structure!$A:$AJ,I$1,0)*$D84,0),IFERROR(VLOOKUP($E:$E,Structure!$A:$AJ,I$1,0)*$F84,0),IFERROR(VLOOKUP($G:$G,Structure!$A:$AJ,I$1,0)*$H84,0))</f>
        <v>0</v>
      </c>
      <c r="J84" s="9">
        <f>SUM(IFERROR(VLOOKUP($C:$C,Structure!$A:$AJ,J$1,0)*$D84,0),IFERROR(VLOOKUP($E:$E,Structure!$A:$AJ,J$1,0)*$F84,0),IFERROR(VLOOKUP($G:$G,Structure!$A:$AJ,J$1,0)*$H84,0))</f>
        <v>8</v>
      </c>
      <c r="K84" s="9">
        <f>SUM(IFERROR(VLOOKUP($C:$C,Structure!$A:$AJ,K$1,0)*$D84,0),IFERROR(VLOOKUP($E:$E,Structure!$A:$AJ,K$1,0)*$F84,0),IFERROR(VLOOKUP($G:$G,Structure!$A:$AJ,K$1,0)*$H84,0))</f>
        <v>0</v>
      </c>
      <c r="L84" s="9">
        <f>SUM(IFERROR(VLOOKUP($C:$C,Structure!$A:$AJ,L$1,0)*$D84,0),IFERROR(VLOOKUP($E:$E,Structure!$A:$AJ,L$1,0)*$F84,0),IFERROR(VLOOKUP($G:$G,Structure!$A:$AJ,L$1,0)*$H84,0))</f>
        <v>0</v>
      </c>
      <c r="M84" s="9">
        <f>SUM(IFERROR(VLOOKUP($C:$C,Structure!$A:$AJ,M$1,0)*$D84,0),IFERROR(VLOOKUP($E:$E,Structure!$A:$AJ,M$1,0)*$F84,0),IFERROR(VLOOKUP($G:$G,Structure!$A:$AJ,M$1,0)*$H84,0))</f>
        <v>0</v>
      </c>
      <c r="N84" s="9">
        <f>SUM(IFERROR(VLOOKUP($C:$C,Structure!$A:$AJ,N$1,0)*$D84,0),IFERROR(VLOOKUP($E:$E,Structure!$A:$AJ,N$1,0)*$F84,0),IFERROR(VLOOKUP($G:$G,Structure!$A:$AJ,N$1,0)*$H84,0))</f>
        <v>0</v>
      </c>
      <c r="O84" s="9">
        <f>SUM(IFERROR(VLOOKUP($C:$C,Structure!$A:$AJ,O$1,0)*$D84,0),IFERROR(VLOOKUP($E:$E,Structure!$A:$AJ,O$1,0)*$F84,0),IFERROR(VLOOKUP($G:$G,Structure!$A:$AJ,O$1,0)*$H84,0))</f>
        <v>0</v>
      </c>
      <c r="P84" s="9">
        <f>SUM(IFERROR(VLOOKUP($C:$C,Structure!$A:$AJ,P$1,0)*$D84,0),IFERROR(VLOOKUP($E:$E,Structure!$A:$AJ,P$1,0)*$F84,0),IFERROR(VLOOKUP($G:$G,Structure!$A:$AJ,P$1,0)*$H84,0))</f>
        <v>8</v>
      </c>
      <c r="Q84" s="9">
        <f>SUM(IFERROR(VLOOKUP($C:$C,Structure!$A:$AJ,Q$1,0)*$D84,0),IFERROR(VLOOKUP($E:$E,Structure!$A:$AJ,Q$1,0)*$F84,0),IFERROR(VLOOKUP($G:$G,Structure!$A:$AJ,Q$1,0)*$H84,0))</f>
        <v>0</v>
      </c>
      <c r="R84" s="9">
        <f>SUM(IFERROR(VLOOKUP($C:$C,Structure!$A:$AJ,R$1,0)*$D84,0),IFERROR(VLOOKUP($E:$E,Structure!$A:$AJ,R$1,0)*$F84,0),IFERROR(VLOOKUP($G:$G,Structure!$A:$AJ,R$1,0)*$H84,0))</f>
        <v>0</v>
      </c>
      <c r="S84" s="9">
        <f>SUM(IFERROR(VLOOKUP($C:$C,Structure!$A:$AJ,S$1,0)*$D84,0),IFERROR(VLOOKUP($E:$E,Structure!$A:$AJ,S$1,0)*$F84,0),IFERROR(VLOOKUP($G:$G,Structure!$A:$AJ,S$1,0)*$H84,0))</f>
        <v>0</v>
      </c>
      <c r="T84" s="9">
        <f>SUM(IFERROR(VLOOKUP($C:$C,Structure!$A:$AJ,T$1,0)*$D84,0),IFERROR(VLOOKUP($E:$E,Structure!$A:$AJ,T$1,0)*$F84,0),IFERROR(VLOOKUP($G:$G,Structure!$A:$AJ,T$1,0)*$H84,0))</f>
        <v>0</v>
      </c>
      <c r="U84" s="9">
        <f>SUM(IFERROR(VLOOKUP($C:$C,Structure!$A:$AJ,U$1,0)*$D84,0),IFERROR(VLOOKUP($E:$E,Structure!$A:$AJ,U$1,0)*$F84,0),IFERROR(VLOOKUP($G:$G,Structure!$A:$AJ,U$1,0)*$H84,0))</f>
        <v>0</v>
      </c>
      <c r="V84" s="9">
        <f>SUM(IFERROR(VLOOKUP($C:$C,Structure!$A:$AJ,V$1,0)*$D84,0),IFERROR(VLOOKUP($E:$E,Structure!$A:$AJ,V$1,0)*$F84,0),IFERROR(VLOOKUP($G:$G,Structure!$A:$AJ,V$1,0)*$H84,0))</f>
        <v>0</v>
      </c>
      <c r="W84" s="9">
        <f>SUM(IFERROR(VLOOKUP($C:$C,Structure!$A:$AJ,W$1,0)*$D84,0),IFERROR(VLOOKUP($E:$E,Structure!$A:$AJ,W$1,0)*$F84,0),IFERROR(VLOOKUP($G:$G,Structure!$A:$AJ,W$1,0)*$H84,0))</f>
        <v>0</v>
      </c>
      <c r="X84" s="9">
        <f>SUM(IFERROR(VLOOKUP($C:$C,Structure!$A:$AJ,X$1,0)*$D84,0),IFERROR(VLOOKUP($E:$E,Structure!$A:$AJ,X$1,0)*$F84,0),IFERROR(VLOOKUP($G:$G,Structure!$A:$AJ,X$1,0)*$H84,0))</f>
        <v>0</v>
      </c>
      <c r="Y84" s="9">
        <f>SUM(IFERROR(VLOOKUP($C:$C,Structure!$A:$AJ,Y$1,0)*$D84,0),IFERROR(VLOOKUP($E:$E,Structure!$A:$AJ,Y$1,0)*$F84,0),IFERROR(VLOOKUP($G:$G,Structure!$A:$AJ,Y$1,0)*$H84,0))</f>
        <v>0</v>
      </c>
      <c r="Z84" s="9">
        <f>SUM(IFERROR(VLOOKUP($C:$C,Structure!$A:$AJ,Z$1,0)*$D84,0),IFERROR(VLOOKUP($E:$E,Structure!$A:$AJ,Z$1,0)*$F84,0),IFERROR(VLOOKUP($G:$G,Structure!$A:$AJ,Z$1,0)*$H84,0))</f>
        <v>0</v>
      </c>
      <c r="AA84" s="9">
        <f>SUM(IFERROR(VLOOKUP($C:$C,Structure!$A:$AJ,AA$1,0)*$D84,0),IFERROR(VLOOKUP($E:$E,Structure!$A:$AJ,AA$1,0)*$F84,0),IFERROR(VLOOKUP($G:$G,Structure!$A:$AJ,AA$1,0)*$H84,0))</f>
        <v>0</v>
      </c>
      <c r="AB84" s="9">
        <f>SUM(IFERROR(VLOOKUP($C:$C,Structure!$A:$AJ,AB$1,0)*$D84,0),IFERROR(VLOOKUP($E:$E,Structure!$A:$AJ,AB$1,0)*$F84,0),IFERROR(VLOOKUP($G:$G,Structure!$A:$AJ,AB$1,0)*$H84,0))</f>
        <v>0</v>
      </c>
      <c r="AC84" s="9">
        <f>SUM(IFERROR(VLOOKUP($C:$C,Structure!$A:$AJ,AC$1,0)*$D84,0),IFERROR(VLOOKUP($E:$E,Structure!$A:$AJ,AC$1,0)*$F84,0),IFERROR(VLOOKUP($G:$G,Structure!$A:$AJ,AC$1,0)*$H84,0))</f>
        <v>0</v>
      </c>
      <c r="AD84" s="9">
        <f>SUM(IFERROR(VLOOKUP($C:$C,Structure!$A:$AJ,AD$1,0)*$D84,0),IFERROR(VLOOKUP($E:$E,Structure!$A:$AJ,AD$1,0)*$F84,0),IFERROR(VLOOKUP($G:$G,Structure!$A:$AJ,AD$1,0)*$H84,0))</f>
        <v>0</v>
      </c>
      <c r="AE84" s="9">
        <f>SUM(IFERROR(VLOOKUP($C:$C,Structure!$A:$AJ,AE$1,0)*$D84,0),IFERROR(VLOOKUP($E:$E,Structure!$A:$AJ,AE$1,0)*$F84,0),IFERROR(VLOOKUP($G:$G,Structure!$A:$AJ,AE$1,0)*$H84,0))</f>
        <v>0</v>
      </c>
      <c r="AF84" s="9">
        <f>SUM(IFERROR(VLOOKUP($C:$C,Structure!$A:$AJ,AF$1,0)*$D84,0),IFERROR(VLOOKUP($E:$E,Structure!$A:$AJ,AF$1,0)*$F84,0),IFERROR(VLOOKUP($G:$G,Structure!$A:$AJ,AF$1,0)*$H84,0))</f>
        <v>0</v>
      </c>
      <c r="AG84" s="9">
        <f>SUM(IFERROR(VLOOKUP($C:$C,Structure!$A:$AJ,AG$1,0)*$D84,0),IFERROR(VLOOKUP($E:$E,Structure!$A:$AJ,AG$1,0)*$F84,0),IFERROR(VLOOKUP($G:$G,Structure!$A:$AJ,AG$1,0)*$H84,0))</f>
        <v>0</v>
      </c>
      <c r="AH84" s="9">
        <f>SUM(IFERROR(VLOOKUP($C:$C,Structure!$A:$AJ,AH$1,0)*$D84,0),IFERROR(VLOOKUP($E:$E,Structure!$A:$AJ,AH$1,0)*$F84,0),IFERROR(VLOOKUP($G:$G,Structure!$A:$AJ,AH$1,0)*$H84,0))</f>
        <v>0</v>
      </c>
      <c r="AI84" s="9">
        <f>SUM(IFERROR(VLOOKUP($C:$C,Structure!$A:$AJ,AI$1,0)*$D84,0),IFERROR(VLOOKUP($E:$E,Structure!$A:$AJ,AI$1,0)*$F84,0),IFERROR(VLOOKUP($G:$G,Structure!$A:$AJ,AI$1,0)*$H84,0))</f>
        <v>0</v>
      </c>
      <c r="AJ84" s="9">
        <f>SUM(IFERROR(VLOOKUP($C:$C,Structure!$A:$AJ,AJ$1,0)*$D84,0),IFERROR(VLOOKUP($E:$E,Structure!$A:$AJ,AJ$1,0)*$F84,0),IFERROR(VLOOKUP($G:$G,Structure!$A:$AJ,AJ$1,0)*$H84,0))</f>
        <v>0</v>
      </c>
      <c r="AK84" s="9">
        <f>SUM(IFERROR(VLOOKUP($C:$C,Structure!$A:$AJ,AK$1,0)*$D84,0),IFERROR(VLOOKUP($E:$E,Structure!$A:$AJ,AK$1,0)*$F84,0),IFERROR(VLOOKUP($G:$G,Structure!$A:$AJ,AK$1,0)*$H84,0))</f>
        <v>0</v>
      </c>
      <c r="AL84" s="9">
        <f>SUM(IFERROR(VLOOKUP($C:$C,Structure!$A:$AJ,AL$1,0)*$D84,0),IFERROR(VLOOKUP($E:$E,Structure!$A:$AJ,AL$1,0)*$F84,0),IFERROR(VLOOKUP($G:$G,Structure!$A:$AJ,AL$1,0)*$H84,0))</f>
        <v>0</v>
      </c>
      <c r="AM84" s="9">
        <f>SUM(IFERROR(VLOOKUP($C:$C,Structure!$A:$AJ,AM$1,0)*$D84,0),IFERROR(VLOOKUP($E:$E,Structure!$A:$AJ,AM$1,0)*$F84,0),IFERROR(VLOOKUP($G:$G,Structure!$A:$AJ,AM$1,0)*$H84,0))</f>
        <v>0</v>
      </c>
      <c r="AN84" s="9">
        <f>SUM(IFERROR(VLOOKUP($C:$C,Structure!$A:$AJ,AN$1,0)*$D84,0),IFERROR(VLOOKUP($E:$E,Structure!$A:$AJ,AN$1,0)*$F84,0),IFERROR(VLOOKUP($G:$G,Structure!$A:$AJ,AN$1,0)*$H84,0))</f>
        <v>0</v>
      </c>
      <c r="AO84" s="9">
        <f>SUM(IFERROR(VLOOKUP($C:$C,Structure!$A:$AJ,AO$1,0)*$D84,0),IFERROR(VLOOKUP($E:$E,Structure!$A:$AJ,AO$1,0)*$F84,0),IFERROR(VLOOKUP($G:$G,Structure!$A:$AJ,AO$1,0)*$H84,0))</f>
        <v>0</v>
      </c>
      <c r="AP84" s="9">
        <f>SUM(IFERROR(VLOOKUP($C:$C,Structure!$A:$AJ,AP$1,0)*$D84,0),IFERROR(VLOOKUP($E:$E,Structure!$A:$AJ,AP$1,0)*$F84,0),IFERROR(VLOOKUP($G:$G,Structure!$A:$AJ,AP$1,0)*$H84,0))</f>
        <v>0</v>
      </c>
      <c r="AQ84" s="9">
        <f>SUM(IFERROR(VLOOKUP($C:$C,Structure!$A:$AJ,AQ$1,0)*$D84,0),IFERROR(VLOOKUP($E:$E,Structure!$A:$AJ,AQ$1,0)*$F84,0),IFERROR(VLOOKUP($G:$G,Structure!$A:$AJ,AQ$1,0)*$H84,0))</f>
        <v>0</v>
      </c>
      <c r="AR84" s="21" t="s">
        <v>826</v>
      </c>
      <c r="AS84" s="3" t="s">
        <v>352</v>
      </c>
      <c r="AT84" s="3" t="s">
        <v>827</v>
      </c>
      <c r="AU84" s="3"/>
      <c r="AV84" s="3">
        <v>15</v>
      </c>
      <c r="AW84" s="3"/>
      <c r="AX84" s="3">
        <v>10</v>
      </c>
      <c r="AY84" s="3"/>
      <c r="AZ84" s="3"/>
      <c r="BA84" s="3"/>
      <c r="BB84" s="3"/>
      <c r="BC84" s="3"/>
      <c r="BD84" s="3"/>
      <c r="BE84" s="3"/>
      <c r="BF84" s="3"/>
      <c r="BG84" s="3">
        <v>100</v>
      </c>
      <c r="BH84" s="3"/>
      <c r="BI84" s="3"/>
      <c r="BJ84" s="3"/>
      <c r="BK84" s="3"/>
      <c r="BL84" s="3"/>
      <c r="BM84" s="3"/>
      <c r="BN84" s="3"/>
      <c r="BO84" s="3">
        <v>25</v>
      </c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4">
        <f t="shared" si="92"/>
        <v>0</v>
      </c>
      <c r="CE84" s="4">
        <f t="shared" si="93"/>
        <v>4</v>
      </c>
      <c r="CF84" s="4">
        <f t="shared" si="94"/>
        <v>4</v>
      </c>
      <c r="CG84" s="4">
        <f t="shared" si="95"/>
        <v>33</v>
      </c>
      <c r="CH84" s="4">
        <f t="shared" si="96"/>
        <v>1</v>
      </c>
      <c r="CI84" s="4">
        <f t="shared" si="97"/>
        <v>51</v>
      </c>
      <c r="CJ84" s="4">
        <f t="shared" si="98"/>
        <v>-58</v>
      </c>
      <c r="CK84" s="4">
        <f t="shared" si="99"/>
        <v>118</v>
      </c>
      <c r="CL84" s="4">
        <f t="shared" si="100"/>
        <v>0</v>
      </c>
      <c r="CM84" s="4">
        <f t="shared" si="101"/>
        <v>4</v>
      </c>
      <c r="CN84" s="4">
        <f t="shared" si="102"/>
        <v>-20</v>
      </c>
      <c r="CO84" s="4">
        <f t="shared" si="103"/>
        <v>0</v>
      </c>
      <c r="CP84" s="4">
        <f t="shared" si="104"/>
        <v>103</v>
      </c>
      <c r="CQ84" s="4">
        <f t="shared" si="105"/>
        <v>-153</v>
      </c>
      <c r="CR84" s="4">
        <f t="shared" si="106"/>
        <v>34</v>
      </c>
      <c r="CS84" s="4">
        <f t="shared" si="107"/>
        <v>0</v>
      </c>
      <c r="CT84" s="4">
        <f t="shared" si="108"/>
        <v>0</v>
      </c>
      <c r="CU84" s="4">
        <f t="shared" si="109"/>
        <v>0</v>
      </c>
      <c r="CV84" s="4">
        <f t="shared" si="110"/>
        <v>0</v>
      </c>
      <c r="CW84" s="4">
        <f t="shared" si="111"/>
        <v>0</v>
      </c>
      <c r="CX84" s="4">
        <f t="shared" si="112"/>
        <v>-110</v>
      </c>
      <c r="CY84" s="4">
        <f t="shared" si="113"/>
        <v>0</v>
      </c>
      <c r="CZ84" s="4">
        <f t="shared" si="114"/>
        <v>0</v>
      </c>
      <c r="DA84" s="4">
        <f t="shared" si="115"/>
        <v>0</v>
      </c>
      <c r="DB84" s="4">
        <f t="shared" si="116"/>
        <v>0</v>
      </c>
      <c r="DC84" s="4">
        <f t="shared" si="117"/>
        <v>0</v>
      </c>
      <c r="DD84" s="4">
        <f t="shared" si="118"/>
        <v>0</v>
      </c>
      <c r="DE84" s="4">
        <f t="shared" si="119"/>
        <v>0</v>
      </c>
      <c r="DF84" s="4">
        <f t="shared" si="120"/>
        <v>0</v>
      </c>
      <c r="DG84" s="4">
        <f t="shared" si="121"/>
        <v>0</v>
      </c>
      <c r="DH84" s="4">
        <f t="shared" si="122"/>
        <v>0</v>
      </c>
      <c r="DI84" s="4">
        <f t="shared" si="123"/>
        <v>0</v>
      </c>
      <c r="DJ84" s="4">
        <f t="shared" si="124"/>
        <v>0</v>
      </c>
      <c r="DK84" s="4">
        <f t="shared" si="125"/>
        <v>0</v>
      </c>
      <c r="DL84" s="4">
        <f t="shared" si="126"/>
        <v>0</v>
      </c>
    </row>
    <row r="85" spans="1:116" x14ac:dyDescent="0.25">
      <c r="A85" s="5">
        <v>46185</v>
      </c>
      <c r="B85" s="6">
        <v>2.0833333532209508E-2</v>
      </c>
      <c r="C85" s="3"/>
      <c r="D85" s="3"/>
      <c r="E85" s="3" t="s">
        <v>40</v>
      </c>
      <c r="F85" s="3">
        <v>8</v>
      </c>
      <c r="G85" s="3"/>
      <c r="H85" s="9"/>
      <c r="I85" s="9">
        <f>SUM(IFERROR(VLOOKUP($C:$C,Structure!$A:$AJ,I$1,0)*$D85,0),IFERROR(VLOOKUP($E:$E,Structure!$A:$AJ,I$1,0)*$F85,0),IFERROR(VLOOKUP($G:$G,Structure!$A:$AJ,I$1,0)*$H85,0))</f>
        <v>0</v>
      </c>
      <c r="J85" s="9">
        <f>SUM(IFERROR(VLOOKUP($C:$C,Structure!$A:$AJ,J$1,0)*$D85,0),IFERROR(VLOOKUP($E:$E,Structure!$A:$AJ,J$1,0)*$F85,0),IFERROR(VLOOKUP($G:$G,Structure!$A:$AJ,J$1,0)*$H85,0))</f>
        <v>8</v>
      </c>
      <c r="K85" s="9">
        <f>SUM(IFERROR(VLOOKUP($C:$C,Structure!$A:$AJ,K$1,0)*$D85,0),IFERROR(VLOOKUP($E:$E,Structure!$A:$AJ,K$1,0)*$F85,0),IFERROR(VLOOKUP($G:$G,Structure!$A:$AJ,K$1,0)*$H85,0))</f>
        <v>0</v>
      </c>
      <c r="L85" s="9">
        <f>SUM(IFERROR(VLOOKUP($C:$C,Structure!$A:$AJ,L$1,0)*$D85,0),IFERROR(VLOOKUP($E:$E,Structure!$A:$AJ,L$1,0)*$F85,0),IFERROR(VLOOKUP($G:$G,Structure!$A:$AJ,L$1,0)*$H85,0))</f>
        <v>0</v>
      </c>
      <c r="M85" s="9">
        <f>SUM(IFERROR(VLOOKUP($C:$C,Structure!$A:$AJ,M$1,0)*$D85,0),IFERROR(VLOOKUP($E:$E,Structure!$A:$AJ,M$1,0)*$F85,0),IFERROR(VLOOKUP($G:$G,Structure!$A:$AJ,M$1,0)*$H85,0))</f>
        <v>0</v>
      </c>
      <c r="N85" s="9">
        <f>SUM(IFERROR(VLOOKUP($C:$C,Structure!$A:$AJ,N$1,0)*$D85,0),IFERROR(VLOOKUP($E:$E,Structure!$A:$AJ,N$1,0)*$F85,0),IFERROR(VLOOKUP($G:$G,Structure!$A:$AJ,N$1,0)*$H85,0))</f>
        <v>0</v>
      </c>
      <c r="O85" s="9">
        <f>SUM(IFERROR(VLOOKUP($C:$C,Structure!$A:$AJ,O$1,0)*$D85,0),IFERROR(VLOOKUP($E:$E,Structure!$A:$AJ,O$1,0)*$F85,0),IFERROR(VLOOKUP($G:$G,Structure!$A:$AJ,O$1,0)*$H85,0))</f>
        <v>0</v>
      </c>
      <c r="P85" s="9">
        <f>SUM(IFERROR(VLOOKUP($C:$C,Structure!$A:$AJ,P$1,0)*$D85,0),IFERROR(VLOOKUP($E:$E,Structure!$A:$AJ,P$1,0)*$F85,0),IFERROR(VLOOKUP($G:$G,Structure!$A:$AJ,P$1,0)*$H85,0))</f>
        <v>8</v>
      </c>
      <c r="Q85" s="9">
        <f>SUM(IFERROR(VLOOKUP($C:$C,Structure!$A:$AJ,Q$1,0)*$D85,0),IFERROR(VLOOKUP($E:$E,Structure!$A:$AJ,Q$1,0)*$F85,0),IFERROR(VLOOKUP($G:$G,Structure!$A:$AJ,Q$1,0)*$H85,0))</f>
        <v>0</v>
      </c>
      <c r="R85" s="9">
        <f>SUM(IFERROR(VLOOKUP($C:$C,Structure!$A:$AJ,R$1,0)*$D85,0),IFERROR(VLOOKUP($E:$E,Structure!$A:$AJ,R$1,0)*$F85,0),IFERROR(VLOOKUP($G:$G,Structure!$A:$AJ,R$1,0)*$H85,0))</f>
        <v>0</v>
      </c>
      <c r="S85" s="9">
        <f>SUM(IFERROR(VLOOKUP($C:$C,Structure!$A:$AJ,S$1,0)*$D85,0),IFERROR(VLOOKUP($E:$E,Structure!$A:$AJ,S$1,0)*$F85,0),IFERROR(VLOOKUP($G:$G,Structure!$A:$AJ,S$1,0)*$H85,0))</f>
        <v>0</v>
      </c>
      <c r="T85" s="9">
        <f>SUM(IFERROR(VLOOKUP($C:$C,Structure!$A:$AJ,T$1,0)*$D85,0),IFERROR(VLOOKUP($E:$E,Structure!$A:$AJ,T$1,0)*$F85,0),IFERROR(VLOOKUP($G:$G,Structure!$A:$AJ,T$1,0)*$H85,0))</f>
        <v>0</v>
      </c>
      <c r="U85" s="9">
        <f>SUM(IFERROR(VLOOKUP($C:$C,Structure!$A:$AJ,U$1,0)*$D85,0),IFERROR(VLOOKUP($E:$E,Structure!$A:$AJ,U$1,0)*$F85,0),IFERROR(VLOOKUP($G:$G,Structure!$A:$AJ,U$1,0)*$H85,0))</f>
        <v>0</v>
      </c>
      <c r="V85" s="9">
        <f>SUM(IFERROR(VLOOKUP($C:$C,Structure!$A:$AJ,V$1,0)*$D85,0),IFERROR(VLOOKUP($E:$E,Structure!$A:$AJ,V$1,0)*$F85,0),IFERROR(VLOOKUP($G:$G,Structure!$A:$AJ,V$1,0)*$H85,0))</f>
        <v>0</v>
      </c>
      <c r="W85" s="9">
        <f>SUM(IFERROR(VLOOKUP($C:$C,Structure!$A:$AJ,W$1,0)*$D85,0),IFERROR(VLOOKUP($E:$E,Structure!$A:$AJ,W$1,0)*$F85,0),IFERROR(VLOOKUP($G:$G,Structure!$A:$AJ,W$1,0)*$H85,0))</f>
        <v>0</v>
      </c>
      <c r="X85" s="9">
        <f>SUM(IFERROR(VLOOKUP($C:$C,Structure!$A:$AJ,X$1,0)*$D85,0),IFERROR(VLOOKUP($E:$E,Structure!$A:$AJ,X$1,0)*$F85,0),IFERROR(VLOOKUP($G:$G,Structure!$A:$AJ,X$1,0)*$H85,0))</f>
        <v>0</v>
      </c>
      <c r="Y85" s="9">
        <f>SUM(IFERROR(VLOOKUP($C:$C,Structure!$A:$AJ,Y$1,0)*$D85,0),IFERROR(VLOOKUP($E:$E,Structure!$A:$AJ,Y$1,0)*$F85,0),IFERROR(VLOOKUP($G:$G,Structure!$A:$AJ,Y$1,0)*$H85,0))</f>
        <v>0</v>
      </c>
      <c r="Z85" s="9">
        <f>SUM(IFERROR(VLOOKUP($C:$C,Structure!$A:$AJ,Z$1,0)*$D85,0),IFERROR(VLOOKUP($E:$E,Structure!$A:$AJ,Z$1,0)*$F85,0),IFERROR(VLOOKUP($G:$G,Structure!$A:$AJ,Z$1,0)*$H85,0))</f>
        <v>0</v>
      </c>
      <c r="AA85" s="9">
        <f>SUM(IFERROR(VLOOKUP($C:$C,Structure!$A:$AJ,AA$1,0)*$D85,0),IFERROR(VLOOKUP($E:$E,Structure!$A:$AJ,AA$1,0)*$F85,0),IFERROR(VLOOKUP($G:$G,Structure!$A:$AJ,AA$1,0)*$H85,0))</f>
        <v>0</v>
      </c>
      <c r="AB85" s="9">
        <f>SUM(IFERROR(VLOOKUP($C:$C,Structure!$A:$AJ,AB$1,0)*$D85,0),IFERROR(VLOOKUP($E:$E,Structure!$A:$AJ,AB$1,0)*$F85,0),IFERROR(VLOOKUP($G:$G,Structure!$A:$AJ,AB$1,0)*$H85,0))</f>
        <v>0</v>
      </c>
      <c r="AC85" s="9">
        <f>SUM(IFERROR(VLOOKUP($C:$C,Structure!$A:$AJ,AC$1,0)*$D85,0),IFERROR(VLOOKUP($E:$E,Structure!$A:$AJ,AC$1,0)*$F85,0),IFERROR(VLOOKUP($G:$G,Structure!$A:$AJ,AC$1,0)*$H85,0))</f>
        <v>0</v>
      </c>
      <c r="AD85" s="9">
        <f>SUM(IFERROR(VLOOKUP($C:$C,Structure!$A:$AJ,AD$1,0)*$D85,0),IFERROR(VLOOKUP($E:$E,Structure!$A:$AJ,AD$1,0)*$F85,0),IFERROR(VLOOKUP($G:$G,Structure!$A:$AJ,AD$1,0)*$H85,0))</f>
        <v>0</v>
      </c>
      <c r="AE85" s="9">
        <f>SUM(IFERROR(VLOOKUP($C:$C,Structure!$A:$AJ,AE$1,0)*$D85,0),IFERROR(VLOOKUP($E:$E,Structure!$A:$AJ,AE$1,0)*$F85,0),IFERROR(VLOOKUP($G:$G,Structure!$A:$AJ,AE$1,0)*$H85,0))</f>
        <v>0</v>
      </c>
      <c r="AF85" s="9">
        <f>SUM(IFERROR(VLOOKUP($C:$C,Structure!$A:$AJ,AF$1,0)*$D85,0),IFERROR(VLOOKUP($E:$E,Structure!$A:$AJ,AF$1,0)*$F85,0),IFERROR(VLOOKUP($G:$G,Structure!$A:$AJ,AF$1,0)*$H85,0))</f>
        <v>0</v>
      </c>
      <c r="AG85" s="9">
        <f>SUM(IFERROR(VLOOKUP($C:$C,Structure!$A:$AJ,AG$1,0)*$D85,0),IFERROR(VLOOKUP($E:$E,Structure!$A:$AJ,AG$1,0)*$F85,0),IFERROR(VLOOKUP($G:$G,Structure!$A:$AJ,AG$1,0)*$H85,0))</f>
        <v>0</v>
      </c>
      <c r="AH85" s="9">
        <f>SUM(IFERROR(VLOOKUP($C:$C,Structure!$A:$AJ,AH$1,0)*$D85,0),IFERROR(VLOOKUP($E:$E,Structure!$A:$AJ,AH$1,0)*$F85,0),IFERROR(VLOOKUP($G:$G,Structure!$A:$AJ,AH$1,0)*$H85,0))</f>
        <v>0</v>
      </c>
      <c r="AI85" s="9">
        <f>SUM(IFERROR(VLOOKUP($C:$C,Structure!$A:$AJ,AI$1,0)*$D85,0),IFERROR(VLOOKUP($E:$E,Structure!$A:$AJ,AI$1,0)*$F85,0),IFERROR(VLOOKUP($G:$G,Structure!$A:$AJ,AI$1,0)*$H85,0))</f>
        <v>0</v>
      </c>
      <c r="AJ85" s="9">
        <f>SUM(IFERROR(VLOOKUP($C:$C,Structure!$A:$AJ,AJ$1,0)*$D85,0),IFERROR(VLOOKUP($E:$E,Structure!$A:$AJ,AJ$1,0)*$F85,0),IFERROR(VLOOKUP($G:$G,Structure!$A:$AJ,AJ$1,0)*$H85,0))</f>
        <v>0</v>
      </c>
      <c r="AK85" s="9">
        <f>SUM(IFERROR(VLOOKUP($C:$C,Structure!$A:$AJ,AK$1,0)*$D85,0),IFERROR(VLOOKUP($E:$E,Structure!$A:$AJ,AK$1,0)*$F85,0),IFERROR(VLOOKUP($G:$G,Structure!$A:$AJ,AK$1,0)*$H85,0))</f>
        <v>0</v>
      </c>
      <c r="AL85" s="9">
        <f>SUM(IFERROR(VLOOKUP($C:$C,Structure!$A:$AJ,AL$1,0)*$D85,0),IFERROR(VLOOKUP($E:$E,Structure!$A:$AJ,AL$1,0)*$F85,0),IFERROR(VLOOKUP($G:$G,Structure!$A:$AJ,AL$1,0)*$H85,0))</f>
        <v>0</v>
      </c>
      <c r="AM85" s="9">
        <f>SUM(IFERROR(VLOOKUP($C:$C,Structure!$A:$AJ,AM$1,0)*$D85,0),IFERROR(VLOOKUP($E:$E,Structure!$A:$AJ,AM$1,0)*$F85,0),IFERROR(VLOOKUP($G:$G,Structure!$A:$AJ,AM$1,0)*$H85,0))</f>
        <v>0</v>
      </c>
      <c r="AN85" s="9">
        <f>SUM(IFERROR(VLOOKUP($C:$C,Structure!$A:$AJ,AN$1,0)*$D85,0),IFERROR(VLOOKUP($E:$E,Structure!$A:$AJ,AN$1,0)*$F85,0),IFERROR(VLOOKUP($G:$G,Structure!$A:$AJ,AN$1,0)*$H85,0))</f>
        <v>0</v>
      </c>
      <c r="AO85" s="9">
        <f>SUM(IFERROR(VLOOKUP($C:$C,Structure!$A:$AJ,AO$1,0)*$D85,0),IFERROR(VLOOKUP($E:$E,Structure!$A:$AJ,AO$1,0)*$F85,0),IFERROR(VLOOKUP($G:$G,Structure!$A:$AJ,AO$1,0)*$H85,0))</f>
        <v>0</v>
      </c>
      <c r="AP85" s="9">
        <f>SUM(IFERROR(VLOOKUP($C:$C,Structure!$A:$AJ,AP$1,0)*$D85,0),IFERROR(VLOOKUP($E:$E,Structure!$A:$AJ,AP$1,0)*$F85,0),IFERROR(VLOOKUP($G:$G,Structure!$A:$AJ,AP$1,0)*$H85,0))</f>
        <v>0</v>
      </c>
      <c r="AQ85" s="9">
        <f>SUM(IFERROR(VLOOKUP($C:$C,Structure!$A:$AJ,AQ$1,0)*$D85,0),IFERROR(VLOOKUP($E:$E,Structure!$A:$AJ,AQ$1,0)*$F85,0),IFERROR(VLOOKUP($G:$G,Structure!$A:$AJ,AQ$1,0)*$H85,0))</f>
        <v>0</v>
      </c>
      <c r="AR85" s="21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4">
        <f t="shared" si="92"/>
        <v>0</v>
      </c>
      <c r="CE85" s="4">
        <f t="shared" si="93"/>
        <v>-4</v>
      </c>
      <c r="CF85" s="4">
        <f t="shared" si="94"/>
        <v>4</v>
      </c>
      <c r="CG85" s="4">
        <f t="shared" si="95"/>
        <v>33</v>
      </c>
      <c r="CH85" s="4">
        <f t="shared" si="96"/>
        <v>1</v>
      </c>
      <c r="CI85" s="4">
        <f t="shared" si="97"/>
        <v>51</v>
      </c>
      <c r="CJ85" s="4">
        <f t="shared" si="98"/>
        <v>-58</v>
      </c>
      <c r="CK85" s="4">
        <f t="shared" si="99"/>
        <v>110</v>
      </c>
      <c r="CL85" s="4">
        <f t="shared" si="100"/>
        <v>0</v>
      </c>
      <c r="CM85" s="4">
        <f t="shared" si="101"/>
        <v>4</v>
      </c>
      <c r="CN85" s="4">
        <f t="shared" si="102"/>
        <v>-20</v>
      </c>
      <c r="CO85" s="4">
        <f t="shared" si="103"/>
        <v>0</v>
      </c>
      <c r="CP85" s="4">
        <f t="shared" si="104"/>
        <v>103</v>
      </c>
      <c r="CQ85" s="4">
        <f t="shared" si="105"/>
        <v>-153</v>
      </c>
      <c r="CR85" s="4">
        <f t="shared" si="106"/>
        <v>34</v>
      </c>
      <c r="CS85" s="4">
        <f t="shared" si="107"/>
        <v>0</v>
      </c>
      <c r="CT85" s="4">
        <f t="shared" si="108"/>
        <v>0</v>
      </c>
      <c r="CU85" s="4">
        <f t="shared" si="109"/>
        <v>0</v>
      </c>
      <c r="CV85" s="4">
        <f t="shared" si="110"/>
        <v>0</v>
      </c>
      <c r="CW85" s="4">
        <f t="shared" si="111"/>
        <v>0</v>
      </c>
      <c r="CX85" s="4">
        <f t="shared" si="112"/>
        <v>-110</v>
      </c>
      <c r="CY85" s="4">
        <f t="shared" si="113"/>
        <v>0</v>
      </c>
      <c r="CZ85" s="4">
        <f t="shared" si="114"/>
        <v>0</v>
      </c>
      <c r="DA85" s="4">
        <f t="shared" si="115"/>
        <v>0</v>
      </c>
      <c r="DB85" s="4">
        <f t="shared" si="116"/>
        <v>0</v>
      </c>
      <c r="DC85" s="4">
        <f t="shared" si="117"/>
        <v>0</v>
      </c>
      <c r="DD85" s="4">
        <f t="shared" si="118"/>
        <v>0</v>
      </c>
      <c r="DE85" s="4">
        <f t="shared" si="119"/>
        <v>0</v>
      </c>
      <c r="DF85" s="4">
        <f t="shared" si="120"/>
        <v>0</v>
      </c>
      <c r="DG85" s="4">
        <f t="shared" si="121"/>
        <v>0</v>
      </c>
      <c r="DH85" s="4">
        <f t="shared" si="122"/>
        <v>0</v>
      </c>
      <c r="DI85" s="4">
        <f t="shared" si="123"/>
        <v>0</v>
      </c>
      <c r="DJ85" s="4">
        <f t="shared" si="124"/>
        <v>0</v>
      </c>
      <c r="DK85" s="4">
        <f t="shared" si="125"/>
        <v>0</v>
      </c>
      <c r="DL85" s="4">
        <f t="shared" si="126"/>
        <v>0</v>
      </c>
    </row>
    <row r="86" spans="1:116" x14ac:dyDescent="0.25">
      <c r="A86" s="5">
        <v>46185</v>
      </c>
      <c r="B86" s="6">
        <v>4.1666666867968161E-2</v>
      </c>
      <c r="C86" s="3"/>
      <c r="D86" s="3"/>
      <c r="E86" s="3" t="s">
        <v>40</v>
      </c>
      <c r="F86" s="3">
        <v>8</v>
      </c>
      <c r="G86" s="3"/>
      <c r="H86" s="9"/>
      <c r="I86" s="9">
        <f>SUM(IFERROR(VLOOKUP($C:$C,Structure!$A:$AJ,I$1,0)*$D86,0),IFERROR(VLOOKUP($E:$E,Structure!$A:$AJ,I$1,0)*$F86,0),IFERROR(VLOOKUP($G:$G,Structure!$A:$AJ,I$1,0)*$H86,0))</f>
        <v>0</v>
      </c>
      <c r="J86" s="9">
        <f>SUM(IFERROR(VLOOKUP($C:$C,Structure!$A:$AJ,J$1,0)*$D86,0),IFERROR(VLOOKUP($E:$E,Structure!$A:$AJ,J$1,0)*$F86,0),IFERROR(VLOOKUP($G:$G,Structure!$A:$AJ,J$1,0)*$H86,0))</f>
        <v>8</v>
      </c>
      <c r="K86" s="9">
        <f>SUM(IFERROR(VLOOKUP($C:$C,Structure!$A:$AJ,K$1,0)*$D86,0),IFERROR(VLOOKUP($E:$E,Structure!$A:$AJ,K$1,0)*$F86,0),IFERROR(VLOOKUP($G:$G,Structure!$A:$AJ,K$1,0)*$H86,0))</f>
        <v>0</v>
      </c>
      <c r="L86" s="9">
        <f>SUM(IFERROR(VLOOKUP($C:$C,Structure!$A:$AJ,L$1,0)*$D86,0),IFERROR(VLOOKUP($E:$E,Structure!$A:$AJ,L$1,0)*$F86,0),IFERROR(VLOOKUP($G:$G,Structure!$A:$AJ,L$1,0)*$H86,0))</f>
        <v>0</v>
      </c>
      <c r="M86" s="9">
        <f>SUM(IFERROR(VLOOKUP($C:$C,Structure!$A:$AJ,M$1,0)*$D86,0),IFERROR(VLOOKUP($E:$E,Structure!$A:$AJ,M$1,0)*$F86,0),IFERROR(VLOOKUP($G:$G,Structure!$A:$AJ,M$1,0)*$H86,0))</f>
        <v>0</v>
      </c>
      <c r="N86" s="9">
        <f>SUM(IFERROR(VLOOKUP($C:$C,Structure!$A:$AJ,N$1,0)*$D86,0),IFERROR(VLOOKUP($E:$E,Structure!$A:$AJ,N$1,0)*$F86,0),IFERROR(VLOOKUP($G:$G,Structure!$A:$AJ,N$1,0)*$H86,0))</f>
        <v>0</v>
      </c>
      <c r="O86" s="9">
        <f>SUM(IFERROR(VLOOKUP($C:$C,Structure!$A:$AJ,O$1,0)*$D86,0),IFERROR(VLOOKUP($E:$E,Structure!$A:$AJ,O$1,0)*$F86,0),IFERROR(VLOOKUP($G:$G,Structure!$A:$AJ,O$1,0)*$H86,0))</f>
        <v>0</v>
      </c>
      <c r="P86" s="9">
        <f>SUM(IFERROR(VLOOKUP($C:$C,Structure!$A:$AJ,P$1,0)*$D86,0),IFERROR(VLOOKUP($E:$E,Structure!$A:$AJ,P$1,0)*$F86,0),IFERROR(VLOOKUP($G:$G,Structure!$A:$AJ,P$1,0)*$H86,0))</f>
        <v>8</v>
      </c>
      <c r="Q86" s="9">
        <f>SUM(IFERROR(VLOOKUP($C:$C,Structure!$A:$AJ,Q$1,0)*$D86,0),IFERROR(VLOOKUP($E:$E,Structure!$A:$AJ,Q$1,0)*$F86,0),IFERROR(VLOOKUP($G:$G,Structure!$A:$AJ,Q$1,0)*$H86,0))</f>
        <v>0</v>
      </c>
      <c r="R86" s="9">
        <f>SUM(IFERROR(VLOOKUP($C:$C,Structure!$A:$AJ,R$1,0)*$D86,0),IFERROR(VLOOKUP($E:$E,Structure!$A:$AJ,R$1,0)*$F86,0),IFERROR(VLOOKUP($G:$G,Structure!$A:$AJ,R$1,0)*$H86,0))</f>
        <v>0</v>
      </c>
      <c r="S86" s="9">
        <f>SUM(IFERROR(VLOOKUP($C:$C,Structure!$A:$AJ,S$1,0)*$D86,0),IFERROR(VLOOKUP($E:$E,Structure!$A:$AJ,S$1,0)*$F86,0),IFERROR(VLOOKUP($G:$G,Structure!$A:$AJ,S$1,0)*$H86,0))</f>
        <v>0</v>
      </c>
      <c r="T86" s="9">
        <f>SUM(IFERROR(VLOOKUP($C:$C,Structure!$A:$AJ,T$1,0)*$D86,0),IFERROR(VLOOKUP($E:$E,Structure!$A:$AJ,T$1,0)*$F86,0),IFERROR(VLOOKUP($G:$G,Structure!$A:$AJ,T$1,0)*$H86,0))</f>
        <v>0</v>
      </c>
      <c r="U86" s="9">
        <f>SUM(IFERROR(VLOOKUP($C:$C,Structure!$A:$AJ,U$1,0)*$D86,0),IFERROR(VLOOKUP($E:$E,Structure!$A:$AJ,U$1,0)*$F86,0),IFERROR(VLOOKUP($G:$G,Structure!$A:$AJ,U$1,0)*$H86,0))</f>
        <v>0</v>
      </c>
      <c r="V86" s="9">
        <f>SUM(IFERROR(VLOOKUP($C:$C,Structure!$A:$AJ,V$1,0)*$D86,0),IFERROR(VLOOKUP($E:$E,Structure!$A:$AJ,V$1,0)*$F86,0),IFERROR(VLOOKUP($G:$G,Structure!$A:$AJ,V$1,0)*$H86,0))</f>
        <v>0</v>
      </c>
      <c r="W86" s="9">
        <f>SUM(IFERROR(VLOOKUP($C:$C,Structure!$A:$AJ,W$1,0)*$D86,0),IFERROR(VLOOKUP($E:$E,Structure!$A:$AJ,W$1,0)*$F86,0),IFERROR(VLOOKUP($G:$G,Structure!$A:$AJ,W$1,0)*$H86,0))</f>
        <v>0</v>
      </c>
      <c r="X86" s="9">
        <f>SUM(IFERROR(VLOOKUP($C:$C,Structure!$A:$AJ,X$1,0)*$D86,0),IFERROR(VLOOKUP($E:$E,Structure!$A:$AJ,X$1,0)*$F86,0),IFERROR(VLOOKUP($G:$G,Structure!$A:$AJ,X$1,0)*$H86,0))</f>
        <v>0</v>
      </c>
      <c r="Y86" s="9">
        <f>SUM(IFERROR(VLOOKUP($C:$C,Structure!$A:$AJ,Y$1,0)*$D86,0),IFERROR(VLOOKUP($E:$E,Structure!$A:$AJ,Y$1,0)*$F86,0),IFERROR(VLOOKUP($G:$G,Structure!$A:$AJ,Y$1,0)*$H86,0))</f>
        <v>0</v>
      </c>
      <c r="Z86" s="9">
        <f>SUM(IFERROR(VLOOKUP($C:$C,Structure!$A:$AJ,Z$1,0)*$D86,0),IFERROR(VLOOKUP($E:$E,Structure!$A:$AJ,Z$1,0)*$F86,0),IFERROR(VLOOKUP($G:$G,Structure!$A:$AJ,Z$1,0)*$H86,0))</f>
        <v>0</v>
      </c>
      <c r="AA86" s="9">
        <f>SUM(IFERROR(VLOOKUP($C:$C,Structure!$A:$AJ,AA$1,0)*$D86,0),IFERROR(VLOOKUP($E:$E,Structure!$A:$AJ,AA$1,0)*$F86,0),IFERROR(VLOOKUP($G:$G,Structure!$A:$AJ,AA$1,0)*$H86,0))</f>
        <v>0</v>
      </c>
      <c r="AB86" s="9">
        <f>SUM(IFERROR(VLOOKUP($C:$C,Structure!$A:$AJ,AB$1,0)*$D86,0),IFERROR(VLOOKUP($E:$E,Structure!$A:$AJ,AB$1,0)*$F86,0),IFERROR(VLOOKUP($G:$G,Structure!$A:$AJ,AB$1,0)*$H86,0))</f>
        <v>0</v>
      </c>
      <c r="AC86" s="9">
        <f>SUM(IFERROR(VLOOKUP($C:$C,Structure!$A:$AJ,AC$1,0)*$D86,0),IFERROR(VLOOKUP($E:$E,Structure!$A:$AJ,AC$1,0)*$F86,0),IFERROR(VLOOKUP($G:$G,Structure!$A:$AJ,AC$1,0)*$H86,0))</f>
        <v>0</v>
      </c>
      <c r="AD86" s="9">
        <f>SUM(IFERROR(VLOOKUP($C:$C,Structure!$A:$AJ,AD$1,0)*$D86,0),IFERROR(VLOOKUP($E:$E,Structure!$A:$AJ,AD$1,0)*$F86,0),IFERROR(VLOOKUP($G:$G,Structure!$A:$AJ,AD$1,0)*$H86,0))</f>
        <v>0</v>
      </c>
      <c r="AE86" s="9">
        <f>SUM(IFERROR(VLOOKUP($C:$C,Structure!$A:$AJ,AE$1,0)*$D86,0),IFERROR(VLOOKUP($E:$E,Structure!$A:$AJ,AE$1,0)*$F86,0),IFERROR(VLOOKUP($G:$G,Structure!$A:$AJ,AE$1,0)*$H86,0))</f>
        <v>0</v>
      </c>
      <c r="AF86" s="9">
        <f>SUM(IFERROR(VLOOKUP($C:$C,Structure!$A:$AJ,AF$1,0)*$D86,0),IFERROR(VLOOKUP($E:$E,Structure!$A:$AJ,AF$1,0)*$F86,0),IFERROR(VLOOKUP($G:$G,Structure!$A:$AJ,AF$1,0)*$H86,0))</f>
        <v>0</v>
      </c>
      <c r="AG86" s="9">
        <f>SUM(IFERROR(VLOOKUP($C:$C,Structure!$A:$AJ,AG$1,0)*$D86,0),IFERROR(VLOOKUP($E:$E,Structure!$A:$AJ,AG$1,0)*$F86,0),IFERROR(VLOOKUP($G:$G,Structure!$A:$AJ,AG$1,0)*$H86,0))</f>
        <v>0</v>
      </c>
      <c r="AH86" s="9">
        <f>SUM(IFERROR(VLOOKUP($C:$C,Structure!$A:$AJ,AH$1,0)*$D86,0),IFERROR(VLOOKUP($E:$E,Structure!$A:$AJ,AH$1,0)*$F86,0),IFERROR(VLOOKUP($G:$G,Structure!$A:$AJ,AH$1,0)*$H86,0))</f>
        <v>0</v>
      </c>
      <c r="AI86" s="9">
        <f>SUM(IFERROR(VLOOKUP($C:$C,Structure!$A:$AJ,AI$1,0)*$D86,0),IFERROR(VLOOKUP($E:$E,Structure!$A:$AJ,AI$1,0)*$F86,0),IFERROR(VLOOKUP($G:$G,Structure!$A:$AJ,AI$1,0)*$H86,0))</f>
        <v>0</v>
      </c>
      <c r="AJ86" s="9">
        <f>SUM(IFERROR(VLOOKUP($C:$C,Structure!$A:$AJ,AJ$1,0)*$D86,0),IFERROR(VLOOKUP($E:$E,Structure!$A:$AJ,AJ$1,0)*$F86,0),IFERROR(VLOOKUP($G:$G,Structure!$A:$AJ,AJ$1,0)*$H86,0))</f>
        <v>0</v>
      </c>
      <c r="AK86" s="9">
        <f>SUM(IFERROR(VLOOKUP($C:$C,Structure!$A:$AJ,AK$1,0)*$D86,0),IFERROR(VLOOKUP($E:$E,Structure!$A:$AJ,AK$1,0)*$F86,0),IFERROR(VLOOKUP($G:$G,Structure!$A:$AJ,AK$1,0)*$H86,0))</f>
        <v>0</v>
      </c>
      <c r="AL86" s="9">
        <f>SUM(IFERROR(VLOOKUP($C:$C,Structure!$A:$AJ,AL$1,0)*$D86,0),IFERROR(VLOOKUP($E:$E,Structure!$A:$AJ,AL$1,0)*$F86,0),IFERROR(VLOOKUP($G:$G,Structure!$A:$AJ,AL$1,0)*$H86,0))</f>
        <v>0</v>
      </c>
      <c r="AM86" s="9">
        <f>SUM(IFERROR(VLOOKUP($C:$C,Structure!$A:$AJ,AM$1,0)*$D86,0),IFERROR(VLOOKUP($E:$E,Structure!$A:$AJ,AM$1,0)*$F86,0),IFERROR(VLOOKUP($G:$G,Structure!$A:$AJ,AM$1,0)*$H86,0))</f>
        <v>0</v>
      </c>
      <c r="AN86" s="9">
        <f>SUM(IFERROR(VLOOKUP($C:$C,Structure!$A:$AJ,AN$1,0)*$D86,0),IFERROR(VLOOKUP($E:$E,Structure!$A:$AJ,AN$1,0)*$F86,0),IFERROR(VLOOKUP($G:$G,Structure!$A:$AJ,AN$1,0)*$H86,0))</f>
        <v>0</v>
      </c>
      <c r="AO86" s="9">
        <f>SUM(IFERROR(VLOOKUP($C:$C,Structure!$A:$AJ,AO$1,0)*$D86,0),IFERROR(VLOOKUP($E:$E,Structure!$A:$AJ,AO$1,0)*$F86,0),IFERROR(VLOOKUP($G:$G,Structure!$A:$AJ,AO$1,0)*$H86,0))</f>
        <v>0</v>
      </c>
      <c r="AP86" s="9">
        <f>SUM(IFERROR(VLOOKUP($C:$C,Structure!$A:$AJ,AP$1,0)*$D86,0),IFERROR(VLOOKUP($E:$E,Structure!$A:$AJ,AP$1,0)*$F86,0),IFERROR(VLOOKUP($G:$G,Structure!$A:$AJ,AP$1,0)*$H86,0))</f>
        <v>0</v>
      </c>
      <c r="AQ86" s="9">
        <f>SUM(IFERROR(VLOOKUP($C:$C,Structure!$A:$AJ,AQ$1,0)*$D86,0),IFERROR(VLOOKUP($E:$E,Structure!$A:$AJ,AQ$1,0)*$F86,0),IFERROR(VLOOKUP($G:$G,Structure!$A:$AJ,AQ$1,0)*$H86,0))</f>
        <v>0</v>
      </c>
      <c r="AR86" s="21" t="s">
        <v>819</v>
      </c>
      <c r="AS86" s="3" t="s">
        <v>352</v>
      </c>
      <c r="AT86" s="3" t="s">
        <v>822</v>
      </c>
      <c r="AU86" s="3"/>
      <c r="AV86" s="3"/>
      <c r="AW86" s="3"/>
      <c r="AX86" s="3"/>
      <c r="AY86" s="3"/>
      <c r="AZ86" s="3">
        <v>100</v>
      </c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4">
        <f t="shared" si="92"/>
        <v>0</v>
      </c>
      <c r="CE86" s="4">
        <f t="shared" si="93"/>
        <v>-12</v>
      </c>
      <c r="CF86" s="4">
        <f t="shared" si="94"/>
        <v>4</v>
      </c>
      <c r="CG86" s="4">
        <f t="shared" si="95"/>
        <v>33</v>
      </c>
      <c r="CH86" s="4">
        <f t="shared" si="96"/>
        <v>1</v>
      </c>
      <c r="CI86" s="4">
        <f t="shared" si="97"/>
        <v>151</v>
      </c>
      <c r="CJ86" s="4">
        <f t="shared" si="98"/>
        <v>-58</v>
      </c>
      <c r="CK86" s="4">
        <f t="shared" si="99"/>
        <v>102</v>
      </c>
      <c r="CL86" s="4">
        <f t="shared" si="100"/>
        <v>0</v>
      </c>
      <c r="CM86" s="4">
        <f t="shared" si="101"/>
        <v>4</v>
      </c>
      <c r="CN86" s="4">
        <f t="shared" si="102"/>
        <v>-20</v>
      </c>
      <c r="CO86" s="4">
        <f t="shared" si="103"/>
        <v>0</v>
      </c>
      <c r="CP86" s="4">
        <f t="shared" si="104"/>
        <v>103</v>
      </c>
      <c r="CQ86" s="4">
        <f t="shared" si="105"/>
        <v>-153</v>
      </c>
      <c r="CR86" s="4">
        <f t="shared" si="106"/>
        <v>34</v>
      </c>
      <c r="CS86" s="4">
        <f t="shared" si="107"/>
        <v>0</v>
      </c>
      <c r="CT86" s="4">
        <f t="shared" si="108"/>
        <v>0</v>
      </c>
      <c r="CU86" s="4">
        <f t="shared" si="109"/>
        <v>0</v>
      </c>
      <c r="CV86" s="4">
        <f t="shared" si="110"/>
        <v>0</v>
      </c>
      <c r="CW86" s="4">
        <f t="shared" si="111"/>
        <v>0</v>
      </c>
      <c r="CX86" s="4">
        <f t="shared" si="112"/>
        <v>-110</v>
      </c>
      <c r="CY86" s="4">
        <f t="shared" si="113"/>
        <v>0</v>
      </c>
      <c r="CZ86" s="4">
        <f t="shared" si="114"/>
        <v>0</v>
      </c>
      <c r="DA86" s="4">
        <f t="shared" si="115"/>
        <v>0</v>
      </c>
      <c r="DB86" s="4">
        <f t="shared" si="116"/>
        <v>0</v>
      </c>
      <c r="DC86" s="4">
        <f t="shared" si="117"/>
        <v>0</v>
      </c>
      <c r="DD86" s="4">
        <f t="shared" si="118"/>
        <v>0</v>
      </c>
      <c r="DE86" s="4">
        <f t="shared" si="119"/>
        <v>0</v>
      </c>
      <c r="DF86" s="4">
        <f t="shared" si="120"/>
        <v>0</v>
      </c>
      <c r="DG86" s="4">
        <f t="shared" si="121"/>
        <v>0</v>
      </c>
      <c r="DH86" s="4">
        <f t="shared" si="122"/>
        <v>0</v>
      </c>
      <c r="DI86" s="4">
        <f t="shared" si="123"/>
        <v>0</v>
      </c>
      <c r="DJ86" s="4">
        <f t="shared" si="124"/>
        <v>0</v>
      </c>
      <c r="DK86" s="4">
        <f t="shared" si="125"/>
        <v>0</v>
      </c>
      <c r="DL86" s="4">
        <f t="shared" si="126"/>
        <v>0</v>
      </c>
    </row>
    <row r="87" spans="1:116" x14ac:dyDescent="0.25">
      <c r="A87" s="5">
        <v>46185</v>
      </c>
      <c r="B87" s="6">
        <v>6.2500000203726813E-2</v>
      </c>
      <c r="C87" s="3"/>
      <c r="D87" s="3"/>
      <c r="E87" s="3" t="s">
        <v>40</v>
      </c>
      <c r="F87" s="3">
        <v>8</v>
      </c>
      <c r="G87" s="3"/>
      <c r="H87" s="9"/>
      <c r="I87" s="9">
        <f>SUM(IFERROR(VLOOKUP($C:$C,Structure!$A:$AJ,I$1,0)*$D87,0),IFERROR(VLOOKUP($E:$E,Structure!$A:$AJ,I$1,0)*$F87,0),IFERROR(VLOOKUP($G:$G,Structure!$A:$AJ,I$1,0)*$H87,0))</f>
        <v>0</v>
      </c>
      <c r="J87" s="9">
        <f>SUM(IFERROR(VLOOKUP($C:$C,Structure!$A:$AJ,J$1,0)*$D87,0),IFERROR(VLOOKUP($E:$E,Structure!$A:$AJ,J$1,0)*$F87,0),IFERROR(VLOOKUP($G:$G,Structure!$A:$AJ,J$1,0)*$H87,0))</f>
        <v>8</v>
      </c>
      <c r="K87" s="9">
        <f>SUM(IFERROR(VLOOKUP($C:$C,Structure!$A:$AJ,K$1,0)*$D87,0),IFERROR(VLOOKUP($E:$E,Structure!$A:$AJ,K$1,0)*$F87,0),IFERROR(VLOOKUP($G:$G,Structure!$A:$AJ,K$1,0)*$H87,0))</f>
        <v>0</v>
      </c>
      <c r="L87" s="9">
        <f>SUM(IFERROR(VLOOKUP($C:$C,Structure!$A:$AJ,L$1,0)*$D87,0),IFERROR(VLOOKUP($E:$E,Structure!$A:$AJ,L$1,0)*$F87,0),IFERROR(VLOOKUP($G:$G,Structure!$A:$AJ,L$1,0)*$H87,0))</f>
        <v>0</v>
      </c>
      <c r="M87" s="9">
        <f>SUM(IFERROR(VLOOKUP($C:$C,Structure!$A:$AJ,M$1,0)*$D87,0),IFERROR(VLOOKUP($E:$E,Structure!$A:$AJ,M$1,0)*$F87,0),IFERROR(VLOOKUP($G:$G,Structure!$A:$AJ,M$1,0)*$H87,0))</f>
        <v>0</v>
      </c>
      <c r="N87" s="9">
        <f>SUM(IFERROR(VLOOKUP($C:$C,Structure!$A:$AJ,N$1,0)*$D87,0),IFERROR(VLOOKUP($E:$E,Structure!$A:$AJ,N$1,0)*$F87,0),IFERROR(VLOOKUP($G:$G,Structure!$A:$AJ,N$1,0)*$H87,0))</f>
        <v>0</v>
      </c>
      <c r="O87" s="9">
        <f>SUM(IFERROR(VLOOKUP($C:$C,Structure!$A:$AJ,O$1,0)*$D87,0),IFERROR(VLOOKUP($E:$E,Structure!$A:$AJ,O$1,0)*$F87,0),IFERROR(VLOOKUP($G:$G,Structure!$A:$AJ,O$1,0)*$H87,0))</f>
        <v>0</v>
      </c>
      <c r="P87" s="9">
        <f>SUM(IFERROR(VLOOKUP($C:$C,Structure!$A:$AJ,P$1,0)*$D87,0),IFERROR(VLOOKUP($E:$E,Structure!$A:$AJ,P$1,0)*$F87,0),IFERROR(VLOOKUP($G:$G,Structure!$A:$AJ,P$1,0)*$H87,0))</f>
        <v>8</v>
      </c>
      <c r="Q87" s="9">
        <f>SUM(IFERROR(VLOOKUP($C:$C,Structure!$A:$AJ,Q$1,0)*$D87,0),IFERROR(VLOOKUP($E:$E,Structure!$A:$AJ,Q$1,0)*$F87,0),IFERROR(VLOOKUP($G:$G,Structure!$A:$AJ,Q$1,0)*$H87,0))</f>
        <v>0</v>
      </c>
      <c r="R87" s="9">
        <f>SUM(IFERROR(VLOOKUP($C:$C,Structure!$A:$AJ,R$1,0)*$D87,0),IFERROR(VLOOKUP($E:$E,Structure!$A:$AJ,R$1,0)*$F87,0),IFERROR(VLOOKUP($G:$G,Structure!$A:$AJ,R$1,0)*$H87,0))</f>
        <v>0</v>
      </c>
      <c r="S87" s="9">
        <f>SUM(IFERROR(VLOOKUP($C:$C,Structure!$A:$AJ,S$1,0)*$D87,0),IFERROR(VLOOKUP($E:$E,Structure!$A:$AJ,S$1,0)*$F87,0),IFERROR(VLOOKUP($G:$G,Structure!$A:$AJ,S$1,0)*$H87,0))</f>
        <v>0</v>
      </c>
      <c r="T87" s="9">
        <f>SUM(IFERROR(VLOOKUP($C:$C,Structure!$A:$AJ,T$1,0)*$D87,0),IFERROR(VLOOKUP($E:$E,Structure!$A:$AJ,T$1,0)*$F87,0),IFERROR(VLOOKUP($G:$G,Structure!$A:$AJ,T$1,0)*$H87,0))</f>
        <v>0</v>
      </c>
      <c r="U87" s="9">
        <f>SUM(IFERROR(VLOOKUP($C:$C,Structure!$A:$AJ,U$1,0)*$D87,0),IFERROR(VLOOKUP($E:$E,Structure!$A:$AJ,U$1,0)*$F87,0),IFERROR(VLOOKUP($G:$G,Structure!$A:$AJ,U$1,0)*$H87,0))</f>
        <v>0</v>
      </c>
      <c r="V87" s="9">
        <f>SUM(IFERROR(VLOOKUP($C:$C,Structure!$A:$AJ,V$1,0)*$D87,0),IFERROR(VLOOKUP($E:$E,Structure!$A:$AJ,V$1,0)*$F87,0),IFERROR(VLOOKUP($G:$G,Structure!$A:$AJ,V$1,0)*$H87,0))</f>
        <v>0</v>
      </c>
      <c r="W87" s="9">
        <f>SUM(IFERROR(VLOOKUP($C:$C,Structure!$A:$AJ,W$1,0)*$D87,0),IFERROR(VLOOKUP($E:$E,Structure!$A:$AJ,W$1,0)*$F87,0),IFERROR(VLOOKUP($G:$G,Structure!$A:$AJ,W$1,0)*$H87,0))</f>
        <v>0</v>
      </c>
      <c r="X87" s="9">
        <f>SUM(IFERROR(VLOOKUP($C:$C,Structure!$A:$AJ,X$1,0)*$D87,0),IFERROR(VLOOKUP($E:$E,Structure!$A:$AJ,X$1,0)*$F87,0),IFERROR(VLOOKUP($G:$G,Structure!$A:$AJ,X$1,0)*$H87,0))</f>
        <v>0</v>
      </c>
      <c r="Y87" s="9">
        <f>SUM(IFERROR(VLOOKUP($C:$C,Structure!$A:$AJ,Y$1,0)*$D87,0),IFERROR(VLOOKUP($E:$E,Structure!$A:$AJ,Y$1,0)*$F87,0),IFERROR(VLOOKUP($G:$G,Structure!$A:$AJ,Y$1,0)*$H87,0))</f>
        <v>0</v>
      </c>
      <c r="Z87" s="9">
        <f>SUM(IFERROR(VLOOKUP($C:$C,Structure!$A:$AJ,Z$1,0)*$D87,0),IFERROR(VLOOKUP($E:$E,Structure!$A:$AJ,Z$1,0)*$F87,0),IFERROR(VLOOKUP($G:$G,Structure!$A:$AJ,Z$1,0)*$H87,0))</f>
        <v>0</v>
      </c>
      <c r="AA87" s="9">
        <f>SUM(IFERROR(VLOOKUP($C:$C,Structure!$A:$AJ,AA$1,0)*$D87,0),IFERROR(VLOOKUP($E:$E,Structure!$A:$AJ,AA$1,0)*$F87,0),IFERROR(VLOOKUP($G:$G,Structure!$A:$AJ,AA$1,0)*$H87,0))</f>
        <v>0</v>
      </c>
      <c r="AB87" s="9">
        <f>SUM(IFERROR(VLOOKUP($C:$C,Structure!$A:$AJ,AB$1,0)*$D87,0),IFERROR(VLOOKUP($E:$E,Structure!$A:$AJ,AB$1,0)*$F87,0),IFERROR(VLOOKUP($G:$G,Structure!$A:$AJ,AB$1,0)*$H87,0))</f>
        <v>0</v>
      </c>
      <c r="AC87" s="9">
        <f>SUM(IFERROR(VLOOKUP($C:$C,Structure!$A:$AJ,AC$1,0)*$D87,0),IFERROR(VLOOKUP($E:$E,Structure!$A:$AJ,AC$1,0)*$F87,0),IFERROR(VLOOKUP($G:$G,Structure!$A:$AJ,AC$1,0)*$H87,0))</f>
        <v>0</v>
      </c>
      <c r="AD87" s="9">
        <f>SUM(IFERROR(VLOOKUP($C:$C,Structure!$A:$AJ,AD$1,0)*$D87,0),IFERROR(VLOOKUP($E:$E,Structure!$A:$AJ,AD$1,0)*$F87,0),IFERROR(VLOOKUP($G:$G,Structure!$A:$AJ,AD$1,0)*$H87,0))</f>
        <v>0</v>
      </c>
      <c r="AE87" s="9">
        <f>SUM(IFERROR(VLOOKUP($C:$C,Structure!$A:$AJ,AE$1,0)*$D87,0),IFERROR(VLOOKUP($E:$E,Structure!$A:$AJ,AE$1,0)*$F87,0),IFERROR(VLOOKUP($G:$G,Structure!$A:$AJ,AE$1,0)*$H87,0))</f>
        <v>0</v>
      </c>
      <c r="AF87" s="9">
        <f>SUM(IFERROR(VLOOKUP($C:$C,Structure!$A:$AJ,AF$1,0)*$D87,0),IFERROR(VLOOKUP($E:$E,Structure!$A:$AJ,AF$1,0)*$F87,0),IFERROR(VLOOKUP($G:$G,Structure!$A:$AJ,AF$1,0)*$H87,0))</f>
        <v>0</v>
      </c>
      <c r="AG87" s="9">
        <f>SUM(IFERROR(VLOOKUP($C:$C,Structure!$A:$AJ,AG$1,0)*$D87,0),IFERROR(VLOOKUP($E:$E,Structure!$A:$AJ,AG$1,0)*$F87,0),IFERROR(VLOOKUP($G:$G,Structure!$A:$AJ,AG$1,0)*$H87,0))</f>
        <v>0</v>
      </c>
      <c r="AH87" s="9">
        <f>SUM(IFERROR(VLOOKUP($C:$C,Structure!$A:$AJ,AH$1,0)*$D87,0),IFERROR(VLOOKUP($E:$E,Structure!$A:$AJ,AH$1,0)*$F87,0),IFERROR(VLOOKUP($G:$G,Structure!$A:$AJ,AH$1,0)*$H87,0))</f>
        <v>0</v>
      </c>
      <c r="AI87" s="9">
        <f>SUM(IFERROR(VLOOKUP($C:$C,Structure!$A:$AJ,AI$1,0)*$D87,0),IFERROR(VLOOKUP($E:$E,Structure!$A:$AJ,AI$1,0)*$F87,0),IFERROR(VLOOKUP($G:$G,Structure!$A:$AJ,AI$1,0)*$H87,0))</f>
        <v>0</v>
      </c>
      <c r="AJ87" s="9">
        <f>SUM(IFERROR(VLOOKUP($C:$C,Structure!$A:$AJ,AJ$1,0)*$D87,0),IFERROR(VLOOKUP($E:$E,Structure!$A:$AJ,AJ$1,0)*$F87,0),IFERROR(VLOOKUP($G:$G,Structure!$A:$AJ,AJ$1,0)*$H87,0))</f>
        <v>0</v>
      </c>
      <c r="AK87" s="9">
        <f>SUM(IFERROR(VLOOKUP($C:$C,Structure!$A:$AJ,AK$1,0)*$D87,0),IFERROR(VLOOKUP($E:$E,Structure!$A:$AJ,AK$1,0)*$F87,0),IFERROR(VLOOKUP($G:$G,Structure!$A:$AJ,AK$1,0)*$H87,0))</f>
        <v>0</v>
      </c>
      <c r="AL87" s="9">
        <f>SUM(IFERROR(VLOOKUP($C:$C,Structure!$A:$AJ,AL$1,0)*$D87,0),IFERROR(VLOOKUP($E:$E,Structure!$A:$AJ,AL$1,0)*$F87,0),IFERROR(VLOOKUP($G:$G,Structure!$A:$AJ,AL$1,0)*$H87,0))</f>
        <v>0</v>
      </c>
      <c r="AM87" s="9">
        <f>SUM(IFERROR(VLOOKUP($C:$C,Structure!$A:$AJ,AM$1,0)*$D87,0),IFERROR(VLOOKUP($E:$E,Structure!$A:$AJ,AM$1,0)*$F87,0),IFERROR(VLOOKUP($G:$G,Structure!$A:$AJ,AM$1,0)*$H87,0))</f>
        <v>0</v>
      </c>
      <c r="AN87" s="9">
        <f>SUM(IFERROR(VLOOKUP($C:$C,Structure!$A:$AJ,AN$1,0)*$D87,0),IFERROR(VLOOKUP($E:$E,Structure!$A:$AJ,AN$1,0)*$F87,0),IFERROR(VLOOKUP($G:$G,Structure!$A:$AJ,AN$1,0)*$H87,0))</f>
        <v>0</v>
      </c>
      <c r="AO87" s="9">
        <f>SUM(IFERROR(VLOOKUP($C:$C,Structure!$A:$AJ,AO$1,0)*$D87,0),IFERROR(VLOOKUP($E:$E,Structure!$A:$AJ,AO$1,0)*$F87,0),IFERROR(VLOOKUP($G:$G,Structure!$A:$AJ,AO$1,0)*$H87,0))</f>
        <v>0</v>
      </c>
      <c r="AP87" s="9">
        <f>SUM(IFERROR(VLOOKUP($C:$C,Structure!$A:$AJ,AP$1,0)*$D87,0),IFERROR(VLOOKUP($E:$E,Structure!$A:$AJ,AP$1,0)*$F87,0),IFERROR(VLOOKUP($G:$G,Structure!$A:$AJ,AP$1,0)*$H87,0))</f>
        <v>0</v>
      </c>
      <c r="AQ87" s="9">
        <f>SUM(IFERROR(VLOOKUP($C:$C,Structure!$A:$AJ,AQ$1,0)*$D87,0),IFERROR(VLOOKUP($E:$E,Structure!$A:$AJ,AQ$1,0)*$F87,0),IFERROR(VLOOKUP($G:$G,Structure!$A:$AJ,AQ$1,0)*$H87,0))</f>
        <v>0</v>
      </c>
      <c r="AR87" s="21" t="s">
        <v>820</v>
      </c>
      <c r="AS87" s="3" t="s">
        <v>352</v>
      </c>
      <c r="AT87" s="3" t="s">
        <v>818</v>
      </c>
      <c r="AU87" s="3"/>
      <c r="AV87" s="3"/>
      <c r="AW87" s="3"/>
      <c r="AX87" s="3"/>
      <c r="AY87" s="3"/>
      <c r="AZ87" s="3"/>
      <c r="BA87" s="3"/>
      <c r="BB87" s="3">
        <v>65</v>
      </c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4">
        <f t="shared" si="92"/>
        <v>0</v>
      </c>
      <c r="CE87" s="4">
        <f t="shared" si="93"/>
        <v>-20</v>
      </c>
      <c r="CF87" s="4">
        <f t="shared" si="94"/>
        <v>4</v>
      </c>
      <c r="CG87" s="4">
        <f t="shared" si="95"/>
        <v>33</v>
      </c>
      <c r="CH87" s="4">
        <f t="shared" si="96"/>
        <v>1</v>
      </c>
      <c r="CI87" s="4">
        <f t="shared" si="97"/>
        <v>151</v>
      </c>
      <c r="CJ87" s="4">
        <f t="shared" si="98"/>
        <v>-58</v>
      </c>
      <c r="CK87" s="4">
        <f t="shared" si="99"/>
        <v>159</v>
      </c>
      <c r="CL87" s="4">
        <f t="shared" si="100"/>
        <v>0</v>
      </c>
      <c r="CM87" s="4">
        <f t="shared" si="101"/>
        <v>4</v>
      </c>
      <c r="CN87" s="4">
        <f t="shared" si="102"/>
        <v>-20</v>
      </c>
      <c r="CO87" s="4">
        <f t="shared" si="103"/>
        <v>0</v>
      </c>
      <c r="CP87" s="4">
        <f t="shared" si="104"/>
        <v>103</v>
      </c>
      <c r="CQ87" s="4">
        <f t="shared" si="105"/>
        <v>-153</v>
      </c>
      <c r="CR87" s="4">
        <f t="shared" si="106"/>
        <v>34</v>
      </c>
      <c r="CS87" s="4">
        <f t="shared" si="107"/>
        <v>0</v>
      </c>
      <c r="CT87" s="4">
        <f t="shared" si="108"/>
        <v>0</v>
      </c>
      <c r="CU87" s="4">
        <f t="shared" si="109"/>
        <v>0</v>
      </c>
      <c r="CV87" s="4">
        <f t="shared" si="110"/>
        <v>0</v>
      </c>
      <c r="CW87" s="4">
        <f t="shared" si="111"/>
        <v>0</v>
      </c>
      <c r="CX87" s="4">
        <f t="shared" si="112"/>
        <v>-110</v>
      </c>
      <c r="CY87" s="4">
        <f t="shared" si="113"/>
        <v>0</v>
      </c>
      <c r="CZ87" s="4">
        <f t="shared" si="114"/>
        <v>0</v>
      </c>
      <c r="DA87" s="4">
        <f t="shared" si="115"/>
        <v>0</v>
      </c>
      <c r="DB87" s="4">
        <f t="shared" si="116"/>
        <v>0</v>
      </c>
      <c r="DC87" s="4">
        <f t="shared" si="117"/>
        <v>0</v>
      </c>
      <c r="DD87" s="4">
        <f t="shared" si="118"/>
        <v>0</v>
      </c>
      <c r="DE87" s="4">
        <f t="shared" si="119"/>
        <v>0</v>
      </c>
      <c r="DF87" s="4">
        <f t="shared" si="120"/>
        <v>0</v>
      </c>
      <c r="DG87" s="4">
        <f t="shared" si="121"/>
        <v>0</v>
      </c>
      <c r="DH87" s="4">
        <f t="shared" si="122"/>
        <v>0</v>
      </c>
      <c r="DI87" s="4">
        <f t="shared" si="123"/>
        <v>0</v>
      </c>
      <c r="DJ87" s="4">
        <f t="shared" si="124"/>
        <v>0</v>
      </c>
      <c r="DK87" s="4">
        <f t="shared" si="125"/>
        <v>0</v>
      </c>
      <c r="DL87" s="4">
        <f t="shared" si="126"/>
        <v>0</v>
      </c>
    </row>
    <row r="88" spans="1:116" x14ac:dyDescent="0.25">
      <c r="A88" s="5">
        <v>46185</v>
      </c>
      <c r="B88" s="6">
        <v>8.3333333539485466E-2</v>
      </c>
      <c r="C88" s="3"/>
      <c r="D88" s="3"/>
      <c r="E88" s="3" t="s">
        <v>40</v>
      </c>
      <c r="F88" s="3">
        <v>8</v>
      </c>
      <c r="G88" s="3"/>
      <c r="H88" s="9"/>
      <c r="I88" s="9">
        <f>SUM(IFERROR(VLOOKUP($C:$C,Structure!$A:$AJ,I$1,0)*$D88,0),IFERROR(VLOOKUP($E:$E,Structure!$A:$AJ,I$1,0)*$F88,0),IFERROR(VLOOKUP($G:$G,Structure!$A:$AJ,I$1,0)*$H88,0))</f>
        <v>0</v>
      </c>
      <c r="J88" s="9">
        <f>SUM(IFERROR(VLOOKUP($C:$C,Structure!$A:$AJ,J$1,0)*$D88,0),IFERROR(VLOOKUP($E:$E,Structure!$A:$AJ,J$1,0)*$F88,0),IFERROR(VLOOKUP($G:$G,Structure!$A:$AJ,J$1,0)*$H88,0))</f>
        <v>8</v>
      </c>
      <c r="K88" s="9">
        <f>SUM(IFERROR(VLOOKUP($C:$C,Structure!$A:$AJ,K$1,0)*$D88,0),IFERROR(VLOOKUP($E:$E,Structure!$A:$AJ,K$1,0)*$F88,0),IFERROR(VLOOKUP($G:$G,Structure!$A:$AJ,K$1,0)*$H88,0))</f>
        <v>0</v>
      </c>
      <c r="L88" s="9">
        <f>SUM(IFERROR(VLOOKUP($C:$C,Structure!$A:$AJ,L$1,0)*$D88,0),IFERROR(VLOOKUP($E:$E,Structure!$A:$AJ,L$1,0)*$F88,0),IFERROR(VLOOKUP($G:$G,Structure!$A:$AJ,L$1,0)*$H88,0))</f>
        <v>0</v>
      </c>
      <c r="M88" s="9">
        <f>SUM(IFERROR(VLOOKUP($C:$C,Structure!$A:$AJ,M$1,0)*$D88,0),IFERROR(VLOOKUP($E:$E,Structure!$A:$AJ,M$1,0)*$F88,0),IFERROR(VLOOKUP($G:$G,Structure!$A:$AJ,M$1,0)*$H88,0))</f>
        <v>0</v>
      </c>
      <c r="N88" s="9">
        <f>SUM(IFERROR(VLOOKUP($C:$C,Structure!$A:$AJ,N$1,0)*$D88,0),IFERROR(VLOOKUP($E:$E,Structure!$A:$AJ,N$1,0)*$F88,0),IFERROR(VLOOKUP($G:$G,Structure!$A:$AJ,N$1,0)*$H88,0))</f>
        <v>0</v>
      </c>
      <c r="O88" s="9">
        <f>SUM(IFERROR(VLOOKUP($C:$C,Structure!$A:$AJ,O$1,0)*$D88,0),IFERROR(VLOOKUP($E:$E,Structure!$A:$AJ,O$1,0)*$F88,0),IFERROR(VLOOKUP($G:$G,Structure!$A:$AJ,O$1,0)*$H88,0))</f>
        <v>0</v>
      </c>
      <c r="P88" s="9">
        <f>SUM(IFERROR(VLOOKUP($C:$C,Structure!$A:$AJ,P$1,0)*$D88,0),IFERROR(VLOOKUP($E:$E,Structure!$A:$AJ,P$1,0)*$F88,0),IFERROR(VLOOKUP($G:$G,Structure!$A:$AJ,P$1,0)*$H88,0))</f>
        <v>8</v>
      </c>
      <c r="Q88" s="9">
        <f>SUM(IFERROR(VLOOKUP($C:$C,Structure!$A:$AJ,Q$1,0)*$D88,0),IFERROR(VLOOKUP($E:$E,Structure!$A:$AJ,Q$1,0)*$F88,0),IFERROR(VLOOKUP($G:$G,Structure!$A:$AJ,Q$1,0)*$H88,0))</f>
        <v>0</v>
      </c>
      <c r="R88" s="9">
        <f>SUM(IFERROR(VLOOKUP($C:$C,Structure!$A:$AJ,R$1,0)*$D88,0),IFERROR(VLOOKUP($E:$E,Structure!$A:$AJ,R$1,0)*$F88,0),IFERROR(VLOOKUP($G:$G,Structure!$A:$AJ,R$1,0)*$H88,0))</f>
        <v>0</v>
      </c>
      <c r="S88" s="9">
        <f>SUM(IFERROR(VLOOKUP($C:$C,Structure!$A:$AJ,S$1,0)*$D88,0),IFERROR(VLOOKUP($E:$E,Structure!$A:$AJ,S$1,0)*$F88,0),IFERROR(VLOOKUP($G:$G,Structure!$A:$AJ,S$1,0)*$H88,0))</f>
        <v>0</v>
      </c>
      <c r="T88" s="9">
        <f>SUM(IFERROR(VLOOKUP($C:$C,Structure!$A:$AJ,T$1,0)*$D88,0),IFERROR(VLOOKUP($E:$E,Structure!$A:$AJ,T$1,0)*$F88,0),IFERROR(VLOOKUP($G:$G,Structure!$A:$AJ,T$1,0)*$H88,0))</f>
        <v>0</v>
      </c>
      <c r="U88" s="9">
        <f>SUM(IFERROR(VLOOKUP($C:$C,Structure!$A:$AJ,U$1,0)*$D88,0),IFERROR(VLOOKUP($E:$E,Structure!$A:$AJ,U$1,0)*$F88,0),IFERROR(VLOOKUP($G:$G,Structure!$A:$AJ,U$1,0)*$H88,0))</f>
        <v>0</v>
      </c>
      <c r="V88" s="9">
        <f>SUM(IFERROR(VLOOKUP($C:$C,Structure!$A:$AJ,V$1,0)*$D88,0),IFERROR(VLOOKUP($E:$E,Structure!$A:$AJ,V$1,0)*$F88,0),IFERROR(VLOOKUP($G:$G,Structure!$A:$AJ,V$1,0)*$H88,0))</f>
        <v>0</v>
      </c>
      <c r="W88" s="9">
        <f>SUM(IFERROR(VLOOKUP($C:$C,Structure!$A:$AJ,W$1,0)*$D88,0),IFERROR(VLOOKUP($E:$E,Structure!$A:$AJ,W$1,0)*$F88,0),IFERROR(VLOOKUP($G:$G,Structure!$A:$AJ,W$1,0)*$H88,0))</f>
        <v>0</v>
      </c>
      <c r="X88" s="9">
        <f>SUM(IFERROR(VLOOKUP($C:$C,Structure!$A:$AJ,X$1,0)*$D88,0),IFERROR(VLOOKUP($E:$E,Structure!$A:$AJ,X$1,0)*$F88,0),IFERROR(VLOOKUP($G:$G,Structure!$A:$AJ,X$1,0)*$H88,0))</f>
        <v>0</v>
      </c>
      <c r="Y88" s="9">
        <f>SUM(IFERROR(VLOOKUP($C:$C,Structure!$A:$AJ,Y$1,0)*$D88,0),IFERROR(VLOOKUP($E:$E,Structure!$A:$AJ,Y$1,0)*$F88,0),IFERROR(VLOOKUP($G:$G,Structure!$A:$AJ,Y$1,0)*$H88,0))</f>
        <v>0</v>
      </c>
      <c r="Z88" s="9">
        <f>SUM(IFERROR(VLOOKUP($C:$C,Structure!$A:$AJ,Z$1,0)*$D88,0),IFERROR(VLOOKUP($E:$E,Structure!$A:$AJ,Z$1,0)*$F88,0),IFERROR(VLOOKUP($G:$G,Structure!$A:$AJ,Z$1,0)*$H88,0))</f>
        <v>0</v>
      </c>
      <c r="AA88" s="9">
        <f>SUM(IFERROR(VLOOKUP($C:$C,Structure!$A:$AJ,AA$1,0)*$D88,0),IFERROR(VLOOKUP($E:$E,Structure!$A:$AJ,AA$1,0)*$F88,0),IFERROR(VLOOKUP($G:$G,Structure!$A:$AJ,AA$1,0)*$H88,0))</f>
        <v>0</v>
      </c>
      <c r="AB88" s="9">
        <f>SUM(IFERROR(VLOOKUP($C:$C,Structure!$A:$AJ,AB$1,0)*$D88,0),IFERROR(VLOOKUP($E:$E,Structure!$A:$AJ,AB$1,0)*$F88,0),IFERROR(VLOOKUP($G:$G,Structure!$A:$AJ,AB$1,0)*$H88,0))</f>
        <v>0</v>
      </c>
      <c r="AC88" s="9">
        <f>SUM(IFERROR(VLOOKUP($C:$C,Structure!$A:$AJ,AC$1,0)*$D88,0),IFERROR(VLOOKUP($E:$E,Structure!$A:$AJ,AC$1,0)*$F88,0),IFERROR(VLOOKUP($G:$G,Structure!$A:$AJ,AC$1,0)*$H88,0))</f>
        <v>0</v>
      </c>
      <c r="AD88" s="9">
        <f>SUM(IFERROR(VLOOKUP($C:$C,Structure!$A:$AJ,AD$1,0)*$D88,0),IFERROR(VLOOKUP($E:$E,Structure!$A:$AJ,AD$1,0)*$F88,0),IFERROR(VLOOKUP($G:$G,Structure!$A:$AJ,AD$1,0)*$H88,0))</f>
        <v>0</v>
      </c>
      <c r="AE88" s="9">
        <f>SUM(IFERROR(VLOOKUP($C:$C,Structure!$A:$AJ,AE$1,0)*$D88,0),IFERROR(VLOOKUP($E:$E,Structure!$A:$AJ,AE$1,0)*$F88,0),IFERROR(VLOOKUP($G:$G,Structure!$A:$AJ,AE$1,0)*$H88,0))</f>
        <v>0</v>
      </c>
      <c r="AF88" s="9">
        <f>SUM(IFERROR(VLOOKUP($C:$C,Structure!$A:$AJ,AF$1,0)*$D88,0),IFERROR(VLOOKUP($E:$E,Structure!$A:$AJ,AF$1,0)*$F88,0),IFERROR(VLOOKUP($G:$G,Structure!$A:$AJ,AF$1,0)*$H88,0))</f>
        <v>0</v>
      </c>
      <c r="AG88" s="9">
        <f>SUM(IFERROR(VLOOKUP($C:$C,Structure!$A:$AJ,AG$1,0)*$D88,0),IFERROR(VLOOKUP($E:$E,Structure!$A:$AJ,AG$1,0)*$F88,0),IFERROR(VLOOKUP($G:$G,Structure!$A:$AJ,AG$1,0)*$H88,0))</f>
        <v>0</v>
      </c>
      <c r="AH88" s="9">
        <f>SUM(IFERROR(VLOOKUP($C:$C,Structure!$A:$AJ,AH$1,0)*$D88,0),IFERROR(VLOOKUP($E:$E,Structure!$A:$AJ,AH$1,0)*$F88,0),IFERROR(VLOOKUP($G:$G,Structure!$A:$AJ,AH$1,0)*$H88,0))</f>
        <v>0</v>
      </c>
      <c r="AI88" s="9">
        <f>SUM(IFERROR(VLOOKUP($C:$C,Structure!$A:$AJ,AI$1,0)*$D88,0),IFERROR(VLOOKUP($E:$E,Structure!$A:$AJ,AI$1,0)*$F88,0),IFERROR(VLOOKUP($G:$G,Structure!$A:$AJ,AI$1,0)*$H88,0))</f>
        <v>0</v>
      </c>
      <c r="AJ88" s="9">
        <f>SUM(IFERROR(VLOOKUP($C:$C,Structure!$A:$AJ,AJ$1,0)*$D88,0),IFERROR(VLOOKUP($E:$E,Structure!$A:$AJ,AJ$1,0)*$F88,0),IFERROR(VLOOKUP($G:$G,Structure!$A:$AJ,AJ$1,0)*$H88,0))</f>
        <v>0</v>
      </c>
      <c r="AK88" s="9">
        <f>SUM(IFERROR(VLOOKUP($C:$C,Structure!$A:$AJ,AK$1,0)*$D88,0),IFERROR(VLOOKUP($E:$E,Structure!$A:$AJ,AK$1,0)*$F88,0),IFERROR(VLOOKUP($G:$G,Structure!$A:$AJ,AK$1,0)*$H88,0))</f>
        <v>0</v>
      </c>
      <c r="AL88" s="9">
        <f>SUM(IFERROR(VLOOKUP($C:$C,Structure!$A:$AJ,AL$1,0)*$D88,0),IFERROR(VLOOKUP($E:$E,Structure!$A:$AJ,AL$1,0)*$F88,0),IFERROR(VLOOKUP($G:$G,Structure!$A:$AJ,AL$1,0)*$H88,0))</f>
        <v>0</v>
      </c>
      <c r="AM88" s="9">
        <f>SUM(IFERROR(VLOOKUP($C:$C,Structure!$A:$AJ,AM$1,0)*$D88,0),IFERROR(VLOOKUP($E:$E,Structure!$A:$AJ,AM$1,0)*$F88,0),IFERROR(VLOOKUP($G:$G,Structure!$A:$AJ,AM$1,0)*$H88,0))</f>
        <v>0</v>
      </c>
      <c r="AN88" s="9">
        <f>SUM(IFERROR(VLOOKUP($C:$C,Structure!$A:$AJ,AN$1,0)*$D88,0),IFERROR(VLOOKUP($E:$E,Structure!$A:$AJ,AN$1,0)*$F88,0),IFERROR(VLOOKUP($G:$G,Structure!$A:$AJ,AN$1,0)*$H88,0))</f>
        <v>0</v>
      </c>
      <c r="AO88" s="9">
        <f>SUM(IFERROR(VLOOKUP($C:$C,Structure!$A:$AJ,AO$1,0)*$D88,0),IFERROR(VLOOKUP($E:$E,Structure!$A:$AJ,AO$1,0)*$F88,0),IFERROR(VLOOKUP($G:$G,Structure!$A:$AJ,AO$1,0)*$H88,0))</f>
        <v>0</v>
      </c>
      <c r="AP88" s="9">
        <f>SUM(IFERROR(VLOOKUP($C:$C,Structure!$A:$AJ,AP$1,0)*$D88,0),IFERROR(VLOOKUP($E:$E,Structure!$A:$AJ,AP$1,0)*$F88,0),IFERROR(VLOOKUP($G:$G,Structure!$A:$AJ,AP$1,0)*$H88,0))</f>
        <v>0</v>
      </c>
      <c r="AQ88" s="9">
        <f>SUM(IFERROR(VLOOKUP($C:$C,Structure!$A:$AJ,AQ$1,0)*$D88,0),IFERROR(VLOOKUP($E:$E,Structure!$A:$AJ,AQ$1,0)*$F88,0),IFERROR(VLOOKUP($G:$G,Structure!$A:$AJ,AQ$1,0)*$H88,0))</f>
        <v>0</v>
      </c>
      <c r="AR88" s="21" t="s">
        <v>821</v>
      </c>
      <c r="AS88" s="3" t="s">
        <v>352</v>
      </c>
      <c r="AT88" s="3" t="s">
        <v>818</v>
      </c>
      <c r="AU88" s="3"/>
      <c r="AV88" s="3"/>
      <c r="AW88" s="3"/>
      <c r="AX88" s="3"/>
      <c r="AY88" s="3"/>
      <c r="AZ88" s="3"/>
      <c r="BA88" s="3"/>
      <c r="BB88" s="3"/>
      <c r="BC88" s="3"/>
      <c r="BD88" s="3">
        <v>10</v>
      </c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4">
        <f t="shared" si="92"/>
        <v>0</v>
      </c>
      <c r="CE88" s="4">
        <f t="shared" si="93"/>
        <v>-28</v>
      </c>
      <c r="CF88" s="4">
        <f t="shared" si="94"/>
        <v>4</v>
      </c>
      <c r="CG88" s="4">
        <f t="shared" si="95"/>
        <v>33</v>
      </c>
      <c r="CH88" s="4">
        <f t="shared" si="96"/>
        <v>1</v>
      </c>
      <c r="CI88" s="4">
        <f t="shared" si="97"/>
        <v>151</v>
      </c>
      <c r="CJ88" s="4">
        <f t="shared" si="98"/>
        <v>-58</v>
      </c>
      <c r="CK88" s="4">
        <f t="shared" si="99"/>
        <v>151</v>
      </c>
      <c r="CL88" s="4">
        <f t="shared" si="100"/>
        <v>0</v>
      </c>
      <c r="CM88" s="4">
        <f t="shared" si="101"/>
        <v>14</v>
      </c>
      <c r="CN88" s="4">
        <f t="shared" si="102"/>
        <v>-20</v>
      </c>
      <c r="CO88" s="4">
        <f t="shared" si="103"/>
        <v>0</v>
      </c>
      <c r="CP88" s="4">
        <f t="shared" si="104"/>
        <v>103</v>
      </c>
      <c r="CQ88" s="4">
        <f t="shared" si="105"/>
        <v>-153</v>
      </c>
      <c r="CR88" s="4">
        <f t="shared" si="106"/>
        <v>34</v>
      </c>
      <c r="CS88" s="4">
        <f t="shared" si="107"/>
        <v>0</v>
      </c>
      <c r="CT88" s="4">
        <f t="shared" si="108"/>
        <v>0</v>
      </c>
      <c r="CU88" s="4">
        <f t="shared" si="109"/>
        <v>0</v>
      </c>
      <c r="CV88" s="4">
        <f t="shared" si="110"/>
        <v>0</v>
      </c>
      <c r="CW88" s="4">
        <f t="shared" si="111"/>
        <v>0</v>
      </c>
      <c r="CX88" s="4">
        <f t="shared" si="112"/>
        <v>-110</v>
      </c>
      <c r="CY88" s="4">
        <f t="shared" si="113"/>
        <v>0</v>
      </c>
      <c r="CZ88" s="4">
        <f t="shared" si="114"/>
        <v>0</v>
      </c>
      <c r="DA88" s="4">
        <f t="shared" si="115"/>
        <v>0</v>
      </c>
      <c r="DB88" s="4">
        <f t="shared" si="116"/>
        <v>0</v>
      </c>
      <c r="DC88" s="4">
        <f t="shared" si="117"/>
        <v>0</v>
      </c>
      <c r="DD88" s="4">
        <f t="shared" si="118"/>
        <v>0</v>
      </c>
      <c r="DE88" s="4">
        <f t="shared" si="119"/>
        <v>0</v>
      </c>
      <c r="DF88" s="4">
        <f t="shared" si="120"/>
        <v>0</v>
      </c>
      <c r="DG88" s="4">
        <f t="shared" si="121"/>
        <v>0</v>
      </c>
      <c r="DH88" s="4">
        <f t="shared" si="122"/>
        <v>0</v>
      </c>
      <c r="DI88" s="4">
        <f t="shared" si="123"/>
        <v>0</v>
      </c>
      <c r="DJ88" s="4">
        <f t="shared" si="124"/>
        <v>0</v>
      </c>
      <c r="DK88" s="4">
        <f t="shared" si="125"/>
        <v>0</v>
      </c>
      <c r="DL88" s="4">
        <f t="shared" si="126"/>
        <v>0</v>
      </c>
    </row>
    <row r="89" spans="1:116" x14ac:dyDescent="0.25">
      <c r="A89" s="5">
        <v>46185</v>
      </c>
      <c r="B89" s="6">
        <v>0.10416666687524412</v>
      </c>
      <c r="C89" s="3"/>
      <c r="D89" s="3"/>
      <c r="E89" s="3" t="s">
        <v>40</v>
      </c>
      <c r="F89" s="3">
        <v>8</v>
      </c>
      <c r="G89" s="3"/>
      <c r="H89" s="9"/>
      <c r="I89" s="9">
        <f>SUM(IFERROR(VLOOKUP($C:$C,Structure!$A:$AJ,I$1,0)*$D89,0),IFERROR(VLOOKUP($E:$E,Structure!$A:$AJ,I$1,0)*$F89,0),IFERROR(VLOOKUP($G:$G,Structure!$A:$AJ,I$1,0)*$H89,0))</f>
        <v>0</v>
      </c>
      <c r="J89" s="9">
        <f>SUM(IFERROR(VLOOKUP($C:$C,Structure!$A:$AJ,J$1,0)*$D89,0),IFERROR(VLOOKUP($E:$E,Structure!$A:$AJ,J$1,0)*$F89,0),IFERROR(VLOOKUP($G:$G,Structure!$A:$AJ,J$1,0)*$H89,0))</f>
        <v>8</v>
      </c>
      <c r="K89" s="9">
        <f>SUM(IFERROR(VLOOKUP($C:$C,Structure!$A:$AJ,K$1,0)*$D89,0),IFERROR(VLOOKUP($E:$E,Structure!$A:$AJ,K$1,0)*$F89,0),IFERROR(VLOOKUP($G:$G,Structure!$A:$AJ,K$1,0)*$H89,0))</f>
        <v>0</v>
      </c>
      <c r="L89" s="9">
        <f>SUM(IFERROR(VLOOKUP($C:$C,Structure!$A:$AJ,L$1,0)*$D89,0),IFERROR(VLOOKUP($E:$E,Structure!$A:$AJ,L$1,0)*$F89,0),IFERROR(VLOOKUP($G:$G,Structure!$A:$AJ,L$1,0)*$H89,0))</f>
        <v>0</v>
      </c>
      <c r="M89" s="9">
        <f>SUM(IFERROR(VLOOKUP($C:$C,Structure!$A:$AJ,M$1,0)*$D89,0),IFERROR(VLOOKUP($E:$E,Structure!$A:$AJ,M$1,0)*$F89,0),IFERROR(VLOOKUP($G:$G,Structure!$A:$AJ,M$1,0)*$H89,0))</f>
        <v>0</v>
      </c>
      <c r="N89" s="9">
        <f>SUM(IFERROR(VLOOKUP($C:$C,Structure!$A:$AJ,N$1,0)*$D89,0),IFERROR(VLOOKUP($E:$E,Structure!$A:$AJ,N$1,0)*$F89,0),IFERROR(VLOOKUP($G:$G,Structure!$A:$AJ,N$1,0)*$H89,0))</f>
        <v>0</v>
      </c>
      <c r="O89" s="9">
        <f>SUM(IFERROR(VLOOKUP($C:$C,Structure!$A:$AJ,O$1,0)*$D89,0),IFERROR(VLOOKUP($E:$E,Structure!$A:$AJ,O$1,0)*$F89,0),IFERROR(VLOOKUP($G:$G,Structure!$A:$AJ,O$1,0)*$H89,0))</f>
        <v>0</v>
      </c>
      <c r="P89" s="9">
        <f>SUM(IFERROR(VLOOKUP($C:$C,Structure!$A:$AJ,P$1,0)*$D89,0),IFERROR(VLOOKUP($E:$E,Structure!$A:$AJ,P$1,0)*$F89,0),IFERROR(VLOOKUP($G:$G,Structure!$A:$AJ,P$1,0)*$H89,0))</f>
        <v>8</v>
      </c>
      <c r="Q89" s="9">
        <f>SUM(IFERROR(VLOOKUP($C:$C,Structure!$A:$AJ,Q$1,0)*$D89,0),IFERROR(VLOOKUP($E:$E,Structure!$A:$AJ,Q$1,0)*$F89,0),IFERROR(VLOOKUP($G:$G,Structure!$A:$AJ,Q$1,0)*$H89,0))</f>
        <v>0</v>
      </c>
      <c r="R89" s="9">
        <f>SUM(IFERROR(VLOOKUP($C:$C,Structure!$A:$AJ,R$1,0)*$D89,0),IFERROR(VLOOKUP($E:$E,Structure!$A:$AJ,R$1,0)*$F89,0),IFERROR(VLOOKUP($G:$G,Structure!$A:$AJ,R$1,0)*$H89,0))</f>
        <v>0</v>
      </c>
      <c r="S89" s="9">
        <f>SUM(IFERROR(VLOOKUP($C:$C,Structure!$A:$AJ,S$1,0)*$D89,0),IFERROR(VLOOKUP($E:$E,Structure!$A:$AJ,S$1,0)*$F89,0),IFERROR(VLOOKUP($G:$G,Structure!$A:$AJ,S$1,0)*$H89,0))</f>
        <v>0</v>
      </c>
      <c r="T89" s="9">
        <f>SUM(IFERROR(VLOOKUP($C:$C,Structure!$A:$AJ,T$1,0)*$D89,0),IFERROR(VLOOKUP($E:$E,Structure!$A:$AJ,T$1,0)*$F89,0),IFERROR(VLOOKUP($G:$G,Structure!$A:$AJ,T$1,0)*$H89,0))</f>
        <v>0</v>
      </c>
      <c r="U89" s="9">
        <f>SUM(IFERROR(VLOOKUP($C:$C,Structure!$A:$AJ,U$1,0)*$D89,0),IFERROR(VLOOKUP($E:$E,Structure!$A:$AJ,U$1,0)*$F89,0),IFERROR(VLOOKUP($G:$G,Structure!$A:$AJ,U$1,0)*$H89,0))</f>
        <v>0</v>
      </c>
      <c r="V89" s="9">
        <f>SUM(IFERROR(VLOOKUP($C:$C,Structure!$A:$AJ,V$1,0)*$D89,0),IFERROR(VLOOKUP($E:$E,Structure!$A:$AJ,V$1,0)*$F89,0),IFERROR(VLOOKUP($G:$G,Structure!$A:$AJ,V$1,0)*$H89,0))</f>
        <v>0</v>
      </c>
      <c r="W89" s="9">
        <f>SUM(IFERROR(VLOOKUP($C:$C,Structure!$A:$AJ,W$1,0)*$D89,0),IFERROR(VLOOKUP($E:$E,Structure!$A:$AJ,W$1,0)*$F89,0),IFERROR(VLOOKUP($G:$G,Structure!$A:$AJ,W$1,0)*$H89,0))</f>
        <v>0</v>
      </c>
      <c r="X89" s="9">
        <f>SUM(IFERROR(VLOOKUP($C:$C,Structure!$A:$AJ,X$1,0)*$D89,0),IFERROR(VLOOKUP($E:$E,Structure!$A:$AJ,X$1,0)*$F89,0),IFERROR(VLOOKUP($G:$G,Structure!$A:$AJ,X$1,0)*$H89,0))</f>
        <v>0</v>
      </c>
      <c r="Y89" s="9">
        <f>SUM(IFERROR(VLOOKUP($C:$C,Structure!$A:$AJ,Y$1,0)*$D89,0),IFERROR(VLOOKUP($E:$E,Structure!$A:$AJ,Y$1,0)*$F89,0),IFERROR(VLOOKUP($G:$G,Structure!$A:$AJ,Y$1,0)*$H89,0))</f>
        <v>0</v>
      </c>
      <c r="Z89" s="9">
        <f>SUM(IFERROR(VLOOKUP($C:$C,Structure!$A:$AJ,Z$1,0)*$D89,0),IFERROR(VLOOKUP($E:$E,Structure!$A:$AJ,Z$1,0)*$F89,0),IFERROR(VLOOKUP($G:$G,Structure!$A:$AJ,Z$1,0)*$H89,0))</f>
        <v>0</v>
      </c>
      <c r="AA89" s="9">
        <f>SUM(IFERROR(VLOOKUP($C:$C,Structure!$A:$AJ,AA$1,0)*$D89,0),IFERROR(VLOOKUP($E:$E,Structure!$A:$AJ,AA$1,0)*$F89,0),IFERROR(VLOOKUP($G:$G,Structure!$A:$AJ,AA$1,0)*$H89,0))</f>
        <v>0</v>
      </c>
      <c r="AB89" s="9">
        <f>SUM(IFERROR(VLOOKUP($C:$C,Structure!$A:$AJ,AB$1,0)*$D89,0),IFERROR(VLOOKUP($E:$E,Structure!$A:$AJ,AB$1,0)*$F89,0),IFERROR(VLOOKUP($G:$G,Structure!$A:$AJ,AB$1,0)*$H89,0))</f>
        <v>0</v>
      </c>
      <c r="AC89" s="9">
        <f>SUM(IFERROR(VLOOKUP($C:$C,Structure!$A:$AJ,AC$1,0)*$D89,0),IFERROR(VLOOKUP($E:$E,Structure!$A:$AJ,AC$1,0)*$F89,0),IFERROR(VLOOKUP($G:$G,Structure!$A:$AJ,AC$1,0)*$H89,0))</f>
        <v>0</v>
      </c>
      <c r="AD89" s="9">
        <f>SUM(IFERROR(VLOOKUP($C:$C,Structure!$A:$AJ,AD$1,0)*$D89,0),IFERROR(VLOOKUP($E:$E,Structure!$A:$AJ,AD$1,0)*$F89,0),IFERROR(VLOOKUP($G:$G,Structure!$A:$AJ,AD$1,0)*$H89,0))</f>
        <v>0</v>
      </c>
      <c r="AE89" s="9">
        <f>SUM(IFERROR(VLOOKUP($C:$C,Structure!$A:$AJ,AE$1,0)*$D89,0),IFERROR(VLOOKUP($E:$E,Structure!$A:$AJ,AE$1,0)*$F89,0),IFERROR(VLOOKUP($G:$G,Structure!$A:$AJ,AE$1,0)*$H89,0))</f>
        <v>0</v>
      </c>
      <c r="AF89" s="9">
        <f>SUM(IFERROR(VLOOKUP($C:$C,Structure!$A:$AJ,AF$1,0)*$D89,0),IFERROR(VLOOKUP($E:$E,Structure!$A:$AJ,AF$1,0)*$F89,0),IFERROR(VLOOKUP($G:$G,Structure!$A:$AJ,AF$1,0)*$H89,0))</f>
        <v>0</v>
      </c>
      <c r="AG89" s="9">
        <f>SUM(IFERROR(VLOOKUP($C:$C,Structure!$A:$AJ,AG$1,0)*$D89,0),IFERROR(VLOOKUP($E:$E,Structure!$A:$AJ,AG$1,0)*$F89,0),IFERROR(VLOOKUP($G:$G,Structure!$A:$AJ,AG$1,0)*$H89,0))</f>
        <v>0</v>
      </c>
      <c r="AH89" s="9">
        <f>SUM(IFERROR(VLOOKUP($C:$C,Structure!$A:$AJ,AH$1,0)*$D89,0),IFERROR(VLOOKUP($E:$E,Structure!$A:$AJ,AH$1,0)*$F89,0),IFERROR(VLOOKUP($G:$G,Structure!$A:$AJ,AH$1,0)*$H89,0))</f>
        <v>0</v>
      </c>
      <c r="AI89" s="9">
        <f>SUM(IFERROR(VLOOKUP($C:$C,Structure!$A:$AJ,AI$1,0)*$D89,0),IFERROR(VLOOKUP($E:$E,Structure!$A:$AJ,AI$1,0)*$F89,0),IFERROR(VLOOKUP($G:$G,Structure!$A:$AJ,AI$1,0)*$H89,0))</f>
        <v>0</v>
      </c>
      <c r="AJ89" s="9">
        <f>SUM(IFERROR(VLOOKUP($C:$C,Structure!$A:$AJ,AJ$1,0)*$D89,0),IFERROR(VLOOKUP($E:$E,Structure!$A:$AJ,AJ$1,0)*$F89,0),IFERROR(VLOOKUP($G:$G,Structure!$A:$AJ,AJ$1,0)*$H89,0))</f>
        <v>0</v>
      </c>
      <c r="AK89" s="9">
        <f>SUM(IFERROR(VLOOKUP($C:$C,Structure!$A:$AJ,AK$1,0)*$D89,0),IFERROR(VLOOKUP($E:$E,Structure!$A:$AJ,AK$1,0)*$F89,0),IFERROR(VLOOKUP($G:$G,Structure!$A:$AJ,AK$1,0)*$H89,0))</f>
        <v>0</v>
      </c>
      <c r="AL89" s="9">
        <f>SUM(IFERROR(VLOOKUP($C:$C,Structure!$A:$AJ,AL$1,0)*$D89,0),IFERROR(VLOOKUP($E:$E,Structure!$A:$AJ,AL$1,0)*$F89,0),IFERROR(VLOOKUP($G:$G,Structure!$A:$AJ,AL$1,0)*$H89,0))</f>
        <v>0</v>
      </c>
      <c r="AM89" s="9">
        <f>SUM(IFERROR(VLOOKUP($C:$C,Structure!$A:$AJ,AM$1,0)*$D89,0),IFERROR(VLOOKUP($E:$E,Structure!$A:$AJ,AM$1,0)*$F89,0),IFERROR(VLOOKUP($G:$G,Structure!$A:$AJ,AM$1,0)*$H89,0))</f>
        <v>0</v>
      </c>
      <c r="AN89" s="9">
        <f>SUM(IFERROR(VLOOKUP($C:$C,Structure!$A:$AJ,AN$1,0)*$D89,0),IFERROR(VLOOKUP($E:$E,Structure!$A:$AJ,AN$1,0)*$F89,0),IFERROR(VLOOKUP($G:$G,Structure!$A:$AJ,AN$1,0)*$H89,0))</f>
        <v>0</v>
      </c>
      <c r="AO89" s="9">
        <f>SUM(IFERROR(VLOOKUP($C:$C,Structure!$A:$AJ,AO$1,0)*$D89,0),IFERROR(VLOOKUP($E:$E,Structure!$A:$AJ,AO$1,0)*$F89,0),IFERROR(VLOOKUP($G:$G,Structure!$A:$AJ,AO$1,0)*$H89,0))</f>
        <v>0</v>
      </c>
      <c r="AP89" s="9">
        <f>SUM(IFERROR(VLOOKUP($C:$C,Structure!$A:$AJ,AP$1,0)*$D89,0),IFERROR(VLOOKUP($E:$E,Structure!$A:$AJ,AP$1,0)*$F89,0),IFERROR(VLOOKUP($G:$G,Structure!$A:$AJ,AP$1,0)*$H89,0))</f>
        <v>0</v>
      </c>
      <c r="AQ89" s="9">
        <f>SUM(IFERROR(VLOOKUP($C:$C,Structure!$A:$AJ,AQ$1,0)*$D89,0),IFERROR(VLOOKUP($E:$E,Structure!$A:$AJ,AQ$1,0)*$F89,0),IFERROR(VLOOKUP($G:$G,Structure!$A:$AJ,AQ$1,0)*$H89,0))</f>
        <v>0</v>
      </c>
      <c r="AR89" s="21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4">
        <f t="shared" si="92"/>
        <v>0</v>
      </c>
      <c r="CE89" s="4">
        <f t="shared" si="93"/>
        <v>-36</v>
      </c>
      <c r="CF89" s="4">
        <f t="shared" si="94"/>
        <v>4</v>
      </c>
      <c r="CG89" s="4">
        <f t="shared" si="95"/>
        <v>33</v>
      </c>
      <c r="CH89" s="4">
        <f t="shared" si="96"/>
        <v>1</v>
      </c>
      <c r="CI89" s="4">
        <f t="shared" si="97"/>
        <v>151</v>
      </c>
      <c r="CJ89" s="4">
        <f t="shared" si="98"/>
        <v>-58</v>
      </c>
      <c r="CK89" s="4">
        <f t="shared" si="99"/>
        <v>143</v>
      </c>
      <c r="CL89" s="4">
        <f t="shared" si="100"/>
        <v>0</v>
      </c>
      <c r="CM89" s="4">
        <f t="shared" si="101"/>
        <v>14</v>
      </c>
      <c r="CN89" s="4">
        <f t="shared" si="102"/>
        <v>-20</v>
      </c>
      <c r="CO89" s="4">
        <f t="shared" si="103"/>
        <v>0</v>
      </c>
      <c r="CP89" s="4">
        <f t="shared" si="104"/>
        <v>103</v>
      </c>
      <c r="CQ89" s="4">
        <f t="shared" si="105"/>
        <v>-153</v>
      </c>
      <c r="CR89" s="4">
        <f t="shared" si="106"/>
        <v>34</v>
      </c>
      <c r="CS89" s="4">
        <f t="shared" si="107"/>
        <v>0</v>
      </c>
      <c r="CT89" s="4">
        <f t="shared" si="108"/>
        <v>0</v>
      </c>
      <c r="CU89" s="4">
        <f t="shared" si="109"/>
        <v>0</v>
      </c>
      <c r="CV89" s="4">
        <f t="shared" si="110"/>
        <v>0</v>
      </c>
      <c r="CW89" s="4">
        <f t="shared" si="111"/>
        <v>0</v>
      </c>
      <c r="CX89" s="4">
        <f t="shared" si="112"/>
        <v>-110</v>
      </c>
      <c r="CY89" s="4">
        <f t="shared" si="113"/>
        <v>0</v>
      </c>
      <c r="CZ89" s="4">
        <f t="shared" si="114"/>
        <v>0</v>
      </c>
      <c r="DA89" s="4">
        <f t="shared" si="115"/>
        <v>0</v>
      </c>
      <c r="DB89" s="4">
        <f t="shared" si="116"/>
        <v>0</v>
      </c>
      <c r="DC89" s="4">
        <f t="shared" si="117"/>
        <v>0</v>
      </c>
      <c r="DD89" s="4">
        <f t="shared" si="118"/>
        <v>0</v>
      </c>
      <c r="DE89" s="4">
        <f t="shared" si="119"/>
        <v>0</v>
      </c>
      <c r="DF89" s="4">
        <f t="shared" si="120"/>
        <v>0</v>
      </c>
      <c r="DG89" s="4">
        <f t="shared" si="121"/>
        <v>0</v>
      </c>
      <c r="DH89" s="4">
        <f t="shared" si="122"/>
        <v>0</v>
      </c>
      <c r="DI89" s="4">
        <f t="shared" si="123"/>
        <v>0</v>
      </c>
      <c r="DJ89" s="4">
        <f t="shared" si="124"/>
        <v>0</v>
      </c>
      <c r="DK89" s="4">
        <f t="shared" si="125"/>
        <v>0</v>
      </c>
      <c r="DL89" s="4">
        <f t="shared" si="126"/>
        <v>0</v>
      </c>
    </row>
    <row r="90" spans="1:116" x14ac:dyDescent="0.25">
      <c r="A90" s="5">
        <v>46185</v>
      </c>
      <c r="B90" s="6">
        <v>0.12500000021100277</v>
      </c>
      <c r="C90" s="3"/>
      <c r="D90" s="3"/>
      <c r="E90" s="3" t="s">
        <v>40</v>
      </c>
      <c r="F90" s="3">
        <v>8</v>
      </c>
      <c r="G90" s="3"/>
      <c r="H90" s="9"/>
      <c r="I90" s="9">
        <f>SUM(IFERROR(VLOOKUP($C:$C,Structure!$A:$AJ,I$1,0)*$D90,0),IFERROR(VLOOKUP($E:$E,Structure!$A:$AJ,I$1,0)*$F90,0),IFERROR(VLOOKUP($G:$G,Structure!$A:$AJ,I$1,0)*$H90,0))</f>
        <v>0</v>
      </c>
      <c r="J90" s="9">
        <f>SUM(IFERROR(VLOOKUP($C:$C,Structure!$A:$AJ,J$1,0)*$D90,0),IFERROR(VLOOKUP($E:$E,Structure!$A:$AJ,J$1,0)*$F90,0),IFERROR(VLOOKUP($G:$G,Structure!$A:$AJ,J$1,0)*$H90,0))</f>
        <v>8</v>
      </c>
      <c r="K90" s="9">
        <f>SUM(IFERROR(VLOOKUP($C:$C,Structure!$A:$AJ,K$1,0)*$D90,0),IFERROR(VLOOKUP($E:$E,Structure!$A:$AJ,K$1,0)*$F90,0),IFERROR(VLOOKUP($G:$G,Structure!$A:$AJ,K$1,0)*$H90,0))</f>
        <v>0</v>
      </c>
      <c r="L90" s="9">
        <f>SUM(IFERROR(VLOOKUP($C:$C,Structure!$A:$AJ,L$1,0)*$D90,0),IFERROR(VLOOKUP($E:$E,Structure!$A:$AJ,L$1,0)*$F90,0),IFERROR(VLOOKUP($G:$G,Structure!$A:$AJ,L$1,0)*$H90,0))</f>
        <v>0</v>
      </c>
      <c r="M90" s="9">
        <f>SUM(IFERROR(VLOOKUP($C:$C,Structure!$A:$AJ,M$1,0)*$D90,0),IFERROR(VLOOKUP($E:$E,Structure!$A:$AJ,M$1,0)*$F90,0),IFERROR(VLOOKUP($G:$G,Structure!$A:$AJ,M$1,0)*$H90,0))</f>
        <v>0</v>
      </c>
      <c r="N90" s="9">
        <f>SUM(IFERROR(VLOOKUP($C:$C,Structure!$A:$AJ,N$1,0)*$D90,0),IFERROR(VLOOKUP($E:$E,Structure!$A:$AJ,N$1,0)*$F90,0),IFERROR(VLOOKUP($G:$G,Structure!$A:$AJ,N$1,0)*$H90,0))</f>
        <v>0</v>
      </c>
      <c r="O90" s="9">
        <f>SUM(IFERROR(VLOOKUP($C:$C,Structure!$A:$AJ,O$1,0)*$D90,0),IFERROR(VLOOKUP($E:$E,Structure!$A:$AJ,O$1,0)*$F90,0),IFERROR(VLOOKUP($G:$G,Structure!$A:$AJ,O$1,0)*$H90,0))</f>
        <v>0</v>
      </c>
      <c r="P90" s="9">
        <f>SUM(IFERROR(VLOOKUP($C:$C,Structure!$A:$AJ,P$1,0)*$D90,0),IFERROR(VLOOKUP($E:$E,Structure!$A:$AJ,P$1,0)*$F90,0),IFERROR(VLOOKUP($G:$G,Structure!$A:$AJ,P$1,0)*$H90,0))</f>
        <v>8</v>
      </c>
      <c r="Q90" s="9">
        <f>SUM(IFERROR(VLOOKUP($C:$C,Structure!$A:$AJ,Q$1,0)*$D90,0),IFERROR(VLOOKUP($E:$E,Structure!$A:$AJ,Q$1,0)*$F90,0),IFERROR(VLOOKUP($G:$G,Structure!$A:$AJ,Q$1,0)*$H90,0))</f>
        <v>0</v>
      </c>
      <c r="R90" s="9">
        <f>SUM(IFERROR(VLOOKUP($C:$C,Structure!$A:$AJ,R$1,0)*$D90,0),IFERROR(VLOOKUP($E:$E,Structure!$A:$AJ,R$1,0)*$F90,0),IFERROR(VLOOKUP($G:$G,Structure!$A:$AJ,R$1,0)*$H90,0))</f>
        <v>0</v>
      </c>
      <c r="S90" s="9">
        <f>SUM(IFERROR(VLOOKUP($C:$C,Structure!$A:$AJ,S$1,0)*$D90,0),IFERROR(VLOOKUP($E:$E,Structure!$A:$AJ,S$1,0)*$F90,0),IFERROR(VLOOKUP($G:$G,Structure!$A:$AJ,S$1,0)*$H90,0))</f>
        <v>0</v>
      </c>
      <c r="T90" s="9">
        <f>SUM(IFERROR(VLOOKUP($C:$C,Structure!$A:$AJ,T$1,0)*$D90,0),IFERROR(VLOOKUP($E:$E,Structure!$A:$AJ,T$1,0)*$F90,0),IFERROR(VLOOKUP($G:$G,Structure!$A:$AJ,T$1,0)*$H90,0))</f>
        <v>0</v>
      </c>
      <c r="U90" s="9">
        <f>SUM(IFERROR(VLOOKUP($C:$C,Structure!$A:$AJ,U$1,0)*$D90,0),IFERROR(VLOOKUP($E:$E,Structure!$A:$AJ,U$1,0)*$F90,0),IFERROR(VLOOKUP($G:$G,Structure!$A:$AJ,U$1,0)*$H90,0))</f>
        <v>0</v>
      </c>
      <c r="V90" s="9">
        <f>SUM(IFERROR(VLOOKUP($C:$C,Structure!$A:$AJ,V$1,0)*$D90,0),IFERROR(VLOOKUP($E:$E,Structure!$A:$AJ,V$1,0)*$F90,0),IFERROR(VLOOKUP($G:$G,Structure!$A:$AJ,V$1,0)*$H90,0))</f>
        <v>0</v>
      </c>
      <c r="W90" s="9">
        <f>SUM(IFERROR(VLOOKUP($C:$C,Structure!$A:$AJ,W$1,0)*$D90,0),IFERROR(VLOOKUP($E:$E,Structure!$A:$AJ,W$1,0)*$F90,0),IFERROR(VLOOKUP($G:$G,Structure!$A:$AJ,W$1,0)*$H90,0))</f>
        <v>0</v>
      </c>
      <c r="X90" s="9">
        <f>SUM(IFERROR(VLOOKUP($C:$C,Structure!$A:$AJ,X$1,0)*$D90,0),IFERROR(VLOOKUP($E:$E,Structure!$A:$AJ,X$1,0)*$F90,0),IFERROR(VLOOKUP($G:$G,Structure!$A:$AJ,X$1,0)*$H90,0))</f>
        <v>0</v>
      </c>
      <c r="Y90" s="9">
        <f>SUM(IFERROR(VLOOKUP($C:$C,Structure!$A:$AJ,Y$1,0)*$D90,0),IFERROR(VLOOKUP($E:$E,Structure!$A:$AJ,Y$1,0)*$F90,0),IFERROR(VLOOKUP($G:$G,Structure!$A:$AJ,Y$1,0)*$H90,0))</f>
        <v>0</v>
      </c>
      <c r="Z90" s="9">
        <f>SUM(IFERROR(VLOOKUP($C:$C,Structure!$A:$AJ,Z$1,0)*$D90,0),IFERROR(VLOOKUP($E:$E,Structure!$A:$AJ,Z$1,0)*$F90,0),IFERROR(VLOOKUP($G:$G,Structure!$A:$AJ,Z$1,0)*$H90,0))</f>
        <v>0</v>
      </c>
      <c r="AA90" s="9">
        <f>SUM(IFERROR(VLOOKUP($C:$C,Structure!$A:$AJ,AA$1,0)*$D90,0),IFERROR(VLOOKUP($E:$E,Structure!$A:$AJ,AA$1,0)*$F90,0),IFERROR(VLOOKUP($G:$G,Structure!$A:$AJ,AA$1,0)*$H90,0))</f>
        <v>0</v>
      </c>
      <c r="AB90" s="9">
        <f>SUM(IFERROR(VLOOKUP($C:$C,Structure!$A:$AJ,AB$1,0)*$D90,0),IFERROR(VLOOKUP($E:$E,Structure!$A:$AJ,AB$1,0)*$F90,0),IFERROR(VLOOKUP($G:$G,Structure!$A:$AJ,AB$1,0)*$H90,0))</f>
        <v>0</v>
      </c>
      <c r="AC90" s="9">
        <f>SUM(IFERROR(VLOOKUP($C:$C,Structure!$A:$AJ,AC$1,0)*$D90,0),IFERROR(VLOOKUP($E:$E,Structure!$A:$AJ,AC$1,0)*$F90,0),IFERROR(VLOOKUP($G:$G,Structure!$A:$AJ,AC$1,0)*$H90,0))</f>
        <v>0</v>
      </c>
      <c r="AD90" s="9">
        <f>SUM(IFERROR(VLOOKUP($C:$C,Structure!$A:$AJ,AD$1,0)*$D90,0),IFERROR(VLOOKUP($E:$E,Structure!$A:$AJ,AD$1,0)*$F90,0),IFERROR(VLOOKUP($G:$G,Structure!$A:$AJ,AD$1,0)*$H90,0))</f>
        <v>0</v>
      </c>
      <c r="AE90" s="9">
        <f>SUM(IFERROR(VLOOKUP($C:$C,Structure!$A:$AJ,AE$1,0)*$D90,0),IFERROR(VLOOKUP($E:$E,Structure!$A:$AJ,AE$1,0)*$F90,0),IFERROR(VLOOKUP($G:$G,Structure!$A:$AJ,AE$1,0)*$H90,0))</f>
        <v>0</v>
      </c>
      <c r="AF90" s="9">
        <f>SUM(IFERROR(VLOOKUP($C:$C,Structure!$A:$AJ,AF$1,0)*$D90,0),IFERROR(VLOOKUP($E:$E,Structure!$A:$AJ,AF$1,0)*$F90,0),IFERROR(VLOOKUP($G:$G,Structure!$A:$AJ,AF$1,0)*$H90,0))</f>
        <v>0</v>
      </c>
      <c r="AG90" s="9">
        <f>SUM(IFERROR(VLOOKUP($C:$C,Structure!$A:$AJ,AG$1,0)*$D90,0),IFERROR(VLOOKUP($E:$E,Structure!$A:$AJ,AG$1,0)*$F90,0),IFERROR(VLOOKUP($G:$G,Structure!$A:$AJ,AG$1,0)*$H90,0))</f>
        <v>0</v>
      </c>
      <c r="AH90" s="9">
        <f>SUM(IFERROR(VLOOKUP($C:$C,Structure!$A:$AJ,AH$1,0)*$D90,0),IFERROR(VLOOKUP($E:$E,Structure!$A:$AJ,AH$1,0)*$F90,0),IFERROR(VLOOKUP($G:$G,Structure!$A:$AJ,AH$1,0)*$H90,0))</f>
        <v>0</v>
      </c>
      <c r="AI90" s="9">
        <f>SUM(IFERROR(VLOOKUP($C:$C,Structure!$A:$AJ,AI$1,0)*$D90,0),IFERROR(VLOOKUP($E:$E,Structure!$A:$AJ,AI$1,0)*$F90,0),IFERROR(VLOOKUP($G:$G,Structure!$A:$AJ,AI$1,0)*$H90,0))</f>
        <v>0</v>
      </c>
      <c r="AJ90" s="9">
        <f>SUM(IFERROR(VLOOKUP($C:$C,Structure!$A:$AJ,AJ$1,0)*$D90,0),IFERROR(VLOOKUP($E:$E,Structure!$A:$AJ,AJ$1,0)*$F90,0),IFERROR(VLOOKUP($G:$G,Structure!$A:$AJ,AJ$1,0)*$H90,0))</f>
        <v>0</v>
      </c>
      <c r="AK90" s="9">
        <f>SUM(IFERROR(VLOOKUP($C:$C,Structure!$A:$AJ,AK$1,0)*$D90,0),IFERROR(VLOOKUP($E:$E,Structure!$A:$AJ,AK$1,0)*$F90,0),IFERROR(VLOOKUP($G:$G,Structure!$A:$AJ,AK$1,0)*$H90,0))</f>
        <v>0</v>
      </c>
      <c r="AL90" s="9">
        <f>SUM(IFERROR(VLOOKUP($C:$C,Structure!$A:$AJ,AL$1,0)*$D90,0),IFERROR(VLOOKUP($E:$E,Structure!$A:$AJ,AL$1,0)*$F90,0),IFERROR(VLOOKUP($G:$G,Structure!$A:$AJ,AL$1,0)*$H90,0))</f>
        <v>0</v>
      </c>
      <c r="AM90" s="9">
        <f>SUM(IFERROR(VLOOKUP($C:$C,Structure!$A:$AJ,AM$1,0)*$D90,0),IFERROR(VLOOKUP($E:$E,Structure!$A:$AJ,AM$1,0)*$F90,0),IFERROR(VLOOKUP($G:$G,Structure!$A:$AJ,AM$1,0)*$H90,0))</f>
        <v>0</v>
      </c>
      <c r="AN90" s="9">
        <f>SUM(IFERROR(VLOOKUP($C:$C,Structure!$A:$AJ,AN$1,0)*$D90,0),IFERROR(VLOOKUP($E:$E,Structure!$A:$AJ,AN$1,0)*$F90,0),IFERROR(VLOOKUP($G:$G,Structure!$A:$AJ,AN$1,0)*$H90,0))</f>
        <v>0</v>
      </c>
      <c r="AO90" s="9">
        <f>SUM(IFERROR(VLOOKUP($C:$C,Structure!$A:$AJ,AO$1,0)*$D90,0),IFERROR(VLOOKUP($E:$E,Structure!$A:$AJ,AO$1,0)*$F90,0),IFERROR(VLOOKUP($G:$G,Structure!$A:$AJ,AO$1,0)*$H90,0))</f>
        <v>0</v>
      </c>
      <c r="AP90" s="9">
        <f>SUM(IFERROR(VLOOKUP($C:$C,Structure!$A:$AJ,AP$1,0)*$D90,0),IFERROR(VLOOKUP($E:$E,Structure!$A:$AJ,AP$1,0)*$F90,0),IFERROR(VLOOKUP($G:$G,Structure!$A:$AJ,AP$1,0)*$H90,0))</f>
        <v>0</v>
      </c>
      <c r="AQ90" s="9">
        <f>SUM(IFERROR(VLOOKUP($C:$C,Structure!$A:$AJ,AQ$1,0)*$D90,0),IFERROR(VLOOKUP($E:$E,Structure!$A:$AJ,AQ$1,0)*$F90,0),IFERROR(VLOOKUP($G:$G,Structure!$A:$AJ,AQ$1,0)*$H90,0))</f>
        <v>0</v>
      </c>
      <c r="AR90" s="21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4">
        <f t="shared" si="92"/>
        <v>0</v>
      </c>
      <c r="CE90" s="4">
        <f t="shared" si="93"/>
        <v>-44</v>
      </c>
      <c r="CF90" s="4">
        <f t="shared" si="94"/>
        <v>4</v>
      </c>
      <c r="CG90" s="4">
        <f t="shared" si="95"/>
        <v>33</v>
      </c>
      <c r="CH90" s="4">
        <f t="shared" si="96"/>
        <v>1</v>
      </c>
      <c r="CI90" s="4">
        <f t="shared" si="97"/>
        <v>151</v>
      </c>
      <c r="CJ90" s="4">
        <f t="shared" si="98"/>
        <v>-58</v>
      </c>
      <c r="CK90" s="4">
        <f t="shared" si="99"/>
        <v>135</v>
      </c>
      <c r="CL90" s="4">
        <f t="shared" si="100"/>
        <v>0</v>
      </c>
      <c r="CM90" s="4">
        <f t="shared" si="101"/>
        <v>14</v>
      </c>
      <c r="CN90" s="4">
        <f t="shared" si="102"/>
        <v>-20</v>
      </c>
      <c r="CO90" s="4">
        <f t="shared" si="103"/>
        <v>0</v>
      </c>
      <c r="CP90" s="4">
        <f t="shared" si="104"/>
        <v>103</v>
      </c>
      <c r="CQ90" s="4">
        <f t="shared" si="105"/>
        <v>-153</v>
      </c>
      <c r="CR90" s="4">
        <f t="shared" si="106"/>
        <v>34</v>
      </c>
      <c r="CS90" s="4">
        <f t="shared" si="107"/>
        <v>0</v>
      </c>
      <c r="CT90" s="4">
        <f t="shared" si="108"/>
        <v>0</v>
      </c>
      <c r="CU90" s="4">
        <f t="shared" si="109"/>
        <v>0</v>
      </c>
      <c r="CV90" s="4">
        <f t="shared" si="110"/>
        <v>0</v>
      </c>
      <c r="CW90" s="4">
        <f t="shared" si="111"/>
        <v>0</v>
      </c>
      <c r="CX90" s="4">
        <f t="shared" si="112"/>
        <v>-110</v>
      </c>
      <c r="CY90" s="4">
        <f t="shared" si="113"/>
        <v>0</v>
      </c>
      <c r="CZ90" s="4">
        <f t="shared" si="114"/>
        <v>0</v>
      </c>
      <c r="DA90" s="4">
        <f t="shared" si="115"/>
        <v>0</v>
      </c>
      <c r="DB90" s="4">
        <f t="shared" si="116"/>
        <v>0</v>
      </c>
      <c r="DC90" s="4">
        <f t="shared" si="117"/>
        <v>0</v>
      </c>
      <c r="DD90" s="4">
        <f t="shared" si="118"/>
        <v>0</v>
      </c>
      <c r="DE90" s="4">
        <f t="shared" si="119"/>
        <v>0</v>
      </c>
      <c r="DF90" s="4">
        <f t="shared" si="120"/>
        <v>0</v>
      </c>
      <c r="DG90" s="4">
        <f t="shared" si="121"/>
        <v>0</v>
      </c>
      <c r="DH90" s="4">
        <f t="shared" si="122"/>
        <v>0</v>
      </c>
      <c r="DI90" s="4">
        <f t="shared" si="123"/>
        <v>0</v>
      </c>
      <c r="DJ90" s="4">
        <f t="shared" si="124"/>
        <v>0</v>
      </c>
      <c r="DK90" s="4">
        <f t="shared" si="125"/>
        <v>0</v>
      </c>
      <c r="DL90" s="4">
        <f t="shared" si="126"/>
        <v>0</v>
      </c>
    </row>
    <row r="91" spans="1:116" x14ac:dyDescent="0.25">
      <c r="A91" s="5">
        <v>46185</v>
      </c>
      <c r="B91" s="6">
        <v>0.14583333354676142</v>
      </c>
      <c r="C91" s="3"/>
      <c r="D91" s="3"/>
      <c r="E91" s="3" t="s">
        <v>40</v>
      </c>
      <c r="F91" s="3">
        <v>8</v>
      </c>
      <c r="G91" s="3"/>
      <c r="H91" s="9"/>
      <c r="I91" s="9">
        <f>SUM(IFERROR(VLOOKUP($C:$C,Structure!$A:$AJ,I$1,0)*$D91,0),IFERROR(VLOOKUP($E:$E,Structure!$A:$AJ,I$1,0)*$F91,0),IFERROR(VLOOKUP($G:$G,Structure!$A:$AJ,I$1,0)*$H91,0))</f>
        <v>0</v>
      </c>
      <c r="J91" s="9">
        <f>SUM(IFERROR(VLOOKUP($C:$C,Structure!$A:$AJ,J$1,0)*$D91,0),IFERROR(VLOOKUP($E:$E,Structure!$A:$AJ,J$1,0)*$F91,0),IFERROR(VLOOKUP($G:$G,Structure!$A:$AJ,J$1,0)*$H91,0))</f>
        <v>8</v>
      </c>
      <c r="K91" s="9">
        <f>SUM(IFERROR(VLOOKUP($C:$C,Structure!$A:$AJ,K$1,0)*$D91,0),IFERROR(VLOOKUP($E:$E,Structure!$A:$AJ,K$1,0)*$F91,0),IFERROR(VLOOKUP($G:$G,Structure!$A:$AJ,K$1,0)*$H91,0))</f>
        <v>0</v>
      </c>
      <c r="L91" s="9">
        <f>SUM(IFERROR(VLOOKUP($C:$C,Structure!$A:$AJ,L$1,0)*$D91,0),IFERROR(VLOOKUP($E:$E,Structure!$A:$AJ,L$1,0)*$F91,0),IFERROR(VLOOKUP($G:$G,Structure!$A:$AJ,L$1,0)*$H91,0))</f>
        <v>0</v>
      </c>
      <c r="M91" s="9">
        <f>SUM(IFERROR(VLOOKUP($C:$C,Structure!$A:$AJ,M$1,0)*$D91,0),IFERROR(VLOOKUP($E:$E,Structure!$A:$AJ,M$1,0)*$F91,0),IFERROR(VLOOKUP($G:$G,Structure!$A:$AJ,M$1,0)*$H91,0))</f>
        <v>0</v>
      </c>
      <c r="N91" s="9">
        <f>SUM(IFERROR(VLOOKUP($C:$C,Structure!$A:$AJ,N$1,0)*$D91,0),IFERROR(VLOOKUP($E:$E,Structure!$A:$AJ,N$1,0)*$F91,0),IFERROR(VLOOKUP($G:$G,Structure!$A:$AJ,N$1,0)*$H91,0))</f>
        <v>0</v>
      </c>
      <c r="O91" s="9">
        <f>SUM(IFERROR(VLOOKUP($C:$C,Structure!$A:$AJ,O$1,0)*$D91,0),IFERROR(VLOOKUP($E:$E,Structure!$A:$AJ,O$1,0)*$F91,0),IFERROR(VLOOKUP($G:$G,Structure!$A:$AJ,O$1,0)*$H91,0))</f>
        <v>0</v>
      </c>
      <c r="P91" s="9">
        <f>SUM(IFERROR(VLOOKUP($C:$C,Structure!$A:$AJ,P$1,0)*$D91,0),IFERROR(VLOOKUP($E:$E,Structure!$A:$AJ,P$1,0)*$F91,0),IFERROR(VLOOKUP($G:$G,Structure!$A:$AJ,P$1,0)*$H91,0))</f>
        <v>8</v>
      </c>
      <c r="Q91" s="9">
        <f>SUM(IFERROR(VLOOKUP($C:$C,Structure!$A:$AJ,Q$1,0)*$D91,0),IFERROR(VLOOKUP($E:$E,Structure!$A:$AJ,Q$1,0)*$F91,0),IFERROR(VLOOKUP($G:$G,Structure!$A:$AJ,Q$1,0)*$H91,0))</f>
        <v>0</v>
      </c>
      <c r="R91" s="9">
        <f>SUM(IFERROR(VLOOKUP($C:$C,Structure!$A:$AJ,R$1,0)*$D91,0),IFERROR(VLOOKUP($E:$E,Structure!$A:$AJ,R$1,0)*$F91,0),IFERROR(VLOOKUP($G:$G,Structure!$A:$AJ,R$1,0)*$H91,0))</f>
        <v>0</v>
      </c>
      <c r="S91" s="9">
        <f>SUM(IFERROR(VLOOKUP($C:$C,Structure!$A:$AJ,S$1,0)*$D91,0),IFERROR(VLOOKUP($E:$E,Structure!$A:$AJ,S$1,0)*$F91,0),IFERROR(VLOOKUP($G:$G,Structure!$A:$AJ,S$1,0)*$H91,0))</f>
        <v>0</v>
      </c>
      <c r="T91" s="9">
        <f>SUM(IFERROR(VLOOKUP($C:$C,Structure!$A:$AJ,T$1,0)*$D91,0),IFERROR(VLOOKUP($E:$E,Structure!$A:$AJ,T$1,0)*$F91,0),IFERROR(VLOOKUP($G:$G,Structure!$A:$AJ,T$1,0)*$H91,0))</f>
        <v>0</v>
      </c>
      <c r="U91" s="9">
        <f>SUM(IFERROR(VLOOKUP($C:$C,Structure!$A:$AJ,U$1,0)*$D91,0),IFERROR(VLOOKUP($E:$E,Structure!$A:$AJ,U$1,0)*$F91,0),IFERROR(VLOOKUP($G:$G,Structure!$A:$AJ,U$1,0)*$H91,0))</f>
        <v>0</v>
      </c>
      <c r="V91" s="9">
        <f>SUM(IFERROR(VLOOKUP($C:$C,Structure!$A:$AJ,V$1,0)*$D91,0),IFERROR(VLOOKUP($E:$E,Structure!$A:$AJ,V$1,0)*$F91,0),IFERROR(VLOOKUP($G:$G,Structure!$A:$AJ,V$1,0)*$H91,0))</f>
        <v>0</v>
      </c>
      <c r="W91" s="9">
        <f>SUM(IFERROR(VLOOKUP($C:$C,Structure!$A:$AJ,W$1,0)*$D91,0),IFERROR(VLOOKUP($E:$E,Structure!$A:$AJ,W$1,0)*$F91,0),IFERROR(VLOOKUP($G:$G,Structure!$A:$AJ,W$1,0)*$H91,0))</f>
        <v>0</v>
      </c>
      <c r="X91" s="9">
        <f>SUM(IFERROR(VLOOKUP($C:$C,Structure!$A:$AJ,X$1,0)*$D91,0),IFERROR(VLOOKUP($E:$E,Structure!$A:$AJ,X$1,0)*$F91,0),IFERROR(VLOOKUP($G:$G,Structure!$A:$AJ,X$1,0)*$H91,0))</f>
        <v>0</v>
      </c>
      <c r="Y91" s="9">
        <f>SUM(IFERROR(VLOOKUP($C:$C,Structure!$A:$AJ,Y$1,0)*$D91,0),IFERROR(VLOOKUP($E:$E,Structure!$A:$AJ,Y$1,0)*$F91,0),IFERROR(VLOOKUP($G:$G,Structure!$A:$AJ,Y$1,0)*$H91,0))</f>
        <v>0</v>
      </c>
      <c r="Z91" s="9">
        <f>SUM(IFERROR(VLOOKUP($C:$C,Structure!$A:$AJ,Z$1,0)*$D91,0),IFERROR(VLOOKUP($E:$E,Structure!$A:$AJ,Z$1,0)*$F91,0),IFERROR(VLOOKUP($G:$G,Structure!$A:$AJ,Z$1,0)*$H91,0))</f>
        <v>0</v>
      </c>
      <c r="AA91" s="9">
        <f>SUM(IFERROR(VLOOKUP($C:$C,Structure!$A:$AJ,AA$1,0)*$D91,0),IFERROR(VLOOKUP($E:$E,Structure!$A:$AJ,AA$1,0)*$F91,0),IFERROR(VLOOKUP($G:$G,Structure!$A:$AJ,AA$1,0)*$H91,0))</f>
        <v>0</v>
      </c>
      <c r="AB91" s="9">
        <f>SUM(IFERROR(VLOOKUP($C:$C,Structure!$A:$AJ,AB$1,0)*$D91,0),IFERROR(VLOOKUP($E:$E,Structure!$A:$AJ,AB$1,0)*$F91,0),IFERROR(VLOOKUP($G:$G,Structure!$A:$AJ,AB$1,0)*$H91,0))</f>
        <v>0</v>
      </c>
      <c r="AC91" s="9">
        <f>SUM(IFERROR(VLOOKUP($C:$C,Structure!$A:$AJ,AC$1,0)*$D91,0),IFERROR(VLOOKUP($E:$E,Structure!$A:$AJ,AC$1,0)*$F91,0),IFERROR(VLOOKUP($G:$G,Structure!$A:$AJ,AC$1,0)*$H91,0))</f>
        <v>0</v>
      </c>
      <c r="AD91" s="9">
        <f>SUM(IFERROR(VLOOKUP($C:$C,Structure!$A:$AJ,AD$1,0)*$D91,0),IFERROR(VLOOKUP($E:$E,Structure!$A:$AJ,AD$1,0)*$F91,0),IFERROR(VLOOKUP($G:$G,Structure!$A:$AJ,AD$1,0)*$H91,0))</f>
        <v>0</v>
      </c>
      <c r="AE91" s="9">
        <f>SUM(IFERROR(VLOOKUP($C:$C,Structure!$A:$AJ,AE$1,0)*$D91,0),IFERROR(VLOOKUP($E:$E,Structure!$A:$AJ,AE$1,0)*$F91,0),IFERROR(VLOOKUP($G:$G,Structure!$A:$AJ,AE$1,0)*$H91,0))</f>
        <v>0</v>
      </c>
      <c r="AF91" s="9">
        <f>SUM(IFERROR(VLOOKUP($C:$C,Structure!$A:$AJ,AF$1,0)*$D91,0),IFERROR(VLOOKUP($E:$E,Structure!$A:$AJ,AF$1,0)*$F91,0),IFERROR(VLOOKUP($G:$G,Structure!$A:$AJ,AF$1,0)*$H91,0))</f>
        <v>0</v>
      </c>
      <c r="AG91" s="9">
        <f>SUM(IFERROR(VLOOKUP($C:$C,Structure!$A:$AJ,AG$1,0)*$D91,0),IFERROR(VLOOKUP($E:$E,Structure!$A:$AJ,AG$1,0)*$F91,0),IFERROR(VLOOKUP($G:$G,Structure!$A:$AJ,AG$1,0)*$H91,0))</f>
        <v>0</v>
      </c>
      <c r="AH91" s="9">
        <f>SUM(IFERROR(VLOOKUP($C:$C,Structure!$A:$AJ,AH$1,0)*$D91,0),IFERROR(VLOOKUP($E:$E,Structure!$A:$AJ,AH$1,0)*$F91,0),IFERROR(VLOOKUP($G:$G,Structure!$A:$AJ,AH$1,0)*$H91,0))</f>
        <v>0</v>
      </c>
      <c r="AI91" s="9">
        <f>SUM(IFERROR(VLOOKUP($C:$C,Structure!$A:$AJ,AI$1,0)*$D91,0),IFERROR(VLOOKUP($E:$E,Structure!$A:$AJ,AI$1,0)*$F91,0),IFERROR(VLOOKUP($G:$G,Structure!$A:$AJ,AI$1,0)*$H91,0))</f>
        <v>0</v>
      </c>
      <c r="AJ91" s="9">
        <f>SUM(IFERROR(VLOOKUP($C:$C,Structure!$A:$AJ,AJ$1,0)*$D91,0),IFERROR(VLOOKUP($E:$E,Structure!$A:$AJ,AJ$1,0)*$F91,0),IFERROR(VLOOKUP($G:$G,Structure!$A:$AJ,AJ$1,0)*$H91,0))</f>
        <v>0</v>
      </c>
      <c r="AK91" s="9">
        <f>SUM(IFERROR(VLOOKUP($C:$C,Structure!$A:$AJ,AK$1,0)*$D91,0),IFERROR(VLOOKUP($E:$E,Structure!$A:$AJ,AK$1,0)*$F91,0),IFERROR(VLOOKUP($G:$G,Structure!$A:$AJ,AK$1,0)*$H91,0))</f>
        <v>0</v>
      </c>
      <c r="AL91" s="9">
        <f>SUM(IFERROR(VLOOKUP($C:$C,Structure!$A:$AJ,AL$1,0)*$D91,0),IFERROR(VLOOKUP($E:$E,Structure!$A:$AJ,AL$1,0)*$F91,0),IFERROR(VLOOKUP($G:$G,Structure!$A:$AJ,AL$1,0)*$H91,0))</f>
        <v>0</v>
      </c>
      <c r="AM91" s="9">
        <f>SUM(IFERROR(VLOOKUP($C:$C,Structure!$A:$AJ,AM$1,0)*$D91,0),IFERROR(VLOOKUP($E:$E,Structure!$A:$AJ,AM$1,0)*$F91,0),IFERROR(VLOOKUP($G:$G,Structure!$A:$AJ,AM$1,0)*$H91,0))</f>
        <v>0</v>
      </c>
      <c r="AN91" s="9">
        <f>SUM(IFERROR(VLOOKUP($C:$C,Structure!$A:$AJ,AN$1,0)*$D91,0),IFERROR(VLOOKUP($E:$E,Structure!$A:$AJ,AN$1,0)*$F91,0),IFERROR(VLOOKUP($G:$G,Structure!$A:$AJ,AN$1,0)*$H91,0))</f>
        <v>0</v>
      </c>
      <c r="AO91" s="9">
        <f>SUM(IFERROR(VLOOKUP($C:$C,Structure!$A:$AJ,AO$1,0)*$D91,0),IFERROR(VLOOKUP($E:$E,Structure!$A:$AJ,AO$1,0)*$F91,0),IFERROR(VLOOKUP($G:$G,Structure!$A:$AJ,AO$1,0)*$H91,0))</f>
        <v>0</v>
      </c>
      <c r="AP91" s="9">
        <f>SUM(IFERROR(VLOOKUP($C:$C,Structure!$A:$AJ,AP$1,0)*$D91,0),IFERROR(VLOOKUP($E:$E,Structure!$A:$AJ,AP$1,0)*$F91,0),IFERROR(VLOOKUP($G:$G,Structure!$A:$AJ,AP$1,0)*$H91,0))</f>
        <v>0</v>
      </c>
      <c r="AQ91" s="9">
        <f>SUM(IFERROR(VLOOKUP($C:$C,Structure!$A:$AJ,AQ$1,0)*$D91,0),IFERROR(VLOOKUP($E:$E,Structure!$A:$AJ,AQ$1,0)*$F91,0),IFERROR(VLOOKUP($G:$G,Structure!$A:$AJ,AQ$1,0)*$H91,0))</f>
        <v>0</v>
      </c>
      <c r="AR91" s="21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4">
        <f t="shared" si="92"/>
        <v>0</v>
      </c>
      <c r="CE91" s="4">
        <f t="shared" si="93"/>
        <v>-52</v>
      </c>
      <c r="CF91" s="4">
        <f t="shared" si="94"/>
        <v>4</v>
      </c>
      <c r="CG91" s="4">
        <f t="shared" si="95"/>
        <v>33</v>
      </c>
      <c r="CH91" s="4">
        <f t="shared" si="96"/>
        <v>1</v>
      </c>
      <c r="CI91" s="4">
        <f t="shared" si="97"/>
        <v>151</v>
      </c>
      <c r="CJ91" s="4">
        <f t="shared" si="98"/>
        <v>-58</v>
      </c>
      <c r="CK91" s="4">
        <f t="shared" si="99"/>
        <v>127</v>
      </c>
      <c r="CL91" s="4">
        <f t="shared" si="100"/>
        <v>0</v>
      </c>
      <c r="CM91" s="4">
        <f t="shared" si="101"/>
        <v>14</v>
      </c>
      <c r="CN91" s="4">
        <f t="shared" si="102"/>
        <v>-20</v>
      </c>
      <c r="CO91" s="4">
        <f t="shared" si="103"/>
        <v>0</v>
      </c>
      <c r="CP91" s="4">
        <f t="shared" si="104"/>
        <v>103</v>
      </c>
      <c r="CQ91" s="4">
        <f t="shared" si="105"/>
        <v>-153</v>
      </c>
      <c r="CR91" s="4">
        <f t="shared" si="106"/>
        <v>34</v>
      </c>
      <c r="CS91" s="4">
        <f t="shared" si="107"/>
        <v>0</v>
      </c>
      <c r="CT91" s="4">
        <f t="shared" si="108"/>
        <v>0</v>
      </c>
      <c r="CU91" s="4">
        <f t="shared" si="109"/>
        <v>0</v>
      </c>
      <c r="CV91" s="4">
        <f t="shared" si="110"/>
        <v>0</v>
      </c>
      <c r="CW91" s="4">
        <f t="shared" si="111"/>
        <v>0</v>
      </c>
      <c r="CX91" s="4">
        <f t="shared" si="112"/>
        <v>-110</v>
      </c>
      <c r="CY91" s="4">
        <f t="shared" si="113"/>
        <v>0</v>
      </c>
      <c r="CZ91" s="4">
        <f t="shared" si="114"/>
        <v>0</v>
      </c>
      <c r="DA91" s="4">
        <f t="shared" si="115"/>
        <v>0</v>
      </c>
      <c r="DB91" s="4">
        <f t="shared" si="116"/>
        <v>0</v>
      </c>
      <c r="DC91" s="4">
        <f t="shared" si="117"/>
        <v>0</v>
      </c>
      <c r="DD91" s="4">
        <f t="shared" si="118"/>
        <v>0</v>
      </c>
      <c r="DE91" s="4">
        <f t="shared" si="119"/>
        <v>0</v>
      </c>
      <c r="DF91" s="4">
        <f t="shared" si="120"/>
        <v>0</v>
      </c>
      <c r="DG91" s="4">
        <f t="shared" si="121"/>
        <v>0</v>
      </c>
      <c r="DH91" s="4">
        <f t="shared" si="122"/>
        <v>0</v>
      </c>
      <c r="DI91" s="4">
        <f t="shared" si="123"/>
        <v>0</v>
      </c>
      <c r="DJ91" s="4">
        <f t="shared" si="124"/>
        <v>0</v>
      </c>
      <c r="DK91" s="4">
        <f t="shared" si="125"/>
        <v>0</v>
      </c>
      <c r="DL91" s="4">
        <f t="shared" si="126"/>
        <v>0</v>
      </c>
    </row>
    <row r="92" spans="1:116" x14ac:dyDescent="0.25">
      <c r="A92" s="5">
        <v>46185</v>
      </c>
      <c r="B92" s="6">
        <v>0.16666666688252008</v>
      </c>
      <c r="C92" s="3"/>
      <c r="D92" s="3"/>
      <c r="E92" s="3" t="s">
        <v>40</v>
      </c>
      <c r="F92" s="3">
        <v>8</v>
      </c>
      <c r="G92" s="3"/>
      <c r="H92" s="9"/>
      <c r="I92" s="9">
        <f>SUM(IFERROR(VLOOKUP($C:$C,Structure!$A:$AJ,I$1,0)*$D92,0),IFERROR(VLOOKUP($E:$E,Structure!$A:$AJ,I$1,0)*$F92,0),IFERROR(VLOOKUP($G:$G,Structure!$A:$AJ,I$1,0)*$H92,0))</f>
        <v>0</v>
      </c>
      <c r="J92" s="9">
        <f>SUM(IFERROR(VLOOKUP($C:$C,Structure!$A:$AJ,J$1,0)*$D92,0),IFERROR(VLOOKUP($E:$E,Structure!$A:$AJ,J$1,0)*$F92,0),IFERROR(VLOOKUP($G:$G,Structure!$A:$AJ,J$1,0)*$H92,0))</f>
        <v>8</v>
      </c>
      <c r="K92" s="9">
        <f>SUM(IFERROR(VLOOKUP($C:$C,Structure!$A:$AJ,K$1,0)*$D92,0),IFERROR(VLOOKUP($E:$E,Structure!$A:$AJ,K$1,0)*$F92,0),IFERROR(VLOOKUP($G:$G,Structure!$A:$AJ,K$1,0)*$H92,0))</f>
        <v>0</v>
      </c>
      <c r="L92" s="9">
        <f>SUM(IFERROR(VLOOKUP($C:$C,Structure!$A:$AJ,L$1,0)*$D92,0),IFERROR(VLOOKUP($E:$E,Structure!$A:$AJ,L$1,0)*$F92,0),IFERROR(VLOOKUP($G:$G,Structure!$A:$AJ,L$1,0)*$H92,0))</f>
        <v>0</v>
      </c>
      <c r="M92" s="9">
        <f>SUM(IFERROR(VLOOKUP($C:$C,Structure!$A:$AJ,M$1,0)*$D92,0),IFERROR(VLOOKUP($E:$E,Structure!$A:$AJ,M$1,0)*$F92,0),IFERROR(VLOOKUP($G:$G,Structure!$A:$AJ,M$1,0)*$H92,0))</f>
        <v>0</v>
      </c>
      <c r="N92" s="9">
        <f>SUM(IFERROR(VLOOKUP($C:$C,Structure!$A:$AJ,N$1,0)*$D92,0),IFERROR(VLOOKUP($E:$E,Structure!$A:$AJ,N$1,0)*$F92,0),IFERROR(VLOOKUP($G:$G,Structure!$A:$AJ,N$1,0)*$H92,0))</f>
        <v>0</v>
      </c>
      <c r="O92" s="9">
        <f>SUM(IFERROR(VLOOKUP($C:$C,Structure!$A:$AJ,O$1,0)*$D92,0),IFERROR(VLOOKUP($E:$E,Structure!$A:$AJ,O$1,0)*$F92,0),IFERROR(VLOOKUP($G:$G,Structure!$A:$AJ,O$1,0)*$H92,0))</f>
        <v>0</v>
      </c>
      <c r="P92" s="9">
        <f>SUM(IFERROR(VLOOKUP($C:$C,Structure!$A:$AJ,P$1,0)*$D92,0),IFERROR(VLOOKUP($E:$E,Structure!$A:$AJ,P$1,0)*$F92,0),IFERROR(VLOOKUP($G:$G,Structure!$A:$AJ,P$1,0)*$H92,0))</f>
        <v>8</v>
      </c>
      <c r="Q92" s="9">
        <f>SUM(IFERROR(VLOOKUP($C:$C,Structure!$A:$AJ,Q$1,0)*$D92,0),IFERROR(VLOOKUP($E:$E,Structure!$A:$AJ,Q$1,0)*$F92,0),IFERROR(VLOOKUP($G:$G,Structure!$A:$AJ,Q$1,0)*$H92,0))</f>
        <v>0</v>
      </c>
      <c r="R92" s="9">
        <f>SUM(IFERROR(VLOOKUP($C:$C,Structure!$A:$AJ,R$1,0)*$D92,0),IFERROR(VLOOKUP($E:$E,Structure!$A:$AJ,R$1,0)*$F92,0),IFERROR(VLOOKUP($G:$G,Structure!$A:$AJ,R$1,0)*$H92,0))</f>
        <v>0</v>
      </c>
      <c r="S92" s="9">
        <f>SUM(IFERROR(VLOOKUP($C:$C,Structure!$A:$AJ,S$1,0)*$D92,0),IFERROR(VLOOKUP($E:$E,Structure!$A:$AJ,S$1,0)*$F92,0),IFERROR(VLOOKUP($G:$G,Structure!$A:$AJ,S$1,0)*$H92,0))</f>
        <v>0</v>
      </c>
      <c r="T92" s="9">
        <f>SUM(IFERROR(VLOOKUP($C:$C,Structure!$A:$AJ,T$1,0)*$D92,0),IFERROR(VLOOKUP($E:$E,Structure!$A:$AJ,T$1,0)*$F92,0),IFERROR(VLOOKUP($G:$G,Structure!$A:$AJ,T$1,0)*$H92,0))</f>
        <v>0</v>
      </c>
      <c r="U92" s="9">
        <f>SUM(IFERROR(VLOOKUP($C:$C,Structure!$A:$AJ,U$1,0)*$D92,0),IFERROR(VLOOKUP($E:$E,Structure!$A:$AJ,U$1,0)*$F92,0),IFERROR(VLOOKUP($G:$G,Structure!$A:$AJ,U$1,0)*$H92,0))</f>
        <v>0</v>
      </c>
      <c r="V92" s="9">
        <f>SUM(IFERROR(VLOOKUP($C:$C,Structure!$A:$AJ,V$1,0)*$D92,0),IFERROR(VLOOKUP($E:$E,Structure!$A:$AJ,V$1,0)*$F92,0),IFERROR(VLOOKUP($G:$G,Structure!$A:$AJ,V$1,0)*$H92,0))</f>
        <v>0</v>
      </c>
      <c r="W92" s="9">
        <f>SUM(IFERROR(VLOOKUP($C:$C,Structure!$A:$AJ,W$1,0)*$D92,0),IFERROR(VLOOKUP($E:$E,Structure!$A:$AJ,W$1,0)*$F92,0),IFERROR(VLOOKUP($G:$G,Structure!$A:$AJ,W$1,0)*$H92,0))</f>
        <v>0</v>
      </c>
      <c r="X92" s="9">
        <f>SUM(IFERROR(VLOOKUP($C:$C,Structure!$A:$AJ,X$1,0)*$D92,0),IFERROR(VLOOKUP($E:$E,Structure!$A:$AJ,X$1,0)*$F92,0),IFERROR(VLOOKUP($G:$G,Structure!$A:$AJ,X$1,0)*$H92,0))</f>
        <v>0</v>
      </c>
      <c r="Y92" s="9">
        <f>SUM(IFERROR(VLOOKUP($C:$C,Structure!$A:$AJ,Y$1,0)*$D92,0),IFERROR(VLOOKUP($E:$E,Structure!$A:$AJ,Y$1,0)*$F92,0),IFERROR(VLOOKUP($G:$G,Structure!$A:$AJ,Y$1,0)*$H92,0))</f>
        <v>0</v>
      </c>
      <c r="Z92" s="9">
        <f>SUM(IFERROR(VLOOKUP($C:$C,Structure!$A:$AJ,Z$1,0)*$D92,0),IFERROR(VLOOKUP($E:$E,Structure!$A:$AJ,Z$1,0)*$F92,0),IFERROR(VLOOKUP($G:$G,Structure!$A:$AJ,Z$1,0)*$H92,0))</f>
        <v>0</v>
      </c>
      <c r="AA92" s="9">
        <f>SUM(IFERROR(VLOOKUP($C:$C,Structure!$A:$AJ,AA$1,0)*$D92,0),IFERROR(VLOOKUP($E:$E,Structure!$A:$AJ,AA$1,0)*$F92,0),IFERROR(VLOOKUP($G:$G,Structure!$A:$AJ,AA$1,0)*$H92,0))</f>
        <v>0</v>
      </c>
      <c r="AB92" s="9">
        <f>SUM(IFERROR(VLOOKUP($C:$C,Structure!$A:$AJ,AB$1,0)*$D92,0),IFERROR(VLOOKUP($E:$E,Structure!$A:$AJ,AB$1,0)*$F92,0),IFERROR(VLOOKUP($G:$G,Structure!$A:$AJ,AB$1,0)*$H92,0))</f>
        <v>0</v>
      </c>
      <c r="AC92" s="9">
        <f>SUM(IFERROR(VLOOKUP($C:$C,Structure!$A:$AJ,AC$1,0)*$D92,0),IFERROR(VLOOKUP($E:$E,Structure!$A:$AJ,AC$1,0)*$F92,0),IFERROR(VLOOKUP($G:$G,Structure!$A:$AJ,AC$1,0)*$H92,0))</f>
        <v>0</v>
      </c>
      <c r="AD92" s="9">
        <f>SUM(IFERROR(VLOOKUP($C:$C,Structure!$A:$AJ,AD$1,0)*$D92,0),IFERROR(VLOOKUP($E:$E,Structure!$A:$AJ,AD$1,0)*$F92,0),IFERROR(VLOOKUP($G:$G,Structure!$A:$AJ,AD$1,0)*$H92,0))</f>
        <v>0</v>
      </c>
      <c r="AE92" s="9">
        <f>SUM(IFERROR(VLOOKUP($C:$C,Structure!$A:$AJ,AE$1,0)*$D92,0),IFERROR(VLOOKUP($E:$E,Structure!$A:$AJ,AE$1,0)*$F92,0),IFERROR(VLOOKUP($G:$G,Structure!$A:$AJ,AE$1,0)*$H92,0))</f>
        <v>0</v>
      </c>
      <c r="AF92" s="9">
        <f>SUM(IFERROR(VLOOKUP($C:$C,Structure!$A:$AJ,AF$1,0)*$D92,0),IFERROR(VLOOKUP($E:$E,Structure!$A:$AJ,AF$1,0)*$F92,0),IFERROR(VLOOKUP($G:$G,Structure!$A:$AJ,AF$1,0)*$H92,0))</f>
        <v>0</v>
      </c>
      <c r="AG92" s="9">
        <f>SUM(IFERROR(VLOOKUP($C:$C,Structure!$A:$AJ,AG$1,0)*$D92,0),IFERROR(VLOOKUP($E:$E,Structure!$A:$AJ,AG$1,0)*$F92,0),IFERROR(VLOOKUP($G:$G,Structure!$A:$AJ,AG$1,0)*$H92,0))</f>
        <v>0</v>
      </c>
      <c r="AH92" s="9">
        <f>SUM(IFERROR(VLOOKUP($C:$C,Structure!$A:$AJ,AH$1,0)*$D92,0),IFERROR(VLOOKUP($E:$E,Structure!$A:$AJ,AH$1,0)*$F92,0),IFERROR(VLOOKUP($G:$G,Structure!$A:$AJ,AH$1,0)*$H92,0))</f>
        <v>0</v>
      </c>
      <c r="AI92" s="9">
        <f>SUM(IFERROR(VLOOKUP($C:$C,Structure!$A:$AJ,AI$1,0)*$D92,0),IFERROR(VLOOKUP($E:$E,Structure!$A:$AJ,AI$1,0)*$F92,0),IFERROR(VLOOKUP($G:$G,Structure!$A:$AJ,AI$1,0)*$H92,0))</f>
        <v>0</v>
      </c>
      <c r="AJ92" s="9">
        <f>SUM(IFERROR(VLOOKUP($C:$C,Structure!$A:$AJ,AJ$1,0)*$D92,0),IFERROR(VLOOKUP($E:$E,Structure!$A:$AJ,AJ$1,0)*$F92,0),IFERROR(VLOOKUP($G:$G,Structure!$A:$AJ,AJ$1,0)*$H92,0))</f>
        <v>0</v>
      </c>
      <c r="AK92" s="9">
        <f>SUM(IFERROR(VLOOKUP($C:$C,Structure!$A:$AJ,AK$1,0)*$D92,0),IFERROR(VLOOKUP($E:$E,Structure!$A:$AJ,AK$1,0)*$F92,0),IFERROR(VLOOKUP($G:$G,Structure!$A:$AJ,AK$1,0)*$H92,0))</f>
        <v>0</v>
      </c>
      <c r="AL92" s="9">
        <f>SUM(IFERROR(VLOOKUP($C:$C,Structure!$A:$AJ,AL$1,0)*$D92,0),IFERROR(VLOOKUP($E:$E,Structure!$A:$AJ,AL$1,0)*$F92,0),IFERROR(VLOOKUP($G:$G,Structure!$A:$AJ,AL$1,0)*$H92,0))</f>
        <v>0</v>
      </c>
      <c r="AM92" s="9">
        <f>SUM(IFERROR(VLOOKUP($C:$C,Structure!$A:$AJ,AM$1,0)*$D92,0),IFERROR(VLOOKUP($E:$E,Structure!$A:$AJ,AM$1,0)*$F92,0),IFERROR(VLOOKUP($G:$G,Structure!$A:$AJ,AM$1,0)*$H92,0))</f>
        <v>0</v>
      </c>
      <c r="AN92" s="9">
        <f>SUM(IFERROR(VLOOKUP($C:$C,Structure!$A:$AJ,AN$1,0)*$D92,0),IFERROR(VLOOKUP($E:$E,Structure!$A:$AJ,AN$1,0)*$F92,0),IFERROR(VLOOKUP($G:$G,Structure!$A:$AJ,AN$1,0)*$H92,0))</f>
        <v>0</v>
      </c>
      <c r="AO92" s="9">
        <f>SUM(IFERROR(VLOOKUP($C:$C,Structure!$A:$AJ,AO$1,0)*$D92,0),IFERROR(VLOOKUP($E:$E,Structure!$A:$AJ,AO$1,0)*$F92,0),IFERROR(VLOOKUP($G:$G,Structure!$A:$AJ,AO$1,0)*$H92,0))</f>
        <v>0</v>
      </c>
      <c r="AP92" s="9">
        <f>SUM(IFERROR(VLOOKUP($C:$C,Structure!$A:$AJ,AP$1,0)*$D92,0),IFERROR(VLOOKUP($E:$E,Structure!$A:$AJ,AP$1,0)*$F92,0),IFERROR(VLOOKUP($G:$G,Structure!$A:$AJ,AP$1,0)*$H92,0))</f>
        <v>0</v>
      </c>
      <c r="AQ92" s="9">
        <f>SUM(IFERROR(VLOOKUP($C:$C,Structure!$A:$AJ,AQ$1,0)*$D92,0),IFERROR(VLOOKUP($E:$E,Structure!$A:$AJ,AQ$1,0)*$F92,0),IFERROR(VLOOKUP($G:$G,Structure!$A:$AJ,AQ$1,0)*$H92,0))</f>
        <v>0</v>
      </c>
      <c r="AR92" s="21" t="s">
        <v>820</v>
      </c>
      <c r="AS92" s="3" t="s">
        <v>352</v>
      </c>
      <c r="AT92" s="3" t="s">
        <v>818</v>
      </c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>
        <v>75</v>
      </c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4">
        <f t="shared" si="92"/>
        <v>0</v>
      </c>
      <c r="CE92" s="4">
        <f t="shared" si="93"/>
        <v>-60</v>
      </c>
      <c r="CF92" s="4">
        <f t="shared" si="94"/>
        <v>4</v>
      </c>
      <c r="CG92" s="4">
        <f t="shared" si="95"/>
        <v>33</v>
      </c>
      <c r="CH92" s="4">
        <f t="shared" si="96"/>
        <v>1</v>
      </c>
      <c r="CI92" s="4">
        <f t="shared" si="97"/>
        <v>151</v>
      </c>
      <c r="CJ92" s="4">
        <f t="shared" si="98"/>
        <v>-58</v>
      </c>
      <c r="CK92" s="4">
        <f t="shared" si="99"/>
        <v>119</v>
      </c>
      <c r="CL92" s="4">
        <f t="shared" si="100"/>
        <v>0</v>
      </c>
      <c r="CM92" s="4">
        <f t="shared" si="101"/>
        <v>14</v>
      </c>
      <c r="CN92" s="4">
        <f t="shared" si="102"/>
        <v>55</v>
      </c>
      <c r="CO92" s="4">
        <f t="shared" si="103"/>
        <v>0</v>
      </c>
      <c r="CP92" s="4">
        <f t="shared" si="104"/>
        <v>103</v>
      </c>
      <c r="CQ92" s="4">
        <f t="shared" si="105"/>
        <v>-153</v>
      </c>
      <c r="CR92" s="4">
        <f t="shared" si="106"/>
        <v>34</v>
      </c>
      <c r="CS92" s="4">
        <f t="shared" si="107"/>
        <v>0</v>
      </c>
      <c r="CT92" s="4">
        <f t="shared" si="108"/>
        <v>0</v>
      </c>
      <c r="CU92" s="4">
        <f t="shared" si="109"/>
        <v>0</v>
      </c>
      <c r="CV92" s="4">
        <f t="shared" si="110"/>
        <v>0</v>
      </c>
      <c r="CW92" s="4">
        <f t="shared" si="111"/>
        <v>0</v>
      </c>
      <c r="CX92" s="4">
        <f t="shared" si="112"/>
        <v>-110</v>
      </c>
      <c r="CY92" s="4">
        <f t="shared" si="113"/>
        <v>0</v>
      </c>
      <c r="CZ92" s="4">
        <f t="shared" si="114"/>
        <v>0</v>
      </c>
      <c r="DA92" s="4">
        <f t="shared" si="115"/>
        <v>0</v>
      </c>
      <c r="DB92" s="4">
        <f t="shared" si="116"/>
        <v>0</v>
      </c>
      <c r="DC92" s="4">
        <f t="shared" si="117"/>
        <v>0</v>
      </c>
      <c r="DD92" s="4">
        <f t="shared" si="118"/>
        <v>0</v>
      </c>
      <c r="DE92" s="4">
        <f t="shared" si="119"/>
        <v>0</v>
      </c>
      <c r="DF92" s="4">
        <f t="shared" si="120"/>
        <v>0</v>
      </c>
      <c r="DG92" s="4">
        <f t="shared" si="121"/>
        <v>0</v>
      </c>
      <c r="DH92" s="4">
        <f t="shared" si="122"/>
        <v>0</v>
      </c>
      <c r="DI92" s="4">
        <f t="shared" si="123"/>
        <v>0</v>
      </c>
      <c r="DJ92" s="4">
        <f t="shared" si="124"/>
        <v>0</v>
      </c>
      <c r="DK92" s="4">
        <f t="shared" si="125"/>
        <v>0</v>
      </c>
      <c r="DL92" s="4">
        <f t="shared" si="126"/>
        <v>0</v>
      </c>
    </row>
    <row r="93" spans="1:116" x14ac:dyDescent="0.25">
      <c r="A93" s="5">
        <v>46185</v>
      </c>
      <c r="B93" s="6">
        <v>0.18750000021827873</v>
      </c>
      <c r="C93" s="3"/>
      <c r="D93" s="3"/>
      <c r="E93" s="3" t="s">
        <v>40</v>
      </c>
      <c r="F93" s="3">
        <v>8</v>
      </c>
      <c r="G93" s="3"/>
      <c r="H93" s="9"/>
      <c r="I93" s="9">
        <f>SUM(IFERROR(VLOOKUP($C:$C,Structure!$A:$AJ,I$1,0)*$D93,0),IFERROR(VLOOKUP($E:$E,Structure!$A:$AJ,I$1,0)*$F93,0),IFERROR(VLOOKUP($G:$G,Structure!$A:$AJ,I$1,0)*$H93,0))</f>
        <v>0</v>
      </c>
      <c r="J93" s="9">
        <f>SUM(IFERROR(VLOOKUP($C:$C,Structure!$A:$AJ,J$1,0)*$D93,0),IFERROR(VLOOKUP($E:$E,Structure!$A:$AJ,J$1,0)*$F93,0),IFERROR(VLOOKUP($G:$G,Structure!$A:$AJ,J$1,0)*$H93,0))</f>
        <v>8</v>
      </c>
      <c r="K93" s="9">
        <f>SUM(IFERROR(VLOOKUP($C:$C,Structure!$A:$AJ,K$1,0)*$D93,0),IFERROR(VLOOKUP($E:$E,Structure!$A:$AJ,K$1,0)*$F93,0),IFERROR(VLOOKUP($G:$G,Structure!$A:$AJ,K$1,0)*$H93,0))</f>
        <v>0</v>
      </c>
      <c r="L93" s="9">
        <f>SUM(IFERROR(VLOOKUP($C:$C,Structure!$A:$AJ,L$1,0)*$D93,0),IFERROR(VLOOKUP($E:$E,Structure!$A:$AJ,L$1,0)*$F93,0),IFERROR(VLOOKUP($G:$G,Structure!$A:$AJ,L$1,0)*$H93,0))</f>
        <v>0</v>
      </c>
      <c r="M93" s="9">
        <f>SUM(IFERROR(VLOOKUP($C:$C,Structure!$A:$AJ,M$1,0)*$D93,0),IFERROR(VLOOKUP($E:$E,Structure!$A:$AJ,M$1,0)*$F93,0),IFERROR(VLOOKUP($G:$G,Structure!$A:$AJ,M$1,0)*$H93,0))</f>
        <v>0</v>
      </c>
      <c r="N93" s="9">
        <f>SUM(IFERROR(VLOOKUP($C:$C,Structure!$A:$AJ,N$1,0)*$D93,0),IFERROR(VLOOKUP($E:$E,Structure!$A:$AJ,N$1,0)*$F93,0),IFERROR(VLOOKUP($G:$G,Structure!$A:$AJ,N$1,0)*$H93,0))</f>
        <v>0</v>
      </c>
      <c r="O93" s="9">
        <f>SUM(IFERROR(VLOOKUP($C:$C,Structure!$A:$AJ,O$1,0)*$D93,0),IFERROR(VLOOKUP($E:$E,Structure!$A:$AJ,O$1,0)*$F93,0),IFERROR(VLOOKUP($G:$G,Structure!$A:$AJ,O$1,0)*$H93,0))</f>
        <v>0</v>
      </c>
      <c r="P93" s="9">
        <f>SUM(IFERROR(VLOOKUP($C:$C,Structure!$A:$AJ,P$1,0)*$D93,0),IFERROR(VLOOKUP($E:$E,Structure!$A:$AJ,P$1,0)*$F93,0),IFERROR(VLOOKUP($G:$G,Structure!$A:$AJ,P$1,0)*$H93,0))</f>
        <v>8</v>
      </c>
      <c r="Q93" s="9">
        <f>SUM(IFERROR(VLOOKUP($C:$C,Structure!$A:$AJ,Q$1,0)*$D93,0),IFERROR(VLOOKUP($E:$E,Structure!$A:$AJ,Q$1,0)*$F93,0),IFERROR(VLOOKUP($G:$G,Structure!$A:$AJ,Q$1,0)*$H93,0))</f>
        <v>0</v>
      </c>
      <c r="R93" s="9">
        <f>SUM(IFERROR(VLOOKUP($C:$C,Structure!$A:$AJ,R$1,0)*$D93,0),IFERROR(VLOOKUP($E:$E,Structure!$A:$AJ,R$1,0)*$F93,0),IFERROR(VLOOKUP($G:$G,Structure!$A:$AJ,R$1,0)*$H93,0))</f>
        <v>0</v>
      </c>
      <c r="S93" s="9">
        <f>SUM(IFERROR(VLOOKUP($C:$C,Structure!$A:$AJ,S$1,0)*$D93,0),IFERROR(VLOOKUP($E:$E,Structure!$A:$AJ,S$1,0)*$F93,0),IFERROR(VLOOKUP($G:$G,Structure!$A:$AJ,S$1,0)*$H93,0))</f>
        <v>0</v>
      </c>
      <c r="T93" s="9">
        <f>SUM(IFERROR(VLOOKUP($C:$C,Structure!$A:$AJ,T$1,0)*$D93,0),IFERROR(VLOOKUP($E:$E,Structure!$A:$AJ,T$1,0)*$F93,0),IFERROR(VLOOKUP($G:$G,Structure!$A:$AJ,T$1,0)*$H93,0))</f>
        <v>0</v>
      </c>
      <c r="U93" s="9">
        <f>SUM(IFERROR(VLOOKUP($C:$C,Structure!$A:$AJ,U$1,0)*$D93,0),IFERROR(VLOOKUP($E:$E,Structure!$A:$AJ,U$1,0)*$F93,0),IFERROR(VLOOKUP($G:$G,Structure!$A:$AJ,U$1,0)*$H93,0))</f>
        <v>0</v>
      </c>
      <c r="V93" s="9">
        <f>SUM(IFERROR(VLOOKUP($C:$C,Structure!$A:$AJ,V$1,0)*$D93,0),IFERROR(VLOOKUP($E:$E,Structure!$A:$AJ,V$1,0)*$F93,0),IFERROR(VLOOKUP($G:$G,Structure!$A:$AJ,V$1,0)*$H93,0))</f>
        <v>0</v>
      </c>
      <c r="W93" s="9">
        <f>SUM(IFERROR(VLOOKUP($C:$C,Structure!$A:$AJ,W$1,0)*$D93,0),IFERROR(VLOOKUP($E:$E,Structure!$A:$AJ,W$1,0)*$F93,0),IFERROR(VLOOKUP($G:$G,Structure!$A:$AJ,W$1,0)*$H93,0))</f>
        <v>0</v>
      </c>
      <c r="X93" s="9">
        <f>SUM(IFERROR(VLOOKUP($C:$C,Structure!$A:$AJ,X$1,0)*$D93,0),IFERROR(VLOOKUP($E:$E,Structure!$A:$AJ,X$1,0)*$F93,0),IFERROR(VLOOKUP($G:$G,Structure!$A:$AJ,X$1,0)*$H93,0))</f>
        <v>0</v>
      </c>
      <c r="Y93" s="9">
        <f>SUM(IFERROR(VLOOKUP($C:$C,Structure!$A:$AJ,Y$1,0)*$D93,0),IFERROR(VLOOKUP($E:$E,Structure!$A:$AJ,Y$1,0)*$F93,0),IFERROR(VLOOKUP($G:$G,Structure!$A:$AJ,Y$1,0)*$H93,0))</f>
        <v>0</v>
      </c>
      <c r="Z93" s="9">
        <f>SUM(IFERROR(VLOOKUP($C:$C,Structure!$A:$AJ,Z$1,0)*$D93,0),IFERROR(VLOOKUP($E:$E,Structure!$A:$AJ,Z$1,0)*$F93,0),IFERROR(VLOOKUP($G:$G,Structure!$A:$AJ,Z$1,0)*$H93,0))</f>
        <v>0</v>
      </c>
      <c r="AA93" s="9">
        <f>SUM(IFERROR(VLOOKUP($C:$C,Structure!$A:$AJ,AA$1,0)*$D93,0),IFERROR(VLOOKUP($E:$E,Structure!$A:$AJ,AA$1,0)*$F93,0),IFERROR(VLOOKUP($G:$G,Structure!$A:$AJ,AA$1,0)*$H93,0))</f>
        <v>0</v>
      </c>
      <c r="AB93" s="9">
        <f>SUM(IFERROR(VLOOKUP($C:$C,Structure!$A:$AJ,AB$1,0)*$D93,0),IFERROR(VLOOKUP($E:$E,Structure!$A:$AJ,AB$1,0)*$F93,0),IFERROR(VLOOKUP($G:$G,Structure!$A:$AJ,AB$1,0)*$H93,0))</f>
        <v>0</v>
      </c>
      <c r="AC93" s="9">
        <f>SUM(IFERROR(VLOOKUP($C:$C,Structure!$A:$AJ,AC$1,0)*$D93,0),IFERROR(VLOOKUP($E:$E,Structure!$A:$AJ,AC$1,0)*$F93,0),IFERROR(VLOOKUP($G:$G,Structure!$A:$AJ,AC$1,0)*$H93,0))</f>
        <v>0</v>
      </c>
      <c r="AD93" s="9">
        <f>SUM(IFERROR(VLOOKUP($C:$C,Structure!$A:$AJ,AD$1,0)*$D93,0),IFERROR(VLOOKUP($E:$E,Structure!$A:$AJ,AD$1,0)*$F93,0),IFERROR(VLOOKUP($G:$G,Structure!$A:$AJ,AD$1,0)*$H93,0))</f>
        <v>0</v>
      </c>
      <c r="AE93" s="9">
        <f>SUM(IFERROR(VLOOKUP($C:$C,Structure!$A:$AJ,AE$1,0)*$D93,0),IFERROR(VLOOKUP($E:$E,Structure!$A:$AJ,AE$1,0)*$F93,0),IFERROR(VLOOKUP($G:$G,Structure!$A:$AJ,AE$1,0)*$H93,0))</f>
        <v>0</v>
      </c>
      <c r="AF93" s="9">
        <f>SUM(IFERROR(VLOOKUP($C:$C,Structure!$A:$AJ,AF$1,0)*$D93,0),IFERROR(VLOOKUP($E:$E,Structure!$A:$AJ,AF$1,0)*$F93,0),IFERROR(VLOOKUP($G:$G,Structure!$A:$AJ,AF$1,0)*$H93,0))</f>
        <v>0</v>
      </c>
      <c r="AG93" s="9">
        <f>SUM(IFERROR(VLOOKUP($C:$C,Structure!$A:$AJ,AG$1,0)*$D93,0),IFERROR(VLOOKUP($E:$E,Structure!$A:$AJ,AG$1,0)*$F93,0),IFERROR(VLOOKUP($G:$G,Structure!$A:$AJ,AG$1,0)*$H93,0))</f>
        <v>0</v>
      </c>
      <c r="AH93" s="9">
        <f>SUM(IFERROR(VLOOKUP($C:$C,Structure!$A:$AJ,AH$1,0)*$D93,0),IFERROR(VLOOKUP($E:$E,Structure!$A:$AJ,AH$1,0)*$F93,0),IFERROR(VLOOKUP($G:$G,Structure!$A:$AJ,AH$1,0)*$H93,0))</f>
        <v>0</v>
      </c>
      <c r="AI93" s="9">
        <f>SUM(IFERROR(VLOOKUP($C:$C,Structure!$A:$AJ,AI$1,0)*$D93,0),IFERROR(VLOOKUP($E:$E,Structure!$A:$AJ,AI$1,0)*$F93,0),IFERROR(VLOOKUP($G:$G,Structure!$A:$AJ,AI$1,0)*$H93,0))</f>
        <v>0</v>
      </c>
      <c r="AJ93" s="9">
        <f>SUM(IFERROR(VLOOKUP($C:$C,Structure!$A:$AJ,AJ$1,0)*$D93,0),IFERROR(VLOOKUP($E:$E,Structure!$A:$AJ,AJ$1,0)*$F93,0),IFERROR(VLOOKUP($G:$G,Structure!$A:$AJ,AJ$1,0)*$H93,0))</f>
        <v>0</v>
      </c>
      <c r="AK93" s="9">
        <f>SUM(IFERROR(VLOOKUP($C:$C,Structure!$A:$AJ,AK$1,0)*$D93,0),IFERROR(VLOOKUP($E:$E,Structure!$A:$AJ,AK$1,0)*$F93,0),IFERROR(VLOOKUP($G:$G,Structure!$A:$AJ,AK$1,0)*$H93,0))</f>
        <v>0</v>
      </c>
      <c r="AL93" s="9">
        <f>SUM(IFERROR(VLOOKUP($C:$C,Structure!$A:$AJ,AL$1,0)*$D93,0),IFERROR(VLOOKUP($E:$E,Structure!$A:$AJ,AL$1,0)*$F93,0),IFERROR(VLOOKUP($G:$G,Structure!$A:$AJ,AL$1,0)*$H93,0))</f>
        <v>0</v>
      </c>
      <c r="AM93" s="9">
        <f>SUM(IFERROR(VLOOKUP($C:$C,Structure!$A:$AJ,AM$1,0)*$D93,0),IFERROR(VLOOKUP($E:$E,Structure!$A:$AJ,AM$1,0)*$F93,0),IFERROR(VLOOKUP($G:$G,Structure!$A:$AJ,AM$1,0)*$H93,0))</f>
        <v>0</v>
      </c>
      <c r="AN93" s="9">
        <f>SUM(IFERROR(VLOOKUP($C:$C,Structure!$A:$AJ,AN$1,0)*$D93,0),IFERROR(VLOOKUP($E:$E,Structure!$A:$AJ,AN$1,0)*$F93,0),IFERROR(VLOOKUP($G:$G,Structure!$A:$AJ,AN$1,0)*$H93,0))</f>
        <v>0</v>
      </c>
      <c r="AO93" s="9">
        <f>SUM(IFERROR(VLOOKUP($C:$C,Structure!$A:$AJ,AO$1,0)*$D93,0),IFERROR(VLOOKUP($E:$E,Structure!$A:$AJ,AO$1,0)*$F93,0),IFERROR(VLOOKUP($G:$G,Structure!$A:$AJ,AO$1,0)*$H93,0))</f>
        <v>0</v>
      </c>
      <c r="AP93" s="9">
        <f>SUM(IFERROR(VLOOKUP($C:$C,Structure!$A:$AJ,AP$1,0)*$D93,0),IFERROR(VLOOKUP($E:$E,Structure!$A:$AJ,AP$1,0)*$F93,0),IFERROR(VLOOKUP($G:$G,Structure!$A:$AJ,AP$1,0)*$H93,0))</f>
        <v>0</v>
      </c>
      <c r="AQ93" s="9">
        <f>SUM(IFERROR(VLOOKUP($C:$C,Structure!$A:$AJ,AQ$1,0)*$D93,0),IFERROR(VLOOKUP($E:$E,Structure!$A:$AJ,AQ$1,0)*$F93,0),IFERROR(VLOOKUP($G:$G,Structure!$A:$AJ,AQ$1,0)*$H93,0))</f>
        <v>0</v>
      </c>
      <c r="AR93" s="21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4">
        <f t="shared" si="92"/>
        <v>0</v>
      </c>
      <c r="CE93" s="4">
        <f t="shared" si="93"/>
        <v>-68</v>
      </c>
      <c r="CF93" s="4">
        <f t="shared" si="94"/>
        <v>4</v>
      </c>
      <c r="CG93" s="4">
        <f t="shared" si="95"/>
        <v>33</v>
      </c>
      <c r="CH93" s="4">
        <f t="shared" si="96"/>
        <v>1</v>
      </c>
      <c r="CI93" s="4">
        <f t="shared" si="97"/>
        <v>151</v>
      </c>
      <c r="CJ93" s="4">
        <f t="shared" si="98"/>
        <v>-58</v>
      </c>
      <c r="CK93" s="4">
        <f t="shared" si="99"/>
        <v>111</v>
      </c>
      <c r="CL93" s="4">
        <f t="shared" si="100"/>
        <v>0</v>
      </c>
      <c r="CM93" s="4">
        <f t="shared" si="101"/>
        <v>14</v>
      </c>
      <c r="CN93" s="4">
        <f t="shared" si="102"/>
        <v>55</v>
      </c>
      <c r="CO93" s="4">
        <f t="shared" si="103"/>
        <v>0</v>
      </c>
      <c r="CP93" s="4">
        <f t="shared" si="104"/>
        <v>103</v>
      </c>
      <c r="CQ93" s="4">
        <f t="shared" si="105"/>
        <v>-153</v>
      </c>
      <c r="CR93" s="4">
        <f t="shared" si="106"/>
        <v>34</v>
      </c>
      <c r="CS93" s="4">
        <f t="shared" si="107"/>
        <v>0</v>
      </c>
      <c r="CT93" s="4">
        <f t="shared" si="108"/>
        <v>0</v>
      </c>
      <c r="CU93" s="4">
        <f t="shared" si="109"/>
        <v>0</v>
      </c>
      <c r="CV93" s="4">
        <f t="shared" si="110"/>
        <v>0</v>
      </c>
      <c r="CW93" s="4">
        <f t="shared" si="111"/>
        <v>0</v>
      </c>
      <c r="CX93" s="4">
        <f t="shared" si="112"/>
        <v>-110</v>
      </c>
      <c r="CY93" s="4">
        <f t="shared" si="113"/>
        <v>0</v>
      </c>
      <c r="CZ93" s="4">
        <f t="shared" si="114"/>
        <v>0</v>
      </c>
      <c r="DA93" s="4">
        <f t="shared" si="115"/>
        <v>0</v>
      </c>
      <c r="DB93" s="4">
        <f t="shared" si="116"/>
        <v>0</v>
      </c>
      <c r="DC93" s="4">
        <f t="shared" si="117"/>
        <v>0</v>
      </c>
      <c r="DD93" s="4">
        <f t="shared" si="118"/>
        <v>0</v>
      </c>
      <c r="DE93" s="4">
        <f t="shared" si="119"/>
        <v>0</v>
      </c>
      <c r="DF93" s="4">
        <f t="shared" si="120"/>
        <v>0</v>
      </c>
      <c r="DG93" s="4">
        <f t="shared" si="121"/>
        <v>0</v>
      </c>
      <c r="DH93" s="4">
        <f t="shared" si="122"/>
        <v>0</v>
      </c>
      <c r="DI93" s="4">
        <f t="shared" si="123"/>
        <v>0</v>
      </c>
      <c r="DJ93" s="4">
        <f t="shared" si="124"/>
        <v>0</v>
      </c>
      <c r="DK93" s="4">
        <f t="shared" si="125"/>
        <v>0</v>
      </c>
      <c r="DL93" s="4">
        <f t="shared" si="126"/>
        <v>0</v>
      </c>
    </row>
    <row r="94" spans="1:116" x14ac:dyDescent="0.25">
      <c r="A94" s="5">
        <v>46185</v>
      </c>
      <c r="B94" s="6">
        <v>0.20833333355403738</v>
      </c>
      <c r="C94" s="3"/>
      <c r="D94" s="3"/>
      <c r="E94" s="3" t="s">
        <v>40</v>
      </c>
      <c r="F94" s="3">
        <v>8</v>
      </c>
      <c r="G94" s="3"/>
      <c r="H94" s="9"/>
      <c r="I94" s="9">
        <f>SUM(IFERROR(VLOOKUP($C:$C,Structure!$A:$AJ,I$1,0)*$D94,0),IFERROR(VLOOKUP($E:$E,Structure!$A:$AJ,I$1,0)*$F94,0),IFERROR(VLOOKUP($G:$G,Structure!$A:$AJ,I$1,0)*$H94,0))</f>
        <v>0</v>
      </c>
      <c r="J94" s="9">
        <f>SUM(IFERROR(VLOOKUP($C:$C,Structure!$A:$AJ,J$1,0)*$D94,0),IFERROR(VLOOKUP($E:$E,Structure!$A:$AJ,J$1,0)*$F94,0),IFERROR(VLOOKUP($G:$G,Structure!$A:$AJ,J$1,0)*$H94,0))</f>
        <v>8</v>
      </c>
      <c r="K94" s="9">
        <f>SUM(IFERROR(VLOOKUP($C:$C,Structure!$A:$AJ,K$1,0)*$D94,0),IFERROR(VLOOKUP($E:$E,Structure!$A:$AJ,K$1,0)*$F94,0),IFERROR(VLOOKUP($G:$G,Structure!$A:$AJ,K$1,0)*$H94,0))</f>
        <v>0</v>
      </c>
      <c r="L94" s="9">
        <f>SUM(IFERROR(VLOOKUP($C:$C,Structure!$A:$AJ,L$1,0)*$D94,0),IFERROR(VLOOKUP($E:$E,Structure!$A:$AJ,L$1,0)*$F94,0),IFERROR(VLOOKUP($G:$G,Structure!$A:$AJ,L$1,0)*$H94,0))</f>
        <v>0</v>
      </c>
      <c r="M94" s="9">
        <f>SUM(IFERROR(VLOOKUP($C:$C,Structure!$A:$AJ,M$1,0)*$D94,0),IFERROR(VLOOKUP($E:$E,Structure!$A:$AJ,M$1,0)*$F94,0),IFERROR(VLOOKUP($G:$G,Structure!$A:$AJ,M$1,0)*$H94,0))</f>
        <v>0</v>
      </c>
      <c r="N94" s="9">
        <f>SUM(IFERROR(VLOOKUP($C:$C,Structure!$A:$AJ,N$1,0)*$D94,0),IFERROR(VLOOKUP($E:$E,Structure!$A:$AJ,N$1,0)*$F94,0),IFERROR(VLOOKUP($G:$G,Structure!$A:$AJ,N$1,0)*$H94,0))</f>
        <v>0</v>
      </c>
      <c r="O94" s="9">
        <f>SUM(IFERROR(VLOOKUP($C:$C,Structure!$A:$AJ,O$1,0)*$D94,0),IFERROR(VLOOKUP($E:$E,Structure!$A:$AJ,O$1,0)*$F94,0),IFERROR(VLOOKUP($G:$G,Structure!$A:$AJ,O$1,0)*$H94,0))</f>
        <v>0</v>
      </c>
      <c r="P94" s="9">
        <f>SUM(IFERROR(VLOOKUP($C:$C,Structure!$A:$AJ,P$1,0)*$D94,0),IFERROR(VLOOKUP($E:$E,Structure!$A:$AJ,P$1,0)*$F94,0),IFERROR(VLOOKUP($G:$G,Structure!$A:$AJ,P$1,0)*$H94,0))</f>
        <v>8</v>
      </c>
      <c r="Q94" s="9">
        <f>SUM(IFERROR(VLOOKUP($C:$C,Structure!$A:$AJ,Q$1,0)*$D94,0),IFERROR(VLOOKUP($E:$E,Structure!$A:$AJ,Q$1,0)*$F94,0),IFERROR(VLOOKUP($G:$G,Structure!$A:$AJ,Q$1,0)*$H94,0))</f>
        <v>0</v>
      </c>
      <c r="R94" s="9">
        <f>SUM(IFERROR(VLOOKUP($C:$C,Structure!$A:$AJ,R$1,0)*$D94,0),IFERROR(VLOOKUP($E:$E,Structure!$A:$AJ,R$1,0)*$F94,0),IFERROR(VLOOKUP($G:$G,Structure!$A:$AJ,R$1,0)*$H94,0))</f>
        <v>0</v>
      </c>
      <c r="S94" s="9">
        <f>SUM(IFERROR(VLOOKUP($C:$C,Structure!$A:$AJ,S$1,0)*$D94,0),IFERROR(VLOOKUP($E:$E,Structure!$A:$AJ,S$1,0)*$F94,0),IFERROR(VLOOKUP($G:$G,Structure!$A:$AJ,S$1,0)*$H94,0))</f>
        <v>0</v>
      </c>
      <c r="T94" s="9">
        <f>SUM(IFERROR(VLOOKUP($C:$C,Structure!$A:$AJ,T$1,0)*$D94,0),IFERROR(VLOOKUP($E:$E,Structure!$A:$AJ,T$1,0)*$F94,0),IFERROR(VLOOKUP($G:$G,Structure!$A:$AJ,T$1,0)*$H94,0))</f>
        <v>0</v>
      </c>
      <c r="U94" s="9">
        <f>SUM(IFERROR(VLOOKUP($C:$C,Structure!$A:$AJ,U$1,0)*$D94,0),IFERROR(VLOOKUP($E:$E,Structure!$A:$AJ,U$1,0)*$F94,0),IFERROR(VLOOKUP($G:$G,Structure!$A:$AJ,U$1,0)*$H94,0))</f>
        <v>0</v>
      </c>
      <c r="V94" s="9">
        <f>SUM(IFERROR(VLOOKUP($C:$C,Structure!$A:$AJ,V$1,0)*$D94,0),IFERROR(VLOOKUP($E:$E,Structure!$A:$AJ,V$1,0)*$F94,0),IFERROR(VLOOKUP($G:$G,Structure!$A:$AJ,V$1,0)*$H94,0))</f>
        <v>0</v>
      </c>
      <c r="W94" s="9">
        <f>SUM(IFERROR(VLOOKUP($C:$C,Structure!$A:$AJ,W$1,0)*$D94,0),IFERROR(VLOOKUP($E:$E,Structure!$A:$AJ,W$1,0)*$F94,0),IFERROR(VLOOKUP($G:$G,Structure!$A:$AJ,W$1,0)*$H94,0))</f>
        <v>0</v>
      </c>
      <c r="X94" s="9">
        <f>SUM(IFERROR(VLOOKUP($C:$C,Structure!$A:$AJ,X$1,0)*$D94,0),IFERROR(VLOOKUP($E:$E,Structure!$A:$AJ,X$1,0)*$F94,0),IFERROR(VLOOKUP($G:$G,Structure!$A:$AJ,X$1,0)*$H94,0))</f>
        <v>0</v>
      </c>
      <c r="Y94" s="9">
        <f>SUM(IFERROR(VLOOKUP($C:$C,Structure!$A:$AJ,Y$1,0)*$D94,0),IFERROR(VLOOKUP($E:$E,Structure!$A:$AJ,Y$1,0)*$F94,0),IFERROR(VLOOKUP($G:$G,Structure!$A:$AJ,Y$1,0)*$H94,0))</f>
        <v>0</v>
      </c>
      <c r="Z94" s="9">
        <f>SUM(IFERROR(VLOOKUP($C:$C,Structure!$A:$AJ,Z$1,0)*$D94,0),IFERROR(VLOOKUP($E:$E,Structure!$A:$AJ,Z$1,0)*$F94,0),IFERROR(VLOOKUP($G:$G,Structure!$A:$AJ,Z$1,0)*$H94,0))</f>
        <v>0</v>
      </c>
      <c r="AA94" s="9">
        <f>SUM(IFERROR(VLOOKUP($C:$C,Structure!$A:$AJ,AA$1,0)*$D94,0),IFERROR(VLOOKUP($E:$E,Structure!$A:$AJ,AA$1,0)*$F94,0),IFERROR(VLOOKUP($G:$G,Structure!$A:$AJ,AA$1,0)*$H94,0))</f>
        <v>0</v>
      </c>
      <c r="AB94" s="9">
        <f>SUM(IFERROR(VLOOKUP($C:$C,Structure!$A:$AJ,AB$1,0)*$D94,0),IFERROR(VLOOKUP($E:$E,Structure!$A:$AJ,AB$1,0)*$F94,0),IFERROR(VLOOKUP($G:$G,Structure!$A:$AJ,AB$1,0)*$H94,0))</f>
        <v>0</v>
      </c>
      <c r="AC94" s="9">
        <f>SUM(IFERROR(VLOOKUP($C:$C,Structure!$A:$AJ,AC$1,0)*$D94,0),IFERROR(VLOOKUP($E:$E,Structure!$A:$AJ,AC$1,0)*$F94,0),IFERROR(VLOOKUP($G:$G,Structure!$A:$AJ,AC$1,0)*$H94,0))</f>
        <v>0</v>
      </c>
      <c r="AD94" s="9">
        <f>SUM(IFERROR(VLOOKUP($C:$C,Structure!$A:$AJ,AD$1,0)*$D94,0),IFERROR(VLOOKUP($E:$E,Structure!$A:$AJ,AD$1,0)*$F94,0),IFERROR(VLOOKUP($G:$G,Structure!$A:$AJ,AD$1,0)*$H94,0))</f>
        <v>0</v>
      </c>
      <c r="AE94" s="9">
        <f>SUM(IFERROR(VLOOKUP($C:$C,Structure!$A:$AJ,AE$1,0)*$D94,0),IFERROR(VLOOKUP($E:$E,Structure!$A:$AJ,AE$1,0)*$F94,0),IFERROR(VLOOKUP($G:$G,Structure!$A:$AJ,AE$1,0)*$H94,0))</f>
        <v>0</v>
      </c>
      <c r="AF94" s="9">
        <f>SUM(IFERROR(VLOOKUP($C:$C,Structure!$A:$AJ,AF$1,0)*$D94,0),IFERROR(VLOOKUP($E:$E,Structure!$A:$AJ,AF$1,0)*$F94,0),IFERROR(VLOOKUP($G:$G,Structure!$A:$AJ,AF$1,0)*$H94,0))</f>
        <v>0</v>
      </c>
      <c r="AG94" s="9">
        <f>SUM(IFERROR(VLOOKUP($C:$C,Structure!$A:$AJ,AG$1,0)*$D94,0),IFERROR(VLOOKUP($E:$E,Structure!$A:$AJ,AG$1,0)*$F94,0),IFERROR(VLOOKUP($G:$G,Structure!$A:$AJ,AG$1,0)*$H94,0))</f>
        <v>0</v>
      </c>
      <c r="AH94" s="9">
        <f>SUM(IFERROR(VLOOKUP($C:$C,Structure!$A:$AJ,AH$1,0)*$D94,0),IFERROR(VLOOKUP($E:$E,Structure!$A:$AJ,AH$1,0)*$F94,0),IFERROR(VLOOKUP($G:$G,Structure!$A:$AJ,AH$1,0)*$H94,0))</f>
        <v>0</v>
      </c>
      <c r="AI94" s="9">
        <f>SUM(IFERROR(VLOOKUP($C:$C,Structure!$A:$AJ,AI$1,0)*$D94,0),IFERROR(VLOOKUP($E:$E,Structure!$A:$AJ,AI$1,0)*$F94,0),IFERROR(VLOOKUP($G:$G,Structure!$A:$AJ,AI$1,0)*$H94,0))</f>
        <v>0</v>
      </c>
      <c r="AJ94" s="9">
        <f>SUM(IFERROR(VLOOKUP($C:$C,Structure!$A:$AJ,AJ$1,0)*$D94,0),IFERROR(VLOOKUP($E:$E,Structure!$A:$AJ,AJ$1,0)*$F94,0),IFERROR(VLOOKUP($G:$G,Structure!$A:$AJ,AJ$1,0)*$H94,0))</f>
        <v>0</v>
      </c>
      <c r="AK94" s="9">
        <f>SUM(IFERROR(VLOOKUP($C:$C,Structure!$A:$AJ,AK$1,0)*$D94,0),IFERROR(VLOOKUP($E:$E,Structure!$A:$AJ,AK$1,0)*$F94,0),IFERROR(VLOOKUP($G:$G,Structure!$A:$AJ,AK$1,0)*$H94,0))</f>
        <v>0</v>
      </c>
      <c r="AL94" s="9">
        <f>SUM(IFERROR(VLOOKUP($C:$C,Structure!$A:$AJ,AL$1,0)*$D94,0),IFERROR(VLOOKUP($E:$E,Structure!$A:$AJ,AL$1,0)*$F94,0),IFERROR(VLOOKUP($G:$G,Structure!$A:$AJ,AL$1,0)*$H94,0))</f>
        <v>0</v>
      </c>
      <c r="AM94" s="9">
        <f>SUM(IFERROR(VLOOKUP($C:$C,Structure!$A:$AJ,AM$1,0)*$D94,0),IFERROR(VLOOKUP($E:$E,Structure!$A:$AJ,AM$1,0)*$F94,0),IFERROR(VLOOKUP($G:$G,Structure!$A:$AJ,AM$1,0)*$H94,0))</f>
        <v>0</v>
      </c>
      <c r="AN94" s="9">
        <f>SUM(IFERROR(VLOOKUP($C:$C,Structure!$A:$AJ,AN$1,0)*$D94,0),IFERROR(VLOOKUP($E:$E,Structure!$A:$AJ,AN$1,0)*$F94,0),IFERROR(VLOOKUP($G:$G,Structure!$A:$AJ,AN$1,0)*$H94,0))</f>
        <v>0</v>
      </c>
      <c r="AO94" s="9">
        <f>SUM(IFERROR(VLOOKUP($C:$C,Structure!$A:$AJ,AO$1,0)*$D94,0),IFERROR(VLOOKUP($E:$E,Structure!$A:$AJ,AO$1,0)*$F94,0),IFERROR(VLOOKUP($G:$G,Structure!$A:$AJ,AO$1,0)*$H94,0))</f>
        <v>0</v>
      </c>
      <c r="AP94" s="9">
        <f>SUM(IFERROR(VLOOKUP($C:$C,Structure!$A:$AJ,AP$1,0)*$D94,0),IFERROR(VLOOKUP($E:$E,Structure!$A:$AJ,AP$1,0)*$F94,0),IFERROR(VLOOKUP($G:$G,Structure!$A:$AJ,AP$1,0)*$H94,0))</f>
        <v>0</v>
      </c>
      <c r="AQ94" s="9">
        <f>SUM(IFERROR(VLOOKUP($C:$C,Structure!$A:$AJ,AQ$1,0)*$D94,0),IFERROR(VLOOKUP($E:$E,Structure!$A:$AJ,AQ$1,0)*$F94,0),IFERROR(VLOOKUP($G:$G,Structure!$A:$AJ,AQ$1,0)*$H94,0))</f>
        <v>0</v>
      </c>
      <c r="AR94" s="21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4">
        <f t="shared" si="92"/>
        <v>0</v>
      </c>
      <c r="CE94" s="4">
        <f t="shared" si="93"/>
        <v>-76</v>
      </c>
      <c r="CF94" s="4">
        <f t="shared" si="94"/>
        <v>4</v>
      </c>
      <c r="CG94" s="4">
        <f t="shared" si="95"/>
        <v>33</v>
      </c>
      <c r="CH94" s="4">
        <f t="shared" si="96"/>
        <v>1</v>
      </c>
      <c r="CI94" s="4">
        <f t="shared" si="97"/>
        <v>151</v>
      </c>
      <c r="CJ94" s="4">
        <f t="shared" si="98"/>
        <v>-58</v>
      </c>
      <c r="CK94" s="4">
        <f t="shared" si="99"/>
        <v>103</v>
      </c>
      <c r="CL94" s="4">
        <f t="shared" si="100"/>
        <v>0</v>
      </c>
      <c r="CM94" s="4">
        <f t="shared" si="101"/>
        <v>14</v>
      </c>
      <c r="CN94" s="4">
        <f t="shared" si="102"/>
        <v>55</v>
      </c>
      <c r="CO94" s="4">
        <f t="shared" si="103"/>
        <v>0</v>
      </c>
      <c r="CP94" s="4">
        <f t="shared" si="104"/>
        <v>103</v>
      </c>
      <c r="CQ94" s="4">
        <f t="shared" si="105"/>
        <v>-153</v>
      </c>
      <c r="CR94" s="4">
        <f t="shared" si="106"/>
        <v>34</v>
      </c>
      <c r="CS94" s="4">
        <f t="shared" si="107"/>
        <v>0</v>
      </c>
      <c r="CT94" s="4">
        <f t="shared" si="108"/>
        <v>0</v>
      </c>
      <c r="CU94" s="4">
        <f t="shared" si="109"/>
        <v>0</v>
      </c>
      <c r="CV94" s="4">
        <f t="shared" si="110"/>
        <v>0</v>
      </c>
      <c r="CW94" s="4">
        <f t="shared" si="111"/>
        <v>0</v>
      </c>
      <c r="CX94" s="4">
        <f t="shared" si="112"/>
        <v>-110</v>
      </c>
      <c r="CY94" s="4">
        <f t="shared" si="113"/>
        <v>0</v>
      </c>
      <c r="CZ94" s="4">
        <f t="shared" si="114"/>
        <v>0</v>
      </c>
      <c r="DA94" s="4">
        <f t="shared" si="115"/>
        <v>0</v>
      </c>
      <c r="DB94" s="4">
        <f t="shared" si="116"/>
        <v>0</v>
      </c>
      <c r="DC94" s="4">
        <f t="shared" si="117"/>
        <v>0</v>
      </c>
      <c r="DD94" s="4">
        <f t="shared" si="118"/>
        <v>0</v>
      </c>
      <c r="DE94" s="4">
        <f t="shared" si="119"/>
        <v>0</v>
      </c>
      <c r="DF94" s="4">
        <f t="shared" si="120"/>
        <v>0</v>
      </c>
      <c r="DG94" s="4">
        <f t="shared" si="121"/>
        <v>0</v>
      </c>
      <c r="DH94" s="4">
        <f t="shared" si="122"/>
        <v>0</v>
      </c>
      <c r="DI94" s="4">
        <f t="shared" si="123"/>
        <v>0</v>
      </c>
      <c r="DJ94" s="4">
        <f t="shared" si="124"/>
        <v>0</v>
      </c>
      <c r="DK94" s="4">
        <f t="shared" si="125"/>
        <v>0</v>
      </c>
      <c r="DL94" s="4">
        <f t="shared" si="126"/>
        <v>0</v>
      </c>
    </row>
    <row r="95" spans="1:116" x14ac:dyDescent="0.25">
      <c r="A95" s="5">
        <v>46185</v>
      </c>
      <c r="B95" s="6">
        <v>0.22916666688979603</v>
      </c>
      <c r="C95" s="3"/>
      <c r="D95" s="3"/>
      <c r="E95" s="3" t="s">
        <v>40</v>
      </c>
      <c r="F95" s="3">
        <v>8</v>
      </c>
      <c r="G95" s="3"/>
      <c r="H95" s="9"/>
      <c r="I95" s="9">
        <f>SUM(IFERROR(VLOOKUP($C:$C,Structure!$A:$AJ,I$1,0)*$D95,0),IFERROR(VLOOKUP($E:$E,Structure!$A:$AJ,I$1,0)*$F95,0),IFERROR(VLOOKUP($G:$G,Structure!$A:$AJ,I$1,0)*$H95,0))</f>
        <v>0</v>
      </c>
      <c r="J95" s="9">
        <f>SUM(IFERROR(VLOOKUP($C:$C,Structure!$A:$AJ,J$1,0)*$D95,0),IFERROR(VLOOKUP($E:$E,Structure!$A:$AJ,J$1,0)*$F95,0),IFERROR(VLOOKUP($G:$G,Structure!$A:$AJ,J$1,0)*$H95,0))</f>
        <v>8</v>
      </c>
      <c r="K95" s="9">
        <f>SUM(IFERROR(VLOOKUP($C:$C,Structure!$A:$AJ,K$1,0)*$D95,0),IFERROR(VLOOKUP($E:$E,Structure!$A:$AJ,K$1,0)*$F95,0),IFERROR(VLOOKUP($G:$G,Structure!$A:$AJ,K$1,0)*$H95,0))</f>
        <v>0</v>
      </c>
      <c r="L95" s="9">
        <f>SUM(IFERROR(VLOOKUP($C:$C,Structure!$A:$AJ,L$1,0)*$D95,0),IFERROR(VLOOKUP($E:$E,Structure!$A:$AJ,L$1,0)*$F95,0),IFERROR(VLOOKUP($G:$G,Structure!$A:$AJ,L$1,0)*$H95,0))</f>
        <v>0</v>
      </c>
      <c r="M95" s="9">
        <f>SUM(IFERROR(VLOOKUP($C:$C,Structure!$A:$AJ,M$1,0)*$D95,0),IFERROR(VLOOKUP($E:$E,Structure!$A:$AJ,M$1,0)*$F95,0),IFERROR(VLOOKUP($G:$G,Structure!$A:$AJ,M$1,0)*$H95,0))</f>
        <v>0</v>
      </c>
      <c r="N95" s="9">
        <f>SUM(IFERROR(VLOOKUP($C:$C,Structure!$A:$AJ,N$1,0)*$D95,0),IFERROR(VLOOKUP($E:$E,Structure!$A:$AJ,N$1,0)*$F95,0),IFERROR(VLOOKUP($G:$G,Structure!$A:$AJ,N$1,0)*$H95,0))</f>
        <v>0</v>
      </c>
      <c r="O95" s="9">
        <f>SUM(IFERROR(VLOOKUP($C:$C,Structure!$A:$AJ,O$1,0)*$D95,0),IFERROR(VLOOKUP($E:$E,Structure!$A:$AJ,O$1,0)*$F95,0),IFERROR(VLOOKUP($G:$G,Structure!$A:$AJ,O$1,0)*$H95,0))</f>
        <v>0</v>
      </c>
      <c r="P95" s="9">
        <f>SUM(IFERROR(VLOOKUP($C:$C,Structure!$A:$AJ,P$1,0)*$D95,0),IFERROR(VLOOKUP($E:$E,Structure!$A:$AJ,P$1,0)*$F95,0),IFERROR(VLOOKUP($G:$G,Structure!$A:$AJ,P$1,0)*$H95,0))</f>
        <v>8</v>
      </c>
      <c r="Q95" s="9">
        <f>SUM(IFERROR(VLOOKUP($C:$C,Structure!$A:$AJ,Q$1,0)*$D95,0),IFERROR(VLOOKUP($E:$E,Structure!$A:$AJ,Q$1,0)*$F95,0),IFERROR(VLOOKUP($G:$G,Structure!$A:$AJ,Q$1,0)*$H95,0))</f>
        <v>0</v>
      </c>
      <c r="R95" s="9">
        <f>SUM(IFERROR(VLOOKUP($C:$C,Structure!$A:$AJ,R$1,0)*$D95,0),IFERROR(VLOOKUP($E:$E,Structure!$A:$AJ,R$1,0)*$F95,0),IFERROR(VLOOKUP($G:$G,Structure!$A:$AJ,R$1,0)*$H95,0))</f>
        <v>0</v>
      </c>
      <c r="S95" s="9">
        <f>SUM(IFERROR(VLOOKUP($C:$C,Structure!$A:$AJ,S$1,0)*$D95,0),IFERROR(VLOOKUP($E:$E,Structure!$A:$AJ,S$1,0)*$F95,0),IFERROR(VLOOKUP($G:$G,Structure!$A:$AJ,S$1,0)*$H95,0))</f>
        <v>0</v>
      </c>
      <c r="T95" s="9">
        <f>SUM(IFERROR(VLOOKUP($C:$C,Structure!$A:$AJ,T$1,0)*$D95,0),IFERROR(VLOOKUP($E:$E,Structure!$A:$AJ,T$1,0)*$F95,0),IFERROR(VLOOKUP($G:$G,Structure!$A:$AJ,T$1,0)*$H95,0))</f>
        <v>0</v>
      </c>
      <c r="U95" s="9">
        <f>SUM(IFERROR(VLOOKUP($C:$C,Structure!$A:$AJ,U$1,0)*$D95,0),IFERROR(VLOOKUP($E:$E,Structure!$A:$AJ,U$1,0)*$F95,0),IFERROR(VLOOKUP($G:$G,Structure!$A:$AJ,U$1,0)*$H95,0))</f>
        <v>0</v>
      </c>
      <c r="V95" s="9">
        <f>SUM(IFERROR(VLOOKUP($C:$C,Structure!$A:$AJ,V$1,0)*$D95,0),IFERROR(VLOOKUP($E:$E,Structure!$A:$AJ,V$1,0)*$F95,0),IFERROR(VLOOKUP($G:$G,Structure!$A:$AJ,V$1,0)*$H95,0))</f>
        <v>0</v>
      </c>
      <c r="W95" s="9">
        <f>SUM(IFERROR(VLOOKUP($C:$C,Structure!$A:$AJ,W$1,0)*$D95,0),IFERROR(VLOOKUP($E:$E,Structure!$A:$AJ,W$1,0)*$F95,0),IFERROR(VLOOKUP($G:$G,Structure!$A:$AJ,W$1,0)*$H95,0))</f>
        <v>0</v>
      </c>
      <c r="X95" s="9">
        <f>SUM(IFERROR(VLOOKUP($C:$C,Structure!$A:$AJ,X$1,0)*$D95,0),IFERROR(VLOOKUP($E:$E,Structure!$A:$AJ,X$1,0)*$F95,0),IFERROR(VLOOKUP($G:$G,Structure!$A:$AJ,X$1,0)*$H95,0))</f>
        <v>0</v>
      </c>
      <c r="Y95" s="9">
        <f>SUM(IFERROR(VLOOKUP($C:$C,Structure!$A:$AJ,Y$1,0)*$D95,0),IFERROR(VLOOKUP($E:$E,Structure!$A:$AJ,Y$1,0)*$F95,0),IFERROR(VLOOKUP($G:$G,Structure!$A:$AJ,Y$1,0)*$H95,0))</f>
        <v>0</v>
      </c>
      <c r="Z95" s="9">
        <f>SUM(IFERROR(VLOOKUP($C:$C,Structure!$A:$AJ,Z$1,0)*$D95,0),IFERROR(VLOOKUP($E:$E,Structure!$A:$AJ,Z$1,0)*$F95,0),IFERROR(VLOOKUP($G:$G,Structure!$A:$AJ,Z$1,0)*$H95,0))</f>
        <v>0</v>
      </c>
      <c r="AA95" s="9">
        <f>SUM(IFERROR(VLOOKUP($C:$C,Structure!$A:$AJ,AA$1,0)*$D95,0),IFERROR(VLOOKUP($E:$E,Structure!$A:$AJ,AA$1,0)*$F95,0),IFERROR(VLOOKUP($G:$G,Structure!$A:$AJ,AA$1,0)*$H95,0))</f>
        <v>0</v>
      </c>
      <c r="AB95" s="9">
        <f>SUM(IFERROR(VLOOKUP($C:$C,Structure!$A:$AJ,AB$1,0)*$D95,0),IFERROR(VLOOKUP($E:$E,Structure!$A:$AJ,AB$1,0)*$F95,0),IFERROR(VLOOKUP($G:$G,Structure!$A:$AJ,AB$1,0)*$H95,0))</f>
        <v>0</v>
      </c>
      <c r="AC95" s="9">
        <f>SUM(IFERROR(VLOOKUP($C:$C,Structure!$A:$AJ,AC$1,0)*$D95,0),IFERROR(VLOOKUP($E:$E,Structure!$A:$AJ,AC$1,0)*$F95,0),IFERROR(VLOOKUP($G:$G,Structure!$A:$AJ,AC$1,0)*$H95,0))</f>
        <v>0</v>
      </c>
      <c r="AD95" s="9">
        <f>SUM(IFERROR(VLOOKUP($C:$C,Structure!$A:$AJ,AD$1,0)*$D95,0),IFERROR(VLOOKUP($E:$E,Structure!$A:$AJ,AD$1,0)*$F95,0),IFERROR(VLOOKUP($G:$G,Structure!$A:$AJ,AD$1,0)*$H95,0))</f>
        <v>0</v>
      </c>
      <c r="AE95" s="9">
        <f>SUM(IFERROR(VLOOKUP($C:$C,Structure!$A:$AJ,AE$1,0)*$D95,0),IFERROR(VLOOKUP($E:$E,Structure!$A:$AJ,AE$1,0)*$F95,0),IFERROR(VLOOKUP($G:$G,Structure!$A:$AJ,AE$1,0)*$H95,0))</f>
        <v>0</v>
      </c>
      <c r="AF95" s="9">
        <f>SUM(IFERROR(VLOOKUP($C:$C,Structure!$A:$AJ,AF$1,0)*$D95,0),IFERROR(VLOOKUP($E:$E,Structure!$A:$AJ,AF$1,0)*$F95,0),IFERROR(VLOOKUP($G:$G,Structure!$A:$AJ,AF$1,0)*$H95,0))</f>
        <v>0</v>
      </c>
      <c r="AG95" s="9">
        <f>SUM(IFERROR(VLOOKUP($C:$C,Structure!$A:$AJ,AG$1,0)*$D95,0),IFERROR(VLOOKUP($E:$E,Structure!$A:$AJ,AG$1,0)*$F95,0),IFERROR(VLOOKUP($G:$G,Structure!$A:$AJ,AG$1,0)*$H95,0))</f>
        <v>0</v>
      </c>
      <c r="AH95" s="9">
        <f>SUM(IFERROR(VLOOKUP($C:$C,Structure!$A:$AJ,AH$1,0)*$D95,0),IFERROR(VLOOKUP($E:$E,Structure!$A:$AJ,AH$1,0)*$F95,0),IFERROR(VLOOKUP($G:$G,Structure!$A:$AJ,AH$1,0)*$H95,0))</f>
        <v>0</v>
      </c>
      <c r="AI95" s="9">
        <f>SUM(IFERROR(VLOOKUP($C:$C,Structure!$A:$AJ,AI$1,0)*$D95,0),IFERROR(VLOOKUP($E:$E,Structure!$A:$AJ,AI$1,0)*$F95,0),IFERROR(VLOOKUP($G:$G,Structure!$A:$AJ,AI$1,0)*$H95,0))</f>
        <v>0</v>
      </c>
      <c r="AJ95" s="9">
        <f>SUM(IFERROR(VLOOKUP($C:$C,Structure!$A:$AJ,AJ$1,0)*$D95,0),IFERROR(VLOOKUP($E:$E,Structure!$A:$AJ,AJ$1,0)*$F95,0),IFERROR(VLOOKUP($G:$G,Structure!$A:$AJ,AJ$1,0)*$H95,0))</f>
        <v>0</v>
      </c>
      <c r="AK95" s="9">
        <f>SUM(IFERROR(VLOOKUP($C:$C,Structure!$A:$AJ,AK$1,0)*$D95,0),IFERROR(VLOOKUP($E:$E,Structure!$A:$AJ,AK$1,0)*$F95,0),IFERROR(VLOOKUP($G:$G,Structure!$A:$AJ,AK$1,0)*$H95,0))</f>
        <v>0</v>
      </c>
      <c r="AL95" s="9">
        <f>SUM(IFERROR(VLOOKUP($C:$C,Structure!$A:$AJ,AL$1,0)*$D95,0),IFERROR(VLOOKUP($E:$E,Structure!$A:$AJ,AL$1,0)*$F95,0),IFERROR(VLOOKUP($G:$G,Structure!$A:$AJ,AL$1,0)*$H95,0))</f>
        <v>0</v>
      </c>
      <c r="AM95" s="9">
        <f>SUM(IFERROR(VLOOKUP($C:$C,Structure!$A:$AJ,AM$1,0)*$D95,0),IFERROR(VLOOKUP($E:$E,Structure!$A:$AJ,AM$1,0)*$F95,0),IFERROR(VLOOKUP($G:$G,Structure!$A:$AJ,AM$1,0)*$H95,0))</f>
        <v>0</v>
      </c>
      <c r="AN95" s="9">
        <f>SUM(IFERROR(VLOOKUP($C:$C,Structure!$A:$AJ,AN$1,0)*$D95,0),IFERROR(VLOOKUP($E:$E,Structure!$A:$AJ,AN$1,0)*$F95,0),IFERROR(VLOOKUP($G:$G,Structure!$A:$AJ,AN$1,0)*$H95,0))</f>
        <v>0</v>
      </c>
      <c r="AO95" s="9">
        <f>SUM(IFERROR(VLOOKUP($C:$C,Structure!$A:$AJ,AO$1,0)*$D95,0),IFERROR(VLOOKUP($E:$E,Structure!$A:$AJ,AO$1,0)*$F95,0),IFERROR(VLOOKUP($G:$G,Structure!$A:$AJ,AO$1,0)*$H95,0))</f>
        <v>0</v>
      </c>
      <c r="AP95" s="9">
        <f>SUM(IFERROR(VLOOKUP($C:$C,Structure!$A:$AJ,AP$1,0)*$D95,0),IFERROR(VLOOKUP($E:$E,Structure!$A:$AJ,AP$1,0)*$F95,0),IFERROR(VLOOKUP($G:$G,Structure!$A:$AJ,AP$1,0)*$H95,0))</f>
        <v>0</v>
      </c>
      <c r="AQ95" s="9">
        <f>SUM(IFERROR(VLOOKUP($C:$C,Structure!$A:$AJ,AQ$1,0)*$D95,0),IFERROR(VLOOKUP($E:$E,Structure!$A:$AJ,AQ$1,0)*$F95,0),IFERROR(VLOOKUP($G:$G,Structure!$A:$AJ,AQ$1,0)*$H95,0))</f>
        <v>0</v>
      </c>
      <c r="AR95" s="21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4">
        <f t="shared" si="92"/>
        <v>0</v>
      </c>
      <c r="CE95" s="4">
        <f t="shared" si="93"/>
        <v>-84</v>
      </c>
      <c r="CF95" s="4">
        <f t="shared" si="94"/>
        <v>4</v>
      </c>
      <c r="CG95" s="4">
        <f t="shared" si="95"/>
        <v>33</v>
      </c>
      <c r="CH95" s="4">
        <f t="shared" si="96"/>
        <v>1</v>
      </c>
      <c r="CI95" s="4">
        <f t="shared" si="97"/>
        <v>151</v>
      </c>
      <c r="CJ95" s="4">
        <f t="shared" si="98"/>
        <v>-58</v>
      </c>
      <c r="CK95" s="4">
        <f t="shared" si="99"/>
        <v>95</v>
      </c>
      <c r="CL95" s="4">
        <f t="shared" si="100"/>
        <v>0</v>
      </c>
      <c r="CM95" s="4">
        <f t="shared" si="101"/>
        <v>14</v>
      </c>
      <c r="CN95" s="4">
        <f t="shared" si="102"/>
        <v>55</v>
      </c>
      <c r="CO95" s="4">
        <f t="shared" si="103"/>
        <v>0</v>
      </c>
      <c r="CP95" s="4">
        <f t="shared" si="104"/>
        <v>103</v>
      </c>
      <c r="CQ95" s="4">
        <f t="shared" si="105"/>
        <v>-153</v>
      </c>
      <c r="CR95" s="4">
        <f t="shared" si="106"/>
        <v>34</v>
      </c>
      <c r="CS95" s="4">
        <f t="shared" si="107"/>
        <v>0</v>
      </c>
      <c r="CT95" s="4">
        <f t="shared" si="108"/>
        <v>0</v>
      </c>
      <c r="CU95" s="4">
        <f t="shared" si="109"/>
        <v>0</v>
      </c>
      <c r="CV95" s="4">
        <f t="shared" si="110"/>
        <v>0</v>
      </c>
      <c r="CW95" s="4">
        <f t="shared" si="111"/>
        <v>0</v>
      </c>
      <c r="CX95" s="4">
        <f t="shared" si="112"/>
        <v>-110</v>
      </c>
      <c r="CY95" s="4">
        <f t="shared" si="113"/>
        <v>0</v>
      </c>
      <c r="CZ95" s="4">
        <f t="shared" si="114"/>
        <v>0</v>
      </c>
      <c r="DA95" s="4">
        <f t="shared" si="115"/>
        <v>0</v>
      </c>
      <c r="DB95" s="4">
        <f t="shared" si="116"/>
        <v>0</v>
      </c>
      <c r="DC95" s="4">
        <f t="shared" si="117"/>
        <v>0</v>
      </c>
      <c r="DD95" s="4">
        <f t="shared" si="118"/>
        <v>0</v>
      </c>
      <c r="DE95" s="4">
        <f t="shared" si="119"/>
        <v>0</v>
      </c>
      <c r="DF95" s="4">
        <f t="shared" si="120"/>
        <v>0</v>
      </c>
      <c r="DG95" s="4">
        <f t="shared" si="121"/>
        <v>0</v>
      </c>
      <c r="DH95" s="4">
        <f t="shared" si="122"/>
        <v>0</v>
      </c>
      <c r="DI95" s="4">
        <f t="shared" si="123"/>
        <v>0</v>
      </c>
      <c r="DJ95" s="4">
        <f t="shared" si="124"/>
        <v>0</v>
      </c>
      <c r="DK95" s="4">
        <f t="shared" si="125"/>
        <v>0</v>
      </c>
      <c r="DL95" s="4">
        <f t="shared" si="126"/>
        <v>0</v>
      </c>
    </row>
    <row r="96" spans="1:116" x14ac:dyDescent="0.25">
      <c r="A96" s="5">
        <v>46185</v>
      </c>
      <c r="B96" s="6">
        <v>0.25000000022555469</v>
      </c>
      <c r="C96" s="3"/>
      <c r="D96" s="3"/>
      <c r="E96" s="3" t="s">
        <v>43</v>
      </c>
      <c r="F96" s="3">
        <v>8</v>
      </c>
      <c r="G96" s="3"/>
      <c r="H96" s="9"/>
      <c r="I96" s="9">
        <f>SUM(IFERROR(VLOOKUP($C:$C,Structure!$A:$AJ,I$1,0)*$D96,0),IFERROR(VLOOKUP($E:$E,Structure!$A:$AJ,I$1,0)*$F96,0),IFERROR(VLOOKUP($G:$G,Structure!$A:$AJ,I$1,0)*$H96,0))</f>
        <v>0</v>
      </c>
      <c r="J96" s="9">
        <f>SUM(IFERROR(VLOOKUP($C:$C,Structure!$A:$AJ,J$1,0)*$D96,0),IFERROR(VLOOKUP($E:$E,Structure!$A:$AJ,J$1,0)*$F96,0),IFERROR(VLOOKUP($G:$G,Structure!$A:$AJ,J$1,0)*$H96,0))</f>
        <v>0</v>
      </c>
      <c r="K96" s="9">
        <f>SUM(IFERROR(VLOOKUP($C:$C,Structure!$A:$AJ,K$1,0)*$D96,0),IFERROR(VLOOKUP($E:$E,Structure!$A:$AJ,K$1,0)*$F96,0),IFERROR(VLOOKUP($G:$G,Structure!$A:$AJ,K$1,0)*$H96,0))</f>
        <v>0</v>
      </c>
      <c r="L96" s="9">
        <f>SUM(IFERROR(VLOOKUP($C:$C,Structure!$A:$AJ,L$1,0)*$D96,0),IFERROR(VLOOKUP($E:$E,Structure!$A:$AJ,L$1,0)*$F96,0),IFERROR(VLOOKUP($G:$G,Structure!$A:$AJ,L$1,0)*$H96,0))</f>
        <v>8</v>
      </c>
      <c r="M96" s="9">
        <f>SUM(IFERROR(VLOOKUP($C:$C,Structure!$A:$AJ,M$1,0)*$D96,0),IFERROR(VLOOKUP($E:$E,Structure!$A:$AJ,M$1,0)*$F96,0),IFERROR(VLOOKUP($G:$G,Structure!$A:$AJ,M$1,0)*$H96,0))</f>
        <v>0</v>
      </c>
      <c r="N96" s="9">
        <f>SUM(IFERROR(VLOOKUP($C:$C,Structure!$A:$AJ,N$1,0)*$D96,0),IFERROR(VLOOKUP($E:$E,Structure!$A:$AJ,N$1,0)*$F96,0),IFERROR(VLOOKUP($G:$G,Structure!$A:$AJ,N$1,0)*$H96,0))</f>
        <v>0</v>
      </c>
      <c r="O96" s="9">
        <f>SUM(IFERROR(VLOOKUP($C:$C,Structure!$A:$AJ,O$1,0)*$D96,0),IFERROR(VLOOKUP($E:$E,Structure!$A:$AJ,O$1,0)*$F96,0),IFERROR(VLOOKUP($G:$G,Structure!$A:$AJ,O$1,0)*$H96,0))</f>
        <v>0</v>
      </c>
      <c r="P96" s="9">
        <f>SUM(IFERROR(VLOOKUP($C:$C,Structure!$A:$AJ,P$1,0)*$D96,0),IFERROR(VLOOKUP($E:$E,Structure!$A:$AJ,P$1,0)*$F96,0),IFERROR(VLOOKUP($G:$G,Structure!$A:$AJ,P$1,0)*$H96,0))</f>
        <v>0</v>
      </c>
      <c r="Q96" s="9">
        <f>SUM(IFERROR(VLOOKUP($C:$C,Structure!$A:$AJ,Q$1,0)*$D96,0),IFERROR(VLOOKUP($E:$E,Structure!$A:$AJ,Q$1,0)*$F96,0),IFERROR(VLOOKUP($G:$G,Structure!$A:$AJ,Q$1,0)*$H96,0))</f>
        <v>0</v>
      </c>
      <c r="R96" s="9">
        <f>SUM(IFERROR(VLOOKUP($C:$C,Structure!$A:$AJ,R$1,0)*$D96,0),IFERROR(VLOOKUP($E:$E,Structure!$A:$AJ,R$1,0)*$F96,0),IFERROR(VLOOKUP($G:$G,Structure!$A:$AJ,R$1,0)*$H96,0))</f>
        <v>0</v>
      </c>
      <c r="S96" s="9">
        <f>SUM(IFERROR(VLOOKUP($C:$C,Structure!$A:$AJ,S$1,0)*$D96,0),IFERROR(VLOOKUP($E:$E,Structure!$A:$AJ,S$1,0)*$F96,0),IFERROR(VLOOKUP($G:$G,Structure!$A:$AJ,S$1,0)*$H96,0))</f>
        <v>0</v>
      </c>
      <c r="T96" s="9">
        <f>SUM(IFERROR(VLOOKUP($C:$C,Structure!$A:$AJ,T$1,0)*$D96,0),IFERROR(VLOOKUP($E:$E,Structure!$A:$AJ,T$1,0)*$F96,0),IFERROR(VLOOKUP($G:$G,Structure!$A:$AJ,T$1,0)*$H96,0))</f>
        <v>0</v>
      </c>
      <c r="U96" s="9">
        <f>SUM(IFERROR(VLOOKUP($C:$C,Structure!$A:$AJ,U$1,0)*$D96,0),IFERROR(VLOOKUP($E:$E,Structure!$A:$AJ,U$1,0)*$F96,0),IFERROR(VLOOKUP($G:$G,Structure!$A:$AJ,U$1,0)*$H96,0))</f>
        <v>0</v>
      </c>
      <c r="V96" s="9">
        <f>SUM(IFERROR(VLOOKUP($C:$C,Structure!$A:$AJ,V$1,0)*$D96,0),IFERROR(VLOOKUP($E:$E,Structure!$A:$AJ,V$1,0)*$F96,0),IFERROR(VLOOKUP($G:$G,Structure!$A:$AJ,V$1,0)*$H96,0))</f>
        <v>0</v>
      </c>
      <c r="W96" s="9">
        <f>SUM(IFERROR(VLOOKUP($C:$C,Structure!$A:$AJ,W$1,0)*$D96,0),IFERROR(VLOOKUP($E:$E,Structure!$A:$AJ,W$1,0)*$F96,0),IFERROR(VLOOKUP($G:$G,Structure!$A:$AJ,W$1,0)*$H96,0))</f>
        <v>8</v>
      </c>
      <c r="X96" s="9">
        <f>SUM(IFERROR(VLOOKUP($C:$C,Structure!$A:$AJ,X$1,0)*$D96,0),IFERROR(VLOOKUP($E:$E,Structure!$A:$AJ,X$1,0)*$F96,0),IFERROR(VLOOKUP($G:$G,Structure!$A:$AJ,X$1,0)*$H96,0))</f>
        <v>0</v>
      </c>
      <c r="Y96" s="9">
        <f>SUM(IFERROR(VLOOKUP($C:$C,Structure!$A:$AJ,Y$1,0)*$D96,0),IFERROR(VLOOKUP($E:$E,Structure!$A:$AJ,Y$1,0)*$F96,0),IFERROR(VLOOKUP($G:$G,Structure!$A:$AJ,Y$1,0)*$H96,0))</f>
        <v>0</v>
      </c>
      <c r="Z96" s="9">
        <f>SUM(IFERROR(VLOOKUP($C:$C,Structure!$A:$AJ,Z$1,0)*$D96,0),IFERROR(VLOOKUP($E:$E,Structure!$A:$AJ,Z$1,0)*$F96,0),IFERROR(VLOOKUP($G:$G,Structure!$A:$AJ,Z$1,0)*$H96,0))</f>
        <v>0</v>
      </c>
      <c r="AA96" s="9">
        <f>SUM(IFERROR(VLOOKUP($C:$C,Structure!$A:$AJ,AA$1,0)*$D96,0),IFERROR(VLOOKUP($E:$E,Structure!$A:$AJ,AA$1,0)*$F96,0),IFERROR(VLOOKUP($G:$G,Structure!$A:$AJ,AA$1,0)*$H96,0))</f>
        <v>0</v>
      </c>
      <c r="AB96" s="9">
        <f>SUM(IFERROR(VLOOKUP($C:$C,Structure!$A:$AJ,AB$1,0)*$D96,0),IFERROR(VLOOKUP($E:$E,Structure!$A:$AJ,AB$1,0)*$F96,0),IFERROR(VLOOKUP($G:$G,Structure!$A:$AJ,AB$1,0)*$H96,0))</f>
        <v>0</v>
      </c>
      <c r="AC96" s="9">
        <f>SUM(IFERROR(VLOOKUP($C:$C,Structure!$A:$AJ,AC$1,0)*$D96,0),IFERROR(VLOOKUP($E:$E,Structure!$A:$AJ,AC$1,0)*$F96,0),IFERROR(VLOOKUP($G:$G,Structure!$A:$AJ,AC$1,0)*$H96,0))</f>
        <v>0</v>
      </c>
      <c r="AD96" s="9">
        <f>SUM(IFERROR(VLOOKUP($C:$C,Structure!$A:$AJ,AD$1,0)*$D96,0),IFERROR(VLOOKUP($E:$E,Structure!$A:$AJ,AD$1,0)*$F96,0),IFERROR(VLOOKUP($G:$G,Structure!$A:$AJ,AD$1,0)*$H96,0))</f>
        <v>0</v>
      </c>
      <c r="AE96" s="9">
        <f>SUM(IFERROR(VLOOKUP($C:$C,Structure!$A:$AJ,AE$1,0)*$D96,0),IFERROR(VLOOKUP($E:$E,Structure!$A:$AJ,AE$1,0)*$F96,0),IFERROR(VLOOKUP($G:$G,Structure!$A:$AJ,AE$1,0)*$H96,0))</f>
        <v>0</v>
      </c>
      <c r="AF96" s="9">
        <f>SUM(IFERROR(VLOOKUP($C:$C,Structure!$A:$AJ,AF$1,0)*$D96,0),IFERROR(VLOOKUP($E:$E,Structure!$A:$AJ,AF$1,0)*$F96,0),IFERROR(VLOOKUP($G:$G,Structure!$A:$AJ,AF$1,0)*$H96,0))</f>
        <v>0</v>
      </c>
      <c r="AG96" s="9">
        <f>SUM(IFERROR(VLOOKUP($C:$C,Structure!$A:$AJ,AG$1,0)*$D96,0),IFERROR(VLOOKUP($E:$E,Structure!$A:$AJ,AG$1,0)*$F96,0),IFERROR(VLOOKUP($G:$G,Structure!$A:$AJ,AG$1,0)*$H96,0))</f>
        <v>0</v>
      </c>
      <c r="AH96" s="9">
        <f>SUM(IFERROR(VLOOKUP($C:$C,Structure!$A:$AJ,AH$1,0)*$D96,0),IFERROR(VLOOKUP($E:$E,Structure!$A:$AJ,AH$1,0)*$F96,0),IFERROR(VLOOKUP($G:$G,Structure!$A:$AJ,AH$1,0)*$H96,0))</f>
        <v>0</v>
      </c>
      <c r="AI96" s="9">
        <f>SUM(IFERROR(VLOOKUP($C:$C,Structure!$A:$AJ,AI$1,0)*$D96,0),IFERROR(VLOOKUP($E:$E,Structure!$A:$AJ,AI$1,0)*$F96,0),IFERROR(VLOOKUP($G:$G,Structure!$A:$AJ,AI$1,0)*$H96,0))</f>
        <v>0</v>
      </c>
      <c r="AJ96" s="9">
        <f>SUM(IFERROR(VLOOKUP($C:$C,Structure!$A:$AJ,AJ$1,0)*$D96,0),IFERROR(VLOOKUP($E:$E,Structure!$A:$AJ,AJ$1,0)*$F96,0),IFERROR(VLOOKUP($G:$G,Structure!$A:$AJ,AJ$1,0)*$H96,0))</f>
        <v>0</v>
      </c>
      <c r="AK96" s="9">
        <f>SUM(IFERROR(VLOOKUP($C:$C,Structure!$A:$AJ,AK$1,0)*$D96,0),IFERROR(VLOOKUP($E:$E,Structure!$A:$AJ,AK$1,0)*$F96,0),IFERROR(VLOOKUP($G:$G,Structure!$A:$AJ,AK$1,0)*$H96,0))</f>
        <v>0</v>
      </c>
      <c r="AL96" s="9">
        <f>SUM(IFERROR(VLOOKUP($C:$C,Structure!$A:$AJ,AL$1,0)*$D96,0),IFERROR(VLOOKUP($E:$E,Structure!$A:$AJ,AL$1,0)*$F96,0),IFERROR(VLOOKUP($G:$G,Structure!$A:$AJ,AL$1,0)*$H96,0))</f>
        <v>0</v>
      </c>
      <c r="AM96" s="9">
        <f>SUM(IFERROR(VLOOKUP($C:$C,Structure!$A:$AJ,AM$1,0)*$D96,0),IFERROR(VLOOKUP($E:$E,Structure!$A:$AJ,AM$1,0)*$F96,0),IFERROR(VLOOKUP($G:$G,Structure!$A:$AJ,AM$1,0)*$H96,0))</f>
        <v>0</v>
      </c>
      <c r="AN96" s="9">
        <f>SUM(IFERROR(VLOOKUP($C:$C,Structure!$A:$AJ,AN$1,0)*$D96,0),IFERROR(VLOOKUP($E:$E,Structure!$A:$AJ,AN$1,0)*$F96,0),IFERROR(VLOOKUP($G:$G,Structure!$A:$AJ,AN$1,0)*$H96,0))</f>
        <v>0</v>
      </c>
      <c r="AO96" s="9">
        <f>SUM(IFERROR(VLOOKUP($C:$C,Structure!$A:$AJ,AO$1,0)*$D96,0),IFERROR(VLOOKUP($E:$E,Structure!$A:$AJ,AO$1,0)*$F96,0),IFERROR(VLOOKUP($G:$G,Structure!$A:$AJ,AO$1,0)*$H96,0))</f>
        <v>0</v>
      </c>
      <c r="AP96" s="9">
        <f>SUM(IFERROR(VLOOKUP($C:$C,Structure!$A:$AJ,AP$1,0)*$D96,0),IFERROR(VLOOKUP($E:$E,Structure!$A:$AJ,AP$1,0)*$F96,0),IFERROR(VLOOKUP($G:$G,Structure!$A:$AJ,AP$1,0)*$H96,0))</f>
        <v>0</v>
      </c>
      <c r="AQ96" s="9">
        <f>SUM(IFERROR(VLOOKUP($C:$C,Structure!$A:$AJ,AQ$1,0)*$D96,0),IFERROR(VLOOKUP($E:$E,Structure!$A:$AJ,AQ$1,0)*$F96,0),IFERROR(VLOOKUP($G:$G,Structure!$A:$AJ,AQ$1,0)*$H96,0))</f>
        <v>0</v>
      </c>
      <c r="AR96" s="21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4">
        <f t="shared" si="92"/>
        <v>0</v>
      </c>
      <c r="CE96" s="4">
        <f t="shared" si="93"/>
        <v>-84</v>
      </c>
      <c r="CF96" s="4">
        <f t="shared" si="94"/>
        <v>4</v>
      </c>
      <c r="CG96" s="4">
        <f t="shared" si="95"/>
        <v>25</v>
      </c>
      <c r="CH96" s="4">
        <f t="shared" si="96"/>
        <v>1</v>
      </c>
      <c r="CI96" s="4">
        <f t="shared" si="97"/>
        <v>151</v>
      </c>
      <c r="CJ96" s="4">
        <f t="shared" si="98"/>
        <v>-58</v>
      </c>
      <c r="CK96" s="4">
        <f t="shared" si="99"/>
        <v>95</v>
      </c>
      <c r="CL96" s="4">
        <f t="shared" si="100"/>
        <v>0</v>
      </c>
      <c r="CM96" s="4">
        <f t="shared" si="101"/>
        <v>14</v>
      </c>
      <c r="CN96" s="4">
        <f t="shared" si="102"/>
        <v>55</v>
      </c>
      <c r="CO96" s="4">
        <f t="shared" si="103"/>
        <v>0</v>
      </c>
      <c r="CP96" s="4">
        <f t="shared" si="104"/>
        <v>103</v>
      </c>
      <c r="CQ96" s="4">
        <f t="shared" si="105"/>
        <v>-153</v>
      </c>
      <c r="CR96" s="4">
        <f t="shared" si="106"/>
        <v>26</v>
      </c>
      <c r="CS96" s="4">
        <f t="shared" si="107"/>
        <v>0</v>
      </c>
      <c r="CT96" s="4">
        <f t="shared" si="108"/>
        <v>0</v>
      </c>
      <c r="CU96" s="4">
        <f t="shared" si="109"/>
        <v>0</v>
      </c>
      <c r="CV96" s="4">
        <f t="shared" si="110"/>
        <v>0</v>
      </c>
      <c r="CW96" s="4">
        <f t="shared" si="111"/>
        <v>0</v>
      </c>
      <c r="CX96" s="4">
        <f t="shared" si="112"/>
        <v>-110</v>
      </c>
      <c r="CY96" s="4">
        <f t="shared" si="113"/>
        <v>0</v>
      </c>
      <c r="CZ96" s="4">
        <f t="shared" si="114"/>
        <v>0</v>
      </c>
      <c r="DA96" s="4">
        <f t="shared" si="115"/>
        <v>0</v>
      </c>
      <c r="DB96" s="4">
        <f t="shared" si="116"/>
        <v>0</v>
      </c>
      <c r="DC96" s="4">
        <f t="shared" si="117"/>
        <v>0</v>
      </c>
      <c r="DD96" s="4">
        <f t="shared" si="118"/>
        <v>0</v>
      </c>
      <c r="DE96" s="4">
        <f t="shared" si="119"/>
        <v>0</v>
      </c>
      <c r="DF96" s="4">
        <f t="shared" si="120"/>
        <v>0</v>
      </c>
      <c r="DG96" s="4">
        <f t="shared" si="121"/>
        <v>0</v>
      </c>
      <c r="DH96" s="4">
        <f t="shared" si="122"/>
        <v>0</v>
      </c>
      <c r="DI96" s="4">
        <f t="shared" si="123"/>
        <v>0</v>
      </c>
      <c r="DJ96" s="4">
        <f t="shared" si="124"/>
        <v>0</v>
      </c>
      <c r="DK96" s="4">
        <f t="shared" si="125"/>
        <v>0</v>
      </c>
      <c r="DL96" s="4">
        <f t="shared" si="126"/>
        <v>0</v>
      </c>
    </row>
    <row r="97" spans="1:116" x14ac:dyDescent="0.25">
      <c r="A97" s="5">
        <v>46185</v>
      </c>
      <c r="B97" s="6">
        <v>0.27083333356131334</v>
      </c>
      <c r="C97" s="3"/>
      <c r="D97" s="3"/>
      <c r="E97" s="3" t="s">
        <v>49</v>
      </c>
      <c r="F97" s="3">
        <v>8</v>
      </c>
      <c r="G97" s="3"/>
      <c r="H97" s="9"/>
      <c r="I97" s="9">
        <f>SUM(IFERROR(VLOOKUP($C:$C,Structure!$A:$AJ,I$1,0)*$D97,0),IFERROR(VLOOKUP($E:$E,Structure!$A:$AJ,I$1,0)*$F97,0),IFERROR(VLOOKUP($G:$G,Structure!$A:$AJ,I$1,0)*$H97,0))</f>
        <v>0</v>
      </c>
      <c r="J97" s="9">
        <f>SUM(IFERROR(VLOOKUP($C:$C,Structure!$A:$AJ,J$1,0)*$D97,0),IFERROR(VLOOKUP($E:$E,Structure!$A:$AJ,J$1,0)*$F97,0),IFERROR(VLOOKUP($G:$G,Structure!$A:$AJ,J$1,0)*$H97,0))</f>
        <v>0</v>
      </c>
      <c r="K97" s="9">
        <f>SUM(IFERROR(VLOOKUP($C:$C,Structure!$A:$AJ,K$1,0)*$D97,0),IFERROR(VLOOKUP($E:$E,Structure!$A:$AJ,K$1,0)*$F97,0),IFERROR(VLOOKUP($G:$G,Structure!$A:$AJ,K$1,0)*$H97,0))</f>
        <v>0</v>
      </c>
      <c r="L97" s="9">
        <f>SUM(IFERROR(VLOOKUP($C:$C,Structure!$A:$AJ,L$1,0)*$D97,0),IFERROR(VLOOKUP($E:$E,Structure!$A:$AJ,L$1,0)*$F97,0),IFERROR(VLOOKUP($G:$G,Structure!$A:$AJ,L$1,0)*$H97,0))</f>
        <v>0</v>
      </c>
      <c r="M97" s="9">
        <f>SUM(IFERROR(VLOOKUP($C:$C,Structure!$A:$AJ,M$1,0)*$D97,0),IFERROR(VLOOKUP($E:$E,Structure!$A:$AJ,M$1,0)*$F97,0),IFERROR(VLOOKUP($G:$G,Structure!$A:$AJ,M$1,0)*$H97,0))</f>
        <v>0</v>
      </c>
      <c r="N97" s="9">
        <f>SUM(IFERROR(VLOOKUP($C:$C,Structure!$A:$AJ,N$1,0)*$D97,0),IFERROR(VLOOKUP($E:$E,Structure!$A:$AJ,N$1,0)*$F97,0),IFERROR(VLOOKUP($G:$G,Structure!$A:$AJ,N$1,0)*$H97,0))</f>
        <v>8</v>
      </c>
      <c r="O97" s="9">
        <f>SUM(IFERROR(VLOOKUP($C:$C,Structure!$A:$AJ,O$1,0)*$D97,0),IFERROR(VLOOKUP($E:$E,Structure!$A:$AJ,O$1,0)*$F97,0),IFERROR(VLOOKUP($G:$G,Structure!$A:$AJ,O$1,0)*$H97,0))</f>
        <v>0</v>
      </c>
      <c r="P97" s="9">
        <f>SUM(IFERROR(VLOOKUP($C:$C,Structure!$A:$AJ,P$1,0)*$D97,0),IFERROR(VLOOKUP($E:$E,Structure!$A:$AJ,P$1,0)*$F97,0),IFERROR(VLOOKUP($G:$G,Structure!$A:$AJ,P$1,0)*$H97,0))</f>
        <v>0</v>
      </c>
      <c r="Q97" s="9">
        <f>SUM(IFERROR(VLOOKUP($C:$C,Structure!$A:$AJ,Q$1,0)*$D97,0),IFERROR(VLOOKUP($E:$E,Structure!$A:$AJ,Q$1,0)*$F97,0),IFERROR(VLOOKUP($G:$G,Structure!$A:$AJ,Q$1,0)*$H97,0))</f>
        <v>0</v>
      </c>
      <c r="R97" s="9">
        <f>SUM(IFERROR(VLOOKUP($C:$C,Structure!$A:$AJ,R$1,0)*$D97,0),IFERROR(VLOOKUP($E:$E,Structure!$A:$AJ,R$1,0)*$F97,0),IFERROR(VLOOKUP($G:$G,Structure!$A:$AJ,R$1,0)*$H97,0))</f>
        <v>0</v>
      </c>
      <c r="S97" s="9">
        <f>SUM(IFERROR(VLOOKUP($C:$C,Structure!$A:$AJ,S$1,0)*$D97,0),IFERROR(VLOOKUP($E:$E,Structure!$A:$AJ,S$1,0)*$F97,0),IFERROR(VLOOKUP($G:$G,Structure!$A:$AJ,S$1,0)*$H97,0))</f>
        <v>0</v>
      </c>
      <c r="T97" s="9">
        <f>SUM(IFERROR(VLOOKUP($C:$C,Structure!$A:$AJ,T$1,0)*$D97,0),IFERROR(VLOOKUP($E:$E,Structure!$A:$AJ,T$1,0)*$F97,0),IFERROR(VLOOKUP($G:$G,Structure!$A:$AJ,T$1,0)*$H97,0))</f>
        <v>0</v>
      </c>
      <c r="U97" s="9">
        <f>SUM(IFERROR(VLOOKUP($C:$C,Structure!$A:$AJ,U$1,0)*$D97,0),IFERROR(VLOOKUP($E:$E,Structure!$A:$AJ,U$1,0)*$F97,0),IFERROR(VLOOKUP($G:$G,Structure!$A:$AJ,U$1,0)*$H97,0))</f>
        <v>0</v>
      </c>
      <c r="V97" s="9">
        <f>SUM(IFERROR(VLOOKUP($C:$C,Structure!$A:$AJ,V$1,0)*$D97,0),IFERROR(VLOOKUP($E:$E,Structure!$A:$AJ,V$1,0)*$F97,0),IFERROR(VLOOKUP($G:$G,Structure!$A:$AJ,V$1,0)*$H97,0))</f>
        <v>0</v>
      </c>
      <c r="W97" s="9">
        <f>SUM(IFERROR(VLOOKUP($C:$C,Structure!$A:$AJ,W$1,0)*$D97,0),IFERROR(VLOOKUP($E:$E,Structure!$A:$AJ,W$1,0)*$F97,0),IFERROR(VLOOKUP($G:$G,Structure!$A:$AJ,W$1,0)*$H97,0))</f>
        <v>0</v>
      </c>
      <c r="X97" s="9">
        <f>SUM(IFERROR(VLOOKUP($C:$C,Structure!$A:$AJ,X$1,0)*$D97,0),IFERROR(VLOOKUP($E:$E,Structure!$A:$AJ,X$1,0)*$F97,0),IFERROR(VLOOKUP($G:$G,Structure!$A:$AJ,X$1,0)*$H97,0))</f>
        <v>8</v>
      </c>
      <c r="Y97" s="9">
        <f>SUM(IFERROR(VLOOKUP($C:$C,Structure!$A:$AJ,Y$1,0)*$D97,0),IFERROR(VLOOKUP($E:$E,Structure!$A:$AJ,Y$1,0)*$F97,0),IFERROR(VLOOKUP($G:$G,Structure!$A:$AJ,Y$1,0)*$H97,0))</f>
        <v>0</v>
      </c>
      <c r="Z97" s="9">
        <f>SUM(IFERROR(VLOOKUP($C:$C,Structure!$A:$AJ,Z$1,0)*$D97,0),IFERROR(VLOOKUP($E:$E,Structure!$A:$AJ,Z$1,0)*$F97,0),IFERROR(VLOOKUP($G:$G,Structure!$A:$AJ,Z$1,0)*$H97,0))</f>
        <v>0</v>
      </c>
      <c r="AA97" s="9">
        <f>SUM(IFERROR(VLOOKUP($C:$C,Structure!$A:$AJ,AA$1,0)*$D97,0),IFERROR(VLOOKUP($E:$E,Structure!$A:$AJ,AA$1,0)*$F97,0),IFERROR(VLOOKUP($G:$G,Structure!$A:$AJ,AA$1,0)*$H97,0))</f>
        <v>0</v>
      </c>
      <c r="AB97" s="9">
        <f>SUM(IFERROR(VLOOKUP($C:$C,Structure!$A:$AJ,AB$1,0)*$D97,0),IFERROR(VLOOKUP($E:$E,Structure!$A:$AJ,AB$1,0)*$F97,0),IFERROR(VLOOKUP($G:$G,Structure!$A:$AJ,AB$1,0)*$H97,0))</f>
        <v>0</v>
      </c>
      <c r="AC97" s="9">
        <f>SUM(IFERROR(VLOOKUP($C:$C,Structure!$A:$AJ,AC$1,0)*$D97,0),IFERROR(VLOOKUP($E:$E,Structure!$A:$AJ,AC$1,0)*$F97,0),IFERROR(VLOOKUP($G:$G,Structure!$A:$AJ,AC$1,0)*$H97,0))</f>
        <v>0</v>
      </c>
      <c r="AD97" s="9">
        <f>SUM(IFERROR(VLOOKUP($C:$C,Structure!$A:$AJ,AD$1,0)*$D97,0),IFERROR(VLOOKUP($E:$E,Structure!$A:$AJ,AD$1,0)*$F97,0),IFERROR(VLOOKUP($G:$G,Structure!$A:$AJ,AD$1,0)*$H97,0))</f>
        <v>0</v>
      </c>
      <c r="AE97" s="9">
        <f>SUM(IFERROR(VLOOKUP($C:$C,Structure!$A:$AJ,AE$1,0)*$D97,0),IFERROR(VLOOKUP($E:$E,Structure!$A:$AJ,AE$1,0)*$F97,0),IFERROR(VLOOKUP($G:$G,Structure!$A:$AJ,AE$1,0)*$H97,0))</f>
        <v>0</v>
      </c>
      <c r="AF97" s="9">
        <f>SUM(IFERROR(VLOOKUP($C:$C,Structure!$A:$AJ,AF$1,0)*$D97,0),IFERROR(VLOOKUP($E:$E,Structure!$A:$AJ,AF$1,0)*$F97,0),IFERROR(VLOOKUP($G:$G,Structure!$A:$AJ,AF$1,0)*$H97,0))</f>
        <v>0</v>
      </c>
      <c r="AG97" s="9">
        <f>SUM(IFERROR(VLOOKUP($C:$C,Structure!$A:$AJ,AG$1,0)*$D97,0),IFERROR(VLOOKUP($E:$E,Structure!$A:$AJ,AG$1,0)*$F97,0),IFERROR(VLOOKUP($G:$G,Structure!$A:$AJ,AG$1,0)*$H97,0))</f>
        <v>0</v>
      </c>
      <c r="AH97" s="9">
        <f>SUM(IFERROR(VLOOKUP($C:$C,Structure!$A:$AJ,AH$1,0)*$D97,0),IFERROR(VLOOKUP($E:$E,Structure!$A:$AJ,AH$1,0)*$F97,0),IFERROR(VLOOKUP($G:$G,Structure!$A:$AJ,AH$1,0)*$H97,0))</f>
        <v>0</v>
      </c>
      <c r="AI97" s="9">
        <f>SUM(IFERROR(VLOOKUP($C:$C,Structure!$A:$AJ,AI$1,0)*$D97,0),IFERROR(VLOOKUP($E:$E,Structure!$A:$AJ,AI$1,0)*$F97,0),IFERROR(VLOOKUP($G:$G,Structure!$A:$AJ,AI$1,0)*$H97,0))</f>
        <v>0</v>
      </c>
      <c r="AJ97" s="9">
        <f>SUM(IFERROR(VLOOKUP($C:$C,Structure!$A:$AJ,AJ$1,0)*$D97,0),IFERROR(VLOOKUP($E:$E,Structure!$A:$AJ,AJ$1,0)*$F97,0),IFERROR(VLOOKUP($G:$G,Structure!$A:$AJ,AJ$1,0)*$H97,0))</f>
        <v>0</v>
      </c>
      <c r="AK97" s="9">
        <f>SUM(IFERROR(VLOOKUP($C:$C,Structure!$A:$AJ,AK$1,0)*$D97,0),IFERROR(VLOOKUP($E:$E,Structure!$A:$AJ,AK$1,0)*$F97,0),IFERROR(VLOOKUP($G:$G,Structure!$A:$AJ,AK$1,0)*$H97,0))</f>
        <v>0</v>
      </c>
      <c r="AL97" s="9">
        <f>SUM(IFERROR(VLOOKUP($C:$C,Structure!$A:$AJ,AL$1,0)*$D97,0),IFERROR(VLOOKUP($E:$E,Structure!$A:$AJ,AL$1,0)*$F97,0),IFERROR(VLOOKUP($G:$G,Structure!$A:$AJ,AL$1,0)*$H97,0))</f>
        <v>0</v>
      </c>
      <c r="AM97" s="9">
        <f>SUM(IFERROR(VLOOKUP($C:$C,Structure!$A:$AJ,AM$1,0)*$D97,0),IFERROR(VLOOKUP($E:$E,Structure!$A:$AJ,AM$1,0)*$F97,0),IFERROR(VLOOKUP($G:$G,Structure!$A:$AJ,AM$1,0)*$H97,0))</f>
        <v>0</v>
      </c>
      <c r="AN97" s="9">
        <f>SUM(IFERROR(VLOOKUP($C:$C,Structure!$A:$AJ,AN$1,0)*$D97,0),IFERROR(VLOOKUP($E:$E,Structure!$A:$AJ,AN$1,0)*$F97,0),IFERROR(VLOOKUP($G:$G,Structure!$A:$AJ,AN$1,0)*$H97,0))</f>
        <v>0</v>
      </c>
      <c r="AO97" s="9">
        <f>SUM(IFERROR(VLOOKUP($C:$C,Structure!$A:$AJ,AO$1,0)*$D97,0),IFERROR(VLOOKUP($E:$E,Structure!$A:$AJ,AO$1,0)*$F97,0),IFERROR(VLOOKUP($G:$G,Structure!$A:$AJ,AO$1,0)*$H97,0))</f>
        <v>0</v>
      </c>
      <c r="AP97" s="9">
        <f>SUM(IFERROR(VLOOKUP($C:$C,Structure!$A:$AJ,AP$1,0)*$D97,0),IFERROR(VLOOKUP($E:$E,Structure!$A:$AJ,AP$1,0)*$F97,0),IFERROR(VLOOKUP($G:$G,Structure!$A:$AJ,AP$1,0)*$H97,0))</f>
        <v>0</v>
      </c>
      <c r="AQ97" s="9">
        <f>SUM(IFERROR(VLOOKUP($C:$C,Structure!$A:$AJ,AQ$1,0)*$D97,0),IFERROR(VLOOKUP($E:$E,Structure!$A:$AJ,AQ$1,0)*$F97,0),IFERROR(VLOOKUP($G:$G,Structure!$A:$AJ,AQ$1,0)*$H97,0))</f>
        <v>0</v>
      </c>
      <c r="AR97" s="21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4">
        <f t="shared" si="92"/>
        <v>0</v>
      </c>
      <c r="CE97" s="4">
        <f t="shared" si="93"/>
        <v>-84</v>
      </c>
      <c r="CF97" s="4">
        <f t="shared" si="94"/>
        <v>4</v>
      </c>
      <c r="CG97" s="4">
        <f t="shared" si="95"/>
        <v>25</v>
      </c>
      <c r="CH97" s="4">
        <f t="shared" si="96"/>
        <v>1</v>
      </c>
      <c r="CI97" s="4">
        <f t="shared" si="97"/>
        <v>143</v>
      </c>
      <c r="CJ97" s="4">
        <f t="shared" si="98"/>
        <v>-58</v>
      </c>
      <c r="CK97" s="4">
        <f t="shared" si="99"/>
        <v>95</v>
      </c>
      <c r="CL97" s="4">
        <f t="shared" si="100"/>
        <v>0</v>
      </c>
      <c r="CM97" s="4">
        <f t="shared" si="101"/>
        <v>14</v>
      </c>
      <c r="CN97" s="4">
        <f t="shared" si="102"/>
        <v>55</v>
      </c>
      <c r="CO97" s="4">
        <f t="shared" si="103"/>
        <v>0</v>
      </c>
      <c r="CP97" s="4">
        <f t="shared" si="104"/>
        <v>103</v>
      </c>
      <c r="CQ97" s="4">
        <f t="shared" si="105"/>
        <v>-153</v>
      </c>
      <c r="CR97" s="4">
        <f t="shared" si="106"/>
        <v>26</v>
      </c>
      <c r="CS97" s="4">
        <f t="shared" si="107"/>
        <v>-8</v>
      </c>
      <c r="CT97" s="4">
        <f t="shared" si="108"/>
        <v>0</v>
      </c>
      <c r="CU97" s="4">
        <f t="shared" si="109"/>
        <v>0</v>
      </c>
      <c r="CV97" s="4">
        <f t="shared" si="110"/>
        <v>0</v>
      </c>
      <c r="CW97" s="4">
        <f t="shared" si="111"/>
        <v>0</v>
      </c>
      <c r="CX97" s="4">
        <f t="shared" si="112"/>
        <v>-110</v>
      </c>
      <c r="CY97" s="4">
        <f t="shared" si="113"/>
        <v>0</v>
      </c>
      <c r="CZ97" s="4">
        <f t="shared" si="114"/>
        <v>0</v>
      </c>
      <c r="DA97" s="4">
        <f t="shared" si="115"/>
        <v>0</v>
      </c>
      <c r="DB97" s="4">
        <f t="shared" si="116"/>
        <v>0</v>
      </c>
      <c r="DC97" s="4">
        <f t="shared" si="117"/>
        <v>0</v>
      </c>
      <c r="DD97" s="4">
        <f t="shared" si="118"/>
        <v>0</v>
      </c>
      <c r="DE97" s="4">
        <f t="shared" si="119"/>
        <v>0</v>
      </c>
      <c r="DF97" s="4">
        <f t="shared" si="120"/>
        <v>0</v>
      </c>
      <c r="DG97" s="4">
        <f t="shared" si="121"/>
        <v>0</v>
      </c>
      <c r="DH97" s="4">
        <f t="shared" si="122"/>
        <v>0</v>
      </c>
      <c r="DI97" s="4">
        <f t="shared" si="123"/>
        <v>0</v>
      </c>
      <c r="DJ97" s="4">
        <f t="shared" si="124"/>
        <v>0</v>
      </c>
      <c r="DK97" s="4">
        <f t="shared" si="125"/>
        <v>0</v>
      </c>
      <c r="DL97" s="4">
        <f t="shared" si="126"/>
        <v>0</v>
      </c>
    </row>
    <row r="98" spans="1:116" x14ac:dyDescent="0.25">
      <c r="A98" s="5">
        <v>46185</v>
      </c>
      <c r="B98" s="6">
        <v>0.29166666689707199</v>
      </c>
      <c r="C98" s="3"/>
      <c r="D98" s="3"/>
      <c r="E98" s="3" t="s">
        <v>49</v>
      </c>
      <c r="F98" s="3">
        <v>8</v>
      </c>
      <c r="G98" s="3"/>
      <c r="H98" s="9"/>
      <c r="I98" s="9">
        <f>SUM(IFERROR(VLOOKUP($C:$C,Structure!$A:$AJ,I$1,0)*$D98,0),IFERROR(VLOOKUP($E:$E,Structure!$A:$AJ,I$1,0)*$F98,0),IFERROR(VLOOKUP($G:$G,Structure!$A:$AJ,I$1,0)*$H98,0))</f>
        <v>0</v>
      </c>
      <c r="J98" s="9">
        <f>SUM(IFERROR(VLOOKUP($C:$C,Structure!$A:$AJ,J$1,0)*$D98,0),IFERROR(VLOOKUP($E:$E,Structure!$A:$AJ,J$1,0)*$F98,0),IFERROR(VLOOKUP($G:$G,Structure!$A:$AJ,J$1,0)*$H98,0))</f>
        <v>0</v>
      </c>
      <c r="K98" s="9">
        <f>SUM(IFERROR(VLOOKUP($C:$C,Structure!$A:$AJ,K$1,0)*$D98,0),IFERROR(VLOOKUP($E:$E,Structure!$A:$AJ,K$1,0)*$F98,0),IFERROR(VLOOKUP($G:$G,Structure!$A:$AJ,K$1,0)*$H98,0))</f>
        <v>0</v>
      </c>
      <c r="L98" s="9">
        <f>SUM(IFERROR(VLOOKUP($C:$C,Structure!$A:$AJ,L$1,0)*$D98,0),IFERROR(VLOOKUP($E:$E,Structure!$A:$AJ,L$1,0)*$F98,0),IFERROR(VLOOKUP($G:$G,Structure!$A:$AJ,L$1,0)*$H98,0))</f>
        <v>0</v>
      </c>
      <c r="M98" s="9">
        <f>SUM(IFERROR(VLOOKUP($C:$C,Structure!$A:$AJ,M$1,0)*$D98,0),IFERROR(VLOOKUP($E:$E,Structure!$A:$AJ,M$1,0)*$F98,0),IFERROR(VLOOKUP($G:$G,Structure!$A:$AJ,M$1,0)*$H98,0))</f>
        <v>0</v>
      </c>
      <c r="N98" s="9">
        <f>SUM(IFERROR(VLOOKUP($C:$C,Structure!$A:$AJ,N$1,0)*$D98,0),IFERROR(VLOOKUP($E:$E,Structure!$A:$AJ,N$1,0)*$F98,0),IFERROR(VLOOKUP($G:$G,Structure!$A:$AJ,N$1,0)*$H98,0))</f>
        <v>8</v>
      </c>
      <c r="O98" s="9">
        <f>SUM(IFERROR(VLOOKUP($C:$C,Structure!$A:$AJ,O$1,0)*$D98,0),IFERROR(VLOOKUP($E:$E,Structure!$A:$AJ,O$1,0)*$F98,0),IFERROR(VLOOKUP($G:$G,Structure!$A:$AJ,O$1,0)*$H98,0))</f>
        <v>0</v>
      </c>
      <c r="P98" s="9">
        <f>SUM(IFERROR(VLOOKUP($C:$C,Structure!$A:$AJ,P$1,0)*$D98,0),IFERROR(VLOOKUP($E:$E,Structure!$A:$AJ,P$1,0)*$F98,0),IFERROR(VLOOKUP($G:$G,Structure!$A:$AJ,P$1,0)*$H98,0))</f>
        <v>0</v>
      </c>
      <c r="Q98" s="9">
        <f>SUM(IFERROR(VLOOKUP($C:$C,Structure!$A:$AJ,Q$1,0)*$D98,0),IFERROR(VLOOKUP($E:$E,Structure!$A:$AJ,Q$1,0)*$F98,0),IFERROR(VLOOKUP($G:$G,Structure!$A:$AJ,Q$1,0)*$H98,0))</f>
        <v>0</v>
      </c>
      <c r="R98" s="9">
        <f>SUM(IFERROR(VLOOKUP($C:$C,Structure!$A:$AJ,R$1,0)*$D98,0),IFERROR(VLOOKUP($E:$E,Structure!$A:$AJ,R$1,0)*$F98,0),IFERROR(VLOOKUP($G:$G,Structure!$A:$AJ,R$1,0)*$H98,0))</f>
        <v>0</v>
      </c>
      <c r="S98" s="9">
        <f>SUM(IFERROR(VLOOKUP($C:$C,Structure!$A:$AJ,S$1,0)*$D98,0),IFERROR(VLOOKUP($E:$E,Structure!$A:$AJ,S$1,0)*$F98,0),IFERROR(VLOOKUP($G:$G,Structure!$A:$AJ,S$1,0)*$H98,0))</f>
        <v>0</v>
      </c>
      <c r="T98" s="9">
        <f>SUM(IFERROR(VLOOKUP($C:$C,Structure!$A:$AJ,T$1,0)*$D98,0),IFERROR(VLOOKUP($E:$E,Structure!$A:$AJ,T$1,0)*$F98,0),IFERROR(VLOOKUP($G:$G,Structure!$A:$AJ,T$1,0)*$H98,0))</f>
        <v>0</v>
      </c>
      <c r="U98" s="9">
        <f>SUM(IFERROR(VLOOKUP($C:$C,Structure!$A:$AJ,U$1,0)*$D98,0),IFERROR(VLOOKUP($E:$E,Structure!$A:$AJ,U$1,0)*$F98,0),IFERROR(VLOOKUP($G:$G,Structure!$A:$AJ,U$1,0)*$H98,0))</f>
        <v>0</v>
      </c>
      <c r="V98" s="9">
        <f>SUM(IFERROR(VLOOKUP($C:$C,Structure!$A:$AJ,V$1,0)*$D98,0),IFERROR(VLOOKUP($E:$E,Structure!$A:$AJ,V$1,0)*$F98,0),IFERROR(VLOOKUP($G:$G,Structure!$A:$AJ,V$1,0)*$H98,0))</f>
        <v>0</v>
      </c>
      <c r="W98" s="9">
        <f>SUM(IFERROR(VLOOKUP($C:$C,Structure!$A:$AJ,W$1,0)*$D98,0),IFERROR(VLOOKUP($E:$E,Structure!$A:$AJ,W$1,0)*$F98,0),IFERROR(VLOOKUP($G:$G,Structure!$A:$AJ,W$1,0)*$H98,0))</f>
        <v>0</v>
      </c>
      <c r="X98" s="9">
        <f>SUM(IFERROR(VLOOKUP($C:$C,Structure!$A:$AJ,X$1,0)*$D98,0),IFERROR(VLOOKUP($E:$E,Structure!$A:$AJ,X$1,0)*$F98,0),IFERROR(VLOOKUP($G:$G,Structure!$A:$AJ,X$1,0)*$H98,0))</f>
        <v>8</v>
      </c>
      <c r="Y98" s="9">
        <f>SUM(IFERROR(VLOOKUP($C:$C,Structure!$A:$AJ,Y$1,0)*$D98,0),IFERROR(VLOOKUP($E:$E,Structure!$A:$AJ,Y$1,0)*$F98,0),IFERROR(VLOOKUP($G:$G,Structure!$A:$AJ,Y$1,0)*$H98,0))</f>
        <v>0</v>
      </c>
      <c r="Z98" s="9">
        <f>SUM(IFERROR(VLOOKUP($C:$C,Structure!$A:$AJ,Z$1,0)*$D98,0),IFERROR(VLOOKUP($E:$E,Structure!$A:$AJ,Z$1,0)*$F98,0),IFERROR(VLOOKUP($G:$G,Structure!$A:$AJ,Z$1,0)*$H98,0))</f>
        <v>0</v>
      </c>
      <c r="AA98" s="9">
        <f>SUM(IFERROR(VLOOKUP($C:$C,Structure!$A:$AJ,AA$1,0)*$D98,0),IFERROR(VLOOKUP($E:$E,Structure!$A:$AJ,AA$1,0)*$F98,0),IFERROR(VLOOKUP($G:$G,Structure!$A:$AJ,AA$1,0)*$H98,0))</f>
        <v>0</v>
      </c>
      <c r="AB98" s="9">
        <f>SUM(IFERROR(VLOOKUP($C:$C,Structure!$A:$AJ,AB$1,0)*$D98,0),IFERROR(VLOOKUP($E:$E,Structure!$A:$AJ,AB$1,0)*$F98,0),IFERROR(VLOOKUP($G:$G,Structure!$A:$AJ,AB$1,0)*$H98,0))</f>
        <v>0</v>
      </c>
      <c r="AC98" s="9">
        <f>SUM(IFERROR(VLOOKUP($C:$C,Structure!$A:$AJ,AC$1,0)*$D98,0),IFERROR(VLOOKUP($E:$E,Structure!$A:$AJ,AC$1,0)*$F98,0),IFERROR(VLOOKUP($G:$G,Structure!$A:$AJ,AC$1,0)*$H98,0))</f>
        <v>0</v>
      </c>
      <c r="AD98" s="9">
        <f>SUM(IFERROR(VLOOKUP($C:$C,Structure!$A:$AJ,AD$1,0)*$D98,0),IFERROR(VLOOKUP($E:$E,Structure!$A:$AJ,AD$1,0)*$F98,0),IFERROR(VLOOKUP($G:$G,Structure!$A:$AJ,AD$1,0)*$H98,0))</f>
        <v>0</v>
      </c>
      <c r="AE98" s="9">
        <f>SUM(IFERROR(VLOOKUP($C:$C,Structure!$A:$AJ,AE$1,0)*$D98,0),IFERROR(VLOOKUP($E:$E,Structure!$A:$AJ,AE$1,0)*$F98,0),IFERROR(VLOOKUP($G:$G,Structure!$A:$AJ,AE$1,0)*$H98,0))</f>
        <v>0</v>
      </c>
      <c r="AF98" s="9">
        <f>SUM(IFERROR(VLOOKUP($C:$C,Structure!$A:$AJ,AF$1,0)*$D98,0),IFERROR(VLOOKUP($E:$E,Structure!$A:$AJ,AF$1,0)*$F98,0),IFERROR(VLOOKUP($G:$G,Structure!$A:$AJ,AF$1,0)*$H98,0))</f>
        <v>0</v>
      </c>
      <c r="AG98" s="9">
        <f>SUM(IFERROR(VLOOKUP($C:$C,Structure!$A:$AJ,AG$1,0)*$D98,0),IFERROR(VLOOKUP($E:$E,Structure!$A:$AJ,AG$1,0)*$F98,0),IFERROR(VLOOKUP($G:$G,Structure!$A:$AJ,AG$1,0)*$H98,0))</f>
        <v>0</v>
      </c>
      <c r="AH98" s="9">
        <f>SUM(IFERROR(VLOOKUP($C:$C,Structure!$A:$AJ,AH$1,0)*$D98,0),IFERROR(VLOOKUP($E:$E,Structure!$A:$AJ,AH$1,0)*$F98,0),IFERROR(VLOOKUP($G:$G,Structure!$A:$AJ,AH$1,0)*$H98,0))</f>
        <v>0</v>
      </c>
      <c r="AI98" s="9">
        <f>SUM(IFERROR(VLOOKUP($C:$C,Structure!$A:$AJ,AI$1,0)*$D98,0),IFERROR(VLOOKUP($E:$E,Structure!$A:$AJ,AI$1,0)*$F98,0),IFERROR(VLOOKUP($G:$G,Structure!$A:$AJ,AI$1,0)*$H98,0))</f>
        <v>0</v>
      </c>
      <c r="AJ98" s="9">
        <f>SUM(IFERROR(VLOOKUP($C:$C,Structure!$A:$AJ,AJ$1,0)*$D98,0),IFERROR(VLOOKUP($E:$E,Structure!$A:$AJ,AJ$1,0)*$F98,0),IFERROR(VLOOKUP($G:$G,Structure!$A:$AJ,AJ$1,0)*$H98,0))</f>
        <v>0</v>
      </c>
      <c r="AK98" s="9">
        <f>SUM(IFERROR(VLOOKUP($C:$C,Structure!$A:$AJ,AK$1,0)*$D98,0),IFERROR(VLOOKUP($E:$E,Structure!$A:$AJ,AK$1,0)*$F98,0),IFERROR(VLOOKUP($G:$G,Structure!$A:$AJ,AK$1,0)*$H98,0))</f>
        <v>0</v>
      </c>
      <c r="AL98" s="9">
        <f>SUM(IFERROR(VLOOKUP($C:$C,Structure!$A:$AJ,AL$1,0)*$D98,0),IFERROR(VLOOKUP($E:$E,Structure!$A:$AJ,AL$1,0)*$F98,0),IFERROR(VLOOKUP($G:$G,Structure!$A:$AJ,AL$1,0)*$H98,0))</f>
        <v>0</v>
      </c>
      <c r="AM98" s="9">
        <f>SUM(IFERROR(VLOOKUP($C:$C,Structure!$A:$AJ,AM$1,0)*$D98,0),IFERROR(VLOOKUP($E:$E,Structure!$A:$AJ,AM$1,0)*$F98,0),IFERROR(VLOOKUP($G:$G,Structure!$A:$AJ,AM$1,0)*$H98,0))</f>
        <v>0</v>
      </c>
      <c r="AN98" s="9">
        <f>SUM(IFERROR(VLOOKUP($C:$C,Structure!$A:$AJ,AN$1,0)*$D98,0),IFERROR(VLOOKUP($E:$E,Structure!$A:$AJ,AN$1,0)*$F98,0),IFERROR(VLOOKUP($G:$G,Structure!$A:$AJ,AN$1,0)*$H98,0))</f>
        <v>0</v>
      </c>
      <c r="AO98" s="9">
        <f>SUM(IFERROR(VLOOKUP($C:$C,Structure!$A:$AJ,AO$1,0)*$D98,0),IFERROR(VLOOKUP($E:$E,Structure!$A:$AJ,AO$1,0)*$F98,0),IFERROR(VLOOKUP($G:$G,Structure!$A:$AJ,AO$1,0)*$H98,0))</f>
        <v>0</v>
      </c>
      <c r="AP98" s="9">
        <f>SUM(IFERROR(VLOOKUP($C:$C,Structure!$A:$AJ,AP$1,0)*$D98,0),IFERROR(VLOOKUP($E:$E,Structure!$A:$AJ,AP$1,0)*$F98,0),IFERROR(VLOOKUP($G:$G,Structure!$A:$AJ,AP$1,0)*$H98,0))</f>
        <v>0</v>
      </c>
      <c r="AQ98" s="9">
        <f>SUM(IFERROR(VLOOKUP($C:$C,Structure!$A:$AJ,AQ$1,0)*$D98,0),IFERROR(VLOOKUP($E:$E,Structure!$A:$AJ,AQ$1,0)*$F98,0),IFERROR(VLOOKUP($G:$G,Structure!$A:$AJ,AQ$1,0)*$H98,0))</f>
        <v>0</v>
      </c>
      <c r="AR98" s="21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4">
        <f t="shared" si="92"/>
        <v>0</v>
      </c>
      <c r="CE98" s="4">
        <f t="shared" si="93"/>
        <v>-84</v>
      </c>
      <c r="CF98" s="4">
        <f t="shared" si="94"/>
        <v>4</v>
      </c>
      <c r="CG98" s="4">
        <f t="shared" si="95"/>
        <v>25</v>
      </c>
      <c r="CH98" s="4">
        <f t="shared" si="96"/>
        <v>1</v>
      </c>
      <c r="CI98" s="4">
        <f t="shared" si="97"/>
        <v>135</v>
      </c>
      <c r="CJ98" s="4">
        <f t="shared" si="98"/>
        <v>-58</v>
      </c>
      <c r="CK98" s="4">
        <f t="shared" si="99"/>
        <v>95</v>
      </c>
      <c r="CL98" s="4">
        <f t="shared" si="100"/>
        <v>0</v>
      </c>
      <c r="CM98" s="4">
        <f t="shared" si="101"/>
        <v>14</v>
      </c>
      <c r="CN98" s="4">
        <f t="shared" si="102"/>
        <v>55</v>
      </c>
      <c r="CO98" s="4">
        <f t="shared" si="103"/>
        <v>0</v>
      </c>
      <c r="CP98" s="4">
        <f t="shared" si="104"/>
        <v>103</v>
      </c>
      <c r="CQ98" s="4">
        <f t="shared" si="105"/>
        <v>-153</v>
      </c>
      <c r="CR98" s="4">
        <f t="shared" si="106"/>
        <v>26</v>
      </c>
      <c r="CS98" s="4">
        <f t="shared" si="107"/>
        <v>-16</v>
      </c>
      <c r="CT98" s="4">
        <f t="shared" si="108"/>
        <v>0</v>
      </c>
      <c r="CU98" s="4">
        <f t="shared" si="109"/>
        <v>0</v>
      </c>
      <c r="CV98" s="4">
        <f t="shared" si="110"/>
        <v>0</v>
      </c>
      <c r="CW98" s="4">
        <f t="shared" si="111"/>
        <v>0</v>
      </c>
      <c r="CX98" s="4">
        <f t="shared" si="112"/>
        <v>-110</v>
      </c>
      <c r="CY98" s="4">
        <f t="shared" si="113"/>
        <v>0</v>
      </c>
      <c r="CZ98" s="4">
        <f t="shared" si="114"/>
        <v>0</v>
      </c>
      <c r="DA98" s="4">
        <f t="shared" si="115"/>
        <v>0</v>
      </c>
      <c r="DB98" s="4">
        <f t="shared" si="116"/>
        <v>0</v>
      </c>
      <c r="DC98" s="4">
        <f t="shared" si="117"/>
        <v>0</v>
      </c>
      <c r="DD98" s="4">
        <f t="shared" si="118"/>
        <v>0</v>
      </c>
      <c r="DE98" s="4">
        <f t="shared" si="119"/>
        <v>0</v>
      </c>
      <c r="DF98" s="4">
        <f t="shared" si="120"/>
        <v>0</v>
      </c>
      <c r="DG98" s="4">
        <f t="shared" si="121"/>
        <v>0</v>
      </c>
      <c r="DH98" s="4">
        <f t="shared" si="122"/>
        <v>0</v>
      </c>
      <c r="DI98" s="4">
        <f t="shared" si="123"/>
        <v>0</v>
      </c>
      <c r="DJ98" s="4">
        <f t="shared" si="124"/>
        <v>0</v>
      </c>
      <c r="DK98" s="4">
        <f t="shared" si="125"/>
        <v>0</v>
      </c>
      <c r="DL98" s="4">
        <f t="shared" si="126"/>
        <v>0</v>
      </c>
    </row>
    <row r="99" spans="1:116" x14ac:dyDescent="0.25">
      <c r="A99" s="5">
        <v>46185</v>
      </c>
      <c r="B99" s="6">
        <v>0.31250000023283064</v>
      </c>
      <c r="C99" s="3"/>
      <c r="D99" s="3"/>
      <c r="E99" s="3" t="s">
        <v>49</v>
      </c>
      <c r="F99" s="3">
        <v>8</v>
      </c>
      <c r="G99" s="3"/>
      <c r="H99" s="9"/>
      <c r="I99" s="9">
        <f>SUM(IFERROR(VLOOKUP($C:$C,Structure!$A:$AJ,I$1,0)*$D99,0),IFERROR(VLOOKUP($E:$E,Structure!$A:$AJ,I$1,0)*$F99,0),IFERROR(VLOOKUP($G:$G,Structure!$A:$AJ,I$1,0)*$H99,0))</f>
        <v>0</v>
      </c>
      <c r="J99" s="9">
        <f>SUM(IFERROR(VLOOKUP($C:$C,Structure!$A:$AJ,J$1,0)*$D99,0),IFERROR(VLOOKUP($E:$E,Structure!$A:$AJ,J$1,0)*$F99,0),IFERROR(VLOOKUP($G:$G,Structure!$A:$AJ,J$1,0)*$H99,0))</f>
        <v>0</v>
      </c>
      <c r="K99" s="9">
        <f>SUM(IFERROR(VLOOKUP($C:$C,Structure!$A:$AJ,K$1,0)*$D99,0),IFERROR(VLOOKUP($E:$E,Structure!$A:$AJ,K$1,0)*$F99,0),IFERROR(VLOOKUP($G:$G,Structure!$A:$AJ,K$1,0)*$H99,0))</f>
        <v>0</v>
      </c>
      <c r="L99" s="9">
        <f>SUM(IFERROR(VLOOKUP($C:$C,Structure!$A:$AJ,L$1,0)*$D99,0),IFERROR(VLOOKUP($E:$E,Structure!$A:$AJ,L$1,0)*$F99,0),IFERROR(VLOOKUP($G:$G,Structure!$A:$AJ,L$1,0)*$H99,0))</f>
        <v>0</v>
      </c>
      <c r="M99" s="9">
        <f>SUM(IFERROR(VLOOKUP($C:$C,Structure!$A:$AJ,M$1,0)*$D99,0),IFERROR(VLOOKUP($E:$E,Structure!$A:$AJ,M$1,0)*$F99,0),IFERROR(VLOOKUP($G:$G,Structure!$A:$AJ,M$1,0)*$H99,0))</f>
        <v>0</v>
      </c>
      <c r="N99" s="9">
        <f>SUM(IFERROR(VLOOKUP($C:$C,Structure!$A:$AJ,N$1,0)*$D99,0),IFERROR(VLOOKUP($E:$E,Structure!$A:$AJ,N$1,0)*$F99,0),IFERROR(VLOOKUP($G:$G,Structure!$A:$AJ,N$1,0)*$H99,0))</f>
        <v>8</v>
      </c>
      <c r="O99" s="9">
        <f>SUM(IFERROR(VLOOKUP($C:$C,Structure!$A:$AJ,O$1,0)*$D99,0),IFERROR(VLOOKUP($E:$E,Structure!$A:$AJ,O$1,0)*$F99,0),IFERROR(VLOOKUP($G:$G,Structure!$A:$AJ,O$1,0)*$H99,0))</f>
        <v>0</v>
      </c>
      <c r="P99" s="9">
        <f>SUM(IFERROR(VLOOKUP($C:$C,Structure!$A:$AJ,P$1,0)*$D99,0),IFERROR(VLOOKUP($E:$E,Structure!$A:$AJ,P$1,0)*$F99,0),IFERROR(VLOOKUP($G:$G,Structure!$A:$AJ,P$1,0)*$H99,0))</f>
        <v>0</v>
      </c>
      <c r="Q99" s="9">
        <f>SUM(IFERROR(VLOOKUP($C:$C,Structure!$A:$AJ,Q$1,0)*$D99,0),IFERROR(VLOOKUP($E:$E,Structure!$A:$AJ,Q$1,0)*$F99,0),IFERROR(VLOOKUP($G:$G,Structure!$A:$AJ,Q$1,0)*$H99,0))</f>
        <v>0</v>
      </c>
      <c r="R99" s="9">
        <f>SUM(IFERROR(VLOOKUP($C:$C,Structure!$A:$AJ,R$1,0)*$D99,0),IFERROR(VLOOKUP($E:$E,Structure!$A:$AJ,R$1,0)*$F99,0),IFERROR(VLOOKUP($G:$G,Structure!$A:$AJ,R$1,0)*$H99,0))</f>
        <v>0</v>
      </c>
      <c r="S99" s="9">
        <f>SUM(IFERROR(VLOOKUP($C:$C,Structure!$A:$AJ,S$1,0)*$D99,0),IFERROR(VLOOKUP($E:$E,Structure!$A:$AJ,S$1,0)*$F99,0),IFERROR(VLOOKUP($G:$G,Structure!$A:$AJ,S$1,0)*$H99,0))</f>
        <v>0</v>
      </c>
      <c r="T99" s="9">
        <f>SUM(IFERROR(VLOOKUP($C:$C,Structure!$A:$AJ,T$1,0)*$D99,0),IFERROR(VLOOKUP($E:$E,Structure!$A:$AJ,T$1,0)*$F99,0),IFERROR(VLOOKUP($G:$G,Structure!$A:$AJ,T$1,0)*$H99,0))</f>
        <v>0</v>
      </c>
      <c r="U99" s="9">
        <f>SUM(IFERROR(VLOOKUP($C:$C,Structure!$A:$AJ,U$1,0)*$D99,0),IFERROR(VLOOKUP($E:$E,Structure!$A:$AJ,U$1,0)*$F99,0),IFERROR(VLOOKUP($G:$G,Structure!$A:$AJ,U$1,0)*$H99,0))</f>
        <v>0</v>
      </c>
      <c r="V99" s="9">
        <f>SUM(IFERROR(VLOOKUP($C:$C,Structure!$A:$AJ,V$1,0)*$D99,0),IFERROR(VLOOKUP($E:$E,Structure!$A:$AJ,V$1,0)*$F99,0),IFERROR(VLOOKUP($G:$G,Structure!$A:$AJ,V$1,0)*$H99,0))</f>
        <v>0</v>
      </c>
      <c r="W99" s="9">
        <f>SUM(IFERROR(VLOOKUP($C:$C,Structure!$A:$AJ,W$1,0)*$D99,0),IFERROR(VLOOKUP($E:$E,Structure!$A:$AJ,W$1,0)*$F99,0),IFERROR(VLOOKUP($G:$G,Structure!$A:$AJ,W$1,0)*$H99,0))</f>
        <v>0</v>
      </c>
      <c r="X99" s="9">
        <f>SUM(IFERROR(VLOOKUP($C:$C,Structure!$A:$AJ,X$1,0)*$D99,0),IFERROR(VLOOKUP($E:$E,Structure!$A:$AJ,X$1,0)*$F99,0),IFERROR(VLOOKUP($G:$G,Structure!$A:$AJ,X$1,0)*$H99,0))</f>
        <v>8</v>
      </c>
      <c r="Y99" s="9">
        <f>SUM(IFERROR(VLOOKUP($C:$C,Structure!$A:$AJ,Y$1,0)*$D99,0),IFERROR(VLOOKUP($E:$E,Structure!$A:$AJ,Y$1,0)*$F99,0),IFERROR(VLOOKUP($G:$G,Structure!$A:$AJ,Y$1,0)*$H99,0))</f>
        <v>0</v>
      </c>
      <c r="Z99" s="9">
        <f>SUM(IFERROR(VLOOKUP($C:$C,Structure!$A:$AJ,Z$1,0)*$D99,0),IFERROR(VLOOKUP($E:$E,Structure!$A:$AJ,Z$1,0)*$F99,0),IFERROR(VLOOKUP($G:$G,Structure!$A:$AJ,Z$1,0)*$H99,0))</f>
        <v>0</v>
      </c>
      <c r="AA99" s="9">
        <f>SUM(IFERROR(VLOOKUP($C:$C,Structure!$A:$AJ,AA$1,0)*$D99,0),IFERROR(VLOOKUP($E:$E,Structure!$A:$AJ,AA$1,0)*$F99,0),IFERROR(VLOOKUP($G:$G,Structure!$A:$AJ,AA$1,0)*$H99,0))</f>
        <v>0</v>
      </c>
      <c r="AB99" s="9">
        <f>SUM(IFERROR(VLOOKUP($C:$C,Structure!$A:$AJ,AB$1,0)*$D99,0),IFERROR(VLOOKUP($E:$E,Structure!$A:$AJ,AB$1,0)*$F99,0),IFERROR(VLOOKUP($G:$G,Structure!$A:$AJ,AB$1,0)*$H99,0))</f>
        <v>0</v>
      </c>
      <c r="AC99" s="9">
        <f>SUM(IFERROR(VLOOKUP($C:$C,Structure!$A:$AJ,AC$1,0)*$D99,0),IFERROR(VLOOKUP($E:$E,Structure!$A:$AJ,AC$1,0)*$F99,0),IFERROR(VLOOKUP($G:$G,Structure!$A:$AJ,AC$1,0)*$H99,0))</f>
        <v>0</v>
      </c>
      <c r="AD99" s="9">
        <f>SUM(IFERROR(VLOOKUP($C:$C,Structure!$A:$AJ,AD$1,0)*$D99,0),IFERROR(VLOOKUP($E:$E,Structure!$A:$AJ,AD$1,0)*$F99,0),IFERROR(VLOOKUP($G:$G,Structure!$A:$AJ,AD$1,0)*$H99,0))</f>
        <v>0</v>
      </c>
      <c r="AE99" s="9">
        <f>SUM(IFERROR(VLOOKUP($C:$C,Structure!$A:$AJ,AE$1,0)*$D99,0),IFERROR(VLOOKUP($E:$E,Structure!$A:$AJ,AE$1,0)*$F99,0),IFERROR(VLOOKUP($G:$G,Structure!$A:$AJ,AE$1,0)*$H99,0))</f>
        <v>0</v>
      </c>
      <c r="AF99" s="9">
        <f>SUM(IFERROR(VLOOKUP($C:$C,Structure!$A:$AJ,AF$1,0)*$D99,0),IFERROR(VLOOKUP($E:$E,Structure!$A:$AJ,AF$1,0)*$F99,0),IFERROR(VLOOKUP($G:$G,Structure!$A:$AJ,AF$1,0)*$H99,0))</f>
        <v>0</v>
      </c>
      <c r="AG99" s="9">
        <f>SUM(IFERROR(VLOOKUP($C:$C,Structure!$A:$AJ,AG$1,0)*$D99,0),IFERROR(VLOOKUP($E:$E,Structure!$A:$AJ,AG$1,0)*$F99,0),IFERROR(VLOOKUP($G:$G,Structure!$A:$AJ,AG$1,0)*$H99,0))</f>
        <v>0</v>
      </c>
      <c r="AH99" s="9">
        <f>SUM(IFERROR(VLOOKUP($C:$C,Structure!$A:$AJ,AH$1,0)*$D99,0),IFERROR(VLOOKUP($E:$E,Structure!$A:$AJ,AH$1,0)*$F99,0),IFERROR(VLOOKUP($G:$G,Structure!$A:$AJ,AH$1,0)*$H99,0))</f>
        <v>0</v>
      </c>
      <c r="AI99" s="9">
        <f>SUM(IFERROR(VLOOKUP($C:$C,Structure!$A:$AJ,AI$1,0)*$D99,0),IFERROR(VLOOKUP($E:$E,Structure!$A:$AJ,AI$1,0)*$F99,0),IFERROR(VLOOKUP($G:$G,Structure!$A:$AJ,AI$1,0)*$H99,0))</f>
        <v>0</v>
      </c>
      <c r="AJ99" s="9">
        <f>SUM(IFERROR(VLOOKUP($C:$C,Structure!$A:$AJ,AJ$1,0)*$D99,0),IFERROR(VLOOKUP($E:$E,Structure!$A:$AJ,AJ$1,0)*$F99,0),IFERROR(VLOOKUP($G:$G,Structure!$A:$AJ,AJ$1,0)*$H99,0))</f>
        <v>0</v>
      </c>
      <c r="AK99" s="9">
        <f>SUM(IFERROR(VLOOKUP($C:$C,Structure!$A:$AJ,AK$1,0)*$D99,0),IFERROR(VLOOKUP($E:$E,Structure!$A:$AJ,AK$1,0)*$F99,0),IFERROR(VLOOKUP($G:$G,Structure!$A:$AJ,AK$1,0)*$H99,0))</f>
        <v>0</v>
      </c>
      <c r="AL99" s="9">
        <f>SUM(IFERROR(VLOOKUP($C:$C,Structure!$A:$AJ,AL$1,0)*$D99,0),IFERROR(VLOOKUP($E:$E,Structure!$A:$AJ,AL$1,0)*$F99,0),IFERROR(VLOOKUP($G:$G,Structure!$A:$AJ,AL$1,0)*$H99,0))</f>
        <v>0</v>
      </c>
      <c r="AM99" s="9">
        <f>SUM(IFERROR(VLOOKUP($C:$C,Structure!$A:$AJ,AM$1,0)*$D99,0),IFERROR(VLOOKUP($E:$E,Structure!$A:$AJ,AM$1,0)*$F99,0),IFERROR(VLOOKUP($G:$G,Structure!$A:$AJ,AM$1,0)*$H99,0))</f>
        <v>0</v>
      </c>
      <c r="AN99" s="9">
        <f>SUM(IFERROR(VLOOKUP($C:$C,Structure!$A:$AJ,AN$1,0)*$D99,0),IFERROR(VLOOKUP($E:$E,Structure!$A:$AJ,AN$1,0)*$F99,0),IFERROR(VLOOKUP($G:$G,Structure!$A:$AJ,AN$1,0)*$H99,0))</f>
        <v>0</v>
      </c>
      <c r="AO99" s="9">
        <f>SUM(IFERROR(VLOOKUP($C:$C,Structure!$A:$AJ,AO$1,0)*$D99,0),IFERROR(VLOOKUP($E:$E,Structure!$A:$AJ,AO$1,0)*$F99,0),IFERROR(VLOOKUP($G:$G,Structure!$A:$AJ,AO$1,0)*$H99,0))</f>
        <v>0</v>
      </c>
      <c r="AP99" s="9">
        <f>SUM(IFERROR(VLOOKUP($C:$C,Structure!$A:$AJ,AP$1,0)*$D99,0),IFERROR(VLOOKUP($E:$E,Structure!$A:$AJ,AP$1,0)*$F99,0),IFERROR(VLOOKUP($G:$G,Structure!$A:$AJ,AP$1,0)*$H99,0))</f>
        <v>0</v>
      </c>
      <c r="AQ99" s="9">
        <f>SUM(IFERROR(VLOOKUP($C:$C,Structure!$A:$AJ,AQ$1,0)*$D99,0),IFERROR(VLOOKUP($E:$E,Structure!$A:$AJ,AQ$1,0)*$F99,0),IFERROR(VLOOKUP($G:$G,Structure!$A:$AJ,AQ$1,0)*$H99,0))</f>
        <v>0</v>
      </c>
      <c r="AR99" s="21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4">
        <f t="shared" si="92"/>
        <v>0</v>
      </c>
      <c r="CE99" s="4">
        <f t="shared" si="93"/>
        <v>-84</v>
      </c>
      <c r="CF99" s="4">
        <f t="shared" si="94"/>
        <v>4</v>
      </c>
      <c r="CG99" s="4">
        <f t="shared" si="95"/>
        <v>25</v>
      </c>
      <c r="CH99" s="4">
        <f t="shared" si="96"/>
        <v>1</v>
      </c>
      <c r="CI99" s="4">
        <f t="shared" si="97"/>
        <v>127</v>
      </c>
      <c r="CJ99" s="4">
        <f t="shared" si="98"/>
        <v>-58</v>
      </c>
      <c r="CK99" s="4">
        <f t="shared" si="99"/>
        <v>95</v>
      </c>
      <c r="CL99" s="4">
        <f t="shared" si="100"/>
        <v>0</v>
      </c>
      <c r="CM99" s="4">
        <f t="shared" si="101"/>
        <v>14</v>
      </c>
      <c r="CN99" s="4">
        <f t="shared" si="102"/>
        <v>55</v>
      </c>
      <c r="CO99" s="4">
        <f t="shared" si="103"/>
        <v>0</v>
      </c>
      <c r="CP99" s="4">
        <f t="shared" si="104"/>
        <v>103</v>
      </c>
      <c r="CQ99" s="4">
        <f t="shared" si="105"/>
        <v>-153</v>
      </c>
      <c r="CR99" s="4">
        <f t="shared" si="106"/>
        <v>26</v>
      </c>
      <c r="CS99" s="4">
        <f t="shared" si="107"/>
        <v>-24</v>
      </c>
      <c r="CT99" s="4">
        <f t="shared" si="108"/>
        <v>0</v>
      </c>
      <c r="CU99" s="4">
        <f t="shared" si="109"/>
        <v>0</v>
      </c>
      <c r="CV99" s="4">
        <f t="shared" si="110"/>
        <v>0</v>
      </c>
      <c r="CW99" s="4">
        <f t="shared" si="111"/>
        <v>0</v>
      </c>
      <c r="CX99" s="4">
        <f t="shared" si="112"/>
        <v>-110</v>
      </c>
      <c r="CY99" s="4">
        <f t="shared" si="113"/>
        <v>0</v>
      </c>
      <c r="CZ99" s="4">
        <f t="shared" si="114"/>
        <v>0</v>
      </c>
      <c r="DA99" s="4">
        <f t="shared" si="115"/>
        <v>0</v>
      </c>
      <c r="DB99" s="4">
        <f t="shared" si="116"/>
        <v>0</v>
      </c>
      <c r="DC99" s="4">
        <f t="shared" si="117"/>
        <v>0</v>
      </c>
      <c r="DD99" s="4">
        <f t="shared" si="118"/>
        <v>0</v>
      </c>
      <c r="DE99" s="4">
        <f t="shared" si="119"/>
        <v>0</v>
      </c>
      <c r="DF99" s="4">
        <f t="shared" si="120"/>
        <v>0</v>
      </c>
      <c r="DG99" s="4">
        <f t="shared" si="121"/>
        <v>0</v>
      </c>
      <c r="DH99" s="4">
        <f t="shared" si="122"/>
        <v>0</v>
      </c>
      <c r="DI99" s="4">
        <f t="shared" si="123"/>
        <v>0</v>
      </c>
      <c r="DJ99" s="4">
        <f t="shared" si="124"/>
        <v>0</v>
      </c>
      <c r="DK99" s="4">
        <f t="shared" si="125"/>
        <v>0</v>
      </c>
      <c r="DL99" s="4">
        <f t="shared" si="126"/>
        <v>0</v>
      </c>
    </row>
    <row r="100" spans="1:116" x14ac:dyDescent="0.25">
      <c r="A100" s="5">
        <v>46185</v>
      </c>
      <c r="B100" s="6">
        <v>0.3333333335685893</v>
      </c>
      <c r="C100" s="3"/>
      <c r="D100" s="3"/>
      <c r="E100" s="3" t="s">
        <v>47</v>
      </c>
      <c r="F100" s="3">
        <v>4</v>
      </c>
      <c r="G100" s="3"/>
      <c r="H100" s="9"/>
      <c r="I100" s="9">
        <f>SUM(IFERROR(VLOOKUP($C:$C,Structure!$A:$AJ,I$1,0)*$D100,0),IFERROR(VLOOKUP($E:$E,Structure!$A:$AJ,I$1,0)*$F100,0),IFERROR(VLOOKUP($G:$G,Structure!$A:$AJ,I$1,0)*$H100,0))</f>
        <v>0</v>
      </c>
      <c r="J100" s="9">
        <f>SUM(IFERROR(VLOOKUP($C:$C,Structure!$A:$AJ,J$1,0)*$D100,0),IFERROR(VLOOKUP($E:$E,Structure!$A:$AJ,J$1,0)*$F100,0),IFERROR(VLOOKUP($G:$G,Structure!$A:$AJ,J$1,0)*$H100,0))</f>
        <v>0</v>
      </c>
      <c r="K100" s="9">
        <f>SUM(IFERROR(VLOOKUP($C:$C,Structure!$A:$AJ,K$1,0)*$D100,0),IFERROR(VLOOKUP($E:$E,Structure!$A:$AJ,K$1,0)*$F100,0),IFERROR(VLOOKUP($G:$G,Structure!$A:$AJ,K$1,0)*$H100,0))</f>
        <v>0</v>
      </c>
      <c r="L100" s="9">
        <f>SUM(IFERROR(VLOOKUP($C:$C,Structure!$A:$AJ,L$1,0)*$D100,0),IFERROR(VLOOKUP($E:$E,Structure!$A:$AJ,L$1,0)*$F100,0),IFERROR(VLOOKUP($G:$G,Structure!$A:$AJ,L$1,0)*$H100,0))</f>
        <v>4</v>
      </c>
      <c r="M100" s="9">
        <f>SUM(IFERROR(VLOOKUP($C:$C,Structure!$A:$AJ,M$1,0)*$D100,0),IFERROR(VLOOKUP($E:$E,Structure!$A:$AJ,M$1,0)*$F100,0),IFERROR(VLOOKUP($G:$G,Structure!$A:$AJ,M$1,0)*$H100,0))</f>
        <v>0</v>
      </c>
      <c r="N100" s="9">
        <f>SUM(IFERROR(VLOOKUP($C:$C,Structure!$A:$AJ,N$1,0)*$D100,0),IFERROR(VLOOKUP($E:$E,Structure!$A:$AJ,N$1,0)*$F100,0),IFERROR(VLOOKUP($G:$G,Structure!$A:$AJ,N$1,0)*$H100,0))</f>
        <v>0</v>
      </c>
      <c r="O100" s="9">
        <f>SUM(IFERROR(VLOOKUP($C:$C,Structure!$A:$AJ,O$1,0)*$D100,0),IFERROR(VLOOKUP($E:$E,Structure!$A:$AJ,O$1,0)*$F100,0),IFERROR(VLOOKUP($G:$G,Structure!$A:$AJ,O$1,0)*$H100,0))</f>
        <v>0</v>
      </c>
      <c r="P100" s="9">
        <f>SUM(IFERROR(VLOOKUP($C:$C,Structure!$A:$AJ,P$1,0)*$D100,0),IFERROR(VLOOKUP($E:$E,Structure!$A:$AJ,P$1,0)*$F100,0),IFERROR(VLOOKUP($G:$G,Structure!$A:$AJ,P$1,0)*$H100,0))</f>
        <v>0</v>
      </c>
      <c r="Q100" s="9">
        <f>SUM(IFERROR(VLOOKUP($C:$C,Structure!$A:$AJ,Q$1,0)*$D100,0),IFERROR(VLOOKUP($E:$E,Structure!$A:$AJ,Q$1,0)*$F100,0),IFERROR(VLOOKUP($G:$G,Structure!$A:$AJ,Q$1,0)*$H100,0))</f>
        <v>0</v>
      </c>
      <c r="R100" s="9">
        <f>SUM(IFERROR(VLOOKUP($C:$C,Structure!$A:$AJ,R$1,0)*$D100,0),IFERROR(VLOOKUP($E:$E,Structure!$A:$AJ,R$1,0)*$F100,0),IFERROR(VLOOKUP($G:$G,Structure!$A:$AJ,R$1,0)*$H100,0))</f>
        <v>0</v>
      </c>
      <c r="S100" s="9">
        <f>SUM(IFERROR(VLOOKUP($C:$C,Structure!$A:$AJ,S$1,0)*$D100,0),IFERROR(VLOOKUP($E:$E,Structure!$A:$AJ,S$1,0)*$F100,0),IFERROR(VLOOKUP($G:$G,Structure!$A:$AJ,S$1,0)*$H100,0))</f>
        <v>0</v>
      </c>
      <c r="T100" s="9">
        <f>SUM(IFERROR(VLOOKUP($C:$C,Structure!$A:$AJ,T$1,0)*$D100,0),IFERROR(VLOOKUP($E:$E,Structure!$A:$AJ,T$1,0)*$F100,0),IFERROR(VLOOKUP($G:$G,Structure!$A:$AJ,T$1,0)*$H100,0))</f>
        <v>0</v>
      </c>
      <c r="U100" s="9">
        <f>SUM(IFERROR(VLOOKUP($C:$C,Structure!$A:$AJ,U$1,0)*$D100,0),IFERROR(VLOOKUP($E:$E,Structure!$A:$AJ,U$1,0)*$F100,0),IFERROR(VLOOKUP($G:$G,Structure!$A:$AJ,U$1,0)*$H100,0))</f>
        <v>0</v>
      </c>
      <c r="V100" s="9">
        <f>SUM(IFERROR(VLOOKUP($C:$C,Structure!$A:$AJ,V$1,0)*$D100,0),IFERROR(VLOOKUP($E:$E,Structure!$A:$AJ,V$1,0)*$F100,0),IFERROR(VLOOKUP($G:$G,Structure!$A:$AJ,V$1,0)*$H100,0))</f>
        <v>0</v>
      </c>
      <c r="W100" s="9">
        <f>SUM(IFERROR(VLOOKUP($C:$C,Structure!$A:$AJ,W$1,0)*$D100,0),IFERROR(VLOOKUP($E:$E,Structure!$A:$AJ,W$1,0)*$F100,0),IFERROR(VLOOKUP($G:$G,Structure!$A:$AJ,W$1,0)*$H100,0))</f>
        <v>4</v>
      </c>
      <c r="X100" s="9">
        <f>SUM(IFERROR(VLOOKUP($C:$C,Structure!$A:$AJ,X$1,0)*$D100,0),IFERROR(VLOOKUP($E:$E,Structure!$A:$AJ,X$1,0)*$F100,0),IFERROR(VLOOKUP($G:$G,Structure!$A:$AJ,X$1,0)*$H100,0))</f>
        <v>0</v>
      </c>
      <c r="Y100" s="9">
        <f>SUM(IFERROR(VLOOKUP($C:$C,Structure!$A:$AJ,Y$1,0)*$D100,0),IFERROR(VLOOKUP($E:$E,Structure!$A:$AJ,Y$1,0)*$F100,0),IFERROR(VLOOKUP($G:$G,Structure!$A:$AJ,Y$1,0)*$H100,0))</f>
        <v>0</v>
      </c>
      <c r="Z100" s="9">
        <f>SUM(IFERROR(VLOOKUP($C:$C,Structure!$A:$AJ,Z$1,0)*$D100,0),IFERROR(VLOOKUP($E:$E,Structure!$A:$AJ,Z$1,0)*$F100,0),IFERROR(VLOOKUP($G:$G,Structure!$A:$AJ,Z$1,0)*$H100,0))</f>
        <v>0</v>
      </c>
      <c r="AA100" s="9">
        <f>SUM(IFERROR(VLOOKUP($C:$C,Structure!$A:$AJ,AA$1,0)*$D100,0),IFERROR(VLOOKUP($E:$E,Structure!$A:$AJ,AA$1,0)*$F100,0),IFERROR(VLOOKUP($G:$G,Structure!$A:$AJ,AA$1,0)*$H100,0))</f>
        <v>0</v>
      </c>
      <c r="AB100" s="9">
        <f>SUM(IFERROR(VLOOKUP($C:$C,Structure!$A:$AJ,AB$1,0)*$D100,0),IFERROR(VLOOKUP($E:$E,Structure!$A:$AJ,AB$1,0)*$F100,0),IFERROR(VLOOKUP($G:$G,Structure!$A:$AJ,AB$1,0)*$H100,0))</f>
        <v>0</v>
      </c>
      <c r="AC100" s="9">
        <f>SUM(IFERROR(VLOOKUP($C:$C,Structure!$A:$AJ,AC$1,0)*$D100,0),IFERROR(VLOOKUP($E:$E,Structure!$A:$AJ,AC$1,0)*$F100,0),IFERROR(VLOOKUP($G:$G,Structure!$A:$AJ,AC$1,0)*$H100,0))</f>
        <v>0</v>
      </c>
      <c r="AD100" s="9">
        <f>SUM(IFERROR(VLOOKUP($C:$C,Structure!$A:$AJ,AD$1,0)*$D100,0),IFERROR(VLOOKUP($E:$E,Structure!$A:$AJ,AD$1,0)*$F100,0),IFERROR(VLOOKUP($G:$G,Structure!$A:$AJ,AD$1,0)*$H100,0))</f>
        <v>0</v>
      </c>
      <c r="AE100" s="9">
        <f>SUM(IFERROR(VLOOKUP($C:$C,Structure!$A:$AJ,AE$1,0)*$D100,0),IFERROR(VLOOKUP($E:$E,Structure!$A:$AJ,AE$1,0)*$F100,0),IFERROR(VLOOKUP($G:$G,Structure!$A:$AJ,AE$1,0)*$H100,0))</f>
        <v>0</v>
      </c>
      <c r="AF100" s="9">
        <f>SUM(IFERROR(VLOOKUP($C:$C,Structure!$A:$AJ,AF$1,0)*$D100,0),IFERROR(VLOOKUP($E:$E,Structure!$A:$AJ,AF$1,0)*$F100,0),IFERROR(VLOOKUP($G:$G,Structure!$A:$AJ,AF$1,0)*$H100,0))</f>
        <v>0</v>
      </c>
      <c r="AG100" s="9">
        <f>SUM(IFERROR(VLOOKUP($C:$C,Structure!$A:$AJ,AG$1,0)*$D100,0),IFERROR(VLOOKUP($E:$E,Structure!$A:$AJ,AG$1,0)*$F100,0),IFERROR(VLOOKUP($G:$G,Structure!$A:$AJ,AG$1,0)*$H100,0))</f>
        <v>0</v>
      </c>
      <c r="AH100" s="9">
        <f>SUM(IFERROR(VLOOKUP($C:$C,Structure!$A:$AJ,AH$1,0)*$D100,0),IFERROR(VLOOKUP($E:$E,Structure!$A:$AJ,AH$1,0)*$F100,0),IFERROR(VLOOKUP($G:$G,Structure!$A:$AJ,AH$1,0)*$H100,0))</f>
        <v>0</v>
      </c>
      <c r="AI100" s="9">
        <f>SUM(IFERROR(VLOOKUP($C:$C,Structure!$A:$AJ,AI$1,0)*$D100,0),IFERROR(VLOOKUP($E:$E,Structure!$A:$AJ,AI$1,0)*$F100,0),IFERROR(VLOOKUP($G:$G,Structure!$A:$AJ,AI$1,0)*$H100,0))</f>
        <v>0</v>
      </c>
      <c r="AJ100" s="9">
        <f>SUM(IFERROR(VLOOKUP($C:$C,Structure!$A:$AJ,AJ$1,0)*$D100,0),IFERROR(VLOOKUP($E:$E,Structure!$A:$AJ,AJ$1,0)*$F100,0),IFERROR(VLOOKUP($G:$G,Structure!$A:$AJ,AJ$1,0)*$H100,0))</f>
        <v>0</v>
      </c>
      <c r="AK100" s="9">
        <f>SUM(IFERROR(VLOOKUP($C:$C,Structure!$A:$AJ,AK$1,0)*$D100,0),IFERROR(VLOOKUP($E:$E,Structure!$A:$AJ,AK$1,0)*$F100,0),IFERROR(VLOOKUP($G:$G,Structure!$A:$AJ,AK$1,0)*$H100,0))</f>
        <v>0</v>
      </c>
      <c r="AL100" s="9">
        <f>SUM(IFERROR(VLOOKUP($C:$C,Structure!$A:$AJ,AL$1,0)*$D100,0),IFERROR(VLOOKUP($E:$E,Structure!$A:$AJ,AL$1,0)*$F100,0),IFERROR(VLOOKUP($G:$G,Structure!$A:$AJ,AL$1,0)*$H100,0))</f>
        <v>0</v>
      </c>
      <c r="AM100" s="9">
        <f>SUM(IFERROR(VLOOKUP($C:$C,Structure!$A:$AJ,AM$1,0)*$D100,0),IFERROR(VLOOKUP($E:$E,Structure!$A:$AJ,AM$1,0)*$F100,0),IFERROR(VLOOKUP($G:$G,Structure!$A:$AJ,AM$1,0)*$H100,0))</f>
        <v>0</v>
      </c>
      <c r="AN100" s="9">
        <f>SUM(IFERROR(VLOOKUP($C:$C,Structure!$A:$AJ,AN$1,0)*$D100,0),IFERROR(VLOOKUP($E:$E,Structure!$A:$AJ,AN$1,0)*$F100,0),IFERROR(VLOOKUP($G:$G,Structure!$A:$AJ,AN$1,0)*$H100,0))</f>
        <v>0</v>
      </c>
      <c r="AO100" s="9">
        <f>SUM(IFERROR(VLOOKUP($C:$C,Structure!$A:$AJ,AO$1,0)*$D100,0),IFERROR(VLOOKUP($E:$E,Structure!$A:$AJ,AO$1,0)*$F100,0),IFERROR(VLOOKUP($G:$G,Structure!$A:$AJ,AO$1,0)*$H100,0))</f>
        <v>0</v>
      </c>
      <c r="AP100" s="9">
        <f>SUM(IFERROR(VLOOKUP($C:$C,Structure!$A:$AJ,AP$1,0)*$D100,0),IFERROR(VLOOKUP($E:$E,Structure!$A:$AJ,AP$1,0)*$F100,0),IFERROR(VLOOKUP($G:$G,Structure!$A:$AJ,AP$1,0)*$H100,0))</f>
        <v>0</v>
      </c>
      <c r="AQ100" s="9">
        <f>SUM(IFERROR(VLOOKUP($C:$C,Structure!$A:$AJ,AQ$1,0)*$D100,0),IFERROR(VLOOKUP($E:$E,Structure!$A:$AJ,AQ$1,0)*$F100,0),IFERROR(VLOOKUP($G:$G,Structure!$A:$AJ,AQ$1,0)*$H100,0))</f>
        <v>0</v>
      </c>
      <c r="AR100" s="21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4">
        <f t="shared" si="92"/>
        <v>0</v>
      </c>
      <c r="CE100" s="4">
        <f t="shared" si="93"/>
        <v>-84</v>
      </c>
      <c r="CF100" s="4">
        <f t="shared" si="94"/>
        <v>4</v>
      </c>
      <c r="CG100" s="4">
        <f t="shared" si="95"/>
        <v>21</v>
      </c>
      <c r="CH100" s="4">
        <f t="shared" si="96"/>
        <v>1</v>
      </c>
      <c r="CI100" s="4">
        <f t="shared" si="97"/>
        <v>127</v>
      </c>
      <c r="CJ100" s="4">
        <f t="shared" si="98"/>
        <v>-58</v>
      </c>
      <c r="CK100" s="4">
        <f t="shared" si="99"/>
        <v>95</v>
      </c>
      <c r="CL100" s="4">
        <f t="shared" si="100"/>
        <v>0</v>
      </c>
      <c r="CM100" s="4">
        <f t="shared" si="101"/>
        <v>14</v>
      </c>
      <c r="CN100" s="4">
        <f t="shared" si="102"/>
        <v>55</v>
      </c>
      <c r="CO100" s="4">
        <f t="shared" si="103"/>
        <v>0</v>
      </c>
      <c r="CP100" s="4">
        <f t="shared" si="104"/>
        <v>103</v>
      </c>
      <c r="CQ100" s="4">
        <f t="shared" si="105"/>
        <v>-153</v>
      </c>
      <c r="CR100" s="4">
        <f t="shared" si="106"/>
        <v>22</v>
      </c>
      <c r="CS100" s="4">
        <f t="shared" si="107"/>
        <v>-24</v>
      </c>
      <c r="CT100" s="4">
        <f t="shared" si="108"/>
        <v>0</v>
      </c>
      <c r="CU100" s="4">
        <f t="shared" si="109"/>
        <v>0</v>
      </c>
      <c r="CV100" s="4">
        <f t="shared" si="110"/>
        <v>0</v>
      </c>
      <c r="CW100" s="4">
        <f t="shared" si="111"/>
        <v>0</v>
      </c>
      <c r="CX100" s="4">
        <f t="shared" si="112"/>
        <v>-110</v>
      </c>
      <c r="CY100" s="4">
        <f t="shared" si="113"/>
        <v>0</v>
      </c>
      <c r="CZ100" s="4">
        <f t="shared" si="114"/>
        <v>0</v>
      </c>
      <c r="DA100" s="4">
        <f t="shared" si="115"/>
        <v>0</v>
      </c>
      <c r="DB100" s="4">
        <f t="shared" si="116"/>
        <v>0</v>
      </c>
      <c r="DC100" s="4">
        <f t="shared" si="117"/>
        <v>0</v>
      </c>
      <c r="DD100" s="4">
        <f t="shared" si="118"/>
        <v>0</v>
      </c>
      <c r="DE100" s="4">
        <f t="shared" si="119"/>
        <v>0</v>
      </c>
      <c r="DF100" s="4">
        <f t="shared" si="120"/>
        <v>0</v>
      </c>
      <c r="DG100" s="4">
        <f t="shared" si="121"/>
        <v>0</v>
      </c>
      <c r="DH100" s="4">
        <f t="shared" si="122"/>
        <v>0</v>
      </c>
      <c r="DI100" s="4">
        <f t="shared" si="123"/>
        <v>0</v>
      </c>
      <c r="DJ100" s="4">
        <f t="shared" si="124"/>
        <v>0</v>
      </c>
      <c r="DK100" s="4">
        <f t="shared" si="125"/>
        <v>0</v>
      </c>
      <c r="DL100" s="4">
        <f t="shared" si="126"/>
        <v>0</v>
      </c>
    </row>
    <row r="101" spans="1:116" x14ac:dyDescent="0.25">
      <c r="A101" s="5">
        <v>46185</v>
      </c>
      <c r="B101" s="6">
        <v>0.35416666690434795</v>
      </c>
      <c r="C101" s="3"/>
      <c r="D101" s="3"/>
      <c r="E101" s="3" t="s">
        <v>46</v>
      </c>
      <c r="F101" s="3">
        <v>6</v>
      </c>
      <c r="G101" s="3"/>
      <c r="H101" s="9"/>
      <c r="I101" s="9">
        <f>SUM(IFERROR(VLOOKUP($C:$C,Structure!$A:$AJ,I$1,0)*$D101,0),IFERROR(VLOOKUP($E:$E,Structure!$A:$AJ,I$1,0)*$F101,0),IFERROR(VLOOKUP($G:$G,Structure!$A:$AJ,I$1,0)*$H101,0))</f>
        <v>0</v>
      </c>
      <c r="J101" s="9">
        <f>SUM(IFERROR(VLOOKUP($C:$C,Structure!$A:$AJ,J$1,0)*$D101,0),IFERROR(VLOOKUP($E:$E,Structure!$A:$AJ,J$1,0)*$F101,0),IFERROR(VLOOKUP($G:$G,Structure!$A:$AJ,J$1,0)*$H101,0))</f>
        <v>0</v>
      </c>
      <c r="K101" s="9">
        <f>SUM(IFERROR(VLOOKUP($C:$C,Structure!$A:$AJ,K$1,0)*$D101,0),IFERROR(VLOOKUP($E:$E,Structure!$A:$AJ,K$1,0)*$F101,0),IFERROR(VLOOKUP($G:$G,Structure!$A:$AJ,K$1,0)*$H101,0))</f>
        <v>0</v>
      </c>
      <c r="L101" s="9">
        <f>SUM(IFERROR(VLOOKUP($C:$C,Structure!$A:$AJ,L$1,0)*$D101,0),IFERROR(VLOOKUP($E:$E,Structure!$A:$AJ,L$1,0)*$F101,0),IFERROR(VLOOKUP($G:$G,Structure!$A:$AJ,L$1,0)*$H101,0))</f>
        <v>6</v>
      </c>
      <c r="M101" s="9">
        <f>SUM(IFERROR(VLOOKUP($C:$C,Structure!$A:$AJ,M$1,0)*$D101,0),IFERROR(VLOOKUP($E:$E,Structure!$A:$AJ,M$1,0)*$F101,0),IFERROR(VLOOKUP($G:$G,Structure!$A:$AJ,M$1,0)*$H101,0))</f>
        <v>0</v>
      </c>
      <c r="N101" s="9">
        <f>SUM(IFERROR(VLOOKUP($C:$C,Structure!$A:$AJ,N$1,0)*$D101,0),IFERROR(VLOOKUP($E:$E,Structure!$A:$AJ,N$1,0)*$F101,0),IFERROR(VLOOKUP($G:$G,Structure!$A:$AJ,N$1,0)*$H101,0))</f>
        <v>0</v>
      </c>
      <c r="O101" s="9">
        <f>SUM(IFERROR(VLOOKUP($C:$C,Structure!$A:$AJ,O$1,0)*$D101,0),IFERROR(VLOOKUP($E:$E,Structure!$A:$AJ,O$1,0)*$F101,0),IFERROR(VLOOKUP($G:$G,Structure!$A:$AJ,O$1,0)*$H101,0))</f>
        <v>0</v>
      </c>
      <c r="P101" s="9">
        <f>SUM(IFERROR(VLOOKUP($C:$C,Structure!$A:$AJ,P$1,0)*$D101,0),IFERROR(VLOOKUP($E:$E,Structure!$A:$AJ,P$1,0)*$F101,0),IFERROR(VLOOKUP($G:$G,Structure!$A:$AJ,P$1,0)*$H101,0))</f>
        <v>0</v>
      </c>
      <c r="Q101" s="9">
        <f>SUM(IFERROR(VLOOKUP($C:$C,Structure!$A:$AJ,Q$1,0)*$D101,0),IFERROR(VLOOKUP($E:$E,Structure!$A:$AJ,Q$1,0)*$F101,0),IFERROR(VLOOKUP($G:$G,Structure!$A:$AJ,Q$1,0)*$H101,0))</f>
        <v>0</v>
      </c>
      <c r="R101" s="9">
        <f>SUM(IFERROR(VLOOKUP($C:$C,Structure!$A:$AJ,R$1,0)*$D101,0),IFERROR(VLOOKUP($E:$E,Structure!$A:$AJ,R$1,0)*$F101,0),IFERROR(VLOOKUP($G:$G,Structure!$A:$AJ,R$1,0)*$H101,0))</f>
        <v>0</v>
      </c>
      <c r="S101" s="9">
        <f>SUM(IFERROR(VLOOKUP($C:$C,Structure!$A:$AJ,S$1,0)*$D101,0),IFERROR(VLOOKUP($E:$E,Structure!$A:$AJ,S$1,0)*$F101,0),IFERROR(VLOOKUP($G:$G,Structure!$A:$AJ,S$1,0)*$H101,0))</f>
        <v>0</v>
      </c>
      <c r="T101" s="9">
        <f>SUM(IFERROR(VLOOKUP($C:$C,Structure!$A:$AJ,T$1,0)*$D101,0),IFERROR(VLOOKUP($E:$E,Structure!$A:$AJ,T$1,0)*$F101,0),IFERROR(VLOOKUP($G:$G,Structure!$A:$AJ,T$1,0)*$H101,0))</f>
        <v>0</v>
      </c>
      <c r="U101" s="9">
        <f>SUM(IFERROR(VLOOKUP($C:$C,Structure!$A:$AJ,U$1,0)*$D101,0),IFERROR(VLOOKUP($E:$E,Structure!$A:$AJ,U$1,0)*$F101,0),IFERROR(VLOOKUP($G:$G,Structure!$A:$AJ,U$1,0)*$H101,0))</f>
        <v>0</v>
      </c>
      <c r="V101" s="9">
        <f>SUM(IFERROR(VLOOKUP($C:$C,Structure!$A:$AJ,V$1,0)*$D101,0),IFERROR(VLOOKUP($E:$E,Structure!$A:$AJ,V$1,0)*$F101,0),IFERROR(VLOOKUP($G:$G,Structure!$A:$AJ,V$1,0)*$H101,0))</f>
        <v>0</v>
      </c>
      <c r="W101" s="9">
        <f>SUM(IFERROR(VLOOKUP($C:$C,Structure!$A:$AJ,W$1,0)*$D101,0),IFERROR(VLOOKUP($E:$E,Structure!$A:$AJ,W$1,0)*$F101,0),IFERROR(VLOOKUP($G:$G,Structure!$A:$AJ,W$1,0)*$H101,0))</f>
        <v>6</v>
      </c>
      <c r="X101" s="9">
        <f>SUM(IFERROR(VLOOKUP($C:$C,Structure!$A:$AJ,X$1,0)*$D101,0),IFERROR(VLOOKUP($E:$E,Structure!$A:$AJ,X$1,0)*$F101,0),IFERROR(VLOOKUP($G:$G,Structure!$A:$AJ,X$1,0)*$H101,0))</f>
        <v>0</v>
      </c>
      <c r="Y101" s="9">
        <f>SUM(IFERROR(VLOOKUP($C:$C,Structure!$A:$AJ,Y$1,0)*$D101,0),IFERROR(VLOOKUP($E:$E,Structure!$A:$AJ,Y$1,0)*$F101,0),IFERROR(VLOOKUP($G:$G,Structure!$A:$AJ,Y$1,0)*$H101,0))</f>
        <v>0</v>
      </c>
      <c r="Z101" s="9">
        <f>SUM(IFERROR(VLOOKUP($C:$C,Structure!$A:$AJ,Z$1,0)*$D101,0),IFERROR(VLOOKUP($E:$E,Structure!$A:$AJ,Z$1,0)*$F101,0),IFERROR(VLOOKUP($G:$G,Structure!$A:$AJ,Z$1,0)*$H101,0))</f>
        <v>0</v>
      </c>
      <c r="AA101" s="9">
        <f>SUM(IFERROR(VLOOKUP($C:$C,Structure!$A:$AJ,AA$1,0)*$D101,0),IFERROR(VLOOKUP($E:$E,Structure!$A:$AJ,AA$1,0)*$F101,0),IFERROR(VLOOKUP($G:$G,Structure!$A:$AJ,AA$1,0)*$H101,0))</f>
        <v>0</v>
      </c>
      <c r="AB101" s="9">
        <f>SUM(IFERROR(VLOOKUP($C:$C,Structure!$A:$AJ,AB$1,0)*$D101,0),IFERROR(VLOOKUP($E:$E,Structure!$A:$AJ,AB$1,0)*$F101,0),IFERROR(VLOOKUP($G:$G,Structure!$A:$AJ,AB$1,0)*$H101,0))</f>
        <v>0</v>
      </c>
      <c r="AC101" s="9">
        <f>SUM(IFERROR(VLOOKUP($C:$C,Structure!$A:$AJ,AC$1,0)*$D101,0),IFERROR(VLOOKUP($E:$E,Structure!$A:$AJ,AC$1,0)*$F101,0),IFERROR(VLOOKUP($G:$G,Structure!$A:$AJ,AC$1,0)*$H101,0))</f>
        <v>0</v>
      </c>
      <c r="AD101" s="9">
        <f>SUM(IFERROR(VLOOKUP($C:$C,Structure!$A:$AJ,AD$1,0)*$D101,0),IFERROR(VLOOKUP($E:$E,Structure!$A:$AJ,AD$1,0)*$F101,0),IFERROR(VLOOKUP($G:$G,Structure!$A:$AJ,AD$1,0)*$H101,0))</f>
        <v>0</v>
      </c>
      <c r="AE101" s="9">
        <f>SUM(IFERROR(VLOOKUP($C:$C,Structure!$A:$AJ,AE$1,0)*$D101,0),IFERROR(VLOOKUP($E:$E,Structure!$A:$AJ,AE$1,0)*$F101,0),IFERROR(VLOOKUP($G:$G,Structure!$A:$AJ,AE$1,0)*$H101,0))</f>
        <v>0</v>
      </c>
      <c r="AF101" s="9">
        <f>SUM(IFERROR(VLOOKUP($C:$C,Structure!$A:$AJ,AF$1,0)*$D101,0),IFERROR(VLOOKUP($E:$E,Structure!$A:$AJ,AF$1,0)*$F101,0),IFERROR(VLOOKUP($G:$G,Structure!$A:$AJ,AF$1,0)*$H101,0))</f>
        <v>0</v>
      </c>
      <c r="AG101" s="9">
        <f>SUM(IFERROR(VLOOKUP($C:$C,Structure!$A:$AJ,AG$1,0)*$D101,0),IFERROR(VLOOKUP($E:$E,Structure!$A:$AJ,AG$1,0)*$F101,0),IFERROR(VLOOKUP($G:$G,Structure!$A:$AJ,AG$1,0)*$H101,0))</f>
        <v>0</v>
      </c>
      <c r="AH101" s="9">
        <f>SUM(IFERROR(VLOOKUP($C:$C,Structure!$A:$AJ,AH$1,0)*$D101,0),IFERROR(VLOOKUP($E:$E,Structure!$A:$AJ,AH$1,0)*$F101,0),IFERROR(VLOOKUP($G:$G,Structure!$A:$AJ,AH$1,0)*$H101,0))</f>
        <v>0</v>
      </c>
      <c r="AI101" s="9">
        <f>SUM(IFERROR(VLOOKUP($C:$C,Structure!$A:$AJ,AI$1,0)*$D101,0),IFERROR(VLOOKUP($E:$E,Structure!$A:$AJ,AI$1,0)*$F101,0),IFERROR(VLOOKUP($G:$G,Structure!$A:$AJ,AI$1,0)*$H101,0))</f>
        <v>0</v>
      </c>
      <c r="AJ101" s="9">
        <f>SUM(IFERROR(VLOOKUP($C:$C,Structure!$A:$AJ,AJ$1,0)*$D101,0),IFERROR(VLOOKUP($E:$E,Structure!$A:$AJ,AJ$1,0)*$F101,0),IFERROR(VLOOKUP($G:$G,Structure!$A:$AJ,AJ$1,0)*$H101,0))</f>
        <v>0</v>
      </c>
      <c r="AK101" s="9">
        <f>SUM(IFERROR(VLOOKUP($C:$C,Structure!$A:$AJ,AK$1,0)*$D101,0),IFERROR(VLOOKUP($E:$E,Structure!$A:$AJ,AK$1,0)*$F101,0),IFERROR(VLOOKUP($G:$G,Structure!$A:$AJ,AK$1,0)*$H101,0))</f>
        <v>0</v>
      </c>
      <c r="AL101" s="9">
        <f>SUM(IFERROR(VLOOKUP($C:$C,Structure!$A:$AJ,AL$1,0)*$D101,0),IFERROR(VLOOKUP($E:$E,Structure!$A:$AJ,AL$1,0)*$F101,0),IFERROR(VLOOKUP($G:$G,Structure!$A:$AJ,AL$1,0)*$H101,0))</f>
        <v>0</v>
      </c>
      <c r="AM101" s="9">
        <f>SUM(IFERROR(VLOOKUP($C:$C,Structure!$A:$AJ,AM$1,0)*$D101,0),IFERROR(VLOOKUP($E:$E,Structure!$A:$AJ,AM$1,0)*$F101,0),IFERROR(VLOOKUP($G:$G,Structure!$A:$AJ,AM$1,0)*$H101,0))</f>
        <v>0</v>
      </c>
      <c r="AN101" s="9">
        <f>SUM(IFERROR(VLOOKUP($C:$C,Structure!$A:$AJ,AN$1,0)*$D101,0),IFERROR(VLOOKUP($E:$E,Structure!$A:$AJ,AN$1,0)*$F101,0),IFERROR(VLOOKUP($G:$G,Structure!$A:$AJ,AN$1,0)*$H101,0))</f>
        <v>0</v>
      </c>
      <c r="AO101" s="9">
        <f>SUM(IFERROR(VLOOKUP($C:$C,Structure!$A:$AJ,AO$1,0)*$D101,0),IFERROR(VLOOKUP($E:$E,Structure!$A:$AJ,AO$1,0)*$F101,0),IFERROR(VLOOKUP($G:$G,Structure!$A:$AJ,AO$1,0)*$H101,0))</f>
        <v>0</v>
      </c>
      <c r="AP101" s="9">
        <f>SUM(IFERROR(VLOOKUP($C:$C,Structure!$A:$AJ,AP$1,0)*$D101,0),IFERROR(VLOOKUP($E:$E,Structure!$A:$AJ,AP$1,0)*$F101,0),IFERROR(VLOOKUP($G:$G,Structure!$A:$AJ,AP$1,0)*$H101,0))</f>
        <v>0</v>
      </c>
      <c r="AQ101" s="9">
        <f>SUM(IFERROR(VLOOKUP($C:$C,Structure!$A:$AJ,AQ$1,0)*$D101,0),IFERROR(VLOOKUP($E:$E,Structure!$A:$AJ,AQ$1,0)*$F101,0),IFERROR(VLOOKUP($G:$G,Structure!$A:$AJ,AQ$1,0)*$H101,0))</f>
        <v>0</v>
      </c>
      <c r="AR101" s="21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4">
        <f t="shared" ref="CD101:CD132" si="127">CD100+AU101-I101</f>
        <v>0</v>
      </c>
      <c r="CE101" s="4">
        <f t="shared" ref="CE101:CE132" si="128">CE100+AV101-J101</f>
        <v>-84</v>
      </c>
      <c r="CF101" s="4">
        <f t="shared" ref="CF101:CF132" si="129">CF100+AW101-K101</f>
        <v>4</v>
      </c>
      <c r="CG101" s="4">
        <f t="shared" ref="CG101:CG132" si="130">CG100+AX101-L101</f>
        <v>15</v>
      </c>
      <c r="CH101" s="4">
        <f t="shared" ref="CH101:CH132" si="131">CH100+AY101-M101</f>
        <v>1</v>
      </c>
      <c r="CI101" s="4">
        <f t="shared" ref="CI101:CI132" si="132">CI100+AZ101-N101</f>
        <v>127</v>
      </c>
      <c r="CJ101" s="4">
        <f t="shared" ref="CJ101:CJ132" si="133">CJ100+BA101-O101</f>
        <v>-58</v>
      </c>
      <c r="CK101" s="4">
        <f t="shared" ref="CK101:CK132" si="134">CK100+BB101-P101</f>
        <v>95</v>
      </c>
      <c r="CL101" s="4">
        <f t="shared" ref="CL101:CL132" si="135">CL100+BC101-Q101</f>
        <v>0</v>
      </c>
      <c r="CM101" s="4">
        <f t="shared" ref="CM101:CM132" si="136">CM100+BD101-R101</f>
        <v>14</v>
      </c>
      <c r="CN101" s="4">
        <f t="shared" ref="CN101:CN132" si="137">CN100+BE101-S101</f>
        <v>55</v>
      </c>
      <c r="CO101" s="4">
        <f t="shared" ref="CO101:CO132" si="138">CO100+BF101-T101</f>
        <v>0</v>
      </c>
      <c r="CP101" s="4">
        <f t="shared" ref="CP101:CP132" si="139">CP100+BG101-U101</f>
        <v>103</v>
      </c>
      <c r="CQ101" s="4">
        <f t="shared" ref="CQ101:CQ132" si="140">CQ100+BH101-V101</f>
        <v>-153</v>
      </c>
      <c r="CR101" s="4">
        <f t="shared" ref="CR101:CR132" si="141">CR100+BI101-W101</f>
        <v>16</v>
      </c>
      <c r="CS101" s="4">
        <f t="shared" ref="CS101:CS132" si="142">CS100+BJ101-X101</f>
        <v>-24</v>
      </c>
      <c r="CT101" s="4">
        <f t="shared" ref="CT101:CT132" si="143">CT100+BK101-Y101</f>
        <v>0</v>
      </c>
      <c r="CU101" s="4">
        <f t="shared" ref="CU101:CU132" si="144">CU100+BL101-Z101</f>
        <v>0</v>
      </c>
      <c r="CV101" s="4">
        <f t="shared" ref="CV101:CV132" si="145">CV100+BM101-AA101</f>
        <v>0</v>
      </c>
      <c r="CW101" s="4">
        <f t="shared" ref="CW101:CW132" si="146">CW100+BN101-AB101</f>
        <v>0</v>
      </c>
      <c r="CX101" s="4">
        <f t="shared" ref="CX101:CX132" si="147">CX100+BO101-AC101</f>
        <v>-110</v>
      </c>
      <c r="CY101" s="4">
        <f t="shared" ref="CY101:CY132" si="148">CY100+BP101-AD101</f>
        <v>0</v>
      </c>
      <c r="CZ101" s="4">
        <f t="shared" ref="CZ101:CZ132" si="149">CZ100+BQ101-AE101</f>
        <v>0</v>
      </c>
      <c r="DA101" s="4">
        <f t="shared" ref="DA101:DA132" si="150">DA100+BR101-AF101</f>
        <v>0</v>
      </c>
      <c r="DB101" s="4">
        <f t="shared" ref="DB101:DB132" si="151">DB100+BS101-AG101</f>
        <v>0</v>
      </c>
      <c r="DC101" s="4">
        <f t="shared" ref="DC101:DC132" si="152">DC100+BT101-AH101</f>
        <v>0</v>
      </c>
      <c r="DD101" s="4">
        <f t="shared" ref="DD101:DD132" si="153">DD100+BU101-AI101</f>
        <v>0</v>
      </c>
      <c r="DE101" s="4">
        <f t="shared" ref="DE101:DE132" si="154">DE100+BV101-AJ101</f>
        <v>0</v>
      </c>
      <c r="DF101" s="4">
        <f t="shared" ref="DF101:DF132" si="155">DF100+BW101-AK101</f>
        <v>0</v>
      </c>
      <c r="DG101" s="4">
        <f t="shared" ref="DG101:DG132" si="156">DG100+BX101-AL101</f>
        <v>0</v>
      </c>
      <c r="DH101" s="4">
        <f t="shared" ref="DH101:DH132" si="157">DH100+BY101-AM101</f>
        <v>0</v>
      </c>
      <c r="DI101" s="4">
        <f t="shared" ref="DI101:DI132" si="158">DI100+BZ101-AN101</f>
        <v>0</v>
      </c>
      <c r="DJ101" s="4">
        <f t="shared" ref="DJ101:DJ132" si="159">DJ100+CA101-AO101</f>
        <v>0</v>
      </c>
      <c r="DK101" s="4">
        <f t="shared" ref="DK101:DK132" si="160">DK100+CB101-AP101</f>
        <v>0</v>
      </c>
      <c r="DL101" s="4">
        <f t="shared" ref="DL101:DL132" si="161">DL100+CC101-AQ101</f>
        <v>0</v>
      </c>
    </row>
    <row r="102" spans="1:116" x14ac:dyDescent="0.25">
      <c r="A102" s="5">
        <v>46185</v>
      </c>
      <c r="B102" s="6">
        <v>0.3750000002401066</v>
      </c>
      <c r="C102" s="3"/>
      <c r="D102" s="3"/>
      <c r="E102" s="3" t="s">
        <v>51</v>
      </c>
      <c r="F102" s="3">
        <v>8</v>
      </c>
      <c r="G102" s="3"/>
      <c r="H102" s="9"/>
      <c r="I102" s="9">
        <f>SUM(IFERROR(VLOOKUP($C:$C,Structure!$A:$AJ,I$1,0)*$D102,0),IFERROR(VLOOKUP($E:$E,Structure!$A:$AJ,I$1,0)*$F102,0),IFERROR(VLOOKUP($G:$G,Structure!$A:$AJ,I$1,0)*$H102,0))</f>
        <v>0</v>
      </c>
      <c r="J102" s="9">
        <f>SUM(IFERROR(VLOOKUP($C:$C,Structure!$A:$AJ,J$1,0)*$D102,0),IFERROR(VLOOKUP($E:$E,Structure!$A:$AJ,J$1,0)*$F102,0),IFERROR(VLOOKUP($G:$G,Structure!$A:$AJ,J$1,0)*$H102,0))</f>
        <v>0</v>
      </c>
      <c r="K102" s="9">
        <f>SUM(IFERROR(VLOOKUP($C:$C,Structure!$A:$AJ,K$1,0)*$D102,0),IFERROR(VLOOKUP($E:$E,Structure!$A:$AJ,K$1,0)*$F102,0),IFERROR(VLOOKUP($G:$G,Structure!$A:$AJ,K$1,0)*$H102,0))</f>
        <v>0</v>
      </c>
      <c r="L102" s="9">
        <f>SUM(IFERROR(VLOOKUP($C:$C,Structure!$A:$AJ,L$1,0)*$D102,0),IFERROR(VLOOKUP($E:$E,Structure!$A:$AJ,L$1,0)*$F102,0),IFERROR(VLOOKUP($G:$G,Structure!$A:$AJ,L$1,0)*$H102,0))</f>
        <v>0</v>
      </c>
      <c r="M102" s="9">
        <f>SUM(IFERROR(VLOOKUP($C:$C,Structure!$A:$AJ,M$1,0)*$D102,0),IFERROR(VLOOKUP($E:$E,Structure!$A:$AJ,M$1,0)*$F102,0),IFERROR(VLOOKUP($G:$G,Structure!$A:$AJ,M$1,0)*$H102,0))</f>
        <v>8</v>
      </c>
      <c r="N102" s="9">
        <f>SUM(IFERROR(VLOOKUP($C:$C,Structure!$A:$AJ,N$1,0)*$D102,0),IFERROR(VLOOKUP($E:$E,Structure!$A:$AJ,N$1,0)*$F102,0),IFERROR(VLOOKUP($G:$G,Structure!$A:$AJ,N$1,0)*$H102,0))</f>
        <v>0</v>
      </c>
      <c r="O102" s="9">
        <f>SUM(IFERROR(VLOOKUP($C:$C,Structure!$A:$AJ,O$1,0)*$D102,0),IFERROR(VLOOKUP($E:$E,Structure!$A:$AJ,O$1,0)*$F102,0),IFERROR(VLOOKUP($G:$G,Structure!$A:$AJ,O$1,0)*$H102,0))</f>
        <v>0</v>
      </c>
      <c r="P102" s="9">
        <f>SUM(IFERROR(VLOOKUP($C:$C,Structure!$A:$AJ,P$1,0)*$D102,0),IFERROR(VLOOKUP($E:$E,Structure!$A:$AJ,P$1,0)*$F102,0),IFERROR(VLOOKUP($G:$G,Structure!$A:$AJ,P$1,0)*$H102,0))</f>
        <v>0</v>
      </c>
      <c r="Q102" s="9">
        <f>SUM(IFERROR(VLOOKUP($C:$C,Structure!$A:$AJ,Q$1,0)*$D102,0),IFERROR(VLOOKUP($E:$E,Structure!$A:$AJ,Q$1,0)*$F102,0),IFERROR(VLOOKUP($G:$G,Structure!$A:$AJ,Q$1,0)*$H102,0))</f>
        <v>0</v>
      </c>
      <c r="R102" s="9">
        <f>SUM(IFERROR(VLOOKUP($C:$C,Structure!$A:$AJ,R$1,0)*$D102,0),IFERROR(VLOOKUP($E:$E,Structure!$A:$AJ,R$1,0)*$F102,0),IFERROR(VLOOKUP($G:$G,Structure!$A:$AJ,R$1,0)*$H102,0))</f>
        <v>8</v>
      </c>
      <c r="S102" s="9">
        <f>SUM(IFERROR(VLOOKUP($C:$C,Structure!$A:$AJ,S$1,0)*$D102,0),IFERROR(VLOOKUP($E:$E,Structure!$A:$AJ,S$1,0)*$F102,0),IFERROR(VLOOKUP($G:$G,Structure!$A:$AJ,S$1,0)*$H102,0))</f>
        <v>0</v>
      </c>
      <c r="T102" s="9">
        <f>SUM(IFERROR(VLOOKUP($C:$C,Structure!$A:$AJ,T$1,0)*$D102,0),IFERROR(VLOOKUP($E:$E,Structure!$A:$AJ,T$1,0)*$F102,0),IFERROR(VLOOKUP($G:$G,Structure!$A:$AJ,T$1,0)*$H102,0))</f>
        <v>0</v>
      </c>
      <c r="U102" s="9">
        <f>SUM(IFERROR(VLOOKUP($C:$C,Structure!$A:$AJ,U$1,0)*$D102,0),IFERROR(VLOOKUP($E:$E,Structure!$A:$AJ,U$1,0)*$F102,0),IFERROR(VLOOKUP($G:$G,Structure!$A:$AJ,U$1,0)*$H102,0))</f>
        <v>0</v>
      </c>
      <c r="V102" s="9">
        <f>SUM(IFERROR(VLOOKUP($C:$C,Structure!$A:$AJ,V$1,0)*$D102,0),IFERROR(VLOOKUP($E:$E,Structure!$A:$AJ,V$1,0)*$F102,0),IFERROR(VLOOKUP($G:$G,Structure!$A:$AJ,V$1,0)*$H102,0))</f>
        <v>0</v>
      </c>
      <c r="W102" s="9">
        <f>SUM(IFERROR(VLOOKUP($C:$C,Structure!$A:$AJ,W$1,0)*$D102,0),IFERROR(VLOOKUP($E:$E,Structure!$A:$AJ,W$1,0)*$F102,0),IFERROR(VLOOKUP($G:$G,Structure!$A:$AJ,W$1,0)*$H102,0))</f>
        <v>0</v>
      </c>
      <c r="X102" s="9">
        <f>SUM(IFERROR(VLOOKUP($C:$C,Structure!$A:$AJ,X$1,0)*$D102,0),IFERROR(VLOOKUP($E:$E,Structure!$A:$AJ,X$1,0)*$F102,0),IFERROR(VLOOKUP($G:$G,Structure!$A:$AJ,X$1,0)*$H102,0))</f>
        <v>0</v>
      </c>
      <c r="Y102" s="9">
        <f>SUM(IFERROR(VLOOKUP($C:$C,Structure!$A:$AJ,Y$1,0)*$D102,0),IFERROR(VLOOKUP($E:$E,Structure!$A:$AJ,Y$1,0)*$F102,0),IFERROR(VLOOKUP($G:$G,Structure!$A:$AJ,Y$1,0)*$H102,0))</f>
        <v>0</v>
      </c>
      <c r="Z102" s="9">
        <f>SUM(IFERROR(VLOOKUP($C:$C,Structure!$A:$AJ,Z$1,0)*$D102,0),IFERROR(VLOOKUP($E:$E,Structure!$A:$AJ,Z$1,0)*$F102,0),IFERROR(VLOOKUP($G:$G,Structure!$A:$AJ,Z$1,0)*$H102,0))</f>
        <v>0</v>
      </c>
      <c r="AA102" s="9">
        <f>SUM(IFERROR(VLOOKUP($C:$C,Structure!$A:$AJ,AA$1,0)*$D102,0),IFERROR(VLOOKUP($E:$E,Structure!$A:$AJ,AA$1,0)*$F102,0),IFERROR(VLOOKUP($G:$G,Structure!$A:$AJ,AA$1,0)*$H102,0))</f>
        <v>0</v>
      </c>
      <c r="AB102" s="9">
        <f>SUM(IFERROR(VLOOKUP($C:$C,Structure!$A:$AJ,AB$1,0)*$D102,0),IFERROR(VLOOKUP($E:$E,Structure!$A:$AJ,AB$1,0)*$F102,0),IFERROR(VLOOKUP($G:$G,Structure!$A:$AJ,AB$1,0)*$H102,0))</f>
        <v>0</v>
      </c>
      <c r="AC102" s="9">
        <f>SUM(IFERROR(VLOOKUP($C:$C,Structure!$A:$AJ,AC$1,0)*$D102,0),IFERROR(VLOOKUP($E:$E,Structure!$A:$AJ,AC$1,0)*$F102,0),IFERROR(VLOOKUP($G:$G,Structure!$A:$AJ,AC$1,0)*$H102,0))</f>
        <v>0</v>
      </c>
      <c r="AD102" s="9">
        <f>SUM(IFERROR(VLOOKUP($C:$C,Structure!$A:$AJ,AD$1,0)*$D102,0),IFERROR(VLOOKUP($E:$E,Structure!$A:$AJ,AD$1,0)*$F102,0),IFERROR(VLOOKUP($G:$G,Structure!$A:$AJ,AD$1,0)*$H102,0))</f>
        <v>0</v>
      </c>
      <c r="AE102" s="9">
        <f>SUM(IFERROR(VLOOKUP($C:$C,Structure!$A:$AJ,AE$1,0)*$D102,0),IFERROR(VLOOKUP($E:$E,Structure!$A:$AJ,AE$1,0)*$F102,0),IFERROR(VLOOKUP($G:$G,Structure!$A:$AJ,AE$1,0)*$H102,0))</f>
        <v>0</v>
      </c>
      <c r="AF102" s="9">
        <f>SUM(IFERROR(VLOOKUP($C:$C,Structure!$A:$AJ,AF$1,0)*$D102,0),IFERROR(VLOOKUP($E:$E,Structure!$A:$AJ,AF$1,0)*$F102,0),IFERROR(VLOOKUP($G:$G,Structure!$A:$AJ,AF$1,0)*$H102,0))</f>
        <v>0</v>
      </c>
      <c r="AG102" s="9">
        <f>SUM(IFERROR(VLOOKUP($C:$C,Structure!$A:$AJ,AG$1,0)*$D102,0),IFERROR(VLOOKUP($E:$E,Structure!$A:$AJ,AG$1,0)*$F102,0),IFERROR(VLOOKUP($G:$G,Structure!$A:$AJ,AG$1,0)*$H102,0))</f>
        <v>0</v>
      </c>
      <c r="AH102" s="9">
        <f>SUM(IFERROR(VLOOKUP($C:$C,Structure!$A:$AJ,AH$1,0)*$D102,0),IFERROR(VLOOKUP($E:$E,Structure!$A:$AJ,AH$1,0)*$F102,0),IFERROR(VLOOKUP($G:$G,Structure!$A:$AJ,AH$1,0)*$H102,0))</f>
        <v>0</v>
      </c>
      <c r="AI102" s="9">
        <f>SUM(IFERROR(VLOOKUP($C:$C,Structure!$A:$AJ,AI$1,0)*$D102,0),IFERROR(VLOOKUP($E:$E,Structure!$A:$AJ,AI$1,0)*$F102,0),IFERROR(VLOOKUP($G:$G,Structure!$A:$AJ,AI$1,0)*$H102,0))</f>
        <v>0</v>
      </c>
      <c r="AJ102" s="9">
        <f>SUM(IFERROR(VLOOKUP($C:$C,Structure!$A:$AJ,AJ$1,0)*$D102,0),IFERROR(VLOOKUP($E:$E,Structure!$A:$AJ,AJ$1,0)*$F102,0),IFERROR(VLOOKUP($G:$G,Structure!$A:$AJ,AJ$1,0)*$H102,0))</f>
        <v>0</v>
      </c>
      <c r="AK102" s="9">
        <f>SUM(IFERROR(VLOOKUP($C:$C,Structure!$A:$AJ,AK$1,0)*$D102,0),IFERROR(VLOOKUP($E:$E,Structure!$A:$AJ,AK$1,0)*$F102,0),IFERROR(VLOOKUP($G:$G,Structure!$A:$AJ,AK$1,0)*$H102,0))</f>
        <v>0</v>
      </c>
      <c r="AL102" s="9">
        <f>SUM(IFERROR(VLOOKUP($C:$C,Structure!$A:$AJ,AL$1,0)*$D102,0),IFERROR(VLOOKUP($E:$E,Structure!$A:$AJ,AL$1,0)*$F102,0),IFERROR(VLOOKUP($G:$G,Structure!$A:$AJ,AL$1,0)*$H102,0))</f>
        <v>0</v>
      </c>
      <c r="AM102" s="9">
        <f>SUM(IFERROR(VLOOKUP($C:$C,Structure!$A:$AJ,AM$1,0)*$D102,0),IFERROR(VLOOKUP($E:$E,Structure!$A:$AJ,AM$1,0)*$F102,0),IFERROR(VLOOKUP($G:$G,Structure!$A:$AJ,AM$1,0)*$H102,0))</f>
        <v>0</v>
      </c>
      <c r="AN102" s="9">
        <f>SUM(IFERROR(VLOOKUP($C:$C,Structure!$A:$AJ,AN$1,0)*$D102,0),IFERROR(VLOOKUP($E:$E,Structure!$A:$AJ,AN$1,0)*$F102,0),IFERROR(VLOOKUP($G:$G,Structure!$A:$AJ,AN$1,0)*$H102,0))</f>
        <v>0</v>
      </c>
      <c r="AO102" s="9">
        <f>SUM(IFERROR(VLOOKUP($C:$C,Structure!$A:$AJ,AO$1,0)*$D102,0),IFERROR(VLOOKUP($E:$E,Structure!$A:$AJ,AO$1,0)*$F102,0),IFERROR(VLOOKUP($G:$G,Structure!$A:$AJ,AO$1,0)*$H102,0))</f>
        <v>0</v>
      </c>
      <c r="AP102" s="9">
        <f>SUM(IFERROR(VLOOKUP($C:$C,Structure!$A:$AJ,AP$1,0)*$D102,0),IFERROR(VLOOKUP($E:$E,Structure!$A:$AJ,AP$1,0)*$F102,0),IFERROR(VLOOKUP($G:$G,Structure!$A:$AJ,AP$1,0)*$H102,0))</f>
        <v>0</v>
      </c>
      <c r="AQ102" s="9">
        <f>SUM(IFERROR(VLOOKUP($C:$C,Structure!$A:$AJ,AQ$1,0)*$D102,0),IFERROR(VLOOKUP($E:$E,Structure!$A:$AJ,AQ$1,0)*$F102,0),IFERROR(VLOOKUP($G:$G,Structure!$A:$AJ,AQ$1,0)*$H102,0))</f>
        <v>0</v>
      </c>
      <c r="AR102" s="21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4">
        <f t="shared" si="127"/>
        <v>0</v>
      </c>
      <c r="CE102" s="4">
        <f t="shared" si="128"/>
        <v>-84</v>
      </c>
      <c r="CF102" s="4">
        <f t="shared" si="129"/>
        <v>4</v>
      </c>
      <c r="CG102" s="4">
        <f t="shared" si="130"/>
        <v>15</v>
      </c>
      <c r="CH102" s="4">
        <f t="shared" si="131"/>
        <v>-7</v>
      </c>
      <c r="CI102" s="4">
        <f t="shared" si="132"/>
        <v>127</v>
      </c>
      <c r="CJ102" s="4">
        <f t="shared" si="133"/>
        <v>-58</v>
      </c>
      <c r="CK102" s="4">
        <f t="shared" si="134"/>
        <v>95</v>
      </c>
      <c r="CL102" s="4">
        <f t="shared" si="135"/>
        <v>0</v>
      </c>
      <c r="CM102" s="4">
        <f t="shared" si="136"/>
        <v>6</v>
      </c>
      <c r="CN102" s="4">
        <f t="shared" si="137"/>
        <v>55</v>
      </c>
      <c r="CO102" s="4">
        <f t="shared" si="138"/>
        <v>0</v>
      </c>
      <c r="CP102" s="4">
        <f t="shared" si="139"/>
        <v>103</v>
      </c>
      <c r="CQ102" s="4">
        <f t="shared" si="140"/>
        <v>-153</v>
      </c>
      <c r="CR102" s="4">
        <f t="shared" si="141"/>
        <v>16</v>
      </c>
      <c r="CS102" s="4">
        <f t="shared" si="142"/>
        <v>-24</v>
      </c>
      <c r="CT102" s="4">
        <f t="shared" si="143"/>
        <v>0</v>
      </c>
      <c r="CU102" s="4">
        <f t="shared" si="144"/>
        <v>0</v>
      </c>
      <c r="CV102" s="4">
        <f t="shared" si="145"/>
        <v>0</v>
      </c>
      <c r="CW102" s="4">
        <f t="shared" si="146"/>
        <v>0</v>
      </c>
      <c r="CX102" s="4">
        <f t="shared" si="147"/>
        <v>-110</v>
      </c>
      <c r="CY102" s="4">
        <f t="shared" si="148"/>
        <v>0</v>
      </c>
      <c r="CZ102" s="4">
        <f t="shared" si="149"/>
        <v>0</v>
      </c>
      <c r="DA102" s="4">
        <f t="shared" si="150"/>
        <v>0</v>
      </c>
      <c r="DB102" s="4">
        <f t="shared" si="151"/>
        <v>0</v>
      </c>
      <c r="DC102" s="4">
        <f t="shared" si="152"/>
        <v>0</v>
      </c>
      <c r="DD102" s="4">
        <f t="shared" si="153"/>
        <v>0</v>
      </c>
      <c r="DE102" s="4">
        <f t="shared" si="154"/>
        <v>0</v>
      </c>
      <c r="DF102" s="4">
        <f t="shared" si="155"/>
        <v>0</v>
      </c>
      <c r="DG102" s="4">
        <f t="shared" si="156"/>
        <v>0</v>
      </c>
      <c r="DH102" s="4">
        <f t="shared" si="157"/>
        <v>0</v>
      </c>
      <c r="DI102" s="4">
        <f t="shared" si="158"/>
        <v>0</v>
      </c>
      <c r="DJ102" s="4">
        <f t="shared" si="159"/>
        <v>0</v>
      </c>
      <c r="DK102" s="4">
        <f t="shared" si="160"/>
        <v>0</v>
      </c>
      <c r="DL102" s="4">
        <f t="shared" si="161"/>
        <v>0</v>
      </c>
    </row>
    <row r="103" spans="1:116" x14ac:dyDescent="0.25">
      <c r="A103" s="5">
        <v>46185</v>
      </c>
      <c r="B103" s="6">
        <v>0.39583333357586525</v>
      </c>
      <c r="C103" s="3"/>
      <c r="D103" s="3"/>
      <c r="E103" s="3" t="s">
        <v>54</v>
      </c>
      <c r="F103" s="3">
        <v>8</v>
      </c>
      <c r="G103" s="3"/>
      <c r="H103" s="9"/>
      <c r="I103" s="9">
        <f>SUM(IFERROR(VLOOKUP($C:$C,Structure!$A:$AJ,I$1,0)*$D103,0),IFERROR(VLOOKUP($E:$E,Structure!$A:$AJ,I$1,0)*$F103,0),IFERROR(VLOOKUP($G:$G,Structure!$A:$AJ,I$1,0)*$H103,0))</f>
        <v>0</v>
      </c>
      <c r="J103" s="9">
        <f>SUM(IFERROR(VLOOKUP($C:$C,Structure!$A:$AJ,J$1,0)*$D103,0),IFERROR(VLOOKUP($E:$E,Structure!$A:$AJ,J$1,0)*$F103,0),IFERROR(VLOOKUP($G:$G,Structure!$A:$AJ,J$1,0)*$H103,0))</f>
        <v>0</v>
      </c>
      <c r="K103" s="9">
        <f>SUM(IFERROR(VLOOKUP($C:$C,Structure!$A:$AJ,K$1,0)*$D103,0),IFERROR(VLOOKUP($E:$E,Structure!$A:$AJ,K$1,0)*$F103,0),IFERROR(VLOOKUP($G:$G,Structure!$A:$AJ,K$1,0)*$H103,0))</f>
        <v>0</v>
      </c>
      <c r="L103" s="9">
        <f>SUM(IFERROR(VLOOKUP($C:$C,Structure!$A:$AJ,L$1,0)*$D103,0),IFERROR(VLOOKUP($E:$E,Structure!$A:$AJ,L$1,0)*$F103,0),IFERROR(VLOOKUP($G:$G,Structure!$A:$AJ,L$1,0)*$H103,0))</f>
        <v>0</v>
      </c>
      <c r="M103" s="9">
        <f>SUM(IFERROR(VLOOKUP($C:$C,Structure!$A:$AJ,M$1,0)*$D103,0),IFERROR(VLOOKUP($E:$E,Structure!$A:$AJ,M$1,0)*$F103,0),IFERROR(VLOOKUP($G:$G,Structure!$A:$AJ,M$1,0)*$H103,0))</f>
        <v>0</v>
      </c>
      <c r="N103" s="9">
        <f>SUM(IFERROR(VLOOKUP($C:$C,Structure!$A:$AJ,N$1,0)*$D103,0),IFERROR(VLOOKUP($E:$E,Structure!$A:$AJ,N$1,0)*$F103,0),IFERROR(VLOOKUP($G:$G,Structure!$A:$AJ,N$1,0)*$H103,0))</f>
        <v>0</v>
      </c>
      <c r="O103" s="9">
        <f>SUM(IFERROR(VLOOKUP($C:$C,Structure!$A:$AJ,O$1,0)*$D103,0),IFERROR(VLOOKUP($E:$E,Structure!$A:$AJ,O$1,0)*$F103,0),IFERROR(VLOOKUP($G:$G,Structure!$A:$AJ,O$1,0)*$H103,0))</f>
        <v>8</v>
      </c>
      <c r="P103" s="9">
        <f>SUM(IFERROR(VLOOKUP($C:$C,Structure!$A:$AJ,P$1,0)*$D103,0),IFERROR(VLOOKUP($E:$E,Structure!$A:$AJ,P$1,0)*$F103,0),IFERROR(VLOOKUP($G:$G,Structure!$A:$AJ,P$1,0)*$H103,0))</f>
        <v>0</v>
      </c>
      <c r="Q103" s="9">
        <f>SUM(IFERROR(VLOOKUP($C:$C,Structure!$A:$AJ,Q$1,0)*$D103,0),IFERROR(VLOOKUP($E:$E,Structure!$A:$AJ,Q$1,0)*$F103,0),IFERROR(VLOOKUP($G:$G,Structure!$A:$AJ,Q$1,0)*$H103,0))</f>
        <v>0</v>
      </c>
      <c r="R103" s="9">
        <f>SUM(IFERROR(VLOOKUP($C:$C,Structure!$A:$AJ,R$1,0)*$D103,0),IFERROR(VLOOKUP($E:$E,Structure!$A:$AJ,R$1,0)*$F103,0),IFERROR(VLOOKUP($G:$G,Structure!$A:$AJ,R$1,0)*$H103,0))</f>
        <v>0</v>
      </c>
      <c r="S103" s="9">
        <f>SUM(IFERROR(VLOOKUP($C:$C,Structure!$A:$AJ,S$1,0)*$D103,0),IFERROR(VLOOKUP($E:$E,Structure!$A:$AJ,S$1,0)*$F103,0),IFERROR(VLOOKUP($G:$G,Structure!$A:$AJ,S$1,0)*$H103,0))</f>
        <v>8</v>
      </c>
      <c r="T103" s="9">
        <f>SUM(IFERROR(VLOOKUP($C:$C,Structure!$A:$AJ,T$1,0)*$D103,0),IFERROR(VLOOKUP($E:$E,Structure!$A:$AJ,T$1,0)*$F103,0),IFERROR(VLOOKUP($G:$G,Structure!$A:$AJ,T$1,0)*$H103,0))</f>
        <v>0</v>
      </c>
      <c r="U103" s="9">
        <f>SUM(IFERROR(VLOOKUP($C:$C,Structure!$A:$AJ,U$1,0)*$D103,0),IFERROR(VLOOKUP($E:$E,Structure!$A:$AJ,U$1,0)*$F103,0),IFERROR(VLOOKUP($G:$G,Structure!$A:$AJ,U$1,0)*$H103,0))</f>
        <v>0</v>
      </c>
      <c r="V103" s="9">
        <f>SUM(IFERROR(VLOOKUP($C:$C,Structure!$A:$AJ,V$1,0)*$D103,0),IFERROR(VLOOKUP($E:$E,Structure!$A:$AJ,V$1,0)*$F103,0),IFERROR(VLOOKUP($G:$G,Structure!$A:$AJ,V$1,0)*$H103,0))</f>
        <v>0</v>
      </c>
      <c r="W103" s="9">
        <f>SUM(IFERROR(VLOOKUP($C:$C,Structure!$A:$AJ,W$1,0)*$D103,0),IFERROR(VLOOKUP($E:$E,Structure!$A:$AJ,W$1,0)*$F103,0),IFERROR(VLOOKUP($G:$G,Structure!$A:$AJ,W$1,0)*$H103,0))</f>
        <v>0</v>
      </c>
      <c r="X103" s="9">
        <f>SUM(IFERROR(VLOOKUP($C:$C,Structure!$A:$AJ,X$1,0)*$D103,0),IFERROR(VLOOKUP($E:$E,Structure!$A:$AJ,X$1,0)*$F103,0),IFERROR(VLOOKUP($G:$G,Structure!$A:$AJ,X$1,0)*$H103,0))</f>
        <v>0</v>
      </c>
      <c r="Y103" s="9">
        <f>SUM(IFERROR(VLOOKUP($C:$C,Structure!$A:$AJ,Y$1,0)*$D103,0),IFERROR(VLOOKUP($E:$E,Structure!$A:$AJ,Y$1,0)*$F103,0),IFERROR(VLOOKUP($G:$G,Structure!$A:$AJ,Y$1,0)*$H103,0))</f>
        <v>0</v>
      </c>
      <c r="Z103" s="9">
        <f>SUM(IFERROR(VLOOKUP($C:$C,Structure!$A:$AJ,Z$1,0)*$D103,0),IFERROR(VLOOKUP($E:$E,Structure!$A:$AJ,Z$1,0)*$F103,0),IFERROR(VLOOKUP($G:$G,Structure!$A:$AJ,Z$1,0)*$H103,0))</f>
        <v>0</v>
      </c>
      <c r="AA103" s="9">
        <f>SUM(IFERROR(VLOOKUP($C:$C,Structure!$A:$AJ,AA$1,0)*$D103,0),IFERROR(VLOOKUP($E:$E,Structure!$A:$AJ,AA$1,0)*$F103,0),IFERROR(VLOOKUP($G:$G,Structure!$A:$AJ,AA$1,0)*$H103,0))</f>
        <v>0</v>
      </c>
      <c r="AB103" s="9">
        <f>SUM(IFERROR(VLOOKUP($C:$C,Structure!$A:$AJ,AB$1,0)*$D103,0),IFERROR(VLOOKUP($E:$E,Structure!$A:$AJ,AB$1,0)*$F103,0),IFERROR(VLOOKUP($G:$G,Structure!$A:$AJ,AB$1,0)*$H103,0))</f>
        <v>0</v>
      </c>
      <c r="AC103" s="9">
        <f>SUM(IFERROR(VLOOKUP($C:$C,Structure!$A:$AJ,AC$1,0)*$D103,0),IFERROR(VLOOKUP($E:$E,Structure!$A:$AJ,AC$1,0)*$F103,0),IFERROR(VLOOKUP($G:$G,Structure!$A:$AJ,AC$1,0)*$H103,0))</f>
        <v>0</v>
      </c>
      <c r="AD103" s="9">
        <f>SUM(IFERROR(VLOOKUP($C:$C,Structure!$A:$AJ,AD$1,0)*$D103,0),IFERROR(VLOOKUP($E:$E,Structure!$A:$AJ,AD$1,0)*$F103,0),IFERROR(VLOOKUP($G:$G,Structure!$A:$AJ,AD$1,0)*$H103,0))</f>
        <v>0</v>
      </c>
      <c r="AE103" s="9">
        <f>SUM(IFERROR(VLOOKUP($C:$C,Structure!$A:$AJ,AE$1,0)*$D103,0),IFERROR(VLOOKUP($E:$E,Structure!$A:$AJ,AE$1,0)*$F103,0),IFERROR(VLOOKUP($G:$G,Structure!$A:$AJ,AE$1,0)*$H103,0))</f>
        <v>0</v>
      </c>
      <c r="AF103" s="9">
        <f>SUM(IFERROR(VLOOKUP($C:$C,Structure!$A:$AJ,AF$1,0)*$D103,0),IFERROR(VLOOKUP($E:$E,Structure!$A:$AJ,AF$1,0)*$F103,0),IFERROR(VLOOKUP($G:$G,Structure!$A:$AJ,AF$1,0)*$H103,0))</f>
        <v>0</v>
      </c>
      <c r="AG103" s="9">
        <f>SUM(IFERROR(VLOOKUP($C:$C,Structure!$A:$AJ,AG$1,0)*$D103,0),IFERROR(VLOOKUP($E:$E,Structure!$A:$AJ,AG$1,0)*$F103,0),IFERROR(VLOOKUP($G:$G,Structure!$A:$AJ,AG$1,0)*$H103,0))</f>
        <v>0</v>
      </c>
      <c r="AH103" s="9">
        <f>SUM(IFERROR(VLOOKUP($C:$C,Structure!$A:$AJ,AH$1,0)*$D103,0),IFERROR(VLOOKUP($E:$E,Structure!$A:$AJ,AH$1,0)*$F103,0),IFERROR(VLOOKUP($G:$G,Structure!$A:$AJ,AH$1,0)*$H103,0))</f>
        <v>0</v>
      </c>
      <c r="AI103" s="9">
        <f>SUM(IFERROR(VLOOKUP($C:$C,Structure!$A:$AJ,AI$1,0)*$D103,0),IFERROR(VLOOKUP($E:$E,Structure!$A:$AJ,AI$1,0)*$F103,0),IFERROR(VLOOKUP($G:$G,Structure!$A:$AJ,AI$1,0)*$H103,0))</f>
        <v>0</v>
      </c>
      <c r="AJ103" s="9">
        <f>SUM(IFERROR(VLOOKUP($C:$C,Structure!$A:$AJ,AJ$1,0)*$D103,0),IFERROR(VLOOKUP($E:$E,Structure!$A:$AJ,AJ$1,0)*$F103,0),IFERROR(VLOOKUP($G:$G,Structure!$A:$AJ,AJ$1,0)*$H103,0))</f>
        <v>0</v>
      </c>
      <c r="AK103" s="9">
        <f>SUM(IFERROR(VLOOKUP($C:$C,Structure!$A:$AJ,AK$1,0)*$D103,0),IFERROR(VLOOKUP($E:$E,Structure!$A:$AJ,AK$1,0)*$F103,0),IFERROR(VLOOKUP($G:$G,Structure!$A:$AJ,AK$1,0)*$H103,0))</f>
        <v>0</v>
      </c>
      <c r="AL103" s="9">
        <f>SUM(IFERROR(VLOOKUP($C:$C,Structure!$A:$AJ,AL$1,0)*$D103,0),IFERROR(VLOOKUP($E:$E,Structure!$A:$AJ,AL$1,0)*$F103,0),IFERROR(VLOOKUP($G:$G,Structure!$A:$AJ,AL$1,0)*$H103,0))</f>
        <v>0</v>
      </c>
      <c r="AM103" s="9">
        <f>SUM(IFERROR(VLOOKUP($C:$C,Structure!$A:$AJ,AM$1,0)*$D103,0),IFERROR(VLOOKUP($E:$E,Structure!$A:$AJ,AM$1,0)*$F103,0),IFERROR(VLOOKUP($G:$G,Structure!$A:$AJ,AM$1,0)*$H103,0))</f>
        <v>0</v>
      </c>
      <c r="AN103" s="9">
        <f>SUM(IFERROR(VLOOKUP($C:$C,Structure!$A:$AJ,AN$1,0)*$D103,0),IFERROR(VLOOKUP($E:$E,Structure!$A:$AJ,AN$1,0)*$F103,0),IFERROR(VLOOKUP($G:$G,Structure!$A:$AJ,AN$1,0)*$H103,0))</f>
        <v>0</v>
      </c>
      <c r="AO103" s="9">
        <f>SUM(IFERROR(VLOOKUP($C:$C,Structure!$A:$AJ,AO$1,0)*$D103,0),IFERROR(VLOOKUP($E:$E,Structure!$A:$AJ,AO$1,0)*$F103,0),IFERROR(VLOOKUP($G:$G,Structure!$A:$AJ,AO$1,0)*$H103,0))</f>
        <v>0</v>
      </c>
      <c r="AP103" s="9">
        <f>SUM(IFERROR(VLOOKUP($C:$C,Structure!$A:$AJ,AP$1,0)*$D103,0),IFERROR(VLOOKUP($E:$E,Structure!$A:$AJ,AP$1,0)*$F103,0),IFERROR(VLOOKUP($G:$G,Structure!$A:$AJ,AP$1,0)*$H103,0))</f>
        <v>0</v>
      </c>
      <c r="AQ103" s="9">
        <f>SUM(IFERROR(VLOOKUP($C:$C,Structure!$A:$AJ,AQ$1,0)*$D103,0),IFERROR(VLOOKUP($E:$E,Structure!$A:$AJ,AQ$1,0)*$F103,0),IFERROR(VLOOKUP($G:$G,Structure!$A:$AJ,AQ$1,0)*$H103,0))</f>
        <v>0</v>
      </c>
      <c r="AR103" s="21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4">
        <f t="shared" si="127"/>
        <v>0</v>
      </c>
      <c r="CE103" s="4">
        <f t="shared" si="128"/>
        <v>-84</v>
      </c>
      <c r="CF103" s="4">
        <f t="shared" si="129"/>
        <v>4</v>
      </c>
      <c r="CG103" s="4">
        <f t="shared" si="130"/>
        <v>15</v>
      </c>
      <c r="CH103" s="4">
        <f t="shared" si="131"/>
        <v>-7</v>
      </c>
      <c r="CI103" s="4">
        <f t="shared" si="132"/>
        <v>127</v>
      </c>
      <c r="CJ103" s="4">
        <f t="shared" si="133"/>
        <v>-66</v>
      </c>
      <c r="CK103" s="4">
        <f t="shared" si="134"/>
        <v>95</v>
      </c>
      <c r="CL103" s="4">
        <f t="shared" si="135"/>
        <v>0</v>
      </c>
      <c r="CM103" s="4">
        <f t="shared" si="136"/>
        <v>6</v>
      </c>
      <c r="CN103" s="4">
        <f t="shared" si="137"/>
        <v>47</v>
      </c>
      <c r="CO103" s="4">
        <f t="shared" si="138"/>
        <v>0</v>
      </c>
      <c r="CP103" s="4">
        <f t="shared" si="139"/>
        <v>103</v>
      </c>
      <c r="CQ103" s="4">
        <f t="shared" si="140"/>
        <v>-153</v>
      </c>
      <c r="CR103" s="4">
        <f t="shared" si="141"/>
        <v>16</v>
      </c>
      <c r="CS103" s="4">
        <f t="shared" si="142"/>
        <v>-24</v>
      </c>
      <c r="CT103" s="4">
        <f t="shared" si="143"/>
        <v>0</v>
      </c>
      <c r="CU103" s="4">
        <f t="shared" si="144"/>
        <v>0</v>
      </c>
      <c r="CV103" s="4">
        <f t="shared" si="145"/>
        <v>0</v>
      </c>
      <c r="CW103" s="4">
        <f t="shared" si="146"/>
        <v>0</v>
      </c>
      <c r="CX103" s="4">
        <f t="shared" si="147"/>
        <v>-110</v>
      </c>
      <c r="CY103" s="4">
        <f t="shared" si="148"/>
        <v>0</v>
      </c>
      <c r="CZ103" s="4">
        <f t="shared" si="149"/>
        <v>0</v>
      </c>
      <c r="DA103" s="4">
        <f t="shared" si="150"/>
        <v>0</v>
      </c>
      <c r="DB103" s="4">
        <f t="shared" si="151"/>
        <v>0</v>
      </c>
      <c r="DC103" s="4">
        <f t="shared" si="152"/>
        <v>0</v>
      </c>
      <c r="DD103" s="4">
        <f t="shared" si="153"/>
        <v>0</v>
      </c>
      <c r="DE103" s="4">
        <f t="shared" si="154"/>
        <v>0</v>
      </c>
      <c r="DF103" s="4">
        <f t="shared" si="155"/>
        <v>0</v>
      </c>
      <c r="DG103" s="4">
        <f t="shared" si="156"/>
        <v>0</v>
      </c>
      <c r="DH103" s="4">
        <f t="shared" si="157"/>
        <v>0</v>
      </c>
      <c r="DI103" s="4">
        <f t="shared" si="158"/>
        <v>0</v>
      </c>
      <c r="DJ103" s="4">
        <f t="shared" si="159"/>
        <v>0</v>
      </c>
      <c r="DK103" s="4">
        <f t="shared" si="160"/>
        <v>0</v>
      </c>
      <c r="DL103" s="4">
        <f t="shared" si="161"/>
        <v>0</v>
      </c>
    </row>
    <row r="104" spans="1:116" x14ac:dyDescent="0.25">
      <c r="A104" s="5">
        <v>46185</v>
      </c>
      <c r="B104" s="6">
        <v>0.41666666691162391</v>
      </c>
      <c r="C104" s="3"/>
      <c r="D104" s="3"/>
      <c r="E104" s="3" t="s">
        <v>44</v>
      </c>
      <c r="F104" s="3">
        <v>1</v>
      </c>
      <c r="G104" s="3"/>
      <c r="H104" s="9"/>
      <c r="I104" s="9">
        <f>SUM(IFERROR(VLOOKUP($C:$C,Structure!$A:$AJ,I$1,0)*$D104,0),IFERROR(VLOOKUP($E:$E,Structure!$A:$AJ,I$1,0)*$F104,0),IFERROR(VLOOKUP($G:$G,Structure!$A:$AJ,I$1,0)*$H104,0))</f>
        <v>0</v>
      </c>
      <c r="J104" s="9">
        <f>SUM(IFERROR(VLOOKUP($C:$C,Structure!$A:$AJ,J$1,0)*$D104,0),IFERROR(VLOOKUP($E:$E,Structure!$A:$AJ,J$1,0)*$F104,0),IFERROR(VLOOKUP($G:$G,Structure!$A:$AJ,J$1,0)*$H104,0))</f>
        <v>0</v>
      </c>
      <c r="K104" s="9">
        <f>SUM(IFERROR(VLOOKUP($C:$C,Structure!$A:$AJ,K$1,0)*$D104,0),IFERROR(VLOOKUP($E:$E,Structure!$A:$AJ,K$1,0)*$F104,0),IFERROR(VLOOKUP($G:$G,Structure!$A:$AJ,K$1,0)*$H104,0))</f>
        <v>0</v>
      </c>
      <c r="L104" s="9">
        <f>SUM(IFERROR(VLOOKUP($C:$C,Structure!$A:$AJ,L$1,0)*$D104,0),IFERROR(VLOOKUP($E:$E,Structure!$A:$AJ,L$1,0)*$F104,0),IFERROR(VLOOKUP($G:$G,Structure!$A:$AJ,L$1,0)*$H104,0))</f>
        <v>1</v>
      </c>
      <c r="M104" s="9">
        <f>SUM(IFERROR(VLOOKUP($C:$C,Structure!$A:$AJ,M$1,0)*$D104,0),IFERROR(VLOOKUP($E:$E,Structure!$A:$AJ,M$1,0)*$F104,0),IFERROR(VLOOKUP($G:$G,Structure!$A:$AJ,M$1,0)*$H104,0))</f>
        <v>0</v>
      </c>
      <c r="N104" s="9">
        <f>SUM(IFERROR(VLOOKUP($C:$C,Structure!$A:$AJ,N$1,0)*$D104,0),IFERROR(VLOOKUP($E:$E,Structure!$A:$AJ,N$1,0)*$F104,0),IFERROR(VLOOKUP($G:$G,Structure!$A:$AJ,N$1,0)*$H104,0))</f>
        <v>0</v>
      </c>
      <c r="O104" s="9">
        <f>SUM(IFERROR(VLOOKUP($C:$C,Structure!$A:$AJ,O$1,0)*$D104,0),IFERROR(VLOOKUP($E:$E,Structure!$A:$AJ,O$1,0)*$F104,0),IFERROR(VLOOKUP($G:$G,Structure!$A:$AJ,O$1,0)*$H104,0))</f>
        <v>0</v>
      </c>
      <c r="P104" s="9">
        <f>SUM(IFERROR(VLOOKUP($C:$C,Structure!$A:$AJ,P$1,0)*$D104,0),IFERROR(VLOOKUP($E:$E,Structure!$A:$AJ,P$1,0)*$F104,0),IFERROR(VLOOKUP($G:$G,Structure!$A:$AJ,P$1,0)*$H104,0))</f>
        <v>0</v>
      </c>
      <c r="Q104" s="9">
        <f>SUM(IFERROR(VLOOKUP($C:$C,Structure!$A:$AJ,Q$1,0)*$D104,0),IFERROR(VLOOKUP($E:$E,Structure!$A:$AJ,Q$1,0)*$F104,0),IFERROR(VLOOKUP($G:$G,Structure!$A:$AJ,Q$1,0)*$H104,0))</f>
        <v>0</v>
      </c>
      <c r="R104" s="9">
        <f>SUM(IFERROR(VLOOKUP($C:$C,Structure!$A:$AJ,R$1,0)*$D104,0),IFERROR(VLOOKUP($E:$E,Structure!$A:$AJ,R$1,0)*$F104,0),IFERROR(VLOOKUP($G:$G,Structure!$A:$AJ,R$1,0)*$H104,0))</f>
        <v>0</v>
      </c>
      <c r="S104" s="9">
        <f>SUM(IFERROR(VLOOKUP($C:$C,Structure!$A:$AJ,S$1,0)*$D104,0),IFERROR(VLOOKUP($E:$E,Structure!$A:$AJ,S$1,0)*$F104,0),IFERROR(VLOOKUP($G:$G,Structure!$A:$AJ,S$1,0)*$H104,0))</f>
        <v>0</v>
      </c>
      <c r="T104" s="9">
        <f>SUM(IFERROR(VLOOKUP($C:$C,Structure!$A:$AJ,T$1,0)*$D104,0),IFERROR(VLOOKUP($E:$E,Structure!$A:$AJ,T$1,0)*$F104,0),IFERROR(VLOOKUP($G:$G,Structure!$A:$AJ,T$1,0)*$H104,0))</f>
        <v>0</v>
      </c>
      <c r="U104" s="9">
        <f>SUM(IFERROR(VLOOKUP($C:$C,Structure!$A:$AJ,U$1,0)*$D104,0),IFERROR(VLOOKUP($E:$E,Structure!$A:$AJ,U$1,0)*$F104,0),IFERROR(VLOOKUP($G:$G,Structure!$A:$AJ,U$1,0)*$H104,0))</f>
        <v>0</v>
      </c>
      <c r="V104" s="9">
        <f>SUM(IFERROR(VLOOKUP($C:$C,Structure!$A:$AJ,V$1,0)*$D104,0),IFERROR(VLOOKUP($E:$E,Structure!$A:$AJ,V$1,0)*$F104,0),IFERROR(VLOOKUP($G:$G,Structure!$A:$AJ,V$1,0)*$H104,0))</f>
        <v>0</v>
      </c>
      <c r="W104" s="9">
        <f>SUM(IFERROR(VLOOKUP($C:$C,Structure!$A:$AJ,W$1,0)*$D104,0),IFERROR(VLOOKUP($E:$E,Structure!$A:$AJ,W$1,0)*$F104,0),IFERROR(VLOOKUP($G:$G,Structure!$A:$AJ,W$1,0)*$H104,0))</f>
        <v>1</v>
      </c>
      <c r="X104" s="9">
        <f>SUM(IFERROR(VLOOKUP($C:$C,Structure!$A:$AJ,X$1,0)*$D104,0),IFERROR(VLOOKUP($E:$E,Structure!$A:$AJ,X$1,0)*$F104,0),IFERROR(VLOOKUP($G:$G,Structure!$A:$AJ,X$1,0)*$H104,0))</f>
        <v>0</v>
      </c>
      <c r="Y104" s="9">
        <f>SUM(IFERROR(VLOOKUP($C:$C,Structure!$A:$AJ,Y$1,0)*$D104,0),IFERROR(VLOOKUP($E:$E,Structure!$A:$AJ,Y$1,0)*$F104,0),IFERROR(VLOOKUP($G:$G,Structure!$A:$AJ,Y$1,0)*$H104,0))</f>
        <v>0</v>
      </c>
      <c r="Z104" s="9">
        <f>SUM(IFERROR(VLOOKUP($C:$C,Structure!$A:$AJ,Z$1,0)*$D104,0),IFERROR(VLOOKUP($E:$E,Structure!$A:$AJ,Z$1,0)*$F104,0),IFERROR(VLOOKUP($G:$G,Structure!$A:$AJ,Z$1,0)*$H104,0))</f>
        <v>0</v>
      </c>
      <c r="AA104" s="9">
        <f>SUM(IFERROR(VLOOKUP($C:$C,Structure!$A:$AJ,AA$1,0)*$D104,0),IFERROR(VLOOKUP($E:$E,Structure!$A:$AJ,AA$1,0)*$F104,0),IFERROR(VLOOKUP($G:$G,Structure!$A:$AJ,AA$1,0)*$H104,0))</f>
        <v>0</v>
      </c>
      <c r="AB104" s="9">
        <f>SUM(IFERROR(VLOOKUP($C:$C,Structure!$A:$AJ,AB$1,0)*$D104,0),IFERROR(VLOOKUP($E:$E,Structure!$A:$AJ,AB$1,0)*$F104,0),IFERROR(VLOOKUP($G:$G,Structure!$A:$AJ,AB$1,0)*$H104,0))</f>
        <v>0</v>
      </c>
      <c r="AC104" s="9">
        <f>SUM(IFERROR(VLOOKUP($C:$C,Structure!$A:$AJ,AC$1,0)*$D104,0),IFERROR(VLOOKUP($E:$E,Structure!$A:$AJ,AC$1,0)*$F104,0),IFERROR(VLOOKUP($G:$G,Structure!$A:$AJ,AC$1,0)*$H104,0))</f>
        <v>0</v>
      </c>
      <c r="AD104" s="9">
        <f>SUM(IFERROR(VLOOKUP($C:$C,Structure!$A:$AJ,AD$1,0)*$D104,0),IFERROR(VLOOKUP($E:$E,Structure!$A:$AJ,AD$1,0)*$F104,0),IFERROR(VLOOKUP($G:$G,Structure!$A:$AJ,AD$1,0)*$H104,0))</f>
        <v>0</v>
      </c>
      <c r="AE104" s="9">
        <f>SUM(IFERROR(VLOOKUP($C:$C,Structure!$A:$AJ,AE$1,0)*$D104,0),IFERROR(VLOOKUP($E:$E,Structure!$A:$AJ,AE$1,0)*$F104,0),IFERROR(VLOOKUP($G:$G,Structure!$A:$AJ,AE$1,0)*$H104,0))</f>
        <v>0</v>
      </c>
      <c r="AF104" s="9">
        <f>SUM(IFERROR(VLOOKUP($C:$C,Structure!$A:$AJ,AF$1,0)*$D104,0),IFERROR(VLOOKUP($E:$E,Structure!$A:$AJ,AF$1,0)*$F104,0),IFERROR(VLOOKUP($G:$G,Structure!$A:$AJ,AF$1,0)*$H104,0))</f>
        <v>0</v>
      </c>
      <c r="AG104" s="9">
        <f>SUM(IFERROR(VLOOKUP($C:$C,Structure!$A:$AJ,AG$1,0)*$D104,0),IFERROR(VLOOKUP($E:$E,Structure!$A:$AJ,AG$1,0)*$F104,0),IFERROR(VLOOKUP($G:$G,Structure!$A:$AJ,AG$1,0)*$H104,0))</f>
        <v>0</v>
      </c>
      <c r="AH104" s="9">
        <f>SUM(IFERROR(VLOOKUP($C:$C,Structure!$A:$AJ,AH$1,0)*$D104,0),IFERROR(VLOOKUP($E:$E,Structure!$A:$AJ,AH$1,0)*$F104,0),IFERROR(VLOOKUP($G:$G,Structure!$A:$AJ,AH$1,0)*$H104,0))</f>
        <v>0</v>
      </c>
      <c r="AI104" s="9">
        <f>SUM(IFERROR(VLOOKUP($C:$C,Structure!$A:$AJ,AI$1,0)*$D104,0),IFERROR(VLOOKUP($E:$E,Structure!$A:$AJ,AI$1,0)*$F104,0),IFERROR(VLOOKUP($G:$G,Structure!$A:$AJ,AI$1,0)*$H104,0))</f>
        <v>0</v>
      </c>
      <c r="AJ104" s="9">
        <f>SUM(IFERROR(VLOOKUP($C:$C,Structure!$A:$AJ,AJ$1,0)*$D104,0),IFERROR(VLOOKUP($E:$E,Structure!$A:$AJ,AJ$1,0)*$F104,0),IFERROR(VLOOKUP($G:$G,Structure!$A:$AJ,AJ$1,0)*$H104,0))</f>
        <v>0</v>
      </c>
      <c r="AK104" s="9">
        <f>SUM(IFERROR(VLOOKUP($C:$C,Structure!$A:$AJ,AK$1,0)*$D104,0),IFERROR(VLOOKUP($E:$E,Structure!$A:$AJ,AK$1,0)*$F104,0),IFERROR(VLOOKUP($G:$G,Structure!$A:$AJ,AK$1,0)*$H104,0))</f>
        <v>0</v>
      </c>
      <c r="AL104" s="9">
        <f>SUM(IFERROR(VLOOKUP($C:$C,Structure!$A:$AJ,AL$1,0)*$D104,0),IFERROR(VLOOKUP($E:$E,Structure!$A:$AJ,AL$1,0)*$F104,0),IFERROR(VLOOKUP($G:$G,Structure!$A:$AJ,AL$1,0)*$H104,0))</f>
        <v>0</v>
      </c>
      <c r="AM104" s="9">
        <f>SUM(IFERROR(VLOOKUP($C:$C,Structure!$A:$AJ,AM$1,0)*$D104,0),IFERROR(VLOOKUP($E:$E,Structure!$A:$AJ,AM$1,0)*$F104,0),IFERROR(VLOOKUP($G:$G,Structure!$A:$AJ,AM$1,0)*$H104,0))</f>
        <v>0</v>
      </c>
      <c r="AN104" s="9">
        <f>SUM(IFERROR(VLOOKUP($C:$C,Structure!$A:$AJ,AN$1,0)*$D104,0),IFERROR(VLOOKUP($E:$E,Structure!$A:$AJ,AN$1,0)*$F104,0),IFERROR(VLOOKUP($G:$G,Structure!$A:$AJ,AN$1,0)*$H104,0))</f>
        <v>0</v>
      </c>
      <c r="AO104" s="9">
        <f>SUM(IFERROR(VLOOKUP($C:$C,Structure!$A:$AJ,AO$1,0)*$D104,0),IFERROR(VLOOKUP($E:$E,Structure!$A:$AJ,AO$1,0)*$F104,0),IFERROR(VLOOKUP($G:$G,Structure!$A:$AJ,AO$1,0)*$H104,0))</f>
        <v>0</v>
      </c>
      <c r="AP104" s="9">
        <f>SUM(IFERROR(VLOOKUP($C:$C,Structure!$A:$AJ,AP$1,0)*$D104,0),IFERROR(VLOOKUP($E:$E,Structure!$A:$AJ,AP$1,0)*$F104,0),IFERROR(VLOOKUP($G:$G,Structure!$A:$AJ,AP$1,0)*$H104,0))</f>
        <v>0</v>
      </c>
      <c r="AQ104" s="9">
        <f>SUM(IFERROR(VLOOKUP($C:$C,Structure!$A:$AJ,AQ$1,0)*$D104,0),IFERROR(VLOOKUP($E:$E,Structure!$A:$AJ,AQ$1,0)*$F104,0),IFERROR(VLOOKUP($G:$G,Structure!$A:$AJ,AQ$1,0)*$H104,0))</f>
        <v>0</v>
      </c>
      <c r="AR104" s="21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4">
        <f t="shared" si="127"/>
        <v>0</v>
      </c>
      <c r="CE104" s="4">
        <f t="shared" si="128"/>
        <v>-84</v>
      </c>
      <c r="CF104" s="4">
        <f t="shared" si="129"/>
        <v>4</v>
      </c>
      <c r="CG104" s="4">
        <f t="shared" si="130"/>
        <v>14</v>
      </c>
      <c r="CH104" s="4">
        <f t="shared" si="131"/>
        <v>-7</v>
      </c>
      <c r="CI104" s="4">
        <f t="shared" si="132"/>
        <v>127</v>
      </c>
      <c r="CJ104" s="4">
        <f t="shared" si="133"/>
        <v>-66</v>
      </c>
      <c r="CK104" s="4">
        <f t="shared" si="134"/>
        <v>95</v>
      </c>
      <c r="CL104" s="4">
        <f t="shared" si="135"/>
        <v>0</v>
      </c>
      <c r="CM104" s="4">
        <f t="shared" si="136"/>
        <v>6</v>
      </c>
      <c r="CN104" s="4">
        <f t="shared" si="137"/>
        <v>47</v>
      </c>
      <c r="CO104" s="4">
        <f t="shared" si="138"/>
        <v>0</v>
      </c>
      <c r="CP104" s="4">
        <f t="shared" si="139"/>
        <v>103</v>
      </c>
      <c r="CQ104" s="4">
        <f t="shared" si="140"/>
        <v>-153</v>
      </c>
      <c r="CR104" s="4">
        <f t="shared" si="141"/>
        <v>15</v>
      </c>
      <c r="CS104" s="4">
        <f t="shared" si="142"/>
        <v>-24</v>
      </c>
      <c r="CT104" s="4">
        <f t="shared" si="143"/>
        <v>0</v>
      </c>
      <c r="CU104" s="4">
        <f t="shared" si="144"/>
        <v>0</v>
      </c>
      <c r="CV104" s="4">
        <f t="shared" si="145"/>
        <v>0</v>
      </c>
      <c r="CW104" s="4">
        <f t="shared" si="146"/>
        <v>0</v>
      </c>
      <c r="CX104" s="4">
        <f t="shared" si="147"/>
        <v>-110</v>
      </c>
      <c r="CY104" s="4">
        <f t="shared" si="148"/>
        <v>0</v>
      </c>
      <c r="CZ104" s="4">
        <f t="shared" si="149"/>
        <v>0</v>
      </c>
      <c r="DA104" s="4">
        <f t="shared" si="150"/>
        <v>0</v>
      </c>
      <c r="DB104" s="4">
        <f t="shared" si="151"/>
        <v>0</v>
      </c>
      <c r="DC104" s="4">
        <f t="shared" si="152"/>
        <v>0</v>
      </c>
      <c r="DD104" s="4">
        <f t="shared" si="153"/>
        <v>0</v>
      </c>
      <c r="DE104" s="4">
        <f t="shared" si="154"/>
        <v>0</v>
      </c>
      <c r="DF104" s="4">
        <f t="shared" si="155"/>
        <v>0</v>
      </c>
      <c r="DG104" s="4">
        <f t="shared" si="156"/>
        <v>0</v>
      </c>
      <c r="DH104" s="4">
        <f t="shared" si="157"/>
        <v>0</v>
      </c>
      <c r="DI104" s="4">
        <f t="shared" si="158"/>
        <v>0</v>
      </c>
      <c r="DJ104" s="4">
        <f t="shared" si="159"/>
        <v>0</v>
      </c>
      <c r="DK104" s="4">
        <f t="shared" si="160"/>
        <v>0</v>
      </c>
      <c r="DL104" s="4">
        <f t="shared" si="161"/>
        <v>0</v>
      </c>
    </row>
    <row r="105" spans="1:116" x14ac:dyDescent="0.25">
      <c r="A105" s="5">
        <v>46185</v>
      </c>
      <c r="B105" s="6">
        <v>0.43750000024738256</v>
      </c>
      <c r="C105" s="3"/>
      <c r="D105" s="3"/>
      <c r="E105" s="3" t="s">
        <v>57</v>
      </c>
      <c r="F105" s="3">
        <v>8</v>
      </c>
      <c r="G105" s="3"/>
      <c r="H105" s="9"/>
      <c r="I105" s="9">
        <f>SUM(IFERROR(VLOOKUP($C:$C,Structure!$A:$AJ,I$1,0)*$D105,0),IFERROR(VLOOKUP($E:$E,Structure!$A:$AJ,I$1,0)*$F105,0),IFERROR(VLOOKUP($G:$G,Structure!$A:$AJ,I$1,0)*$H105,0))</f>
        <v>0</v>
      </c>
      <c r="J105" s="9">
        <f>SUM(IFERROR(VLOOKUP($C:$C,Structure!$A:$AJ,J$1,0)*$D105,0),IFERROR(VLOOKUP($E:$E,Structure!$A:$AJ,J$1,0)*$F105,0),IFERROR(VLOOKUP($G:$G,Structure!$A:$AJ,J$1,0)*$H105,0))</f>
        <v>0</v>
      </c>
      <c r="K105" s="9">
        <f>SUM(IFERROR(VLOOKUP($C:$C,Structure!$A:$AJ,K$1,0)*$D105,0),IFERROR(VLOOKUP($E:$E,Structure!$A:$AJ,K$1,0)*$F105,0),IFERROR(VLOOKUP($G:$G,Structure!$A:$AJ,K$1,0)*$H105,0))</f>
        <v>0</v>
      </c>
      <c r="L105" s="9">
        <f>SUM(IFERROR(VLOOKUP($C:$C,Structure!$A:$AJ,L$1,0)*$D105,0),IFERROR(VLOOKUP($E:$E,Structure!$A:$AJ,L$1,0)*$F105,0),IFERROR(VLOOKUP($G:$G,Structure!$A:$AJ,L$1,0)*$H105,0))</f>
        <v>0</v>
      </c>
      <c r="M105" s="9">
        <f>SUM(IFERROR(VLOOKUP($C:$C,Structure!$A:$AJ,M$1,0)*$D105,0),IFERROR(VLOOKUP($E:$E,Structure!$A:$AJ,M$1,0)*$F105,0),IFERROR(VLOOKUP($G:$G,Structure!$A:$AJ,M$1,0)*$H105,0))</f>
        <v>0</v>
      </c>
      <c r="N105" s="9">
        <f>SUM(IFERROR(VLOOKUP($C:$C,Structure!$A:$AJ,N$1,0)*$D105,0),IFERROR(VLOOKUP($E:$E,Structure!$A:$AJ,N$1,0)*$F105,0),IFERROR(VLOOKUP($G:$G,Structure!$A:$AJ,N$1,0)*$H105,0))</f>
        <v>0</v>
      </c>
      <c r="O105" s="9">
        <f>SUM(IFERROR(VLOOKUP($C:$C,Structure!$A:$AJ,O$1,0)*$D105,0),IFERROR(VLOOKUP($E:$E,Structure!$A:$AJ,O$1,0)*$F105,0),IFERROR(VLOOKUP($G:$G,Structure!$A:$AJ,O$1,0)*$H105,0))</f>
        <v>8</v>
      </c>
      <c r="P105" s="9">
        <f>SUM(IFERROR(VLOOKUP($C:$C,Structure!$A:$AJ,P$1,0)*$D105,0),IFERROR(VLOOKUP($E:$E,Structure!$A:$AJ,P$1,0)*$F105,0),IFERROR(VLOOKUP($G:$G,Structure!$A:$AJ,P$1,0)*$H105,0))</f>
        <v>0</v>
      </c>
      <c r="Q105" s="9">
        <f>SUM(IFERROR(VLOOKUP($C:$C,Structure!$A:$AJ,Q$1,0)*$D105,0),IFERROR(VLOOKUP($E:$E,Structure!$A:$AJ,Q$1,0)*$F105,0),IFERROR(VLOOKUP($G:$G,Structure!$A:$AJ,Q$1,0)*$H105,0))</f>
        <v>0</v>
      </c>
      <c r="R105" s="9">
        <f>SUM(IFERROR(VLOOKUP($C:$C,Structure!$A:$AJ,R$1,0)*$D105,0),IFERROR(VLOOKUP($E:$E,Structure!$A:$AJ,R$1,0)*$F105,0),IFERROR(VLOOKUP($G:$G,Structure!$A:$AJ,R$1,0)*$H105,0))</f>
        <v>0</v>
      </c>
      <c r="S105" s="9">
        <f>SUM(IFERROR(VLOOKUP($C:$C,Structure!$A:$AJ,S$1,0)*$D105,0),IFERROR(VLOOKUP($E:$E,Structure!$A:$AJ,S$1,0)*$F105,0),IFERROR(VLOOKUP($G:$G,Structure!$A:$AJ,S$1,0)*$H105,0))</f>
        <v>8</v>
      </c>
      <c r="T105" s="9">
        <f>SUM(IFERROR(VLOOKUP($C:$C,Structure!$A:$AJ,T$1,0)*$D105,0),IFERROR(VLOOKUP($E:$E,Structure!$A:$AJ,T$1,0)*$F105,0),IFERROR(VLOOKUP($G:$G,Structure!$A:$AJ,T$1,0)*$H105,0))</f>
        <v>0</v>
      </c>
      <c r="U105" s="9">
        <f>SUM(IFERROR(VLOOKUP($C:$C,Structure!$A:$AJ,U$1,0)*$D105,0),IFERROR(VLOOKUP($E:$E,Structure!$A:$AJ,U$1,0)*$F105,0),IFERROR(VLOOKUP($G:$G,Structure!$A:$AJ,U$1,0)*$H105,0))</f>
        <v>0</v>
      </c>
      <c r="V105" s="9">
        <f>SUM(IFERROR(VLOOKUP($C:$C,Structure!$A:$AJ,V$1,0)*$D105,0),IFERROR(VLOOKUP($E:$E,Structure!$A:$AJ,V$1,0)*$F105,0),IFERROR(VLOOKUP($G:$G,Structure!$A:$AJ,V$1,0)*$H105,0))</f>
        <v>0</v>
      </c>
      <c r="W105" s="9">
        <f>SUM(IFERROR(VLOOKUP($C:$C,Structure!$A:$AJ,W$1,0)*$D105,0),IFERROR(VLOOKUP($E:$E,Structure!$A:$AJ,W$1,0)*$F105,0),IFERROR(VLOOKUP($G:$G,Structure!$A:$AJ,W$1,0)*$H105,0))</f>
        <v>0</v>
      </c>
      <c r="X105" s="9">
        <f>SUM(IFERROR(VLOOKUP($C:$C,Structure!$A:$AJ,X$1,0)*$D105,0),IFERROR(VLOOKUP($E:$E,Structure!$A:$AJ,X$1,0)*$F105,0),IFERROR(VLOOKUP($G:$G,Structure!$A:$AJ,X$1,0)*$H105,0))</f>
        <v>0</v>
      </c>
      <c r="Y105" s="9">
        <f>SUM(IFERROR(VLOOKUP($C:$C,Structure!$A:$AJ,Y$1,0)*$D105,0),IFERROR(VLOOKUP($E:$E,Structure!$A:$AJ,Y$1,0)*$F105,0),IFERROR(VLOOKUP($G:$G,Structure!$A:$AJ,Y$1,0)*$H105,0))</f>
        <v>0</v>
      </c>
      <c r="Z105" s="9">
        <f>SUM(IFERROR(VLOOKUP($C:$C,Structure!$A:$AJ,Z$1,0)*$D105,0),IFERROR(VLOOKUP($E:$E,Structure!$A:$AJ,Z$1,0)*$F105,0),IFERROR(VLOOKUP($G:$G,Structure!$A:$AJ,Z$1,0)*$H105,0))</f>
        <v>0</v>
      </c>
      <c r="AA105" s="9">
        <f>SUM(IFERROR(VLOOKUP($C:$C,Structure!$A:$AJ,AA$1,0)*$D105,0),IFERROR(VLOOKUP($E:$E,Structure!$A:$AJ,AA$1,0)*$F105,0),IFERROR(VLOOKUP($G:$G,Structure!$A:$AJ,AA$1,0)*$H105,0))</f>
        <v>0</v>
      </c>
      <c r="AB105" s="9">
        <f>SUM(IFERROR(VLOOKUP($C:$C,Structure!$A:$AJ,AB$1,0)*$D105,0),IFERROR(VLOOKUP($E:$E,Structure!$A:$AJ,AB$1,0)*$F105,0),IFERROR(VLOOKUP($G:$G,Structure!$A:$AJ,AB$1,0)*$H105,0))</f>
        <v>0</v>
      </c>
      <c r="AC105" s="9">
        <f>SUM(IFERROR(VLOOKUP($C:$C,Structure!$A:$AJ,AC$1,0)*$D105,0),IFERROR(VLOOKUP($E:$E,Structure!$A:$AJ,AC$1,0)*$F105,0),IFERROR(VLOOKUP($G:$G,Structure!$A:$AJ,AC$1,0)*$H105,0))</f>
        <v>0</v>
      </c>
      <c r="AD105" s="9">
        <f>SUM(IFERROR(VLOOKUP($C:$C,Structure!$A:$AJ,AD$1,0)*$D105,0),IFERROR(VLOOKUP($E:$E,Structure!$A:$AJ,AD$1,0)*$F105,0),IFERROR(VLOOKUP($G:$G,Structure!$A:$AJ,AD$1,0)*$H105,0))</f>
        <v>0</v>
      </c>
      <c r="AE105" s="9">
        <f>SUM(IFERROR(VLOOKUP($C:$C,Structure!$A:$AJ,AE$1,0)*$D105,0),IFERROR(VLOOKUP($E:$E,Structure!$A:$AJ,AE$1,0)*$F105,0),IFERROR(VLOOKUP($G:$G,Structure!$A:$AJ,AE$1,0)*$H105,0))</f>
        <v>0</v>
      </c>
      <c r="AF105" s="9">
        <f>SUM(IFERROR(VLOOKUP($C:$C,Structure!$A:$AJ,AF$1,0)*$D105,0),IFERROR(VLOOKUP($E:$E,Structure!$A:$AJ,AF$1,0)*$F105,0),IFERROR(VLOOKUP($G:$G,Structure!$A:$AJ,AF$1,0)*$H105,0))</f>
        <v>0</v>
      </c>
      <c r="AG105" s="9">
        <f>SUM(IFERROR(VLOOKUP($C:$C,Structure!$A:$AJ,AG$1,0)*$D105,0),IFERROR(VLOOKUP($E:$E,Structure!$A:$AJ,AG$1,0)*$F105,0),IFERROR(VLOOKUP($G:$G,Structure!$A:$AJ,AG$1,0)*$H105,0))</f>
        <v>0</v>
      </c>
      <c r="AH105" s="9">
        <f>SUM(IFERROR(VLOOKUP($C:$C,Structure!$A:$AJ,AH$1,0)*$D105,0),IFERROR(VLOOKUP($E:$E,Structure!$A:$AJ,AH$1,0)*$F105,0),IFERROR(VLOOKUP($G:$G,Structure!$A:$AJ,AH$1,0)*$H105,0))</f>
        <v>0</v>
      </c>
      <c r="AI105" s="9">
        <f>SUM(IFERROR(VLOOKUP($C:$C,Structure!$A:$AJ,AI$1,0)*$D105,0),IFERROR(VLOOKUP($E:$E,Structure!$A:$AJ,AI$1,0)*$F105,0),IFERROR(VLOOKUP($G:$G,Structure!$A:$AJ,AI$1,0)*$H105,0))</f>
        <v>0</v>
      </c>
      <c r="AJ105" s="9">
        <f>SUM(IFERROR(VLOOKUP($C:$C,Structure!$A:$AJ,AJ$1,0)*$D105,0),IFERROR(VLOOKUP($E:$E,Structure!$A:$AJ,AJ$1,0)*$F105,0),IFERROR(VLOOKUP($G:$G,Structure!$A:$AJ,AJ$1,0)*$H105,0))</f>
        <v>0</v>
      </c>
      <c r="AK105" s="9">
        <f>SUM(IFERROR(VLOOKUP($C:$C,Structure!$A:$AJ,AK$1,0)*$D105,0),IFERROR(VLOOKUP($E:$E,Structure!$A:$AJ,AK$1,0)*$F105,0),IFERROR(VLOOKUP($G:$G,Structure!$A:$AJ,AK$1,0)*$H105,0))</f>
        <v>0</v>
      </c>
      <c r="AL105" s="9">
        <f>SUM(IFERROR(VLOOKUP($C:$C,Structure!$A:$AJ,AL$1,0)*$D105,0),IFERROR(VLOOKUP($E:$E,Structure!$A:$AJ,AL$1,0)*$F105,0),IFERROR(VLOOKUP($G:$G,Structure!$A:$AJ,AL$1,0)*$H105,0))</f>
        <v>0</v>
      </c>
      <c r="AM105" s="9">
        <f>SUM(IFERROR(VLOOKUP($C:$C,Structure!$A:$AJ,AM$1,0)*$D105,0),IFERROR(VLOOKUP($E:$E,Structure!$A:$AJ,AM$1,0)*$F105,0),IFERROR(VLOOKUP($G:$G,Structure!$A:$AJ,AM$1,0)*$H105,0))</f>
        <v>0</v>
      </c>
      <c r="AN105" s="9">
        <f>SUM(IFERROR(VLOOKUP($C:$C,Structure!$A:$AJ,AN$1,0)*$D105,0),IFERROR(VLOOKUP($E:$E,Structure!$A:$AJ,AN$1,0)*$F105,0),IFERROR(VLOOKUP($G:$G,Structure!$A:$AJ,AN$1,0)*$H105,0))</f>
        <v>0</v>
      </c>
      <c r="AO105" s="9">
        <f>SUM(IFERROR(VLOOKUP($C:$C,Structure!$A:$AJ,AO$1,0)*$D105,0),IFERROR(VLOOKUP($E:$E,Structure!$A:$AJ,AO$1,0)*$F105,0),IFERROR(VLOOKUP($G:$G,Structure!$A:$AJ,AO$1,0)*$H105,0))</f>
        <v>0</v>
      </c>
      <c r="AP105" s="9">
        <f>SUM(IFERROR(VLOOKUP($C:$C,Structure!$A:$AJ,AP$1,0)*$D105,0),IFERROR(VLOOKUP($E:$E,Structure!$A:$AJ,AP$1,0)*$F105,0),IFERROR(VLOOKUP($G:$G,Structure!$A:$AJ,AP$1,0)*$H105,0))</f>
        <v>0</v>
      </c>
      <c r="AQ105" s="9">
        <f>SUM(IFERROR(VLOOKUP($C:$C,Structure!$A:$AJ,AQ$1,0)*$D105,0),IFERROR(VLOOKUP($E:$E,Structure!$A:$AJ,AQ$1,0)*$F105,0),IFERROR(VLOOKUP($G:$G,Structure!$A:$AJ,AQ$1,0)*$H105,0))</f>
        <v>0</v>
      </c>
      <c r="AR105" s="21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4">
        <f t="shared" si="127"/>
        <v>0</v>
      </c>
      <c r="CE105" s="4">
        <f t="shared" si="128"/>
        <v>-84</v>
      </c>
      <c r="CF105" s="4">
        <f t="shared" si="129"/>
        <v>4</v>
      </c>
      <c r="CG105" s="4">
        <f t="shared" si="130"/>
        <v>14</v>
      </c>
      <c r="CH105" s="4">
        <f t="shared" si="131"/>
        <v>-7</v>
      </c>
      <c r="CI105" s="4">
        <f t="shared" si="132"/>
        <v>127</v>
      </c>
      <c r="CJ105" s="4">
        <f t="shared" si="133"/>
        <v>-74</v>
      </c>
      <c r="CK105" s="4">
        <f t="shared" si="134"/>
        <v>95</v>
      </c>
      <c r="CL105" s="4">
        <f t="shared" si="135"/>
        <v>0</v>
      </c>
      <c r="CM105" s="4">
        <f t="shared" si="136"/>
        <v>6</v>
      </c>
      <c r="CN105" s="4">
        <f t="shared" si="137"/>
        <v>39</v>
      </c>
      <c r="CO105" s="4">
        <f t="shared" si="138"/>
        <v>0</v>
      </c>
      <c r="CP105" s="4">
        <f t="shared" si="139"/>
        <v>103</v>
      </c>
      <c r="CQ105" s="4">
        <f t="shared" si="140"/>
        <v>-153</v>
      </c>
      <c r="CR105" s="4">
        <f t="shared" si="141"/>
        <v>15</v>
      </c>
      <c r="CS105" s="4">
        <f t="shared" si="142"/>
        <v>-24</v>
      </c>
      <c r="CT105" s="4">
        <f t="shared" si="143"/>
        <v>0</v>
      </c>
      <c r="CU105" s="4">
        <f t="shared" si="144"/>
        <v>0</v>
      </c>
      <c r="CV105" s="4">
        <f t="shared" si="145"/>
        <v>0</v>
      </c>
      <c r="CW105" s="4">
        <f t="shared" si="146"/>
        <v>0</v>
      </c>
      <c r="CX105" s="4">
        <f t="shared" si="147"/>
        <v>-110</v>
      </c>
      <c r="CY105" s="4">
        <f t="shared" si="148"/>
        <v>0</v>
      </c>
      <c r="CZ105" s="4">
        <f t="shared" si="149"/>
        <v>0</v>
      </c>
      <c r="DA105" s="4">
        <f t="shared" si="150"/>
        <v>0</v>
      </c>
      <c r="DB105" s="4">
        <f t="shared" si="151"/>
        <v>0</v>
      </c>
      <c r="DC105" s="4">
        <f t="shared" si="152"/>
        <v>0</v>
      </c>
      <c r="DD105" s="4">
        <f t="shared" si="153"/>
        <v>0</v>
      </c>
      <c r="DE105" s="4">
        <f t="shared" si="154"/>
        <v>0</v>
      </c>
      <c r="DF105" s="4">
        <f t="shared" si="155"/>
        <v>0</v>
      </c>
      <c r="DG105" s="4">
        <f t="shared" si="156"/>
        <v>0</v>
      </c>
      <c r="DH105" s="4">
        <f t="shared" si="157"/>
        <v>0</v>
      </c>
      <c r="DI105" s="4">
        <f t="shared" si="158"/>
        <v>0</v>
      </c>
      <c r="DJ105" s="4">
        <f t="shared" si="159"/>
        <v>0</v>
      </c>
      <c r="DK105" s="4">
        <f t="shared" si="160"/>
        <v>0</v>
      </c>
      <c r="DL105" s="4">
        <f t="shared" si="161"/>
        <v>0</v>
      </c>
    </row>
    <row r="106" spans="1:116" x14ac:dyDescent="0.25">
      <c r="A106" s="5">
        <v>46185</v>
      </c>
      <c r="B106" s="6">
        <v>0.45833333358314121</v>
      </c>
      <c r="C106" s="3"/>
      <c r="D106" s="3"/>
      <c r="E106" s="3" t="s">
        <v>57</v>
      </c>
      <c r="F106" s="3">
        <v>8</v>
      </c>
      <c r="G106" s="3"/>
      <c r="H106" s="9"/>
      <c r="I106" s="9">
        <f>SUM(IFERROR(VLOOKUP($C:$C,Structure!$A:$AJ,I$1,0)*$D106,0),IFERROR(VLOOKUP($E:$E,Structure!$A:$AJ,I$1,0)*$F106,0),IFERROR(VLOOKUP($G:$G,Structure!$A:$AJ,I$1,0)*$H106,0))</f>
        <v>0</v>
      </c>
      <c r="J106" s="9">
        <f>SUM(IFERROR(VLOOKUP($C:$C,Structure!$A:$AJ,J$1,0)*$D106,0),IFERROR(VLOOKUP($E:$E,Structure!$A:$AJ,J$1,0)*$F106,0),IFERROR(VLOOKUP($G:$G,Structure!$A:$AJ,J$1,0)*$H106,0))</f>
        <v>0</v>
      </c>
      <c r="K106" s="9">
        <f>SUM(IFERROR(VLOOKUP($C:$C,Structure!$A:$AJ,K$1,0)*$D106,0),IFERROR(VLOOKUP($E:$E,Structure!$A:$AJ,K$1,0)*$F106,0),IFERROR(VLOOKUP($G:$G,Structure!$A:$AJ,K$1,0)*$H106,0))</f>
        <v>0</v>
      </c>
      <c r="L106" s="9">
        <f>SUM(IFERROR(VLOOKUP($C:$C,Structure!$A:$AJ,L$1,0)*$D106,0),IFERROR(VLOOKUP($E:$E,Structure!$A:$AJ,L$1,0)*$F106,0),IFERROR(VLOOKUP($G:$G,Structure!$A:$AJ,L$1,0)*$H106,0))</f>
        <v>0</v>
      </c>
      <c r="M106" s="9">
        <f>SUM(IFERROR(VLOOKUP($C:$C,Structure!$A:$AJ,M$1,0)*$D106,0),IFERROR(VLOOKUP($E:$E,Structure!$A:$AJ,M$1,0)*$F106,0),IFERROR(VLOOKUP($G:$G,Structure!$A:$AJ,M$1,0)*$H106,0))</f>
        <v>0</v>
      </c>
      <c r="N106" s="9">
        <f>SUM(IFERROR(VLOOKUP($C:$C,Structure!$A:$AJ,N$1,0)*$D106,0),IFERROR(VLOOKUP($E:$E,Structure!$A:$AJ,N$1,0)*$F106,0),IFERROR(VLOOKUP($G:$G,Structure!$A:$AJ,N$1,0)*$H106,0))</f>
        <v>0</v>
      </c>
      <c r="O106" s="9">
        <f>SUM(IFERROR(VLOOKUP($C:$C,Structure!$A:$AJ,O$1,0)*$D106,0),IFERROR(VLOOKUP($E:$E,Structure!$A:$AJ,O$1,0)*$F106,0),IFERROR(VLOOKUP($G:$G,Structure!$A:$AJ,O$1,0)*$H106,0))</f>
        <v>8</v>
      </c>
      <c r="P106" s="9">
        <f>SUM(IFERROR(VLOOKUP($C:$C,Structure!$A:$AJ,P$1,0)*$D106,0),IFERROR(VLOOKUP($E:$E,Structure!$A:$AJ,P$1,0)*$F106,0),IFERROR(VLOOKUP($G:$G,Structure!$A:$AJ,P$1,0)*$H106,0))</f>
        <v>0</v>
      </c>
      <c r="Q106" s="9">
        <f>SUM(IFERROR(VLOOKUP($C:$C,Structure!$A:$AJ,Q$1,0)*$D106,0),IFERROR(VLOOKUP($E:$E,Structure!$A:$AJ,Q$1,0)*$F106,0),IFERROR(VLOOKUP($G:$G,Structure!$A:$AJ,Q$1,0)*$H106,0))</f>
        <v>0</v>
      </c>
      <c r="R106" s="9">
        <f>SUM(IFERROR(VLOOKUP($C:$C,Structure!$A:$AJ,R$1,0)*$D106,0),IFERROR(VLOOKUP($E:$E,Structure!$A:$AJ,R$1,0)*$F106,0),IFERROR(VLOOKUP($G:$G,Structure!$A:$AJ,R$1,0)*$H106,0))</f>
        <v>0</v>
      </c>
      <c r="S106" s="9">
        <f>SUM(IFERROR(VLOOKUP($C:$C,Structure!$A:$AJ,S$1,0)*$D106,0),IFERROR(VLOOKUP($E:$E,Structure!$A:$AJ,S$1,0)*$F106,0),IFERROR(VLOOKUP($G:$G,Structure!$A:$AJ,S$1,0)*$H106,0))</f>
        <v>8</v>
      </c>
      <c r="T106" s="9">
        <f>SUM(IFERROR(VLOOKUP($C:$C,Structure!$A:$AJ,T$1,0)*$D106,0),IFERROR(VLOOKUP($E:$E,Structure!$A:$AJ,T$1,0)*$F106,0),IFERROR(VLOOKUP($G:$G,Structure!$A:$AJ,T$1,0)*$H106,0))</f>
        <v>0</v>
      </c>
      <c r="U106" s="9">
        <f>SUM(IFERROR(VLOOKUP($C:$C,Structure!$A:$AJ,U$1,0)*$D106,0),IFERROR(VLOOKUP($E:$E,Structure!$A:$AJ,U$1,0)*$F106,0),IFERROR(VLOOKUP($G:$G,Structure!$A:$AJ,U$1,0)*$H106,0))</f>
        <v>0</v>
      </c>
      <c r="V106" s="9">
        <f>SUM(IFERROR(VLOOKUP($C:$C,Structure!$A:$AJ,V$1,0)*$D106,0),IFERROR(VLOOKUP($E:$E,Structure!$A:$AJ,V$1,0)*$F106,0),IFERROR(VLOOKUP($G:$G,Structure!$A:$AJ,V$1,0)*$H106,0))</f>
        <v>0</v>
      </c>
      <c r="W106" s="9">
        <f>SUM(IFERROR(VLOOKUP($C:$C,Structure!$A:$AJ,W$1,0)*$D106,0),IFERROR(VLOOKUP($E:$E,Structure!$A:$AJ,W$1,0)*$F106,0),IFERROR(VLOOKUP($G:$G,Structure!$A:$AJ,W$1,0)*$H106,0))</f>
        <v>0</v>
      </c>
      <c r="X106" s="9">
        <f>SUM(IFERROR(VLOOKUP($C:$C,Structure!$A:$AJ,X$1,0)*$D106,0),IFERROR(VLOOKUP($E:$E,Structure!$A:$AJ,X$1,0)*$F106,0),IFERROR(VLOOKUP($G:$G,Structure!$A:$AJ,X$1,0)*$H106,0))</f>
        <v>0</v>
      </c>
      <c r="Y106" s="9">
        <f>SUM(IFERROR(VLOOKUP($C:$C,Structure!$A:$AJ,Y$1,0)*$D106,0),IFERROR(VLOOKUP($E:$E,Structure!$A:$AJ,Y$1,0)*$F106,0),IFERROR(VLOOKUP($G:$G,Structure!$A:$AJ,Y$1,0)*$H106,0))</f>
        <v>0</v>
      </c>
      <c r="Z106" s="9">
        <f>SUM(IFERROR(VLOOKUP($C:$C,Structure!$A:$AJ,Z$1,0)*$D106,0),IFERROR(VLOOKUP($E:$E,Structure!$A:$AJ,Z$1,0)*$F106,0),IFERROR(VLOOKUP($G:$G,Structure!$A:$AJ,Z$1,0)*$H106,0))</f>
        <v>0</v>
      </c>
      <c r="AA106" s="9">
        <f>SUM(IFERROR(VLOOKUP($C:$C,Structure!$A:$AJ,AA$1,0)*$D106,0),IFERROR(VLOOKUP($E:$E,Structure!$A:$AJ,AA$1,0)*$F106,0),IFERROR(VLOOKUP($G:$G,Structure!$A:$AJ,AA$1,0)*$H106,0))</f>
        <v>0</v>
      </c>
      <c r="AB106" s="9">
        <f>SUM(IFERROR(VLOOKUP($C:$C,Structure!$A:$AJ,AB$1,0)*$D106,0),IFERROR(VLOOKUP($E:$E,Structure!$A:$AJ,AB$1,0)*$F106,0),IFERROR(VLOOKUP($G:$G,Structure!$A:$AJ,AB$1,0)*$H106,0))</f>
        <v>0</v>
      </c>
      <c r="AC106" s="9">
        <f>SUM(IFERROR(VLOOKUP($C:$C,Structure!$A:$AJ,AC$1,0)*$D106,0),IFERROR(VLOOKUP($E:$E,Structure!$A:$AJ,AC$1,0)*$F106,0),IFERROR(VLOOKUP($G:$G,Structure!$A:$AJ,AC$1,0)*$H106,0))</f>
        <v>0</v>
      </c>
      <c r="AD106" s="9">
        <f>SUM(IFERROR(VLOOKUP($C:$C,Structure!$A:$AJ,AD$1,0)*$D106,0),IFERROR(VLOOKUP($E:$E,Structure!$A:$AJ,AD$1,0)*$F106,0),IFERROR(VLOOKUP($G:$G,Structure!$A:$AJ,AD$1,0)*$H106,0))</f>
        <v>0</v>
      </c>
      <c r="AE106" s="9">
        <f>SUM(IFERROR(VLOOKUP($C:$C,Structure!$A:$AJ,AE$1,0)*$D106,0),IFERROR(VLOOKUP($E:$E,Structure!$A:$AJ,AE$1,0)*$F106,0),IFERROR(VLOOKUP($G:$G,Structure!$A:$AJ,AE$1,0)*$H106,0))</f>
        <v>0</v>
      </c>
      <c r="AF106" s="9">
        <f>SUM(IFERROR(VLOOKUP($C:$C,Structure!$A:$AJ,AF$1,0)*$D106,0),IFERROR(VLOOKUP($E:$E,Structure!$A:$AJ,AF$1,0)*$F106,0),IFERROR(VLOOKUP($G:$G,Structure!$A:$AJ,AF$1,0)*$H106,0))</f>
        <v>0</v>
      </c>
      <c r="AG106" s="9">
        <f>SUM(IFERROR(VLOOKUP($C:$C,Structure!$A:$AJ,AG$1,0)*$D106,0),IFERROR(VLOOKUP($E:$E,Structure!$A:$AJ,AG$1,0)*$F106,0),IFERROR(VLOOKUP($G:$G,Structure!$A:$AJ,AG$1,0)*$H106,0))</f>
        <v>0</v>
      </c>
      <c r="AH106" s="9">
        <f>SUM(IFERROR(VLOOKUP($C:$C,Structure!$A:$AJ,AH$1,0)*$D106,0),IFERROR(VLOOKUP($E:$E,Structure!$A:$AJ,AH$1,0)*$F106,0),IFERROR(VLOOKUP($G:$G,Structure!$A:$AJ,AH$1,0)*$H106,0))</f>
        <v>0</v>
      </c>
      <c r="AI106" s="9">
        <f>SUM(IFERROR(VLOOKUP($C:$C,Structure!$A:$AJ,AI$1,0)*$D106,0),IFERROR(VLOOKUP($E:$E,Structure!$A:$AJ,AI$1,0)*$F106,0),IFERROR(VLOOKUP($G:$G,Structure!$A:$AJ,AI$1,0)*$H106,0))</f>
        <v>0</v>
      </c>
      <c r="AJ106" s="9">
        <f>SUM(IFERROR(VLOOKUP($C:$C,Structure!$A:$AJ,AJ$1,0)*$D106,0),IFERROR(VLOOKUP($E:$E,Structure!$A:$AJ,AJ$1,0)*$F106,0),IFERROR(VLOOKUP($G:$G,Structure!$A:$AJ,AJ$1,0)*$H106,0))</f>
        <v>0</v>
      </c>
      <c r="AK106" s="9">
        <f>SUM(IFERROR(VLOOKUP($C:$C,Structure!$A:$AJ,AK$1,0)*$D106,0),IFERROR(VLOOKUP($E:$E,Structure!$A:$AJ,AK$1,0)*$F106,0),IFERROR(VLOOKUP($G:$G,Structure!$A:$AJ,AK$1,0)*$H106,0))</f>
        <v>0</v>
      </c>
      <c r="AL106" s="9">
        <f>SUM(IFERROR(VLOOKUP($C:$C,Structure!$A:$AJ,AL$1,0)*$D106,0),IFERROR(VLOOKUP($E:$E,Structure!$A:$AJ,AL$1,0)*$F106,0),IFERROR(VLOOKUP($G:$G,Structure!$A:$AJ,AL$1,0)*$H106,0))</f>
        <v>0</v>
      </c>
      <c r="AM106" s="9">
        <f>SUM(IFERROR(VLOOKUP($C:$C,Structure!$A:$AJ,AM$1,0)*$D106,0),IFERROR(VLOOKUP($E:$E,Structure!$A:$AJ,AM$1,0)*$F106,0),IFERROR(VLOOKUP($G:$G,Structure!$A:$AJ,AM$1,0)*$H106,0))</f>
        <v>0</v>
      </c>
      <c r="AN106" s="9">
        <f>SUM(IFERROR(VLOOKUP($C:$C,Structure!$A:$AJ,AN$1,0)*$D106,0),IFERROR(VLOOKUP($E:$E,Structure!$A:$AJ,AN$1,0)*$F106,0),IFERROR(VLOOKUP($G:$G,Structure!$A:$AJ,AN$1,0)*$H106,0))</f>
        <v>0</v>
      </c>
      <c r="AO106" s="9">
        <f>SUM(IFERROR(VLOOKUP($C:$C,Structure!$A:$AJ,AO$1,0)*$D106,0),IFERROR(VLOOKUP($E:$E,Structure!$A:$AJ,AO$1,0)*$F106,0),IFERROR(VLOOKUP($G:$G,Structure!$A:$AJ,AO$1,0)*$H106,0))</f>
        <v>0</v>
      </c>
      <c r="AP106" s="9">
        <f>SUM(IFERROR(VLOOKUP($C:$C,Structure!$A:$AJ,AP$1,0)*$D106,0),IFERROR(VLOOKUP($E:$E,Structure!$A:$AJ,AP$1,0)*$F106,0),IFERROR(VLOOKUP($G:$G,Structure!$A:$AJ,AP$1,0)*$H106,0))</f>
        <v>0</v>
      </c>
      <c r="AQ106" s="9">
        <f>SUM(IFERROR(VLOOKUP($C:$C,Structure!$A:$AJ,AQ$1,0)*$D106,0),IFERROR(VLOOKUP($E:$E,Structure!$A:$AJ,AQ$1,0)*$F106,0),IFERROR(VLOOKUP($G:$G,Structure!$A:$AJ,AQ$1,0)*$H106,0))</f>
        <v>0</v>
      </c>
      <c r="AR106" s="21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4">
        <f t="shared" si="127"/>
        <v>0</v>
      </c>
      <c r="CE106" s="4">
        <f t="shared" si="128"/>
        <v>-84</v>
      </c>
      <c r="CF106" s="4">
        <f t="shared" si="129"/>
        <v>4</v>
      </c>
      <c r="CG106" s="4">
        <f t="shared" si="130"/>
        <v>14</v>
      </c>
      <c r="CH106" s="4">
        <f t="shared" si="131"/>
        <v>-7</v>
      </c>
      <c r="CI106" s="4">
        <f t="shared" si="132"/>
        <v>127</v>
      </c>
      <c r="CJ106" s="4">
        <f t="shared" si="133"/>
        <v>-82</v>
      </c>
      <c r="CK106" s="4">
        <f t="shared" si="134"/>
        <v>95</v>
      </c>
      <c r="CL106" s="4">
        <f t="shared" si="135"/>
        <v>0</v>
      </c>
      <c r="CM106" s="4">
        <f t="shared" si="136"/>
        <v>6</v>
      </c>
      <c r="CN106" s="4">
        <f t="shared" si="137"/>
        <v>31</v>
      </c>
      <c r="CO106" s="4">
        <f t="shared" si="138"/>
        <v>0</v>
      </c>
      <c r="CP106" s="4">
        <f t="shared" si="139"/>
        <v>103</v>
      </c>
      <c r="CQ106" s="4">
        <f t="shared" si="140"/>
        <v>-153</v>
      </c>
      <c r="CR106" s="4">
        <f t="shared" si="141"/>
        <v>15</v>
      </c>
      <c r="CS106" s="4">
        <f t="shared" si="142"/>
        <v>-24</v>
      </c>
      <c r="CT106" s="4">
        <f t="shared" si="143"/>
        <v>0</v>
      </c>
      <c r="CU106" s="4">
        <f t="shared" si="144"/>
        <v>0</v>
      </c>
      <c r="CV106" s="4">
        <f t="shared" si="145"/>
        <v>0</v>
      </c>
      <c r="CW106" s="4">
        <f t="shared" si="146"/>
        <v>0</v>
      </c>
      <c r="CX106" s="4">
        <f t="shared" si="147"/>
        <v>-110</v>
      </c>
      <c r="CY106" s="4">
        <f t="shared" si="148"/>
        <v>0</v>
      </c>
      <c r="CZ106" s="4">
        <f t="shared" si="149"/>
        <v>0</v>
      </c>
      <c r="DA106" s="4">
        <f t="shared" si="150"/>
        <v>0</v>
      </c>
      <c r="DB106" s="4">
        <f t="shared" si="151"/>
        <v>0</v>
      </c>
      <c r="DC106" s="4">
        <f t="shared" si="152"/>
        <v>0</v>
      </c>
      <c r="DD106" s="4">
        <f t="shared" si="153"/>
        <v>0</v>
      </c>
      <c r="DE106" s="4">
        <f t="shared" si="154"/>
        <v>0</v>
      </c>
      <c r="DF106" s="4">
        <f t="shared" si="155"/>
        <v>0</v>
      </c>
      <c r="DG106" s="4">
        <f t="shared" si="156"/>
        <v>0</v>
      </c>
      <c r="DH106" s="4">
        <f t="shared" si="157"/>
        <v>0</v>
      </c>
      <c r="DI106" s="4">
        <f t="shared" si="158"/>
        <v>0</v>
      </c>
      <c r="DJ106" s="4">
        <f t="shared" si="159"/>
        <v>0</v>
      </c>
      <c r="DK106" s="4">
        <f t="shared" si="160"/>
        <v>0</v>
      </c>
      <c r="DL106" s="4">
        <f t="shared" si="161"/>
        <v>0</v>
      </c>
    </row>
    <row r="107" spans="1:116" x14ac:dyDescent="0.25">
      <c r="A107" s="5">
        <v>46185</v>
      </c>
      <c r="B107" s="6">
        <v>0.47916666691889986</v>
      </c>
      <c r="C107" s="3"/>
      <c r="D107" s="3"/>
      <c r="E107" s="3" t="s">
        <v>57</v>
      </c>
      <c r="F107" s="3">
        <v>8</v>
      </c>
      <c r="G107" s="3"/>
      <c r="H107" s="9"/>
      <c r="I107" s="9">
        <f>SUM(IFERROR(VLOOKUP($C:$C,Structure!$A:$AJ,I$1,0)*$D107,0),IFERROR(VLOOKUP($E:$E,Structure!$A:$AJ,I$1,0)*$F107,0),IFERROR(VLOOKUP($G:$G,Structure!$A:$AJ,I$1,0)*$H107,0))</f>
        <v>0</v>
      </c>
      <c r="J107" s="9">
        <f>SUM(IFERROR(VLOOKUP($C:$C,Structure!$A:$AJ,J$1,0)*$D107,0),IFERROR(VLOOKUP($E:$E,Structure!$A:$AJ,J$1,0)*$F107,0),IFERROR(VLOOKUP($G:$G,Structure!$A:$AJ,J$1,0)*$H107,0))</f>
        <v>0</v>
      </c>
      <c r="K107" s="9">
        <f>SUM(IFERROR(VLOOKUP($C:$C,Structure!$A:$AJ,K$1,0)*$D107,0),IFERROR(VLOOKUP($E:$E,Structure!$A:$AJ,K$1,0)*$F107,0),IFERROR(VLOOKUP($G:$G,Structure!$A:$AJ,K$1,0)*$H107,0))</f>
        <v>0</v>
      </c>
      <c r="L107" s="9">
        <f>SUM(IFERROR(VLOOKUP($C:$C,Structure!$A:$AJ,L$1,0)*$D107,0),IFERROR(VLOOKUP($E:$E,Structure!$A:$AJ,L$1,0)*$F107,0),IFERROR(VLOOKUP($G:$G,Structure!$A:$AJ,L$1,0)*$H107,0))</f>
        <v>0</v>
      </c>
      <c r="M107" s="9">
        <f>SUM(IFERROR(VLOOKUP($C:$C,Structure!$A:$AJ,M$1,0)*$D107,0),IFERROR(VLOOKUP($E:$E,Structure!$A:$AJ,M$1,0)*$F107,0),IFERROR(VLOOKUP($G:$G,Structure!$A:$AJ,M$1,0)*$H107,0))</f>
        <v>0</v>
      </c>
      <c r="N107" s="9">
        <f>SUM(IFERROR(VLOOKUP($C:$C,Structure!$A:$AJ,N$1,0)*$D107,0),IFERROR(VLOOKUP($E:$E,Structure!$A:$AJ,N$1,0)*$F107,0),IFERROR(VLOOKUP($G:$G,Structure!$A:$AJ,N$1,0)*$H107,0))</f>
        <v>0</v>
      </c>
      <c r="O107" s="9">
        <f>SUM(IFERROR(VLOOKUP($C:$C,Structure!$A:$AJ,O$1,0)*$D107,0),IFERROR(VLOOKUP($E:$E,Structure!$A:$AJ,O$1,0)*$F107,0),IFERROR(VLOOKUP($G:$G,Structure!$A:$AJ,O$1,0)*$H107,0))</f>
        <v>8</v>
      </c>
      <c r="P107" s="9">
        <f>SUM(IFERROR(VLOOKUP($C:$C,Structure!$A:$AJ,P$1,0)*$D107,0),IFERROR(VLOOKUP($E:$E,Structure!$A:$AJ,P$1,0)*$F107,0),IFERROR(VLOOKUP($G:$G,Structure!$A:$AJ,P$1,0)*$H107,0))</f>
        <v>0</v>
      </c>
      <c r="Q107" s="9">
        <f>SUM(IFERROR(VLOOKUP($C:$C,Structure!$A:$AJ,Q$1,0)*$D107,0),IFERROR(VLOOKUP($E:$E,Structure!$A:$AJ,Q$1,0)*$F107,0),IFERROR(VLOOKUP($G:$G,Structure!$A:$AJ,Q$1,0)*$H107,0))</f>
        <v>0</v>
      </c>
      <c r="R107" s="9">
        <f>SUM(IFERROR(VLOOKUP($C:$C,Structure!$A:$AJ,R$1,0)*$D107,0),IFERROR(VLOOKUP($E:$E,Structure!$A:$AJ,R$1,0)*$F107,0),IFERROR(VLOOKUP($G:$G,Structure!$A:$AJ,R$1,0)*$H107,0))</f>
        <v>0</v>
      </c>
      <c r="S107" s="9">
        <f>SUM(IFERROR(VLOOKUP($C:$C,Structure!$A:$AJ,S$1,0)*$D107,0),IFERROR(VLOOKUP($E:$E,Structure!$A:$AJ,S$1,0)*$F107,0),IFERROR(VLOOKUP($G:$G,Structure!$A:$AJ,S$1,0)*$H107,0))</f>
        <v>8</v>
      </c>
      <c r="T107" s="9">
        <f>SUM(IFERROR(VLOOKUP($C:$C,Structure!$A:$AJ,T$1,0)*$D107,0),IFERROR(VLOOKUP($E:$E,Structure!$A:$AJ,T$1,0)*$F107,0),IFERROR(VLOOKUP($G:$G,Structure!$A:$AJ,T$1,0)*$H107,0))</f>
        <v>0</v>
      </c>
      <c r="U107" s="9">
        <f>SUM(IFERROR(VLOOKUP($C:$C,Structure!$A:$AJ,U$1,0)*$D107,0),IFERROR(VLOOKUP($E:$E,Structure!$A:$AJ,U$1,0)*$F107,0),IFERROR(VLOOKUP($G:$G,Structure!$A:$AJ,U$1,0)*$H107,0))</f>
        <v>0</v>
      </c>
      <c r="V107" s="9">
        <f>SUM(IFERROR(VLOOKUP($C:$C,Structure!$A:$AJ,V$1,0)*$D107,0),IFERROR(VLOOKUP($E:$E,Structure!$A:$AJ,V$1,0)*$F107,0),IFERROR(VLOOKUP($G:$G,Structure!$A:$AJ,V$1,0)*$H107,0))</f>
        <v>0</v>
      </c>
      <c r="W107" s="9">
        <f>SUM(IFERROR(VLOOKUP($C:$C,Structure!$A:$AJ,W$1,0)*$D107,0),IFERROR(VLOOKUP($E:$E,Structure!$A:$AJ,W$1,0)*$F107,0),IFERROR(VLOOKUP($G:$G,Structure!$A:$AJ,W$1,0)*$H107,0))</f>
        <v>0</v>
      </c>
      <c r="X107" s="9">
        <f>SUM(IFERROR(VLOOKUP($C:$C,Structure!$A:$AJ,X$1,0)*$D107,0),IFERROR(VLOOKUP($E:$E,Structure!$A:$AJ,X$1,0)*$F107,0),IFERROR(VLOOKUP($G:$G,Structure!$A:$AJ,X$1,0)*$H107,0))</f>
        <v>0</v>
      </c>
      <c r="Y107" s="9">
        <f>SUM(IFERROR(VLOOKUP($C:$C,Structure!$A:$AJ,Y$1,0)*$D107,0),IFERROR(VLOOKUP($E:$E,Structure!$A:$AJ,Y$1,0)*$F107,0),IFERROR(VLOOKUP($G:$G,Structure!$A:$AJ,Y$1,0)*$H107,0))</f>
        <v>0</v>
      </c>
      <c r="Z107" s="9">
        <f>SUM(IFERROR(VLOOKUP($C:$C,Structure!$A:$AJ,Z$1,0)*$D107,0),IFERROR(VLOOKUP($E:$E,Structure!$A:$AJ,Z$1,0)*$F107,0),IFERROR(VLOOKUP($G:$G,Structure!$A:$AJ,Z$1,0)*$H107,0))</f>
        <v>0</v>
      </c>
      <c r="AA107" s="9">
        <f>SUM(IFERROR(VLOOKUP($C:$C,Structure!$A:$AJ,AA$1,0)*$D107,0),IFERROR(VLOOKUP($E:$E,Structure!$A:$AJ,AA$1,0)*$F107,0),IFERROR(VLOOKUP($G:$G,Structure!$A:$AJ,AA$1,0)*$H107,0))</f>
        <v>0</v>
      </c>
      <c r="AB107" s="9">
        <f>SUM(IFERROR(VLOOKUP($C:$C,Structure!$A:$AJ,AB$1,0)*$D107,0),IFERROR(VLOOKUP($E:$E,Structure!$A:$AJ,AB$1,0)*$F107,0),IFERROR(VLOOKUP($G:$G,Structure!$A:$AJ,AB$1,0)*$H107,0))</f>
        <v>0</v>
      </c>
      <c r="AC107" s="9">
        <f>SUM(IFERROR(VLOOKUP($C:$C,Structure!$A:$AJ,AC$1,0)*$D107,0),IFERROR(VLOOKUP($E:$E,Structure!$A:$AJ,AC$1,0)*$F107,0),IFERROR(VLOOKUP($G:$G,Structure!$A:$AJ,AC$1,0)*$H107,0))</f>
        <v>0</v>
      </c>
      <c r="AD107" s="9">
        <f>SUM(IFERROR(VLOOKUP($C:$C,Structure!$A:$AJ,AD$1,0)*$D107,0),IFERROR(VLOOKUP($E:$E,Structure!$A:$AJ,AD$1,0)*$F107,0),IFERROR(VLOOKUP($G:$G,Structure!$A:$AJ,AD$1,0)*$H107,0))</f>
        <v>0</v>
      </c>
      <c r="AE107" s="9">
        <f>SUM(IFERROR(VLOOKUP($C:$C,Structure!$A:$AJ,AE$1,0)*$D107,0),IFERROR(VLOOKUP($E:$E,Structure!$A:$AJ,AE$1,0)*$F107,0),IFERROR(VLOOKUP($G:$G,Structure!$A:$AJ,AE$1,0)*$H107,0))</f>
        <v>0</v>
      </c>
      <c r="AF107" s="9">
        <f>SUM(IFERROR(VLOOKUP($C:$C,Structure!$A:$AJ,AF$1,0)*$D107,0),IFERROR(VLOOKUP($E:$E,Structure!$A:$AJ,AF$1,0)*$F107,0),IFERROR(VLOOKUP($G:$G,Structure!$A:$AJ,AF$1,0)*$H107,0))</f>
        <v>0</v>
      </c>
      <c r="AG107" s="9">
        <f>SUM(IFERROR(VLOOKUP($C:$C,Structure!$A:$AJ,AG$1,0)*$D107,0),IFERROR(VLOOKUP($E:$E,Structure!$A:$AJ,AG$1,0)*$F107,0),IFERROR(VLOOKUP($G:$G,Structure!$A:$AJ,AG$1,0)*$H107,0))</f>
        <v>0</v>
      </c>
      <c r="AH107" s="9">
        <f>SUM(IFERROR(VLOOKUP($C:$C,Structure!$A:$AJ,AH$1,0)*$D107,0),IFERROR(VLOOKUP($E:$E,Structure!$A:$AJ,AH$1,0)*$F107,0),IFERROR(VLOOKUP($G:$G,Structure!$A:$AJ,AH$1,0)*$H107,0))</f>
        <v>0</v>
      </c>
      <c r="AI107" s="9">
        <f>SUM(IFERROR(VLOOKUP($C:$C,Structure!$A:$AJ,AI$1,0)*$D107,0),IFERROR(VLOOKUP($E:$E,Structure!$A:$AJ,AI$1,0)*$F107,0),IFERROR(VLOOKUP($G:$G,Structure!$A:$AJ,AI$1,0)*$H107,0))</f>
        <v>0</v>
      </c>
      <c r="AJ107" s="9">
        <f>SUM(IFERROR(VLOOKUP($C:$C,Structure!$A:$AJ,AJ$1,0)*$D107,0),IFERROR(VLOOKUP($E:$E,Structure!$A:$AJ,AJ$1,0)*$F107,0),IFERROR(VLOOKUP($G:$G,Structure!$A:$AJ,AJ$1,0)*$H107,0))</f>
        <v>0</v>
      </c>
      <c r="AK107" s="9">
        <f>SUM(IFERROR(VLOOKUP($C:$C,Structure!$A:$AJ,AK$1,0)*$D107,0),IFERROR(VLOOKUP($E:$E,Structure!$A:$AJ,AK$1,0)*$F107,0),IFERROR(VLOOKUP($G:$G,Structure!$A:$AJ,AK$1,0)*$H107,0))</f>
        <v>0</v>
      </c>
      <c r="AL107" s="9">
        <f>SUM(IFERROR(VLOOKUP($C:$C,Structure!$A:$AJ,AL$1,0)*$D107,0),IFERROR(VLOOKUP($E:$E,Structure!$A:$AJ,AL$1,0)*$F107,0),IFERROR(VLOOKUP($G:$G,Structure!$A:$AJ,AL$1,0)*$H107,0))</f>
        <v>0</v>
      </c>
      <c r="AM107" s="9">
        <f>SUM(IFERROR(VLOOKUP($C:$C,Structure!$A:$AJ,AM$1,0)*$D107,0),IFERROR(VLOOKUP($E:$E,Structure!$A:$AJ,AM$1,0)*$F107,0),IFERROR(VLOOKUP($G:$G,Structure!$A:$AJ,AM$1,0)*$H107,0))</f>
        <v>0</v>
      </c>
      <c r="AN107" s="9">
        <f>SUM(IFERROR(VLOOKUP($C:$C,Structure!$A:$AJ,AN$1,0)*$D107,0),IFERROR(VLOOKUP($E:$E,Structure!$A:$AJ,AN$1,0)*$F107,0),IFERROR(VLOOKUP($G:$G,Structure!$A:$AJ,AN$1,0)*$H107,0))</f>
        <v>0</v>
      </c>
      <c r="AO107" s="9">
        <f>SUM(IFERROR(VLOOKUP($C:$C,Structure!$A:$AJ,AO$1,0)*$D107,0),IFERROR(VLOOKUP($E:$E,Structure!$A:$AJ,AO$1,0)*$F107,0),IFERROR(VLOOKUP($G:$G,Structure!$A:$AJ,AO$1,0)*$H107,0))</f>
        <v>0</v>
      </c>
      <c r="AP107" s="9">
        <f>SUM(IFERROR(VLOOKUP($C:$C,Structure!$A:$AJ,AP$1,0)*$D107,0),IFERROR(VLOOKUP($E:$E,Structure!$A:$AJ,AP$1,0)*$F107,0),IFERROR(VLOOKUP($G:$G,Structure!$A:$AJ,AP$1,0)*$H107,0))</f>
        <v>0</v>
      </c>
      <c r="AQ107" s="9">
        <f>SUM(IFERROR(VLOOKUP($C:$C,Structure!$A:$AJ,AQ$1,0)*$D107,0),IFERROR(VLOOKUP($E:$E,Structure!$A:$AJ,AQ$1,0)*$F107,0),IFERROR(VLOOKUP($G:$G,Structure!$A:$AJ,AQ$1,0)*$H107,0))</f>
        <v>0</v>
      </c>
      <c r="AR107" s="21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4">
        <f t="shared" si="127"/>
        <v>0</v>
      </c>
      <c r="CE107" s="4">
        <f t="shared" si="128"/>
        <v>-84</v>
      </c>
      <c r="CF107" s="4">
        <f t="shared" si="129"/>
        <v>4</v>
      </c>
      <c r="CG107" s="4">
        <f t="shared" si="130"/>
        <v>14</v>
      </c>
      <c r="CH107" s="4">
        <f t="shared" si="131"/>
        <v>-7</v>
      </c>
      <c r="CI107" s="4">
        <f t="shared" si="132"/>
        <v>127</v>
      </c>
      <c r="CJ107" s="4">
        <f t="shared" si="133"/>
        <v>-90</v>
      </c>
      <c r="CK107" s="4">
        <f t="shared" si="134"/>
        <v>95</v>
      </c>
      <c r="CL107" s="4">
        <f t="shared" si="135"/>
        <v>0</v>
      </c>
      <c r="CM107" s="4">
        <f t="shared" si="136"/>
        <v>6</v>
      </c>
      <c r="CN107" s="4">
        <f t="shared" si="137"/>
        <v>23</v>
      </c>
      <c r="CO107" s="4">
        <f t="shared" si="138"/>
        <v>0</v>
      </c>
      <c r="CP107" s="4">
        <f t="shared" si="139"/>
        <v>103</v>
      </c>
      <c r="CQ107" s="4">
        <f t="shared" si="140"/>
        <v>-153</v>
      </c>
      <c r="CR107" s="4">
        <f t="shared" si="141"/>
        <v>15</v>
      </c>
      <c r="CS107" s="4">
        <f t="shared" si="142"/>
        <v>-24</v>
      </c>
      <c r="CT107" s="4">
        <f t="shared" si="143"/>
        <v>0</v>
      </c>
      <c r="CU107" s="4">
        <f t="shared" si="144"/>
        <v>0</v>
      </c>
      <c r="CV107" s="4">
        <f t="shared" si="145"/>
        <v>0</v>
      </c>
      <c r="CW107" s="4">
        <f t="shared" si="146"/>
        <v>0</v>
      </c>
      <c r="CX107" s="4">
        <f t="shared" si="147"/>
        <v>-110</v>
      </c>
      <c r="CY107" s="4">
        <f t="shared" si="148"/>
        <v>0</v>
      </c>
      <c r="CZ107" s="4">
        <f t="shared" si="149"/>
        <v>0</v>
      </c>
      <c r="DA107" s="4">
        <f t="shared" si="150"/>
        <v>0</v>
      </c>
      <c r="DB107" s="4">
        <f t="shared" si="151"/>
        <v>0</v>
      </c>
      <c r="DC107" s="4">
        <f t="shared" si="152"/>
        <v>0</v>
      </c>
      <c r="DD107" s="4">
        <f t="shared" si="153"/>
        <v>0</v>
      </c>
      <c r="DE107" s="4">
        <f t="shared" si="154"/>
        <v>0</v>
      </c>
      <c r="DF107" s="4">
        <f t="shared" si="155"/>
        <v>0</v>
      </c>
      <c r="DG107" s="4">
        <f t="shared" si="156"/>
        <v>0</v>
      </c>
      <c r="DH107" s="4">
        <f t="shared" si="157"/>
        <v>0</v>
      </c>
      <c r="DI107" s="4">
        <f t="shared" si="158"/>
        <v>0</v>
      </c>
      <c r="DJ107" s="4">
        <f t="shared" si="159"/>
        <v>0</v>
      </c>
      <c r="DK107" s="4">
        <f t="shared" si="160"/>
        <v>0</v>
      </c>
      <c r="DL107" s="4">
        <f t="shared" si="161"/>
        <v>0</v>
      </c>
    </row>
    <row r="108" spans="1:116" x14ac:dyDescent="0.25">
      <c r="A108" s="5">
        <v>46185</v>
      </c>
      <c r="B108" s="6">
        <v>0.50000000025465852</v>
      </c>
      <c r="C108" s="3"/>
      <c r="D108" s="3"/>
      <c r="E108" s="3" t="s">
        <v>57</v>
      </c>
      <c r="F108" s="3">
        <v>8</v>
      </c>
      <c r="G108" s="3"/>
      <c r="H108" s="9"/>
      <c r="I108" s="9">
        <f>SUM(IFERROR(VLOOKUP($C:$C,Structure!$A:$AJ,I$1,0)*$D108,0),IFERROR(VLOOKUP($E:$E,Structure!$A:$AJ,I$1,0)*$F108,0),IFERROR(VLOOKUP($G:$G,Structure!$A:$AJ,I$1,0)*$H108,0))</f>
        <v>0</v>
      </c>
      <c r="J108" s="9">
        <f>SUM(IFERROR(VLOOKUP($C:$C,Structure!$A:$AJ,J$1,0)*$D108,0),IFERROR(VLOOKUP($E:$E,Structure!$A:$AJ,J$1,0)*$F108,0),IFERROR(VLOOKUP($G:$G,Structure!$A:$AJ,J$1,0)*$H108,0))</f>
        <v>0</v>
      </c>
      <c r="K108" s="9">
        <f>SUM(IFERROR(VLOOKUP($C:$C,Structure!$A:$AJ,K$1,0)*$D108,0),IFERROR(VLOOKUP($E:$E,Structure!$A:$AJ,K$1,0)*$F108,0),IFERROR(VLOOKUP($G:$G,Structure!$A:$AJ,K$1,0)*$H108,0))</f>
        <v>0</v>
      </c>
      <c r="L108" s="9">
        <f>SUM(IFERROR(VLOOKUP($C:$C,Structure!$A:$AJ,L$1,0)*$D108,0),IFERROR(VLOOKUP($E:$E,Structure!$A:$AJ,L$1,0)*$F108,0),IFERROR(VLOOKUP($G:$G,Structure!$A:$AJ,L$1,0)*$H108,0))</f>
        <v>0</v>
      </c>
      <c r="M108" s="9">
        <f>SUM(IFERROR(VLOOKUP($C:$C,Structure!$A:$AJ,M$1,0)*$D108,0),IFERROR(VLOOKUP($E:$E,Structure!$A:$AJ,M$1,0)*$F108,0),IFERROR(VLOOKUP($G:$G,Structure!$A:$AJ,M$1,0)*$H108,0))</f>
        <v>0</v>
      </c>
      <c r="N108" s="9">
        <f>SUM(IFERROR(VLOOKUP($C:$C,Structure!$A:$AJ,N$1,0)*$D108,0),IFERROR(VLOOKUP($E:$E,Structure!$A:$AJ,N$1,0)*$F108,0),IFERROR(VLOOKUP($G:$G,Structure!$A:$AJ,N$1,0)*$H108,0))</f>
        <v>0</v>
      </c>
      <c r="O108" s="9">
        <f>SUM(IFERROR(VLOOKUP($C:$C,Structure!$A:$AJ,O$1,0)*$D108,0),IFERROR(VLOOKUP($E:$E,Structure!$A:$AJ,O$1,0)*$F108,0),IFERROR(VLOOKUP($G:$G,Structure!$A:$AJ,O$1,0)*$H108,0))</f>
        <v>8</v>
      </c>
      <c r="P108" s="9">
        <f>SUM(IFERROR(VLOOKUP($C:$C,Structure!$A:$AJ,P$1,0)*$D108,0),IFERROR(VLOOKUP($E:$E,Structure!$A:$AJ,P$1,0)*$F108,0),IFERROR(VLOOKUP($G:$G,Structure!$A:$AJ,P$1,0)*$H108,0))</f>
        <v>0</v>
      </c>
      <c r="Q108" s="9">
        <f>SUM(IFERROR(VLOOKUP($C:$C,Structure!$A:$AJ,Q$1,0)*$D108,0),IFERROR(VLOOKUP($E:$E,Structure!$A:$AJ,Q$1,0)*$F108,0),IFERROR(VLOOKUP($G:$G,Structure!$A:$AJ,Q$1,0)*$H108,0))</f>
        <v>0</v>
      </c>
      <c r="R108" s="9">
        <f>SUM(IFERROR(VLOOKUP($C:$C,Structure!$A:$AJ,R$1,0)*$D108,0),IFERROR(VLOOKUP($E:$E,Structure!$A:$AJ,R$1,0)*$F108,0),IFERROR(VLOOKUP($G:$G,Structure!$A:$AJ,R$1,0)*$H108,0))</f>
        <v>0</v>
      </c>
      <c r="S108" s="9">
        <f>SUM(IFERROR(VLOOKUP($C:$C,Structure!$A:$AJ,S$1,0)*$D108,0),IFERROR(VLOOKUP($E:$E,Structure!$A:$AJ,S$1,0)*$F108,0),IFERROR(VLOOKUP($G:$G,Structure!$A:$AJ,S$1,0)*$H108,0))</f>
        <v>8</v>
      </c>
      <c r="T108" s="9">
        <f>SUM(IFERROR(VLOOKUP($C:$C,Structure!$A:$AJ,T$1,0)*$D108,0),IFERROR(VLOOKUP($E:$E,Structure!$A:$AJ,T$1,0)*$F108,0),IFERROR(VLOOKUP($G:$G,Structure!$A:$AJ,T$1,0)*$H108,0))</f>
        <v>0</v>
      </c>
      <c r="U108" s="9">
        <f>SUM(IFERROR(VLOOKUP($C:$C,Structure!$A:$AJ,U$1,0)*$D108,0),IFERROR(VLOOKUP($E:$E,Structure!$A:$AJ,U$1,0)*$F108,0),IFERROR(VLOOKUP($G:$G,Structure!$A:$AJ,U$1,0)*$H108,0))</f>
        <v>0</v>
      </c>
      <c r="V108" s="9">
        <f>SUM(IFERROR(VLOOKUP($C:$C,Structure!$A:$AJ,V$1,0)*$D108,0),IFERROR(VLOOKUP($E:$E,Structure!$A:$AJ,V$1,0)*$F108,0),IFERROR(VLOOKUP($G:$G,Structure!$A:$AJ,V$1,0)*$H108,0))</f>
        <v>0</v>
      </c>
      <c r="W108" s="9">
        <f>SUM(IFERROR(VLOOKUP($C:$C,Structure!$A:$AJ,W$1,0)*$D108,0),IFERROR(VLOOKUP($E:$E,Structure!$A:$AJ,W$1,0)*$F108,0),IFERROR(VLOOKUP($G:$G,Structure!$A:$AJ,W$1,0)*$H108,0))</f>
        <v>0</v>
      </c>
      <c r="X108" s="9">
        <f>SUM(IFERROR(VLOOKUP($C:$C,Structure!$A:$AJ,X$1,0)*$D108,0),IFERROR(VLOOKUP($E:$E,Structure!$A:$AJ,X$1,0)*$F108,0),IFERROR(VLOOKUP($G:$G,Structure!$A:$AJ,X$1,0)*$H108,0))</f>
        <v>0</v>
      </c>
      <c r="Y108" s="9">
        <f>SUM(IFERROR(VLOOKUP($C:$C,Structure!$A:$AJ,Y$1,0)*$D108,0),IFERROR(VLOOKUP($E:$E,Structure!$A:$AJ,Y$1,0)*$F108,0),IFERROR(VLOOKUP($G:$G,Structure!$A:$AJ,Y$1,0)*$H108,0))</f>
        <v>0</v>
      </c>
      <c r="Z108" s="9">
        <f>SUM(IFERROR(VLOOKUP($C:$C,Structure!$A:$AJ,Z$1,0)*$D108,0),IFERROR(VLOOKUP($E:$E,Structure!$A:$AJ,Z$1,0)*$F108,0),IFERROR(VLOOKUP($G:$G,Structure!$A:$AJ,Z$1,0)*$H108,0))</f>
        <v>0</v>
      </c>
      <c r="AA108" s="9">
        <f>SUM(IFERROR(VLOOKUP($C:$C,Structure!$A:$AJ,AA$1,0)*$D108,0),IFERROR(VLOOKUP($E:$E,Structure!$A:$AJ,AA$1,0)*$F108,0),IFERROR(VLOOKUP($G:$G,Structure!$A:$AJ,AA$1,0)*$H108,0))</f>
        <v>0</v>
      </c>
      <c r="AB108" s="9">
        <f>SUM(IFERROR(VLOOKUP($C:$C,Structure!$A:$AJ,AB$1,0)*$D108,0),IFERROR(VLOOKUP($E:$E,Structure!$A:$AJ,AB$1,0)*$F108,0),IFERROR(VLOOKUP($G:$G,Structure!$A:$AJ,AB$1,0)*$H108,0))</f>
        <v>0</v>
      </c>
      <c r="AC108" s="9">
        <f>SUM(IFERROR(VLOOKUP($C:$C,Structure!$A:$AJ,AC$1,0)*$D108,0),IFERROR(VLOOKUP($E:$E,Structure!$A:$AJ,AC$1,0)*$F108,0),IFERROR(VLOOKUP($G:$G,Structure!$A:$AJ,AC$1,0)*$H108,0))</f>
        <v>0</v>
      </c>
      <c r="AD108" s="9">
        <f>SUM(IFERROR(VLOOKUP($C:$C,Structure!$A:$AJ,AD$1,0)*$D108,0),IFERROR(VLOOKUP($E:$E,Structure!$A:$AJ,AD$1,0)*$F108,0),IFERROR(VLOOKUP($G:$G,Structure!$A:$AJ,AD$1,0)*$H108,0))</f>
        <v>0</v>
      </c>
      <c r="AE108" s="9">
        <f>SUM(IFERROR(VLOOKUP($C:$C,Structure!$A:$AJ,AE$1,0)*$D108,0),IFERROR(VLOOKUP($E:$E,Structure!$A:$AJ,AE$1,0)*$F108,0),IFERROR(VLOOKUP($G:$G,Structure!$A:$AJ,AE$1,0)*$H108,0))</f>
        <v>0</v>
      </c>
      <c r="AF108" s="9">
        <f>SUM(IFERROR(VLOOKUP($C:$C,Structure!$A:$AJ,AF$1,0)*$D108,0),IFERROR(VLOOKUP($E:$E,Structure!$A:$AJ,AF$1,0)*$F108,0),IFERROR(VLOOKUP($G:$G,Structure!$A:$AJ,AF$1,0)*$H108,0))</f>
        <v>0</v>
      </c>
      <c r="AG108" s="9">
        <f>SUM(IFERROR(VLOOKUP($C:$C,Structure!$A:$AJ,AG$1,0)*$D108,0),IFERROR(VLOOKUP($E:$E,Structure!$A:$AJ,AG$1,0)*$F108,0),IFERROR(VLOOKUP($G:$G,Structure!$A:$AJ,AG$1,0)*$H108,0))</f>
        <v>0</v>
      </c>
      <c r="AH108" s="9">
        <f>SUM(IFERROR(VLOOKUP($C:$C,Structure!$A:$AJ,AH$1,0)*$D108,0),IFERROR(VLOOKUP($E:$E,Structure!$A:$AJ,AH$1,0)*$F108,0),IFERROR(VLOOKUP($G:$G,Structure!$A:$AJ,AH$1,0)*$H108,0))</f>
        <v>0</v>
      </c>
      <c r="AI108" s="9">
        <f>SUM(IFERROR(VLOOKUP($C:$C,Structure!$A:$AJ,AI$1,0)*$D108,0),IFERROR(VLOOKUP($E:$E,Structure!$A:$AJ,AI$1,0)*$F108,0),IFERROR(VLOOKUP($G:$G,Structure!$A:$AJ,AI$1,0)*$H108,0))</f>
        <v>0</v>
      </c>
      <c r="AJ108" s="9">
        <f>SUM(IFERROR(VLOOKUP($C:$C,Structure!$A:$AJ,AJ$1,0)*$D108,0),IFERROR(VLOOKUP($E:$E,Structure!$A:$AJ,AJ$1,0)*$F108,0),IFERROR(VLOOKUP($G:$G,Structure!$A:$AJ,AJ$1,0)*$H108,0))</f>
        <v>0</v>
      </c>
      <c r="AK108" s="9">
        <f>SUM(IFERROR(VLOOKUP($C:$C,Structure!$A:$AJ,AK$1,0)*$D108,0),IFERROR(VLOOKUP($E:$E,Structure!$A:$AJ,AK$1,0)*$F108,0),IFERROR(VLOOKUP($G:$G,Structure!$A:$AJ,AK$1,0)*$H108,0))</f>
        <v>0</v>
      </c>
      <c r="AL108" s="9">
        <f>SUM(IFERROR(VLOOKUP($C:$C,Structure!$A:$AJ,AL$1,0)*$D108,0),IFERROR(VLOOKUP($E:$E,Structure!$A:$AJ,AL$1,0)*$F108,0),IFERROR(VLOOKUP($G:$G,Structure!$A:$AJ,AL$1,0)*$H108,0))</f>
        <v>0</v>
      </c>
      <c r="AM108" s="9">
        <f>SUM(IFERROR(VLOOKUP($C:$C,Structure!$A:$AJ,AM$1,0)*$D108,0),IFERROR(VLOOKUP($E:$E,Structure!$A:$AJ,AM$1,0)*$F108,0),IFERROR(VLOOKUP($G:$G,Structure!$A:$AJ,AM$1,0)*$H108,0))</f>
        <v>0</v>
      </c>
      <c r="AN108" s="9">
        <f>SUM(IFERROR(VLOOKUP($C:$C,Structure!$A:$AJ,AN$1,0)*$D108,0),IFERROR(VLOOKUP($E:$E,Structure!$A:$AJ,AN$1,0)*$F108,0),IFERROR(VLOOKUP($G:$G,Structure!$A:$AJ,AN$1,0)*$H108,0))</f>
        <v>0</v>
      </c>
      <c r="AO108" s="9">
        <f>SUM(IFERROR(VLOOKUP($C:$C,Structure!$A:$AJ,AO$1,0)*$D108,0),IFERROR(VLOOKUP($E:$E,Structure!$A:$AJ,AO$1,0)*$F108,0),IFERROR(VLOOKUP($G:$G,Structure!$A:$AJ,AO$1,0)*$H108,0))</f>
        <v>0</v>
      </c>
      <c r="AP108" s="9">
        <f>SUM(IFERROR(VLOOKUP($C:$C,Structure!$A:$AJ,AP$1,0)*$D108,0),IFERROR(VLOOKUP($E:$E,Structure!$A:$AJ,AP$1,0)*$F108,0),IFERROR(VLOOKUP($G:$G,Structure!$A:$AJ,AP$1,0)*$H108,0))</f>
        <v>0</v>
      </c>
      <c r="AQ108" s="9">
        <f>SUM(IFERROR(VLOOKUP($C:$C,Structure!$A:$AJ,AQ$1,0)*$D108,0),IFERROR(VLOOKUP($E:$E,Structure!$A:$AJ,AQ$1,0)*$F108,0),IFERROR(VLOOKUP($G:$G,Structure!$A:$AJ,AQ$1,0)*$H108,0))</f>
        <v>0</v>
      </c>
      <c r="AR108" s="21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4">
        <f t="shared" si="127"/>
        <v>0</v>
      </c>
      <c r="CE108" s="4">
        <f t="shared" si="128"/>
        <v>-84</v>
      </c>
      <c r="CF108" s="4">
        <f t="shared" si="129"/>
        <v>4</v>
      </c>
      <c r="CG108" s="4">
        <f t="shared" si="130"/>
        <v>14</v>
      </c>
      <c r="CH108" s="4">
        <f t="shared" si="131"/>
        <v>-7</v>
      </c>
      <c r="CI108" s="4">
        <f t="shared" si="132"/>
        <v>127</v>
      </c>
      <c r="CJ108" s="4">
        <f t="shared" si="133"/>
        <v>-98</v>
      </c>
      <c r="CK108" s="4">
        <f t="shared" si="134"/>
        <v>95</v>
      </c>
      <c r="CL108" s="4">
        <f t="shared" si="135"/>
        <v>0</v>
      </c>
      <c r="CM108" s="4">
        <f t="shared" si="136"/>
        <v>6</v>
      </c>
      <c r="CN108" s="4">
        <f t="shared" si="137"/>
        <v>15</v>
      </c>
      <c r="CO108" s="4">
        <f t="shared" si="138"/>
        <v>0</v>
      </c>
      <c r="CP108" s="4">
        <f t="shared" si="139"/>
        <v>103</v>
      </c>
      <c r="CQ108" s="4">
        <f t="shared" si="140"/>
        <v>-153</v>
      </c>
      <c r="CR108" s="4">
        <f t="shared" si="141"/>
        <v>15</v>
      </c>
      <c r="CS108" s="4">
        <f t="shared" si="142"/>
        <v>-24</v>
      </c>
      <c r="CT108" s="4">
        <f t="shared" si="143"/>
        <v>0</v>
      </c>
      <c r="CU108" s="4">
        <f t="shared" si="144"/>
        <v>0</v>
      </c>
      <c r="CV108" s="4">
        <f t="shared" si="145"/>
        <v>0</v>
      </c>
      <c r="CW108" s="4">
        <f t="shared" si="146"/>
        <v>0</v>
      </c>
      <c r="CX108" s="4">
        <f t="shared" si="147"/>
        <v>-110</v>
      </c>
      <c r="CY108" s="4">
        <f t="shared" si="148"/>
        <v>0</v>
      </c>
      <c r="CZ108" s="4">
        <f t="shared" si="149"/>
        <v>0</v>
      </c>
      <c r="DA108" s="4">
        <f t="shared" si="150"/>
        <v>0</v>
      </c>
      <c r="DB108" s="4">
        <f t="shared" si="151"/>
        <v>0</v>
      </c>
      <c r="DC108" s="4">
        <f t="shared" si="152"/>
        <v>0</v>
      </c>
      <c r="DD108" s="4">
        <f t="shared" si="153"/>
        <v>0</v>
      </c>
      <c r="DE108" s="4">
        <f t="shared" si="154"/>
        <v>0</v>
      </c>
      <c r="DF108" s="4">
        <f t="shared" si="155"/>
        <v>0</v>
      </c>
      <c r="DG108" s="4">
        <f t="shared" si="156"/>
        <v>0</v>
      </c>
      <c r="DH108" s="4">
        <f t="shared" si="157"/>
        <v>0</v>
      </c>
      <c r="DI108" s="4">
        <f t="shared" si="158"/>
        <v>0</v>
      </c>
      <c r="DJ108" s="4">
        <f t="shared" si="159"/>
        <v>0</v>
      </c>
      <c r="DK108" s="4">
        <f t="shared" si="160"/>
        <v>0</v>
      </c>
      <c r="DL108" s="4">
        <f t="shared" si="161"/>
        <v>0</v>
      </c>
    </row>
    <row r="109" spans="1:116" x14ac:dyDescent="0.25">
      <c r="A109" s="5">
        <v>46185</v>
      </c>
      <c r="B109" s="6">
        <v>0.52083333359041717</v>
      </c>
      <c r="C109" s="3"/>
      <c r="D109" s="3"/>
      <c r="E109" s="3" t="s">
        <v>57</v>
      </c>
      <c r="F109" s="3">
        <v>8</v>
      </c>
      <c r="G109" s="3"/>
      <c r="H109" s="9"/>
      <c r="I109" s="9">
        <f>SUM(IFERROR(VLOOKUP($C:$C,Structure!$A:$AJ,I$1,0)*$D109,0),IFERROR(VLOOKUP($E:$E,Structure!$A:$AJ,I$1,0)*$F109,0),IFERROR(VLOOKUP($G:$G,Structure!$A:$AJ,I$1,0)*$H109,0))</f>
        <v>0</v>
      </c>
      <c r="J109" s="9">
        <f>SUM(IFERROR(VLOOKUP($C:$C,Structure!$A:$AJ,J$1,0)*$D109,0),IFERROR(VLOOKUP($E:$E,Structure!$A:$AJ,J$1,0)*$F109,0),IFERROR(VLOOKUP($G:$G,Structure!$A:$AJ,J$1,0)*$H109,0))</f>
        <v>0</v>
      </c>
      <c r="K109" s="9">
        <f>SUM(IFERROR(VLOOKUP($C:$C,Structure!$A:$AJ,K$1,0)*$D109,0),IFERROR(VLOOKUP($E:$E,Structure!$A:$AJ,K$1,0)*$F109,0),IFERROR(VLOOKUP($G:$G,Structure!$A:$AJ,K$1,0)*$H109,0))</f>
        <v>0</v>
      </c>
      <c r="L109" s="9">
        <f>SUM(IFERROR(VLOOKUP($C:$C,Structure!$A:$AJ,L$1,0)*$D109,0),IFERROR(VLOOKUP($E:$E,Structure!$A:$AJ,L$1,0)*$F109,0),IFERROR(VLOOKUP($G:$G,Structure!$A:$AJ,L$1,0)*$H109,0))</f>
        <v>0</v>
      </c>
      <c r="M109" s="9">
        <f>SUM(IFERROR(VLOOKUP($C:$C,Structure!$A:$AJ,M$1,0)*$D109,0),IFERROR(VLOOKUP($E:$E,Structure!$A:$AJ,M$1,0)*$F109,0),IFERROR(VLOOKUP($G:$G,Structure!$A:$AJ,M$1,0)*$H109,0))</f>
        <v>0</v>
      </c>
      <c r="N109" s="9">
        <f>SUM(IFERROR(VLOOKUP($C:$C,Structure!$A:$AJ,N$1,0)*$D109,0),IFERROR(VLOOKUP($E:$E,Structure!$A:$AJ,N$1,0)*$F109,0),IFERROR(VLOOKUP($G:$G,Structure!$A:$AJ,N$1,0)*$H109,0))</f>
        <v>0</v>
      </c>
      <c r="O109" s="9">
        <f>SUM(IFERROR(VLOOKUP($C:$C,Structure!$A:$AJ,O$1,0)*$D109,0),IFERROR(VLOOKUP($E:$E,Structure!$A:$AJ,O$1,0)*$F109,0),IFERROR(VLOOKUP($G:$G,Structure!$A:$AJ,O$1,0)*$H109,0))</f>
        <v>8</v>
      </c>
      <c r="P109" s="9">
        <f>SUM(IFERROR(VLOOKUP($C:$C,Structure!$A:$AJ,P$1,0)*$D109,0),IFERROR(VLOOKUP($E:$E,Structure!$A:$AJ,P$1,0)*$F109,0),IFERROR(VLOOKUP($G:$G,Structure!$A:$AJ,P$1,0)*$H109,0))</f>
        <v>0</v>
      </c>
      <c r="Q109" s="9">
        <f>SUM(IFERROR(VLOOKUP($C:$C,Structure!$A:$AJ,Q$1,0)*$D109,0),IFERROR(VLOOKUP($E:$E,Structure!$A:$AJ,Q$1,0)*$F109,0),IFERROR(VLOOKUP($G:$G,Structure!$A:$AJ,Q$1,0)*$H109,0))</f>
        <v>0</v>
      </c>
      <c r="R109" s="9">
        <f>SUM(IFERROR(VLOOKUP($C:$C,Structure!$A:$AJ,R$1,0)*$D109,0),IFERROR(VLOOKUP($E:$E,Structure!$A:$AJ,R$1,0)*$F109,0),IFERROR(VLOOKUP($G:$G,Structure!$A:$AJ,R$1,0)*$H109,0))</f>
        <v>0</v>
      </c>
      <c r="S109" s="9">
        <f>SUM(IFERROR(VLOOKUP($C:$C,Structure!$A:$AJ,S$1,0)*$D109,0),IFERROR(VLOOKUP($E:$E,Structure!$A:$AJ,S$1,0)*$F109,0),IFERROR(VLOOKUP($G:$G,Structure!$A:$AJ,S$1,0)*$H109,0))</f>
        <v>8</v>
      </c>
      <c r="T109" s="9">
        <f>SUM(IFERROR(VLOOKUP($C:$C,Structure!$A:$AJ,T$1,0)*$D109,0),IFERROR(VLOOKUP($E:$E,Structure!$A:$AJ,T$1,0)*$F109,0),IFERROR(VLOOKUP($G:$G,Structure!$A:$AJ,T$1,0)*$H109,0))</f>
        <v>0</v>
      </c>
      <c r="U109" s="9">
        <f>SUM(IFERROR(VLOOKUP($C:$C,Structure!$A:$AJ,U$1,0)*$D109,0),IFERROR(VLOOKUP($E:$E,Structure!$A:$AJ,U$1,0)*$F109,0),IFERROR(VLOOKUP($G:$G,Structure!$A:$AJ,U$1,0)*$H109,0))</f>
        <v>0</v>
      </c>
      <c r="V109" s="9">
        <f>SUM(IFERROR(VLOOKUP($C:$C,Structure!$A:$AJ,V$1,0)*$D109,0),IFERROR(VLOOKUP($E:$E,Structure!$A:$AJ,V$1,0)*$F109,0),IFERROR(VLOOKUP($G:$G,Structure!$A:$AJ,V$1,0)*$H109,0))</f>
        <v>0</v>
      </c>
      <c r="W109" s="9">
        <f>SUM(IFERROR(VLOOKUP($C:$C,Structure!$A:$AJ,W$1,0)*$D109,0),IFERROR(VLOOKUP($E:$E,Structure!$A:$AJ,W$1,0)*$F109,0),IFERROR(VLOOKUP($G:$G,Structure!$A:$AJ,W$1,0)*$H109,0))</f>
        <v>0</v>
      </c>
      <c r="X109" s="9">
        <f>SUM(IFERROR(VLOOKUP($C:$C,Structure!$A:$AJ,X$1,0)*$D109,0),IFERROR(VLOOKUP($E:$E,Structure!$A:$AJ,X$1,0)*$F109,0),IFERROR(VLOOKUP($G:$G,Structure!$A:$AJ,X$1,0)*$H109,0))</f>
        <v>0</v>
      </c>
      <c r="Y109" s="9">
        <f>SUM(IFERROR(VLOOKUP($C:$C,Structure!$A:$AJ,Y$1,0)*$D109,0),IFERROR(VLOOKUP($E:$E,Structure!$A:$AJ,Y$1,0)*$F109,0),IFERROR(VLOOKUP($G:$G,Structure!$A:$AJ,Y$1,0)*$H109,0))</f>
        <v>0</v>
      </c>
      <c r="Z109" s="9">
        <f>SUM(IFERROR(VLOOKUP($C:$C,Structure!$A:$AJ,Z$1,0)*$D109,0),IFERROR(VLOOKUP($E:$E,Structure!$A:$AJ,Z$1,0)*$F109,0),IFERROR(VLOOKUP($G:$G,Structure!$A:$AJ,Z$1,0)*$H109,0))</f>
        <v>0</v>
      </c>
      <c r="AA109" s="9">
        <f>SUM(IFERROR(VLOOKUP($C:$C,Structure!$A:$AJ,AA$1,0)*$D109,0),IFERROR(VLOOKUP($E:$E,Structure!$A:$AJ,AA$1,0)*$F109,0),IFERROR(VLOOKUP($G:$G,Structure!$A:$AJ,AA$1,0)*$H109,0))</f>
        <v>0</v>
      </c>
      <c r="AB109" s="9">
        <f>SUM(IFERROR(VLOOKUP($C:$C,Structure!$A:$AJ,AB$1,0)*$D109,0),IFERROR(VLOOKUP($E:$E,Structure!$A:$AJ,AB$1,0)*$F109,0),IFERROR(VLOOKUP($G:$G,Structure!$A:$AJ,AB$1,0)*$H109,0))</f>
        <v>0</v>
      </c>
      <c r="AC109" s="9">
        <f>SUM(IFERROR(VLOOKUP($C:$C,Structure!$A:$AJ,AC$1,0)*$D109,0),IFERROR(VLOOKUP($E:$E,Structure!$A:$AJ,AC$1,0)*$F109,0),IFERROR(VLOOKUP($G:$G,Structure!$A:$AJ,AC$1,0)*$H109,0))</f>
        <v>0</v>
      </c>
      <c r="AD109" s="9">
        <f>SUM(IFERROR(VLOOKUP($C:$C,Structure!$A:$AJ,AD$1,0)*$D109,0),IFERROR(VLOOKUP($E:$E,Structure!$A:$AJ,AD$1,0)*$F109,0),IFERROR(VLOOKUP($G:$G,Structure!$A:$AJ,AD$1,0)*$H109,0))</f>
        <v>0</v>
      </c>
      <c r="AE109" s="9">
        <f>SUM(IFERROR(VLOOKUP($C:$C,Structure!$A:$AJ,AE$1,0)*$D109,0),IFERROR(VLOOKUP($E:$E,Structure!$A:$AJ,AE$1,0)*$F109,0),IFERROR(VLOOKUP($G:$G,Structure!$A:$AJ,AE$1,0)*$H109,0))</f>
        <v>0</v>
      </c>
      <c r="AF109" s="9">
        <f>SUM(IFERROR(VLOOKUP($C:$C,Structure!$A:$AJ,AF$1,0)*$D109,0),IFERROR(VLOOKUP($E:$E,Structure!$A:$AJ,AF$1,0)*$F109,0),IFERROR(VLOOKUP($G:$G,Structure!$A:$AJ,AF$1,0)*$H109,0))</f>
        <v>0</v>
      </c>
      <c r="AG109" s="9">
        <f>SUM(IFERROR(VLOOKUP($C:$C,Structure!$A:$AJ,AG$1,0)*$D109,0),IFERROR(VLOOKUP($E:$E,Structure!$A:$AJ,AG$1,0)*$F109,0),IFERROR(VLOOKUP($G:$G,Structure!$A:$AJ,AG$1,0)*$H109,0))</f>
        <v>0</v>
      </c>
      <c r="AH109" s="9">
        <f>SUM(IFERROR(VLOOKUP($C:$C,Structure!$A:$AJ,AH$1,0)*$D109,0),IFERROR(VLOOKUP($E:$E,Structure!$A:$AJ,AH$1,0)*$F109,0),IFERROR(VLOOKUP($G:$G,Structure!$A:$AJ,AH$1,0)*$H109,0))</f>
        <v>0</v>
      </c>
      <c r="AI109" s="9">
        <f>SUM(IFERROR(VLOOKUP($C:$C,Structure!$A:$AJ,AI$1,0)*$D109,0),IFERROR(VLOOKUP($E:$E,Structure!$A:$AJ,AI$1,0)*$F109,0),IFERROR(VLOOKUP($G:$G,Structure!$A:$AJ,AI$1,0)*$H109,0))</f>
        <v>0</v>
      </c>
      <c r="AJ109" s="9">
        <f>SUM(IFERROR(VLOOKUP($C:$C,Structure!$A:$AJ,AJ$1,0)*$D109,0),IFERROR(VLOOKUP($E:$E,Structure!$A:$AJ,AJ$1,0)*$F109,0),IFERROR(VLOOKUP($G:$G,Structure!$A:$AJ,AJ$1,0)*$H109,0))</f>
        <v>0</v>
      </c>
      <c r="AK109" s="9">
        <f>SUM(IFERROR(VLOOKUP($C:$C,Structure!$A:$AJ,AK$1,0)*$D109,0),IFERROR(VLOOKUP($E:$E,Structure!$A:$AJ,AK$1,0)*$F109,0),IFERROR(VLOOKUP($G:$G,Structure!$A:$AJ,AK$1,0)*$H109,0))</f>
        <v>0</v>
      </c>
      <c r="AL109" s="9">
        <f>SUM(IFERROR(VLOOKUP($C:$C,Structure!$A:$AJ,AL$1,0)*$D109,0),IFERROR(VLOOKUP($E:$E,Structure!$A:$AJ,AL$1,0)*$F109,0),IFERROR(VLOOKUP($G:$G,Structure!$A:$AJ,AL$1,0)*$H109,0))</f>
        <v>0</v>
      </c>
      <c r="AM109" s="9">
        <f>SUM(IFERROR(VLOOKUP($C:$C,Structure!$A:$AJ,AM$1,0)*$D109,0),IFERROR(VLOOKUP($E:$E,Structure!$A:$AJ,AM$1,0)*$F109,0),IFERROR(VLOOKUP($G:$G,Structure!$A:$AJ,AM$1,0)*$H109,0))</f>
        <v>0</v>
      </c>
      <c r="AN109" s="9">
        <f>SUM(IFERROR(VLOOKUP($C:$C,Structure!$A:$AJ,AN$1,0)*$D109,0),IFERROR(VLOOKUP($E:$E,Structure!$A:$AJ,AN$1,0)*$F109,0),IFERROR(VLOOKUP($G:$G,Structure!$A:$AJ,AN$1,0)*$H109,0))</f>
        <v>0</v>
      </c>
      <c r="AO109" s="9">
        <f>SUM(IFERROR(VLOOKUP($C:$C,Structure!$A:$AJ,AO$1,0)*$D109,0),IFERROR(VLOOKUP($E:$E,Structure!$A:$AJ,AO$1,0)*$F109,0),IFERROR(VLOOKUP($G:$G,Structure!$A:$AJ,AO$1,0)*$H109,0))</f>
        <v>0</v>
      </c>
      <c r="AP109" s="9">
        <f>SUM(IFERROR(VLOOKUP($C:$C,Structure!$A:$AJ,AP$1,0)*$D109,0),IFERROR(VLOOKUP($E:$E,Structure!$A:$AJ,AP$1,0)*$F109,0),IFERROR(VLOOKUP($G:$G,Structure!$A:$AJ,AP$1,0)*$H109,0))</f>
        <v>0</v>
      </c>
      <c r="AQ109" s="9">
        <f>SUM(IFERROR(VLOOKUP($C:$C,Structure!$A:$AJ,AQ$1,0)*$D109,0),IFERROR(VLOOKUP($E:$E,Structure!$A:$AJ,AQ$1,0)*$F109,0),IFERROR(VLOOKUP($G:$G,Structure!$A:$AJ,AQ$1,0)*$H109,0))</f>
        <v>0</v>
      </c>
      <c r="AR109" s="21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4">
        <f t="shared" si="127"/>
        <v>0</v>
      </c>
      <c r="CE109" s="4">
        <f t="shared" si="128"/>
        <v>-84</v>
      </c>
      <c r="CF109" s="4">
        <f t="shared" si="129"/>
        <v>4</v>
      </c>
      <c r="CG109" s="4">
        <f t="shared" si="130"/>
        <v>14</v>
      </c>
      <c r="CH109" s="4">
        <f t="shared" si="131"/>
        <v>-7</v>
      </c>
      <c r="CI109" s="4">
        <f t="shared" si="132"/>
        <v>127</v>
      </c>
      <c r="CJ109" s="4">
        <f t="shared" si="133"/>
        <v>-106</v>
      </c>
      <c r="CK109" s="4">
        <f t="shared" si="134"/>
        <v>95</v>
      </c>
      <c r="CL109" s="4">
        <f t="shared" si="135"/>
        <v>0</v>
      </c>
      <c r="CM109" s="4">
        <f t="shared" si="136"/>
        <v>6</v>
      </c>
      <c r="CN109" s="4">
        <f t="shared" si="137"/>
        <v>7</v>
      </c>
      <c r="CO109" s="4">
        <f t="shared" si="138"/>
        <v>0</v>
      </c>
      <c r="CP109" s="4">
        <f t="shared" si="139"/>
        <v>103</v>
      </c>
      <c r="CQ109" s="4">
        <f t="shared" si="140"/>
        <v>-153</v>
      </c>
      <c r="CR109" s="4">
        <f t="shared" si="141"/>
        <v>15</v>
      </c>
      <c r="CS109" s="4">
        <f t="shared" si="142"/>
        <v>-24</v>
      </c>
      <c r="CT109" s="4">
        <f t="shared" si="143"/>
        <v>0</v>
      </c>
      <c r="CU109" s="4">
        <f t="shared" si="144"/>
        <v>0</v>
      </c>
      <c r="CV109" s="4">
        <f t="shared" si="145"/>
        <v>0</v>
      </c>
      <c r="CW109" s="4">
        <f t="shared" si="146"/>
        <v>0</v>
      </c>
      <c r="CX109" s="4">
        <f t="shared" si="147"/>
        <v>-110</v>
      </c>
      <c r="CY109" s="4">
        <f t="shared" si="148"/>
        <v>0</v>
      </c>
      <c r="CZ109" s="4">
        <f t="shared" si="149"/>
        <v>0</v>
      </c>
      <c r="DA109" s="4">
        <f t="shared" si="150"/>
        <v>0</v>
      </c>
      <c r="DB109" s="4">
        <f t="shared" si="151"/>
        <v>0</v>
      </c>
      <c r="DC109" s="4">
        <f t="shared" si="152"/>
        <v>0</v>
      </c>
      <c r="DD109" s="4">
        <f t="shared" si="153"/>
        <v>0</v>
      </c>
      <c r="DE109" s="4">
        <f t="shared" si="154"/>
        <v>0</v>
      </c>
      <c r="DF109" s="4">
        <f t="shared" si="155"/>
        <v>0</v>
      </c>
      <c r="DG109" s="4">
        <f t="shared" si="156"/>
        <v>0</v>
      </c>
      <c r="DH109" s="4">
        <f t="shared" si="157"/>
        <v>0</v>
      </c>
      <c r="DI109" s="4">
        <f t="shared" si="158"/>
        <v>0</v>
      </c>
      <c r="DJ109" s="4">
        <f t="shared" si="159"/>
        <v>0</v>
      </c>
      <c r="DK109" s="4">
        <f t="shared" si="160"/>
        <v>0</v>
      </c>
      <c r="DL109" s="4">
        <f t="shared" si="161"/>
        <v>0</v>
      </c>
    </row>
    <row r="110" spans="1:116" x14ac:dyDescent="0.25">
      <c r="A110" s="5">
        <v>46185</v>
      </c>
      <c r="B110" s="6">
        <v>0.54166666692617582</v>
      </c>
      <c r="C110" s="3"/>
      <c r="D110" s="3"/>
      <c r="E110" s="3" t="s">
        <v>57</v>
      </c>
      <c r="F110" s="3">
        <v>8</v>
      </c>
      <c r="G110" s="3"/>
      <c r="H110" s="9"/>
      <c r="I110" s="9">
        <f>SUM(IFERROR(VLOOKUP($C:$C,Structure!$A:$AJ,I$1,0)*$D110,0),IFERROR(VLOOKUP($E:$E,Structure!$A:$AJ,I$1,0)*$F110,0),IFERROR(VLOOKUP($G:$G,Structure!$A:$AJ,I$1,0)*$H110,0))</f>
        <v>0</v>
      </c>
      <c r="J110" s="9">
        <f>SUM(IFERROR(VLOOKUP($C:$C,Structure!$A:$AJ,J$1,0)*$D110,0),IFERROR(VLOOKUP($E:$E,Structure!$A:$AJ,J$1,0)*$F110,0),IFERROR(VLOOKUP($G:$G,Structure!$A:$AJ,J$1,0)*$H110,0))</f>
        <v>0</v>
      </c>
      <c r="K110" s="9">
        <f>SUM(IFERROR(VLOOKUP($C:$C,Structure!$A:$AJ,K$1,0)*$D110,0),IFERROR(VLOOKUP($E:$E,Structure!$A:$AJ,K$1,0)*$F110,0),IFERROR(VLOOKUP($G:$G,Structure!$A:$AJ,K$1,0)*$H110,0))</f>
        <v>0</v>
      </c>
      <c r="L110" s="9">
        <f>SUM(IFERROR(VLOOKUP($C:$C,Structure!$A:$AJ,L$1,0)*$D110,0),IFERROR(VLOOKUP($E:$E,Structure!$A:$AJ,L$1,0)*$F110,0),IFERROR(VLOOKUP($G:$G,Structure!$A:$AJ,L$1,0)*$H110,0))</f>
        <v>0</v>
      </c>
      <c r="M110" s="9">
        <f>SUM(IFERROR(VLOOKUP($C:$C,Structure!$A:$AJ,M$1,0)*$D110,0),IFERROR(VLOOKUP($E:$E,Structure!$A:$AJ,M$1,0)*$F110,0),IFERROR(VLOOKUP($G:$G,Structure!$A:$AJ,M$1,0)*$H110,0))</f>
        <v>0</v>
      </c>
      <c r="N110" s="9">
        <f>SUM(IFERROR(VLOOKUP($C:$C,Structure!$A:$AJ,N$1,0)*$D110,0),IFERROR(VLOOKUP($E:$E,Structure!$A:$AJ,N$1,0)*$F110,0),IFERROR(VLOOKUP($G:$G,Structure!$A:$AJ,N$1,0)*$H110,0))</f>
        <v>0</v>
      </c>
      <c r="O110" s="9">
        <f>SUM(IFERROR(VLOOKUP($C:$C,Structure!$A:$AJ,O$1,0)*$D110,0),IFERROR(VLOOKUP($E:$E,Structure!$A:$AJ,O$1,0)*$F110,0),IFERROR(VLOOKUP($G:$G,Structure!$A:$AJ,O$1,0)*$H110,0))</f>
        <v>8</v>
      </c>
      <c r="P110" s="9">
        <f>SUM(IFERROR(VLOOKUP($C:$C,Structure!$A:$AJ,P$1,0)*$D110,0),IFERROR(VLOOKUP($E:$E,Structure!$A:$AJ,P$1,0)*$F110,0),IFERROR(VLOOKUP($G:$G,Structure!$A:$AJ,P$1,0)*$H110,0))</f>
        <v>0</v>
      </c>
      <c r="Q110" s="9">
        <f>SUM(IFERROR(VLOOKUP($C:$C,Structure!$A:$AJ,Q$1,0)*$D110,0),IFERROR(VLOOKUP($E:$E,Structure!$A:$AJ,Q$1,0)*$F110,0),IFERROR(VLOOKUP($G:$G,Structure!$A:$AJ,Q$1,0)*$H110,0))</f>
        <v>0</v>
      </c>
      <c r="R110" s="9">
        <f>SUM(IFERROR(VLOOKUP($C:$C,Structure!$A:$AJ,R$1,0)*$D110,0),IFERROR(VLOOKUP($E:$E,Structure!$A:$AJ,R$1,0)*$F110,0),IFERROR(VLOOKUP($G:$G,Structure!$A:$AJ,R$1,0)*$H110,0))</f>
        <v>0</v>
      </c>
      <c r="S110" s="9">
        <f>SUM(IFERROR(VLOOKUP($C:$C,Structure!$A:$AJ,S$1,0)*$D110,0),IFERROR(VLOOKUP($E:$E,Structure!$A:$AJ,S$1,0)*$F110,0),IFERROR(VLOOKUP($G:$G,Structure!$A:$AJ,S$1,0)*$H110,0))</f>
        <v>8</v>
      </c>
      <c r="T110" s="9">
        <f>SUM(IFERROR(VLOOKUP($C:$C,Structure!$A:$AJ,T$1,0)*$D110,0),IFERROR(VLOOKUP($E:$E,Structure!$A:$AJ,T$1,0)*$F110,0),IFERROR(VLOOKUP($G:$G,Structure!$A:$AJ,T$1,0)*$H110,0))</f>
        <v>0</v>
      </c>
      <c r="U110" s="9">
        <f>SUM(IFERROR(VLOOKUP($C:$C,Structure!$A:$AJ,U$1,0)*$D110,0),IFERROR(VLOOKUP($E:$E,Structure!$A:$AJ,U$1,0)*$F110,0),IFERROR(VLOOKUP($G:$G,Structure!$A:$AJ,U$1,0)*$H110,0))</f>
        <v>0</v>
      </c>
      <c r="V110" s="9">
        <f>SUM(IFERROR(VLOOKUP($C:$C,Structure!$A:$AJ,V$1,0)*$D110,0),IFERROR(VLOOKUP($E:$E,Structure!$A:$AJ,V$1,0)*$F110,0),IFERROR(VLOOKUP($G:$G,Structure!$A:$AJ,V$1,0)*$H110,0))</f>
        <v>0</v>
      </c>
      <c r="W110" s="9">
        <f>SUM(IFERROR(VLOOKUP($C:$C,Structure!$A:$AJ,W$1,0)*$D110,0),IFERROR(VLOOKUP($E:$E,Structure!$A:$AJ,W$1,0)*$F110,0),IFERROR(VLOOKUP($G:$G,Structure!$A:$AJ,W$1,0)*$H110,0))</f>
        <v>0</v>
      </c>
      <c r="X110" s="9">
        <f>SUM(IFERROR(VLOOKUP($C:$C,Structure!$A:$AJ,X$1,0)*$D110,0),IFERROR(VLOOKUP($E:$E,Structure!$A:$AJ,X$1,0)*$F110,0),IFERROR(VLOOKUP($G:$G,Structure!$A:$AJ,X$1,0)*$H110,0))</f>
        <v>0</v>
      </c>
      <c r="Y110" s="9">
        <f>SUM(IFERROR(VLOOKUP($C:$C,Structure!$A:$AJ,Y$1,0)*$D110,0),IFERROR(VLOOKUP($E:$E,Structure!$A:$AJ,Y$1,0)*$F110,0),IFERROR(VLOOKUP($G:$G,Structure!$A:$AJ,Y$1,0)*$H110,0))</f>
        <v>0</v>
      </c>
      <c r="Z110" s="9">
        <f>SUM(IFERROR(VLOOKUP($C:$C,Structure!$A:$AJ,Z$1,0)*$D110,0),IFERROR(VLOOKUP($E:$E,Structure!$A:$AJ,Z$1,0)*$F110,0),IFERROR(VLOOKUP($G:$G,Structure!$A:$AJ,Z$1,0)*$H110,0))</f>
        <v>0</v>
      </c>
      <c r="AA110" s="9">
        <f>SUM(IFERROR(VLOOKUP($C:$C,Structure!$A:$AJ,AA$1,0)*$D110,0),IFERROR(VLOOKUP($E:$E,Structure!$A:$AJ,AA$1,0)*$F110,0),IFERROR(VLOOKUP($G:$G,Structure!$A:$AJ,AA$1,0)*$H110,0))</f>
        <v>0</v>
      </c>
      <c r="AB110" s="9">
        <f>SUM(IFERROR(VLOOKUP($C:$C,Structure!$A:$AJ,AB$1,0)*$D110,0),IFERROR(VLOOKUP($E:$E,Structure!$A:$AJ,AB$1,0)*$F110,0),IFERROR(VLOOKUP($G:$G,Structure!$A:$AJ,AB$1,0)*$H110,0))</f>
        <v>0</v>
      </c>
      <c r="AC110" s="9">
        <f>SUM(IFERROR(VLOOKUP($C:$C,Structure!$A:$AJ,AC$1,0)*$D110,0),IFERROR(VLOOKUP($E:$E,Structure!$A:$AJ,AC$1,0)*$F110,0),IFERROR(VLOOKUP($G:$G,Structure!$A:$AJ,AC$1,0)*$H110,0))</f>
        <v>0</v>
      </c>
      <c r="AD110" s="9">
        <f>SUM(IFERROR(VLOOKUP($C:$C,Structure!$A:$AJ,AD$1,0)*$D110,0),IFERROR(VLOOKUP($E:$E,Structure!$A:$AJ,AD$1,0)*$F110,0),IFERROR(VLOOKUP($G:$G,Structure!$A:$AJ,AD$1,0)*$H110,0))</f>
        <v>0</v>
      </c>
      <c r="AE110" s="9">
        <f>SUM(IFERROR(VLOOKUP($C:$C,Structure!$A:$AJ,AE$1,0)*$D110,0),IFERROR(VLOOKUP($E:$E,Structure!$A:$AJ,AE$1,0)*$F110,0),IFERROR(VLOOKUP($G:$G,Structure!$A:$AJ,AE$1,0)*$H110,0))</f>
        <v>0</v>
      </c>
      <c r="AF110" s="9">
        <f>SUM(IFERROR(VLOOKUP($C:$C,Structure!$A:$AJ,AF$1,0)*$D110,0),IFERROR(VLOOKUP($E:$E,Structure!$A:$AJ,AF$1,0)*$F110,0),IFERROR(VLOOKUP($G:$G,Structure!$A:$AJ,AF$1,0)*$H110,0))</f>
        <v>0</v>
      </c>
      <c r="AG110" s="9">
        <f>SUM(IFERROR(VLOOKUP($C:$C,Structure!$A:$AJ,AG$1,0)*$D110,0),IFERROR(VLOOKUP($E:$E,Structure!$A:$AJ,AG$1,0)*$F110,0),IFERROR(VLOOKUP($G:$G,Structure!$A:$AJ,AG$1,0)*$H110,0))</f>
        <v>0</v>
      </c>
      <c r="AH110" s="9">
        <f>SUM(IFERROR(VLOOKUP($C:$C,Structure!$A:$AJ,AH$1,0)*$D110,0),IFERROR(VLOOKUP($E:$E,Structure!$A:$AJ,AH$1,0)*$F110,0),IFERROR(VLOOKUP($G:$G,Structure!$A:$AJ,AH$1,0)*$H110,0))</f>
        <v>0</v>
      </c>
      <c r="AI110" s="9">
        <f>SUM(IFERROR(VLOOKUP($C:$C,Structure!$A:$AJ,AI$1,0)*$D110,0),IFERROR(VLOOKUP($E:$E,Structure!$A:$AJ,AI$1,0)*$F110,0),IFERROR(VLOOKUP($G:$G,Structure!$A:$AJ,AI$1,0)*$H110,0))</f>
        <v>0</v>
      </c>
      <c r="AJ110" s="9">
        <f>SUM(IFERROR(VLOOKUP($C:$C,Structure!$A:$AJ,AJ$1,0)*$D110,0),IFERROR(VLOOKUP($E:$E,Structure!$A:$AJ,AJ$1,0)*$F110,0),IFERROR(VLOOKUP($G:$G,Structure!$A:$AJ,AJ$1,0)*$H110,0))</f>
        <v>0</v>
      </c>
      <c r="AK110" s="9">
        <f>SUM(IFERROR(VLOOKUP($C:$C,Structure!$A:$AJ,AK$1,0)*$D110,0),IFERROR(VLOOKUP($E:$E,Structure!$A:$AJ,AK$1,0)*$F110,0),IFERROR(VLOOKUP($G:$G,Structure!$A:$AJ,AK$1,0)*$H110,0))</f>
        <v>0</v>
      </c>
      <c r="AL110" s="9">
        <f>SUM(IFERROR(VLOOKUP($C:$C,Structure!$A:$AJ,AL$1,0)*$D110,0),IFERROR(VLOOKUP($E:$E,Structure!$A:$AJ,AL$1,0)*$F110,0),IFERROR(VLOOKUP($G:$G,Structure!$A:$AJ,AL$1,0)*$H110,0))</f>
        <v>0</v>
      </c>
      <c r="AM110" s="9">
        <f>SUM(IFERROR(VLOOKUP($C:$C,Structure!$A:$AJ,AM$1,0)*$D110,0),IFERROR(VLOOKUP($E:$E,Structure!$A:$AJ,AM$1,0)*$F110,0),IFERROR(VLOOKUP($G:$G,Structure!$A:$AJ,AM$1,0)*$H110,0))</f>
        <v>0</v>
      </c>
      <c r="AN110" s="9">
        <f>SUM(IFERROR(VLOOKUP($C:$C,Structure!$A:$AJ,AN$1,0)*$D110,0),IFERROR(VLOOKUP($E:$E,Structure!$A:$AJ,AN$1,0)*$F110,0),IFERROR(VLOOKUP($G:$G,Structure!$A:$AJ,AN$1,0)*$H110,0))</f>
        <v>0</v>
      </c>
      <c r="AO110" s="9">
        <f>SUM(IFERROR(VLOOKUP($C:$C,Structure!$A:$AJ,AO$1,0)*$D110,0),IFERROR(VLOOKUP($E:$E,Structure!$A:$AJ,AO$1,0)*$F110,0),IFERROR(VLOOKUP($G:$G,Structure!$A:$AJ,AO$1,0)*$H110,0))</f>
        <v>0</v>
      </c>
      <c r="AP110" s="9">
        <f>SUM(IFERROR(VLOOKUP($C:$C,Structure!$A:$AJ,AP$1,0)*$D110,0),IFERROR(VLOOKUP($E:$E,Structure!$A:$AJ,AP$1,0)*$F110,0),IFERROR(VLOOKUP($G:$G,Structure!$A:$AJ,AP$1,0)*$H110,0))</f>
        <v>0</v>
      </c>
      <c r="AQ110" s="9">
        <f>SUM(IFERROR(VLOOKUP($C:$C,Structure!$A:$AJ,AQ$1,0)*$D110,0),IFERROR(VLOOKUP($E:$E,Structure!$A:$AJ,AQ$1,0)*$F110,0),IFERROR(VLOOKUP($G:$G,Structure!$A:$AJ,AQ$1,0)*$H110,0))</f>
        <v>0</v>
      </c>
      <c r="AR110" s="21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4">
        <f t="shared" si="127"/>
        <v>0</v>
      </c>
      <c r="CE110" s="4">
        <f t="shared" si="128"/>
        <v>-84</v>
      </c>
      <c r="CF110" s="4">
        <f t="shared" si="129"/>
        <v>4</v>
      </c>
      <c r="CG110" s="4">
        <f t="shared" si="130"/>
        <v>14</v>
      </c>
      <c r="CH110" s="4">
        <f t="shared" si="131"/>
        <v>-7</v>
      </c>
      <c r="CI110" s="4">
        <f t="shared" si="132"/>
        <v>127</v>
      </c>
      <c r="CJ110" s="4">
        <f t="shared" si="133"/>
        <v>-114</v>
      </c>
      <c r="CK110" s="4">
        <f t="shared" si="134"/>
        <v>95</v>
      </c>
      <c r="CL110" s="4">
        <f t="shared" si="135"/>
        <v>0</v>
      </c>
      <c r="CM110" s="4">
        <f t="shared" si="136"/>
        <v>6</v>
      </c>
      <c r="CN110" s="4">
        <f t="shared" si="137"/>
        <v>-1</v>
      </c>
      <c r="CO110" s="4">
        <f t="shared" si="138"/>
        <v>0</v>
      </c>
      <c r="CP110" s="4">
        <f t="shared" si="139"/>
        <v>103</v>
      </c>
      <c r="CQ110" s="4">
        <f t="shared" si="140"/>
        <v>-153</v>
      </c>
      <c r="CR110" s="4">
        <f t="shared" si="141"/>
        <v>15</v>
      </c>
      <c r="CS110" s="4">
        <f t="shared" si="142"/>
        <v>-24</v>
      </c>
      <c r="CT110" s="4">
        <f t="shared" si="143"/>
        <v>0</v>
      </c>
      <c r="CU110" s="4">
        <f t="shared" si="144"/>
        <v>0</v>
      </c>
      <c r="CV110" s="4">
        <f t="shared" si="145"/>
        <v>0</v>
      </c>
      <c r="CW110" s="4">
        <f t="shared" si="146"/>
        <v>0</v>
      </c>
      <c r="CX110" s="4">
        <f t="shared" si="147"/>
        <v>-110</v>
      </c>
      <c r="CY110" s="4">
        <f t="shared" si="148"/>
        <v>0</v>
      </c>
      <c r="CZ110" s="4">
        <f t="shared" si="149"/>
        <v>0</v>
      </c>
      <c r="DA110" s="4">
        <f t="shared" si="150"/>
        <v>0</v>
      </c>
      <c r="DB110" s="4">
        <f t="shared" si="151"/>
        <v>0</v>
      </c>
      <c r="DC110" s="4">
        <f t="shared" si="152"/>
        <v>0</v>
      </c>
      <c r="DD110" s="4">
        <f t="shared" si="153"/>
        <v>0</v>
      </c>
      <c r="DE110" s="4">
        <f t="shared" si="154"/>
        <v>0</v>
      </c>
      <c r="DF110" s="4">
        <f t="shared" si="155"/>
        <v>0</v>
      </c>
      <c r="DG110" s="4">
        <f t="shared" si="156"/>
        <v>0</v>
      </c>
      <c r="DH110" s="4">
        <f t="shared" si="157"/>
        <v>0</v>
      </c>
      <c r="DI110" s="4">
        <f t="shared" si="158"/>
        <v>0</v>
      </c>
      <c r="DJ110" s="4">
        <f t="shared" si="159"/>
        <v>0</v>
      </c>
      <c r="DK110" s="4">
        <f t="shared" si="160"/>
        <v>0</v>
      </c>
      <c r="DL110" s="4">
        <f t="shared" si="161"/>
        <v>0</v>
      </c>
    </row>
    <row r="111" spans="1:116" x14ac:dyDescent="0.25">
      <c r="A111" s="5">
        <v>46185</v>
      </c>
      <c r="B111" s="6">
        <v>0.56250000026193447</v>
      </c>
      <c r="C111" s="3"/>
      <c r="D111" s="3"/>
      <c r="E111" s="3" t="s">
        <v>57</v>
      </c>
      <c r="F111" s="3">
        <v>8</v>
      </c>
      <c r="G111" s="3"/>
      <c r="H111" s="9"/>
      <c r="I111" s="9">
        <f>SUM(IFERROR(VLOOKUP($C:$C,Structure!$A:$AJ,I$1,0)*$D111,0),IFERROR(VLOOKUP($E:$E,Structure!$A:$AJ,I$1,0)*$F111,0),IFERROR(VLOOKUP($G:$G,Structure!$A:$AJ,I$1,0)*$H111,0))</f>
        <v>0</v>
      </c>
      <c r="J111" s="9">
        <f>SUM(IFERROR(VLOOKUP($C:$C,Structure!$A:$AJ,J$1,0)*$D111,0),IFERROR(VLOOKUP($E:$E,Structure!$A:$AJ,J$1,0)*$F111,0),IFERROR(VLOOKUP($G:$G,Structure!$A:$AJ,J$1,0)*$H111,0))</f>
        <v>0</v>
      </c>
      <c r="K111" s="9">
        <f>SUM(IFERROR(VLOOKUP($C:$C,Structure!$A:$AJ,K$1,0)*$D111,0),IFERROR(VLOOKUP($E:$E,Structure!$A:$AJ,K$1,0)*$F111,0),IFERROR(VLOOKUP($G:$G,Structure!$A:$AJ,K$1,0)*$H111,0))</f>
        <v>0</v>
      </c>
      <c r="L111" s="9">
        <f>SUM(IFERROR(VLOOKUP($C:$C,Structure!$A:$AJ,L$1,0)*$D111,0),IFERROR(VLOOKUP($E:$E,Structure!$A:$AJ,L$1,0)*$F111,0),IFERROR(VLOOKUP($G:$G,Structure!$A:$AJ,L$1,0)*$H111,0))</f>
        <v>0</v>
      </c>
      <c r="M111" s="9">
        <f>SUM(IFERROR(VLOOKUP($C:$C,Structure!$A:$AJ,M$1,0)*$D111,0),IFERROR(VLOOKUP($E:$E,Structure!$A:$AJ,M$1,0)*$F111,0),IFERROR(VLOOKUP($G:$G,Structure!$A:$AJ,M$1,0)*$H111,0))</f>
        <v>0</v>
      </c>
      <c r="N111" s="9">
        <f>SUM(IFERROR(VLOOKUP($C:$C,Structure!$A:$AJ,N$1,0)*$D111,0),IFERROR(VLOOKUP($E:$E,Structure!$A:$AJ,N$1,0)*$F111,0),IFERROR(VLOOKUP($G:$G,Structure!$A:$AJ,N$1,0)*$H111,0))</f>
        <v>0</v>
      </c>
      <c r="O111" s="9">
        <f>SUM(IFERROR(VLOOKUP($C:$C,Structure!$A:$AJ,O$1,0)*$D111,0),IFERROR(VLOOKUP($E:$E,Structure!$A:$AJ,O$1,0)*$F111,0),IFERROR(VLOOKUP($G:$G,Structure!$A:$AJ,O$1,0)*$H111,0))</f>
        <v>8</v>
      </c>
      <c r="P111" s="9">
        <f>SUM(IFERROR(VLOOKUP($C:$C,Structure!$A:$AJ,P$1,0)*$D111,0),IFERROR(VLOOKUP($E:$E,Structure!$A:$AJ,P$1,0)*$F111,0),IFERROR(VLOOKUP($G:$G,Structure!$A:$AJ,P$1,0)*$H111,0))</f>
        <v>0</v>
      </c>
      <c r="Q111" s="9">
        <f>SUM(IFERROR(VLOOKUP($C:$C,Structure!$A:$AJ,Q$1,0)*$D111,0),IFERROR(VLOOKUP($E:$E,Structure!$A:$AJ,Q$1,0)*$F111,0),IFERROR(VLOOKUP($G:$G,Structure!$A:$AJ,Q$1,0)*$H111,0))</f>
        <v>0</v>
      </c>
      <c r="R111" s="9">
        <f>SUM(IFERROR(VLOOKUP($C:$C,Structure!$A:$AJ,R$1,0)*$D111,0),IFERROR(VLOOKUP($E:$E,Structure!$A:$AJ,R$1,0)*$F111,0),IFERROR(VLOOKUP($G:$G,Structure!$A:$AJ,R$1,0)*$H111,0))</f>
        <v>0</v>
      </c>
      <c r="S111" s="9">
        <f>SUM(IFERROR(VLOOKUP($C:$C,Structure!$A:$AJ,S$1,0)*$D111,0),IFERROR(VLOOKUP($E:$E,Structure!$A:$AJ,S$1,0)*$F111,0),IFERROR(VLOOKUP($G:$G,Structure!$A:$AJ,S$1,0)*$H111,0))</f>
        <v>8</v>
      </c>
      <c r="T111" s="9">
        <f>SUM(IFERROR(VLOOKUP($C:$C,Structure!$A:$AJ,T$1,0)*$D111,0),IFERROR(VLOOKUP($E:$E,Structure!$A:$AJ,T$1,0)*$F111,0),IFERROR(VLOOKUP($G:$G,Structure!$A:$AJ,T$1,0)*$H111,0))</f>
        <v>0</v>
      </c>
      <c r="U111" s="9">
        <f>SUM(IFERROR(VLOOKUP($C:$C,Structure!$A:$AJ,U$1,0)*$D111,0),IFERROR(VLOOKUP($E:$E,Structure!$A:$AJ,U$1,0)*$F111,0),IFERROR(VLOOKUP($G:$G,Structure!$A:$AJ,U$1,0)*$H111,0))</f>
        <v>0</v>
      </c>
      <c r="V111" s="9">
        <f>SUM(IFERROR(VLOOKUP($C:$C,Structure!$A:$AJ,V$1,0)*$D111,0),IFERROR(VLOOKUP($E:$E,Structure!$A:$AJ,V$1,0)*$F111,0),IFERROR(VLOOKUP($G:$G,Structure!$A:$AJ,V$1,0)*$H111,0))</f>
        <v>0</v>
      </c>
      <c r="W111" s="9">
        <f>SUM(IFERROR(VLOOKUP($C:$C,Structure!$A:$AJ,W$1,0)*$D111,0),IFERROR(VLOOKUP($E:$E,Structure!$A:$AJ,W$1,0)*$F111,0),IFERROR(VLOOKUP($G:$G,Structure!$A:$AJ,W$1,0)*$H111,0))</f>
        <v>0</v>
      </c>
      <c r="X111" s="9">
        <f>SUM(IFERROR(VLOOKUP($C:$C,Structure!$A:$AJ,X$1,0)*$D111,0),IFERROR(VLOOKUP($E:$E,Structure!$A:$AJ,X$1,0)*$F111,0),IFERROR(VLOOKUP($G:$G,Structure!$A:$AJ,X$1,0)*$H111,0))</f>
        <v>0</v>
      </c>
      <c r="Y111" s="9">
        <f>SUM(IFERROR(VLOOKUP($C:$C,Structure!$A:$AJ,Y$1,0)*$D111,0),IFERROR(VLOOKUP($E:$E,Structure!$A:$AJ,Y$1,0)*$F111,0),IFERROR(VLOOKUP($G:$G,Structure!$A:$AJ,Y$1,0)*$H111,0))</f>
        <v>0</v>
      </c>
      <c r="Z111" s="9">
        <f>SUM(IFERROR(VLOOKUP($C:$C,Structure!$A:$AJ,Z$1,0)*$D111,0),IFERROR(VLOOKUP($E:$E,Structure!$A:$AJ,Z$1,0)*$F111,0),IFERROR(VLOOKUP($G:$G,Structure!$A:$AJ,Z$1,0)*$H111,0))</f>
        <v>0</v>
      </c>
      <c r="AA111" s="9">
        <f>SUM(IFERROR(VLOOKUP($C:$C,Structure!$A:$AJ,AA$1,0)*$D111,0),IFERROR(VLOOKUP($E:$E,Structure!$A:$AJ,AA$1,0)*$F111,0),IFERROR(VLOOKUP($G:$G,Structure!$A:$AJ,AA$1,0)*$H111,0))</f>
        <v>0</v>
      </c>
      <c r="AB111" s="9">
        <f>SUM(IFERROR(VLOOKUP($C:$C,Structure!$A:$AJ,AB$1,0)*$D111,0),IFERROR(VLOOKUP($E:$E,Structure!$A:$AJ,AB$1,0)*$F111,0),IFERROR(VLOOKUP($G:$G,Structure!$A:$AJ,AB$1,0)*$H111,0))</f>
        <v>0</v>
      </c>
      <c r="AC111" s="9">
        <f>SUM(IFERROR(VLOOKUP($C:$C,Structure!$A:$AJ,AC$1,0)*$D111,0),IFERROR(VLOOKUP($E:$E,Structure!$A:$AJ,AC$1,0)*$F111,0),IFERROR(VLOOKUP($G:$G,Structure!$A:$AJ,AC$1,0)*$H111,0))</f>
        <v>0</v>
      </c>
      <c r="AD111" s="9">
        <f>SUM(IFERROR(VLOOKUP($C:$C,Structure!$A:$AJ,AD$1,0)*$D111,0),IFERROR(VLOOKUP($E:$E,Structure!$A:$AJ,AD$1,0)*$F111,0),IFERROR(VLOOKUP($G:$G,Structure!$A:$AJ,AD$1,0)*$H111,0))</f>
        <v>0</v>
      </c>
      <c r="AE111" s="9">
        <f>SUM(IFERROR(VLOOKUP($C:$C,Structure!$A:$AJ,AE$1,0)*$D111,0),IFERROR(VLOOKUP($E:$E,Structure!$A:$AJ,AE$1,0)*$F111,0),IFERROR(VLOOKUP($G:$G,Structure!$A:$AJ,AE$1,0)*$H111,0))</f>
        <v>0</v>
      </c>
      <c r="AF111" s="9">
        <f>SUM(IFERROR(VLOOKUP($C:$C,Structure!$A:$AJ,AF$1,0)*$D111,0),IFERROR(VLOOKUP($E:$E,Structure!$A:$AJ,AF$1,0)*$F111,0),IFERROR(VLOOKUP($G:$G,Structure!$A:$AJ,AF$1,0)*$H111,0))</f>
        <v>0</v>
      </c>
      <c r="AG111" s="9">
        <f>SUM(IFERROR(VLOOKUP($C:$C,Structure!$A:$AJ,AG$1,0)*$D111,0),IFERROR(VLOOKUP($E:$E,Structure!$A:$AJ,AG$1,0)*$F111,0),IFERROR(VLOOKUP($G:$G,Structure!$A:$AJ,AG$1,0)*$H111,0))</f>
        <v>0</v>
      </c>
      <c r="AH111" s="9">
        <f>SUM(IFERROR(VLOOKUP($C:$C,Structure!$A:$AJ,AH$1,0)*$D111,0),IFERROR(VLOOKUP($E:$E,Structure!$A:$AJ,AH$1,0)*$F111,0),IFERROR(VLOOKUP($G:$G,Structure!$A:$AJ,AH$1,0)*$H111,0))</f>
        <v>0</v>
      </c>
      <c r="AI111" s="9">
        <f>SUM(IFERROR(VLOOKUP($C:$C,Structure!$A:$AJ,AI$1,0)*$D111,0),IFERROR(VLOOKUP($E:$E,Structure!$A:$AJ,AI$1,0)*$F111,0),IFERROR(VLOOKUP($G:$G,Structure!$A:$AJ,AI$1,0)*$H111,0))</f>
        <v>0</v>
      </c>
      <c r="AJ111" s="9">
        <f>SUM(IFERROR(VLOOKUP($C:$C,Structure!$A:$AJ,AJ$1,0)*$D111,0),IFERROR(VLOOKUP($E:$E,Structure!$A:$AJ,AJ$1,0)*$F111,0),IFERROR(VLOOKUP($G:$G,Structure!$A:$AJ,AJ$1,0)*$H111,0))</f>
        <v>0</v>
      </c>
      <c r="AK111" s="9">
        <f>SUM(IFERROR(VLOOKUP($C:$C,Structure!$A:$AJ,AK$1,0)*$D111,0),IFERROR(VLOOKUP($E:$E,Structure!$A:$AJ,AK$1,0)*$F111,0),IFERROR(VLOOKUP($G:$G,Structure!$A:$AJ,AK$1,0)*$H111,0))</f>
        <v>0</v>
      </c>
      <c r="AL111" s="9">
        <f>SUM(IFERROR(VLOOKUP($C:$C,Structure!$A:$AJ,AL$1,0)*$D111,0),IFERROR(VLOOKUP($E:$E,Structure!$A:$AJ,AL$1,0)*$F111,0),IFERROR(VLOOKUP($G:$G,Structure!$A:$AJ,AL$1,0)*$H111,0))</f>
        <v>0</v>
      </c>
      <c r="AM111" s="9">
        <f>SUM(IFERROR(VLOOKUP($C:$C,Structure!$A:$AJ,AM$1,0)*$D111,0),IFERROR(VLOOKUP($E:$E,Structure!$A:$AJ,AM$1,0)*$F111,0),IFERROR(VLOOKUP($G:$G,Structure!$A:$AJ,AM$1,0)*$H111,0))</f>
        <v>0</v>
      </c>
      <c r="AN111" s="9">
        <f>SUM(IFERROR(VLOOKUP($C:$C,Structure!$A:$AJ,AN$1,0)*$D111,0),IFERROR(VLOOKUP($E:$E,Structure!$A:$AJ,AN$1,0)*$F111,0),IFERROR(VLOOKUP($G:$G,Structure!$A:$AJ,AN$1,0)*$H111,0))</f>
        <v>0</v>
      </c>
      <c r="AO111" s="9">
        <f>SUM(IFERROR(VLOOKUP($C:$C,Structure!$A:$AJ,AO$1,0)*$D111,0),IFERROR(VLOOKUP($E:$E,Structure!$A:$AJ,AO$1,0)*$F111,0),IFERROR(VLOOKUP($G:$G,Structure!$A:$AJ,AO$1,0)*$H111,0))</f>
        <v>0</v>
      </c>
      <c r="AP111" s="9">
        <f>SUM(IFERROR(VLOOKUP($C:$C,Structure!$A:$AJ,AP$1,0)*$D111,0),IFERROR(VLOOKUP($E:$E,Structure!$A:$AJ,AP$1,0)*$F111,0),IFERROR(VLOOKUP($G:$G,Structure!$A:$AJ,AP$1,0)*$H111,0))</f>
        <v>0</v>
      </c>
      <c r="AQ111" s="9">
        <f>SUM(IFERROR(VLOOKUP($C:$C,Structure!$A:$AJ,AQ$1,0)*$D111,0),IFERROR(VLOOKUP($E:$E,Structure!$A:$AJ,AQ$1,0)*$F111,0),IFERROR(VLOOKUP($G:$G,Structure!$A:$AJ,AQ$1,0)*$H111,0))</f>
        <v>0</v>
      </c>
      <c r="AR111" s="21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4">
        <f t="shared" si="127"/>
        <v>0</v>
      </c>
      <c r="CE111" s="4">
        <f t="shared" si="128"/>
        <v>-84</v>
      </c>
      <c r="CF111" s="4">
        <f t="shared" si="129"/>
        <v>4</v>
      </c>
      <c r="CG111" s="4">
        <f t="shared" si="130"/>
        <v>14</v>
      </c>
      <c r="CH111" s="4">
        <f t="shared" si="131"/>
        <v>-7</v>
      </c>
      <c r="CI111" s="4">
        <f t="shared" si="132"/>
        <v>127</v>
      </c>
      <c r="CJ111" s="4">
        <f t="shared" si="133"/>
        <v>-122</v>
      </c>
      <c r="CK111" s="4">
        <f t="shared" si="134"/>
        <v>95</v>
      </c>
      <c r="CL111" s="4">
        <f t="shared" si="135"/>
        <v>0</v>
      </c>
      <c r="CM111" s="4">
        <f t="shared" si="136"/>
        <v>6</v>
      </c>
      <c r="CN111" s="4">
        <f t="shared" si="137"/>
        <v>-9</v>
      </c>
      <c r="CO111" s="4">
        <f t="shared" si="138"/>
        <v>0</v>
      </c>
      <c r="CP111" s="4">
        <f t="shared" si="139"/>
        <v>103</v>
      </c>
      <c r="CQ111" s="4">
        <f t="shared" si="140"/>
        <v>-153</v>
      </c>
      <c r="CR111" s="4">
        <f t="shared" si="141"/>
        <v>15</v>
      </c>
      <c r="CS111" s="4">
        <f t="shared" si="142"/>
        <v>-24</v>
      </c>
      <c r="CT111" s="4">
        <f t="shared" si="143"/>
        <v>0</v>
      </c>
      <c r="CU111" s="4">
        <f t="shared" si="144"/>
        <v>0</v>
      </c>
      <c r="CV111" s="4">
        <f t="shared" si="145"/>
        <v>0</v>
      </c>
      <c r="CW111" s="4">
        <f t="shared" si="146"/>
        <v>0</v>
      </c>
      <c r="CX111" s="4">
        <f t="shared" si="147"/>
        <v>-110</v>
      </c>
      <c r="CY111" s="4">
        <f t="shared" si="148"/>
        <v>0</v>
      </c>
      <c r="CZ111" s="4">
        <f t="shared" si="149"/>
        <v>0</v>
      </c>
      <c r="DA111" s="4">
        <f t="shared" si="150"/>
        <v>0</v>
      </c>
      <c r="DB111" s="4">
        <f t="shared" si="151"/>
        <v>0</v>
      </c>
      <c r="DC111" s="4">
        <f t="shared" si="152"/>
        <v>0</v>
      </c>
      <c r="DD111" s="4">
        <f t="shared" si="153"/>
        <v>0</v>
      </c>
      <c r="DE111" s="4">
        <f t="shared" si="154"/>
        <v>0</v>
      </c>
      <c r="DF111" s="4">
        <f t="shared" si="155"/>
        <v>0</v>
      </c>
      <c r="DG111" s="4">
        <f t="shared" si="156"/>
        <v>0</v>
      </c>
      <c r="DH111" s="4">
        <f t="shared" si="157"/>
        <v>0</v>
      </c>
      <c r="DI111" s="4">
        <f t="shared" si="158"/>
        <v>0</v>
      </c>
      <c r="DJ111" s="4">
        <f t="shared" si="159"/>
        <v>0</v>
      </c>
      <c r="DK111" s="4">
        <f t="shared" si="160"/>
        <v>0</v>
      </c>
      <c r="DL111" s="4">
        <f t="shared" si="161"/>
        <v>0</v>
      </c>
    </row>
    <row r="112" spans="1:116" x14ac:dyDescent="0.25">
      <c r="A112" s="5">
        <v>46185</v>
      </c>
      <c r="B112" s="6">
        <v>0.58333333359769313</v>
      </c>
      <c r="C112" s="3"/>
      <c r="D112" s="3"/>
      <c r="E112" s="3" t="s">
        <v>57</v>
      </c>
      <c r="F112" s="3">
        <v>8</v>
      </c>
      <c r="G112" s="3"/>
      <c r="H112" s="9"/>
      <c r="I112" s="9">
        <f>SUM(IFERROR(VLOOKUP($C:$C,Structure!$A:$AJ,I$1,0)*$D112,0),IFERROR(VLOOKUP($E:$E,Structure!$A:$AJ,I$1,0)*$F112,0),IFERROR(VLOOKUP($G:$G,Structure!$A:$AJ,I$1,0)*$H112,0))</f>
        <v>0</v>
      </c>
      <c r="J112" s="9">
        <f>SUM(IFERROR(VLOOKUP($C:$C,Structure!$A:$AJ,J$1,0)*$D112,0),IFERROR(VLOOKUP($E:$E,Structure!$A:$AJ,J$1,0)*$F112,0),IFERROR(VLOOKUP($G:$G,Structure!$A:$AJ,J$1,0)*$H112,0))</f>
        <v>0</v>
      </c>
      <c r="K112" s="9">
        <f>SUM(IFERROR(VLOOKUP($C:$C,Structure!$A:$AJ,K$1,0)*$D112,0),IFERROR(VLOOKUP($E:$E,Structure!$A:$AJ,K$1,0)*$F112,0),IFERROR(VLOOKUP($G:$G,Structure!$A:$AJ,K$1,0)*$H112,0))</f>
        <v>0</v>
      </c>
      <c r="L112" s="9">
        <f>SUM(IFERROR(VLOOKUP($C:$C,Structure!$A:$AJ,L$1,0)*$D112,0),IFERROR(VLOOKUP($E:$E,Structure!$A:$AJ,L$1,0)*$F112,0),IFERROR(VLOOKUP($G:$G,Structure!$A:$AJ,L$1,0)*$H112,0))</f>
        <v>0</v>
      </c>
      <c r="M112" s="9">
        <f>SUM(IFERROR(VLOOKUP($C:$C,Structure!$A:$AJ,M$1,0)*$D112,0),IFERROR(VLOOKUP($E:$E,Structure!$A:$AJ,M$1,0)*$F112,0),IFERROR(VLOOKUP($G:$G,Structure!$A:$AJ,M$1,0)*$H112,0))</f>
        <v>0</v>
      </c>
      <c r="N112" s="9">
        <f>SUM(IFERROR(VLOOKUP($C:$C,Structure!$A:$AJ,N$1,0)*$D112,0),IFERROR(VLOOKUP($E:$E,Structure!$A:$AJ,N$1,0)*$F112,0),IFERROR(VLOOKUP($G:$G,Structure!$A:$AJ,N$1,0)*$H112,0))</f>
        <v>0</v>
      </c>
      <c r="O112" s="9">
        <f>SUM(IFERROR(VLOOKUP($C:$C,Structure!$A:$AJ,O$1,0)*$D112,0),IFERROR(VLOOKUP($E:$E,Structure!$A:$AJ,O$1,0)*$F112,0),IFERROR(VLOOKUP($G:$G,Structure!$A:$AJ,O$1,0)*$H112,0))</f>
        <v>8</v>
      </c>
      <c r="P112" s="9">
        <f>SUM(IFERROR(VLOOKUP($C:$C,Structure!$A:$AJ,P$1,0)*$D112,0),IFERROR(VLOOKUP($E:$E,Structure!$A:$AJ,P$1,0)*$F112,0),IFERROR(VLOOKUP($G:$G,Structure!$A:$AJ,P$1,0)*$H112,0))</f>
        <v>0</v>
      </c>
      <c r="Q112" s="9">
        <f>SUM(IFERROR(VLOOKUP($C:$C,Structure!$A:$AJ,Q$1,0)*$D112,0),IFERROR(VLOOKUP($E:$E,Structure!$A:$AJ,Q$1,0)*$F112,0),IFERROR(VLOOKUP($G:$G,Structure!$A:$AJ,Q$1,0)*$H112,0))</f>
        <v>0</v>
      </c>
      <c r="R112" s="9">
        <f>SUM(IFERROR(VLOOKUP($C:$C,Structure!$A:$AJ,R$1,0)*$D112,0),IFERROR(VLOOKUP($E:$E,Structure!$A:$AJ,R$1,0)*$F112,0),IFERROR(VLOOKUP($G:$G,Structure!$A:$AJ,R$1,0)*$H112,0))</f>
        <v>0</v>
      </c>
      <c r="S112" s="9">
        <f>SUM(IFERROR(VLOOKUP($C:$C,Structure!$A:$AJ,S$1,0)*$D112,0),IFERROR(VLOOKUP($E:$E,Structure!$A:$AJ,S$1,0)*$F112,0),IFERROR(VLOOKUP($G:$G,Structure!$A:$AJ,S$1,0)*$H112,0))</f>
        <v>8</v>
      </c>
      <c r="T112" s="9">
        <f>SUM(IFERROR(VLOOKUP($C:$C,Structure!$A:$AJ,T$1,0)*$D112,0),IFERROR(VLOOKUP($E:$E,Structure!$A:$AJ,T$1,0)*$F112,0),IFERROR(VLOOKUP($G:$G,Structure!$A:$AJ,T$1,0)*$H112,0))</f>
        <v>0</v>
      </c>
      <c r="U112" s="9">
        <f>SUM(IFERROR(VLOOKUP($C:$C,Structure!$A:$AJ,U$1,0)*$D112,0),IFERROR(VLOOKUP($E:$E,Structure!$A:$AJ,U$1,0)*$F112,0),IFERROR(VLOOKUP($G:$G,Structure!$A:$AJ,U$1,0)*$H112,0))</f>
        <v>0</v>
      </c>
      <c r="V112" s="9">
        <f>SUM(IFERROR(VLOOKUP($C:$C,Structure!$A:$AJ,V$1,0)*$D112,0),IFERROR(VLOOKUP($E:$E,Structure!$A:$AJ,V$1,0)*$F112,0),IFERROR(VLOOKUP($G:$G,Structure!$A:$AJ,V$1,0)*$H112,0))</f>
        <v>0</v>
      </c>
      <c r="W112" s="9">
        <f>SUM(IFERROR(VLOOKUP($C:$C,Structure!$A:$AJ,W$1,0)*$D112,0),IFERROR(VLOOKUP($E:$E,Structure!$A:$AJ,W$1,0)*$F112,0),IFERROR(VLOOKUP($G:$G,Structure!$A:$AJ,W$1,0)*$H112,0))</f>
        <v>0</v>
      </c>
      <c r="X112" s="9">
        <f>SUM(IFERROR(VLOOKUP($C:$C,Structure!$A:$AJ,X$1,0)*$D112,0),IFERROR(VLOOKUP($E:$E,Structure!$A:$AJ,X$1,0)*$F112,0),IFERROR(VLOOKUP($G:$G,Structure!$A:$AJ,X$1,0)*$H112,0))</f>
        <v>0</v>
      </c>
      <c r="Y112" s="9">
        <f>SUM(IFERROR(VLOOKUP($C:$C,Structure!$A:$AJ,Y$1,0)*$D112,0),IFERROR(VLOOKUP($E:$E,Structure!$A:$AJ,Y$1,0)*$F112,0),IFERROR(VLOOKUP($G:$G,Structure!$A:$AJ,Y$1,0)*$H112,0))</f>
        <v>0</v>
      </c>
      <c r="Z112" s="9">
        <f>SUM(IFERROR(VLOOKUP($C:$C,Structure!$A:$AJ,Z$1,0)*$D112,0),IFERROR(VLOOKUP($E:$E,Structure!$A:$AJ,Z$1,0)*$F112,0),IFERROR(VLOOKUP($G:$G,Structure!$A:$AJ,Z$1,0)*$H112,0))</f>
        <v>0</v>
      </c>
      <c r="AA112" s="9">
        <f>SUM(IFERROR(VLOOKUP($C:$C,Structure!$A:$AJ,AA$1,0)*$D112,0),IFERROR(VLOOKUP($E:$E,Structure!$A:$AJ,AA$1,0)*$F112,0),IFERROR(VLOOKUP($G:$G,Structure!$A:$AJ,AA$1,0)*$H112,0))</f>
        <v>0</v>
      </c>
      <c r="AB112" s="9">
        <f>SUM(IFERROR(VLOOKUP($C:$C,Structure!$A:$AJ,AB$1,0)*$D112,0),IFERROR(VLOOKUP($E:$E,Structure!$A:$AJ,AB$1,0)*$F112,0),IFERROR(VLOOKUP($G:$G,Structure!$A:$AJ,AB$1,0)*$H112,0))</f>
        <v>0</v>
      </c>
      <c r="AC112" s="9">
        <f>SUM(IFERROR(VLOOKUP($C:$C,Structure!$A:$AJ,AC$1,0)*$D112,0),IFERROR(VLOOKUP($E:$E,Structure!$A:$AJ,AC$1,0)*$F112,0),IFERROR(VLOOKUP($G:$G,Structure!$A:$AJ,AC$1,0)*$H112,0))</f>
        <v>0</v>
      </c>
      <c r="AD112" s="9">
        <f>SUM(IFERROR(VLOOKUP($C:$C,Structure!$A:$AJ,AD$1,0)*$D112,0),IFERROR(VLOOKUP($E:$E,Structure!$A:$AJ,AD$1,0)*$F112,0),IFERROR(VLOOKUP($G:$G,Structure!$A:$AJ,AD$1,0)*$H112,0))</f>
        <v>0</v>
      </c>
      <c r="AE112" s="9">
        <f>SUM(IFERROR(VLOOKUP($C:$C,Structure!$A:$AJ,AE$1,0)*$D112,0),IFERROR(VLOOKUP($E:$E,Structure!$A:$AJ,AE$1,0)*$F112,0),IFERROR(VLOOKUP($G:$G,Structure!$A:$AJ,AE$1,0)*$H112,0))</f>
        <v>0</v>
      </c>
      <c r="AF112" s="9">
        <f>SUM(IFERROR(VLOOKUP($C:$C,Structure!$A:$AJ,AF$1,0)*$D112,0),IFERROR(VLOOKUP($E:$E,Structure!$A:$AJ,AF$1,0)*$F112,0),IFERROR(VLOOKUP($G:$G,Structure!$A:$AJ,AF$1,0)*$H112,0))</f>
        <v>0</v>
      </c>
      <c r="AG112" s="9">
        <f>SUM(IFERROR(VLOOKUP($C:$C,Structure!$A:$AJ,AG$1,0)*$D112,0),IFERROR(VLOOKUP($E:$E,Structure!$A:$AJ,AG$1,0)*$F112,0),IFERROR(VLOOKUP($G:$G,Structure!$A:$AJ,AG$1,0)*$H112,0))</f>
        <v>0</v>
      </c>
      <c r="AH112" s="9">
        <f>SUM(IFERROR(VLOOKUP($C:$C,Structure!$A:$AJ,AH$1,0)*$D112,0),IFERROR(VLOOKUP($E:$E,Structure!$A:$AJ,AH$1,0)*$F112,0),IFERROR(VLOOKUP($G:$G,Structure!$A:$AJ,AH$1,0)*$H112,0))</f>
        <v>0</v>
      </c>
      <c r="AI112" s="9">
        <f>SUM(IFERROR(VLOOKUP($C:$C,Structure!$A:$AJ,AI$1,0)*$D112,0),IFERROR(VLOOKUP($E:$E,Structure!$A:$AJ,AI$1,0)*$F112,0),IFERROR(VLOOKUP($G:$G,Structure!$A:$AJ,AI$1,0)*$H112,0))</f>
        <v>0</v>
      </c>
      <c r="AJ112" s="9">
        <f>SUM(IFERROR(VLOOKUP($C:$C,Structure!$A:$AJ,AJ$1,0)*$D112,0),IFERROR(VLOOKUP($E:$E,Structure!$A:$AJ,AJ$1,0)*$F112,0),IFERROR(VLOOKUP($G:$G,Structure!$A:$AJ,AJ$1,0)*$H112,0))</f>
        <v>0</v>
      </c>
      <c r="AK112" s="9">
        <f>SUM(IFERROR(VLOOKUP($C:$C,Structure!$A:$AJ,AK$1,0)*$D112,0),IFERROR(VLOOKUP($E:$E,Structure!$A:$AJ,AK$1,0)*$F112,0),IFERROR(VLOOKUP($G:$G,Structure!$A:$AJ,AK$1,0)*$H112,0))</f>
        <v>0</v>
      </c>
      <c r="AL112" s="9">
        <f>SUM(IFERROR(VLOOKUP($C:$C,Structure!$A:$AJ,AL$1,0)*$D112,0),IFERROR(VLOOKUP($E:$E,Structure!$A:$AJ,AL$1,0)*$F112,0),IFERROR(VLOOKUP($G:$G,Structure!$A:$AJ,AL$1,0)*$H112,0))</f>
        <v>0</v>
      </c>
      <c r="AM112" s="9">
        <f>SUM(IFERROR(VLOOKUP($C:$C,Structure!$A:$AJ,AM$1,0)*$D112,0),IFERROR(VLOOKUP($E:$E,Structure!$A:$AJ,AM$1,0)*$F112,0),IFERROR(VLOOKUP($G:$G,Structure!$A:$AJ,AM$1,0)*$H112,0))</f>
        <v>0</v>
      </c>
      <c r="AN112" s="9">
        <f>SUM(IFERROR(VLOOKUP($C:$C,Structure!$A:$AJ,AN$1,0)*$D112,0),IFERROR(VLOOKUP($E:$E,Structure!$A:$AJ,AN$1,0)*$F112,0),IFERROR(VLOOKUP($G:$G,Structure!$A:$AJ,AN$1,0)*$H112,0))</f>
        <v>0</v>
      </c>
      <c r="AO112" s="9">
        <f>SUM(IFERROR(VLOOKUP($C:$C,Structure!$A:$AJ,AO$1,0)*$D112,0),IFERROR(VLOOKUP($E:$E,Structure!$A:$AJ,AO$1,0)*$F112,0),IFERROR(VLOOKUP($G:$G,Structure!$A:$AJ,AO$1,0)*$H112,0))</f>
        <v>0</v>
      </c>
      <c r="AP112" s="9">
        <f>SUM(IFERROR(VLOOKUP($C:$C,Structure!$A:$AJ,AP$1,0)*$D112,0),IFERROR(VLOOKUP($E:$E,Structure!$A:$AJ,AP$1,0)*$F112,0),IFERROR(VLOOKUP($G:$G,Structure!$A:$AJ,AP$1,0)*$H112,0))</f>
        <v>0</v>
      </c>
      <c r="AQ112" s="9">
        <f>SUM(IFERROR(VLOOKUP($C:$C,Structure!$A:$AJ,AQ$1,0)*$D112,0),IFERROR(VLOOKUP($E:$E,Structure!$A:$AJ,AQ$1,0)*$F112,0),IFERROR(VLOOKUP($G:$G,Structure!$A:$AJ,AQ$1,0)*$H112,0))</f>
        <v>0</v>
      </c>
      <c r="AR112" s="21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4">
        <f t="shared" si="127"/>
        <v>0</v>
      </c>
      <c r="CE112" s="4">
        <f t="shared" si="128"/>
        <v>-84</v>
      </c>
      <c r="CF112" s="4">
        <f t="shared" si="129"/>
        <v>4</v>
      </c>
      <c r="CG112" s="4">
        <f t="shared" si="130"/>
        <v>14</v>
      </c>
      <c r="CH112" s="4">
        <f t="shared" si="131"/>
        <v>-7</v>
      </c>
      <c r="CI112" s="4">
        <f t="shared" si="132"/>
        <v>127</v>
      </c>
      <c r="CJ112" s="4">
        <f t="shared" si="133"/>
        <v>-130</v>
      </c>
      <c r="CK112" s="4">
        <f t="shared" si="134"/>
        <v>95</v>
      </c>
      <c r="CL112" s="4">
        <f t="shared" si="135"/>
        <v>0</v>
      </c>
      <c r="CM112" s="4">
        <f t="shared" si="136"/>
        <v>6</v>
      </c>
      <c r="CN112" s="4">
        <f t="shared" si="137"/>
        <v>-17</v>
      </c>
      <c r="CO112" s="4">
        <f t="shared" si="138"/>
        <v>0</v>
      </c>
      <c r="CP112" s="4">
        <f t="shared" si="139"/>
        <v>103</v>
      </c>
      <c r="CQ112" s="4">
        <f t="shared" si="140"/>
        <v>-153</v>
      </c>
      <c r="CR112" s="4">
        <f t="shared" si="141"/>
        <v>15</v>
      </c>
      <c r="CS112" s="4">
        <f t="shared" si="142"/>
        <v>-24</v>
      </c>
      <c r="CT112" s="4">
        <f t="shared" si="143"/>
        <v>0</v>
      </c>
      <c r="CU112" s="4">
        <f t="shared" si="144"/>
        <v>0</v>
      </c>
      <c r="CV112" s="4">
        <f t="shared" si="145"/>
        <v>0</v>
      </c>
      <c r="CW112" s="4">
        <f t="shared" si="146"/>
        <v>0</v>
      </c>
      <c r="CX112" s="4">
        <f t="shared" si="147"/>
        <v>-110</v>
      </c>
      <c r="CY112" s="4">
        <f t="shared" si="148"/>
        <v>0</v>
      </c>
      <c r="CZ112" s="4">
        <f t="shared" si="149"/>
        <v>0</v>
      </c>
      <c r="DA112" s="4">
        <f t="shared" si="150"/>
        <v>0</v>
      </c>
      <c r="DB112" s="4">
        <f t="shared" si="151"/>
        <v>0</v>
      </c>
      <c r="DC112" s="4">
        <f t="shared" si="152"/>
        <v>0</v>
      </c>
      <c r="DD112" s="4">
        <f t="shared" si="153"/>
        <v>0</v>
      </c>
      <c r="DE112" s="4">
        <f t="shared" si="154"/>
        <v>0</v>
      </c>
      <c r="DF112" s="4">
        <f t="shared" si="155"/>
        <v>0</v>
      </c>
      <c r="DG112" s="4">
        <f t="shared" si="156"/>
        <v>0</v>
      </c>
      <c r="DH112" s="4">
        <f t="shared" si="157"/>
        <v>0</v>
      </c>
      <c r="DI112" s="4">
        <f t="shared" si="158"/>
        <v>0</v>
      </c>
      <c r="DJ112" s="4">
        <f t="shared" si="159"/>
        <v>0</v>
      </c>
      <c r="DK112" s="4">
        <f t="shared" si="160"/>
        <v>0</v>
      </c>
      <c r="DL112" s="4">
        <f t="shared" si="161"/>
        <v>0</v>
      </c>
    </row>
    <row r="113" spans="1:116" x14ac:dyDescent="0.25">
      <c r="A113" s="5">
        <v>46185</v>
      </c>
      <c r="B113" s="6">
        <v>0.60416666693345178</v>
      </c>
      <c r="C113" s="3"/>
      <c r="D113" s="3"/>
      <c r="E113" s="3" t="s">
        <v>57</v>
      </c>
      <c r="F113" s="3">
        <v>8</v>
      </c>
      <c r="G113" s="3"/>
      <c r="H113" s="9"/>
      <c r="I113" s="9">
        <f>SUM(IFERROR(VLOOKUP($C:$C,Structure!$A:$AJ,I$1,0)*$D113,0),IFERROR(VLOOKUP($E:$E,Structure!$A:$AJ,I$1,0)*$F113,0),IFERROR(VLOOKUP($G:$G,Structure!$A:$AJ,I$1,0)*$H113,0))</f>
        <v>0</v>
      </c>
      <c r="J113" s="9">
        <f>SUM(IFERROR(VLOOKUP($C:$C,Structure!$A:$AJ,J$1,0)*$D113,0),IFERROR(VLOOKUP($E:$E,Structure!$A:$AJ,J$1,0)*$F113,0),IFERROR(VLOOKUP($G:$G,Structure!$A:$AJ,J$1,0)*$H113,0))</f>
        <v>0</v>
      </c>
      <c r="K113" s="9">
        <f>SUM(IFERROR(VLOOKUP($C:$C,Structure!$A:$AJ,K$1,0)*$D113,0),IFERROR(VLOOKUP($E:$E,Structure!$A:$AJ,K$1,0)*$F113,0),IFERROR(VLOOKUP($G:$G,Structure!$A:$AJ,K$1,0)*$H113,0))</f>
        <v>0</v>
      </c>
      <c r="L113" s="9">
        <f>SUM(IFERROR(VLOOKUP($C:$C,Structure!$A:$AJ,L$1,0)*$D113,0),IFERROR(VLOOKUP($E:$E,Structure!$A:$AJ,L$1,0)*$F113,0),IFERROR(VLOOKUP($G:$G,Structure!$A:$AJ,L$1,0)*$H113,0))</f>
        <v>0</v>
      </c>
      <c r="M113" s="9">
        <f>SUM(IFERROR(VLOOKUP($C:$C,Structure!$A:$AJ,M$1,0)*$D113,0),IFERROR(VLOOKUP($E:$E,Structure!$A:$AJ,M$1,0)*$F113,0),IFERROR(VLOOKUP($G:$G,Structure!$A:$AJ,M$1,0)*$H113,0))</f>
        <v>0</v>
      </c>
      <c r="N113" s="9">
        <f>SUM(IFERROR(VLOOKUP($C:$C,Structure!$A:$AJ,N$1,0)*$D113,0),IFERROR(VLOOKUP($E:$E,Structure!$A:$AJ,N$1,0)*$F113,0),IFERROR(VLOOKUP($G:$G,Structure!$A:$AJ,N$1,0)*$H113,0))</f>
        <v>0</v>
      </c>
      <c r="O113" s="9">
        <f>SUM(IFERROR(VLOOKUP($C:$C,Structure!$A:$AJ,O$1,0)*$D113,0),IFERROR(VLOOKUP($E:$E,Structure!$A:$AJ,O$1,0)*$F113,0),IFERROR(VLOOKUP($G:$G,Structure!$A:$AJ,O$1,0)*$H113,0))</f>
        <v>8</v>
      </c>
      <c r="P113" s="9">
        <f>SUM(IFERROR(VLOOKUP($C:$C,Structure!$A:$AJ,P$1,0)*$D113,0),IFERROR(VLOOKUP($E:$E,Structure!$A:$AJ,P$1,0)*$F113,0),IFERROR(VLOOKUP($G:$G,Structure!$A:$AJ,P$1,0)*$H113,0))</f>
        <v>0</v>
      </c>
      <c r="Q113" s="9">
        <f>SUM(IFERROR(VLOOKUP($C:$C,Structure!$A:$AJ,Q$1,0)*$D113,0),IFERROR(VLOOKUP($E:$E,Structure!$A:$AJ,Q$1,0)*$F113,0),IFERROR(VLOOKUP($G:$G,Structure!$A:$AJ,Q$1,0)*$H113,0))</f>
        <v>0</v>
      </c>
      <c r="R113" s="9">
        <f>SUM(IFERROR(VLOOKUP($C:$C,Structure!$A:$AJ,R$1,0)*$D113,0),IFERROR(VLOOKUP($E:$E,Structure!$A:$AJ,R$1,0)*$F113,0),IFERROR(VLOOKUP($G:$G,Structure!$A:$AJ,R$1,0)*$H113,0))</f>
        <v>0</v>
      </c>
      <c r="S113" s="9">
        <f>SUM(IFERROR(VLOOKUP($C:$C,Structure!$A:$AJ,S$1,0)*$D113,0),IFERROR(VLOOKUP($E:$E,Structure!$A:$AJ,S$1,0)*$F113,0),IFERROR(VLOOKUP($G:$G,Structure!$A:$AJ,S$1,0)*$H113,0))</f>
        <v>8</v>
      </c>
      <c r="T113" s="9">
        <f>SUM(IFERROR(VLOOKUP($C:$C,Structure!$A:$AJ,T$1,0)*$D113,0),IFERROR(VLOOKUP($E:$E,Structure!$A:$AJ,T$1,0)*$F113,0),IFERROR(VLOOKUP($G:$G,Structure!$A:$AJ,T$1,0)*$H113,0))</f>
        <v>0</v>
      </c>
      <c r="U113" s="9">
        <f>SUM(IFERROR(VLOOKUP($C:$C,Structure!$A:$AJ,U$1,0)*$D113,0),IFERROR(VLOOKUP($E:$E,Structure!$A:$AJ,U$1,0)*$F113,0),IFERROR(VLOOKUP($G:$G,Structure!$A:$AJ,U$1,0)*$H113,0))</f>
        <v>0</v>
      </c>
      <c r="V113" s="9">
        <f>SUM(IFERROR(VLOOKUP($C:$C,Structure!$A:$AJ,V$1,0)*$D113,0),IFERROR(VLOOKUP($E:$E,Structure!$A:$AJ,V$1,0)*$F113,0),IFERROR(VLOOKUP($G:$G,Structure!$A:$AJ,V$1,0)*$H113,0))</f>
        <v>0</v>
      </c>
      <c r="W113" s="9">
        <f>SUM(IFERROR(VLOOKUP($C:$C,Structure!$A:$AJ,W$1,0)*$D113,0),IFERROR(VLOOKUP($E:$E,Structure!$A:$AJ,W$1,0)*$F113,0),IFERROR(VLOOKUP($G:$G,Structure!$A:$AJ,W$1,0)*$H113,0))</f>
        <v>0</v>
      </c>
      <c r="X113" s="9">
        <f>SUM(IFERROR(VLOOKUP($C:$C,Structure!$A:$AJ,X$1,0)*$D113,0),IFERROR(VLOOKUP($E:$E,Structure!$A:$AJ,X$1,0)*$F113,0),IFERROR(VLOOKUP($G:$G,Structure!$A:$AJ,X$1,0)*$H113,0))</f>
        <v>0</v>
      </c>
      <c r="Y113" s="9">
        <f>SUM(IFERROR(VLOOKUP($C:$C,Structure!$A:$AJ,Y$1,0)*$D113,0),IFERROR(VLOOKUP($E:$E,Structure!$A:$AJ,Y$1,0)*$F113,0),IFERROR(VLOOKUP($G:$G,Structure!$A:$AJ,Y$1,0)*$H113,0))</f>
        <v>0</v>
      </c>
      <c r="Z113" s="9">
        <f>SUM(IFERROR(VLOOKUP($C:$C,Structure!$A:$AJ,Z$1,0)*$D113,0),IFERROR(VLOOKUP($E:$E,Structure!$A:$AJ,Z$1,0)*$F113,0),IFERROR(VLOOKUP($G:$G,Structure!$A:$AJ,Z$1,0)*$H113,0))</f>
        <v>0</v>
      </c>
      <c r="AA113" s="9">
        <f>SUM(IFERROR(VLOOKUP($C:$C,Structure!$A:$AJ,AA$1,0)*$D113,0),IFERROR(VLOOKUP($E:$E,Structure!$A:$AJ,AA$1,0)*$F113,0),IFERROR(VLOOKUP($G:$G,Structure!$A:$AJ,AA$1,0)*$H113,0))</f>
        <v>0</v>
      </c>
      <c r="AB113" s="9">
        <f>SUM(IFERROR(VLOOKUP($C:$C,Structure!$A:$AJ,AB$1,0)*$D113,0),IFERROR(VLOOKUP($E:$E,Structure!$A:$AJ,AB$1,0)*$F113,0),IFERROR(VLOOKUP($G:$G,Structure!$A:$AJ,AB$1,0)*$H113,0))</f>
        <v>0</v>
      </c>
      <c r="AC113" s="9">
        <f>SUM(IFERROR(VLOOKUP($C:$C,Structure!$A:$AJ,AC$1,0)*$D113,0),IFERROR(VLOOKUP($E:$E,Structure!$A:$AJ,AC$1,0)*$F113,0),IFERROR(VLOOKUP($G:$G,Structure!$A:$AJ,AC$1,0)*$H113,0))</f>
        <v>0</v>
      </c>
      <c r="AD113" s="9">
        <f>SUM(IFERROR(VLOOKUP($C:$C,Structure!$A:$AJ,AD$1,0)*$D113,0),IFERROR(VLOOKUP($E:$E,Structure!$A:$AJ,AD$1,0)*$F113,0),IFERROR(VLOOKUP($G:$G,Structure!$A:$AJ,AD$1,0)*$H113,0))</f>
        <v>0</v>
      </c>
      <c r="AE113" s="9">
        <f>SUM(IFERROR(VLOOKUP($C:$C,Structure!$A:$AJ,AE$1,0)*$D113,0),IFERROR(VLOOKUP($E:$E,Structure!$A:$AJ,AE$1,0)*$F113,0),IFERROR(VLOOKUP($G:$G,Structure!$A:$AJ,AE$1,0)*$H113,0))</f>
        <v>0</v>
      </c>
      <c r="AF113" s="9">
        <f>SUM(IFERROR(VLOOKUP($C:$C,Structure!$A:$AJ,AF$1,0)*$D113,0),IFERROR(VLOOKUP($E:$E,Structure!$A:$AJ,AF$1,0)*$F113,0),IFERROR(VLOOKUP($G:$G,Structure!$A:$AJ,AF$1,0)*$H113,0))</f>
        <v>0</v>
      </c>
      <c r="AG113" s="9">
        <f>SUM(IFERROR(VLOOKUP($C:$C,Structure!$A:$AJ,AG$1,0)*$D113,0),IFERROR(VLOOKUP($E:$E,Structure!$A:$AJ,AG$1,0)*$F113,0),IFERROR(VLOOKUP($G:$G,Structure!$A:$AJ,AG$1,0)*$H113,0))</f>
        <v>0</v>
      </c>
      <c r="AH113" s="9">
        <f>SUM(IFERROR(VLOOKUP($C:$C,Structure!$A:$AJ,AH$1,0)*$D113,0),IFERROR(VLOOKUP($E:$E,Structure!$A:$AJ,AH$1,0)*$F113,0),IFERROR(VLOOKUP($G:$G,Structure!$A:$AJ,AH$1,0)*$H113,0))</f>
        <v>0</v>
      </c>
      <c r="AI113" s="9">
        <f>SUM(IFERROR(VLOOKUP($C:$C,Structure!$A:$AJ,AI$1,0)*$D113,0),IFERROR(VLOOKUP($E:$E,Structure!$A:$AJ,AI$1,0)*$F113,0),IFERROR(VLOOKUP($G:$G,Structure!$A:$AJ,AI$1,0)*$H113,0))</f>
        <v>0</v>
      </c>
      <c r="AJ113" s="9">
        <f>SUM(IFERROR(VLOOKUP($C:$C,Structure!$A:$AJ,AJ$1,0)*$D113,0),IFERROR(VLOOKUP($E:$E,Structure!$A:$AJ,AJ$1,0)*$F113,0),IFERROR(VLOOKUP($G:$G,Structure!$A:$AJ,AJ$1,0)*$H113,0))</f>
        <v>0</v>
      </c>
      <c r="AK113" s="9">
        <f>SUM(IFERROR(VLOOKUP($C:$C,Structure!$A:$AJ,AK$1,0)*$D113,0),IFERROR(VLOOKUP($E:$E,Structure!$A:$AJ,AK$1,0)*$F113,0),IFERROR(VLOOKUP($G:$G,Structure!$A:$AJ,AK$1,0)*$H113,0))</f>
        <v>0</v>
      </c>
      <c r="AL113" s="9">
        <f>SUM(IFERROR(VLOOKUP($C:$C,Structure!$A:$AJ,AL$1,0)*$D113,0),IFERROR(VLOOKUP($E:$E,Structure!$A:$AJ,AL$1,0)*$F113,0),IFERROR(VLOOKUP($G:$G,Structure!$A:$AJ,AL$1,0)*$H113,0))</f>
        <v>0</v>
      </c>
      <c r="AM113" s="9">
        <f>SUM(IFERROR(VLOOKUP($C:$C,Structure!$A:$AJ,AM$1,0)*$D113,0),IFERROR(VLOOKUP($E:$E,Structure!$A:$AJ,AM$1,0)*$F113,0),IFERROR(VLOOKUP($G:$G,Structure!$A:$AJ,AM$1,0)*$H113,0))</f>
        <v>0</v>
      </c>
      <c r="AN113" s="9">
        <f>SUM(IFERROR(VLOOKUP($C:$C,Structure!$A:$AJ,AN$1,0)*$D113,0),IFERROR(VLOOKUP($E:$E,Structure!$A:$AJ,AN$1,0)*$F113,0),IFERROR(VLOOKUP($G:$G,Structure!$A:$AJ,AN$1,0)*$H113,0))</f>
        <v>0</v>
      </c>
      <c r="AO113" s="9">
        <f>SUM(IFERROR(VLOOKUP($C:$C,Structure!$A:$AJ,AO$1,0)*$D113,0),IFERROR(VLOOKUP($E:$E,Structure!$A:$AJ,AO$1,0)*$F113,0),IFERROR(VLOOKUP($G:$G,Structure!$A:$AJ,AO$1,0)*$H113,0))</f>
        <v>0</v>
      </c>
      <c r="AP113" s="9">
        <f>SUM(IFERROR(VLOOKUP($C:$C,Structure!$A:$AJ,AP$1,0)*$D113,0),IFERROR(VLOOKUP($E:$E,Structure!$A:$AJ,AP$1,0)*$F113,0),IFERROR(VLOOKUP($G:$G,Structure!$A:$AJ,AP$1,0)*$H113,0))</f>
        <v>0</v>
      </c>
      <c r="AQ113" s="9">
        <f>SUM(IFERROR(VLOOKUP($C:$C,Structure!$A:$AJ,AQ$1,0)*$D113,0),IFERROR(VLOOKUP($E:$E,Structure!$A:$AJ,AQ$1,0)*$F113,0),IFERROR(VLOOKUP($G:$G,Structure!$A:$AJ,AQ$1,0)*$H113,0))</f>
        <v>0</v>
      </c>
      <c r="AR113" s="21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4">
        <f t="shared" si="127"/>
        <v>0</v>
      </c>
      <c r="CE113" s="4">
        <f t="shared" si="128"/>
        <v>-84</v>
      </c>
      <c r="CF113" s="4">
        <f t="shared" si="129"/>
        <v>4</v>
      </c>
      <c r="CG113" s="4">
        <f t="shared" si="130"/>
        <v>14</v>
      </c>
      <c r="CH113" s="4">
        <f t="shared" si="131"/>
        <v>-7</v>
      </c>
      <c r="CI113" s="4">
        <f t="shared" si="132"/>
        <v>127</v>
      </c>
      <c r="CJ113" s="4">
        <f t="shared" si="133"/>
        <v>-138</v>
      </c>
      <c r="CK113" s="4">
        <f t="shared" si="134"/>
        <v>95</v>
      </c>
      <c r="CL113" s="4">
        <f t="shared" si="135"/>
        <v>0</v>
      </c>
      <c r="CM113" s="4">
        <f t="shared" si="136"/>
        <v>6</v>
      </c>
      <c r="CN113" s="4">
        <f t="shared" si="137"/>
        <v>-25</v>
      </c>
      <c r="CO113" s="4">
        <f t="shared" si="138"/>
        <v>0</v>
      </c>
      <c r="CP113" s="4">
        <f t="shared" si="139"/>
        <v>103</v>
      </c>
      <c r="CQ113" s="4">
        <f t="shared" si="140"/>
        <v>-153</v>
      </c>
      <c r="CR113" s="4">
        <f t="shared" si="141"/>
        <v>15</v>
      </c>
      <c r="CS113" s="4">
        <f t="shared" si="142"/>
        <v>-24</v>
      </c>
      <c r="CT113" s="4">
        <f t="shared" si="143"/>
        <v>0</v>
      </c>
      <c r="CU113" s="4">
        <f t="shared" si="144"/>
        <v>0</v>
      </c>
      <c r="CV113" s="4">
        <f t="shared" si="145"/>
        <v>0</v>
      </c>
      <c r="CW113" s="4">
        <f t="shared" si="146"/>
        <v>0</v>
      </c>
      <c r="CX113" s="4">
        <f t="shared" si="147"/>
        <v>-110</v>
      </c>
      <c r="CY113" s="4">
        <f t="shared" si="148"/>
        <v>0</v>
      </c>
      <c r="CZ113" s="4">
        <f t="shared" si="149"/>
        <v>0</v>
      </c>
      <c r="DA113" s="4">
        <f t="shared" si="150"/>
        <v>0</v>
      </c>
      <c r="DB113" s="4">
        <f t="shared" si="151"/>
        <v>0</v>
      </c>
      <c r="DC113" s="4">
        <f t="shared" si="152"/>
        <v>0</v>
      </c>
      <c r="DD113" s="4">
        <f t="shared" si="153"/>
        <v>0</v>
      </c>
      <c r="DE113" s="4">
        <f t="shared" si="154"/>
        <v>0</v>
      </c>
      <c r="DF113" s="4">
        <f t="shared" si="155"/>
        <v>0</v>
      </c>
      <c r="DG113" s="4">
        <f t="shared" si="156"/>
        <v>0</v>
      </c>
      <c r="DH113" s="4">
        <f t="shared" si="157"/>
        <v>0</v>
      </c>
      <c r="DI113" s="4">
        <f t="shared" si="158"/>
        <v>0</v>
      </c>
      <c r="DJ113" s="4">
        <f t="shared" si="159"/>
        <v>0</v>
      </c>
      <c r="DK113" s="4">
        <f t="shared" si="160"/>
        <v>0</v>
      </c>
      <c r="DL113" s="4">
        <f t="shared" si="161"/>
        <v>0</v>
      </c>
    </row>
    <row r="114" spans="1:116" x14ac:dyDescent="0.25">
      <c r="A114" s="5">
        <v>46185</v>
      </c>
      <c r="B114" s="6">
        <v>0.62500000026921043</v>
      </c>
      <c r="C114" s="3"/>
      <c r="D114" s="3"/>
      <c r="E114" s="3" t="s">
        <v>58</v>
      </c>
      <c r="F114" s="3">
        <v>3</v>
      </c>
      <c r="G114" s="3"/>
      <c r="H114" s="9"/>
      <c r="I114" s="9">
        <f>SUM(IFERROR(VLOOKUP($C:$C,Structure!$A:$AJ,I$1,0)*$D114,0),IFERROR(VLOOKUP($E:$E,Structure!$A:$AJ,I$1,0)*$F114,0),IFERROR(VLOOKUP($G:$G,Structure!$A:$AJ,I$1,0)*$H114,0))</f>
        <v>0</v>
      </c>
      <c r="J114" s="9">
        <f>SUM(IFERROR(VLOOKUP($C:$C,Structure!$A:$AJ,J$1,0)*$D114,0),IFERROR(VLOOKUP($E:$E,Structure!$A:$AJ,J$1,0)*$F114,0),IFERROR(VLOOKUP($G:$G,Structure!$A:$AJ,J$1,0)*$H114,0))</f>
        <v>0</v>
      </c>
      <c r="K114" s="9">
        <f>SUM(IFERROR(VLOOKUP($C:$C,Structure!$A:$AJ,K$1,0)*$D114,0),IFERROR(VLOOKUP($E:$E,Structure!$A:$AJ,K$1,0)*$F114,0),IFERROR(VLOOKUP($G:$G,Structure!$A:$AJ,K$1,0)*$H114,0))</f>
        <v>0</v>
      </c>
      <c r="L114" s="9">
        <f>SUM(IFERROR(VLOOKUP($C:$C,Structure!$A:$AJ,L$1,0)*$D114,0),IFERROR(VLOOKUP($E:$E,Structure!$A:$AJ,L$1,0)*$F114,0),IFERROR(VLOOKUP($G:$G,Structure!$A:$AJ,L$1,0)*$H114,0))</f>
        <v>0</v>
      </c>
      <c r="M114" s="9">
        <f>SUM(IFERROR(VLOOKUP($C:$C,Structure!$A:$AJ,M$1,0)*$D114,0),IFERROR(VLOOKUP($E:$E,Structure!$A:$AJ,M$1,0)*$F114,0),IFERROR(VLOOKUP($G:$G,Structure!$A:$AJ,M$1,0)*$H114,0))</f>
        <v>0</v>
      </c>
      <c r="N114" s="9">
        <f>SUM(IFERROR(VLOOKUP($C:$C,Structure!$A:$AJ,N$1,0)*$D114,0),IFERROR(VLOOKUP($E:$E,Structure!$A:$AJ,N$1,0)*$F114,0),IFERROR(VLOOKUP($G:$G,Structure!$A:$AJ,N$1,0)*$H114,0))</f>
        <v>0</v>
      </c>
      <c r="O114" s="9">
        <f>SUM(IFERROR(VLOOKUP($C:$C,Structure!$A:$AJ,O$1,0)*$D114,0),IFERROR(VLOOKUP($E:$E,Structure!$A:$AJ,O$1,0)*$F114,0),IFERROR(VLOOKUP($G:$G,Structure!$A:$AJ,O$1,0)*$H114,0))</f>
        <v>3</v>
      </c>
      <c r="P114" s="9">
        <f>SUM(IFERROR(VLOOKUP($C:$C,Structure!$A:$AJ,P$1,0)*$D114,0),IFERROR(VLOOKUP($E:$E,Structure!$A:$AJ,P$1,0)*$F114,0),IFERROR(VLOOKUP($G:$G,Structure!$A:$AJ,P$1,0)*$H114,0))</f>
        <v>0</v>
      </c>
      <c r="Q114" s="9">
        <f>SUM(IFERROR(VLOOKUP($C:$C,Structure!$A:$AJ,Q$1,0)*$D114,0),IFERROR(VLOOKUP($E:$E,Structure!$A:$AJ,Q$1,0)*$F114,0),IFERROR(VLOOKUP($G:$G,Structure!$A:$AJ,Q$1,0)*$H114,0))</f>
        <v>0</v>
      </c>
      <c r="R114" s="9">
        <f>SUM(IFERROR(VLOOKUP($C:$C,Structure!$A:$AJ,R$1,0)*$D114,0),IFERROR(VLOOKUP($E:$E,Structure!$A:$AJ,R$1,0)*$F114,0),IFERROR(VLOOKUP($G:$G,Structure!$A:$AJ,R$1,0)*$H114,0))</f>
        <v>0</v>
      </c>
      <c r="S114" s="9">
        <f>SUM(IFERROR(VLOOKUP($C:$C,Structure!$A:$AJ,S$1,0)*$D114,0),IFERROR(VLOOKUP($E:$E,Structure!$A:$AJ,S$1,0)*$F114,0),IFERROR(VLOOKUP($G:$G,Structure!$A:$AJ,S$1,0)*$H114,0))</f>
        <v>3</v>
      </c>
      <c r="T114" s="9">
        <f>SUM(IFERROR(VLOOKUP($C:$C,Structure!$A:$AJ,T$1,0)*$D114,0),IFERROR(VLOOKUP($E:$E,Structure!$A:$AJ,T$1,0)*$F114,0),IFERROR(VLOOKUP($G:$G,Structure!$A:$AJ,T$1,0)*$H114,0))</f>
        <v>0</v>
      </c>
      <c r="U114" s="9">
        <f>SUM(IFERROR(VLOOKUP($C:$C,Structure!$A:$AJ,U$1,0)*$D114,0),IFERROR(VLOOKUP($E:$E,Structure!$A:$AJ,U$1,0)*$F114,0),IFERROR(VLOOKUP($G:$G,Structure!$A:$AJ,U$1,0)*$H114,0))</f>
        <v>0</v>
      </c>
      <c r="V114" s="9">
        <f>SUM(IFERROR(VLOOKUP($C:$C,Structure!$A:$AJ,V$1,0)*$D114,0),IFERROR(VLOOKUP($E:$E,Structure!$A:$AJ,V$1,0)*$F114,0),IFERROR(VLOOKUP($G:$G,Structure!$A:$AJ,V$1,0)*$H114,0))</f>
        <v>0</v>
      </c>
      <c r="W114" s="9">
        <f>SUM(IFERROR(VLOOKUP($C:$C,Structure!$A:$AJ,W$1,0)*$D114,0),IFERROR(VLOOKUP($E:$E,Structure!$A:$AJ,W$1,0)*$F114,0),IFERROR(VLOOKUP($G:$G,Structure!$A:$AJ,W$1,0)*$H114,0))</f>
        <v>0</v>
      </c>
      <c r="X114" s="9">
        <f>SUM(IFERROR(VLOOKUP($C:$C,Structure!$A:$AJ,X$1,0)*$D114,0),IFERROR(VLOOKUP($E:$E,Structure!$A:$AJ,X$1,0)*$F114,0),IFERROR(VLOOKUP($G:$G,Structure!$A:$AJ,X$1,0)*$H114,0))</f>
        <v>0</v>
      </c>
      <c r="Y114" s="9">
        <f>SUM(IFERROR(VLOOKUP($C:$C,Structure!$A:$AJ,Y$1,0)*$D114,0),IFERROR(VLOOKUP($E:$E,Structure!$A:$AJ,Y$1,0)*$F114,0),IFERROR(VLOOKUP($G:$G,Structure!$A:$AJ,Y$1,0)*$H114,0))</f>
        <v>0</v>
      </c>
      <c r="Z114" s="9">
        <f>SUM(IFERROR(VLOOKUP($C:$C,Structure!$A:$AJ,Z$1,0)*$D114,0),IFERROR(VLOOKUP($E:$E,Structure!$A:$AJ,Z$1,0)*$F114,0),IFERROR(VLOOKUP($G:$G,Structure!$A:$AJ,Z$1,0)*$H114,0))</f>
        <v>0</v>
      </c>
      <c r="AA114" s="9">
        <f>SUM(IFERROR(VLOOKUP($C:$C,Structure!$A:$AJ,AA$1,0)*$D114,0),IFERROR(VLOOKUP($E:$E,Structure!$A:$AJ,AA$1,0)*$F114,0),IFERROR(VLOOKUP($G:$G,Structure!$A:$AJ,AA$1,0)*$H114,0))</f>
        <v>0</v>
      </c>
      <c r="AB114" s="9">
        <f>SUM(IFERROR(VLOOKUP($C:$C,Structure!$A:$AJ,AB$1,0)*$D114,0),IFERROR(VLOOKUP($E:$E,Structure!$A:$AJ,AB$1,0)*$F114,0),IFERROR(VLOOKUP($G:$G,Structure!$A:$AJ,AB$1,0)*$H114,0))</f>
        <v>0</v>
      </c>
      <c r="AC114" s="9">
        <f>SUM(IFERROR(VLOOKUP($C:$C,Structure!$A:$AJ,AC$1,0)*$D114,0),IFERROR(VLOOKUP($E:$E,Structure!$A:$AJ,AC$1,0)*$F114,0),IFERROR(VLOOKUP($G:$G,Structure!$A:$AJ,AC$1,0)*$H114,0))</f>
        <v>0</v>
      </c>
      <c r="AD114" s="9">
        <f>SUM(IFERROR(VLOOKUP($C:$C,Structure!$A:$AJ,AD$1,0)*$D114,0),IFERROR(VLOOKUP($E:$E,Structure!$A:$AJ,AD$1,0)*$F114,0),IFERROR(VLOOKUP($G:$G,Structure!$A:$AJ,AD$1,0)*$H114,0))</f>
        <v>0</v>
      </c>
      <c r="AE114" s="9">
        <f>SUM(IFERROR(VLOOKUP($C:$C,Structure!$A:$AJ,AE$1,0)*$D114,0),IFERROR(VLOOKUP($E:$E,Structure!$A:$AJ,AE$1,0)*$F114,0),IFERROR(VLOOKUP($G:$G,Structure!$A:$AJ,AE$1,0)*$H114,0))</f>
        <v>0</v>
      </c>
      <c r="AF114" s="9">
        <f>SUM(IFERROR(VLOOKUP($C:$C,Structure!$A:$AJ,AF$1,0)*$D114,0),IFERROR(VLOOKUP($E:$E,Structure!$A:$AJ,AF$1,0)*$F114,0),IFERROR(VLOOKUP($G:$G,Structure!$A:$AJ,AF$1,0)*$H114,0))</f>
        <v>0</v>
      </c>
      <c r="AG114" s="9">
        <f>SUM(IFERROR(VLOOKUP($C:$C,Structure!$A:$AJ,AG$1,0)*$D114,0),IFERROR(VLOOKUP($E:$E,Structure!$A:$AJ,AG$1,0)*$F114,0),IFERROR(VLOOKUP($G:$G,Structure!$A:$AJ,AG$1,0)*$H114,0))</f>
        <v>0</v>
      </c>
      <c r="AH114" s="9">
        <f>SUM(IFERROR(VLOOKUP($C:$C,Structure!$A:$AJ,AH$1,0)*$D114,0),IFERROR(VLOOKUP($E:$E,Structure!$A:$AJ,AH$1,0)*$F114,0),IFERROR(VLOOKUP($G:$G,Structure!$A:$AJ,AH$1,0)*$H114,0))</f>
        <v>0</v>
      </c>
      <c r="AI114" s="9">
        <f>SUM(IFERROR(VLOOKUP($C:$C,Structure!$A:$AJ,AI$1,0)*$D114,0),IFERROR(VLOOKUP($E:$E,Structure!$A:$AJ,AI$1,0)*$F114,0),IFERROR(VLOOKUP($G:$G,Structure!$A:$AJ,AI$1,0)*$H114,0))</f>
        <v>0</v>
      </c>
      <c r="AJ114" s="9">
        <f>SUM(IFERROR(VLOOKUP($C:$C,Structure!$A:$AJ,AJ$1,0)*$D114,0),IFERROR(VLOOKUP($E:$E,Structure!$A:$AJ,AJ$1,0)*$F114,0),IFERROR(VLOOKUP($G:$G,Structure!$A:$AJ,AJ$1,0)*$H114,0))</f>
        <v>0</v>
      </c>
      <c r="AK114" s="9">
        <f>SUM(IFERROR(VLOOKUP($C:$C,Structure!$A:$AJ,AK$1,0)*$D114,0),IFERROR(VLOOKUP($E:$E,Structure!$A:$AJ,AK$1,0)*$F114,0),IFERROR(VLOOKUP($G:$G,Structure!$A:$AJ,AK$1,0)*$H114,0))</f>
        <v>0</v>
      </c>
      <c r="AL114" s="9">
        <f>SUM(IFERROR(VLOOKUP($C:$C,Structure!$A:$AJ,AL$1,0)*$D114,0),IFERROR(VLOOKUP($E:$E,Structure!$A:$AJ,AL$1,0)*$F114,0),IFERROR(VLOOKUP($G:$G,Structure!$A:$AJ,AL$1,0)*$H114,0))</f>
        <v>0</v>
      </c>
      <c r="AM114" s="9">
        <f>SUM(IFERROR(VLOOKUP($C:$C,Structure!$A:$AJ,AM$1,0)*$D114,0),IFERROR(VLOOKUP($E:$E,Structure!$A:$AJ,AM$1,0)*$F114,0),IFERROR(VLOOKUP($G:$G,Structure!$A:$AJ,AM$1,0)*$H114,0))</f>
        <v>0</v>
      </c>
      <c r="AN114" s="9">
        <f>SUM(IFERROR(VLOOKUP($C:$C,Structure!$A:$AJ,AN$1,0)*$D114,0),IFERROR(VLOOKUP($E:$E,Structure!$A:$AJ,AN$1,0)*$F114,0),IFERROR(VLOOKUP($G:$G,Structure!$A:$AJ,AN$1,0)*$H114,0))</f>
        <v>0</v>
      </c>
      <c r="AO114" s="9">
        <f>SUM(IFERROR(VLOOKUP($C:$C,Structure!$A:$AJ,AO$1,0)*$D114,0),IFERROR(VLOOKUP($E:$E,Structure!$A:$AJ,AO$1,0)*$F114,0),IFERROR(VLOOKUP($G:$G,Structure!$A:$AJ,AO$1,0)*$H114,0))</f>
        <v>0</v>
      </c>
      <c r="AP114" s="9">
        <f>SUM(IFERROR(VLOOKUP($C:$C,Structure!$A:$AJ,AP$1,0)*$D114,0),IFERROR(VLOOKUP($E:$E,Structure!$A:$AJ,AP$1,0)*$F114,0),IFERROR(VLOOKUP($G:$G,Structure!$A:$AJ,AP$1,0)*$H114,0))</f>
        <v>0</v>
      </c>
      <c r="AQ114" s="9">
        <f>SUM(IFERROR(VLOOKUP($C:$C,Structure!$A:$AJ,AQ$1,0)*$D114,0),IFERROR(VLOOKUP($E:$E,Structure!$A:$AJ,AQ$1,0)*$F114,0),IFERROR(VLOOKUP($G:$G,Structure!$A:$AJ,AQ$1,0)*$H114,0))</f>
        <v>0</v>
      </c>
      <c r="AR114" s="21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4">
        <f t="shared" si="127"/>
        <v>0</v>
      </c>
      <c r="CE114" s="4">
        <f t="shared" si="128"/>
        <v>-84</v>
      </c>
      <c r="CF114" s="4">
        <f t="shared" si="129"/>
        <v>4</v>
      </c>
      <c r="CG114" s="4">
        <f t="shared" si="130"/>
        <v>14</v>
      </c>
      <c r="CH114" s="4">
        <f t="shared" si="131"/>
        <v>-7</v>
      </c>
      <c r="CI114" s="4">
        <f t="shared" si="132"/>
        <v>127</v>
      </c>
      <c r="CJ114" s="4">
        <f t="shared" si="133"/>
        <v>-141</v>
      </c>
      <c r="CK114" s="4">
        <f t="shared" si="134"/>
        <v>95</v>
      </c>
      <c r="CL114" s="4">
        <f t="shared" si="135"/>
        <v>0</v>
      </c>
      <c r="CM114" s="4">
        <f t="shared" si="136"/>
        <v>6</v>
      </c>
      <c r="CN114" s="4">
        <f t="shared" si="137"/>
        <v>-28</v>
      </c>
      <c r="CO114" s="4">
        <f t="shared" si="138"/>
        <v>0</v>
      </c>
      <c r="CP114" s="4">
        <f t="shared" si="139"/>
        <v>103</v>
      </c>
      <c r="CQ114" s="4">
        <f t="shared" si="140"/>
        <v>-153</v>
      </c>
      <c r="CR114" s="4">
        <f t="shared" si="141"/>
        <v>15</v>
      </c>
      <c r="CS114" s="4">
        <f t="shared" si="142"/>
        <v>-24</v>
      </c>
      <c r="CT114" s="4">
        <f t="shared" si="143"/>
        <v>0</v>
      </c>
      <c r="CU114" s="4">
        <f t="shared" si="144"/>
        <v>0</v>
      </c>
      <c r="CV114" s="4">
        <f t="shared" si="145"/>
        <v>0</v>
      </c>
      <c r="CW114" s="4">
        <f t="shared" si="146"/>
        <v>0</v>
      </c>
      <c r="CX114" s="4">
        <f t="shared" si="147"/>
        <v>-110</v>
      </c>
      <c r="CY114" s="4">
        <f t="shared" si="148"/>
        <v>0</v>
      </c>
      <c r="CZ114" s="4">
        <f t="shared" si="149"/>
        <v>0</v>
      </c>
      <c r="DA114" s="4">
        <f t="shared" si="150"/>
        <v>0</v>
      </c>
      <c r="DB114" s="4">
        <f t="shared" si="151"/>
        <v>0</v>
      </c>
      <c r="DC114" s="4">
        <f t="shared" si="152"/>
        <v>0</v>
      </c>
      <c r="DD114" s="4">
        <f t="shared" si="153"/>
        <v>0</v>
      </c>
      <c r="DE114" s="4">
        <f t="shared" si="154"/>
        <v>0</v>
      </c>
      <c r="DF114" s="4">
        <f t="shared" si="155"/>
        <v>0</v>
      </c>
      <c r="DG114" s="4">
        <f t="shared" si="156"/>
        <v>0</v>
      </c>
      <c r="DH114" s="4">
        <f t="shared" si="157"/>
        <v>0</v>
      </c>
      <c r="DI114" s="4">
        <f t="shared" si="158"/>
        <v>0</v>
      </c>
      <c r="DJ114" s="4">
        <f t="shared" si="159"/>
        <v>0</v>
      </c>
      <c r="DK114" s="4">
        <f t="shared" si="160"/>
        <v>0</v>
      </c>
      <c r="DL114" s="4">
        <f t="shared" si="161"/>
        <v>0</v>
      </c>
    </row>
    <row r="115" spans="1:116" x14ac:dyDescent="0.25">
      <c r="A115" s="5">
        <v>46185</v>
      </c>
      <c r="B115" s="6">
        <v>0.64583333360496908</v>
      </c>
      <c r="C115" s="3"/>
      <c r="D115" s="3"/>
      <c r="E115" s="3" t="s">
        <v>25</v>
      </c>
      <c r="F115" s="3">
        <v>8</v>
      </c>
      <c r="G115" s="3"/>
      <c r="H115" s="9"/>
      <c r="I115" s="9">
        <f>SUM(IFERROR(VLOOKUP($C:$C,Structure!$A:$AJ,I$1,0)*$D115,0),IFERROR(VLOOKUP($E:$E,Structure!$A:$AJ,I$1,0)*$F115,0),IFERROR(VLOOKUP($G:$G,Structure!$A:$AJ,I$1,0)*$H115,0))</f>
        <v>0</v>
      </c>
      <c r="J115" s="9">
        <f>SUM(IFERROR(VLOOKUP($C:$C,Structure!$A:$AJ,J$1,0)*$D115,0),IFERROR(VLOOKUP($E:$E,Structure!$A:$AJ,J$1,0)*$F115,0),IFERROR(VLOOKUP($G:$G,Structure!$A:$AJ,J$1,0)*$H115,0))</f>
        <v>0</v>
      </c>
      <c r="K115" s="9">
        <f>SUM(IFERROR(VLOOKUP($C:$C,Structure!$A:$AJ,K$1,0)*$D115,0),IFERROR(VLOOKUP($E:$E,Structure!$A:$AJ,K$1,0)*$F115,0),IFERROR(VLOOKUP($G:$G,Structure!$A:$AJ,K$1,0)*$H115,0))</f>
        <v>0</v>
      </c>
      <c r="L115" s="9">
        <f>SUM(IFERROR(VLOOKUP($C:$C,Structure!$A:$AJ,L$1,0)*$D115,0),IFERROR(VLOOKUP($E:$E,Structure!$A:$AJ,L$1,0)*$F115,0),IFERROR(VLOOKUP($G:$G,Structure!$A:$AJ,L$1,0)*$H115,0))</f>
        <v>0</v>
      </c>
      <c r="M115" s="9">
        <f>SUM(IFERROR(VLOOKUP($C:$C,Structure!$A:$AJ,M$1,0)*$D115,0),IFERROR(VLOOKUP($E:$E,Structure!$A:$AJ,M$1,0)*$F115,0),IFERROR(VLOOKUP($G:$G,Structure!$A:$AJ,M$1,0)*$H115,0))</f>
        <v>0</v>
      </c>
      <c r="N115" s="9">
        <f>SUM(IFERROR(VLOOKUP($C:$C,Structure!$A:$AJ,N$1,0)*$D115,0),IFERROR(VLOOKUP($E:$E,Structure!$A:$AJ,N$1,0)*$F115,0),IFERROR(VLOOKUP($G:$G,Structure!$A:$AJ,N$1,0)*$H115,0))</f>
        <v>0</v>
      </c>
      <c r="O115" s="9">
        <f>SUM(IFERROR(VLOOKUP($C:$C,Structure!$A:$AJ,O$1,0)*$D115,0),IFERROR(VLOOKUP($E:$E,Structure!$A:$AJ,O$1,0)*$F115,0),IFERROR(VLOOKUP($G:$G,Structure!$A:$AJ,O$1,0)*$H115,0))</f>
        <v>0</v>
      </c>
      <c r="P115" s="9">
        <f>SUM(IFERROR(VLOOKUP($C:$C,Structure!$A:$AJ,P$1,0)*$D115,0),IFERROR(VLOOKUP($E:$E,Structure!$A:$AJ,P$1,0)*$F115,0),IFERROR(VLOOKUP($G:$G,Structure!$A:$AJ,P$1,0)*$H115,0))</f>
        <v>0</v>
      </c>
      <c r="Q115" s="9">
        <f>SUM(IFERROR(VLOOKUP($C:$C,Structure!$A:$AJ,Q$1,0)*$D115,0),IFERROR(VLOOKUP($E:$E,Structure!$A:$AJ,Q$1,0)*$F115,0),IFERROR(VLOOKUP($G:$G,Structure!$A:$AJ,Q$1,0)*$H115,0))</f>
        <v>0</v>
      </c>
      <c r="R115" s="9">
        <f>SUM(IFERROR(VLOOKUP($C:$C,Structure!$A:$AJ,R$1,0)*$D115,0),IFERROR(VLOOKUP($E:$E,Structure!$A:$AJ,R$1,0)*$F115,0),IFERROR(VLOOKUP($G:$G,Structure!$A:$AJ,R$1,0)*$H115,0))</f>
        <v>0</v>
      </c>
      <c r="S115" s="9">
        <f>SUM(IFERROR(VLOOKUP($C:$C,Structure!$A:$AJ,S$1,0)*$D115,0),IFERROR(VLOOKUP($E:$E,Structure!$A:$AJ,S$1,0)*$F115,0),IFERROR(VLOOKUP($G:$G,Structure!$A:$AJ,S$1,0)*$H115,0))</f>
        <v>0</v>
      </c>
      <c r="T115" s="9">
        <f>SUM(IFERROR(VLOOKUP($C:$C,Structure!$A:$AJ,T$1,0)*$D115,0),IFERROR(VLOOKUP($E:$E,Structure!$A:$AJ,T$1,0)*$F115,0),IFERROR(VLOOKUP($G:$G,Structure!$A:$AJ,T$1,0)*$H115,0))</f>
        <v>0</v>
      </c>
      <c r="U115" s="9">
        <f>SUM(IFERROR(VLOOKUP($C:$C,Structure!$A:$AJ,U$1,0)*$D115,0),IFERROR(VLOOKUP($E:$E,Structure!$A:$AJ,U$1,0)*$F115,0),IFERROR(VLOOKUP($G:$G,Structure!$A:$AJ,U$1,0)*$H115,0))</f>
        <v>8</v>
      </c>
      <c r="V115" s="9">
        <f>SUM(IFERROR(VLOOKUP($C:$C,Structure!$A:$AJ,V$1,0)*$D115,0),IFERROR(VLOOKUP($E:$E,Structure!$A:$AJ,V$1,0)*$F115,0),IFERROR(VLOOKUP($G:$G,Structure!$A:$AJ,V$1,0)*$H115,0))</f>
        <v>0</v>
      </c>
      <c r="W115" s="9">
        <f>SUM(IFERROR(VLOOKUP($C:$C,Structure!$A:$AJ,W$1,0)*$D115,0),IFERROR(VLOOKUP($E:$E,Structure!$A:$AJ,W$1,0)*$F115,0),IFERROR(VLOOKUP($G:$G,Structure!$A:$AJ,W$1,0)*$H115,0))</f>
        <v>0</v>
      </c>
      <c r="X115" s="9">
        <f>SUM(IFERROR(VLOOKUP($C:$C,Structure!$A:$AJ,X$1,0)*$D115,0),IFERROR(VLOOKUP($E:$E,Structure!$A:$AJ,X$1,0)*$F115,0),IFERROR(VLOOKUP($G:$G,Structure!$A:$AJ,X$1,0)*$H115,0))</f>
        <v>0</v>
      </c>
      <c r="Y115" s="9">
        <f>SUM(IFERROR(VLOOKUP($C:$C,Structure!$A:$AJ,Y$1,0)*$D115,0),IFERROR(VLOOKUP($E:$E,Structure!$A:$AJ,Y$1,0)*$F115,0),IFERROR(VLOOKUP($G:$G,Structure!$A:$AJ,Y$1,0)*$H115,0))</f>
        <v>0</v>
      </c>
      <c r="Z115" s="9">
        <f>SUM(IFERROR(VLOOKUP($C:$C,Structure!$A:$AJ,Z$1,0)*$D115,0),IFERROR(VLOOKUP($E:$E,Structure!$A:$AJ,Z$1,0)*$F115,0),IFERROR(VLOOKUP($G:$G,Structure!$A:$AJ,Z$1,0)*$H115,0))</f>
        <v>0</v>
      </c>
      <c r="AA115" s="9">
        <f>SUM(IFERROR(VLOOKUP($C:$C,Structure!$A:$AJ,AA$1,0)*$D115,0),IFERROR(VLOOKUP($E:$E,Structure!$A:$AJ,AA$1,0)*$F115,0),IFERROR(VLOOKUP($G:$G,Structure!$A:$AJ,AA$1,0)*$H115,0))</f>
        <v>0</v>
      </c>
      <c r="AB115" s="9">
        <f>SUM(IFERROR(VLOOKUP($C:$C,Structure!$A:$AJ,AB$1,0)*$D115,0),IFERROR(VLOOKUP($E:$E,Structure!$A:$AJ,AB$1,0)*$F115,0),IFERROR(VLOOKUP($G:$G,Structure!$A:$AJ,AB$1,0)*$H115,0))</f>
        <v>0</v>
      </c>
      <c r="AC115" s="9">
        <f>SUM(IFERROR(VLOOKUP($C:$C,Structure!$A:$AJ,AC$1,0)*$D115,0),IFERROR(VLOOKUP($E:$E,Structure!$A:$AJ,AC$1,0)*$F115,0),IFERROR(VLOOKUP($G:$G,Structure!$A:$AJ,AC$1,0)*$H115,0))</f>
        <v>8</v>
      </c>
      <c r="AD115" s="9">
        <f>SUM(IFERROR(VLOOKUP($C:$C,Structure!$A:$AJ,AD$1,0)*$D115,0),IFERROR(VLOOKUP($E:$E,Structure!$A:$AJ,AD$1,0)*$F115,0),IFERROR(VLOOKUP($G:$G,Structure!$A:$AJ,AD$1,0)*$H115,0))</f>
        <v>0</v>
      </c>
      <c r="AE115" s="9">
        <f>SUM(IFERROR(VLOOKUP($C:$C,Structure!$A:$AJ,AE$1,0)*$D115,0),IFERROR(VLOOKUP($E:$E,Structure!$A:$AJ,AE$1,0)*$F115,0),IFERROR(VLOOKUP($G:$G,Structure!$A:$AJ,AE$1,0)*$H115,0))</f>
        <v>0</v>
      </c>
      <c r="AF115" s="9">
        <f>SUM(IFERROR(VLOOKUP($C:$C,Structure!$A:$AJ,AF$1,0)*$D115,0),IFERROR(VLOOKUP($E:$E,Structure!$A:$AJ,AF$1,0)*$F115,0),IFERROR(VLOOKUP($G:$G,Structure!$A:$AJ,AF$1,0)*$H115,0))</f>
        <v>0</v>
      </c>
      <c r="AG115" s="9">
        <f>SUM(IFERROR(VLOOKUP($C:$C,Structure!$A:$AJ,AG$1,0)*$D115,0),IFERROR(VLOOKUP($E:$E,Structure!$A:$AJ,AG$1,0)*$F115,0),IFERROR(VLOOKUP($G:$G,Structure!$A:$AJ,AG$1,0)*$H115,0))</f>
        <v>0</v>
      </c>
      <c r="AH115" s="9">
        <f>SUM(IFERROR(VLOOKUP($C:$C,Structure!$A:$AJ,AH$1,0)*$D115,0),IFERROR(VLOOKUP($E:$E,Structure!$A:$AJ,AH$1,0)*$F115,0),IFERROR(VLOOKUP($G:$G,Structure!$A:$AJ,AH$1,0)*$H115,0))</f>
        <v>0</v>
      </c>
      <c r="AI115" s="9">
        <f>SUM(IFERROR(VLOOKUP($C:$C,Structure!$A:$AJ,AI$1,0)*$D115,0),IFERROR(VLOOKUP($E:$E,Structure!$A:$AJ,AI$1,0)*$F115,0),IFERROR(VLOOKUP($G:$G,Structure!$A:$AJ,AI$1,0)*$H115,0))</f>
        <v>0</v>
      </c>
      <c r="AJ115" s="9">
        <f>SUM(IFERROR(VLOOKUP($C:$C,Structure!$A:$AJ,AJ$1,0)*$D115,0),IFERROR(VLOOKUP($E:$E,Structure!$A:$AJ,AJ$1,0)*$F115,0),IFERROR(VLOOKUP($G:$G,Structure!$A:$AJ,AJ$1,0)*$H115,0))</f>
        <v>0</v>
      </c>
      <c r="AK115" s="9">
        <f>SUM(IFERROR(VLOOKUP($C:$C,Structure!$A:$AJ,AK$1,0)*$D115,0),IFERROR(VLOOKUP($E:$E,Structure!$A:$AJ,AK$1,0)*$F115,0),IFERROR(VLOOKUP($G:$G,Structure!$A:$AJ,AK$1,0)*$H115,0))</f>
        <v>0</v>
      </c>
      <c r="AL115" s="9">
        <f>SUM(IFERROR(VLOOKUP($C:$C,Structure!$A:$AJ,AL$1,0)*$D115,0),IFERROR(VLOOKUP($E:$E,Structure!$A:$AJ,AL$1,0)*$F115,0),IFERROR(VLOOKUP($G:$G,Structure!$A:$AJ,AL$1,0)*$H115,0))</f>
        <v>0</v>
      </c>
      <c r="AM115" s="9">
        <f>SUM(IFERROR(VLOOKUP($C:$C,Structure!$A:$AJ,AM$1,0)*$D115,0),IFERROR(VLOOKUP($E:$E,Structure!$A:$AJ,AM$1,0)*$F115,0),IFERROR(VLOOKUP($G:$G,Structure!$A:$AJ,AM$1,0)*$H115,0))</f>
        <v>0</v>
      </c>
      <c r="AN115" s="9">
        <f>SUM(IFERROR(VLOOKUP($C:$C,Structure!$A:$AJ,AN$1,0)*$D115,0),IFERROR(VLOOKUP($E:$E,Structure!$A:$AJ,AN$1,0)*$F115,0),IFERROR(VLOOKUP($G:$G,Structure!$A:$AJ,AN$1,0)*$H115,0))</f>
        <v>0</v>
      </c>
      <c r="AO115" s="9">
        <f>SUM(IFERROR(VLOOKUP($C:$C,Structure!$A:$AJ,AO$1,0)*$D115,0),IFERROR(VLOOKUP($E:$E,Structure!$A:$AJ,AO$1,0)*$F115,0),IFERROR(VLOOKUP($G:$G,Structure!$A:$AJ,AO$1,0)*$H115,0))</f>
        <v>0</v>
      </c>
      <c r="AP115" s="9">
        <f>SUM(IFERROR(VLOOKUP($C:$C,Structure!$A:$AJ,AP$1,0)*$D115,0),IFERROR(VLOOKUP($E:$E,Structure!$A:$AJ,AP$1,0)*$F115,0),IFERROR(VLOOKUP($G:$G,Structure!$A:$AJ,AP$1,0)*$H115,0))</f>
        <v>0</v>
      </c>
      <c r="AQ115" s="9">
        <f>SUM(IFERROR(VLOOKUP($C:$C,Structure!$A:$AJ,AQ$1,0)*$D115,0),IFERROR(VLOOKUP($E:$E,Structure!$A:$AJ,AQ$1,0)*$F115,0),IFERROR(VLOOKUP($G:$G,Structure!$A:$AJ,AQ$1,0)*$H115,0))</f>
        <v>0</v>
      </c>
      <c r="AR115" s="21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4">
        <f t="shared" si="127"/>
        <v>0</v>
      </c>
      <c r="CE115" s="4">
        <f t="shared" si="128"/>
        <v>-84</v>
      </c>
      <c r="CF115" s="4">
        <f t="shared" si="129"/>
        <v>4</v>
      </c>
      <c r="CG115" s="4">
        <f t="shared" si="130"/>
        <v>14</v>
      </c>
      <c r="CH115" s="4">
        <f t="shared" si="131"/>
        <v>-7</v>
      </c>
      <c r="CI115" s="4">
        <f t="shared" si="132"/>
        <v>127</v>
      </c>
      <c r="CJ115" s="4">
        <f t="shared" si="133"/>
        <v>-141</v>
      </c>
      <c r="CK115" s="4">
        <f t="shared" si="134"/>
        <v>95</v>
      </c>
      <c r="CL115" s="4">
        <f t="shared" si="135"/>
        <v>0</v>
      </c>
      <c r="CM115" s="4">
        <f t="shared" si="136"/>
        <v>6</v>
      </c>
      <c r="CN115" s="4">
        <f t="shared" si="137"/>
        <v>-28</v>
      </c>
      <c r="CO115" s="4">
        <f t="shared" si="138"/>
        <v>0</v>
      </c>
      <c r="CP115" s="4">
        <f t="shared" si="139"/>
        <v>95</v>
      </c>
      <c r="CQ115" s="4">
        <f t="shared" si="140"/>
        <v>-153</v>
      </c>
      <c r="CR115" s="4">
        <f t="shared" si="141"/>
        <v>15</v>
      </c>
      <c r="CS115" s="4">
        <f t="shared" si="142"/>
        <v>-24</v>
      </c>
      <c r="CT115" s="4">
        <f t="shared" si="143"/>
        <v>0</v>
      </c>
      <c r="CU115" s="4">
        <f t="shared" si="144"/>
        <v>0</v>
      </c>
      <c r="CV115" s="4">
        <f t="shared" si="145"/>
        <v>0</v>
      </c>
      <c r="CW115" s="4">
        <f t="shared" si="146"/>
        <v>0</v>
      </c>
      <c r="CX115" s="4">
        <f t="shared" si="147"/>
        <v>-118</v>
      </c>
      <c r="CY115" s="4">
        <f t="shared" si="148"/>
        <v>0</v>
      </c>
      <c r="CZ115" s="4">
        <f t="shared" si="149"/>
        <v>0</v>
      </c>
      <c r="DA115" s="4">
        <f t="shared" si="150"/>
        <v>0</v>
      </c>
      <c r="DB115" s="4">
        <f t="shared" si="151"/>
        <v>0</v>
      </c>
      <c r="DC115" s="4">
        <f t="shared" si="152"/>
        <v>0</v>
      </c>
      <c r="DD115" s="4">
        <f t="shared" si="153"/>
        <v>0</v>
      </c>
      <c r="DE115" s="4">
        <f t="shared" si="154"/>
        <v>0</v>
      </c>
      <c r="DF115" s="4">
        <f t="shared" si="155"/>
        <v>0</v>
      </c>
      <c r="DG115" s="4">
        <f t="shared" si="156"/>
        <v>0</v>
      </c>
      <c r="DH115" s="4">
        <f t="shared" si="157"/>
        <v>0</v>
      </c>
      <c r="DI115" s="4">
        <f t="shared" si="158"/>
        <v>0</v>
      </c>
      <c r="DJ115" s="4">
        <f t="shared" si="159"/>
        <v>0</v>
      </c>
      <c r="DK115" s="4">
        <f t="shared" si="160"/>
        <v>0</v>
      </c>
      <c r="DL115" s="4">
        <f t="shared" si="161"/>
        <v>0</v>
      </c>
    </row>
    <row r="116" spans="1:116" x14ac:dyDescent="0.25">
      <c r="A116" s="5">
        <v>46185</v>
      </c>
      <c r="B116" s="6">
        <v>0.66666666694072774</v>
      </c>
      <c r="C116" s="3"/>
      <c r="D116" s="3"/>
      <c r="E116" s="3" t="s">
        <v>25</v>
      </c>
      <c r="F116" s="3">
        <v>8</v>
      </c>
      <c r="G116" s="3"/>
      <c r="H116" s="9"/>
      <c r="I116" s="9">
        <f>SUM(IFERROR(VLOOKUP($C:$C,Structure!$A:$AJ,I$1,0)*$D116,0),IFERROR(VLOOKUP($E:$E,Structure!$A:$AJ,I$1,0)*$F116,0),IFERROR(VLOOKUP($G:$G,Structure!$A:$AJ,I$1,0)*$H116,0))</f>
        <v>0</v>
      </c>
      <c r="J116" s="9">
        <f>SUM(IFERROR(VLOOKUP($C:$C,Structure!$A:$AJ,J$1,0)*$D116,0),IFERROR(VLOOKUP($E:$E,Structure!$A:$AJ,J$1,0)*$F116,0),IFERROR(VLOOKUP($G:$G,Structure!$A:$AJ,J$1,0)*$H116,0))</f>
        <v>0</v>
      </c>
      <c r="K116" s="9">
        <f>SUM(IFERROR(VLOOKUP($C:$C,Structure!$A:$AJ,K$1,0)*$D116,0),IFERROR(VLOOKUP($E:$E,Structure!$A:$AJ,K$1,0)*$F116,0),IFERROR(VLOOKUP($G:$G,Structure!$A:$AJ,K$1,0)*$H116,0))</f>
        <v>0</v>
      </c>
      <c r="L116" s="9">
        <f>SUM(IFERROR(VLOOKUP($C:$C,Structure!$A:$AJ,L$1,0)*$D116,0),IFERROR(VLOOKUP($E:$E,Structure!$A:$AJ,L$1,0)*$F116,0),IFERROR(VLOOKUP($G:$G,Structure!$A:$AJ,L$1,0)*$H116,0))</f>
        <v>0</v>
      </c>
      <c r="M116" s="9">
        <f>SUM(IFERROR(VLOOKUP($C:$C,Structure!$A:$AJ,M$1,0)*$D116,0),IFERROR(VLOOKUP($E:$E,Structure!$A:$AJ,M$1,0)*$F116,0),IFERROR(VLOOKUP($G:$G,Structure!$A:$AJ,M$1,0)*$H116,0))</f>
        <v>0</v>
      </c>
      <c r="N116" s="9">
        <f>SUM(IFERROR(VLOOKUP($C:$C,Structure!$A:$AJ,N$1,0)*$D116,0),IFERROR(VLOOKUP($E:$E,Structure!$A:$AJ,N$1,0)*$F116,0),IFERROR(VLOOKUP($G:$G,Structure!$A:$AJ,N$1,0)*$H116,0))</f>
        <v>0</v>
      </c>
      <c r="O116" s="9">
        <f>SUM(IFERROR(VLOOKUP($C:$C,Structure!$A:$AJ,O$1,0)*$D116,0),IFERROR(VLOOKUP($E:$E,Structure!$A:$AJ,O$1,0)*$F116,0),IFERROR(VLOOKUP($G:$G,Structure!$A:$AJ,O$1,0)*$H116,0))</f>
        <v>0</v>
      </c>
      <c r="P116" s="9">
        <f>SUM(IFERROR(VLOOKUP($C:$C,Structure!$A:$AJ,P$1,0)*$D116,0),IFERROR(VLOOKUP($E:$E,Structure!$A:$AJ,P$1,0)*$F116,0),IFERROR(VLOOKUP($G:$G,Structure!$A:$AJ,P$1,0)*$H116,0))</f>
        <v>0</v>
      </c>
      <c r="Q116" s="9">
        <f>SUM(IFERROR(VLOOKUP($C:$C,Structure!$A:$AJ,Q$1,0)*$D116,0),IFERROR(VLOOKUP($E:$E,Structure!$A:$AJ,Q$1,0)*$F116,0),IFERROR(VLOOKUP($G:$G,Structure!$A:$AJ,Q$1,0)*$H116,0))</f>
        <v>0</v>
      </c>
      <c r="R116" s="9">
        <f>SUM(IFERROR(VLOOKUP($C:$C,Structure!$A:$AJ,R$1,0)*$D116,0),IFERROR(VLOOKUP($E:$E,Structure!$A:$AJ,R$1,0)*$F116,0),IFERROR(VLOOKUP($G:$G,Structure!$A:$AJ,R$1,0)*$H116,0))</f>
        <v>0</v>
      </c>
      <c r="S116" s="9">
        <f>SUM(IFERROR(VLOOKUP($C:$C,Structure!$A:$AJ,S$1,0)*$D116,0),IFERROR(VLOOKUP($E:$E,Structure!$A:$AJ,S$1,0)*$F116,0),IFERROR(VLOOKUP($G:$G,Structure!$A:$AJ,S$1,0)*$H116,0))</f>
        <v>0</v>
      </c>
      <c r="T116" s="9">
        <f>SUM(IFERROR(VLOOKUP($C:$C,Structure!$A:$AJ,T$1,0)*$D116,0),IFERROR(VLOOKUP($E:$E,Structure!$A:$AJ,T$1,0)*$F116,0),IFERROR(VLOOKUP($G:$G,Structure!$A:$AJ,T$1,0)*$H116,0))</f>
        <v>0</v>
      </c>
      <c r="U116" s="9">
        <f>SUM(IFERROR(VLOOKUP($C:$C,Structure!$A:$AJ,U$1,0)*$D116,0),IFERROR(VLOOKUP($E:$E,Structure!$A:$AJ,U$1,0)*$F116,0),IFERROR(VLOOKUP($G:$G,Structure!$A:$AJ,U$1,0)*$H116,0))</f>
        <v>8</v>
      </c>
      <c r="V116" s="9">
        <f>SUM(IFERROR(VLOOKUP($C:$C,Structure!$A:$AJ,V$1,0)*$D116,0),IFERROR(VLOOKUP($E:$E,Structure!$A:$AJ,V$1,0)*$F116,0),IFERROR(VLOOKUP($G:$G,Structure!$A:$AJ,V$1,0)*$H116,0))</f>
        <v>0</v>
      </c>
      <c r="W116" s="9">
        <f>SUM(IFERROR(VLOOKUP($C:$C,Structure!$A:$AJ,W$1,0)*$D116,0),IFERROR(VLOOKUP($E:$E,Structure!$A:$AJ,W$1,0)*$F116,0),IFERROR(VLOOKUP($G:$G,Structure!$A:$AJ,W$1,0)*$H116,0))</f>
        <v>0</v>
      </c>
      <c r="X116" s="9">
        <f>SUM(IFERROR(VLOOKUP($C:$C,Structure!$A:$AJ,X$1,0)*$D116,0),IFERROR(VLOOKUP($E:$E,Structure!$A:$AJ,X$1,0)*$F116,0),IFERROR(VLOOKUP($G:$G,Structure!$A:$AJ,X$1,0)*$H116,0))</f>
        <v>0</v>
      </c>
      <c r="Y116" s="9">
        <f>SUM(IFERROR(VLOOKUP($C:$C,Structure!$A:$AJ,Y$1,0)*$D116,0),IFERROR(VLOOKUP($E:$E,Structure!$A:$AJ,Y$1,0)*$F116,0),IFERROR(VLOOKUP($G:$G,Structure!$A:$AJ,Y$1,0)*$H116,0))</f>
        <v>0</v>
      </c>
      <c r="Z116" s="9">
        <f>SUM(IFERROR(VLOOKUP($C:$C,Structure!$A:$AJ,Z$1,0)*$D116,0),IFERROR(VLOOKUP($E:$E,Structure!$A:$AJ,Z$1,0)*$F116,0),IFERROR(VLOOKUP($G:$G,Structure!$A:$AJ,Z$1,0)*$H116,0))</f>
        <v>0</v>
      </c>
      <c r="AA116" s="9">
        <f>SUM(IFERROR(VLOOKUP($C:$C,Structure!$A:$AJ,AA$1,0)*$D116,0),IFERROR(VLOOKUP($E:$E,Structure!$A:$AJ,AA$1,0)*$F116,0),IFERROR(VLOOKUP($G:$G,Structure!$A:$AJ,AA$1,0)*$H116,0))</f>
        <v>0</v>
      </c>
      <c r="AB116" s="9">
        <f>SUM(IFERROR(VLOOKUP($C:$C,Structure!$A:$AJ,AB$1,0)*$D116,0),IFERROR(VLOOKUP($E:$E,Structure!$A:$AJ,AB$1,0)*$F116,0),IFERROR(VLOOKUP($G:$G,Structure!$A:$AJ,AB$1,0)*$H116,0))</f>
        <v>0</v>
      </c>
      <c r="AC116" s="9">
        <f>SUM(IFERROR(VLOOKUP($C:$C,Structure!$A:$AJ,AC$1,0)*$D116,0),IFERROR(VLOOKUP($E:$E,Structure!$A:$AJ,AC$1,0)*$F116,0),IFERROR(VLOOKUP($G:$G,Structure!$A:$AJ,AC$1,0)*$H116,0))</f>
        <v>8</v>
      </c>
      <c r="AD116" s="9">
        <f>SUM(IFERROR(VLOOKUP($C:$C,Structure!$A:$AJ,AD$1,0)*$D116,0),IFERROR(VLOOKUP($E:$E,Structure!$A:$AJ,AD$1,0)*$F116,0),IFERROR(VLOOKUP($G:$G,Structure!$A:$AJ,AD$1,0)*$H116,0))</f>
        <v>0</v>
      </c>
      <c r="AE116" s="9">
        <f>SUM(IFERROR(VLOOKUP($C:$C,Structure!$A:$AJ,AE$1,0)*$D116,0),IFERROR(VLOOKUP($E:$E,Structure!$A:$AJ,AE$1,0)*$F116,0),IFERROR(VLOOKUP($G:$G,Structure!$A:$AJ,AE$1,0)*$H116,0))</f>
        <v>0</v>
      </c>
      <c r="AF116" s="9">
        <f>SUM(IFERROR(VLOOKUP($C:$C,Structure!$A:$AJ,AF$1,0)*$D116,0),IFERROR(VLOOKUP($E:$E,Structure!$A:$AJ,AF$1,0)*$F116,0),IFERROR(VLOOKUP($G:$G,Structure!$A:$AJ,AF$1,0)*$H116,0))</f>
        <v>0</v>
      </c>
      <c r="AG116" s="9">
        <f>SUM(IFERROR(VLOOKUP($C:$C,Structure!$A:$AJ,AG$1,0)*$D116,0),IFERROR(VLOOKUP($E:$E,Structure!$A:$AJ,AG$1,0)*$F116,0),IFERROR(VLOOKUP($G:$G,Structure!$A:$AJ,AG$1,0)*$H116,0))</f>
        <v>0</v>
      </c>
      <c r="AH116" s="9">
        <f>SUM(IFERROR(VLOOKUP($C:$C,Structure!$A:$AJ,AH$1,0)*$D116,0),IFERROR(VLOOKUP($E:$E,Structure!$A:$AJ,AH$1,0)*$F116,0),IFERROR(VLOOKUP($G:$G,Structure!$A:$AJ,AH$1,0)*$H116,0))</f>
        <v>0</v>
      </c>
      <c r="AI116" s="9">
        <f>SUM(IFERROR(VLOOKUP($C:$C,Structure!$A:$AJ,AI$1,0)*$D116,0),IFERROR(VLOOKUP($E:$E,Structure!$A:$AJ,AI$1,0)*$F116,0),IFERROR(VLOOKUP($G:$G,Structure!$A:$AJ,AI$1,0)*$H116,0))</f>
        <v>0</v>
      </c>
      <c r="AJ116" s="9">
        <f>SUM(IFERROR(VLOOKUP($C:$C,Structure!$A:$AJ,AJ$1,0)*$D116,0),IFERROR(VLOOKUP($E:$E,Structure!$A:$AJ,AJ$1,0)*$F116,0),IFERROR(VLOOKUP($G:$G,Structure!$A:$AJ,AJ$1,0)*$H116,0))</f>
        <v>0</v>
      </c>
      <c r="AK116" s="9">
        <f>SUM(IFERROR(VLOOKUP($C:$C,Structure!$A:$AJ,AK$1,0)*$D116,0),IFERROR(VLOOKUP($E:$E,Structure!$A:$AJ,AK$1,0)*$F116,0),IFERROR(VLOOKUP($G:$G,Structure!$A:$AJ,AK$1,0)*$H116,0))</f>
        <v>0</v>
      </c>
      <c r="AL116" s="9">
        <f>SUM(IFERROR(VLOOKUP($C:$C,Structure!$A:$AJ,AL$1,0)*$D116,0),IFERROR(VLOOKUP($E:$E,Structure!$A:$AJ,AL$1,0)*$F116,0),IFERROR(VLOOKUP($G:$G,Structure!$A:$AJ,AL$1,0)*$H116,0))</f>
        <v>0</v>
      </c>
      <c r="AM116" s="9">
        <f>SUM(IFERROR(VLOOKUP($C:$C,Structure!$A:$AJ,AM$1,0)*$D116,0),IFERROR(VLOOKUP($E:$E,Structure!$A:$AJ,AM$1,0)*$F116,0),IFERROR(VLOOKUP($G:$G,Structure!$A:$AJ,AM$1,0)*$H116,0))</f>
        <v>0</v>
      </c>
      <c r="AN116" s="9">
        <f>SUM(IFERROR(VLOOKUP($C:$C,Structure!$A:$AJ,AN$1,0)*$D116,0),IFERROR(VLOOKUP($E:$E,Structure!$A:$AJ,AN$1,0)*$F116,0),IFERROR(VLOOKUP($G:$G,Structure!$A:$AJ,AN$1,0)*$H116,0))</f>
        <v>0</v>
      </c>
      <c r="AO116" s="9">
        <f>SUM(IFERROR(VLOOKUP($C:$C,Structure!$A:$AJ,AO$1,0)*$D116,0),IFERROR(VLOOKUP($E:$E,Structure!$A:$AJ,AO$1,0)*$F116,0),IFERROR(VLOOKUP($G:$G,Structure!$A:$AJ,AO$1,0)*$H116,0))</f>
        <v>0</v>
      </c>
      <c r="AP116" s="9">
        <f>SUM(IFERROR(VLOOKUP($C:$C,Structure!$A:$AJ,AP$1,0)*$D116,0),IFERROR(VLOOKUP($E:$E,Structure!$A:$AJ,AP$1,0)*$F116,0),IFERROR(VLOOKUP($G:$G,Structure!$A:$AJ,AP$1,0)*$H116,0))</f>
        <v>0</v>
      </c>
      <c r="AQ116" s="9">
        <f>SUM(IFERROR(VLOOKUP($C:$C,Structure!$A:$AJ,AQ$1,0)*$D116,0),IFERROR(VLOOKUP($E:$E,Structure!$A:$AJ,AQ$1,0)*$F116,0),IFERROR(VLOOKUP($G:$G,Structure!$A:$AJ,AQ$1,0)*$H116,0))</f>
        <v>0</v>
      </c>
      <c r="AR116" s="21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4">
        <f t="shared" si="127"/>
        <v>0</v>
      </c>
      <c r="CE116" s="4">
        <f t="shared" si="128"/>
        <v>-84</v>
      </c>
      <c r="CF116" s="4">
        <f t="shared" si="129"/>
        <v>4</v>
      </c>
      <c r="CG116" s="4">
        <f t="shared" si="130"/>
        <v>14</v>
      </c>
      <c r="CH116" s="4">
        <f t="shared" si="131"/>
        <v>-7</v>
      </c>
      <c r="CI116" s="4">
        <f t="shared" si="132"/>
        <v>127</v>
      </c>
      <c r="CJ116" s="4">
        <f t="shared" si="133"/>
        <v>-141</v>
      </c>
      <c r="CK116" s="4">
        <f t="shared" si="134"/>
        <v>95</v>
      </c>
      <c r="CL116" s="4">
        <f t="shared" si="135"/>
        <v>0</v>
      </c>
      <c r="CM116" s="4">
        <f t="shared" si="136"/>
        <v>6</v>
      </c>
      <c r="CN116" s="4">
        <f t="shared" si="137"/>
        <v>-28</v>
      </c>
      <c r="CO116" s="4">
        <f t="shared" si="138"/>
        <v>0</v>
      </c>
      <c r="CP116" s="4">
        <f t="shared" si="139"/>
        <v>87</v>
      </c>
      <c r="CQ116" s="4">
        <f t="shared" si="140"/>
        <v>-153</v>
      </c>
      <c r="CR116" s="4">
        <f t="shared" si="141"/>
        <v>15</v>
      </c>
      <c r="CS116" s="4">
        <f t="shared" si="142"/>
        <v>-24</v>
      </c>
      <c r="CT116" s="4">
        <f t="shared" si="143"/>
        <v>0</v>
      </c>
      <c r="CU116" s="4">
        <f t="shared" si="144"/>
        <v>0</v>
      </c>
      <c r="CV116" s="4">
        <f t="shared" si="145"/>
        <v>0</v>
      </c>
      <c r="CW116" s="4">
        <f t="shared" si="146"/>
        <v>0</v>
      </c>
      <c r="CX116" s="4">
        <f t="shared" si="147"/>
        <v>-126</v>
      </c>
      <c r="CY116" s="4">
        <f t="shared" si="148"/>
        <v>0</v>
      </c>
      <c r="CZ116" s="4">
        <f t="shared" si="149"/>
        <v>0</v>
      </c>
      <c r="DA116" s="4">
        <f t="shared" si="150"/>
        <v>0</v>
      </c>
      <c r="DB116" s="4">
        <f t="shared" si="151"/>
        <v>0</v>
      </c>
      <c r="DC116" s="4">
        <f t="shared" si="152"/>
        <v>0</v>
      </c>
      <c r="DD116" s="4">
        <f t="shared" si="153"/>
        <v>0</v>
      </c>
      <c r="DE116" s="4">
        <f t="shared" si="154"/>
        <v>0</v>
      </c>
      <c r="DF116" s="4">
        <f t="shared" si="155"/>
        <v>0</v>
      </c>
      <c r="DG116" s="4">
        <f t="shared" si="156"/>
        <v>0</v>
      </c>
      <c r="DH116" s="4">
        <f t="shared" si="157"/>
        <v>0</v>
      </c>
      <c r="DI116" s="4">
        <f t="shared" si="158"/>
        <v>0</v>
      </c>
      <c r="DJ116" s="4">
        <f t="shared" si="159"/>
        <v>0</v>
      </c>
      <c r="DK116" s="4">
        <f t="shared" si="160"/>
        <v>0</v>
      </c>
      <c r="DL116" s="4">
        <f t="shared" si="161"/>
        <v>0</v>
      </c>
    </row>
    <row r="117" spans="1:116" x14ac:dyDescent="0.25">
      <c r="A117" s="5">
        <v>46185</v>
      </c>
      <c r="B117" s="6">
        <v>0.68750000027648639</v>
      </c>
      <c r="C117" s="3"/>
      <c r="D117" s="3"/>
      <c r="E117" s="3" t="s">
        <v>25</v>
      </c>
      <c r="F117" s="3">
        <v>8</v>
      </c>
      <c r="G117" s="3"/>
      <c r="H117" s="9"/>
      <c r="I117" s="9">
        <f>SUM(IFERROR(VLOOKUP($C:$C,Structure!$A:$AJ,I$1,0)*$D117,0),IFERROR(VLOOKUP($E:$E,Structure!$A:$AJ,I$1,0)*$F117,0),IFERROR(VLOOKUP($G:$G,Structure!$A:$AJ,I$1,0)*$H117,0))</f>
        <v>0</v>
      </c>
      <c r="J117" s="9">
        <f>SUM(IFERROR(VLOOKUP($C:$C,Structure!$A:$AJ,J$1,0)*$D117,0),IFERROR(VLOOKUP($E:$E,Structure!$A:$AJ,J$1,0)*$F117,0),IFERROR(VLOOKUP($G:$G,Structure!$A:$AJ,J$1,0)*$H117,0))</f>
        <v>0</v>
      </c>
      <c r="K117" s="9">
        <f>SUM(IFERROR(VLOOKUP($C:$C,Structure!$A:$AJ,K$1,0)*$D117,0),IFERROR(VLOOKUP($E:$E,Structure!$A:$AJ,K$1,0)*$F117,0),IFERROR(VLOOKUP($G:$G,Structure!$A:$AJ,K$1,0)*$H117,0))</f>
        <v>0</v>
      </c>
      <c r="L117" s="9">
        <f>SUM(IFERROR(VLOOKUP($C:$C,Structure!$A:$AJ,L$1,0)*$D117,0),IFERROR(VLOOKUP($E:$E,Structure!$A:$AJ,L$1,0)*$F117,0),IFERROR(VLOOKUP($G:$G,Structure!$A:$AJ,L$1,0)*$H117,0))</f>
        <v>0</v>
      </c>
      <c r="M117" s="9">
        <f>SUM(IFERROR(VLOOKUP($C:$C,Structure!$A:$AJ,M$1,0)*$D117,0),IFERROR(VLOOKUP($E:$E,Structure!$A:$AJ,M$1,0)*$F117,0),IFERROR(VLOOKUP($G:$G,Structure!$A:$AJ,M$1,0)*$H117,0))</f>
        <v>0</v>
      </c>
      <c r="N117" s="9">
        <f>SUM(IFERROR(VLOOKUP($C:$C,Structure!$A:$AJ,N$1,0)*$D117,0),IFERROR(VLOOKUP($E:$E,Structure!$A:$AJ,N$1,0)*$F117,0),IFERROR(VLOOKUP($G:$G,Structure!$A:$AJ,N$1,0)*$H117,0))</f>
        <v>0</v>
      </c>
      <c r="O117" s="9">
        <f>SUM(IFERROR(VLOOKUP($C:$C,Structure!$A:$AJ,O$1,0)*$D117,0),IFERROR(VLOOKUP($E:$E,Structure!$A:$AJ,O$1,0)*$F117,0),IFERROR(VLOOKUP($G:$G,Structure!$A:$AJ,O$1,0)*$H117,0))</f>
        <v>0</v>
      </c>
      <c r="P117" s="9">
        <f>SUM(IFERROR(VLOOKUP($C:$C,Structure!$A:$AJ,P$1,0)*$D117,0),IFERROR(VLOOKUP($E:$E,Structure!$A:$AJ,P$1,0)*$F117,0),IFERROR(VLOOKUP($G:$G,Structure!$A:$AJ,P$1,0)*$H117,0))</f>
        <v>0</v>
      </c>
      <c r="Q117" s="9">
        <f>SUM(IFERROR(VLOOKUP($C:$C,Structure!$A:$AJ,Q$1,0)*$D117,0),IFERROR(VLOOKUP($E:$E,Structure!$A:$AJ,Q$1,0)*$F117,0),IFERROR(VLOOKUP($G:$G,Structure!$A:$AJ,Q$1,0)*$H117,0))</f>
        <v>0</v>
      </c>
      <c r="R117" s="9">
        <f>SUM(IFERROR(VLOOKUP($C:$C,Structure!$A:$AJ,R$1,0)*$D117,0),IFERROR(VLOOKUP($E:$E,Structure!$A:$AJ,R$1,0)*$F117,0),IFERROR(VLOOKUP($G:$G,Structure!$A:$AJ,R$1,0)*$H117,0))</f>
        <v>0</v>
      </c>
      <c r="S117" s="9">
        <f>SUM(IFERROR(VLOOKUP($C:$C,Structure!$A:$AJ,S$1,0)*$D117,0),IFERROR(VLOOKUP($E:$E,Structure!$A:$AJ,S$1,0)*$F117,0),IFERROR(VLOOKUP($G:$G,Structure!$A:$AJ,S$1,0)*$H117,0))</f>
        <v>0</v>
      </c>
      <c r="T117" s="9">
        <f>SUM(IFERROR(VLOOKUP($C:$C,Structure!$A:$AJ,T$1,0)*$D117,0),IFERROR(VLOOKUP($E:$E,Structure!$A:$AJ,T$1,0)*$F117,0),IFERROR(VLOOKUP($G:$G,Structure!$A:$AJ,T$1,0)*$H117,0))</f>
        <v>0</v>
      </c>
      <c r="U117" s="9">
        <f>SUM(IFERROR(VLOOKUP($C:$C,Structure!$A:$AJ,U$1,0)*$D117,0),IFERROR(VLOOKUP($E:$E,Structure!$A:$AJ,U$1,0)*$F117,0),IFERROR(VLOOKUP($G:$G,Structure!$A:$AJ,U$1,0)*$H117,0))</f>
        <v>8</v>
      </c>
      <c r="V117" s="9">
        <f>SUM(IFERROR(VLOOKUP($C:$C,Structure!$A:$AJ,V$1,0)*$D117,0),IFERROR(VLOOKUP($E:$E,Structure!$A:$AJ,V$1,0)*$F117,0),IFERROR(VLOOKUP($G:$G,Structure!$A:$AJ,V$1,0)*$H117,0))</f>
        <v>0</v>
      </c>
      <c r="W117" s="9">
        <f>SUM(IFERROR(VLOOKUP($C:$C,Structure!$A:$AJ,W$1,0)*$D117,0),IFERROR(VLOOKUP($E:$E,Structure!$A:$AJ,W$1,0)*$F117,0),IFERROR(VLOOKUP($G:$G,Structure!$A:$AJ,W$1,0)*$H117,0))</f>
        <v>0</v>
      </c>
      <c r="X117" s="9">
        <f>SUM(IFERROR(VLOOKUP($C:$C,Structure!$A:$AJ,X$1,0)*$D117,0),IFERROR(VLOOKUP($E:$E,Structure!$A:$AJ,X$1,0)*$F117,0),IFERROR(VLOOKUP($G:$G,Structure!$A:$AJ,X$1,0)*$H117,0))</f>
        <v>0</v>
      </c>
      <c r="Y117" s="9">
        <f>SUM(IFERROR(VLOOKUP($C:$C,Structure!$A:$AJ,Y$1,0)*$D117,0),IFERROR(VLOOKUP($E:$E,Structure!$A:$AJ,Y$1,0)*$F117,0),IFERROR(VLOOKUP($G:$G,Structure!$A:$AJ,Y$1,0)*$H117,0))</f>
        <v>0</v>
      </c>
      <c r="Z117" s="9">
        <f>SUM(IFERROR(VLOOKUP($C:$C,Structure!$A:$AJ,Z$1,0)*$D117,0),IFERROR(VLOOKUP($E:$E,Structure!$A:$AJ,Z$1,0)*$F117,0),IFERROR(VLOOKUP($G:$G,Structure!$A:$AJ,Z$1,0)*$H117,0))</f>
        <v>0</v>
      </c>
      <c r="AA117" s="9">
        <f>SUM(IFERROR(VLOOKUP($C:$C,Structure!$A:$AJ,AA$1,0)*$D117,0),IFERROR(VLOOKUP($E:$E,Structure!$A:$AJ,AA$1,0)*$F117,0),IFERROR(VLOOKUP($G:$G,Structure!$A:$AJ,AA$1,0)*$H117,0))</f>
        <v>0</v>
      </c>
      <c r="AB117" s="9">
        <f>SUM(IFERROR(VLOOKUP($C:$C,Structure!$A:$AJ,AB$1,0)*$D117,0),IFERROR(VLOOKUP($E:$E,Structure!$A:$AJ,AB$1,0)*$F117,0),IFERROR(VLOOKUP($G:$G,Structure!$A:$AJ,AB$1,0)*$H117,0))</f>
        <v>0</v>
      </c>
      <c r="AC117" s="9">
        <f>SUM(IFERROR(VLOOKUP($C:$C,Structure!$A:$AJ,AC$1,0)*$D117,0),IFERROR(VLOOKUP($E:$E,Structure!$A:$AJ,AC$1,0)*$F117,0),IFERROR(VLOOKUP($G:$G,Structure!$A:$AJ,AC$1,0)*$H117,0))</f>
        <v>8</v>
      </c>
      <c r="AD117" s="9">
        <f>SUM(IFERROR(VLOOKUP($C:$C,Structure!$A:$AJ,AD$1,0)*$D117,0),IFERROR(VLOOKUP($E:$E,Structure!$A:$AJ,AD$1,0)*$F117,0),IFERROR(VLOOKUP($G:$G,Structure!$A:$AJ,AD$1,0)*$H117,0))</f>
        <v>0</v>
      </c>
      <c r="AE117" s="9">
        <f>SUM(IFERROR(VLOOKUP($C:$C,Structure!$A:$AJ,AE$1,0)*$D117,0),IFERROR(VLOOKUP($E:$E,Structure!$A:$AJ,AE$1,0)*$F117,0),IFERROR(VLOOKUP($G:$G,Structure!$A:$AJ,AE$1,0)*$H117,0))</f>
        <v>0</v>
      </c>
      <c r="AF117" s="9">
        <f>SUM(IFERROR(VLOOKUP($C:$C,Structure!$A:$AJ,AF$1,0)*$D117,0),IFERROR(VLOOKUP($E:$E,Structure!$A:$AJ,AF$1,0)*$F117,0),IFERROR(VLOOKUP($G:$G,Structure!$A:$AJ,AF$1,0)*$H117,0))</f>
        <v>0</v>
      </c>
      <c r="AG117" s="9">
        <f>SUM(IFERROR(VLOOKUP($C:$C,Structure!$A:$AJ,AG$1,0)*$D117,0),IFERROR(VLOOKUP($E:$E,Structure!$A:$AJ,AG$1,0)*$F117,0),IFERROR(VLOOKUP($G:$G,Structure!$A:$AJ,AG$1,0)*$H117,0))</f>
        <v>0</v>
      </c>
      <c r="AH117" s="9">
        <f>SUM(IFERROR(VLOOKUP($C:$C,Structure!$A:$AJ,AH$1,0)*$D117,0),IFERROR(VLOOKUP($E:$E,Structure!$A:$AJ,AH$1,0)*$F117,0),IFERROR(VLOOKUP($G:$G,Structure!$A:$AJ,AH$1,0)*$H117,0))</f>
        <v>0</v>
      </c>
      <c r="AI117" s="9">
        <f>SUM(IFERROR(VLOOKUP($C:$C,Structure!$A:$AJ,AI$1,0)*$D117,0),IFERROR(VLOOKUP($E:$E,Structure!$A:$AJ,AI$1,0)*$F117,0),IFERROR(VLOOKUP($G:$G,Structure!$A:$AJ,AI$1,0)*$H117,0))</f>
        <v>0</v>
      </c>
      <c r="AJ117" s="9">
        <f>SUM(IFERROR(VLOOKUP($C:$C,Structure!$A:$AJ,AJ$1,0)*$D117,0),IFERROR(VLOOKUP($E:$E,Structure!$A:$AJ,AJ$1,0)*$F117,0),IFERROR(VLOOKUP($G:$G,Structure!$A:$AJ,AJ$1,0)*$H117,0))</f>
        <v>0</v>
      </c>
      <c r="AK117" s="9">
        <f>SUM(IFERROR(VLOOKUP($C:$C,Structure!$A:$AJ,AK$1,0)*$D117,0),IFERROR(VLOOKUP($E:$E,Structure!$A:$AJ,AK$1,0)*$F117,0),IFERROR(VLOOKUP($G:$G,Structure!$A:$AJ,AK$1,0)*$H117,0))</f>
        <v>0</v>
      </c>
      <c r="AL117" s="9">
        <f>SUM(IFERROR(VLOOKUP($C:$C,Structure!$A:$AJ,AL$1,0)*$D117,0),IFERROR(VLOOKUP($E:$E,Structure!$A:$AJ,AL$1,0)*$F117,0),IFERROR(VLOOKUP($G:$G,Structure!$A:$AJ,AL$1,0)*$H117,0))</f>
        <v>0</v>
      </c>
      <c r="AM117" s="9">
        <f>SUM(IFERROR(VLOOKUP($C:$C,Structure!$A:$AJ,AM$1,0)*$D117,0),IFERROR(VLOOKUP($E:$E,Structure!$A:$AJ,AM$1,0)*$F117,0),IFERROR(VLOOKUP($G:$G,Structure!$A:$AJ,AM$1,0)*$H117,0))</f>
        <v>0</v>
      </c>
      <c r="AN117" s="9">
        <f>SUM(IFERROR(VLOOKUP($C:$C,Structure!$A:$AJ,AN$1,0)*$D117,0),IFERROR(VLOOKUP($E:$E,Structure!$A:$AJ,AN$1,0)*$F117,0),IFERROR(VLOOKUP($G:$G,Structure!$A:$AJ,AN$1,0)*$H117,0))</f>
        <v>0</v>
      </c>
      <c r="AO117" s="9">
        <f>SUM(IFERROR(VLOOKUP($C:$C,Structure!$A:$AJ,AO$1,0)*$D117,0),IFERROR(VLOOKUP($E:$E,Structure!$A:$AJ,AO$1,0)*$F117,0),IFERROR(VLOOKUP($G:$G,Structure!$A:$AJ,AO$1,0)*$H117,0))</f>
        <v>0</v>
      </c>
      <c r="AP117" s="9">
        <f>SUM(IFERROR(VLOOKUP($C:$C,Structure!$A:$AJ,AP$1,0)*$D117,0),IFERROR(VLOOKUP($E:$E,Structure!$A:$AJ,AP$1,0)*$F117,0),IFERROR(VLOOKUP($G:$G,Structure!$A:$AJ,AP$1,0)*$H117,0))</f>
        <v>0</v>
      </c>
      <c r="AQ117" s="9">
        <f>SUM(IFERROR(VLOOKUP($C:$C,Structure!$A:$AJ,AQ$1,0)*$D117,0),IFERROR(VLOOKUP($E:$E,Structure!$A:$AJ,AQ$1,0)*$F117,0),IFERROR(VLOOKUP($G:$G,Structure!$A:$AJ,AQ$1,0)*$H117,0))</f>
        <v>0</v>
      </c>
      <c r="AR117" s="21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4">
        <f t="shared" si="127"/>
        <v>0</v>
      </c>
      <c r="CE117" s="4">
        <f t="shared" si="128"/>
        <v>-84</v>
      </c>
      <c r="CF117" s="4">
        <f t="shared" si="129"/>
        <v>4</v>
      </c>
      <c r="CG117" s="4">
        <f t="shared" si="130"/>
        <v>14</v>
      </c>
      <c r="CH117" s="4">
        <f t="shared" si="131"/>
        <v>-7</v>
      </c>
      <c r="CI117" s="4">
        <f t="shared" si="132"/>
        <v>127</v>
      </c>
      <c r="CJ117" s="4">
        <f t="shared" si="133"/>
        <v>-141</v>
      </c>
      <c r="CK117" s="4">
        <f t="shared" si="134"/>
        <v>95</v>
      </c>
      <c r="CL117" s="4">
        <f t="shared" si="135"/>
        <v>0</v>
      </c>
      <c r="CM117" s="4">
        <f t="shared" si="136"/>
        <v>6</v>
      </c>
      <c r="CN117" s="4">
        <f t="shared" si="137"/>
        <v>-28</v>
      </c>
      <c r="CO117" s="4">
        <f t="shared" si="138"/>
        <v>0</v>
      </c>
      <c r="CP117" s="4">
        <f t="shared" si="139"/>
        <v>79</v>
      </c>
      <c r="CQ117" s="4">
        <f t="shared" si="140"/>
        <v>-153</v>
      </c>
      <c r="CR117" s="4">
        <f t="shared" si="141"/>
        <v>15</v>
      </c>
      <c r="CS117" s="4">
        <f t="shared" si="142"/>
        <v>-24</v>
      </c>
      <c r="CT117" s="4">
        <f t="shared" si="143"/>
        <v>0</v>
      </c>
      <c r="CU117" s="4">
        <f t="shared" si="144"/>
        <v>0</v>
      </c>
      <c r="CV117" s="4">
        <f t="shared" si="145"/>
        <v>0</v>
      </c>
      <c r="CW117" s="4">
        <f t="shared" si="146"/>
        <v>0</v>
      </c>
      <c r="CX117" s="4">
        <f t="shared" si="147"/>
        <v>-134</v>
      </c>
      <c r="CY117" s="4">
        <f t="shared" si="148"/>
        <v>0</v>
      </c>
      <c r="CZ117" s="4">
        <f t="shared" si="149"/>
        <v>0</v>
      </c>
      <c r="DA117" s="4">
        <f t="shared" si="150"/>
        <v>0</v>
      </c>
      <c r="DB117" s="4">
        <f t="shared" si="151"/>
        <v>0</v>
      </c>
      <c r="DC117" s="4">
        <f t="shared" si="152"/>
        <v>0</v>
      </c>
      <c r="DD117" s="4">
        <f t="shared" si="153"/>
        <v>0</v>
      </c>
      <c r="DE117" s="4">
        <f t="shared" si="154"/>
        <v>0</v>
      </c>
      <c r="DF117" s="4">
        <f t="shared" si="155"/>
        <v>0</v>
      </c>
      <c r="DG117" s="4">
        <f t="shared" si="156"/>
        <v>0</v>
      </c>
      <c r="DH117" s="4">
        <f t="shared" si="157"/>
        <v>0</v>
      </c>
      <c r="DI117" s="4">
        <f t="shared" si="158"/>
        <v>0</v>
      </c>
      <c r="DJ117" s="4">
        <f t="shared" si="159"/>
        <v>0</v>
      </c>
      <c r="DK117" s="4">
        <f t="shared" si="160"/>
        <v>0</v>
      </c>
      <c r="DL117" s="4">
        <f t="shared" si="161"/>
        <v>0</v>
      </c>
    </row>
    <row r="118" spans="1:116" x14ac:dyDescent="0.25">
      <c r="A118" s="5">
        <v>46185</v>
      </c>
      <c r="B118" s="6">
        <v>0.70833333361224504</v>
      </c>
      <c r="C118" s="3"/>
      <c r="D118" s="3"/>
      <c r="E118" s="3" t="s">
        <v>30</v>
      </c>
      <c r="F118" s="3">
        <v>1</v>
      </c>
      <c r="G118" s="3"/>
      <c r="H118" s="9"/>
      <c r="I118" s="9">
        <f>SUM(IFERROR(VLOOKUP($C:$C,Structure!$A:$AJ,I$1,0)*$D118,0),IFERROR(VLOOKUP($E:$E,Structure!$A:$AJ,I$1,0)*$F118,0),IFERROR(VLOOKUP($G:$G,Structure!$A:$AJ,I$1,0)*$H118,0))</f>
        <v>0</v>
      </c>
      <c r="J118" s="9">
        <f>SUM(IFERROR(VLOOKUP($C:$C,Structure!$A:$AJ,J$1,0)*$D118,0),IFERROR(VLOOKUP($E:$E,Structure!$A:$AJ,J$1,0)*$F118,0),IFERROR(VLOOKUP($G:$G,Structure!$A:$AJ,J$1,0)*$H118,0))</f>
        <v>0</v>
      </c>
      <c r="K118" s="9">
        <f>SUM(IFERROR(VLOOKUP($C:$C,Structure!$A:$AJ,K$1,0)*$D118,0),IFERROR(VLOOKUP($E:$E,Structure!$A:$AJ,K$1,0)*$F118,0),IFERROR(VLOOKUP($G:$G,Structure!$A:$AJ,K$1,0)*$H118,0))</f>
        <v>0</v>
      </c>
      <c r="L118" s="9">
        <f>SUM(IFERROR(VLOOKUP($C:$C,Structure!$A:$AJ,L$1,0)*$D118,0),IFERROR(VLOOKUP($E:$E,Structure!$A:$AJ,L$1,0)*$F118,0),IFERROR(VLOOKUP($G:$G,Structure!$A:$AJ,L$1,0)*$H118,0))</f>
        <v>0</v>
      </c>
      <c r="M118" s="9">
        <f>SUM(IFERROR(VLOOKUP($C:$C,Structure!$A:$AJ,M$1,0)*$D118,0),IFERROR(VLOOKUP($E:$E,Structure!$A:$AJ,M$1,0)*$F118,0),IFERROR(VLOOKUP($G:$G,Structure!$A:$AJ,M$1,0)*$H118,0))</f>
        <v>0</v>
      </c>
      <c r="N118" s="9">
        <f>SUM(IFERROR(VLOOKUP($C:$C,Structure!$A:$AJ,N$1,0)*$D118,0),IFERROR(VLOOKUP($E:$E,Structure!$A:$AJ,N$1,0)*$F118,0),IFERROR(VLOOKUP($G:$G,Structure!$A:$AJ,N$1,0)*$H118,0))</f>
        <v>0</v>
      </c>
      <c r="O118" s="9">
        <f>SUM(IFERROR(VLOOKUP($C:$C,Structure!$A:$AJ,O$1,0)*$D118,0),IFERROR(VLOOKUP($E:$E,Structure!$A:$AJ,O$1,0)*$F118,0),IFERROR(VLOOKUP($G:$G,Structure!$A:$AJ,O$1,0)*$H118,0))</f>
        <v>0</v>
      </c>
      <c r="P118" s="9">
        <f>SUM(IFERROR(VLOOKUP($C:$C,Structure!$A:$AJ,P$1,0)*$D118,0),IFERROR(VLOOKUP($E:$E,Structure!$A:$AJ,P$1,0)*$F118,0),IFERROR(VLOOKUP($G:$G,Structure!$A:$AJ,P$1,0)*$H118,0))</f>
        <v>0</v>
      </c>
      <c r="Q118" s="9">
        <f>SUM(IFERROR(VLOOKUP($C:$C,Structure!$A:$AJ,Q$1,0)*$D118,0),IFERROR(VLOOKUP($E:$E,Structure!$A:$AJ,Q$1,0)*$F118,0),IFERROR(VLOOKUP($G:$G,Structure!$A:$AJ,Q$1,0)*$H118,0))</f>
        <v>0</v>
      </c>
      <c r="R118" s="9">
        <f>SUM(IFERROR(VLOOKUP($C:$C,Structure!$A:$AJ,R$1,0)*$D118,0),IFERROR(VLOOKUP($E:$E,Structure!$A:$AJ,R$1,0)*$F118,0),IFERROR(VLOOKUP($G:$G,Structure!$A:$AJ,R$1,0)*$H118,0))</f>
        <v>0</v>
      </c>
      <c r="S118" s="9">
        <f>SUM(IFERROR(VLOOKUP($C:$C,Structure!$A:$AJ,S$1,0)*$D118,0),IFERROR(VLOOKUP($E:$E,Structure!$A:$AJ,S$1,0)*$F118,0),IFERROR(VLOOKUP($G:$G,Structure!$A:$AJ,S$1,0)*$H118,0))</f>
        <v>0</v>
      </c>
      <c r="T118" s="9">
        <f>SUM(IFERROR(VLOOKUP($C:$C,Structure!$A:$AJ,T$1,0)*$D118,0),IFERROR(VLOOKUP($E:$E,Structure!$A:$AJ,T$1,0)*$F118,0),IFERROR(VLOOKUP($G:$G,Structure!$A:$AJ,T$1,0)*$H118,0))</f>
        <v>0</v>
      </c>
      <c r="U118" s="9">
        <f>SUM(IFERROR(VLOOKUP($C:$C,Structure!$A:$AJ,U$1,0)*$D118,0),IFERROR(VLOOKUP($E:$E,Structure!$A:$AJ,U$1,0)*$F118,0),IFERROR(VLOOKUP($G:$G,Structure!$A:$AJ,U$1,0)*$H118,0))</f>
        <v>0</v>
      </c>
      <c r="V118" s="9">
        <f>SUM(IFERROR(VLOOKUP($C:$C,Structure!$A:$AJ,V$1,0)*$D118,0),IFERROR(VLOOKUP($E:$E,Structure!$A:$AJ,V$1,0)*$F118,0),IFERROR(VLOOKUP($G:$G,Structure!$A:$AJ,V$1,0)*$H118,0))</f>
        <v>1</v>
      </c>
      <c r="W118" s="9">
        <f>SUM(IFERROR(VLOOKUP($C:$C,Structure!$A:$AJ,W$1,0)*$D118,0),IFERROR(VLOOKUP($E:$E,Structure!$A:$AJ,W$1,0)*$F118,0),IFERROR(VLOOKUP($G:$G,Structure!$A:$AJ,W$1,0)*$H118,0))</f>
        <v>0</v>
      </c>
      <c r="X118" s="9">
        <f>SUM(IFERROR(VLOOKUP($C:$C,Structure!$A:$AJ,X$1,0)*$D118,0),IFERROR(VLOOKUP($E:$E,Structure!$A:$AJ,X$1,0)*$F118,0),IFERROR(VLOOKUP($G:$G,Structure!$A:$AJ,X$1,0)*$H118,0))</f>
        <v>0</v>
      </c>
      <c r="Y118" s="9">
        <f>SUM(IFERROR(VLOOKUP($C:$C,Structure!$A:$AJ,Y$1,0)*$D118,0),IFERROR(VLOOKUP($E:$E,Structure!$A:$AJ,Y$1,0)*$F118,0),IFERROR(VLOOKUP($G:$G,Structure!$A:$AJ,Y$1,0)*$H118,0))</f>
        <v>0</v>
      </c>
      <c r="Z118" s="9">
        <f>SUM(IFERROR(VLOOKUP($C:$C,Structure!$A:$AJ,Z$1,0)*$D118,0),IFERROR(VLOOKUP($E:$E,Structure!$A:$AJ,Z$1,0)*$F118,0),IFERROR(VLOOKUP($G:$G,Structure!$A:$AJ,Z$1,0)*$H118,0))</f>
        <v>0</v>
      </c>
      <c r="AA118" s="9">
        <f>SUM(IFERROR(VLOOKUP($C:$C,Structure!$A:$AJ,AA$1,0)*$D118,0),IFERROR(VLOOKUP($E:$E,Structure!$A:$AJ,AA$1,0)*$F118,0),IFERROR(VLOOKUP($G:$G,Structure!$A:$AJ,AA$1,0)*$H118,0))</f>
        <v>0</v>
      </c>
      <c r="AB118" s="9">
        <f>SUM(IFERROR(VLOOKUP($C:$C,Structure!$A:$AJ,AB$1,0)*$D118,0),IFERROR(VLOOKUP($E:$E,Structure!$A:$AJ,AB$1,0)*$F118,0),IFERROR(VLOOKUP($G:$G,Structure!$A:$AJ,AB$1,0)*$H118,0))</f>
        <v>0</v>
      </c>
      <c r="AC118" s="9">
        <f>SUM(IFERROR(VLOOKUP($C:$C,Structure!$A:$AJ,AC$1,0)*$D118,0),IFERROR(VLOOKUP($E:$E,Structure!$A:$AJ,AC$1,0)*$F118,0),IFERROR(VLOOKUP($G:$G,Structure!$A:$AJ,AC$1,0)*$H118,0))</f>
        <v>1</v>
      </c>
      <c r="AD118" s="9">
        <f>SUM(IFERROR(VLOOKUP($C:$C,Structure!$A:$AJ,AD$1,0)*$D118,0),IFERROR(VLOOKUP($E:$E,Structure!$A:$AJ,AD$1,0)*$F118,0),IFERROR(VLOOKUP($G:$G,Structure!$A:$AJ,AD$1,0)*$H118,0))</f>
        <v>0</v>
      </c>
      <c r="AE118" s="9">
        <f>SUM(IFERROR(VLOOKUP($C:$C,Structure!$A:$AJ,AE$1,0)*$D118,0),IFERROR(VLOOKUP($E:$E,Structure!$A:$AJ,AE$1,0)*$F118,0),IFERROR(VLOOKUP($G:$G,Structure!$A:$AJ,AE$1,0)*$H118,0))</f>
        <v>0</v>
      </c>
      <c r="AF118" s="9">
        <f>SUM(IFERROR(VLOOKUP($C:$C,Structure!$A:$AJ,AF$1,0)*$D118,0),IFERROR(VLOOKUP($E:$E,Structure!$A:$AJ,AF$1,0)*$F118,0),IFERROR(VLOOKUP($G:$G,Structure!$A:$AJ,AF$1,0)*$H118,0))</f>
        <v>0</v>
      </c>
      <c r="AG118" s="9">
        <f>SUM(IFERROR(VLOOKUP($C:$C,Structure!$A:$AJ,AG$1,0)*$D118,0),IFERROR(VLOOKUP($E:$E,Structure!$A:$AJ,AG$1,0)*$F118,0),IFERROR(VLOOKUP($G:$G,Structure!$A:$AJ,AG$1,0)*$H118,0))</f>
        <v>0</v>
      </c>
      <c r="AH118" s="9">
        <f>SUM(IFERROR(VLOOKUP($C:$C,Structure!$A:$AJ,AH$1,0)*$D118,0),IFERROR(VLOOKUP($E:$E,Structure!$A:$AJ,AH$1,0)*$F118,0),IFERROR(VLOOKUP($G:$G,Structure!$A:$AJ,AH$1,0)*$H118,0))</f>
        <v>0</v>
      </c>
      <c r="AI118" s="9">
        <f>SUM(IFERROR(VLOOKUP($C:$C,Structure!$A:$AJ,AI$1,0)*$D118,0),IFERROR(VLOOKUP($E:$E,Structure!$A:$AJ,AI$1,0)*$F118,0),IFERROR(VLOOKUP($G:$G,Structure!$A:$AJ,AI$1,0)*$H118,0))</f>
        <v>0</v>
      </c>
      <c r="AJ118" s="9">
        <f>SUM(IFERROR(VLOOKUP($C:$C,Structure!$A:$AJ,AJ$1,0)*$D118,0),IFERROR(VLOOKUP($E:$E,Structure!$A:$AJ,AJ$1,0)*$F118,0),IFERROR(VLOOKUP($G:$G,Structure!$A:$AJ,AJ$1,0)*$H118,0))</f>
        <v>0</v>
      </c>
      <c r="AK118" s="9">
        <f>SUM(IFERROR(VLOOKUP($C:$C,Structure!$A:$AJ,AK$1,0)*$D118,0),IFERROR(VLOOKUP($E:$E,Structure!$A:$AJ,AK$1,0)*$F118,0),IFERROR(VLOOKUP($G:$G,Structure!$A:$AJ,AK$1,0)*$H118,0))</f>
        <v>0</v>
      </c>
      <c r="AL118" s="9">
        <f>SUM(IFERROR(VLOOKUP($C:$C,Structure!$A:$AJ,AL$1,0)*$D118,0),IFERROR(VLOOKUP($E:$E,Structure!$A:$AJ,AL$1,0)*$F118,0),IFERROR(VLOOKUP($G:$G,Structure!$A:$AJ,AL$1,0)*$H118,0))</f>
        <v>0</v>
      </c>
      <c r="AM118" s="9">
        <f>SUM(IFERROR(VLOOKUP($C:$C,Structure!$A:$AJ,AM$1,0)*$D118,0),IFERROR(VLOOKUP($E:$E,Structure!$A:$AJ,AM$1,0)*$F118,0),IFERROR(VLOOKUP($G:$G,Structure!$A:$AJ,AM$1,0)*$H118,0))</f>
        <v>0</v>
      </c>
      <c r="AN118" s="9">
        <f>SUM(IFERROR(VLOOKUP($C:$C,Structure!$A:$AJ,AN$1,0)*$D118,0),IFERROR(VLOOKUP($E:$E,Structure!$A:$AJ,AN$1,0)*$F118,0),IFERROR(VLOOKUP($G:$G,Structure!$A:$AJ,AN$1,0)*$H118,0))</f>
        <v>0</v>
      </c>
      <c r="AO118" s="9">
        <f>SUM(IFERROR(VLOOKUP($C:$C,Structure!$A:$AJ,AO$1,0)*$D118,0),IFERROR(VLOOKUP($E:$E,Structure!$A:$AJ,AO$1,0)*$F118,0),IFERROR(VLOOKUP($G:$G,Structure!$A:$AJ,AO$1,0)*$H118,0))</f>
        <v>0</v>
      </c>
      <c r="AP118" s="9">
        <f>SUM(IFERROR(VLOOKUP($C:$C,Structure!$A:$AJ,AP$1,0)*$D118,0),IFERROR(VLOOKUP($E:$E,Structure!$A:$AJ,AP$1,0)*$F118,0),IFERROR(VLOOKUP($G:$G,Structure!$A:$AJ,AP$1,0)*$H118,0))</f>
        <v>0</v>
      </c>
      <c r="AQ118" s="9">
        <f>SUM(IFERROR(VLOOKUP($C:$C,Structure!$A:$AJ,AQ$1,0)*$D118,0),IFERROR(VLOOKUP($E:$E,Structure!$A:$AJ,AQ$1,0)*$F118,0),IFERROR(VLOOKUP($G:$G,Structure!$A:$AJ,AQ$1,0)*$H118,0))</f>
        <v>0</v>
      </c>
      <c r="AR118" s="21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4">
        <f t="shared" si="127"/>
        <v>0</v>
      </c>
      <c r="CE118" s="4">
        <f t="shared" si="128"/>
        <v>-84</v>
      </c>
      <c r="CF118" s="4">
        <f t="shared" si="129"/>
        <v>4</v>
      </c>
      <c r="CG118" s="4">
        <f t="shared" si="130"/>
        <v>14</v>
      </c>
      <c r="CH118" s="4">
        <f t="shared" si="131"/>
        <v>-7</v>
      </c>
      <c r="CI118" s="4">
        <f t="shared" si="132"/>
        <v>127</v>
      </c>
      <c r="CJ118" s="4">
        <f t="shared" si="133"/>
        <v>-141</v>
      </c>
      <c r="CK118" s="4">
        <f t="shared" si="134"/>
        <v>95</v>
      </c>
      <c r="CL118" s="4">
        <f t="shared" si="135"/>
        <v>0</v>
      </c>
      <c r="CM118" s="4">
        <f t="shared" si="136"/>
        <v>6</v>
      </c>
      <c r="CN118" s="4">
        <f t="shared" si="137"/>
        <v>-28</v>
      </c>
      <c r="CO118" s="4">
        <f t="shared" si="138"/>
        <v>0</v>
      </c>
      <c r="CP118" s="4">
        <f t="shared" si="139"/>
        <v>79</v>
      </c>
      <c r="CQ118" s="4">
        <f t="shared" si="140"/>
        <v>-154</v>
      </c>
      <c r="CR118" s="4">
        <f t="shared" si="141"/>
        <v>15</v>
      </c>
      <c r="CS118" s="4">
        <f t="shared" si="142"/>
        <v>-24</v>
      </c>
      <c r="CT118" s="4">
        <f t="shared" si="143"/>
        <v>0</v>
      </c>
      <c r="CU118" s="4">
        <f t="shared" si="144"/>
        <v>0</v>
      </c>
      <c r="CV118" s="4">
        <f t="shared" si="145"/>
        <v>0</v>
      </c>
      <c r="CW118" s="4">
        <f t="shared" si="146"/>
        <v>0</v>
      </c>
      <c r="CX118" s="4">
        <f t="shared" si="147"/>
        <v>-135</v>
      </c>
      <c r="CY118" s="4">
        <f t="shared" si="148"/>
        <v>0</v>
      </c>
      <c r="CZ118" s="4">
        <f t="shared" si="149"/>
        <v>0</v>
      </c>
      <c r="DA118" s="4">
        <f t="shared" si="150"/>
        <v>0</v>
      </c>
      <c r="DB118" s="4">
        <f t="shared" si="151"/>
        <v>0</v>
      </c>
      <c r="DC118" s="4">
        <f t="shared" si="152"/>
        <v>0</v>
      </c>
      <c r="DD118" s="4">
        <f t="shared" si="153"/>
        <v>0</v>
      </c>
      <c r="DE118" s="4">
        <f t="shared" si="154"/>
        <v>0</v>
      </c>
      <c r="DF118" s="4">
        <f t="shared" si="155"/>
        <v>0</v>
      </c>
      <c r="DG118" s="4">
        <f t="shared" si="156"/>
        <v>0</v>
      </c>
      <c r="DH118" s="4">
        <f t="shared" si="157"/>
        <v>0</v>
      </c>
      <c r="DI118" s="4">
        <f t="shared" si="158"/>
        <v>0</v>
      </c>
      <c r="DJ118" s="4">
        <f t="shared" si="159"/>
        <v>0</v>
      </c>
      <c r="DK118" s="4">
        <f t="shared" si="160"/>
        <v>0</v>
      </c>
      <c r="DL118" s="4">
        <f t="shared" si="161"/>
        <v>0</v>
      </c>
    </row>
    <row r="119" spans="1:116" x14ac:dyDescent="0.25">
      <c r="A119" s="5">
        <v>46185</v>
      </c>
      <c r="B119" s="6">
        <v>0.72916666694800369</v>
      </c>
      <c r="C119" s="3"/>
      <c r="D119" s="3"/>
      <c r="E119" s="3" t="s">
        <v>25</v>
      </c>
      <c r="F119" s="3">
        <v>8</v>
      </c>
      <c r="G119" s="3"/>
      <c r="H119" s="9"/>
      <c r="I119" s="9">
        <f>SUM(IFERROR(VLOOKUP($C:$C,Structure!$A:$AJ,I$1,0)*$D119,0),IFERROR(VLOOKUP($E:$E,Structure!$A:$AJ,I$1,0)*$F119,0),IFERROR(VLOOKUP($G:$G,Structure!$A:$AJ,I$1,0)*$H119,0))</f>
        <v>0</v>
      </c>
      <c r="J119" s="9">
        <f>SUM(IFERROR(VLOOKUP($C:$C,Structure!$A:$AJ,J$1,0)*$D119,0),IFERROR(VLOOKUP($E:$E,Structure!$A:$AJ,J$1,0)*$F119,0),IFERROR(VLOOKUP($G:$G,Structure!$A:$AJ,J$1,0)*$H119,0))</f>
        <v>0</v>
      </c>
      <c r="K119" s="9">
        <f>SUM(IFERROR(VLOOKUP($C:$C,Structure!$A:$AJ,K$1,0)*$D119,0),IFERROR(VLOOKUP($E:$E,Structure!$A:$AJ,K$1,0)*$F119,0),IFERROR(VLOOKUP($G:$G,Structure!$A:$AJ,K$1,0)*$H119,0))</f>
        <v>0</v>
      </c>
      <c r="L119" s="9">
        <f>SUM(IFERROR(VLOOKUP($C:$C,Structure!$A:$AJ,L$1,0)*$D119,0),IFERROR(VLOOKUP($E:$E,Structure!$A:$AJ,L$1,0)*$F119,0),IFERROR(VLOOKUP($G:$G,Structure!$A:$AJ,L$1,0)*$H119,0))</f>
        <v>0</v>
      </c>
      <c r="M119" s="9">
        <f>SUM(IFERROR(VLOOKUP($C:$C,Structure!$A:$AJ,M$1,0)*$D119,0),IFERROR(VLOOKUP($E:$E,Structure!$A:$AJ,M$1,0)*$F119,0),IFERROR(VLOOKUP($G:$G,Structure!$A:$AJ,M$1,0)*$H119,0))</f>
        <v>0</v>
      </c>
      <c r="N119" s="9">
        <f>SUM(IFERROR(VLOOKUP($C:$C,Structure!$A:$AJ,N$1,0)*$D119,0),IFERROR(VLOOKUP($E:$E,Structure!$A:$AJ,N$1,0)*$F119,0),IFERROR(VLOOKUP($G:$G,Structure!$A:$AJ,N$1,0)*$H119,0))</f>
        <v>0</v>
      </c>
      <c r="O119" s="9">
        <f>SUM(IFERROR(VLOOKUP($C:$C,Structure!$A:$AJ,O$1,0)*$D119,0),IFERROR(VLOOKUP($E:$E,Structure!$A:$AJ,O$1,0)*$F119,0),IFERROR(VLOOKUP($G:$G,Structure!$A:$AJ,O$1,0)*$H119,0))</f>
        <v>0</v>
      </c>
      <c r="P119" s="9">
        <f>SUM(IFERROR(VLOOKUP($C:$C,Structure!$A:$AJ,P$1,0)*$D119,0),IFERROR(VLOOKUP($E:$E,Structure!$A:$AJ,P$1,0)*$F119,0),IFERROR(VLOOKUP($G:$G,Structure!$A:$AJ,P$1,0)*$H119,0))</f>
        <v>0</v>
      </c>
      <c r="Q119" s="9">
        <f>SUM(IFERROR(VLOOKUP($C:$C,Structure!$A:$AJ,Q$1,0)*$D119,0),IFERROR(VLOOKUP($E:$E,Structure!$A:$AJ,Q$1,0)*$F119,0),IFERROR(VLOOKUP($G:$G,Structure!$A:$AJ,Q$1,0)*$H119,0))</f>
        <v>0</v>
      </c>
      <c r="R119" s="9">
        <f>SUM(IFERROR(VLOOKUP($C:$C,Structure!$A:$AJ,R$1,0)*$D119,0),IFERROR(VLOOKUP($E:$E,Structure!$A:$AJ,R$1,0)*$F119,0),IFERROR(VLOOKUP($G:$G,Structure!$A:$AJ,R$1,0)*$H119,0))</f>
        <v>0</v>
      </c>
      <c r="S119" s="9">
        <f>SUM(IFERROR(VLOOKUP($C:$C,Structure!$A:$AJ,S$1,0)*$D119,0),IFERROR(VLOOKUP($E:$E,Structure!$A:$AJ,S$1,0)*$F119,0),IFERROR(VLOOKUP($G:$G,Structure!$A:$AJ,S$1,0)*$H119,0))</f>
        <v>0</v>
      </c>
      <c r="T119" s="9">
        <f>SUM(IFERROR(VLOOKUP($C:$C,Structure!$A:$AJ,T$1,0)*$D119,0),IFERROR(VLOOKUP($E:$E,Structure!$A:$AJ,T$1,0)*$F119,0),IFERROR(VLOOKUP($G:$G,Structure!$A:$AJ,T$1,0)*$H119,0))</f>
        <v>0</v>
      </c>
      <c r="U119" s="9">
        <f>SUM(IFERROR(VLOOKUP($C:$C,Structure!$A:$AJ,U$1,0)*$D119,0),IFERROR(VLOOKUP($E:$E,Structure!$A:$AJ,U$1,0)*$F119,0),IFERROR(VLOOKUP($G:$G,Structure!$A:$AJ,U$1,0)*$H119,0))</f>
        <v>8</v>
      </c>
      <c r="V119" s="9">
        <f>SUM(IFERROR(VLOOKUP($C:$C,Structure!$A:$AJ,V$1,0)*$D119,0),IFERROR(VLOOKUP($E:$E,Structure!$A:$AJ,V$1,0)*$F119,0),IFERROR(VLOOKUP($G:$G,Structure!$A:$AJ,V$1,0)*$H119,0))</f>
        <v>0</v>
      </c>
      <c r="W119" s="9">
        <f>SUM(IFERROR(VLOOKUP($C:$C,Structure!$A:$AJ,W$1,0)*$D119,0),IFERROR(VLOOKUP($E:$E,Structure!$A:$AJ,W$1,0)*$F119,0),IFERROR(VLOOKUP($G:$G,Structure!$A:$AJ,W$1,0)*$H119,0))</f>
        <v>0</v>
      </c>
      <c r="X119" s="9">
        <f>SUM(IFERROR(VLOOKUP($C:$C,Structure!$A:$AJ,X$1,0)*$D119,0),IFERROR(VLOOKUP($E:$E,Structure!$A:$AJ,X$1,0)*$F119,0),IFERROR(VLOOKUP($G:$G,Structure!$A:$AJ,X$1,0)*$H119,0))</f>
        <v>0</v>
      </c>
      <c r="Y119" s="9">
        <f>SUM(IFERROR(VLOOKUP($C:$C,Structure!$A:$AJ,Y$1,0)*$D119,0),IFERROR(VLOOKUP($E:$E,Structure!$A:$AJ,Y$1,0)*$F119,0),IFERROR(VLOOKUP($G:$G,Structure!$A:$AJ,Y$1,0)*$H119,0))</f>
        <v>0</v>
      </c>
      <c r="Z119" s="9">
        <f>SUM(IFERROR(VLOOKUP($C:$C,Structure!$A:$AJ,Z$1,0)*$D119,0),IFERROR(VLOOKUP($E:$E,Structure!$A:$AJ,Z$1,0)*$F119,0),IFERROR(VLOOKUP($G:$G,Structure!$A:$AJ,Z$1,0)*$H119,0))</f>
        <v>0</v>
      </c>
      <c r="AA119" s="9">
        <f>SUM(IFERROR(VLOOKUP($C:$C,Structure!$A:$AJ,AA$1,0)*$D119,0),IFERROR(VLOOKUP($E:$E,Structure!$A:$AJ,AA$1,0)*$F119,0),IFERROR(VLOOKUP($G:$G,Structure!$A:$AJ,AA$1,0)*$H119,0))</f>
        <v>0</v>
      </c>
      <c r="AB119" s="9">
        <f>SUM(IFERROR(VLOOKUP($C:$C,Structure!$A:$AJ,AB$1,0)*$D119,0),IFERROR(VLOOKUP($E:$E,Structure!$A:$AJ,AB$1,0)*$F119,0),IFERROR(VLOOKUP($G:$G,Structure!$A:$AJ,AB$1,0)*$H119,0))</f>
        <v>0</v>
      </c>
      <c r="AC119" s="9">
        <f>SUM(IFERROR(VLOOKUP($C:$C,Structure!$A:$AJ,AC$1,0)*$D119,0),IFERROR(VLOOKUP($E:$E,Structure!$A:$AJ,AC$1,0)*$F119,0),IFERROR(VLOOKUP($G:$G,Structure!$A:$AJ,AC$1,0)*$H119,0))</f>
        <v>8</v>
      </c>
      <c r="AD119" s="9">
        <f>SUM(IFERROR(VLOOKUP($C:$C,Structure!$A:$AJ,AD$1,0)*$D119,0),IFERROR(VLOOKUP($E:$E,Structure!$A:$AJ,AD$1,0)*$F119,0),IFERROR(VLOOKUP($G:$G,Structure!$A:$AJ,AD$1,0)*$H119,0))</f>
        <v>0</v>
      </c>
      <c r="AE119" s="9">
        <f>SUM(IFERROR(VLOOKUP($C:$C,Structure!$A:$AJ,AE$1,0)*$D119,0),IFERROR(VLOOKUP($E:$E,Structure!$A:$AJ,AE$1,0)*$F119,0),IFERROR(VLOOKUP($G:$G,Structure!$A:$AJ,AE$1,0)*$H119,0))</f>
        <v>0</v>
      </c>
      <c r="AF119" s="9">
        <f>SUM(IFERROR(VLOOKUP($C:$C,Structure!$A:$AJ,AF$1,0)*$D119,0),IFERROR(VLOOKUP($E:$E,Structure!$A:$AJ,AF$1,0)*$F119,0),IFERROR(VLOOKUP($G:$G,Structure!$A:$AJ,AF$1,0)*$H119,0))</f>
        <v>0</v>
      </c>
      <c r="AG119" s="9">
        <f>SUM(IFERROR(VLOOKUP($C:$C,Structure!$A:$AJ,AG$1,0)*$D119,0),IFERROR(VLOOKUP($E:$E,Structure!$A:$AJ,AG$1,0)*$F119,0),IFERROR(VLOOKUP($G:$G,Structure!$A:$AJ,AG$1,0)*$H119,0))</f>
        <v>0</v>
      </c>
      <c r="AH119" s="9">
        <f>SUM(IFERROR(VLOOKUP($C:$C,Structure!$A:$AJ,AH$1,0)*$D119,0),IFERROR(VLOOKUP($E:$E,Structure!$A:$AJ,AH$1,0)*$F119,0),IFERROR(VLOOKUP($G:$G,Structure!$A:$AJ,AH$1,0)*$H119,0))</f>
        <v>0</v>
      </c>
      <c r="AI119" s="9">
        <f>SUM(IFERROR(VLOOKUP($C:$C,Structure!$A:$AJ,AI$1,0)*$D119,0),IFERROR(VLOOKUP($E:$E,Structure!$A:$AJ,AI$1,0)*$F119,0),IFERROR(VLOOKUP($G:$G,Structure!$A:$AJ,AI$1,0)*$H119,0))</f>
        <v>0</v>
      </c>
      <c r="AJ119" s="9">
        <f>SUM(IFERROR(VLOOKUP($C:$C,Structure!$A:$AJ,AJ$1,0)*$D119,0),IFERROR(VLOOKUP($E:$E,Structure!$A:$AJ,AJ$1,0)*$F119,0),IFERROR(VLOOKUP($G:$G,Structure!$A:$AJ,AJ$1,0)*$H119,0))</f>
        <v>0</v>
      </c>
      <c r="AK119" s="9">
        <f>SUM(IFERROR(VLOOKUP($C:$C,Structure!$A:$AJ,AK$1,0)*$D119,0),IFERROR(VLOOKUP($E:$E,Structure!$A:$AJ,AK$1,0)*$F119,0),IFERROR(VLOOKUP($G:$G,Structure!$A:$AJ,AK$1,0)*$H119,0))</f>
        <v>0</v>
      </c>
      <c r="AL119" s="9">
        <f>SUM(IFERROR(VLOOKUP($C:$C,Structure!$A:$AJ,AL$1,0)*$D119,0),IFERROR(VLOOKUP($E:$E,Structure!$A:$AJ,AL$1,0)*$F119,0),IFERROR(VLOOKUP($G:$G,Structure!$A:$AJ,AL$1,0)*$H119,0))</f>
        <v>0</v>
      </c>
      <c r="AM119" s="9">
        <f>SUM(IFERROR(VLOOKUP($C:$C,Structure!$A:$AJ,AM$1,0)*$D119,0),IFERROR(VLOOKUP($E:$E,Structure!$A:$AJ,AM$1,0)*$F119,0),IFERROR(VLOOKUP($G:$G,Structure!$A:$AJ,AM$1,0)*$H119,0))</f>
        <v>0</v>
      </c>
      <c r="AN119" s="9">
        <f>SUM(IFERROR(VLOOKUP($C:$C,Structure!$A:$AJ,AN$1,0)*$D119,0),IFERROR(VLOOKUP($E:$E,Structure!$A:$AJ,AN$1,0)*$F119,0),IFERROR(VLOOKUP($G:$G,Structure!$A:$AJ,AN$1,0)*$H119,0))</f>
        <v>0</v>
      </c>
      <c r="AO119" s="9">
        <f>SUM(IFERROR(VLOOKUP($C:$C,Structure!$A:$AJ,AO$1,0)*$D119,0),IFERROR(VLOOKUP($E:$E,Structure!$A:$AJ,AO$1,0)*$F119,0),IFERROR(VLOOKUP($G:$G,Structure!$A:$AJ,AO$1,0)*$H119,0))</f>
        <v>0</v>
      </c>
      <c r="AP119" s="9">
        <f>SUM(IFERROR(VLOOKUP($C:$C,Structure!$A:$AJ,AP$1,0)*$D119,0),IFERROR(VLOOKUP($E:$E,Structure!$A:$AJ,AP$1,0)*$F119,0),IFERROR(VLOOKUP($G:$G,Structure!$A:$AJ,AP$1,0)*$H119,0))</f>
        <v>0</v>
      </c>
      <c r="AQ119" s="9">
        <f>SUM(IFERROR(VLOOKUP($C:$C,Structure!$A:$AJ,AQ$1,0)*$D119,0),IFERROR(VLOOKUP($E:$E,Structure!$A:$AJ,AQ$1,0)*$F119,0),IFERROR(VLOOKUP($G:$G,Structure!$A:$AJ,AQ$1,0)*$H119,0))</f>
        <v>0</v>
      </c>
      <c r="AR119" s="21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4">
        <f t="shared" si="127"/>
        <v>0</v>
      </c>
      <c r="CE119" s="4">
        <f t="shared" si="128"/>
        <v>-84</v>
      </c>
      <c r="CF119" s="4">
        <f t="shared" si="129"/>
        <v>4</v>
      </c>
      <c r="CG119" s="4">
        <f t="shared" si="130"/>
        <v>14</v>
      </c>
      <c r="CH119" s="4">
        <f t="shared" si="131"/>
        <v>-7</v>
      </c>
      <c r="CI119" s="4">
        <f t="shared" si="132"/>
        <v>127</v>
      </c>
      <c r="CJ119" s="4">
        <f t="shared" si="133"/>
        <v>-141</v>
      </c>
      <c r="CK119" s="4">
        <f t="shared" si="134"/>
        <v>95</v>
      </c>
      <c r="CL119" s="4">
        <f t="shared" si="135"/>
        <v>0</v>
      </c>
      <c r="CM119" s="4">
        <f t="shared" si="136"/>
        <v>6</v>
      </c>
      <c r="CN119" s="4">
        <f t="shared" si="137"/>
        <v>-28</v>
      </c>
      <c r="CO119" s="4">
        <f t="shared" si="138"/>
        <v>0</v>
      </c>
      <c r="CP119" s="4">
        <f t="shared" si="139"/>
        <v>71</v>
      </c>
      <c r="CQ119" s="4">
        <f t="shared" si="140"/>
        <v>-154</v>
      </c>
      <c r="CR119" s="4">
        <f t="shared" si="141"/>
        <v>15</v>
      </c>
      <c r="CS119" s="4">
        <f t="shared" si="142"/>
        <v>-24</v>
      </c>
      <c r="CT119" s="4">
        <f t="shared" si="143"/>
        <v>0</v>
      </c>
      <c r="CU119" s="4">
        <f t="shared" si="144"/>
        <v>0</v>
      </c>
      <c r="CV119" s="4">
        <f t="shared" si="145"/>
        <v>0</v>
      </c>
      <c r="CW119" s="4">
        <f t="shared" si="146"/>
        <v>0</v>
      </c>
      <c r="CX119" s="4">
        <f t="shared" si="147"/>
        <v>-143</v>
      </c>
      <c r="CY119" s="4">
        <f t="shared" si="148"/>
        <v>0</v>
      </c>
      <c r="CZ119" s="4">
        <f t="shared" si="149"/>
        <v>0</v>
      </c>
      <c r="DA119" s="4">
        <f t="shared" si="150"/>
        <v>0</v>
      </c>
      <c r="DB119" s="4">
        <f t="shared" si="151"/>
        <v>0</v>
      </c>
      <c r="DC119" s="4">
        <f t="shared" si="152"/>
        <v>0</v>
      </c>
      <c r="DD119" s="4">
        <f t="shared" si="153"/>
        <v>0</v>
      </c>
      <c r="DE119" s="4">
        <f t="shared" si="154"/>
        <v>0</v>
      </c>
      <c r="DF119" s="4">
        <f t="shared" si="155"/>
        <v>0</v>
      </c>
      <c r="DG119" s="4">
        <f t="shared" si="156"/>
        <v>0</v>
      </c>
      <c r="DH119" s="4">
        <f t="shared" si="157"/>
        <v>0</v>
      </c>
      <c r="DI119" s="4">
        <f t="shared" si="158"/>
        <v>0</v>
      </c>
      <c r="DJ119" s="4">
        <f t="shared" si="159"/>
        <v>0</v>
      </c>
      <c r="DK119" s="4">
        <f t="shared" si="160"/>
        <v>0</v>
      </c>
      <c r="DL119" s="4">
        <f t="shared" si="161"/>
        <v>0</v>
      </c>
    </row>
    <row r="120" spans="1:116" x14ac:dyDescent="0.25">
      <c r="A120" s="5">
        <v>46185</v>
      </c>
      <c r="B120" s="6">
        <v>0.75000000028376235</v>
      </c>
      <c r="C120" s="3"/>
      <c r="D120" s="3"/>
      <c r="E120" s="3" t="s">
        <v>25</v>
      </c>
      <c r="F120" s="3">
        <v>8</v>
      </c>
      <c r="G120" s="3"/>
      <c r="H120" s="9"/>
      <c r="I120" s="9">
        <f>SUM(IFERROR(VLOOKUP($C:$C,Structure!$A:$AJ,I$1,0)*$D120,0),IFERROR(VLOOKUP($E:$E,Structure!$A:$AJ,I$1,0)*$F120,0),IFERROR(VLOOKUP($G:$G,Structure!$A:$AJ,I$1,0)*$H120,0))</f>
        <v>0</v>
      </c>
      <c r="J120" s="9">
        <f>SUM(IFERROR(VLOOKUP($C:$C,Structure!$A:$AJ,J$1,0)*$D120,0),IFERROR(VLOOKUP($E:$E,Structure!$A:$AJ,J$1,0)*$F120,0),IFERROR(VLOOKUP($G:$G,Structure!$A:$AJ,J$1,0)*$H120,0))</f>
        <v>0</v>
      </c>
      <c r="K120" s="9">
        <f>SUM(IFERROR(VLOOKUP($C:$C,Structure!$A:$AJ,K$1,0)*$D120,0),IFERROR(VLOOKUP($E:$E,Structure!$A:$AJ,K$1,0)*$F120,0),IFERROR(VLOOKUP($G:$G,Structure!$A:$AJ,K$1,0)*$H120,0))</f>
        <v>0</v>
      </c>
      <c r="L120" s="9">
        <f>SUM(IFERROR(VLOOKUP($C:$C,Structure!$A:$AJ,L$1,0)*$D120,0),IFERROR(VLOOKUP($E:$E,Structure!$A:$AJ,L$1,0)*$F120,0),IFERROR(VLOOKUP($G:$G,Structure!$A:$AJ,L$1,0)*$H120,0))</f>
        <v>0</v>
      </c>
      <c r="M120" s="9">
        <f>SUM(IFERROR(VLOOKUP($C:$C,Structure!$A:$AJ,M$1,0)*$D120,0),IFERROR(VLOOKUP($E:$E,Structure!$A:$AJ,M$1,0)*$F120,0),IFERROR(VLOOKUP($G:$G,Structure!$A:$AJ,M$1,0)*$H120,0))</f>
        <v>0</v>
      </c>
      <c r="N120" s="9">
        <f>SUM(IFERROR(VLOOKUP($C:$C,Structure!$A:$AJ,N$1,0)*$D120,0),IFERROR(VLOOKUP($E:$E,Structure!$A:$AJ,N$1,0)*$F120,0),IFERROR(VLOOKUP($G:$G,Structure!$A:$AJ,N$1,0)*$H120,0))</f>
        <v>0</v>
      </c>
      <c r="O120" s="9">
        <f>SUM(IFERROR(VLOOKUP($C:$C,Structure!$A:$AJ,O$1,0)*$D120,0),IFERROR(VLOOKUP($E:$E,Structure!$A:$AJ,O$1,0)*$F120,0),IFERROR(VLOOKUP($G:$G,Structure!$A:$AJ,O$1,0)*$H120,0))</f>
        <v>0</v>
      </c>
      <c r="P120" s="9">
        <f>SUM(IFERROR(VLOOKUP($C:$C,Structure!$A:$AJ,P$1,0)*$D120,0),IFERROR(VLOOKUP($E:$E,Structure!$A:$AJ,P$1,0)*$F120,0),IFERROR(VLOOKUP($G:$G,Structure!$A:$AJ,P$1,0)*$H120,0))</f>
        <v>0</v>
      </c>
      <c r="Q120" s="9">
        <f>SUM(IFERROR(VLOOKUP($C:$C,Structure!$A:$AJ,Q$1,0)*$D120,0),IFERROR(VLOOKUP($E:$E,Structure!$A:$AJ,Q$1,0)*$F120,0),IFERROR(VLOOKUP($G:$G,Structure!$A:$AJ,Q$1,0)*$H120,0))</f>
        <v>0</v>
      </c>
      <c r="R120" s="9">
        <f>SUM(IFERROR(VLOOKUP($C:$C,Structure!$A:$AJ,R$1,0)*$D120,0),IFERROR(VLOOKUP($E:$E,Structure!$A:$AJ,R$1,0)*$F120,0),IFERROR(VLOOKUP($G:$G,Structure!$A:$AJ,R$1,0)*$H120,0))</f>
        <v>0</v>
      </c>
      <c r="S120" s="9">
        <f>SUM(IFERROR(VLOOKUP($C:$C,Structure!$A:$AJ,S$1,0)*$D120,0),IFERROR(VLOOKUP($E:$E,Structure!$A:$AJ,S$1,0)*$F120,0),IFERROR(VLOOKUP($G:$G,Structure!$A:$AJ,S$1,0)*$H120,0))</f>
        <v>0</v>
      </c>
      <c r="T120" s="9">
        <f>SUM(IFERROR(VLOOKUP($C:$C,Structure!$A:$AJ,T$1,0)*$D120,0),IFERROR(VLOOKUP($E:$E,Structure!$A:$AJ,T$1,0)*$F120,0),IFERROR(VLOOKUP($G:$G,Structure!$A:$AJ,T$1,0)*$H120,0))</f>
        <v>0</v>
      </c>
      <c r="U120" s="9">
        <f>SUM(IFERROR(VLOOKUP($C:$C,Structure!$A:$AJ,U$1,0)*$D120,0),IFERROR(VLOOKUP($E:$E,Structure!$A:$AJ,U$1,0)*$F120,0),IFERROR(VLOOKUP($G:$G,Structure!$A:$AJ,U$1,0)*$H120,0))</f>
        <v>8</v>
      </c>
      <c r="V120" s="9">
        <f>SUM(IFERROR(VLOOKUP($C:$C,Structure!$A:$AJ,V$1,0)*$D120,0),IFERROR(VLOOKUP($E:$E,Structure!$A:$AJ,V$1,0)*$F120,0),IFERROR(VLOOKUP($G:$G,Structure!$A:$AJ,V$1,0)*$H120,0))</f>
        <v>0</v>
      </c>
      <c r="W120" s="9">
        <f>SUM(IFERROR(VLOOKUP($C:$C,Structure!$A:$AJ,W$1,0)*$D120,0),IFERROR(VLOOKUP($E:$E,Structure!$A:$AJ,W$1,0)*$F120,0),IFERROR(VLOOKUP($G:$G,Structure!$A:$AJ,W$1,0)*$H120,0))</f>
        <v>0</v>
      </c>
      <c r="X120" s="9">
        <f>SUM(IFERROR(VLOOKUP($C:$C,Structure!$A:$AJ,X$1,0)*$D120,0),IFERROR(VLOOKUP($E:$E,Structure!$A:$AJ,X$1,0)*$F120,0),IFERROR(VLOOKUP($G:$G,Structure!$A:$AJ,X$1,0)*$H120,0))</f>
        <v>0</v>
      </c>
      <c r="Y120" s="9">
        <f>SUM(IFERROR(VLOOKUP($C:$C,Structure!$A:$AJ,Y$1,0)*$D120,0),IFERROR(VLOOKUP($E:$E,Structure!$A:$AJ,Y$1,0)*$F120,0),IFERROR(VLOOKUP($G:$G,Structure!$A:$AJ,Y$1,0)*$H120,0))</f>
        <v>0</v>
      </c>
      <c r="Z120" s="9">
        <f>SUM(IFERROR(VLOOKUP($C:$C,Structure!$A:$AJ,Z$1,0)*$D120,0),IFERROR(VLOOKUP($E:$E,Structure!$A:$AJ,Z$1,0)*$F120,0),IFERROR(VLOOKUP($G:$G,Structure!$A:$AJ,Z$1,0)*$H120,0))</f>
        <v>0</v>
      </c>
      <c r="AA120" s="9">
        <f>SUM(IFERROR(VLOOKUP($C:$C,Structure!$A:$AJ,AA$1,0)*$D120,0),IFERROR(VLOOKUP($E:$E,Structure!$A:$AJ,AA$1,0)*$F120,0),IFERROR(VLOOKUP($G:$G,Structure!$A:$AJ,AA$1,0)*$H120,0))</f>
        <v>0</v>
      </c>
      <c r="AB120" s="9">
        <f>SUM(IFERROR(VLOOKUP($C:$C,Structure!$A:$AJ,AB$1,0)*$D120,0),IFERROR(VLOOKUP($E:$E,Structure!$A:$AJ,AB$1,0)*$F120,0),IFERROR(VLOOKUP($G:$G,Structure!$A:$AJ,AB$1,0)*$H120,0))</f>
        <v>0</v>
      </c>
      <c r="AC120" s="9">
        <f>SUM(IFERROR(VLOOKUP($C:$C,Structure!$A:$AJ,AC$1,0)*$D120,0),IFERROR(VLOOKUP($E:$E,Structure!$A:$AJ,AC$1,0)*$F120,0),IFERROR(VLOOKUP($G:$G,Structure!$A:$AJ,AC$1,0)*$H120,0))</f>
        <v>8</v>
      </c>
      <c r="AD120" s="9">
        <f>SUM(IFERROR(VLOOKUP($C:$C,Structure!$A:$AJ,AD$1,0)*$D120,0),IFERROR(VLOOKUP($E:$E,Structure!$A:$AJ,AD$1,0)*$F120,0),IFERROR(VLOOKUP($G:$G,Structure!$A:$AJ,AD$1,0)*$H120,0))</f>
        <v>0</v>
      </c>
      <c r="AE120" s="9">
        <f>SUM(IFERROR(VLOOKUP($C:$C,Structure!$A:$AJ,AE$1,0)*$D120,0),IFERROR(VLOOKUP($E:$E,Structure!$A:$AJ,AE$1,0)*$F120,0),IFERROR(VLOOKUP($G:$G,Structure!$A:$AJ,AE$1,0)*$H120,0))</f>
        <v>0</v>
      </c>
      <c r="AF120" s="9">
        <f>SUM(IFERROR(VLOOKUP($C:$C,Structure!$A:$AJ,AF$1,0)*$D120,0),IFERROR(VLOOKUP($E:$E,Structure!$A:$AJ,AF$1,0)*$F120,0),IFERROR(VLOOKUP($G:$G,Structure!$A:$AJ,AF$1,0)*$H120,0))</f>
        <v>0</v>
      </c>
      <c r="AG120" s="9">
        <f>SUM(IFERROR(VLOOKUP($C:$C,Structure!$A:$AJ,AG$1,0)*$D120,0),IFERROR(VLOOKUP($E:$E,Structure!$A:$AJ,AG$1,0)*$F120,0),IFERROR(VLOOKUP($G:$G,Structure!$A:$AJ,AG$1,0)*$H120,0))</f>
        <v>0</v>
      </c>
      <c r="AH120" s="9">
        <f>SUM(IFERROR(VLOOKUP($C:$C,Structure!$A:$AJ,AH$1,0)*$D120,0),IFERROR(VLOOKUP($E:$E,Structure!$A:$AJ,AH$1,0)*$F120,0),IFERROR(VLOOKUP($G:$G,Structure!$A:$AJ,AH$1,0)*$H120,0))</f>
        <v>0</v>
      </c>
      <c r="AI120" s="9">
        <f>SUM(IFERROR(VLOOKUP($C:$C,Structure!$A:$AJ,AI$1,0)*$D120,0),IFERROR(VLOOKUP($E:$E,Structure!$A:$AJ,AI$1,0)*$F120,0),IFERROR(VLOOKUP($G:$G,Structure!$A:$AJ,AI$1,0)*$H120,0))</f>
        <v>0</v>
      </c>
      <c r="AJ120" s="9">
        <f>SUM(IFERROR(VLOOKUP($C:$C,Structure!$A:$AJ,AJ$1,0)*$D120,0),IFERROR(VLOOKUP($E:$E,Structure!$A:$AJ,AJ$1,0)*$F120,0),IFERROR(VLOOKUP($G:$G,Structure!$A:$AJ,AJ$1,0)*$H120,0))</f>
        <v>0</v>
      </c>
      <c r="AK120" s="9">
        <f>SUM(IFERROR(VLOOKUP($C:$C,Structure!$A:$AJ,AK$1,0)*$D120,0),IFERROR(VLOOKUP($E:$E,Structure!$A:$AJ,AK$1,0)*$F120,0),IFERROR(VLOOKUP($G:$G,Structure!$A:$AJ,AK$1,0)*$H120,0))</f>
        <v>0</v>
      </c>
      <c r="AL120" s="9">
        <f>SUM(IFERROR(VLOOKUP($C:$C,Structure!$A:$AJ,AL$1,0)*$D120,0),IFERROR(VLOOKUP($E:$E,Structure!$A:$AJ,AL$1,0)*$F120,0),IFERROR(VLOOKUP($G:$G,Structure!$A:$AJ,AL$1,0)*$H120,0))</f>
        <v>0</v>
      </c>
      <c r="AM120" s="9">
        <f>SUM(IFERROR(VLOOKUP($C:$C,Structure!$A:$AJ,AM$1,0)*$D120,0),IFERROR(VLOOKUP($E:$E,Structure!$A:$AJ,AM$1,0)*$F120,0),IFERROR(VLOOKUP($G:$G,Structure!$A:$AJ,AM$1,0)*$H120,0))</f>
        <v>0</v>
      </c>
      <c r="AN120" s="9">
        <f>SUM(IFERROR(VLOOKUP($C:$C,Structure!$A:$AJ,AN$1,0)*$D120,0),IFERROR(VLOOKUP($E:$E,Structure!$A:$AJ,AN$1,0)*$F120,0),IFERROR(VLOOKUP($G:$G,Structure!$A:$AJ,AN$1,0)*$H120,0))</f>
        <v>0</v>
      </c>
      <c r="AO120" s="9">
        <f>SUM(IFERROR(VLOOKUP($C:$C,Structure!$A:$AJ,AO$1,0)*$D120,0),IFERROR(VLOOKUP($E:$E,Structure!$A:$AJ,AO$1,0)*$F120,0),IFERROR(VLOOKUP($G:$G,Structure!$A:$AJ,AO$1,0)*$H120,0))</f>
        <v>0</v>
      </c>
      <c r="AP120" s="9">
        <f>SUM(IFERROR(VLOOKUP($C:$C,Structure!$A:$AJ,AP$1,0)*$D120,0),IFERROR(VLOOKUP($E:$E,Structure!$A:$AJ,AP$1,0)*$F120,0),IFERROR(VLOOKUP($G:$G,Structure!$A:$AJ,AP$1,0)*$H120,0))</f>
        <v>0</v>
      </c>
      <c r="AQ120" s="9">
        <f>SUM(IFERROR(VLOOKUP($C:$C,Structure!$A:$AJ,AQ$1,0)*$D120,0),IFERROR(VLOOKUP($E:$E,Structure!$A:$AJ,AQ$1,0)*$F120,0),IFERROR(VLOOKUP($G:$G,Structure!$A:$AJ,AQ$1,0)*$H120,0))</f>
        <v>0</v>
      </c>
      <c r="AR120" s="21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4">
        <f t="shared" si="127"/>
        <v>0</v>
      </c>
      <c r="CE120" s="4">
        <f t="shared" si="128"/>
        <v>-84</v>
      </c>
      <c r="CF120" s="4">
        <f t="shared" si="129"/>
        <v>4</v>
      </c>
      <c r="CG120" s="4">
        <f t="shared" si="130"/>
        <v>14</v>
      </c>
      <c r="CH120" s="4">
        <f t="shared" si="131"/>
        <v>-7</v>
      </c>
      <c r="CI120" s="4">
        <f t="shared" si="132"/>
        <v>127</v>
      </c>
      <c r="CJ120" s="4">
        <f t="shared" si="133"/>
        <v>-141</v>
      </c>
      <c r="CK120" s="4">
        <f t="shared" si="134"/>
        <v>95</v>
      </c>
      <c r="CL120" s="4">
        <f t="shared" si="135"/>
        <v>0</v>
      </c>
      <c r="CM120" s="4">
        <f t="shared" si="136"/>
        <v>6</v>
      </c>
      <c r="CN120" s="4">
        <f t="shared" si="137"/>
        <v>-28</v>
      </c>
      <c r="CO120" s="4">
        <f t="shared" si="138"/>
        <v>0</v>
      </c>
      <c r="CP120" s="4">
        <f t="shared" si="139"/>
        <v>63</v>
      </c>
      <c r="CQ120" s="4">
        <f t="shared" si="140"/>
        <v>-154</v>
      </c>
      <c r="CR120" s="4">
        <f t="shared" si="141"/>
        <v>15</v>
      </c>
      <c r="CS120" s="4">
        <f t="shared" si="142"/>
        <v>-24</v>
      </c>
      <c r="CT120" s="4">
        <f t="shared" si="143"/>
        <v>0</v>
      </c>
      <c r="CU120" s="4">
        <f t="shared" si="144"/>
        <v>0</v>
      </c>
      <c r="CV120" s="4">
        <f t="shared" si="145"/>
        <v>0</v>
      </c>
      <c r="CW120" s="4">
        <f t="shared" si="146"/>
        <v>0</v>
      </c>
      <c r="CX120" s="4">
        <f t="shared" si="147"/>
        <v>-151</v>
      </c>
      <c r="CY120" s="4">
        <f t="shared" si="148"/>
        <v>0</v>
      </c>
      <c r="CZ120" s="4">
        <f t="shared" si="149"/>
        <v>0</v>
      </c>
      <c r="DA120" s="4">
        <f t="shared" si="150"/>
        <v>0</v>
      </c>
      <c r="DB120" s="4">
        <f t="shared" si="151"/>
        <v>0</v>
      </c>
      <c r="DC120" s="4">
        <f t="shared" si="152"/>
        <v>0</v>
      </c>
      <c r="DD120" s="4">
        <f t="shared" si="153"/>
        <v>0</v>
      </c>
      <c r="DE120" s="4">
        <f t="shared" si="154"/>
        <v>0</v>
      </c>
      <c r="DF120" s="4">
        <f t="shared" si="155"/>
        <v>0</v>
      </c>
      <c r="DG120" s="4">
        <f t="shared" si="156"/>
        <v>0</v>
      </c>
      <c r="DH120" s="4">
        <f t="shared" si="157"/>
        <v>0</v>
      </c>
      <c r="DI120" s="4">
        <f t="shared" si="158"/>
        <v>0</v>
      </c>
      <c r="DJ120" s="4">
        <f t="shared" si="159"/>
        <v>0</v>
      </c>
      <c r="DK120" s="4">
        <f t="shared" si="160"/>
        <v>0</v>
      </c>
      <c r="DL120" s="4">
        <f t="shared" si="161"/>
        <v>0</v>
      </c>
    </row>
    <row r="121" spans="1:116" x14ac:dyDescent="0.25">
      <c r="A121" s="5">
        <v>46185</v>
      </c>
      <c r="B121" s="6">
        <v>0.770833333619521</v>
      </c>
      <c r="C121" s="3"/>
      <c r="D121" s="3"/>
      <c r="E121" s="3" t="s">
        <v>25</v>
      </c>
      <c r="F121" s="3">
        <v>8</v>
      </c>
      <c r="G121" s="3"/>
      <c r="H121" s="9"/>
      <c r="I121" s="9">
        <f>SUM(IFERROR(VLOOKUP($C:$C,Structure!$A:$AJ,I$1,0)*$D121,0),IFERROR(VLOOKUP($E:$E,Structure!$A:$AJ,I$1,0)*$F121,0),IFERROR(VLOOKUP($G:$G,Structure!$A:$AJ,I$1,0)*$H121,0))</f>
        <v>0</v>
      </c>
      <c r="J121" s="9">
        <f>SUM(IFERROR(VLOOKUP($C:$C,Structure!$A:$AJ,J$1,0)*$D121,0),IFERROR(VLOOKUP($E:$E,Structure!$A:$AJ,J$1,0)*$F121,0),IFERROR(VLOOKUP($G:$G,Structure!$A:$AJ,J$1,0)*$H121,0))</f>
        <v>0</v>
      </c>
      <c r="K121" s="9">
        <f>SUM(IFERROR(VLOOKUP($C:$C,Structure!$A:$AJ,K$1,0)*$D121,0),IFERROR(VLOOKUP($E:$E,Structure!$A:$AJ,K$1,0)*$F121,0),IFERROR(VLOOKUP($G:$G,Structure!$A:$AJ,K$1,0)*$H121,0))</f>
        <v>0</v>
      </c>
      <c r="L121" s="9">
        <f>SUM(IFERROR(VLOOKUP($C:$C,Structure!$A:$AJ,L$1,0)*$D121,0),IFERROR(VLOOKUP($E:$E,Structure!$A:$AJ,L$1,0)*$F121,0),IFERROR(VLOOKUP($G:$G,Structure!$A:$AJ,L$1,0)*$H121,0))</f>
        <v>0</v>
      </c>
      <c r="M121" s="9">
        <f>SUM(IFERROR(VLOOKUP($C:$C,Structure!$A:$AJ,M$1,0)*$D121,0),IFERROR(VLOOKUP($E:$E,Structure!$A:$AJ,M$1,0)*$F121,0),IFERROR(VLOOKUP($G:$G,Structure!$A:$AJ,M$1,0)*$H121,0))</f>
        <v>0</v>
      </c>
      <c r="N121" s="9">
        <f>SUM(IFERROR(VLOOKUP($C:$C,Structure!$A:$AJ,N$1,0)*$D121,0),IFERROR(VLOOKUP($E:$E,Structure!$A:$AJ,N$1,0)*$F121,0),IFERROR(VLOOKUP($G:$G,Structure!$A:$AJ,N$1,0)*$H121,0))</f>
        <v>0</v>
      </c>
      <c r="O121" s="9">
        <f>SUM(IFERROR(VLOOKUP($C:$C,Structure!$A:$AJ,O$1,0)*$D121,0),IFERROR(VLOOKUP($E:$E,Structure!$A:$AJ,O$1,0)*$F121,0),IFERROR(VLOOKUP($G:$G,Structure!$A:$AJ,O$1,0)*$H121,0))</f>
        <v>0</v>
      </c>
      <c r="P121" s="9">
        <f>SUM(IFERROR(VLOOKUP($C:$C,Structure!$A:$AJ,P$1,0)*$D121,0),IFERROR(VLOOKUP($E:$E,Structure!$A:$AJ,P$1,0)*$F121,0),IFERROR(VLOOKUP($G:$G,Structure!$A:$AJ,P$1,0)*$H121,0))</f>
        <v>0</v>
      </c>
      <c r="Q121" s="9">
        <f>SUM(IFERROR(VLOOKUP($C:$C,Structure!$A:$AJ,Q$1,0)*$D121,0),IFERROR(VLOOKUP($E:$E,Structure!$A:$AJ,Q$1,0)*$F121,0),IFERROR(VLOOKUP($G:$G,Structure!$A:$AJ,Q$1,0)*$H121,0))</f>
        <v>0</v>
      </c>
      <c r="R121" s="9">
        <f>SUM(IFERROR(VLOOKUP($C:$C,Structure!$A:$AJ,R$1,0)*$D121,0),IFERROR(VLOOKUP($E:$E,Structure!$A:$AJ,R$1,0)*$F121,0),IFERROR(VLOOKUP($G:$G,Structure!$A:$AJ,R$1,0)*$H121,0))</f>
        <v>0</v>
      </c>
      <c r="S121" s="9">
        <f>SUM(IFERROR(VLOOKUP($C:$C,Structure!$A:$AJ,S$1,0)*$D121,0),IFERROR(VLOOKUP($E:$E,Structure!$A:$AJ,S$1,0)*$F121,0),IFERROR(VLOOKUP($G:$G,Structure!$A:$AJ,S$1,0)*$H121,0))</f>
        <v>0</v>
      </c>
      <c r="T121" s="9">
        <f>SUM(IFERROR(VLOOKUP($C:$C,Structure!$A:$AJ,T$1,0)*$D121,0),IFERROR(VLOOKUP($E:$E,Structure!$A:$AJ,T$1,0)*$F121,0),IFERROR(VLOOKUP($G:$G,Structure!$A:$AJ,T$1,0)*$H121,0))</f>
        <v>0</v>
      </c>
      <c r="U121" s="9">
        <f>SUM(IFERROR(VLOOKUP($C:$C,Structure!$A:$AJ,U$1,0)*$D121,0),IFERROR(VLOOKUP($E:$E,Structure!$A:$AJ,U$1,0)*$F121,0),IFERROR(VLOOKUP($G:$G,Structure!$A:$AJ,U$1,0)*$H121,0))</f>
        <v>8</v>
      </c>
      <c r="V121" s="9">
        <f>SUM(IFERROR(VLOOKUP($C:$C,Structure!$A:$AJ,V$1,0)*$D121,0),IFERROR(VLOOKUP($E:$E,Structure!$A:$AJ,V$1,0)*$F121,0),IFERROR(VLOOKUP($G:$G,Structure!$A:$AJ,V$1,0)*$H121,0))</f>
        <v>0</v>
      </c>
      <c r="W121" s="9">
        <f>SUM(IFERROR(VLOOKUP($C:$C,Structure!$A:$AJ,W$1,0)*$D121,0),IFERROR(VLOOKUP($E:$E,Structure!$A:$AJ,W$1,0)*$F121,0),IFERROR(VLOOKUP($G:$G,Structure!$A:$AJ,W$1,0)*$H121,0))</f>
        <v>0</v>
      </c>
      <c r="X121" s="9">
        <f>SUM(IFERROR(VLOOKUP($C:$C,Structure!$A:$AJ,X$1,0)*$D121,0),IFERROR(VLOOKUP($E:$E,Structure!$A:$AJ,X$1,0)*$F121,0),IFERROR(VLOOKUP($G:$G,Structure!$A:$AJ,X$1,0)*$H121,0))</f>
        <v>0</v>
      </c>
      <c r="Y121" s="9">
        <f>SUM(IFERROR(VLOOKUP($C:$C,Structure!$A:$AJ,Y$1,0)*$D121,0),IFERROR(VLOOKUP($E:$E,Structure!$A:$AJ,Y$1,0)*$F121,0),IFERROR(VLOOKUP($G:$G,Structure!$A:$AJ,Y$1,0)*$H121,0))</f>
        <v>0</v>
      </c>
      <c r="Z121" s="9">
        <f>SUM(IFERROR(VLOOKUP($C:$C,Structure!$A:$AJ,Z$1,0)*$D121,0),IFERROR(VLOOKUP($E:$E,Structure!$A:$AJ,Z$1,0)*$F121,0),IFERROR(VLOOKUP($G:$G,Structure!$A:$AJ,Z$1,0)*$H121,0))</f>
        <v>0</v>
      </c>
      <c r="AA121" s="9">
        <f>SUM(IFERROR(VLOOKUP($C:$C,Structure!$A:$AJ,AA$1,0)*$D121,0),IFERROR(VLOOKUP($E:$E,Structure!$A:$AJ,AA$1,0)*$F121,0),IFERROR(VLOOKUP($G:$G,Structure!$A:$AJ,AA$1,0)*$H121,0))</f>
        <v>0</v>
      </c>
      <c r="AB121" s="9">
        <f>SUM(IFERROR(VLOOKUP($C:$C,Structure!$A:$AJ,AB$1,0)*$D121,0),IFERROR(VLOOKUP($E:$E,Structure!$A:$AJ,AB$1,0)*$F121,0),IFERROR(VLOOKUP($G:$G,Structure!$A:$AJ,AB$1,0)*$H121,0))</f>
        <v>0</v>
      </c>
      <c r="AC121" s="9">
        <f>SUM(IFERROR(VLOOKUP($C:$C,Structure!$A:$AJ,AC$1,0)*$D121,0),IFERROR(VLOOKUP($E:$E,Structure!$A:$AJ,AC$1,0)*$F121,0),IFERROR(VLOOKUP($G:$G,Structure!$A:$AJ,AC$1,0)*$H121,0))</f>
        <v>8</v>
      </c>
      <c r="AD121" s="9">
        <f>SUM(IFERROR(VLOOKUP($C:$C,Structure!$A:$AJ,AD$1,0)*$D121,0),IFERROR(VLOOKUP($E:$E,Structure!$A:$AJ,AD$1,0)*$F121,0),IFERROR(VLOOKUP($G:$G,Structure!$A:$AJ,AD$1,0)*$H121,0))</f>
        <v>0</v>
      </c>
      <c r="AE121" s="9">
        <f>SUM(IFERROR(VLOOKUP($C:$C,Structure!$A:$AJ,AE$1,0)*$D121,0),IFERROR(VLOOKUP($E:$E,Structure!$A:$AJ,AE$1,0)*$F121,0),IFERROR(VLOOKUP($G:$G,Structure!$A:$AJ,AE$1,0)*$H121,0))</f>
        <v>0</v>
      </c>
      <c r="AF121" s="9">
        <f>SUM(IFERROR(VLOOKUP($C:$C,Structure!$A:$AJ,AF$1,0)*$D121,0),IFERROR(VLOOKUP($E:$E,Structure!$A:$AJ,AF$1,0)*$F121,0),IFERROR(VLOOKUP($G:$G,Structure!$A:$AJ,AF$1,0)*$H121,0))</f>
        <v>0</v>
      </c>
      <c r="AG121" s="9">
        <f>SUM(IFERROR(VLOOKUP($C:$C,Structure!$A:$AJ,AG$1,0)*$D121,0),IFERROR(VLOOKUP($E:$E,Structure!$A:$AJ,AG$1,0)*$F121,0),IFERROR(VLOOKUP($G:$G,Structure!$A:$AJ,AG$1,0)*$H121,0))</f>
        <v>0</v>
      </c>
      <c r="AH121" s="9">
        <f>SUM(IFERROR(VLOOKUP($C:$C,Structure!$A:$AJ,AH$1,0)*$D121,0),IFERROR(VLOOKUP($E:$E,Structure!$A:$AJ,AH$1,0)*$F121,0),IFERROR(VLOOKUP($G:$G,Structure!$A:$AJ,AH$1,0)*$H121,0))</f>
        <v>0</v>
      </c>
      <c r="AI121" s="9">
        <f>SUM(IFERROR(VLOOKUP($C:$C,Structure!$A:$AJ,AI$1,0)*$D121,0),IFERROR(VLOOKUP($E:$E,Structure!$A:$AJ,AI$1,0)*$F121,0),IFERROR(VLOOKUP($G:$G,Structure!$A:$AJ,AI$1,0)*$H121,0))</f>
        <v>0</v>
      </c>
      <c r="AJ121" s="9">
        <f>SUM(IFERROR(VLOOKUP($C:$C,Structure!$A:$AJ,AJ$1,0)*$D121,0),IFERROR(VLOOKUP($E:$E,Structure!$A:$AJ,AJ$1,0)*$F121,0),IFERROR(VLOOKUP($G:$G,Structure!$A:$AJ,AJ$1,0)*$H121,0))</f>
        <v>0</v>
      </c>
      <c r="AK121" s="9">
        <f>SUM(IFERROR(VLOOKUP($C:$C,Structure!$A:$AJ,AK$1,0)*$D121,0),IFERROR(VLOOKUP($E:$E,Structure!$A:$AJ,AK$1,0)*$F121,0),IFERROR(VLOOKUP($G:$G,Structure!$A:$AJ,AK$1,0)*$H121,0))</f>
        <v>0</v>
      </c>
      <c r="AL121" s="9">
        <f>SUM(IFERROR(VLOOKUP($C:$C,Structure!$A:$AJ,AL$1,0)*$D121,0),IFERROR(VLOOKUP($E:$E,Structure!$A:$AJ,AL$1,0)*$F121,0),IFERROR(VLOOKUP($G:$G,Structure!$A:$AJ,AL$1,0)*$H121,0))</f>
        <v>0</v>
      </c>
      <c r="AM121" s="9">
        <f>SUM(IFERROR(VLOOKUP($C:$C,Structure!$A:$AJ,AM$1,0)*$D121,0),IFERROR(VLOOKUP($E:$E,Structure!$A:$AJ,AM$1,0)*$F121,0),IFERROR(VLOOKUP($G:$G,Structure!$A:$AJ,AM$1,0)*$H121,0))</f>
        <v>0</v>
      </c>
      <c r="AN121" s="9">
        <f>SUM(IFERROR(VLOOKUP($C:$C,Structure!$A:$AJ,AN$1,0)*$D121,0),IFERROR(VLOOKUP($E:$E,Structure!$A:$AJ,AN$1,0)*$F121,0),IFERROR(VLOOKUP($G:$G,Structure!$A:$AJ,AN$1,0)*$H121,0))</f>
        <v>0</v>
      </c>
      <c r="AO121" s="9">
        <f>SUM(IFERROR(VLOOKUP($C:$C,Structure!$A:$AJ,AO$1,0)*$D121,0),IFERROR(VLOOKUP($E:$E,Structure!$A:$AJ,AO$1,0)*$F121,0),IFERROR(VLOOKUP($G:$G,Structure!$A:$AJ,AO$1,0)*$H121,0))</f>
        <v>0</v>
      </c>
      <c r="AP121" s="9">
        <f>SUM(IFERROR(VLOOKUP($C:$C,Structure!$A:$AJ,AP$1,0)*$D121,0),IFERROR(VLOOKUP($E:$E,Structure!$A:$AJ,AP$1,0)*$F121,0),IFERROR(VLOOKUP($G:$G,Structure!$A:$AJ,AP$1,0)*$H121,0))</f>
        <v>0</v>
      </c>
      <c r="AQ121" s="9">
        <f>SUM(IFERROR(VLOOKUP($C:$C,Structure!$A:$AJ,AQ$1,0)*$D121,0),IFERROR(VLOOKUP($E:$E,Structure!$A:$AJ,AQ$1,0)*$F121,0),IFERROR(VLOOKUP($G:$G,Structure!$A:$AJ,AQ$1,0)*$H121,0))</f>
        <v>0</v>
      </c>
      <c r="AR121" s="21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4">
        <f t="shared" si="127"/>
        <v>0</v>
      </c>
      <c r="CE121" s="4">
        <f t="shared" si="128"/>
        <v>-84</v>
      </c>
      <c r="CF121" s="4">
        <f t="shared" si="129"/>
        <v>4</v>
      </c>
      <c r="CG121" s="4">
        <f t="shared" si="130"/>
        <v>14</v>
      </c>
      <c r="CH121" s="4">
        <f t="shared" si="131"/>
        <v>-7</v>
      </c>
      <c r="CI121" s="4">
        <f t="shared" si="132"/>
        <v>127</v>
      </c>
      <c r="CJ121" s="4">
        <f t="shared" si="133"/>
        <v>-141</v>
      </c>
      <c r="CK121" s="4">
        <f t="shared" si="134"/>
        <v>95</v>
      </c>
      <c r="CL121" s="4">
        <f t="shared" si="135"/>
        <v>0</v>
      </c>
      <c r="CM121" s="4">
        <f t="shared" si="136"/>
        <v>6</v>
      </c>
      <c r="CN121" s="4">
        <f t="shared" si="137"/>
        <v>-28</v>
      </c>
      <c r="CO121" s="4">
        <f t="shared" si="138"/>
        <v>0</v>
      </c>
      <c r="CP121" s="4">
        <f t="shared" si="139"/>
        <v>55</v>
      </c>
      <c r="CQ121" s="4">
        <f t="shared" si="140"/>
        <v>-154</v>
      </c>
      <c r="CR121" s="4">
        <f t="shared" si="141"/>
        <v>15</v>
      </c>
      <c r="CS121" s="4">
        <f t="shared" si="142"/>
        <v>-24</v>
      </c>
      <c r="CT121" s="4">
        <f t="shared" si="143"/>
        <v>0</v>
      </c>
      <c r="CU121" s="4">
        <f t="shared" si="144"/>
        <v>0</v>
      </c>
      <c r="CV121" s="4">
        <f t="shared" si="145"/>
        <v>0</v>
      </c>
      <c r="CW121" s="4">
        <f t="shared" si="146"/>
        <v>0</v>
      </c>
      <c r="CX121" s="4">
        <f t="shared" si="147"/>
        <v>-159</v>
      </c>
      <c r="CY121" s="4">
        <f t="shared" si="148"/>
        <v>0</v>
      </c>
      <c r="CZ121" s="4">
        <f t="shared" si="149"/>
        <v>0</v>
      </c>
      <c r="DA121" s="4">
        <f t="shared" si="150"/>
        <v>0</v>
      </c>
      <c r="DB121" s="4">
        <f t="shared" si="151"/>
        <v>0</v>
      </c>
      <c r="DC121" s="4">
        <f t="shared" si="152"/>
        <v>0</v>
      </c>
      <c r="DD121" s="4">
        <f t="shared" si="153"/>
        <v>0</v>
      </c>
      <c r="DE121" s="4">
        <f t="shared" si="154"/>
        <v>0</v>
      </c>
      <c r="DF121" s="4">
        <f t="shared" si="155"/>
        <v>0</v>
      </c>
      <c r="DG121" s="4">
        <f t="shared" si="156"/>
        <v>0</v>
      </c>
      <c r="DH121" s="4">
        <f t="shared" si="157"/>
        <v>0</v>
      </c>
      <c r="DI121" s="4">
        <f t="shared" si="158"/>
        <v>0</v>
      </c>
      <c r="DJ121" s="4">
        <f t="shared" si="159"/>
        <v>0</v>
      </c>
      <c r="DK121" s="4">
        <f t="shared" si="160"/>
        <v>0</v>
      </c>
      <c r="DL121" s="4">
        <f t="shared" si="161"/>
        <v>0</v>
      </c>
    </row>
    <row r="122" spans="1:116" x14ac:dyDescent="0.25">
      <c r="A122" s="5">
        <v>46185</v>
      </c>
      <c r="B122" s="6">
        <v>0.79166666695527965</v>
      </c>
      <c r="C122" s="3"/>
      <c r="D122" s="3"/>
      <c r="E122" s="3" t="s">
        <v>25</v>
      </c>
      <c r="F122" s="3">
        <v>8</v>
      </c>
      <c r="G122" s="3"/>
      <c r="H122" s="9"/>
      <c r="I122" s="9">
        <f>SUM(IFERROR(VLOOKUP($C:$C,Structure!$A:$AJ,I$1,0)*$D122,0),IFERROR(VLOOKUP($E:$E,Structure!$A:$AJ,I$1,0)*$F122,0),IFERROR(VLOOKUP($G:$G,Structure!$A:$AJ,I$1,0)*$H122,0))</f>
        <v>0</v>
      </c>
      <c r="J122" s="9">
        <f>SUM(IFERROR(VLOOKUP($C:$C,Structure!$A:$AJ,J$1,0)*$D122,0),IFERROR(VLOOKUP($E:$E,Structure!$A:$AJ,J$1,0)*$F122,0),IFERROR(VLOOKUP($G:$G,Structure!$A:$AJ,J$1,0)*$H122,0))</f>
        <v>0</v>
      </c>
      <c r="K122" s="9">
        <f>SUM(IFERROR(VLOOKUP($C:$C,Structure!$A:$AJ,K$1,0)*$D122,0),IFERROR(VLOOKUP($E:$E,Structure!$A:$AJ,K$1,0)*$F122,0),IFERROR(VLOOKUP($G:$G,Structure!$A:$AJ,K$1,0)*$H122,0))</f>
        <v>0</v>
      </c>
      <c r="L122" s="9">
        <f>SUM(IFERROR(VLOOKUP($C:$C,Structure!$A:$AJ,L$1,0)*$D122,0),IFERROR(VLOOKUP($E:$E,Structure!$A:$AJ,L$1,0)*$F122,0),IFERROR(VLOOKUP($G:$G,Structure!$A:$AJ,L$1,0)*$H122,0))</f>
        <v>0</v>
      </c>
      <c r="M122" s="9">
        <f>SUM(IFERROR(VLOOKUP($C:$C,Structure!$A:$AJ,M$1,0)*$D122,0),IFERROR(VLOOKUP($E:$E,Structure!$A:$AJ,M$1,0)*$F122,0),IFERROR(VLOOKUP($G:$G,Structure!$A:$AJ,M$1,0)*$H122,0))</f>
        <v>0</v>
      </c>
      <c r="N122" s="9">
        <f>SUM(IFERROR(VLOOKUP($C:$C,Structure!$A:$AJ,N$1,0)*$D122,0),IFERROR(VLOOKUP($E:$E,Structure!$A:$AJ,N$1,0)*$F122,0),IFERROR(VLOOKUP($G:$G,Structure!$A:$AJ,N$1,0)*$H122,0))</f>
        <v>0</v>
      </c>
      <c r="O122" s="9">
        <f>SUM(IFERROR(VLOOKUP($C:$C,Structure!$A:$AJ,O$1,0)*$D122,0),IFERROR(VLOOKUP($E:$E,Structure!$A:$AJ,O$1,0)*$F122,0),IFERROR(VLOOKUP($G:$G,Structure!$A:$AJ,O$1,0)*$H122,0))</f>
        <v>0</v>
      </c>
      <c r="P122" s="9">
        <f>SUM(IFERROR(VLOOKUP($C:$C,Structure!$A:$AJ,P$1,0)*$D122,0),IFERROR(VLOOKUP($E:$E,Structure!$A:$AJ,P$1,0)*$F122,0),IFERROR(VLOOKUP($G:$G,Structure!$A:$AJ,P$1,0)*$H122,0))</f>
        <v>0</v>
      </c>
      <c r="Q122" s="9">
        <f>SUM(IFERROR(VLOOKUP($C:$C,Structure!$A:$AJ,Q$1,0)*$D122,0),IFERROR(VLOOKUP($E:$E,Structure!$A:$AJ,Q$1,0)*$F122,0),IFERROR(VLOOKUP($G:$G,Structure!$A:$AJ,Q$1,0)*$H122,0))</f>
        <v>0</v>
      </c>
      <c r="R122" s="9">
        <f>SUM(IFERROR(VLOOKUP($C:$C,Structure!$A:$AJ,R$1,0)*$D122,0),IFERROR(VLOOKUP($E:$E,Structure!$A:$AJ,R$1,0)*$F122,0),IFERROR(VLOOKUP($G:$G,Structure!$A:$AJ,R$1,0)*$H122,0))</f>
        <v>0</v>
      </c>
      <c r="S122" s="9">
        <f>SUM(IFERROR(VLOOKUP($C:$C,Structure!$A:$AJ,S$1,0)*$D122,0),IFERROR(VLOOKUP($E:$E,Structure!$A:$AJ,S$1,0)*$F122,0),IFERROR(VLOOKUP($G:$G,Structure!$A:$AJ,S$1,0)*$H122,0))</f>
        <v>0</v>
      </c>
      <c r="T122" s="9">
        <f>SUM(IFERROR(VLOOKUP($C:$C,Structure!$A:$AJ,T$1,0)*$D122,0),IFERROR(VLOOKUP($E:$E,Structure!$A:$AJ,T$1,0)*$F122,0),IFERROR(VLOOKUP($G:$G,Structure!$A:$AJ,T$1,0)*$H122,0))</f>
        <v>0</v>
      </c>
      <c r="U122" s="9">
        <f>SUM(IFERROR(VLOOKUP($C:$C,Structure!$A:$AJ,U$1,0)*$D122,0),IFERROR(VLOOKUP($E:$E,Structure!$A:$AJ,U$1,0)*$F122,0),IFERROR(VLOOKUP($G:$G,Structure!$A:$AJ,U$1,0)*$H122,0))</f>
        <v>8</v>
      </c>
      <c r="V122" s="9">
        <f>SUM(IFERROR(VLOOKUP($C:$C,Structure!$A:$AJ,V$1,0)*$D122,0),IFERROR(VLOOKUP($E:$E,Structure!$A:$AJ,V$1,0)*$F122,0),IFERROR(VLOOKUP($G:$G,Structure!$A:$AJ,V$1,0)*$H122,0))</f>
        <v>0</v>
      </c>
      <c r="W122" s="9">
        <f>SUM(IFERROR(VLOOKUP($C:$C,Structure!$A:$AJ,W$1,0)*$D122,0),IFERROR(VLOOKUP($E:$E,Structure!$A:$AJ,W$1,0)*$F122,0),IFERROR(VLOOKUP($G:$G,Structure!$A:$AJ,W$1,0)*$H122,0))</f>
        <v>0</v>
      </c>
      <c r="X122" s="9">
        <f>SUM(IFERROR(VLOOKUP($C:$C,Structure!$A:$AJ,X$1,0)*$D122,0),IFERROR(VLOOKUP($E:$E,Structure!$A:$AJ,X$1,0)*$F122,0),IFERROR(VLOOKUP($G:$G,Structure!$A:$AJ,X$1,0)*$H122,0))</f>
        <v>0</v>
      </c>
      <c r="Y122" s="9">
        <f>SUM(IFERROR(VLOOKUP($C:$C,Structure!$A:$AJ,Y$1,0)*$D122,0),IFERROR(VLOOKUP($E:$E,Structure!$A:$AJ,Y$1,0)*$F122,0),IFERROR(VLOOKUP($G:$G,Structure!$A:$AJ,Y$1,0)*$H122,0))</f>
        <v>0</v>
      </c>
      <c r="Z122" s="9">
        <f>SUM(IFERROR(VLOOKUP($C:$C,Structure!$A:$AJ,Z$1,0)*$D122,0),IFERROR(VLOOKUP($E:$E,Structure!$A:$AJ,Z$1,0)*$F122,0),IFERROR(VLOOKUP($G:$G,Structure!$A:$AJ,Z$1,0)*$H122,0))</f>
        <v>0</v>
      </c>
      <c r="AA122" s="9">
        <f>SUM(IFERROR(VLOOKUP($C:$C,Structure!$A:$AJ,AA$1,0)*$D122,0),IFERROR(VLOOKUP($E:$E,Structure!$A:$AJ,AA$1,0)*$F122,0),IFERROR(VLOOKUP($G:$G,Structure!$A:$AJ,AA$1,0)*$H122,0))</f>
        <v>0</v>
      </c>
      <c r="AB122" s="9">
        <f>SUM(IFERROR(VLOOKUP($C:$C,Structure!$A:$AJ,AB$1,0)*$D122,0),IFERROR(VLOOKUP($E:$E,Structure!$A:$AJ,AB$1,0)*$F122,0),IFERROR(VLOOKUP($G:$G,Structure!$A:$AJ,AB$1,0)*$H122,0))</f>
        <v>0</v>
      </c>
      <c r="AC122" s="9">
        <f>SUM(IFERROR(VLOOKUP($C:$C,Structure!$A:$AJ,AC$1,0)*$D122,0),IFERROR(VLOOKUP($E:$E,Structure!$A:$AJ,AC$1,0)*$F122,0),IFERROR(VLOOKUP($G:$G,Structure!$A:$AJ,AC$1,0)*$H122,0))</f>
        <v>8</v>
      </c>
      <c r="AD122" s="9">
        <f>SUM(IFERROR(VLOOKUP($C:$C,Structure!$A:$AJ,AD$1,0)*$D122,0),IFERROR(VLOOKUP($E:$E,Structure!$A:$AJ,AD$1,0)*$F122,0),IFERROR(VLOOKUP($G:$G,Structure!$A:$AJ,AD$1,0)*$H122,0))</f>
        <v>0</v>
      </c>
      <c r="AE122" s="9">
        <f>SUM(IFERROR(VLOOKUP($C:$C,Structure!$A:$AJ,AE$1,0)*$D122,0),IFERROR(VLOOKUP($E:$E,Structure!$A:$AJ,AE$1,0)*$F122,0),IFERROR(VLOOKUP($G:$G,Structure!$A:$AJ,AE$1,0)*$H122,0))</f>
        <v>0</v>
      </c>
      <c r="AF122" s="9">
        <f>SUM(IFERROR(VLOOKUP($C:$C,Structure!$A:$AJ,AF$1,0)*$D122,0),IFERROR(VLOOKUP($E:$E,Structure!$A:$AJ,AF$1,0)*$F122,0),IFERROR(VLOOKUP($G:$G,Structure!$A:$AJ,AF$1,0)*$H122,0))</f>
        <v>0</v>
      </c>
      <c r="AG122" s="9">
        <f>SUM(IFERROR(VLOOKUP($C:$C,Structure!$A:$AJ,AG$1,0)*$D122,0),IFERROR(VLOOKUP($E:$E,Structure!$A:$AJ,AG$1,0)*$F122,0),IFERROR(VLOOKUP($G:$G,Structure!$A:$AJ,AG$1,0)*$H122,0))</f>
        <v>0</v>
      </c>
      <c r="AH122" s="9">
        <f>SUM(IFERROR(VLOOKUP($C:$C,Structure!$A:$AJ,AH$1,0)*$D122,0),IFERROR(VLOOKUP($E:$E,Structure!$A:$AJ,AH$1,0)*$F122,0),IFERROR(VLOOKUP($G:$G,Structure!$A:$AJ,AH$1,0)*$H122,0))</f>
        <v>0</v>
      </c>
      <c r="AI122" s="9">
        <f>SUM(IFERROR(VLOOKUP($C:$C,Structure!$A:$AJ,AI$1,0)*$D122,0),IFERROR(VLOOKUP($E:$E,Structure!$A:$AJ,AI$1,0)*$F122,0),IFERROR(VLOOKUP($G:$G,Structure!$A:$AJ,AI$1,0)*$H122,0))</f>
        <v>0</v>
      </c>
      <c r="AJ122" s="9">
        <f>SUM(IFERROR(VLOOKUP($C:$C,Structure!$A:$AJ,AJ$1,0)*$D122,0),IFERROR(VLOOKUP($E:$E,Structure!$A:$AJ,AJ$1,0)*$F122,0),IFERROR(VLOOKUP($G:$G,Structure!$A:$AJ,AJ$1,0)*$H122,0))</f>
        <v>0</v>
      </c>
      <c r="AK122" s="9">
        <f>SUM(IFERROR(VLOOKUP($C:$C,Structure!$A:$AJ,AK$1,0)*$D122,0),IFERROR(VLOOKUP($E:$E,Structure!$A:$AJ,AK$1,0)*$F122,0),IFERROR(VLOOKUP($G:$G,Structure!$A:$AJ,AK$1,0)*$H122,0))</f>
        <v>0</v>
      </c>
      <c r="AL122" s="9">
        <f>SUM(IFERROR(VLOOKUP($C:$C,Structure!$A:$AJ,AL$1,0)*$D122,0),IFERROR(VLOOKUP($E:$E,Structure!$A:$AJ,AL$1,0)*$F122,0),IFERROR(VLOOKUP($G:$G,Structure!$A:$AJ,AL$1,0)*$H122,0))</f>
        <v>0</v>
      </c>
      <c r="AM122" s="9">
        <f>SUM(IFERROR(VLOOKUP($C:$C,Structure!$A:$AJ,AM$1,0)*$D122,0),IFERROR(VLOOKUP($E:$E,Structure!$A:$AJ,AM$1,0)*$F122,0),IFERROR(VLOOKUP($G:$G,Structure!$A:$AJ,AM$1,0)*$H122,0))</f>
        <v>0</v>
      </c>
      <c r="AN122" s="9">
        <f>SUM(IFERROR(VLOOKUP($C:$C,Structure!$A:$AJ,AN$1,0)*$D122,0),IFERROR(VLOOKUP($E:$E,Structure!$A:$AJ,AN$1,0)*$F122,0),IFERROR(VLOOKUP($G:$G,Structure!$A:$AJ,AN$1,0)*$H122,0))</f>
        <v>0</v>
      </c>
      <c r="AO122" s="9">
        <f>SUM(IFERROR(VLOOKUP($C:$C,Structure!$A:$AJ,AO$1,0)*$D122,0),IFERROR(VLOOKUP($E:$E,Structure!$A:$AJ,AO$1,0)*$F122,0),IFERROR(VLOOKUP($G:$G,Structure!$A:$AJ,AO$1,0)*$H122,0))</f>
        <v>0</v>
      </c>
      <c r="AP122" s="9">
        <f>SUM(IFERROR(VLOOKUP($C:$C,Structure!$A:$AJ,AP$1,0)*$D122,0),IFERROR(VLOOKUP($E:$E,Structure!$A:$AJ,AP$1,0)*$F122,0),IFERROR(VLOOKUP($G:$G,Structure!$A:$AJ,AP$1,0)*$H122,0))</f>
        <v>0</v>
      </c>
      <c r="AQ122" s="9">
        <f>SUM(IFERROR(VLOOKUP($C:$C,Structure!$A:$AJ,AQ$1,0)*$D122,0),IFERROR(VLOOKUP($E:$E,Structure!$A:$AJ,AQ$1,0)*$F122,0),IFERROR(VLOOKUP($G:$G,Structure!$A:$AJ,AQ$1,0)*$H122,0))</f>
        <v>0</v>
      </c>
      <c r="AR122" s="21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4">
        <f t="shared" si="127"/>
        <v>0</v>
      </c>
      <c r="CE122" s="4">
        <f t="shared" si="128"/>
        <v>-84</v>
      </c>
      <c r="CF122" s="4">
        <f t="shared" si="129"/>
        <v>4</v>
      </c>
      <c r="CG122" s="4">
        <f t="shared" si="130"/>
        <v>14</v>
      </c>
      <c r="CH122" s="4">
        <f t="shared" si="131"/>
        <v>-7</v>
      </c>
      <c r="CI122" s="4">
        <f t="shared" si="132"/>
        <v>127</v>
      </c>
      <c r="CJ122" s="4">
        <f t="shared" si="133"/>
        <v>-141</v>
      </c>
      <c r="CK122" s="4">
        <f t="shared" si="134"/>
        <v>95</v>
      </c>
      <c r="CL122" s="4">
        <f t="shared" si="135"/>
        <v>0</v>
      </c>
      <c r="CM122" s="4">
        <f t="shared" si="136"/>
        <v>6</v>
      </c>
      <c r="CN122" s="4">
        <f t="shared" si="137"/>
        <v>-28</v>
      </c>
      <c r="CO122" s="4">
        <f t="shared" si="138"/>
        <v>0</v>
      </c>
      <c r="CP122" s="4">
        <f t="shared" si="139"/>
        <v>47</v>
      </c>
      <c r="CQ122" s="4">
        <f t="shared" si="140"/>
        <v>-154</v>
      </c>
      <c r="CR122" s="4">
        <f t="shared" si="141"/>
        <v>15</v>
      </c>
      <c r="CS122" s="4">
        <f t="shared" si="142"/>
        <v>-24</v>
      </c>
      <c r="CT122" s="4">
        <f t="shared" si="143"/>
        <v>0</v>
      </c>
      <c r="CU122" s="4">
        <f t="shared" si="144"/>
        <v>0</v>
      </c>
      <c r="CV122" s="4">
        <f t="shared" si="145"/>
        <v>0</v>
      </c>
      <c r="CW122" s="4">
        <f t="shared" si="146"/>
        <v>0</v>
      </c>
      <c r="CX122" s="4">
        <f t="shared" si="147"/>
        <v>-167</v>
      </c>
      <c r="CY122" s="4">
        <f t="shared" si="148"/>
        <v>0</v>
      </c>
      <c r="CZ122" s="4">
        <f t="shared" si="149"/>
        <v>0</v>
      </c>
      <c r="DA122" s="4">
        <f t="shared" si="150"/>
        <v>0</v>
      </c>
      <c r="DB122" s="4">
        <f t="shared" si="151"/>
        <v>0</v>
      </c>
      <c r="DC122" s="4">
        <f t="shared" si="152"/>
        <v>0</v>
      </c>
      <c r="DD122" s="4">
        <f t="shared" si="153"/>
        <v>0</v>
      </c>
      <c r="DE122" s="4">
        <f t="shared" si="154"/>
        <v>0</v>
      </c>
      <c r="DF122" s="4">
        <f t="shared" si="155"/>
        <v>0</v>
      </c>
      <c r="DG122" s="4">
        <f t="shared" si="156"/>
        <v>0</v>
      </c>
      <c r="DH122" s="4">
        <f t="shared" si="157"/>
        <v>0</v>
      </c>
      <c r="DI122" s="4">
        <f t="shared" si="158"/>
        <v>0</v>
      </c>
      <c r="DJ122" s="4">
        <f t="shared" si="159"/>
        <v>0</v>
      </c>
      <c r="DK122" s="4">
        <f t="shared" si="160"/>
        <v>0</v>
      </c>
      <c r="DL122" s="4">
        <f t="shared" si="161"/>
        <v>0</v>
      </c>
    </row>
    <row r="123" spans="1:116" x14ac:dyDescent="0.25">
      <c r="A123" s="5">
        <v>46185</v>
      </c>
      <c r="B123" s="6">
        <v>0.8125000002910383</v>
      </c>
      <c r="C123" s="3"/>
      <c r="D123" s="3"/>
      <c r="E123" s="3" t="s">
        <v>25</v>
      </c>
      <c r="F123" s="3">
        <v>8</v>
      </c>
      <c r="G123" s="3"/>
      <c r="H123" s="9"/>
      <c r="I123" s="9">
        <f>SUM(IFERROR(VLOOKUP($C:$C,Structure!$A:$AJ,I$1,0)*$D123,0),IFERROR(VLOOKUP($E:$E,Structure!$A:$AJ,I$1,0)*$F123,0),IFERROR(VLOOKUP($G:$G,Structure!$A:$AJ,I$1,0)*$H123,0))</f>
        <v>0</v>
      </c>
      <c r="J123" s="9">
        <f>SUM(IFERROR(VLOOKUP($C:$C,Structure!$A:$AJ,J$1,0)*$D123,0),IFERROR(VLOOKUP($E:$E,Structure!$A:$AJ,J$1,0)*$F123,0),IFERROR(VLOOKUP($G:$G,Structure!$A:$AJ,J$1,0)*$H123,0))</f>
        <v>0</v>
      </c>
      <c r="K123" s="9">
        <f>SUM(IFERROR(VLOOKUP($C:$C,Structure!$A:$AJ,K$1,0)*$D123,0),IFERROR(VLOOKUP($E:$E,Structure!$A:$AJ,K$1,0)*$F123,0),IFERROR(VLOOKUP($G:$G,Structure!$A:$AJ,K$1,0)*$H123,0))</f>
        <v>0</v>
      </c>
      <c r="L123" s="9">
        <f>SUM(IFERROR(VLOOKUP($C:$C,Structure!$A:$AJ,L$1,0)*$D123,0),IFERROR(VLOOKUP($E:$E,Structure!$A:$AJ,L$1,0)*$F123,0),IFERROR(VLOOKUP($G:$G,Structure!$A:$AJ,L$1,0)*$H123,0))</f>
        <v>0</v>
      </c>
      <c r="M123" s="9">
        <f>SUM(IFERROR(VLOOKUP($C:$C,Structure!$A:$AJ,M$1,0)*$D123,0),IFERROR(VLOOKUP($E:$E,Structure!$A:$AJ,M$1,0)*$F123,0),IFERROR(VLOOKUP($G:$G,Structure!$A:$AJ,M$1,0)*$H123,0))</f>
        <v>0</v>
      </c>
      <c r="N123" s="9">
        <f>SUM(IFERROR(VLOOKUP($C:$C,Structure!$A:$AJ,N$1,0)*$D123,0),IFERROR(VLOOKUP($E:$E,Structure!$A:$AJ,N$1,0)*$F123,0),IFERROR(VLOOKUP($G:$G,Structure!$A:$AJ,N$1,0)*$H123,0))</f>
        <v>0</v>
      </c>
      <c r="O123" s="9">
        <f>SUM(IFERROR(VLOOKUP($C:$C,Structure!$A:$AJ,O$1,0)*$D123,0),IFERROR(VLOOKUP($E:$E,Structure!$A:$AJ,O$1,0)*$F123,0),IFERROR(VLOOKUP($G:$G,Structure!$A:$AJ,O$1,0)*$H123,0))</f>
        <v>0</v>
      </c>
      <c r="P123" s="9">
        <f>SUM(IFERROR(VLOOKUP($C:$C,Structure!$A:$AJ,P$1,0)*$D123,0),IFERROR(VLOOKUP($E:$E,Structure!$A:$AJ,P$1,0)*$F123,0),IFERROR(VLOOKUP($G:$G,Structure!$A:$AJ,P$1,0)*$H123,0))</f>
        <v>0</v>
      </c>
      <c r="Q123" s="9">
        <f>SUM(IFERROR(VLOOKUP($C:$C,Structure!$A:$AJ,Q$1,0)*$D123,0),IFERROR(VLOOKUP($E:$E,Structure!$A:$AJ,Q$1,0)*$F123,0),IFERROR(VLOOKUP($G:$G,Structure!$A:$AJ,Q$1,0)*$H123,0))</f>
        <v>0</v>
      </c>
      <c r="R123" s="9">
        <f>SUM(IFERROR(VLOOKUP($C:$C,Structure!$A:$AJ,R$1,0)*$D123,0),IFERROR(VLOOKUP($E:$E,Structure!$A:$AJ,R$1,0)*$F123,0),IFERROR(VLOOKUP($G:$G,Structure!$A:$AJ,R$1,0)*$H123,0))</f>
        <v>0</v>
      </c>
      <c r="S123" s="9">
        <f>SUM(IFERROR(VLOOKUP($C:$C,Structure!$A:$AJ,S$1,0)*$D123,0),IFERROR(VLOOKUP($E:$E,Structure!$A:$AJ,S$1,0)*$F123,0),IFERROR(VLOOKUP($G:$G,Structure!$A:$AJ,S$1,0)*$H123,0))</f>
        <v>0</v>
      </c>
      <c r="T123" s="9">
        <f>SUM(IFERROR(VLOOKUP($C:$C,Structure!$A:$AJ,T$1,0)*$D123,0),IFERROR(VLOOKUP($E:$E,Structure!$A:$AJ,T$1,0)*$F123,0),IFERROR(VLOOKUP($G:$G,Structure!$A:$AJ,T$1,0)*$H123,0))</f>
        <v>0</v>
      </c>
      <c r="U123" s="9">
        <f>SUM(IFERROR(VLOOKUP($C:$C,Structure!$A:$AJ,U$1,0)*$D123,0),IFERROR(VLOOKUP($E:$E,Structure!$A:$AJ,U$1,0)*$F123,0),IFERROR(VLOOKUP($G:$G,Structure!$A:$AJ,U$1,0)*$H123,0))</f>
        <v>8</v>
      </c>
      <c r="V123" s="9">
        <f>SUM(IFERROR(VLOOKUP($C:$C,Structure!$A:$AJ,V$1,0)*$D123,0),IFERROR(VLOOKUP($E:$E,Structure!$A:$AJ,V$1,0)*$F123,0),IFERROR(VLOOKUP($G:$G,Structure!$A:$AJ,V$1,0)*$H123,0))</f>
        <v>0</v>
      </c>
      <c r="W123" s="9">
        <f>SUM(IFERROR(VLOOKUP($C:$C,Structure!$A:$AJ,W$1,0)*$D123,0),IFERROR(VLOOKUP($E:$E,Structure!$A:$AJ,W$1,0)*$F123,0),IFERROR(VLOOKUP($G:$G,Structure!$A:$AJ,W$1,0)*$H123,0))</f>
        <v>0</v>
      </c>
      <c r="X123" s="9">
        <f>SUM(IFERROR(VLOOKUP($C:$C,Structure!$A:$AJ,X$1,0)*$D123,0),IFERROR(VLOOKUP($E:$E,Structure!$A:$AJ,X$1,0)*$F123,0),IFERROR(VLOOKUP($G:$G,Structure!$A:$AJ,X$1,0)*$H123,0))</f>
        <v>0</v>
      </c>
      <c r="Y123" s="9">
        <f>SUM(IFERROR(VLOOKUP($C:$C,Structure!$A:$AJ,Y$1,0)*$D123,0),IFERROR(VLOOKUP($E:$E,Structure!$A:$AJ,Y$1,0)*$F123,0),IFERROR(VLOOKUP($G:$G,Structure!$A:$AJ,Y$1,0)*$H123,0))</f>
        <v>0</v>
      </c>
      <c r="Z123" s="9">
        <f>SUM(IFERROR(VLOOKUP($C:$C,Structure!$A:$AJ,Z$1,0)*$D123,0),IFERROR(VLOOKUP($E:$E,Structure!$A:$AJ,Z$1,0)*$F123,0),IFERROR(VLOOKUP($G:$G,Structure!$A:$AJ,Z$1,0)*$H123,0))</f>
        <v>0</v>
      </c>
      <c r="AA123" s="9">
        <f>SUM(IFERROR(VLOOKUP($C:$C,Structure!$A:$AJ,AA$1,0)*$D123,0),IFERROR(VLOOKUP($E:$E,Structure!$A:$AJ,AA$1,0)*$F123,0),IFERROR(VLOOKUP($G:$G,Structure!$A:$AJ,AA$1,0)*$H123,0))</f>
        <v>0</v>
      </c>
      <c r="AB123" s="9">
        <f>SUM(IFERROR(VLOOKUP($C:$C,Structure!$A:$AJ,AB$1,0)*$D123,0),IFERROR(VLOOKUP($E:$E,Structure!$A:$AJ,AB$1,0)*$F123,0),IFERROR(VLOOKUP($G:$G,Structure!$A:$AJ,AB$1,0)*$H123,0))</f>
        <v>0</v>
      </c>
      <c r="AC123" s="9">
        <f>SUM(IFERROR(VLOOKUP($C:$C,Structure!$A:$AJ,AC$1,0)*$D123,0),IFERROR(VLOOKUP($E:$E,Structure!$A:$AJ,AC$1,0)*$F123,0),IFERROR(VLOOKUP($G:$G,Structure!$A:$AJ,AC$1,0)*$H123,0))</f>
        <v>8</v>
      </c>
      <c r="AD123" s="9">
        <f>SUM(IFERROR(VLOOKUP($C:$C,Structure!$A:$AJ,AD$1,0)*$D123,0),IFERROR(VLOOKUP($E:$E,Structure!$A:$AJ,AD$1,0)*$F123,0),IFERROR(VLOOKUP($G:$G,Structure!$A:$AJ,AD$1,0)*$H123,0))</f>
        <v>0</v>
      </c>
      <c r="AE123" s="9">
        <f>SUM(IFERROR(VLOOKUP($C:$C,Structure!$A:$AJ,AE$1,0)*$D123,0),IFERROR(VLOOKUP($E:$E,Structure!$A:$AJ,AE$1,0)*$F123,0),IFERROR(VLOOKUP($G:$G,Structure!$A:$AJ,AE$1,0)*$H123,0))</f>
        <v>0</v>
      </c>
      <c r="AF123" s="9">
        <f>SUM(IFERROR(VLOOKUP($C:$C,Structure!$A:$AJ,AF$1,0)*$D123,0),IFERROR(VLOOKUP($E:$E,Structure!$A:$AJ,AF$1,0)*$F123,0),IFERROR(VLOOKUP($G:$G,Structure!$A:$AJ,AF$1,0)*$H123,0))</f>
        <v>0</v>
      </c>
      <c r="AG123" s="9">
        <f>SUM(IFERROR(VLOOKUP($C:$C,Structure!$A:$AJ,AG$1,0)*$D123,0),IFERROR(VLOOKUP($E:$E,Structure!$A:$AJ,AG$1,0)*$F123,0),IFERROR(VLOOKUP($G:$G,Structure!$A:$AJ,AG$1,0)*$H123,0))</f>
        <v>0</v>
      </c>
      <c r="AH123" s="9">
        <f>SUM(IFERROR(VLOOKUP($C:$C,Structure!$A:$AJ,AH$1,0)*$D123,0),IFERROR(VLOOKUP($E:$E,Structure!$A:$AJ,AH$1,0)*$F123,0),IFERROR(VLOOKUP($G:$G,Structure!$A:$AJ,AH$1,0)*$H123,0))</f>
        <v>0</v>
      </c>
      <c r="AI123" s="9">
        <f>SUM(IFERROR(VLOOKUP($C:$C,Structure!$A:$AJ,AI$1,0)*$D123,0),IFERROR(VLOOKUP($E:$E,Structure!$A:$AJ,AI$1,0)*$F123,0),IFERROR(VLOOKUP($G:$G,Structure!$A:$AJ,AI$1,0)*$H123,0))</f>
        <v>0</v>
      </c>
      <c r="AJ123" s="9">
        <f>SUM(IFERROR(VLOOKUP($C:$C,Structure!$A:$AJ,AJ$1,0)*$D123,0),IFERROR(VLOOKUP($E:$E,Structure!$A:$AJ,AJ$1,0)*$F123,0),IFERROR(VLOOKUP($G:$G,Structure!$A:$AJ,AJ$1,0)*$H123,0))</f>
        <v>0</v>
      </c>
      <c r="AK123" s="9">
        <f>SUM(IFERROR(VLOOKUP($C:$C,Structure!$A:$AJ,AK$1,0)*$D123,0),IFERROR(VLOOKUP($E:$E,Structure!$A:$AJ,AK$1,0)*$F123,0),IFERROR(VLOOKUP($G:$G,Structure!$A:$AJ,AK$1,0)*$H123,0))</f>
        <v>0</v>
      </c>
      <c r="AL123" s="9">
        <f>SUM(IFERROR(VLOOKUP($C:$C,Structure!$A:$AJ,AL$1,0)*$D123,0),IFERROR(VLOOKUP($E:$E,Structure!$A:$AJ,AL$1,0)*$F123,0),IFERROR(VLOOKUP($G:$G,Structure!$A:$AJ,AL$1,0)*$H123,0))</f>
        <v>0</v>
      </c>
      <c r="AM123" s="9">
        <f>SUM(IFERROR(VLOOKUP($C:$C,Structure!$A:$AJ,AM$1,0)*$D123,0),IFERROR(VLOOKUP($E:$E,Structure!$A:$AJ,AM$1,0)*$F123,0),IFERROR(VLOOKUP($G:$G,Structure!$A:$AJ,AM$1,0)*$H123,0))</f>
        <v>0</v>
      </c>
      <c r="AN123" s="9">
        <f>SUM(IFERROR(VLOOKUP($C:$C,Structure!$A:$AJ,AN$1,0)*$D123,0),IFERROR(VLOOKUP($E:$E,Structure!$A:$AJ,AN$1,0)*$F123,0),IFERROR(VLOOKUP($G:$G,Structure!$A:$AJ,AN$1,0)*$H123,0))</f>
        <v>0</v>
      </c>
      <c r="AO123" s="9">
        <f>SUM(IFERROR(VLOOKUP($C:$C,Structure!$A:$AJ,AO$1,0)*$D123,0),IFERROR(VLOOKUP($E:$E,Structure!$A:$AJ,AO$1,0)*$F123,0),IFERROR(VLOOKUP($G:$G,Structure!$A:$AJ,AO$1,0)*$H123,0))</f>
        <v>0</v>
      </c>
      <c r="AP123" s="9">
        <f>SUM(IFERROR(VLOOKUP($C:$C,Structure!$A:$AJ,AP$1,0)*$D123,0),IFERROR(VLOOKUP($E:$E,Structure!$A:$AJ,AP$1,0)*$F123,0),IFERROR(VLOOKUP($G:$G,Structure!$A:$AJ,AP$1,0)*$H123,0))</f>
        <v>0</v>
      </c>
      <c r="AQ123" s="9">
        <f>SUM(IFERROR(VLOOKUP($C:$C,Structure!$A:$AJ,AQ$1,0)*$D123,0),IFERROR(VLOOKUP($E:$E,Structure!$A:$AJ,AQ$1,0)*$F123,0),IFERROR(VLOOKUP($G:$G,Structure!$A:$AJ,AQ$1,0)*$H123,0))</f>
        <v>0</v>
      </c>
      <c r="AR123" s="21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4">
        <f t="shared" si="127"/>
        <v>0</v>
      </c>
      <c r="CE123" s="4">
        <f t="shared" si="128"/>
        <v>-84</v>
      </c>
      <c r="CF123" s="4">
        <f t="shared" si="129"/>
        <v>4</v>
      </c>
      <c r="CG123" s="4">
        <f t="shared" si="130"/>
        <v>14</v>
      </c>
      <c r="CH123" s="4">
        <f t="shared" si="131"/>
        <v>-7</v>
      </c>
      <c r="CI123" s="4">
        <f t="shared" si="132"/>
        <v>127</v>
      </c>
      <c r="CJ123" s="4">
        <f t="shared" si="133"/>
        <v>-141</v>
      </c>
      <c r="CK123" s="4">
        <f t="shared" si="134"/>
        <v>95</v>
      </c>
      <c r="CL123" s="4">
        <f t="shared" si="135"/>
        <v>0</v>
      </c>
      <c r="CM123" s="4">
        <f t="shared" si="136"/>
        <v>6</v>
      </c>
      <c r="CN123" s="4">
        <f t="shared" si="137"/>
        <v>-28</v>
      </c>
      <c r="CO123" s="4">
        <f t="shared" si="138"/>
        <v>0</v>
      </c>
      <c r="CP123" s="4">
        <f t="shared" si="139"/>
        <v>39</v>
      </c>
      <c r="CQ123" s="4">
        <f t="shared" si="140"/>
        <v>-154</v>
      </c>
      <c r="CR123" s="4">
        <f t="shared" si="141"/>
        <v>15</v>
      </c>
      <c r="CS123" s="4">
        <f t="shared" si="142"/>
        <v>-24</v>
      </c>
      <c r="CT123" s="4">
        <f t="shared" si="143"/>
        <v>0</v>
      </c>
      <c r="CU123" s="4">
        <f t="shared" si="144"/>
        <v>0</v>
      </c>
      <c r="CV123" s="4">
        <f t="shared" si="145"/>
        <v>0</v>
      </c>
      <c r="CW123" s="4">
        <f t="shared" si="146"/>
        <v>0</v>
      </c>
      <c r="CX123" s="4">
        <f t="shared" si="147"/>
        <v>-175</v>
      </c>
      <c r="CY123" s="4">
        <f t="shared" si="148"/>
        <v>0</v>
      </c>
      <c r="CZ123" s="4">
        <f t="shared" si="149"/>
        <v>0</v>
      </c>
      <c r="DA123" s="4">
        <f t="shared" si="150"/>
        <v>0</v>
      </c>
      <c r="DB123" s="4">
        <f t="shared" si="151"/>
        <v>0</v>
      </c>
      <c r="DC123" s="4">
        <f t="shared" si="152"/>
        <v>0</v>
      </c>
      <c r="DD123" s="4">
        <f t="shared" si="153"/>
        <v>0</v>
      </c>
      <c r="DE123" s="4">
        <f t="shared" si="154"/>
        <v>0</v>
      </c>
      <c r="DF123" s="4">
        <f t="shared" si="155"/>
        <v>0</v>
      </c>
      <c r="DG123" s="4">
        <f t="shared" si="156"/>
        <v>0</v>
      </c>
      <c r="DH123" s="4">
        <f t="shared" si="157"/>
        <v>0</v>
      </c>
      <c r="DI123" s="4">
        <f t="shared" si="158"/>
        <v>0</v>
      </c>
      <c r="DJ123" s="4">
        <f t="shared" si="159"/>
        <v>0</v>
      </c>
      <c r="DK123" s="4">
        <f t="shared" si="160"/>
        <v>0</v>
      </c>
      <c r="DL123" s="4">
        <f t="shared" si="161"/>
        <v>0</v>
      </c>
    </row>
    <row r="124" spans="1:116" x14ac:dyDescent="0.25">
      <c r="A124" s="5">
        <v>46185</v>
      </c>
      <c r="B124" s="6">
        <v>0.83333333362679696</v>
      </c>
      <c r="C124" s="3"/>
      <c r="D124" s="3"/>
      <c r="E124" s="3" t="s">
        <v>25</v>
      </c>
      <c r="F124" s="3">
        <v>8</v>
      </c>
      <c r="G124" s="3"/>
      <c r="H124" s="9"/>
      <c r="I124" s="9">
        <f>SUM(IFERROR(VLOOKUP($C:$C,Structure!$A:$AJ,I$1,0)*$D124,0),IFERROR(VLOOKUP($E:$E,Structure!$A:$AJ,I$1,0)*$F124,0),IFERROR(VLOOKUP($G:$G,Structure!$A:$AJ,I$1,0)*$H124,0))</f>
        <v>0</v>
      </c>
      <c r="J124" s="9">
        <f>SUM(IFERROR(VLOOKUP($C:$C,Structure!$A:$AJ,J$1,0)*$D124,0),IFERROR(VLOOKUP($E:$E,Structure!$A:$AJ,J$1,0)*$F124,0),IFERROR(VLOOKUP($G:$G,Structure!$A:$AJ,J$1,0)*$H124,0))</f>
        <v>0</v>
      </c>
      <c r="K124" s="9">
        <f>SUM(IFERROR(VLOOKUP($C:$C,Structure!$A:$AJ,K$1,0)*$D124,0),IFERROR(VLOOKUP($E:$E,Structure!$A:$AJ,K$1,0)*$F124,0),IFERROR(VLOOKUP($G:$G,Structure!$A:$AJ,K$1,0)*$H124,0))</f>
        <v>0</v>
      </c>
      <c r="L124" s="9">
        <f>SUM(IFERROR(VLOOKUP($C:$C,Structure!$A:$AJ,L$1,0)*$D124,0),IFERROR(VLOOKUP($E:$E,Structure!$A:$AJ,L$1,0)*$F124,0),IFERROR(VLOOKUP($G:$G,Structure!$A:$AJ,L$1,0)*$H124,0))</f>
        <v>0</v>
      </c>
      <c r="M124" s="9">
        <f>SUM(IFERROR(VLOOKUP($C:$C,Structure!$A:$AJ,M$1,0)*$D124,0),IFERROR(VLOOKUP($E:$E,Structure!$A:$AJ,M$1,0)*$F124,0),IFERROR(VLOOKUP($G:$G,Structure!$A:$AJ,M$1,0)*$H124,0))</f>
        <v>0</v>
      </c>
      <c r="N124" s="9">
        <f>SUM(IFERROR(VLOOKUP($C:$C,Structure!$A:$AJ,N$1,0)*$D124,0),IFERROR(VLOOKUP($E:$E,Structure!$A:$AJ,N$1,0)*$F124,0),IFERROR(VLOOKUP($G:$G,Structure!$A:$AJ,N$1,0)*$H124,0))</f>
        <v>0</v>
      </c>
      <c r="O124" s="9">
        <f>SUM(IFERROR(VLOOKUP($C:$C,Structure!$A:$AJ,O$1,0)*$D124,0),IFERROR(VLOOKUP($E:$E,Structure!$A:$AJ,O$1,0)*$F124,0),IFERROR(VLOOKUP($G:$G,Structure!$A:$AJ,O$1,0)*$H124,0))</f>
        <v>0</v>
      </c>
      <c r="P124" s="9">
        <f>SUM(IFERROR(VLOOKUP($C:$C,Structure!$A:$AJ,P$1,0)*$D124,0),IFERROR(VLOOKUP($E:$E,Structure!$A:$AJ,P$1,0)*$F124,0),IFERROR(VLOOKUP($G:$G,Structure!$A:$AJ,P$1,0)*$H124,0))</f>
        <v>0</v>
      </c>
      <c r="Q124" s="9">
        <f>SUM(IFERROR(VLOOKUP($C:$C,Structure!$A:$AJ,Q$1,0)*$D124,0),IFERROR(VLOOKUP($E:$E,Structure!$A:$AJ,Q$1,0)*$F124,0),IFERROR(VLOOKUP($G:$G,Structure!$A:$AJ,Q$1,0)*$H124,0))</f>
        <v>0</v>
      </c>
      <c r="R124" s="9">
        <f>SUM(IFERROR(VLOOKUP($C:$C,Structure!$A:$AJ,R$1,0)*$D124,0),IFERROR(VLOOKUP($E:$E,Structure!$A:$AJ,R$1,0)*$F124,0),IFERROR(VLOOKUP($G:$G,Structure!$A:$AJ,R$1,0)*$H124,0))</f>
        <v>0</v>
      </c>
      <c r="S124" s="9">
        <f>SUM(IFERROR(VLOOKUP($C:$C,Structure!$A:$AJ,S$1,0)*$D124,0),IFERROR(VLOOKUP($E:$E,Structure!$A:$AJ,S$1,0)*$F124,0),IFERROR(VLOOKUP($G:$G,Structure!$A:$AJ,S$1,0)*$H124,0))</f>
        <v>0</v>
      </c>
      <c r="T124" s="9">
        <f>SUM(IFERROR(VLOOKUP($C:$C,Structure!$A:$AJ,T$1,0)*$D124,0),IFERROR(VLOOKUP($E:$E,Structure!$A:$AJ,T$1,0)*$F124,0),IFERROR(VLOOKUP($G:$G,Structure!$A:$AJ,T$1,0)*$H124,0))</f>
        <v>0</v>
      </c>
      <c r="U124" s="9">
        <f>SUM(IFERROR(VLOOKUP($C:$C,Structure!$A:$AJ,U$1,0)*$D124,0),IFERROR(VLOOKUP($E:$E,Structure!$A:$AJ,U$1,0)*$F124,0),IFERROR(VLOOKUP($G:$G,Structure!$A:$AJ,U$1,0)*$H124,0))</f>
        <v>8</v>
      </c>
      <c r="V124" s="9">
        <f>SUM(IFERROR(VLOOKUP($C:$C,Structure!$A:$AJ,V$1,0)*$D124,0),IFERROR(VLOOKUP($E:$E,Structure!$A:$AJ,V$1,0)*$F124,0),IFERROR(VLOOKUP($G:$G,Structure!$A:$AJ,V$1,0)*$H124,0))</f>
        <v>0</v>
      </c>
      <c r="W124" s="9">
        <f>SUM(IFERROR(VLOOKUP($C:$C,Structure!$A:$AJ,W$1,0)*$D124,0),IFERROR(VLOOKUP($E:$E,Structure!$A:$AJ,W$1,0)*$F124,0),IFERROR(VLOOKUP($G:$G,Structure!$A:$AJ,W$1,0)*$H124,0))</f>
        <v>0</v>
      </c>
      <c r="X124" s="9">
        <f>SUM(IFERROR(VLOOKUP($C:$C,Structure!$A:$AJ,X$1,0)*$D124,0),IFERROR(VLOOKUP($E:$E,Structure!$A:$AJ,X$1,0)*$F124,0),IFERROR(VLOOKUP($G:$G,Structure!$A:$AJ,X$1,0)*$H124,0))</f>
        <v>0</v>
      </c>
      <c r="Y124" s="9">
        <f>SUM(IFERROR(VLOOKUP($C:$C,Structure!$A:$AJ,Y$1,0)*$D124,0),IFERROR(VLOOKUP($E:$E,Structure!$A:$AJ,Y$1,0)*$F124,0),IFERROR(VLOOKUP($G:$G,Structure!$A:$AJ,Y$1,0)*$H124,0))</f>
        <v>0</v>
      </c>
      <c r="Z124" s="9">
        <f>SUM(IFERROR(VLOOKUP($C:$C,Structure!$A:$AJ,Z$1,0)*$D124,0),IFERROR(VLOOKUP($E:$E,Structure!$A:$AJ,Z$1,0)*$F124,0),IFERROR(VLOOKUP($G:$G,Structure!$A:$AJ,Z$1,0)*$H124,0))</f>
        <v>0</v>
      </c>
      <c r="AA124" s="9">
        <f>SUM(IFERROR(VLOOKUP($C:$C,Structure!$A:$AJ,AA$1,0)*$D124,0),IFERROR(VLOOKUP($E:$E,Structure!$A:$AJ,AA$1,0)*$F124,0),IFERROR(VLOOKUP($G:$G,Structure!$A:$AJ,AA$1,0)*$H124,0))</f>
        <v>0</v>
      </c>
      <c r="AB124" s="9">
        <f>SUM(IFERROR(VLOOKUP($C:$C,Structure!$A:$AJ,AB$1,0)*$D124,0),IFERROR(VLOOKUP($E:$E,Structure!$A:$AJ,AB$1,0)*$F124,0),IFERROR(VLOOKUP($G:$G,Structure!$A:$AJ,AB$1,0)*$H124,0))</f>
        <v>0</v>
      </c>
      <c r="AC124" s="9">
        <f>SUM(IFERROR(VLOOKUP($C:$C,Structure!$A:$AJ,AC$1,0)*$D124,0),IFERROR(VLOOKUP($E:$E,Structure!$A:$AJ,AC$1,0)*$F124,0),IFERROR(VLOOKUP($G:$G,Structure!$A:$AJ,AC$1,0)*$H124,0))</f>
        <v>8</v>
      </c>
      <c r="AD124" s="9">
        <f>SUM(IFERROR(VLOOKUP($C:$C,Structure!$A:$AJ,AD$1,0)*$D124,0),IFERROR(VLOOKUP($E:$E,Structure!$A:$AJ,AD$1,0)*$F124,0),IFERROR(VLOOKUP($G:$G,Structure!$A:$AJ,AD$1,0)*$H124,0))</f>
        <v>0</v>
      </c>
      <c r="AE124" s="9">
        <f>SUM(IFERROR(VLOOKUP($C:$C,Structure!$A:$AJ,AE$1,0)*$D124,0),IFERROR(VLOOKUP($E:$E,Structure!$A:$AJ,AE$1,0)*$F124,0),IFERROR(VLOOKUP($G:$G,Structure!$A:$AJ,AE$1,0)*$H124,0))</f>
        <v>0</v>
      </c>
      <c r="AF124" s="9">
        <f>SUM(IFERROR(VLOOKUP($C:$C,Structure!$A:$AJ,AF$1,0)*$D124,0),IFERROR(VLOOKUP($E:$E,Structure!$A:$AJ,AF$1,0)*$F124,0),IFERROR(VLOOKUP($G:$G,Structure!$A:$AJ,AF$1,0)*$H124,0))</f>
        <v>0</v>
      </c>
      <c r="AG124" s="9">
        <f>SUM(IFERROR(VLOOKUP($C:$C,Structure!$A:$AJ,AG$1,0)*$D124,0),IFERROR(VLOOKUP($E:$E,Structure!$A:$AJ,AG$1,0)*$F124,0),IFERROR(VLOOKUP($G:$G,Structure!$A:$AJ,AG$1,0)*$H124,0))</f>
        <v>0</v>
      </c>
      <c r="AH124" s="9">
        <f>SUM(IFERROR(VLOOKUP($C:$C,Structure!$A:$AJ,AH$1,0)*$D124,0),IFERROR(VLOOKUP($E:$E,Structure!$A:$AJ,AH$1,0)*$F124,0),IFERROR(VLOOKUP($G:$G,Structure!$A:$AJ,AH$1,0)*$H124,0))</f>
        <v>0</v>
      </c>
      <c r="AI124" s="9">
        <f>SUM(IFERROR(VLOOKUP($C:$C,Structure!$A:$AJ,AI$1,0)*$D124,0),IFERROR(VLOOKUP($E:$E,Structure!$A:$AJ,AI$1,0)*$F124,0),IFERROR(VLOOKUP($G:$G,Structure!$A:$AJ,AI$1,0)*$H124,0))</f>
        <v>0</v>
      </c>
      <c r="AJ124" s="9">
        <f>SUM(IFERROR(VLOOKUP($C:$C,Structure!$A:$AJ,AJ$1,0)*$D124,0),IFERROR(VLOOKUP($E:$E,Structure!$A:$AJ,AJ$1,0)*$F124,0),IFERROR(VLOOKUP($G:$G,Structure!$A:$AJ,AJ$1,0)*$H124,0))</f>
        <v>0</v>
      </c>
      <c r="AK124" s="9">
        <f>SUM(IFERROR(VLOOKUP($C:$C,Structure!$A:$AJ,AK$1,0)*$D124,0),IFERROR(VLOOKUP($E:$E,Structure!$A:$AJ,AK$1,0)*$F124,0),IFERROR(VLOOKUP($G:$G,Structure!$A:$AJ,AK$1,0)*$H124,0))</f>
        <v>0</v>
      </c>
      <c r="AL124" s="9">
        <f>SUM(IFERROR(VLOOKUP($C:$C,Structure!$A:$AJ,AL$1,0)*$D124,0),IFERROR(VLOOKUP($E:$E,Structure!$A:$AJ,AL$1,0)*$F124,0),IFERROR(VLOOKUP($G:$G,Structure!$A:$AJ,AL$1,0)*$H124,0))</f>
        <v>0</v>
      </c>
      <c r="AM124" s="9">
        <f>SUM(IFERROR(VLOOKUP($C:$C,Structure!$A:$AJ,AM$1,0)*$D124,0),IFERROR(VLOOKUP($E:$E,Structure!$A:$AJ,AM$1,0)*$F124,0),IFERROR(VLOOKUP($G:$G,Structure!$A:$AJ,AM$1,0)*$H124,0))</f>
        <v>0</v>
      </c>
      <c r="AN124" s="9">
        <f>SUM(IFERROR(VLOOKUP($C:$C,Structure!$A:$AJ,AN$1,0)*$D124,0),IFERROR(VLOOKUP($E:$E,Structure!$A:$AJ,AN$1,0)*$F124,0),IFERROR(VLOOKUP($G:$G,Structure!$A:$AJ,AN$1,0)*$H124,0))</f>
        <v>0</v>
      </c>
      <c r="AO124" s="9">
        <f>SUM(IFERROR(VLOOKUP($C:$C,Structure!$A:$AJ,AO$1,0)*$D124,0),IFERROR(VLOOKUP($E:$E,Structure!$A:$AJ,AO$1,0)*$F124,0),IFERROR(VLOOKUP($G:$G,Structure!$A:$AJ,AO$1,0)*$H124,0))</f>
        <v>0</v>
      </c>
      <c r="AP124" s="9">
        <f>SUM(IFERROR(VLOOKUP($C:$C,Structure!$A:$AJ,AP$1,0)*$D124,0),IFERROR(VLOOKUP($E:$E,Structure!$A:$AJ,AP$1,0)*$F124,0),IFERROR(VLOOKUP($G:$G,Structure!$A:$AJ,AP$1,0)*$H124,0))</f>
        <v>0</v>
      </c>
      <c r="AQ124" s="9">
        <f>SUM(IFERROR(VLOOKUP($C:$C,Structure!$A:$AJ,AQ$1,0)*$D124,0),IFERROR(VLOOKUP($E:$E,Structure!$A:$AJ,AQ$1,0)*$F124,0),IFERROR(VLOOKUP($G:$G,Structure!$A:$AJ,AQ$1,0)*$H124,0))</f>
        <v>0</v>
      </c>
      <c r="AR124" s="21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4">
        <f t="shared" si="127"/>
        <v>0</v>
      </c>
      <c r="CE124" s="4">
        <f t="shared" si="128"/>
        <v>-84</v>
      </c>
      <c r="CF124" s="4">
        <f t="shared" si="129"/>
        <v>4</v>
      </c>
      <c r="CG124" s="4">
        <f t="shared" si="130"/>
        <v>14</v>
      </c>
      <c r="CH124" s="4">
        <f t="shared" si="131"/>
        <v>-7</v>
      </c>
      <c r="CI124" s="4">
        <f t="shared" si="132"/>
        <v>127</v>
      </c>
      <c r="CJ124" s="4">
        <f t="shared" si="133"/>
        <v>-141</v>
      </c>
      <c r="CK124" s="4">
        <f t="shared" si="134"/>
        <v>95</v>
      </c>
      <c r="CL124" s="4">
        <f t="shared" si="135"/>
        <v>0</v>
      </c>
      <c r="CM124" s="4">
        <f t="shared" si="136"/>
        <v>6</v>
      </c>
      <c r="CN124" s="4">
        <f t="shared" si="137"/>
        <v>-28</v>
      </c>
      <c r="CO124" s="4">
        <f t="shared" si="138"/>
        <v>0</v>
      </c>
      <c r="CP124" s="4">
        <f t="shared" si="139"/>
        <v>31</v>
      </c>
      <c r="CQ124" s="4">
        <f t="shared" si="140"/>
        <v>-154</v>
      </c>
      <c r="CR124" s="4">
        <f t="shared" si="141"/>
        <v>15</v>
      </c>
      <c r="CS124" s="4">
        <f t="shared" si="142"/>
        <v>-24</v>
      </c>
      <c r="CT124" s="4">
        <f t="shared" si="143"/>
        <v>0</v>
      </c>
      <c r="CU124" s="4">
        <f t="shared" si="144"/>
        <v>0</v>
      </c>
      <c r="CV124" s="4">
        <f t="shared" si="145"/>
        <v>0</v>
      </c>
      <c r="CW124" s="4">
        <f t="shared" si="146"/>
        <v>0</v>
      </c>
      <c r="CX124" s="4">
        <f t="shared" si="147"/>
        <v>-183</v>
      </c>
      <c r="CY124" s="4">
        <f t="shared" si="148"/>
        <v>0</v>
      </c>
      <c r="CZ124" s="4">
        <f t="shared" si="149"/>
        <v>0</v>
      </c>
      <c r="DA124" s="4">
        <f t="shared" si="150"/>
        <v>0</v>
      </c>
      <c r="DB124" s="4">
        <f t="shared" si="151"/>
        <v>0</v>
      </c>
      <c r="DC124" s="4">
        <f t="shared" si="152"/>
        <v>0</v>
      </c>
      <c r="DD124" s="4">
        <f t="shared" si="153"/>
        <v>0</v>
      </c>
      <c r="DE124" s="4">
        <f t="shared" si="154"/>
        <v>0</v>
      </c>
      <c r="DF124" s="4">
        <f t="shared" si="155"/>
        <v>0</v>
      </c>
      <c r="DG124" s="4">
        <f t="shared" si="156"/>
        <v>0</v>
      </c>
      <c r="DH124" s="4">
        <f t="shared" si="157"/>
        <v>0</v>
      </c>
      <c r="DI124" s="4">
        <f t="shared" si="158"/>
        <v>0</v>
      </c>
      <c r="DJ124" s="4">
        <f t="shared" si="159"/>
        <v>0</v>
      </c>
      <c r="DK124" s="4">
        <f t="shared" si="160"/>
        <v>0</v>
      </c>
      <c r="DL124" s="4">
        <f t="shared" si="161"/>
        <v>0</v>
      </c>
    </row>
    <row r="125" spans="1:116" x14ac:dyDescent="0.25">
      <c r="A125" s="5">
        <v>46185</v>
      </c>
      <c r="B125" s="6">
        <v>0.85416666696255561</v>
      </c>
      <c r="C125" s="3"/>
      <c r="D125" s="3"/>
      <c r="E125" s="3" t="s">
        <v>25</v>
      </c>
      <c r="F125" s="3">
        <v>8</v>
      </c>
      <c r="G125" s="3"/>
      <c r="H125" s="9"/>
      <c r="I125" s="9">
        <f>SUM(IFERROR(VLOOKUP($C:$C,Structure!$A:$AJ,I$1,0)*$D125,0),IFERROR(VLOOKUP($E:$E,Structure!$A:$AJ,I$1,0)*$F125,0),IFERROR(VLOOKUP($G:$G,Structure!$A:$AJ,I$1,0)*$H125,0))</f>
        <v>0</v>
      </c>
      <c r="J125" s="9">
        <f>SUM(IFERROR(VLOOKUP($C:$C,Structure!$A:$AJ,J$1,0)*$D125,0),IFERROR(VLOOKUP($E:$E,Structure!$A:$AJ,J$1,0)*$F125,0),IFERROR(VLOOKUP($G:$G,Structure!$A:$AJ,J$1,0)*$H125,0))</f>
        <v>0</v>
      </c>
      <c r="K125" s="9">
        <f>SUM(IFERROR(VLOOKUP($C:$C,Structure!$A:$AJ,K$1,0)*$D125,0),IFERROR(VLOOKUP($E:$E,Structure!$A:$AJ,K$1,0)*$F125,0),IFERROR(VLOOKUP($G:$G,Structure!$A:$AJ,K$1,0)*$H125,0))</f>
        <v>0</v>
      </c>
      <c r="L125" s="9">
        <f>SUM(IFERROR(VLOOKUP($C:$C,Structure!$A:$AJ,L$1,0)*$D125,0),IFERROR(VLOOKUP($E:$E,Structure!$A:$AJ,L$1,0)*$F125,0),IFERROR(VLOOKUP($G:$G,Structure!$A:$AJ,L$1,0)*$H125,0))</f>
        <v>0</v>
      </c>
      <c r="M125" s="9">
        <f>SUM(IFERROR(VLOOKUP($C:$C,Structure!$A:$AJ,M$1,0)*$D125,0),IFERROR(VLOOKUP($E:$E,Structure!$A:$AJ,M$1,0)*$F125,0),IFERROR(VLOOKUP($G:$G,Structure!$A:$AJ,M$1,0)*$H125,0))</f>
        <v>0</v>
      </c>
      <c r="N125" s="9">
        <f>SUM(IFERROR(VLOOKUP($C:$C,Structure!$A:$AJ,N$1,0)*$D125,0),IFERROR(VLOOKUP($E:$E,Structure!$A:$AJ,N$1,0)*$F125,0),IFERROR(VLOOKUP($G:$G,Structure!$A:$AJ,N$1,0)*$H125,0))</f>
        <v>0</v>
      </c>
      <c r="O125" s="9">
        <f>SUM(IFERROR(VLOOKUP($C:$C,Structure!$A:$AJ,O$1,0)*$D125,0),IFERROR(VLOOKUP($E:$E,Structure!$A:$AJ,O$1,0)*$F125,0),IFERROR(VLOOKUP($G:$G,Structure!$A:$AJ,O$1,0)*$H125,0))</f>
        <v>0</v>
      </c>
      <c r="P125" s="9">
        <f>SUM(IFERROR(VLOOKUP($C:$C,Structure!$A:$AJ,P$1,0)*$D125,0),IFERROR(VLOOKUP($E:$E,Structure!$A:$AJ,P$1,0)*$F125,0),IFERROR(VLOOKUP($G:$G,Structure!$A:$AJ,P$1,0)*$H125,0))</f>
        <v>0</v>
      </c>
      <c r="Q125" s="9">
        <f>SUM(IFERROR(VLOOKUP($C:$C,Structure!$A:$AJ,Q$1,0)*$D125,0),IFERROR(VLOOKUP($E:$E,Structure!$A:$AJ,Q$1,0)*$F125,0),IFERROR(VLOOKUP($G:$G,Structure!$A:$AJ,Q$1,0)*$H125,0))</f>
        <v>0</v>
      </c>
      <c r="R125" s="9">
        <f>SUM(IFERROR(VLOOKUP($C:$C,Structure!$A:$AJ,R$1,0)*$D125,0),IFERROR(VLOOKUP($E:$E,Structure!$A:$AJ,R$1,0)*$F125,0),IFERROR(VLOOKUP($G:$G,Structure!$A:$AJ,R$1,0)*$H125,0))</f>
        <v>0</v>
      </c>
      <c r="S125" s="9">
        <f>SUM(IFERROR(VLOOKUP($C:$C,Structure!$A:$AJ,S$1,0)*$D125,0),IFERROR(VLOOKUP($E:$E,Structure!$A:$AJ,S$1,0)*$F125,0),IFERROR(VLOOKUP($G:$G,Structure!$A:$AJ,S$1,0)*$H125,0))</f>
        <v>0</v>
      </c>
      <c r="T125" s="9">
        <f>SUM(IFERROR(VLOOKUP($C:$C,Structure!$A:$AJ,T$1,0)*$D125,0),IFERROR(VLOOKUP($E:$E,Structure!$A:$AJ,T$1,0)*$F125,0),IFERROR(VLOOKUP($G:$G,Structure!$A:$AJ,T$1,0)*$H125,0))</f>
        <v>0</v>
      </c>
      <c r="U125" s="9">
        <f>SUM(IFERROR(VLOOKUP($C:$C,Structure!$A:$AJ,U$1,0)*$D125,0),IFERROR(VLOOKUP($E:$E,Structure!$A:$AJ,U$1,0)*$F125,0),IFERROR(VLOOKUP($G:$G,Structure!$A:$AJ,U$1,0)*$H125,0))</f>
        <v>8</v>
      </c>
      <c r="V125" s="9">
        <f>SUM(IFERROR(VLOOKUP($C:$C,Structure!$A:$AJ,V$1,0)*$D125,0),IFERROR(VLOOKUP($E:$E,Structure!$A:$AJ,V$1,0)*$F125,0),IFERROR(VLOOKUP($G:$G,Structure!$A:$AJ,V$1,0)*$H125,0))</f>
        <v>0</v>
      </c>
      <c r="W125" s="9">
        <f>SUM(IFERROR(VLOOKUP($C:$C,Structure!$A:$AJ,W$1,0)*$D125,0),IFERROR(VLOOKUP($E:$E,Structure!$A:$AJ,W$1,0)*$F125,0),IFERROR(VLOOKUP($G:$G,Structure!$A:$AJ,W$1,0)*$H125,0))</f>
        <v>0</v>
      </c>
      <c r="X125" s="9">
        <f>SUM(IFERROR(VLOOKUP($C:$C,Structure!$A:$AJ,X$1,0)*$D125,0),IFERROR(VLOOKUP($E:$E,Structure!$A:$AJ,X$1,0)*$F125,0),IFERROR(VLOOKUP($G:$G,Structure!$A:$AJ,X$1,0)*$H125,0))</f>
        <v>0</v>
      </c>
      <c r="Y125" s="9">
        <f>SUM(IFERROR(VLOOKUP($C:$C,Structure!$A:$AJ,Y$1,0)*$D125,0),IFERROR(VLOOKUP($E:$E,Structure!$A:$AJ,Y$1,0)*$F125,0),IFERROR(VLOOKUP($G:$G,Structure!$A:$AJ,Y$1,0)*$H125,0))</f>
        <v>0</v>
      </c>
      <c r="Z125" s="9">
        <f>SUM(IFERROR(VLOOKUP($C:$C,Structure!$A:$AJ,Z$1,0)*$D125,0),IFERROR(VLOOKUP($E:$E,Structure!$A:$AJ,Z$1,0)*$F125,0),IFERROR(VLOOKUP($G:$G,Structure!$A:$AJ,Z$1,0)*$H125,0))</f>
        <v>0</v>
      </c>
      <c r="AA125" s="9">
        <f>SUM(IFERROR(VLOOKUP($C:$C,Structure!$A:$AJ,AA$1,0)*$D125,0),IFERROR(VLOOKUP($E:$E,Structure!$A:$AJ,AA$1,0)*$F125,0),IFERROR(VLOOKUP($G:$G,Structure!$A:$AJ,AA$1,0)*$H125,0))</f>
        <v>0</v>
      </c>
      <c r="AB125" s="9">
        <f>SUM(IFERROR(VLOOKUP($C:$C,Structure!$A:$AJ,AB$1,0)*$D125,0),IFERROR(VLOOKUP($E:$E,Structure!$A:$AJ,AB$1,0)*$F125,0),IFERROR(VLOOKUP($G:$G,Structure!$A:$AJ,AB$1,0)*$H125,0))</f>
        <v>0</v>
      </c>
      <c r="AC125" s="9">
        <f>SUM(IFERROR(VLOOKUP($C:$C,Structure!$A:$AJ,AC$1,0)*$D125,0),IFERROR(VLOOKUP($E:$E,Structure!$A:$AJ,AC$1,0)*$F125,0),IFERROR(VLOOKUP($G:$G,Structure!$A:$AJ,AC$1,0)*$H125,0))</f>
        <v>8</v>
      </c>
      <c r="AD125" s="9">
        <f>SUM(IFERROR(VLOOKUP($C:$C,Structure!$A:$AJ,AD$1,0)*$D125,0),IFERROR(VLOOKUP($E:$E,Structure!$A:$AJ,AD$1,0)*$F125,0),IFERROR(VLOOKUP($G:$G,Structure!$A:$AJ,AD$1,0)*$H125,0))</f>
        <v>0</v>
      </c>
      <c r="AE125" s="9">
        <f>SUM(IFERROR(VLOOKUP($C:$C,Structure!$A:$AJ,AE$1,0)*$D125,0),IFERROR(VLOOKUP($E:$E,Structure!$A:$AJ,AE$1,0)*$F125,0),IFERROR(VLOOKUP($G:$G,Structure!$A:$AJ,AE$1,0)*$H125,0))</f>
        <v>0</v>
      </c>
      <c r="AF125" s="9">
        <f>SUM(IFERROR(VLOOKUP($C:$C,Structure!$A:$AJ,AF$1,0)*$D125,0),IFERROR(VLOOKUP($E:$E,Structure!$A:$AJ,AF$1,0)*$F125,0),IFERROR(VLOOKUP($G:$G,Structure!$A:$AJ,AF$1,0)*$H125,0))</f>
        <v>0</v>
      </c>
      <c r="AG125" s="9">
        <f>SUM(IFERROR(VLOOKUP($C:$C,Structure!$A:$AJ,AG$1,0)*$D125,0),IFERROR(VLOOKUP($E:$E,Structure!$A:$AJ,AG$1,0)*$F125,0),IFERROR(VLOOKUP($G:$G,Structure!$A:$AJ,AG$1,0)*$H125,0))</f>
        <v>0</v>
      </c>
      <c r="AH125" s="9">
        <f>SUM(IFERROR(VLOOKUP($C:$C,Structure!$A:$AJ,AH$1,0)*$D125,0),IFERROR(VLOOKUP($E:$E,Structure!$A:$AJ,AH$1,0)*$F125,0),IFERROR(VLOOKUP($G:$G,Structure!$A:$AJ,AH$1,0)*$H125,0))</f>
        <v>0</v>
      </c>
      <c r="AI125" s="9">
        <f>SUM(IFERROR(VLOOKUP($C:$C,Structure!$A:$AJ,AI$1,0)*$D125,0),IFERROR(VLOOKUP($E:$E,Structure!$A:$AJ,AI$1,0)*$F125,0),IFERROR(VLOOKUP($G:$G,Structure!$A:$AJ,AI$1,0)*$H125,0))</f>
        <v>0</v>
      </c>
      <c r="AJ125" s="9">
        <f>SUM(IFERROR(VLOOKUP($C:$C,Structure!$A:$AJ,AJ$1,0)*$D125,0),IFERROR(VLOOKUP($E:$E,Structure!$A:$AJ,AJ$1,0)*$F125,0),IFERROR(VLOOKUP($G:$G,Structure!$A:$AJ,AJ$1,0)*$H125,0))</f>
        <v>0</v>
      </c>
      <c r="AK125" s="9">
        <f>SUM(IFERROR(VLOOKUP($C:$C,Structure!$A:$AJ,AK$1,0)*$D125,0),IFERROR(VLOOKUP($E:$E,Structure!$A:$AJ,AK$1,0)*$F125,0),IFERROR(VLOOKUP($G:$G,Structure!$A:$AJ,AK$1,0)*$H125,0))</f>
        <v>0</v>
      </c>
      <c r="AL125" s="9">
        <f>SUM(IFERROR(VLOOKUP($C:$C,Structure!$A:$AJ,AL$1,0)*$D125,0),IFERROR(VLOOKUP($E:$E,Structure!$A:$AJ,AL$1,0)*$F125,0),IFERROR(VLOOKUP($G:$G,Structure!$A:$AJ,AL$1,0)*$H125,0))</f>
        <v>0</v>
      </c>
      <c r="AM125" s="9">
        <f>SUM(IFERROR(VLOOKUP($C:$C,Structure!$A:$AJ,AM$1,0)*$D125,0),IFERROR(VLOOKUP($E:$E,Structure!$A:$AJ,AM$1,0)*$F125,0),IFERROR(VLOOKUP($G:$G,Structure!$A:$AJ,AM$1,0)*$H125,0))</f>
        <v>0</v>
      </c>
      <c r="AN125" s="9">
        <f>SUM(IFERROR(VLOOKUP($C:$C,Structure!$A:$AJ,AN$1,0)*$D125,0),IFERROR(VLOOKUP($E:$E,Structure!$A:$AJ,AN$1,0)*$F125,0),IFERROR(VLOOKUP($G:$G,Structure!$A:$AJ,AN$1,0)*$H125,0))</f>
        <v>0</v>
      </c>
      <c r="AO125" s="9">
        <f>SUM(IFERROR(VLOOKUP($C:$C,Structure!$A:$AJ,AO$1,0)*$D125,0),IFERROR(VLOOKUP($E:$E,Structure!$A:$AJ,AO$1,0)*$F125,0),IFERROR(VLOOKUP($G:$G,Structure!$A:$AJ,AO$1,0)*$H125,0))</f>
        <v>0</v>
      </c>
      <c r="AP125" s="9">
        <f>SUM(IFERROR(VLOOKUP($C:$C,Structure!$A:$AJ,AP$1,0)*$D125,0),IFERROR(VLOOKUP($E:$E,Structure!$A:$AJ,AP$1,0)*$F125,0),IFERROR(VLOOKUP($G:$G,Structure!$A:$AJ,AP$1,0)*$H125,0))</f>
        <v>0</v>
      </c>
      <c r="AQ125" s="9">
        <f>SUM(IFERROR(VLOOKUP($C:$C,Structure!$A:$AJ,AQ$1,0)*$D125,0),IFERROR(VLOOKUP($E:$E,Structure!$A:$AJ,AQ$1,0)*$F125,0),IFERROR(VLOOKUP($G:$G,Structure!$A:$AJ,AQ$1,0)*$H125,0))</f>
        <v>0</v>
      </c>
      <c r="AR125" s="21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4">
        <f t="shared" si="127"/>
        <v>0</v>
      </c>
      <c r="CE125" s="4">
        <f t="shared" si="128"/>
        <v>-84</v>
      </c>
      <c r="CF125" s="4">
        <f t="shared" si="129"/>
        <v>4</v>
      </c>
      <c r="CG125" s="4">
        <f t="shared" si="130"/>
        <v>14</v>
      </c>
      <c r="CH125" s="4">
        <f t="shared" si="131"/>
        <v>-7</v>
      </c>
      <c r="CI125" s="4">
        <f t="shared" si="132"/>
        <v>127</v>
      </c>
      <c r="CJ125" s="4">
        <f t="shared" si="133"/>
        <v>-141</v>
      </c>
      <c r="CK125" s="4">
        <f t="shared" si="134"/>
        <v>95</v>
      </c>
      <c r="CL125" s="4">
        <f t="shared" si="135"/>
        <v>0</v>
      </c>
      <c r="CM125" s="4">
        <f t="shared" si="136"/>
        <v>6</v>
      </c>
      <c r="CN125" s="4">
        <f t="shared" si="137"/>
        <v>-28</v>
      </c>
      <c r="CO125" s="4">
        <f t="shared" si="138"/>
        <v>0</v>
      </c>
      <c r="CP125" s="4">
        <f t="shared" si="139"/>
        <v>23</v>
      </c>
      <c r="CQ125" s="4">
        <f t="shared" si="140"/>
        <v>-154</v>
      </c>
      <c r="CR125" s="4">
        <f t="shared" si="141"/>
        <v>15</v>
      </c>
      <c r="CS125" s="4">
        <f t="shared" si="142"/>
        <v>-24</v>
      </c>
      <c r="CT125" s="4">
        <f t="shared" si="143"/>
        <v>0</v>
      </c>
      <c r="CU125" s="4">
        <f t="shared" si="144"/>
        <v>0</v>
      </c>
      <c r="CV125" s="4">
        <f t="shared" si="145"/>
        <v>0</v>
      </c>
      <c r="CW125" s="4">
        <f t="shared" si="146"/>
        <v>0</v>
      </c>
      <c r="CX125" s="4">
        <f t="shared" si="147"/>
        <v>-191</v>
      </c>
      <c r="CY125" s="4">
        <f t="shared" si="148"/>
        <v>0</v>
      </c>
      <c r="CZ125" s="4">
        <f t="shared" si="149"/>
        <v>0</v>
      </c>
      <c r="DA125" s="4">
        <f t="shared" si="150"/>
        <v>0</v>
      </c>
      <c r="DB125" s="4">
        <f t="shared" si="151"/>
        <v>0</v>
      </c>
      <c r="DC125" s="4">
        <f t="shared" si="152"/>
        <v>0</v>
      </c>
      <c r="DD125" s="4">
        <f t="shared" si="153"/>
        <v>0</v>
      </c>
      <c r="DE125" s="4">
        <f t="shared" si="154"/>
        <v>0</v>
      </c>
      <c r="DF125" s="4">
        <f t="shared" si="155"/>
        <v>0</v>
      </c>
      <c r="DG125" s="4">
        <f t="shared" si="156"/>
        <v>0</v>
      </c>
      <c r="DH125" s="4">
        <f t="shared" si="157"/>
        <v>0</v>
      </c>
      <c r="DI125" s="4">
        <f t="shared" si="158"/>
        <v>0</v>
      </c>
      <c r="DJ125" s="4">
        <f t="shared" si="159"/>
        <v>0</v>
      </c>
      <c r="DK125" s="4">
        <f t="shared" si="160"/>
        <v>0</v>
      </c>
      <c r="DL125" s="4">
        <f t="shared" si="161"/>
        <v>0</v>
      </c>
    </row>
    <row r="126" spans="1:116" x14ac:dyDescent="0.25">
      <c r="A126" s="5">
        <v>46185</v>
      </c>
      <c r="B126" s="6">
        <v>0.87500000029831426</v>
      </c>
      <c r="C126" s="3"/>
      <c r="D126" s="3"/>
      <c r="E126" s="3" t="s">
        <v>29</v>
      </c>
      <c r="F126" s="3">
        <v>4</v>
      </c>
      <c r="G126" s="3"/>
      <c r="H126" s="9"/>
      <c r="I126" s="9">
        <f>SUM(IFERROR(VLOOKUP($C:$C,Structure!$A:$AJ,I$1,0)*$D126,0),IFERROR(VLOOKUP($E:$E,Structure!$A:$AJ,I$1,0)*$F126,0),IFERROR(VLOOKUP($G:$G,Structure!$A:$AJ,I$1,0)*$H126,0))</f>
        <v>0</v>
      </c>
      <c r="J126" s="9">
        <f>SUM(IFERROR(VLOOKUP($C:$C,Structure!$A:$AJ,J$1,0)*$D126,0),IFERROR(VLOOKUP($E:$E,Structure!$A:$AJ,J$1,0)*$F126,0),IFERROR(VLOOKUP($G:$G,Structure!$A:$AJ,J$1,0)*$H126,0))</f>
        <v>0</v>
      </c>
      <c r="K126" s="9">
        <f>SUM(IFERROR(VLOOKUP($C:$C,Structure!$A:$AJ,K$1,0)*$D126,0),IFERROR(VLOOKUP($E:$E,Structure!$A:$AJ,K$1,0)*$F126,0),IFERROR(VLOOKUP($G:$G,Structure!$A:$AJ,K$1,0)*$H126,0))</f>
        <v>0</v>
      </c>
      <c r="L126" s="9">
        <f>SUM(IFERROR(VLOOKUP($C:$C,Structure!$A:$AJ,L$1,0)*$D126,0),IFERROR(VLOOKUP($E:$E,Structure!$A:$AJ,L$1,0)*$F126,0),IFERROR(VLOOKUP($G:$G,Structure!$A:$AJ,L$1,0)*$H126,0))</f>
        <v>0</v>
      </c>
      <c r="M126" s="9">
        <f>SUM(IFERROR(VLOOKUP($C:$C,Structure!$A:$AJ,M$1,0)*$D126,0),IFERROR(VLOOKUP($E:$E,Structure!$A:$AJ,M$1,0)*$F126,0),IFERROR(VLOOKUP($G:$G,Structure!$A:$AJ,M$1,0)*$H126,0))</f>
        <v>0</v>
      </c>
      <c r="N126" s="9">
        <f>SUM(IFERROR(VLOOKUP($C:$C,Structure!$A:$AJ,N$1,0)*$D126,0),IFERROR(VLOOKUP($E:$E,Structure!$A:$AJ,N$1,0)*$F126,0),IFERROR(VLOOKUP($G:$G,Structure!$A:$AJ,N$1,0)*$H126,0))</f>
        <v>0</v>
      </c>
      <c r="O126" s="9">
        <f>SUM(IFERROR(VLOOKUP($C:$C,Structure!$A:$AJ,O$1,0)*$D126,0),IFERROR(VLOOKUP($E:$E,Structure!$A:$AJ,O$1,0)*$F126,0),IFERROR(VLOOKUP($G:$G,Structure!$A:$AJ,O$1,0)*$H126,0))</f>
        <v>0</v>
      </c>
      <c r="P126" s="9">
        <f>SUM(IFERROR(VLOOKUP($C:$C,Structure!$A:$AJ,P$1,0)*$D126,0),IFERROR(VLOOKUP($E:$E,Structure!$A:$AJ,P$1,0)*$F126,0),IFERROR(VLOOKUP($G:$G,Structure!$A:$AJ,P$1,0)*$H126,0))</f>
        <v>0</v>
      </c>
      <c r="Q126" s="9">
        <f>SUM(IFERROR(VLOOKUP($C:$C,Structure!$A:$AJ,Q$1,0)*$D126,0),IFERROR(VLOOKUP($E:$E,Structure!$A:$AJ,Q$1,0)*$F126,0),IFERROR(VLOOKUP($G:$G,Structure!$A:$AJ,Q$1,0)*$H126,0))</f>
        <v>0</v>
      </c>
      <c r="R126" s="9">
        <f>SUM(IFERROR(VLOOKUP($C:$C,Structure!$A:$AJ,R$1,0)*$D126,0),IFERROR(VLOOKUP($E:$E,Structure!$A:$AJ,R$1,0)*$F126,0),IFERROR(VLOOKUP($G:$G,Structure!$A:$AJ,R$1,0)*$H126,0))</f>
        <v>0</v>
      </c>
      <c r="S126" s="9">
        <f>SUM(IFERROR(VLOOKUP($C:$C,Structure!$A:$AJ,S$1,0)*$D126,0),IFERROR(VLOOKUP($E:$E,Structure!$A:$AJ,S$1,0)*$F126,0),IFERROR(VLOOKUP($G:$G,Structure!$A:$AJ,S$1,0)*$H126,0))</f>
        <v>0</v>
      </c>
      <c r="T126" s="9">
        <f>SUM(IFERROR(VLOOKUP($C:$C,Structure!$A:$AJ,T$1,0)*$D126,0),IFERROR(VLOOKUP($E:$E,Structure!$A:$AJ,T$1,0)*$F126,0),IFERROR(VLOOKUP($G:$G,Structure!$A:$AJ,T$1,0)*$H126,0))</f>
        <v>0</v>
      </c>
      <c r="U126" s="9">
        <f>SUM(IFERROR(VLOOKUP($C:$C,Structure!$A:$AJ,U$1,0)*$D126,0),IFERROR(VLOOKUP($E:$E,Structure!$A:$AJ,U$1,0)*$F126,0),IFERROR(VLOOKUP($G:$G,Structure!$A:$AJ,U$1,0)*$H126,0))</f>
        <v>4</v>
      </c>
      <c r="V126" s="9">
        <f>SUM(IFERROR(VLOOKUP($C:$C,Structure!$A:$AJ,V$1,0)*$D126,0),IFERROR(VLOOKUP($E:$E,Structure!$A:$AJ,V$1,0)*$F126,0),IFERROR(VLOOKUP($G:$G,Structure!$A:$AJ,V$1,0)*$H126,0))</f>
        <v>0</v>
      </c>
      <c r="W126" s="9">
        <f>SUM(IFERROR(VLOOKUP($C:$C,Structure!$A:$AJ,W$1,0)*$D126,0),IFERROR(VLOOKUP($E:$E,Structure!$A:$AJ,W$1,0)*$F126,0),IFERROR(VLOOKUP($G:$G,Structure!$A:$AJ,W$1,0)*$H126,0))</f>
        <v>0</v>
      </c>
      <c r="X126" s="9">
        <f>SUM(IFERROR(VLOOKUP($C:$C,Structure!$A:$AJ,X$1,0)*$D126,0),IFERROR(VLOOKUP($E:$E,Structure!$A:$AJ,X$1,0)*$F126,0),IFERROR(VLOOKUP($G:$G,Structure!$A:$AJ,X$1,0)*$H126,0))</f>
        <v>0</v>
      </c>
      <c r="Y126" s="9">
        <f>SUM(IFERROR(VLOOKUP($C:$C,Structure!$A:$AJ,Y$1,0)*$D126,0),IFERROR(VLOOKUP($E:$E,Structure!$A:$AJ,Y$1,0)*$F126,0),IFERROR(VLOOKUP($G:$G,Structure!$A:$AJ,Y$1,0)*$H126,0))</f>
        <v>0</v>
      </c>
      <c r="Z126" s="9">
        <f>SUM(IFERROR(VLOOKUP($C:$C,Structure!$A:$AJ,Z$1,0)*$D126,0),IFERROR(VLOOKUP($E:$E,Structure!$A:$AJ,Z$1,0)*$F126,0),IFERROR(VLOOKUP($G:$G,Structure!$A:$AJ,Z$1,0)*$H126,0))</f>
        <v>0</v>
      </c>
      <c r="AA126" s="9">
        <f>SUM(IFERROR(VLOOKUP($C:$C,Structure!$A:$AJ,AA$1,0)*$D126,0),IFERROR(VLOOKUP($E:$E,Structure!$A:$AJ,AA$1,0)*$F126,0),IFERROR(VLOOKUP($G:$G,Structure!$A:$AJ,AA$1,0)*$H126,0))</f>
        <v>0</v>
      </c>
      <c r="AB126" s="9">
        <f>SUM(IFERROR(VLOOKUP($C:$C,Structure!$A:$AJ,AB$1,0)*$D126,0),IFERROR(VLOOKUP($E:$E,Structure!$A:$AJ,AB$1,0)*$F126,0),IFERROR(VLOOKUP($G:$G,Structure!$A:$AJ,AB$1,0)*$H126,0))</f>
        <v>0</v>
      </c>
      <c r="AC126" s="9">
        <f>SUM(IFERROR(VLOOKUP($C:$C,Structure!$A:$AJ,AC$1,0)*$D126,0),IFERROR(VLOOKUP($E:$E,Structure!$A:$AJ,AC$1,0)*$F126,0),IFERROR(VLOOKUP($G:$G,Structure!$A:$AJ,AC$1,0)*$H126,0))</f>
        <v>4</v>
      </c>
      <c r="AD126" s="9">
        <f>SUM(IFERROR(VLOOKUP($C:$C,Structure!$A:$AJ,AD$1,0)*$D126,0),IFERROR(VLOOKUP($E:$E,Structure!$A:$AJ,AD$1,0)*$F126,0),IFERROR(VLOOKUP($G:$G,Structure!$A:$AJ,AD$1,0)*$H126,0))</f>
        <v>0</v>
      </c>
      <c r="AE126" s="9">
        <f>SUM(IFERROR(VLOOKUP($C:$C,Structure!$A:$AJ,AE$1,0)*$D126,0),IFERROR(VLOOKUP($E:$E,Structure!$A:$AJ,AE$1,0)*$F126,0),IFERROR(VLOOKUP($G:$G,Structure!$A:$AJ,AE$1,0)*$H126,0))</f>
        <v>0</v>
      </c>
      <c r="AF126" s="9">
        <f>SUM(IFERROR(VLOOKUP($C:$C,Structure!$A:$AJ,AF$1,0)*$D126,0),IFERROR(VLOOKUP($E:$E,Structure!$A:$AJ,AF$1,0)*$F126,0),IFERROR(VLOOKUP($G:$G,Structure!$A:$AJ,AF$1,0)*$H126,0))</f>
        <v>0</v>
      </c>
      <c r="AG126" s="9">
        <f>SUM(IFERROR(VLOOKUP($C:$C,Structure!$A:$AJ,AG$1,0)*$D126,0),IFERROR(VLOOKUP($E:$E,Structure!$A:$AJ,AG$1,0)*$F126,0),IFERROR(VLOOKUP($G:$G,Structure!$A:$AJ,AG$1,0)*$H126,0))</f>
        <v>0</v>
      </c>
      <c r="AH126" s="9">
        <f>SUM(IFERROR(VLOOKUP($C:$C,Structure!$A:$AJ,AH$1,0)*$D126,0),IFERROR(VLOOKUP($E:$E,Structure!$A:$AJ,AH$1,0)*$F126,0),IFERROR(VLOOKUP($G:$G,Structure!$A:$AJ,AH$1,0)*$H126,0))</f>
        <v>0</v>
      </c>
      <c r="AI126" s="9">
        <f>SUM(IFERROR(VLOOKUP($C:$C,Structure!$A:$AJ,AI$1,0)*$D126,0),IFERROR(VLOOKUP($E:$E,Structure!$A:$AJ,AI$1,0)*$F126,0),IFERROR(VLOOKUP($G:$G,Structure!$A:$AJ,AI$1,0)*$H126,0))</f>
        <v>0</v>
      </c>
      <c r="AJ126" s="9">
        <f>SUM(IFERROR(VLOOKUP($C:$C,Structure!$A:$AJ,AJ$1,0)*$D126,0),IFERROR(VLOOKUP($E:$E,Structure!$A:$AJ,AJ$1,0)*$F126,0),IFERROR(VLOOKUP($G:$G,Structure!$A:$AJ,AJ$1,0)*$H126,0))</f>
        <v>0</v>
      </c>
      <c r="AK126" s="9">
        <f>SUM(IFERROR(VLOOKUP($C:$C,Structure!$A:$AJ,AK$1,0)*$D126,0),IFERROR(VLOOKUP($E:$E,Structure!$A:$AJ,AK$1,0)*$F126,0),IFERROR(VLOOKUP($G:$G,Structure!$A:$AJ,AK$1,0)*$H126,0))</f>
        <v>0</v>
      </c>
      <c r="AL126" s="9">
        <f>SUM(IFERROR(VLOOKUP($C:$C,Structure!$A:$AJ,AL$1,0)*$D126,0),IFERROR(VLOOKUP($E:$E,Structure!$A:$AJ,AL$1,0)*$F126,0),IFERROR(VLOOKUP($G:$G,Structure!$A:$AJ,AL$1,0)*$H126,0))</f>
        <v>0</v>
      </c>
      <c r="AM126" s="9">
        <f>SUM(IFERROR(VLOOKUP($C:$C,Structure!$A:$AJ,AM$1,0)*$D126,0),IFERROR(VLOOKUP($E:$E,Structure!$A:$AJ,AM$1,0)*$F126,0),IFERROR(VLOOKUP($G:$G,Structure!$A:$AJ,AM$1,0)*$H126,0))</f>
        <v>0</v>
      </c>
      <c r="AN126" s="9">
        <f>SUM(IFERROR(VLOOKUP($C:$C,Structure!$A:$AJ,AN$1,0)*$D126,0),IFERROR(VLOOKUP($E:$E,Structure!$A:$AJ,AN$1,0)*$F126,0),IFERROR(VLOOKUP($G:$G,Structure!$A:$AJ,AN$1,0)*$H126,0))</f>
        <v>0</v>
      </c>
      <c r="AO126" s="9">
        <f>SUM(IFERROR(VLOOKUP($C:$C,Structure!$A:$AJ,AO$1,0)*$D126,0),IFERROR(VLOOKUP($E:$E,Structure!$A:$AJ,AO$1,0)*$F126,0),IFERROR(VLOOKUP($G:$G,Structure!$A:$AJ,AO$1,0)*$H126,0))</f>
        <v>0</v>
      </c>
      <c r="AP126" s="9">
        <f>SUM(IFERROR(VLOOKUP($C:$C,Structure!$A:$AJ,AP$1,0)*$D126,0),IFERROR(VLOOKUP($E:$E,Structure!$A:$AJ,AP$1,0)*$F126,0),IFERROR(VLOOKUP($G:$G,Structure!$A:$AJ,AP$1,0)*$H126,0))</f>
        <v>0</v>
      </c>
      <c r="AQ126" s="9">
        <f>SUM(IFERROR(VLOOKUP($C:$C,Structure!$A:$AJ,AQ$1,0)*$D126,0),IFERROR(VLOOKUP($E:$E,Structure!$A:$AJ,AQ$1,0)*$F126,0),IFERROR(VLOOKUP($G:$G,Structure!$A:$AJ,AQ$1,0)*$H126,0))</f>
        <v>0</v>
      </c>
      <c r="AR126" s="21" t="s">
        <v>819</v>
      </c>
      <c r="AS126" s="3" t="s">
        <v>352</v>
      </c>
      <c r="AT126" s="3" t="s">
        <v>822</v>
      </c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>
        <v>150</v>
      </c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4">
        <f t="shared" si="127"/>
        <v>0</v>
      </c>
      <c r="CE126" s="4">
        <f t="shared" si="128"/>
        <v>-84</v>
      </c>
      <c r="CF126" s="4">
        <f t="shared" si="129"/>
        <v>4</v>
      </c>
      <c r="CG126" s="4">
        <f t="shared" si="130"/>
        <v>14</v>
      </c>
      <c r="CH126" s="4">
        <f t="shared" si="131"/>
        <v>-7</v>
      </c>
      <c r="CI126" s="4">
        <f t="shared" si="132"/>
        <v>127</v>
      </c>
      <c r="CJ126" s="4">
        <f t="shared" si="133"/>
        <v>-141</v>
      </c>
      <c r="CK126" s="4">
        <f t="shared" si="134"/>
        <v>95</v>
      </c>
      <c r="CL126" s="4">
        <f t="shared" si="135"/>
        <v>0</v>
      </c>
      <c r="CM126" s="4">
        <f t="shared" si="136"/>
        <v>6</v>
      </c>
      <c r="CN126" s="4">
        <f t="shared" si="137"/>
        <v>-28</v>
      </c>
      <c r="CO126" s="4">
        <f t="shared" si="138"/>
        <v>0</v>
      </c>
      <c r="CP126" s="4">
        <f t="shared" si="139"/>
        <v>19</v>
      </c>
      <c r="CQ126" s="4">
        <f t="shared" si="140"/>
        <v>-154</v>
      </c>
      <c r="CR126" s="4">
        <f t="shared" si="141"/>
        <v>15</v>
      </c>
      <c r="CS126" s="4">
        <f t="shared" si="142"/>
        <v>-24</v>
      </c>
      <c r="CT126" s="4">
        <f t="shared" si="143"/>
        <v>0</v>
      </c>
      <c r="CU126" s="4">
        <f t="shared" si="144"/>
        <v>0</v>
      </c>
      <c r="CV126" s="4">
        <f t="shared" si="145"/>
        <v>0</v>
      </c>
      <c r="CW126" s="4">
        <f t="shared" si="146"/>
        <v>0</v>
      </c>
      <c r="CX126" s="4">
        <f t="shared" si="147"/>
        <v>-45</v>
      </c>
      <c r="CY126" s="4">
        <f t="shared" si="148"/>
        <v>0</v>
      </c>
      <c r="CZ126" s="4">
        <f t="shared" si="149"/>
        <v>0</v>
      </c>
      <c r="DA126" s="4">
        <f t="shared" si="150"/>
        <v>0</v>
      </c>
      <c r="DB126" s="4">
        <f t="shared" si="151"/>
        <v>0</v>
      </c>
      <c r="DC126" s="4">
        <f t="shared" si="152"/>
        <v>0</v>
      </c>
      <c r="DD126" s="4">
        <f t="shared" si="153"/>
        <v>0</v>
      </c>
      <c r="DE126" s="4">
        <f t="shared" si="154"/>
        <v>0</v>
      </c>
      <c r="DF126" s="4">
        <f t="shared" si="155"/>
        <v>0</v>
      </c>
      <c r="DG126" s="4">
        <f t="shared" si="156"/>
        <v>0</v>
      </c>
      <c r="DH126" s="4">
        <f t="shared" si="157"/>
        <v>0</v>
      </c>
      <c r="DI126" s="4">
        <f t="shared" si="158"/>
        <v>0</v>
      </c>
      <c r="DJ126" s="4">
        <f t="shared" si="159"/>
        <v>0</v>
      </c>
      <c r="DK126" s="4">
        <f t="shared" si="160"/>
        <v>0</v>
      </c>
      <c r="DL126" s="4">
        <f t="shared" si="161"/>
        <v>0</v>
      </c>
    </row>
    <row r="127" spans="1:116" x14ac:dyDescent="0.25">
      <c r="A127" s="5">
        <v>46185</v>
      </c>
      <c r="B127" s="6">
        <v>0.89583333363407291</v>
      </c>
      <c r="C127" s="3"/>
      <c r="D127" s="3"/>
      <c r="E127" s="3" t="s">
        <v>30</v>
      </c>
      <c r="F127" s="3">
        <v>8</v>
      </c>
      <c r="G127" s="3"/>
      <c r="H127" s="9"/>
      <c r="I127" s="9">
        <f>SUM(IFERROR(VLOOKUP($C:$C,Structure!$A:$AJ,I$1,0)*$D127,0),IFERROR(VLOOKUP($E:$E,Structure!$A:$AJ,I$1,0)*$F127,0),IFERROR(VLOOKUP($G:$G,Structure!$A:$AJ,I$1,0)*$H127,0))</f>
        <v>0</v>
      </c>
      <c r="J127" s="9">
        <f>SUM(IFERROR(VLOOKUP($C:$C,Structure!$A:$AJ,J$1,0)*$D127,0),IFERROR(VLOOKUP($E:$E,Structure!$A:$AJ,J$1,0)*$F127,0),IFERROR(VLOOKUP($G:$G,Structure!$A:$AJ,J$1,0)*$H127,0))</f>
        <v>0</v>
      </c>
      <c r="K127" s="9">
        <f>SUM(IFERROR(VLOOKUP($C:$C,Structure!$A:$AJ,K$1,0)*$D127,0),IFERROR(VLOOKUP($E:$E,Structure!$A:$AJ,K$1,0)*$F127,0),IFERROR(VLOOKUP($G:$G,Structure!$A:$AJ,K$1,0)*$H127,0))</f>
        <v>0</v>
      </c>
      <c r="L127" s="9">
        <f>SUM(IFERROR(VLOOKUP($C:$C,Structure!$A:$AJ,L$1,0)*$D127,0),IFERROR(VLOOKUP($E:$E,Structure!$A:$AJ,L$1,0)*$F127,0),IFERROR(VLOOKUP($G:$G,Structure!$A:$AJ,L$1,0)*$H127,0))</f>
        <v>0</v>
      </c>
      <c r="M127" s="9">
        <f>SUM(IFERROR(VLOOKUP($C:$C,Structure!$A:$AJ,M$1,0)*$D127,0),IFERROR(VLOOKUP($E:$E,Structure!$A:$AJ,M$1,0)*$F127,0),IFERROR(VLOOKUP($G:$G,Structure!$A:$AJ,M$1,0)*$H127,0))</f>
        <v>0</v>
      </c>
      <c r="N127" s="9">
        <f>SUM(IFERROR(VLOOKUP($C:$C,Structure!$A:$AJ,N$1,0)*$D127,0),IFERROR(VLOOKUP($E:$E,Structure!$A:$AJ,N$1,0)*$F127,0),IFERROR(VLOOKUP($G:$G,Structure!$A:$AJ,N$1,0)*$H127,0))</f>
        <v>0</v>
      </c>
      <c r="O127" s="9">
        <f>SUM(IFERROR(VLOOKUP($C:$C,Structure!$A:$AJ,O$1,0)*$D127,0),IFERROR(VLOOKUP($E:$E,Structure!$A:$AJ,O$1,0)*$F127,0),IFERROR(VLOOKUP($G:$G,Structure!$A:$AJ,O$1,0)*$H127,0))</f>
        <v>0</v>
      </c>
      <c r="P127" s="9">
        <f>SUM(IFERROR(VLOOKUP($C:$C,Structure!$A:$AJ,P$1,0)*$D127,0),IFERROR(VLOOKUP($E:$E,Structure!$A:$AJ,P$1,0)*$F127,0),IFERROR(VLOOKUP($G:$G,Structure!$A:$AJ,P$1,0)*$H127,0))</f>
        <v>0</v>
      </c>
      <c r="Q127" s="9">
        <f>SUM(IFERROR(VLOOKUP($C:$C,Structure!$A:$AJ,Q$1,0)*$D127,0),IFERROR(VLOOKUP($E:$E,Structure!$A:$AJ,Q$1,0)*$F127,0),IFERROR(VLOOKUP($G:$G,Structure!$A:$AJ,Q$1,0)*$H127,0))</f>
        <v>0</v>
      </c>
      <c r="R127" s="9">
        <f>SUM(IFERROR(VLOOKUP($C:$C,Structure!$A:$AJ,R$1,0)*$D127,0),IFERROR(VLOOKUP($E:$E,Structure!$A:$AJ,R$1,0)*$F127,0),IFERROR(VLOOKUP($G:$G,Structure!$A:$AJ,R$1,0)*$H127,0))</f>
        <v>0</v>
      </c>
      <c r="S127" s="9">
        <f>SUM(IFERROR(VLOOKUP($C:$C,Structure!$A:$AJ,S$1,0)*$D127,0),IFERROR(VLOOKUP($E:$E,Structure!$A:$AJ,S$1,0)*$F127,0),IFERROR(VLOOKUP($G:$G,Structure!$A:$AJ,S$1,0)*$H127,0))</f>
        <v>0</v>
      </c>
      <c r="T127" s="9">
        <f>SUM(IFERROR(VLOOKUP($C:$C,Structure!$A:$AJ,T$1,0)*$D127,0),IFERROR(VLOOKUP($E:$E,Structure!$A:$AJ,T$1,0)*$F127,0),IFERROR(VLOOKUP($G:$G,Structure!$A:$AJ,T$1,0)*$H127,0))</f>
        <v>0</v>
      </c>
      <c r="U127" s="9">
        <f>SUM(IFERROR(VLOOKUP($C:$C,Structure!$A:$AJ,U$1,0)*$D127,0),IFERROR(VLOOKUP($E:$E,Structure!$A:$AJ,U$1,0)*$F127,0),IFERROR(VLOOKUP($G:$G,Structure!$A:$AJ,U$1,0)*$H127,0))</f>
        <v>0</v>
      </c>
      <c r="V127" s="9">
        <f>SUM(IFERROR(VLOOKUP($C:$C,Structure!$A:$AJ,V$1,0)*$D127,0),IFERROR(VLOOKUP($E:$E,Structure!$A:$AJ,V$1,0)*$F127,0),IFERROR(VLOOKUP($G:$G,Structure!$A:$AJ,V$1,0)*$H127,0))</f>
        <v>8</v>
      </c>
      <c r="W127" s="9">
        <f>SUM(IFERROR(VLOOKUP($C:$C,Structure!$A:$AJ,W$1,0)*$D127,0),IFERROR(VLOOKUP($E:$E,Structure!$A:$AJ,W$1,0)*$F127,0),IFERROR(VLOOKUP($G:$G,Structure!$A:$AJ,W$1,0)*$H127,0))</f>
        <v>0</v>
      </c>
      <c r="X127" s="9">
        <f>SUM(IFERROR(VLOOKUP($C:$C,Structure!$A:$AJ,X$1,0)*$D127,0),IFERROR(VLOOKUP($E:$E,Structure!$A:$AJ,X$1,0)*$F127,0),IFERROR(VLOOKUP($G:$G,Structure!$A:$AJ,X$1,0)*$H127,0))</f>
        <v>0</v>
      </c>
      <c r="Y127" s="9">
        <f>SUM(IFERROR(VLOOKUP($C:$C,Structure!$A:$AJ,Y$1,0)*$D127,0),IFERROR(VLOOKUP($E:$E,Structure!$A:$AJ,Y$1,0)*$F127,0),IFERROR(VLOOKUP($G:$G,Structure!$A:$AJ,Y$1,0)*$H127,0))</f>
        <v>0</v>
      </c>
      <c r="Z127" s="9">
        <f>SUM(IFERROR(VLOOKUP($C:$C,Structure!$A:$AJ,Z$1,0)*$D127,0),IFERROR(VLOOKUP($E:$E,Structure!$A:$AJ,Z$1,0)*$F127,0),IFERROR(VLOOKUP($G:$G,Structure!$A:$AJ,Z$1,0)*$H127,0))</f>
        <v>0</v>
      </c>
      <c r="AA127" s="9">
        <f>SUM(IFERROR(VLOOKUP($C:$C,Structure!$A:$AJ,AA$1,0)*$D127,0),IFERROR(VLOOKUP($E:$E,Structure!$A:$AJ,AA$1,0)*$F127,0),IFERROR(VLOOKUP($G:$G,Structure!$A:$AJ,AA$1,0)*$H127,0))</f>
        <v>0</v>
      </c>
      <c r="AB127" s="9">
        <f>SUM(IFERROR(VLOOKUP($C:$C,Structure!$A:$AJ,AB$1,0)*$D127,0),IFERROR(VLOOKUP($E:$E,Structure!$A:$AJ,AB$1,0)*$F127,0),IFERROR(VLOOKUP($G:$G,Structure!$A:$AJ,AB$1,0)*$H127,0))</f>
        <v>0</v>
      </c>
      <c r="AC127" s="9">
        <f>SUM(IFERROR(VLOOKUP($C:$C,Structure!$A:$AJ,AC$1,0)*$D127,0),IFERROR(VLOOKUP($E:$E,Structure!$A:$AJ,AC$1,0)*$F127,0),IFERROR(VLOOKUP($G:$G,Structure!$A:$AJ,AC$1,0)*$H127,0))</f>
        <v>8</v>
      </c>
      <c r="AD127" s="9">
        <f>SUM(IFERROR(VLOOKUP($C:$C,Structure!$A:$AJ,AD$1,0)*$D127,0),IFERROR(VLOOKUP($E:$E,Structure!$A:$AJ,AD$1,0)*$F127,0),IFERROR(VLOOKUP($G:$G,Structure!$A:$AJ,AD$1,0)*$H127,0))</f>
        <v>0</v>
      </c>
      <c r="AE127" s="9">
        <f>SUM(IFERROR(VLOOKUP($C:$C,Structure!$A:$AJ,AE$1,0)*$D127,0),IFERROR(VLOOKUP($E:$E,Structure!$A:$AJ,AE$1,0)*$F127,0),IFERROR(VLOOKUP($G:$G,Structure!$A:$AJ,AE$1,0)*$H127,0))</f>
        <v>0</v>
      </c>
      <c r="AF127" s="9">
        <f>SUM(IFERROR(VLOOKUP($C:$C,Structure!$A:$AJ,AF$1,0)*$D127,0),IFERROR(VLOOKUP($E:$E,Structure!$A:$AJ,AF$1,0)*$F127,0),IFERROR(VLOOKUP($G:$G,Structure!$A:$AJ,AF$1,0)*$H127,0))</f>
        <v>0</v>
      </c>
      <c r="AG127" s="9">
        <f>SUM(IFERROR(VLOOKUP($C:$C,Structure!$A:$AJ,AG$1,0)*$D127,0),IFERROR(VLOOKUP($E:$E,Structure!$A:$AJ,AG$1,0)*$F127,0),IFERROR(VLOOKUP($G:$G,Structure!$A:$AJ,AG$1,0)*$H127,0))</f>
        <v>0</v>
      </c>
      <c r="AH127" s="9">
        <f>SUM(IFERROR(VLOOKUP($C:$C,Structure!$A:$AJ,AH$1,0)*$D127,0),IFERROR(VLOOKUP($E:$E,Structure!$A:$AJ,AH$1,0)*$F127,0),IFERROR(VLOOKUP($G:$G,Structure!$A:$AJ,AH$1,0)*$H127,0))</f>
        <v>0</v>
      </c>
      <c r="AI127" s="9">
        <f>SUM(IFERROR(VLOOKUP($C:$C,Structure!$A:$AJ,AI$1,0)*$D127,0),IFERROR(VLOOKUP($E:$E,Structure!$A:$AJ,AI$1,0)*$F127,0),IFERROR(VLOOKUP($G:$G,Structure!$A:$AJ,AI$1,0)*$H127,0))</f>
        <v>0</v>
      </c>
      <c r="AJ127" s="9">
        <f>SUM(IFERROR(VLOOKUP($C:$C,Structure!$A:$AJ,AJ$1,0)*$D127,0),IFERROR(VLOOKUP($E:$E,Structure!$A:$AJ,AJ$1,0)*$F127,0),IFERROR(VLOOKUP($G:$G,Structure!$A:$AJ,AJ$1,0)*$H127,0))</f>
        <v>0</v>
      </c>
      <c r="AK127" s="9">
        <f>SUM(IFERROR(VLOOKUP($C:$C,Structure!$A:$AJ,AK$1,0)*$D127,0),IFERROR(VLOOKUP($E:$E,Structure!$A:$AJ,AK$1,0)*$F127,0),IFERROR(VLOOKUP($G:$G,Structure!$A:$AJ,AK$1,0)*$H127,0))</f>
        <v>0</v>
      </c>
      <c r="AL127" s="9">
        <f>SUM(IFERROR(VLOOKUP($C:$C,Structure!$A:$AJ,AL$1,0)*$D127,0),IFERROR(VLOOKUP($E:$E,Structure!$A:$AJ,AL$1,0)*$F127,0),IFERROR(VLOOKUP($G:$G,Structure!$A:$AJ,AL$1,0)*$H127,0))</f>
        <v>0</v>
      </c>
      <c r="AM127" s="9">
        <f>SUM(IFERROR(VLOOKUP($C:$C,Structure!$A:$AJ,AM$1,0)*$D127,0),IFERROR(VLOOKUP($E:$E,Structure!$A:$AJ,AM$1,0)*$F127,0),IFERROR(VLOOKUP($G:$G,Structure!$A:$AJ,AM$1,0)*$H127,0))</f>
        <v>0</v>
      </c>
      <c r="AN127" s="9">
        <f>SUM(IFERROR(VLOOKUP($C:$C,Structure!$A:$AJ,AN$1,0)*$D127,0),IFERROR(VLOOKUP($E:$E,Structure!$A:$AJ,AN$1,0)*$F127,0),IFERROR(VLOOKUP($G:$G,Structure!$A:$AJ,AN$1,0)*$H127,0))</f>
        <v>0</v>
      </c>
      <c r="AO127" s="9">
        <f>SUM(IFERROR(VLOOKUP($C:$C,Structure!$A:$AJ,AO$1,0)*$D127,0),IFERROR(VLOOKUP($E:$E,Structure!$A:$AJ,AO$1,0)*$F127,0),IFERROR(VLOOKUP($G:$G,Structure!$A:$AJ,AO$1,0)*$H127,0))</f>
        <v>0</v>
      </c>
      <c r="AP127" s="9">
        <f>SUM(IFERROR(VLOOKUP($C:$C,Structure!$A:$AJ,AP$1,0)*$D127,0),IFERROR(VLOOKUP($E:$E,Structure!$A:$AJ,AP$1,0)*$F127,0),IFERROR(VLOOKUP($G:$G,Structure!$A:$AJ,AP$1,0)*$H127,0))</f>
        <v>0</v>
      </c>
      <c r="AQ127" s="9">
        <f>SUM(IFERROR(VLOOKUP($C:$C,Structure!$A:$AJ,AQ$1,0)*$D127,0),IFERROR(VLOOKUP($E:$E,Structure!$A:$AJ,AQ$1,0)*$F127,0),IFERROR(VLOOKUP($G:$G,Structure!$A:$AJ,AQ$1,0)*$H127,0))</f>
        <v>0</v>
      </c>
      <c r="AR127" s="21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4">
        <f t="shared" si="127"/>
        <v>0</v>
      </c>
      <c r="CE127" s="4">
        <f t="shared" si="128"/>
        <v>-84</v>
      </c>
      <c r="CF127" s="4">
        <f t="shared" si="129"/>
        <v>4</v>
      </c>
      <c r="CG127" s="4">
        <f t="shared" si="130"/>
        <v>14</v>
      </c>
      <c r="CH127" s="4">
        <f t="shared" si="131"/>
        <v>-7</v>
      </c>
      <c r="CI127" s="4">
        <f t="shared" si="132"/>
        <v>127</v>
      </c>
      <c r="CJ127" s="4">
        <f t="shared" si="133"/>
        <v>-141</v>
      </c>
      <c r="CK127" s="4">
        <f t="shared" si="134"/>
        <v>95</v>
      </c>
      <c r="CL127" s="4">
        <f t="shared" si="135"/>
        <v>0</v>
      </c>
      <c r="CM127" s="4">
        <f t="shared" si="136"/>
        <v>6</v>
      </c>
      <c r="CN127" s="4">
        <f t="shared" si="137"/>
        <v>-28</v>
      </c>
      <c r="CO127" s="4">
        <f t="shared" si="138"/>
        <v>0</v>
      </c>
      <c r="CP127" s="4">
        <f t="shared" si="139"/>
        <v>19</v>
      </c>
      <c r="CQ127" s="4">
        <f t="shared" si="140"/>
        <v>-162</v>
      </c>
      <c r="CR127" s="4">
        <f t="shared" si="141"/>
        <v>15</v>
      </c>
      <c r="CS127" s="4">
        <f t="shared" si="142"/>
        <v>-24</v>
      </c>
      <c r="CT127" s="4">
        <f t="shared" si="143"/>
        <v>0</v>
      </c>
      <c r="CU127" s="4">
        <f t="shared" si="144"/>
        <v>0</v>
      </c>
      <c r="CV127" s="4">
        <f t="shared" si="145"/>
        <v>0</v>
      </c>
      <c r="CW127" s="4">
        <f t="shared" si="146"/>
        <v>0</v>
      </c>
      <c r="CX127" s="4">
        <f t="shared" si="147"/>
        <v>-53</v>
      </c>
      <c r="CY127" s="4">
        <f t="shared" si="148"/>
        <v>0</v>
      </c>
      <c r="CZ127" s="4">
        <f t="shared" si="149"/>
        <v>0</v>
      </c>
      <c r="DA127" s="4">
        <f t="shared" si="150"/>
        <v>0</v>
      </c>
      <c r="DB127" s="4">
        <f t="shared" si="151"/>
        <v>0</v>
      </c>
      <c r="DC127" s="4">
        <f t="shared" si="152"/>
        <v>0</v>
      </c>
      <c r="DD127" s="4">
        <f t="shared" si="153"/>
        <v>0</v>
      </c>
      <c r="DE127" s="4">
        <f t="shared" si="154"/>
        <v>0</v>
      </c>
      <c r="DF127" s="4">
        <f t="shared" si="155"/>
        <v>0</v>
      </c>
      <c r="DG127" s="4">
        <f t="shared" si="156"/>
        <v>0</v>
      </c>
      <c r="DH127" s="4">
        <f t="shared" si="157"/>
        <v>0</v>
      </c>
      <c r="DI127" s="4">
        <f t="shared" si="158"/>
        <v>0</v>
      </c>
      <c r="DJ127" s="4">
        <f t="shared" si="159"/>
        <v>0</v>
      </c>
      <c r="DK127" s="4">
        <f t="shared" si="160"/>
        <v>0</v>
      </c>
      <c r="DL127" s="4">
        <f t="shared" si="161"/>
        <v>0</v>
      </c>
    </row>
    <row r="128" spans="1:116" x14ac:dyDescent="0.25">
      <c r="A128" s="5">
        <v>46185</v>
      </c>
      <c r="B128" s="6">
        <v>0.91666666696983157</v>
      </c>
      <c r="C128" s="3"/>
      <c r="D128" s="3"/>
      <c r="E128" s="3" t="s">
        <v>30</v>
      </c>
      <c r="F128" s="3">
        <v>8</v>
      </c>
      <c r="G128" s="3"/>
      <c r="H128" s="9"/>
      <c r="I128" s="9">
        <f>SUM(IFERROR(VLOOKUP($C:$C,Structure!$A:$AJ,I$1,0)*$D128,0),IFERROR(VLOOKUP($E:$E,Structure!$A:$AJ,I$1,0)*$F128,0),IFERROR(VLOOKUP($G:$G,Structure!$A:$AJ,I$1,0)*$H128,0))</f>
        <v>0</v>
      </c>
      <c r="J128" s="9">
        <f>SUM(IFERROR(VLOOKUP($C:$C,Structure!$A:$AJ,J$1,0)*$D128,0),IFERROR(VLOOKUP($E:$E,Structure!$A:$AJ,J$1,0)*$F128,0),IFERROR(VLOOKUP($G:$G,Structure!$A:$AJ,J$1,0)*$H128,0))</f>
        <v>0</v>
      </c>
      <c r="K128" s="9">
        <f>SUM(IFERROR(VLOOKUP($C:$C,Structure!$A:$AJ,K$1,0)*$D128,0),IFERROR(VLOOKUP($E:$E,Structure!$A:$AJ,K$1,0)*$F128,0),IFERROR(VLOOKUP($G:$G,Structure!$A:$AJ,K$1,0)*$H128,0))</f>
        <v>0</v>
      </c>
      <c r="L128" s="9">
        <f>SUM(IFERROR(VLOOKUP($C:$C,Structure!$A:$AJ,L$1,0)*$D128,0),IFERROR(VLOOKUP($E:$E,Structure!$A:$AJ,L$1,0)*$F128,0),IFERROR(VLOOKUP($G:$G,Structure!$A:$AJ,L$1,0)*$H128,0))</f>
        <v>0</v>
      </c>
      <c r="M128" s="9">
        <f>SUM(IFERROR(VLOOKUP($C:$C,Structure!$A:$AJ,M$1,0)*$D128,0),IFERROR(VLOOKUP($E:$E,Structure!$A:$AJ,M$1,0)*$F128,0),IFERROR(VLOOKUP($G:$G,Structure!$A:$AJ,M$1,0)*$H128,0))</f>
        <v>0</v>
      </c>
      <c r="N128" s="9">
        <f>SUM(IFERROR(VLOOKUP($C:$C,Structure!$A:$AJ,N$1,0)*$D128,0),IFERROR(VLOOKUP($E:$E,Structure!$A:$AJ,N$1,0)*$F128,0),IFERROR(VLOOKUP($G:$G,Structure!$A:$AJ,N$1,0)*$H128,0))</f>
        <v>0</v>
      </c>
      <c r="O128" s="9">
        <f>SUM(IFERROR(VLOOKUP($C:$C,Structure!$A:$AJ,O$1,0)*$D128,0),IFERROR(VLOOKUP($E:$E,Structure!$A:$AJ,O$1,0)*$F128,0),IFERROR(VLOOKUP($G:$G,Structure!$A:$AJ,O$1,0)*$H128,0))</f>
        <v>0</v>
      </c>
      <c r="P128" s="9">
        <f>SUM(IFERROR(VLOOKUP($C:$C,Structure!$A:$AJ,P$1,0)*$D128,0),IFERROR(VLOOKUP($E:$E,Structure!$A:$AJ,P$1,0)*$F128,0),IFERROR(VLOOKUP($G:$G,Structure!$A:$AJ,P$1,0)*$H128,0))</f>
        <v>0</v>
      </c>
      <c r="Q128" s="9">
        <f>SUM(IFERROR(VLOOKUP($C:$C,Structure!$A:$AJ,Q$1,0)*$D128,0),IFERROR(VLOOKUP($E:$E,Structure!$A:$AJ,Q$1,0)*$F128,0),IFERROR(VLOOKUP($G:$G,Structure!$A:$AJ,Q$1,0)*$H128,0))</f>
        <v>0</v>
      </c>
      <c r="R128" s="9">
        <f>SUM(IFERROR(VLOOKUP($C:$C,Structure!$A:$AJ,R$1,0)*$D128,0),IFERROR(VLOOKUP($E:$E,Structure!$A:$AJ,R$1,0)*$F128,0),IFERROR(VLOOKUP($G:$G,Structure!$A:$AJ,R$1,0)*$H128,0))</f>
        <v>0</v>
      </c>
      <c r="S128" s="9">
        <f>SUM(IFERROR(VLOOKUP($C:$C,Structure!$A:$AJ,S$1,0)*$D128,0),IFERROR(VLOOKUP($E:$E,Structure!$A:$AJ,S$1,0)*$F128,0),IFERROR(VLOOKUP($G:$G,Structure!$A:$AJ,S$1,0)*$H128,0))</f>
        <v>0</v>
      </c>
      <c r="T128" s="9">
        <f>SUM(IFERROR(VLOOKUP($C:$C,Structure!$A:$AJ,T$1,0)*$D128,0),IFERROR(VLOOKUP($E:$E,Structure!$A:$AJ,T$1,0)*$F128,0),IFERROR(VLOOKUP($G:$G,Structure!$A:$AJ,T$1,0)*$H128,0))</f>
        <v>0</v>
      </c>
      <c r="U128" s="9">
        <f>SUM(IFERROR(VLOOKUP($C:$C,Structure!$A:$AJ,U$1,0)*$D128,0),IFERROR(VLOOKUP($E:$E,Structure!$A:$AJ,U$1,0)*$F128,0),IFERROR(VLOOKUP($G:$G,Structure!$A:$AJ,U$1,0)*$H128,0))</f>
        <v>0</v>
      </c>
      <c r="V128" s="9">
        <f>SUM(IFERROR(VLOOKUP($C:$C,Structure!$A:$AJ,V$1,0)*$D128,0),IFERROR(VLOOKUP($E:$E,Structure!$A:$AJ,V$1,0)*$F128,0),IFERROR(VLOOKUP($G:$G,Structure!$A:$AJ,V$1,0)*$H128,0))</f>
        <v>8</v>
      </c>
      <c r="W128" s="9">
        <f>SUM(IFERROR(VLOOKUP($C:$C,Structure!$A:$AJ,W$1,0)*$D128,0),IFERROR(VLOOKUP($E:$E,Structure!$A:$AJ,W$1,0)*$F128,0),IFERROR(VLOOKUP($G:$G,Structure!$A:$AJ,W$1,0)*$H128,0))</f>
        <v>0</v>
      </c>
      <c r="X128" s="9">
        <f>SUM(IFERROR(VLOOKUP($C:$C,Structure!$A:$AJ,X$1,0)*$D128,0),IFERROR(VLOOKUP($E:$E,Structure!$A:$AJ,X$1,0)*$F128,0),IFERROR(VLOOKUP($G:$G,Structure!$A:$AJ,X$1,0)*$H128,0))</f>
        <v>0</v>
      </c>
      <c r="Y128" s="9">
        <f>SUM(IFERROR(VLOOKUP($C:$C,Structure!$A:$AJ,Y$1,0)*$D128,0),IFERROR(VLOOKUP($E:$E,Structure!$A:$AJ,Y$1,0)*$F128,0),IFERROR(VLOOKUP($G:$G,Structure!$A:$AJ,Y$1,0)*$H128,0))</f>
        <v>0</v>
      </c>
      <c r="Z128" s="9">
        <f>SUM(IFERROR(VLOOKUP($C:$C,Structure!$A:$AJ,Z$1,0)*$D128,0),IFERROR(VLOOKUP($E:$E,Structure!$A:$AJ,Z$1,0)*$F128,0),IFERROR(VLOOKUP($G:$G,Structure!$A:$AJ,Z$1,0)*$H128,0))</f>
        <v>0</v>
      </c>
      <c r="AA128" s="9">
        <f>SUM(IFERROR(VLOOKUP($C:$C,Structure!$A:$AJ,AA$1,0)*$D128,0),IFERROR(VLOOKUP($E:$E,Structure!$A:$AJ,AA$1,0)*$F128,0),IFERROR(VLOOKUP($G:$G,Structure!$A:$AJ,AA$1,0)*$H128,0))</f>
        <v>0</v>
      </c>
      <c r="AB128" s="9">
        <f>SUM(IFERROR(VLOOKUP($C:$C,Structure!$A:$AJ,AB$1,0)*$D128,0),IFERROR(VLOOKUP($E:$E,Structure!$A:$AJ,AB$1,0)*$F128,0),IFERROR(VLOOKUP($G:$G,Structure!$A:$AJ,AB$1,0)*$H128,0))</f>
        <v>0</v>
      </c>
      <c r="AC128" s="9">
        <f>SUM(IFERROR(VLOOKUP($C:$C,Structure!$A:$AJ,AC$1,0)*$D128,0),IFERROR(VLOOKUP($E:$E,Structure!$A:$AJ,AC$1,0)*$F128,0),IFERROR(VLOOKUP($G:$G,Structure!$A:$AJ,AC$1,0)*$H128,0))</f>
        <v>8</v>
      </c>
      <c r="AD128" s="9">
        <f>SUM(IFERROR(VLOOKUP($C:$C,Structure!$A:$AJ,AD$1,0)*$D128,0),IFERROR(VLOOKUP($E:$E,Structure!$A:$AJ,AD$1,0)*$F128,0),IFERROR(VLOOKUP($G:$G,Structure!$A:$AJ,AD$1,0)*$H128,0))</f>
        <v>0</v>
      </c>
      <c r="AE128" s="9">
        <f>SUM(IFERROR(VLOOKUP($C:$C,Structure!$A:$AJ,AE$1,0)*$D128,0),IFERROR(VLOOKUP($E:$E,Structure!$A:$AJ,AE$1,0)*$F128,0),IFERROR(VLOOKUP($G:$G,Structure!$A:$AJ,AE$1,0)*$H128,0))</f>
        <v>0</v>
      </c>
      <c r="AF128" s="9">
        <f>SUM(IFERROR(VLOOKUP($C:$C,Structure!$A:$AJ,AF$1,0)*$D128,0),IFERROR(VLOOKUP($E:$E,Structure!$A:$AJ,AF$1,0)*$F128,0),IFERROR(VLOOKUP($G:$G,Structure!$A:$AJ,AF$1,0)*$H128,0))</f>
        <v>0</v>
      </c>
      <c r="AG128" s="9">
        <f>SUM(IFERROR(VLOOKUP($C:$C,Structure!$A:$AJ,AG$1,0)*$D128,0),IFERROR(VLOOKUP($E:$E,Structure!$A:$AJ,AG$1,0)*$F128,0),IFERROR(VLOOKUP($G:$G,Structure!$A:$AJ,AG$1,0)*$H128,0))</f>
        <v>0</v>
      </c>
      <c r="AH128" s="9">
        <f>SUM(IFERROR(VLOOKUP($C:$C,Structure!$A:$AJ,AH$1,0)*$D128,0),IFERROR(VLOOKUP($E:$E,Structure!$A:$AJ,AH$1,0)*$F128,0),IFERROR(VLOOKUP($G:$G,Structure!$A:$AJ,AH$1,0)*$H128,0))</f>
        <v>0</v>
      </c>
      <c r="AI128" s="9">
        <f>SUM(IFERROR(VLOOKUP($C:$C,Structure!$A:$AJ,AI$1,0)*$D128,0),IFERROR(VLOOKUP($E:$E,Structure!$A:$AJ,AI$1,0)*$F128,0),IFERROR(VLOOKUP($G:$G,Structure!$A:$AJ,AI$1,0)*$H128,0))</f>
        <v>0</v>
      </c>
      <c r="AJ128" s="9">
        <f>SUM(IFERROR(VLOOKUP($C:$C,Structure!$A:$AJ,AJ$1,0)*$D128,0),IFERROR(VLOOKUP($E:$E,Structure!$A:$AJ,AJ$1,0)*$F128,0),IFERROR(VLOOKUP($G:$G,Structure!$A:$AJ,AJ$1,0)*$H128,0))</f>
        <v>0</v>
      </c>
      <c r="AK128" s="9">
        <f>SUM(IFERROR(VLOOKUP($C:$C,Structure!$A:$AJ,AK$1,0)*$D128,0),IFERROR(VLOOKUP($E:$E,Structure!$A:$AJ,AK$1,0)*$F128,0),IFERROR(VLOOKUP($G:$G,Structure!$A:$AJ,AK$1,0)*$H128,0))</f>
        <v>0</v>
      </c>
      <c r="AL128" s="9">
        <f>SUM(IFERROR(VLOOKUP($C:$C,Structure!$A:$AJ,AL$1,0)*$D128,0),IFERROR(VLOOKUP($E:$E,Structure!$A:$AJ,AL$1,0)*$F128,0),IFERROR(VLOOKUP($G:$G,Structure!$A:$AJ,AL$1,0)*$H128,0))</f>
        <v>0</v>
      </c>
      <c r="AM128" s="9">
        <f>SUM(IFERROR(VLOOKUP($C:$C,Structure!$A:$AJ,AM$1,0)*$D128,0),IFERROR(VLOOKUP($E:$E,Structure!$A:$AJ,AM$1,0)*$F128,0),IFERROR(VLOOKUP($G:$G,Structure!$A:$AJ,AM$1,0)*$H128,0))</f>
        <v>0</v>
      </c>
      <c r="AN128" s="9">
        <f>SUM(IFERROR(VLOOKUP($C:$C,Structure!$A:$AJ,AN$1,0)*$D128,0),IFERROR(VLOOKUP($E:$E,Structure!$A:$AJ,AN$1,0)*$F128,0),IFERROR(VLOOKUP($G:$G,Structure!$A:$AJ,AN$1,0)*$H128,0))</f>
        <v>0</v>
      </c>
      <c r="AO128" s="9">
        <f>SUM(IFERROR(VLOOKUP($C:$C,Structure!$A:$AJ,AO$1,0)*$D128,0),IFERROR(VLOOKUP($E:$E,Structure!$A:$AJ,AO$1,0)*$F128,0),IFERROR(VLOOKUP($G:$G,Structure!$A:$AJ,AO$1,0)*$H128,0))</f>
        <v>0</v>
      </c>
      <c r="AP128" s="9">
        <f>SUM(IFERROR(VLOOKUP($C:$C,Structure!$A:$AJ,AP$1,0)*$D128,0),IFERROR(VLOOKUP($E:$E,Structure!$A:$AJ,AP$1,0)*$F128,0),IFERROR(VLOOKUP($G:$G,Structure!$A:$AJ,AP$1,0)*$H128,0))</f>
        <v>0</v>
      </c>
      <c r="AQ128" s="9">
        <f>SUM(IFERROR(VLOOKUP($C:$C,Structure!$A:$AJ,AQ$1,0)*$D128,0),IFERROR(VLOOKUP($E:$E,Structure!$A:$AJ,AQ$1,0)*$F128,0),IFERROR(VLOOKUP($G:$G,Structure!$A:$AJ,AQ$1,0)*$H128,0))</f>
        <v>0</v>
      </c>
      <c r="AR128" s="21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4">
        <f t="shared" si="127"/>
        <v>0</v>
      </c>
      <c r="CE128" s="4">
        <f t="shared" si="128"/>
        <v>-84</v>
      </c>
      <c r="CF128" s="4">
        <f t="shared" si="129"/>
        <v>4</v>
      </c>
      <c r="CG128" s="4">
        <f t="shared" si="130"/>
        <v>14</v>
      </c>
      <c r="CH128" s="4">
        <f t="shared" si="131"/>
        <v>-7</v>
      </c>
      <c r="CI128" s="4">
        <f t="shared" si="132"/>
        <v>127</v>
      </c>
      <c r="CJ128" s="4">
        <f t="shared" si="133"/>
        <v>-141</v>
      </c>
      <c r="CK128" s="4">
        <f t="shared" si="134"/>
        <v>95</v>
      </c>
      <c r="CL128" s="4">
        <f t="shared" si="135"/>
        <v>0</v>
      </c>
      <c r="CM128" s="4">
        <f t="shared" si="136"/>
        <v>6</v>
      </c>
      <c r="CN128" s="4">
        <f t="shared" si="137"/>
        <v>-28</v>
      </c>
      <c r="CO128" s="4">
        <f t="shared" si="138"/>
        <v>0</v>
      </c>
      <c r="CP128" s="4">
        <f t="shared" si="139"/>
        <v>19</v>
      </c>
      <c r="CQ128" s="4">
        <f t="shared" si="140"/>
        <v>-170</v>
      </c>
      <c r="CR128" s="4">
        <f t="shared" si="141"/>
        <v>15</v>
      </c>
      <c r="CS128" s="4">
        <f t="shared" si="142"/>
        <v>-24</v>
      </c>
      <c r="CT128" s="4">
        <f t="shared" si="143"/>
        <v>0</v>
      </c>
      <c r="CU128" s="4">
        <f t="shared" si="144"/>
        <v>0</v>
      </c>
      <c r="CV128" s="4">
        <f t="shared" si="145"/>
        <v>0</v>
      </c>
      <c r="CW128" s="4">
        <f t="shared" si="146"/>
        <v>0</v>
      </c>
      <c r="CX128" s="4">
        <f t="shared" si="147"/>
        <v>-61</v>
      </c>
      <c r="CY128" s="4">
        <f t="shared" si="148"/>
        <v>0</v>
      </c>
      <c r="CZ128" s="4">
        <f t="shared" si="149"/>
        <v>0</v>
      </c>
      <c r="DA128" s="4">
        <f t="shared" si="150"/>
        <v>0</v>
      </c>
      <c r="DB128" s="4">
        <f t="shared" si="151"/>
        <v>0</v>
      </c>
      <c r="DC128" s="4">
        <f t="shared" si="152"/>
        <v>0</v>
      </c>
      <c r="DD128" s="4">
        <f t="shared" si="153"/>
        <v>0</v>
      </c>
      <c r="DE128" s="4">
        <f t="shared" si="154"/>
        <v>0</v>
      </c>
      <c r="DF128" s="4">
        <f t="shared" si="155"/>
        <v>0</v>
      </c>
      <c r="DG128" s="4">
        <f t="shared" si="156"/>
        <v>0</v>
      </c>
      <c r="DH128" s="4">
        <f t="shared" si="157"/>
        <v>0</v>
      </c>
      <c r="DI128" s="4">
        <f t="shared" si="158"/>
        <v>0</v>
      </c>
      <c r="DJ128" s="4">
        <f t="shared" si="159"/>
        <v>0</v>
      </c>
      <c r="DK128" s="4">
        <f t="shared" si="160"/>
        <v>0</v>
      </c>
      <c r="DL128" s="4">
        <f t="shared" si="161"/>
        <v>0</v>
      </c>
    </row>
    <row r="129" spans="1:116" x14ac:dyDescent="0.25">
      <c r="A129" s="5">
        <v>46185</v>
      </c>
      <c r="B129" s="6">
        <v>0.93750000030559022</v>
      </c>
      <c r="C129" s="3"/>
      <c r="D129" s="3"/>
      <c r="E129" s="3" t="s">
        <v>30</v>
      </c>
      <c r="F129" s="3">
        <v>8</v>
      </c>
      <c r="G129" s="3"/>
      <c r="H129" s="9"/>
      <c r="I129" s="9">
        <f>SUM(IFERROR(VLOOKUP($C:$C,Structure!$A:$AJ,I$1,0)*$D129,0),IFERROR(VLOOKUP($E:$E,Structure!$A:$AJ,I$1,0)*$F129,0),IFERROR(VLOOKUP($G:$G,Structure!$A:$AJ,I$1,0)*$H129,0))</f>
        <v>0</v>
      </c>
      <c r="J129" s="9">
        <f>SUM(IFERROR(VLOOKUP($C:$C,Structure!$A:$AJ,J$1,0)*$D129,0),IFERROR(VLOOKUP($E:$E,Structure!$A:$AJ,J$1,0)*$F129,0),IFERROR(VLOOKUP($G:$G,Structure!$A:$AJ,J$1,0)*$H129,0))</f>
        <v>0</v>
      </c>
      <c r="K129" s="9">
        <f>SUM(IFERROR(VLOOKUP($C:$C,Structure!$A:$AJ,K$1,0)*$D129,0),IFERROR(VLOOKUP($E:$E,Structure!$A:$AJ,K$1,0)*$F129,0),IFERROR(VLOOKUP($G:$G,Structure!$A:$AJ,K$1,0)*$H129,0))</f>
        <v>0</v>
      </c>
      <c r="L129" s="9">
        <f>SUM(IFERROR(VLOOKUP($C:$C,Structure!$A:$AJ,L$1,0)*$D129,0),IFERROR(VLOOKUP($E:$E,Structure!$A:$AJ,L$1,0)*$F129,0),IFERROR(VLOOKUP($G:$G,Structure!$A:$AJ,L$1,0)*$H129,0))</f>
        <v>0</v>
      </c>
      <c r="M129" s="9">
        <f>SUM(IFERROR(VLOOKUP($C:$C,Structure!$A:$AJ,M$1,0)*$D129,0),IFERROR(VLOOKUP($E:$E,Structure!$A:$AJ,M$1,0)*$F129,0),IFERROR(VLOOKUP($G:$G,Structure!$A:$AJ,M$1,0)*$H129,0))</f>
        <v>0</v>
      </c>
      <c r="N129" s="9">
        <f>SUM(IFERROR(VLOOKUP($C:$C,Structure!$A:$AJ,N$1,0)*$D129,0),IFERROR(VLOOKUP($E:$E,Structure!$A:$AJ,N$1,0)*$F129,0),IFERROR(VLOOKUP($G:$G,Structure!$A:$AJ,N$1,0)*$H129,0))</f>
        <v>0</v>
      </c>
      <c r="O129" s="9">
        <f>SUM(IFERROR(VLOOKUP($C:$C,Structure!$A:$AJ,O$1,0)*$D129,0),IFERROR(VLOOKUP($E:$E,Structure!$A:$AJ,O$1,0)*$F129,0),IFERROR(VLOOKUP($G:$G,Structure!$A:$AJ,O$1,0)*$H129,0))</f>
        <v>0</v>
      </c>
      <c r="P129" s="9">
        <f>SUM(IFERROR(VLOOKUP($C:$C,Structure!$A:$AJ,P$1,0)*$D129,0),IFERROR(VLOOKUP($E:$E,Structure!$A:$AJ,P$1,0)*$F129,0),IFERROR(VLOOKUP($G:$G,Structure!$A:$AJ,P$1,0)*$H129,0))</f>
        <v>0</v>
      </c>
      <c r="Q129" s="9">
        <f>SUM(IFERROR(VLOOKUP($C:$C,Structure!$A:$AJ,Q$1,0)*$D129,0),IFERROR(VLOOKUP($E:$E,Structure!$A:$AJ,Q$1,0)*$F129,0),IFERROR(VLOOKUP($G:$G,Structure!$A:$AJ,Q$1,0)*$H129,0))</f>
        <v>0</v>
      </c>
      <c r="R129" s="9">
        <f>SUM(IFERROR(VLOOKUP($C:$C,Structure!$A:$AJ,R$1,0)*$D129,0),IFERROR(VLOOKUP($E:$E,Structure!$A:$AJ,R$1,0)*$F129,0),IFERROR(VLOOKUP($G:$G,Structure!$A:$AJ,R$1,0)*$H129,0))</f>
        <v>0</v>
      </c>
      <c r="S129" s="9">
        <f>SUM(IFERROR(VLOOKUP($C:$C,Structure!$A:$AJ,S$1,0)*$D129,0),IFERROR(VLOOKUP($E:$E,Structure!$A:$AJ,S$1,0)*$F129,0),IFERROR(VLOOKUP($G:$G,Structure!$A:$AJ,S$1,0)*$H129,0))</f>
        <v>0</v>
      </c>
      <c r="T129" s="9">
        <f>SUM(IFERROR(VLOOKUP($C:$C,Structure!$A:$AJ,T$1,0)*$D129,0),IFERROR(VLOOKUP($E:$E,Structure!$A:$AJ,T$1,0)*$F129,0),IFERROR(VLOOKUP($G:$G,Structure!$A:$AJ,T$1,0)*$H129,0))</f>
        <v>0</v>
      </c>
      <c r="U129" s="9">
        <f>SUM(IFERROR(VLOOKUP($C:$C,Structure!$A:$AJ,U$1,0)*$D129,0),IFERROR(VLOOKUP($E:$E,Structure!$A:$AJ,U$1,0)*$F129,0),IFERROR(VLOOKUP($G:$G,Structure!$A:$AJ,U$1,0)*$H129,0))</f>
        <v>0</v>
      </c>
      <c r="V129" s="9">
        <f>SUM(IFERROR(VLOOKUP($C:$C,Structure!$A:$AJ,V$1,0)*$D129,0),IFERROR(VLOOKUP($E:$E,Structure!$A:$AJ,V$1,0)*$F129,0),IFERROR(VLOOKUP($G:$G,Structure!$A:$AJ,V$1,0)*$H129,0))</f>
        <v>8</v>
      </c>
      <c r="W129" s="9">
        <f>SUM(IFERROR(VLOOKUP($C:$C,Structure!$A:$AJ,W$1,0)*$D129,0),IFERROR(VLOOKUP($E:$E,Structure!$A:$AJ,W$1,0)*$F129,0),IFERROR(VLOOKUP($G:$G,Structure!$A:$AJ,W$1,0)*$H129,0))</f>
        <v>0</v>
      </c>
      <c r="X129" s="9">
        <f>SUM(IFERROR(VLOOKUP($C:$C,Structure!$A:$AJ,X$1,0)*$D129,0),IFERROR(VLOOKUP($E:$E,Structure!$A:$AJ,X$1,0)*$F129,0),IFERROR(VLOOKUP($G:$G,Structure!$A:$AJ,X$1,0)*$H129,0))</f>
        <v>0</v>
      </c>
      <c r="Y129" s="9">
        <f>SUM(IFERROR(VLOOKUP($C:$C,Structure!$A:$AJ,Y$1,0)*$D129,0),IFERROR(VLOOKUP($E:$E,Structure!$A:$AJ,Y$1,0)*$F129,0),IFERROR(VLOOKUP($G:$G,Structure!$A:$AJ,Y$1,0)*$H129,0))</f>
        <v>0</v>
      </c>
      <c r="Z129" s="9">
        <f>SUM(IFERROR(VLOOKUP($C:$C,Structure!$A:$AJ,Z$1,0)*$D129,0),IFERROR(VLOOKUP($E:$E,Structure!$A:$AJ,Z$1,0)*$F129,0),IFERROR(VLOOKUP($G:$G,Structure!$A:$AJ,Z$1,0)*$H129,0))</f>
        <v>0</v>
      </c>
      <c r="AA129" s="9">
        <f>SUM(IFERROR(VLOOKUP($C:$C,Structure!$A:$AJ,AA$1,0)*$D129,0),IFERROR(VLOOKUP($E:$E,Structure!$A:$AJ,AA$1,0)*$F129,0),IFERROR(VLOOKUP($G:$G,Structure!$A:$AJ,AA$1,0)*$H129,0))</f>
        <v>0</v>
      </c>
      <c r="AB129" s="9">
        <f>SUM(IFERROR(VLOOKUP($C:$C,Structure!$A:$AJ,AB$1,0)*$D129,0),IFERROR(VLOOKUP($E:$E,Structure!$A:$AJ,AB$1,0)*$F129,0),IFERROR(VLOOKUP($G:$G,Structure!$A:$AJ,AB$1,0)*$H129,0))</f>
        <v>0</v>
      </c>
      <c r="AC129" s="9">
        <f>SUM(IFERROR(VLOOKUP($C:$C,Structure!$A:$AJ,AC$1,0)*$D129,0),IFERROR(VLOOKUP($E:$E,Structure!$A:$AJ,AC$1,0)*$F129,0),IFERROR(VLOOKUP($G:$G,Structure!$A:$AJ,AC$1,0)*$H129,0))</f>
        <v>8</v>
      </c>
      <c r="AD129" s="9">
        <f>SUM(IFERROR(VLOOKUP($C:$C,Structure!$A:$AJ,AD$1,0)*$D129,0),IFERROR(VLOOKUP($E:$E,Structure!$A:$AJ,AD$1,0)*$F129,0),IFERROR(VLOOKUP($G:$G,Structure!$A:$AJ,AD$1,0)*$H129,0))</f>
        <v>0</v>
      </c>
      <c r="AE129" s="9">
        <f>SUM(IFERROR(VLOOKUP($C:$C,Structure!$A:$AJ,AE$1,0)*$D129,0),IFERROR(VLOOKUP($E:$E,Structure!$A:$AJ,AE$1,0)*$F129,0),IFERROR(VLOOKUP($G:$G,Structure!$A:$AJ,AE$1,0)*$H129,0))</f>
        <v>0</v>
      </c>
      <c r="AF129" s="9">
        <f>SUM(IFERROR(VLOOKUP($C:$C,Structure!$A:$AJ,AF$1,0)*$D129,0),IFERROR(VLOOKUP($E:$E,Structure!$A:$AJ,AF$1,0)*$F129,0),IFERROR(VLOOKUP($G:$G,Structure!$A:$AJ,AF$1,0)*$H129,0))</f>
        <v>0</v>
      </c>
      <c r="AG129" s="9">
        <f>SUM(IFERROR(VLOOKUP($C:$C,Structure!$A:$AJ,AG$1,0)*$D129,0),IFERROR(VLOOKUP($E:$E,Structure!$A:$AJ,AG$1,0)*$F129,0),IFERROR(VLOOKUP($G:$G,Structure!$A:$AJ,AG$1,0)*$H129,0))</f>
        <v>0</v>
      </c>
      <c r="AH129" s="9">
        <f>SUM(IFERROR(VLOOKUP($C:$C,Structure!$A:$AJ,AH$1,0)*$D129,0),IFERROR(VLOOKUP($E:$E,Structure!$A:$AJ,AH$1,0)*$F129,0),IFERROR(VLOOKUP($G:$G,Structure!$A:$AJ,AH$1,0)*$H129,0))</f>
        <v>0</v>
      </c>
      <c r="AI129" s="9">
        <f>SUM(IFERROR(VLOOKUP($C:$C,Structure!$A:$AJ,AI$1,0)*$D129,0),IFERROR(VLOOKUP($E:$E,Structure!$A:$AJ,AI$1,0)*$F129,0),IFERROR(VLOOKUP($G:$G,Structure!$A:$AJ,AI$1,0)*$H129,0))</f>
        <v>0</v>
      </c>
      <c r="AJ129" s="9">
        <f>SUM(IFERROR(VLOOKUP($C:$C,Structure!$A:$AJ,AJ$1,0)*$D129,0),IFERROR(VLOOKUP($E:$E,Structure!$A:$AJ,AJ$1,0)*$F129,0),IFERROR(VLOOKUP($G:$G,Structure!$A:$AJ,AJ$1,0)*$H129,0))</f>
        <v>0</v>
      </c>
      <c r="AK129" s="9">
        <f>SUM(IFERROR(VLOOKUP($C:$C,Structure!$A:$AJ,AK$1,0)*$D129,0),IFERROR(VLOOKUP($E:$E,Structure!$A:$AJ,AK$1,0)*$F129,0),IFERROR(VLOOKUP($G:$G,Structure!$A:$AJ,AK$1,0)*$H129,0))</f>
        <v>0</v>
      </c>
      <c r="AL129" s="9">
        <f>SUM(IFERROR(VLOOKUP($C:$C,Structure!$A:$AJ,AL$1,0)*$D129,0),IFERROR(VLOOKUP($E:$E,Structure!$A:$AJ,AL$1,0)*$F129,0),IFERROR(VLOOKUP($G:$G,Structure!$A:$AJ,AL$1,0)*$H129,0))</f>
        <v>0</v>
      </c>
      <c r="AM129" s="9">
        <f>SUM(IFERROR(VLOOKUP($C:$C,Structure!$A:$AJ,AM$1,0)*$D129,0),IFERROR(VLOOKUP($E:$E,Structure!$A:$AJ,AM$1,0)*$F129,0),IFERROR(VLOOKUP($G:$G,Structure!$A:$AJ,AM$1,0)*$H129,0))</f>
        <v>0</v>
      </c>
      <c r="AN129" s="9">
        <f>SUM(IFERROR(VLOOKUP($C:$C,Structure!$A:$AJ,AN$1,0)*$D129,0),IFERROR(VLOOKUP($E:$E,Structure!$A:$AJ,AN$1,0)*$F129,0),IFERROR(VLOOKUP($G:$G,Structure!$A:$AJ,AN$1,0)*$H129,0))</f>
        <v>0</v>
      </c>
      <c r="AO129" s="9">
        <f>SUM(IFERROR(VLOOKUP($C:$C,Structure!$A:$AJ,AO$1,0)*$D129,0),IFERROR(VLOOKUP($E:$E,Structure!$A:$AJ,AO$1,0)*$F129,0),IFERROR(VLOOKUP($G:$G,Structure!$A:$AJ,AO$1,0)*$H129,0))</f>
        <v>0</v>
      </c>
      <c r="AP129" s="9">
        <f>SUM(IFERROR(VLOOKUP($C:$C,Structure!$A:$AJ,AP$1,0)*$D129,0),IFERROR(VLOOKUP($E:$E,Structure!$A:$AJ,AP$1,0)*$F129,0),IFERROR(VLOOKUP($G:$G,Structure!$A:$AJ,AP$1,0)*$H129,0))</f>
        <v>0</v>
      </c>
      <c r="AQ129" s="9">
        <f>SUM(IFERROR(VLOOKUP($C:$C,Structure!$A:$AJ,AQ$1,0)*$D129,0),IFERROR(VLOOKUP($E:$E,Structure!$A:$AJ,AQ$1,0)*$F129,0),IFERROR(VLOOKUP($G:$G,Structure!$A:$AJ,AQ$1,0)*$H129,0))</f>
        <v>0</v>
      </c>
      <c r="AR129" s="21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4">
        <f t="shared" si="127"/>
        <v>0</v>
      </c>
      <c r="CE129" s="4">
        <f t="shared" si="128"/>
        <v>-84</v>
      </c>
      <c r="CF129" s="4">
        <f t="shared" si="129"/>
        <v>4</v>
      </c>
      <c r="CG129" s="4">
        <f t="shared" si="130"/>
        <v>14</v>
      </c>
      <c r="CH129" s="4">
        <f t="shared" si="131"/>
        <v>-7</v>
      </c>
      <c r="CI129" s="4">
        <f t="shared" si="132"/>
        <v>127</v>
      </c>
      <c r="CJ129" s="4">
        <f t="shared" si="133"/>
        <v>-141</v>
      </c>
      <c r="CK129" s="4">
        <f t="shared" si="134"/>
        <v>95</v>
      </c>
      <c r="CL129" s="4">
        <f t="shared" si="135"/>
        <v>0</v>
      </c>
      <c r="CM129" s="4">
        <f t="shared" si="136"/>
        <v>6</v>
      </c>
      <c r="CN129" s="4">
        <f t="shared" si="137"/>
        <v>-28</v>
      </c>
      <c r="CO129" s="4">
        <f t="shared" si="138"/>
        <v>0</v>
      </c>
      <c r="CP129" s="4">
        <f t="shared" si="139"/>
        <v>19</v>
      </c>
      <c r="CQ129" s="4">
        <f t="shared" si="140"/>
        <v>-178</v>
      </c>
      <c r="CR129" s="4">
        <f t="shared" si="141"/>
        <v>15</v>
      </c>
      <c r="CS129" s="4">
        <f t="shared" si="142"/>
        <v>-24</v>
      </c>
      <c r="CT129" s="4">
        <f t="shared" si="143"/>
        <v>0</v>
      </c>
      <c r="CU129" s="4">
        <f t="shared" si="144"/>
        <v>0</v>
      </c>
      <c r="CV129" s="4">
        <f t="shared" si="145"/>
        <v>0</v>
      </c>
      <c r="CW129" s="4">
        <f t="shared" si="146"/>
        <v>0</v>
      </c>
      <c r="CX129" s="4">
        <f t="shared" si="147"/>
        <v>-69</v>
      </c>
      <c r="CY129" s="4">
        <f t="shared" si="148"/>
        <v>0</v>
      </c>
      <c r="CZ129" s="4">
        <f t="shared" si="149"/>
        <v>0</v>
      </c>
      <c r="DA129" s="4">
        <f t="shared" si="150"/>
        <v>0</v>
      </c>
      <c r="DB129" s="4">
        <f t="shared" si="151"/>
        <v>0</v>
      </c>
      <c r="DC129" s="4">
        <f t="shared" si="152"/>
        <v>0</v>
      </c>
      <c r="DD129" s="4">
        <f t="shared" si="153"/>
        <v>0</v>
      </c>
      <c r="DE129" s="4">
        <f t="shared" si="154"/>
        <v>0</v>
      </c>
      <c r="DF129" s="4">
        <f t="shared" si="155"/>
        <v>0</v>
      </c>
      <c r="DG129" s="4">
        <f t="shared" si="156"/>
        <v>0</v>
      </c>
      <c r="DH129" s="4">
        <f t="shared" si="157"/>
        <v>0</v>
      </c>
      <c r="DI129" s="4">
        <f t="shared" si="158"/>
        <v>0</v>
      </c>
      <c r="DJ129" s="4">
        <f t="shared" si="159"/>
        <v>0</v>
      </c>
      <c r="DK129" s="4">
        <f t="shared" si="160"/>
        <v>0</v>
      </c>
      <c r="DL129" s="4">
        <f t="shared" si="161"/>
        <v>0</v>
      </c>
    </row>
    <row r="130" spans="1:116" x14ac:dyDescent="0.25">
      <c r="A130" s="5">
        <v>46185</v>
      </c>
      <c r="B130" s="6">
        <v>0.95833333364134887</v>
      </c>
      <c r="C130" s="3"/>
      <c r="D130" s="3"/>
      <c r="E130" s="3" t="s">
        <v>30</v>
      </c>
      <c r="F130" s="3">
        <v>8</v>
      </c>
      <c r="G130" s="3"/>
      <c r="H130" s="9"/>
      <c r="I130" s="9">
        <f>SUM(IFERROR(VLOOKUP($C:$C,Structure!$A:$AJ,I$1,0)*$D130,0),IFERROR(VLOOKUP($E:$E,Structure!$A:$AJ,I$1,0)*$F130,0),IFERROR(VLOOKUP($G:$G,Structure!$A:$AJ,I$1,0)*$H130,0))</f>
        <v>0</v>
      </c>
      <c r="J130" s="9">
        <f>SUM(IFERROR(VLOOKUP($C:$C,Structure!$A:$AJ,J$1,0)*$D130,0),IFERROR(VLOOKUP($E:$E,Structure!$A:$AJ,J$1,0)*$F130,0),IFERROR(VLOOKUP($G:$G,Structure!$A:$AJ,J$1,0)*$H130,0))</f>
        <v>0</v>
      </c>
      <c r="K130" s="9">
        <f>SUM(IFERROR(VLOOKUP($C:$C,Structure!$A:$AJ,K$1,0)*$D130,0),IFERROR(VLOOKUP($E:$E,Structure!$A:$AJ,K$1,0)*$F130,0),IFERROR(VLOOKUP($G:$G,Structure!$A:$AJ,K$1,0)*$H130,0))</f>
        <v>0</v>
      </c>
      <c r="L130" s="9">
        <f>SUM(IFERROR(VLOOKUP($C:$C,Structure!$A:$AJ,L$1,0)*$D130,0),IFERROR(VLOOKUP($E:$E,Structure!$A:$AJ,L$1,0)*$F130,0),IFERROR(VLOOKUP($G:$G,Structure!$A:$AJ,L$1,0)*$H130,0))</f>
        <v>0</v>
      </c>
      <c r="M130" s="9">
        <f>SUM(IFERROR(VLOOKUP($C:$C,Structure!$A:$AJ,M$1,0)*$D130,0),IFERROR(VLOOKUP($E:$E,Structure!$A:$AJ,M$1,0)*$F130,0),IFERROR(VLOOKUP($G:$G,Structure!$A:$AJ,M$1,0)*$H130,0))</f>
        <v>0</v>
      </c>
      <c r="N130" s="9">
        <f>SUM(IFERROR(VLOOKUP($C:$C,Structure!$A:$AJ,N$1,0)*$D130,0),IFERROR(VLOOKUP($E:$E,Structure!$A:$AJ,N$1,0)*$F130,0),IFERROR(VLOOKUP($G:$G,Structure!$A:$AJ,N$1,0)*$H130,0))</f>
        <v>0</v>
      </c>
      <c r="O130" s="9">
        <f>SUM(IFERROR(VLOOKUP($C:$C,Structure!$A:$AJ,O$1,0)*$D130,0),IFERROR(VLOOKUP($E:$E,Structure!$A:$AJ,O$1,0)*$F130,0),IFERROR(VLOOKUP($G:$G,Structure!$A:$AJ,O$1,0)*$H130,0))</f>
        <v>0</v>
      </c>
      <c r="P130" s="9">
        <f>SUM(IFERROR(VLOOKUP($C:$C,Structure!$A:$AJ,P$1,0)*$D130,0),IFERROR(VLOOKUP($E:$E,Structure!$A:$AJ,P$1,0)*$F130,0),IFERROR(VLOOKUP($G:$G,Structure!$A:$AJ,P$1,0)*$H130,0))</f>
        <v>0</v>
      </c>
      <c r="Q130" s="9">
        <f>SUM(IFERROR(VLOOKUP($C:$C,Structure!$A:$AJ,Q$1,0)*$D130,0),IFERROR(VLOOKUP($E:$E,Structure!$A:$AJ,Q$1,0)*$F130,0),IFERROR(VLOOKUP($G:$G,Structure!$A:$AJ,Q$1,0)*$H130,0))</f>
        <v>0</v>
      </c>
      <c r="R130" s="9">
        <f>SUM(IFERROR(VLOOKUP($C:$C,Structure!$A:$AJ,R$1,0)*$D130,0),IFERROR(VLOOKUP($E:$E,Structure!$A:$AJ,R$1,0)*$F130,0),IFERROR(VLOOKUP($G:$G,Structure!$A:$AJ,R$1,0)*$H130,0))</f>
        <v>0</v>
      </c>
      <c r="S130" s="9">
        <f>SUM(IFERROR(VLOOKUP($C:$C,Structure!$A:$AJ,S$1,0)*$D130,0),IFERROR(VLOOKUP($E:$E,Structure!$A:$AJ,S$1,0)*$F130,0),IFERROR(VLOOKUP($G:$G,Structure!$A:$AJ,S$1,0)*$H130,0))</f>
        <v>0</v>
      </c>
      <c r="T130" s="9">
        <f>SUM(IFERROR(VLOOKUP($C:$C,Structure!$A:$AJ,T$1,0)*$D130,0),IFERROR(VLOOKUP($E:$E,Structure!$A:$AJ,T$1,0)*$F130,0),IFERROR(VLOOKUP($G:$G,Structure!$A:$AJ,T$1,0)*$H130,0))</f>
        <v>0</v>
      </c>
      <c r="U130" s="9">
        <f>SUM(IFERROR(VLOOKUP($C:$C,Structure!$A:$AJ,U$1,0)*$D130,0),IFERROR(VLOOKUP($E:$E,Structure!$A:$AJ,U$1,0)*$F130,0),IFERROR(VLOOKUP($G:$G,Structure!$A:$AJ,U$1,0)*$H130,0))</f>
        <v>0</v>
      </c>
      <c r="V130" s="9">
        <f>SUM(IFERROR(VLOOKUP($C:$C,Structure!$A:$AJ,V$1,0)*$D130,0),IFERROR(VLOOKUP($E:$E,Structure!$A:$AJ,V$1,0)*$F130,0),IFERROR(VLOOKUP($G:$G,Structure!$A:$AJ,V$1,0)*$H130,0))</f>
        <v>8</v>
      </c>
      <c r="W130" s="9">
        <f>SUM(IFERROR(VLOOKUP($C:$C,Structure!$A:$AJ,W$1,0)*$D130,0),IFERROR(VLOOKUP($E:$E,Structure!$A:$AJ,W$1,0)*$F130,0),IFERROR(VLOOKUP($G:$G,Structure!$A:$AJ,W$1,0)*$H130,0))</f>
        <v>0</v>
      </c>
      <c r="X130" s="9">
        <f>SUM(IFERROR(VLOOKUP($C:$C,Structure!$A:$AJ,X$1,0)*$D130,0),IFERROR(VLOOKUP($E:$E,Structure!$A:$AJ,X$1,0)*$F130,0),IFERROR(VLOOKUP($G:$G,Structure!$A:$AJ,X$1,0)*$H130,0))</f>
        <v>0</v>
      </c>
      <c r="Y130" s="9">
        <f>SUM(IFERROR(VLOOKUP($C:$C,Structure!$A:$AJ,Y$1,0)*$D130,0),IFERROR(VLOOKUP($E:$E,Structure!$A:$AJ,Y$1,0)*$F130,0),IFERROR(VLOOKUP($G:$G,Structure!$A:$AJ,Y$1,0)*$H130,0))</f>
        <v>0</v>
      </c>
      <c r="Z130" s="9">
        <f>SUM(IFERROR(VLOOKUP($C:$C,Structure!$A:$AJ,Z$1,0)*$D130,0),IFERROR(VLOOKUP($E:$E,Structure!$A:$AJ,Z$1,0)*$F130,0),IFERROR(VLOOKUP($G:$G,Structure!$A:$AJ,Z$1,0)*$H130,0))</f>
        <v>0</v>
      </c>
      <c r="AA130" s="9">
        <f>SUM(IFERROR(VLOOKUP($C:$C,Structure!$A:$AJ,AA$1,0)*$D130,0),IFERROR(VLOOKUP($E:$E,Structure!$A:$AJ,AA$1,0)*$F130,0),IFERROR(VLOOKUP($G:$G,Structure!$A:$AJ,AA$1,0)*$H130,0))</f>
        <v>0</v>
      </c>
      <c r="AB130" s="9">
        <f>SUM(IFERROR(VLOOKUP($C:$C,Structure!$A:$AJ,AB$1,0)*$D130,0),IFERROR(VLOOKUP($E:$E,Structure!$A:$AJ,AB$1,0)*$F130,0),IFERROR(VLOOKUP($G:$G,Structure!$A:$AJ,AB$1,0)*$H130,0))</f>
        <v>0</v>
      </c>
      <c r="AC130" s="9">
        <f>SUM(IFERROR(VLOOKUP($C:$C,Structure!$A:$AJ,AC$1,0)*$D130,0),IFERROR(VLOOKUP($E:$E,Structure!$A:$AJ,AC$1,0)*$F130,0),IFERROR(VLOOKUP($G:$G,Structure!$A:$AJ,AC$1,0)*$H130,0))</f>
        <v>8</v>
      </c>
      <c r="AD130" s="9">
        <f>SUM(IFERROR(VLOOKUP($C:$C,Structure!$A:$AJ,AD$1,0)*$D130,0),IFERROR(VLOOKUP($E:$E,Structure!$A:$AJ,AD$1,0)*$F130,0),IFERROR(VLOOKUP($G:$G,Structure!$A:$AJ,AD$1,0)*$H130,0))</f>
        <v>0</v>
      </c>
      <c r="AE130" s="9">
        <f>SUM(IFERROR(VLOOKUP($C:$C,Structure!$A:$AJ,AE$1,0)*$D130,0),IFERROR(VLOOKUP($E:$E,Structure!$A:$AJ,AE$1,0)*$F130,0),IFERROR(VLOOKUP($G:$G,Structure!$A:$AJ,AE$1,0)*$H130,0))</f>
        <v>0</v>
      </c>
      <c r="AF130" s="9">
        <f>SUM(IFERROR(VLOOKUP($C:$C,Structure!$A:$AJ,AF$1,0)*$D130,0),IFERROR(VLOOKUP($E:$E,Structure!$A:$AJ,AF$1,0)*$F130,0),IFERROR(VLOOKUP($G:$G,Structure!$A:$AJ,AF$1,0)*$H130,0))</f>
        <v>0</v>
      </c>
      <c r="AG130" s="9">
        <f>SUM(IFERROR(VLOOKUP($C:$C,Structure!$A:$AJ,AG$1,0)*$D130,0),IFERROR(VLOOKUP($E:$E,Structure!$A:$AJ,AG$1,0)*$F130,0),IFERROR(VLOOKUP($G:$G,Structure!$A:$AJ,AG$1,0)*$H130,0))</f>
        <v>0</v>
      </c>
      <c r="AH130" s="9">
        <f>SUM(IFERROR(VLOOKUP($C:$C,Structure!$A:$AJ,AH$1,0)*$D130,0),IFERROR(VLOOKUP($E:$E,Structure!$A:$AJ,AH$1,0)*$F130,0),IFERROR(VLOOKUP($G:$G,Structure!$A:$AJ,AH$1,0)*$H130,0))</f>
        <v>0</v>
      </c>
      <c r="AI130" s="9">
        <f>SUM(IFERROR(VLOOKUP($C:$C,Structure!$A:$AJ,AI$1,0)*$D130,0),IFERROR(VLOOKUP($E:$E,Structure!$A:$AJ,AI$1,0)*$F130,0),IFERROR(VLOOKUP($G:$G,Structure!$A:$AJ,AI$1,0)*$H130,0))</f>
        <v>0</v>
      </c>
      <c r="AJ130" s="9">
        <f>SUM(IFERROR(VLOOKUP($C:$C,Structure!$A:$AJ,AJ$1,0)*$D130,0),IFERROR(VLOOKUP($E:$E,Structure!$A:$AJ,AJ$1,0)*$F130,0),IFERROR(VLOOKUP($G:$G,Structure!$A:$AJ,AJ$1,0)*$H130,0))</f>
        <v>0</v>
      </c>
      <c r="AK130" s="9">
        <f>SUM(IFERROR(VLOOKUP($C:$C,Structure!$A:$AJ,AK$1,0)*$D130,0),IFERROR(VLOOKUP($E:$E,Structure!$A:$AJ,AK$1,0)*$F130,0),IFERROR(VLOOKUP($G:$G,Structure!$A:$AJ,AK$1,0)*$H130,0))</f>
        <v>0</v>
      </c>
      <c r="AL130" s="9">
        <f>SUM(IFERROR(VLOOKUP($C:$C,Structure!$A:$AJ,AL$1,0)*$D130,0),IFERROR(VLOOKUP($E:$E,Structure!$A:$AJ,AL$1,0)*$F130,0),IFERROR(VLOOKUP($G:$G,Structure!$A:$AJ,AL$1,0)*$H130,0))</f>
        <v>0</v>
      </c>
      <c r="AM130" s="9">
        <f>SUM(IFERROR(VLOOKUP($C:$C,Structure!$A:$AJ,AM$1,0)*$D130,0),IFERROR(VLOOKUP($E:$E,Structure!$A:$AJ,AM$1,0)*$F130,0),IFERROR(VLOOKUP($G:$G,Structure!$A:$AJ,AM$1,0)*$H130,0))</f>
        <v>0</v>
      </c>
      <c r="AN130" s="9">
        <f>SUM(IFERROR(VLOOKUP($C:$C,Structure!$A:$AJ,AN$1,0)*$D130,0),IFERROR(VLOOKUP($E:$E,Structure!$A:$AJ,AN$1,0)*$F130,0),IFERROR(VLOOKUP($G:$G,Structure!$A:$AJ,AN$1,0)*$H130,0))</f>
        <v>0</v>
      </c>
      <c r="AO130" s="9">
        <f>SUM(IFERROR(VLOOKUP($C:$C,Structure!$A:$AJ,AO$1,0)*$D130,0),IFERROR(VLOOKUP($E:$E,Structure!$A:$AJ,AO$1,0)*$F130,0),IFERROR(VLOOKUP($G:$G,Structure!$A:$AJ,AO$1,0)*$H130,0))</f>
        <v>0</v>
      </c>
      <c r="AP130" s="9">
        <f>SUM(IFERROR(VLOOKUP($C:$C,Structure!$A:$AJ,AP$1,0)*$D130,0),IFERROR(VLOOKUP($E:$E,Structure!$A:$AJ,AP$1,0)*$F130,0),IFERROR(VLOOKUP($G:$G,Structure!$A:$AJ,AP$1,0)*$H130,0))</f>
        <v>0</v>
      </c>
      <c r="AQ130" s="9">
        <f>SUM(IFERROR(VLOOKUP($C:$C,Structure!$A:$AJ,AQ$1,0)*$D130,0),IFERROR(VLOOKUP($E:$E,Structure!$A:$AJ,AQ$1,0)*$F130,0),IFERROR(VLOOKUP($G:$G,Structure!$A:$AJ,AQ$1,0)*$H130,0))</f>
        <v>0</v>
      </c>
      <c r="AR130" s="21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4">
        <f t="shared" si="127"/>
        <v>0</v>
      </c>
      <c r="CE130" s="4">
        <f t="shared" si="128"/>
        <v>-84</v>
      </c>
      <c r="CF130" s="4">
        <f t="shared" si="129"/>
        <v>4</v>
      </c>
      <c r="CG130" s="4">
        <f t="shared" si="130"/>
        <v>14</v>
      </c>
      <c r="CH130" s="4">
        <f t="shared" si="131"/>
        <v>-7</v>
      </c>
      <c r="CI130" s="4">
        <f t="shared" si="132"/>
        <v>127</v>
      </c>
      <c r="CJ130" s="4">
        <f t="shared" si="133"/>
        <v>-141</v>
      </c>
      <c r="CK130" s="4">
        <f t="shared" si="134"/>
        <v>95</v>
      </c>
      <c r="CL130" s="4">
        <f t="shared" si="135"/>
        <v>0</v>
      </c>
      <c r="CM130" s="4">
        <f t="shared" si="136"/>
        <v>6</v>
      </c>
      <c r="CN130" s="4">
        <f t="shared" si="137"/>
        <v>-28</v>
      </c>
      <c r="CO130" s="4">
        <f t="shared" si="138"/>
        <v>0</v>
      </c>
      <c r="CP130" s="4">
        <f t="shared" si="139"/>
        <v>19</v>
      </c>
      <c r="CQ130" s="4">
        <f t="shared" si="140"/>
        <v>-186</v>
      </c>
      <c r="CR130" s="4">
        <f t="shared" si="141"/>
        <v>15</v>
      </c>
      <c r="CS130" s="4">
        <f t="shared" si="142"/>
        <v>-24</v>
      </c>
      <c r="CT130" s="4">
        <f t="shared" si="143"/>
        <v>0</v>
      </c>
      <c r="CU130" s="4">
        <f t="shared" si="144"/>
        <v>0</v>
      </c>
      <c r="CV130" s="4">
        <f t="shared" si="145"/>
        <v>0</v>
      </c>
      <c r="CW130" s="4">
        <f t="shared" si="146"/>
        <v>0</v>
      </c>
      <c r="CX130" s="4">
        <f t="shared" si="147"/>
        <v>-77</v>
      </c>
      <c r="CY130" s="4">
        <f t="shared" si="148"/>
        <v>0</v>
      </c>
      <c r="CZ130" s="4">
        <f t="shared" si="149"/>
        <v>0</v>
      </c>
      <c r="DA130" s="4">
        <f t="shared" si="150"/>
        <v>0</v>
      </c>
      <c r="DB130" s="4">
        <f t="shared" si="151"/>
        <v>0</v>
      </c>
      <c r="DC130" s="4">
        <f t="shared" si="152"/>
        <v>0</v>
      </c>
      <c r="DD130" s="4">
        <f t="shared" si="153"/>
        <v>0</v>
      </c>
      <c r="DE130" s="4">
        <f t="shared" si="154"/>
        <v>0</v>
      </c>
      <c r="DF130" s="4">
        <f t="shared" si="155"/>
        <v>0</v>
      </c>
      <c r="DG130" s="4">
        <f t="shared" si="156"/>
        <v>0</v>
      </c>
      <c r="DH130" s="4">
        <f t="shared" si="157"/>
        <v>0</v>
      </c>
      <c r="DI130" s="4">
        <f t="shared" si="158"/>
        <v>0</v>
      </c>
      <c r="DJ130" s="4">
        <f t="shared" si="159"/>
        <v>0</v>
      </c>
      <c r="DK130" s="4">
        <f t="shared" si="160"/>
        <v>0</v>
      </c>
      <c r="DL130" s="4">
        <f t="shared" si="161"/>
        <v>0</v>
      </c>
    </row>
    <row r="131" spans="1:116" x14ac:dyDescent="0.25">
      <c r="A131" s="5">
        <v>46185</v>
      </c>
      <c r="B131" s="6">
        <v>0.97916666697710752</v>
      </c>
      <c r="C131" s="3"/>
      <c r="D131" s="3"/>
      <c r="E131" s="3" t="s">
        <v>30</v>
      </c>
      <c r="F131" s="3">
        <v>8</v>
      </c>
      <c r="G131" s="3"/>
      <c r="H131" s="9"/>
      <c r="I131" s="9">
        <f>SUM(IFERROR(VLOOKUP($C:$C,Structure!$A:$AJ,I$1,0)*$D131,0),IFERROR(VLOOKUP($E:$E,Structure!$A:$AJ,I$1,0)*$F131,0),IFERROR(VLOOKUP($G:$G,Structure!$A:$AJ,I$1,0)*$H131,0))</f>
        <v>0</v>
      </c>
      <c r="J131" s="9">
        <f>SUM(IFERROR(VLOOKUP($C:$C,Structure!$A:$AJ,J$1,0)*$D131,0),IFERROR(VLOOKUP($E:$E,Structure!$A:$AJ,J$1,0)*$F131,0),IFERROR(VLOOKUP($G:$G,Structure!$A:$AJ,J$1,0)*$H131,0))</f>
        <v>0</v>
      </c>
      <c r="K131" s="9">
        <f>SUM(IFERROR(VLOOKUP($C:$C,Structure!$A:$AJ,K$1,0)*$D131,0),IFERROR(VLOOKUP($E:$E,Structure!$A:$AJ,K$1,0)*$F131,0),IFERROR(VLOOKUP($G:$G,Structure!$A:$AJ,K$1,0)*$H131,0))</f>
        <v>0</v>
      </c>
      <c r="L131" s="9">
        <f>SUM(IFERROR(VLOOKUP($C:$C,Structure!$A:$AJ,L$1,0)*$D131,0),IFERROR(VLOOKUP($E:$E,Structure!$A:$AJ,L$1,0)*$F131,0),IFERROR(VLOOKUP($G:$G,Structure!$A:$AJ,L$1,0)*$H131,0))</f>
        <v>0</v>
      </c>
      <c r="M131" s="9">
        <f>SUM(IFERROR(VLOOKUP($C:$C,Structure!$A:$AJ,M$1,0)*$D131,0),IFERROR(VLOOKUP($E:$E,Structure!$A:$AJ,M$1,0)*$F131,0),IFERROR(VLOOKUP($G:$G,Structure!$A:$AJ,M$1,0)*$H131,0))</f>
        <v>0</v>
      </c>
      <c r="N131" s="9">
        <f>SUM(IFERROR(VLOOKUP($C:$C,Structure!$A:$AJ,N$1,0)*$D131,0),IFERROR(VLOOKUP($E:$E,Structure!$A:$AJ,N$1,0)*$F131,0),IFERROR(VLOOKUP($G:$G,Structure!$A:$AJ,N$1,0)*$H131,0))</f>
        <v>0</v>
      </c>
      <c r="O131" s="9">
        <f>SUM(IFERROR(VLOOKUP($C:$C,Structure!$A:$AJ,O$1,0)*$D131,0),IFERROR(VLOOKUP($E:$E,Structure!$A:$AJ,O$1,0)*$F131,0),IFERROR(VLOOKUP($G:$G,Structure!$A:$AJ,O$1,0)*$H131,0))</f>
        <v>0</v>
      </c>
      <c r="P131" s="9">
        <f>SUM(IFERROR(VLOOKUP($C:$C,Structure!$A:$AJ,P$1,0)*$D131,0),IFERROR(VLOOKUP($E:$E,Structure!$A:$AJ,P$1,0)*$F131,0),IFERROR(VLOOKUP($G:$G,Structure!$A:$AJ,P$1,0)*$H131,0))</f>
        <v>0</v>
      </c>
      <c r="Q131" s="9">
        <f>SUM(IFERROR(VLOOKUP($C:$C,Structure!$A:$AJ,Q$1,0)*$D131,0),IFERROR(VLOOKUP($E:$E,Structure!$A:$AJ,Q$1,0)*$F131,0),IFERROR(VLOOKUP($G:$G,Structure!$A:$AJ,Q$1,0)*$H131,0))</f>
        <v>0</v>
      </c>
      <c r="R131" s="9">
        <f>SUM(IFERROR(VLOOKUP($C:$C,Structure!$A:$AJ,R$1,0)*$D131,0),IFERROR(VLOOKUP($E:$E,Structure!$A:$AJ,R$1,0)*$F131,0),IFERROR(VLOOKUP($G:$G,Structure!$A:$AJ,R$1,0)*$H131,0))</f>
        <v>0</v>
      </c>
      <c r="S131" s="9">
        <f>SUM(IFERROR(VLOOKUP($C:$C,Structure!$A:$AJ,S$1,0)*$D131,0),IFERROR(VLOOKUP($E:$E,Structure!$A:$AJ,S$1,0)*$F131,0),IFERROR(VLOOKUP($G:$G,Structure!$A:$AJ,S$1,0)*$H131,0))</f>
        <v>0</v>
      </c>
      <c r="T131" s="9">
        <f>SUM(IFERROR(VLOOKUP($C:$C,Structure!$A:$AJ,T$1,0)*$D131,0),IFERROR(VLOOKUP($E:$E,Structure!$A:$AJ,T$1,0)*$F131,0),IFERROR(VLOOKUP($G:$G,Structure!$A:$AJ,T$1,0)*$H131,0))</f>
        <v>0</v>
      </c>
      <c r="U131" s="9">
        <f>SUM(IFERROR(VLOOKUP($C:$C,Structure!$A:$AJ,U$1,0)*$D131,0),IFERROR(VLOOKUP($E:$E,Structure!$A:$AJ,U$1,0)*$F131,0),IFERROR(VLOOKUP($G:$G,Structure!$A:$AJ,U$1,0)*$H131,0))</f>
        <v>0</v>
      </c>
      <c r="V131" s="9">
        <f>SUM(IFERROR(VLOOKUP($C:$C,Structure!$A:$AJ,V$1,0)*$D131,0),IFERROR(VLOOKUP($E:$E,Structure!$A:$AJ,V$1,0)*$F131,0),IFERROR(VLOOKUP($G:$G,Structure!$A:$AJ,V$1,0)*$H131,0))</f>
        <v>8</v>
      </c>
      <c r="W131" s="9">
        <f>SUM(IFERROR(VLOOKUP($C:$C,Structure!$A:$AJ,W$1,0)*$D131,0),IFERROR(VLOOKUP($E:$E,Structure!$A:$AJ,W$1,0)*$F131,0),IFERROR(VLOOKUP($G:$G,Structure!$A:$AJ,W$1,0)*$H131,0))</f>
        <v>0</v>
      </c>
      <c r="X131" s="9">
        <f>SUM(IFERROR(VLOOKUP($C:$C,Structure!$A:$AJ,X$1,0)*$D131,0),IFERROR(VLOOKUP($E:$E,Structure!$A:$AJ,X$1,0)*$F131,0),IFERROR(VLOOKUP($G:$G,Structure!$A:$AJ,X$1,0)*$H131,0))</f>
        <v>0</v>
      </c>
      <c r="Y131" s="9">
        <f>SUM(IFERROR(VLOOKUP($C:$C,Structure!$A:$AJ,Y$1,0)*$D131,0),IFERROR(VLOOKUP($E:$E,Structure!$A:$AJ,Y$1,0)*$F131,0),IFERROR(VLOOKUP($G:$G,Structure!$A:$AJ,Y$1,0)*$H131,0))</f>
        <v>0</v>
      </c>
      <c r="Z131" s="9">
        <f>SUM(IFERROR(VLOOKUP($C:$C,Structure!$A:$AJ,Z$1,0)*$D131,0),IFERROR(VLOOKUP($E:$E,Structure!$A:$AJ,Z$1,0)*$F131,0),IFERROR(VLOOKUP($G:$G,Structure!$A:$AJ,Z$1,0)*$H131,0))</f>
        <v>0</v>
      </c>
      <c r="AA131" s="9">
        <f>SUM(IFERROR(VLOOKUP($C:$C,Structure!$A:$AJ,AA$1,0)*$D131,0),IFERROR(VLOOKUP($E:$E,Structure!$A:$AJ,AA$1,0)*$F131,0),IFERROR(VLOOKUP($G:$G,Structure!$A:$AJ,AA$1,0)*$H131,0))</f>
        <v>0</v>
      </c>
      <c r="AB131" s="9">
        <f>SUM(IFERROR(VLOOKUP($C:$C,Structure!$A:$AJ,AB$1,0)*$D131,0),IFERROR(VLOOKUP($E:$E,Structure!$A:$AJ,AB$1,0)*$F131,0),IFERROR(VLOOKUP($G:$G,Structure!$A:$AJ,AB$1,0)*$H131,0))</f>
        <v>0</v>
      </c>
      <c r="AC131" s="9">
        <f>SUM(IFERROR(VLOOKUP($C:$C,Structure!$A:$AJ,AC$1,0)*$D131,0),IFERROR(VLOOKUP($E:$E,Structure!$A:$AJ,AC$1,0)*$F131,0),IFERROR(VLOOKUP($G:$G,Structure!$A:$AJ,AC$1,0)*$H131,0))</f>
        <v>8</v>
      </c>
      <c r="AD131" s="9">
        <f>SUM(IFERROR(VLOOKUP($C:$C,Structure!$A:$AJ,AD$1,0)*$D131,0),IFERROR(VLOOKUP($E:$E,Structure!$A:$AJ,AD$1,0)*$F131,0),IFERROR(VLOOKUP($G:$G,Structure!$A:$AJ,AD$1,0)*$H131,0))</f>
        <v>0</v>
      </c>
      <c r="AE131" s="9">
        <f>SUM(IFERROR(VLOOKUP($C:$C,Structure!$A:$AJ,AE$1,0)*$D131,0),IFERROR(VLOOKUP($E:$E,Structure!$A:$AJ,AE$1,0)*$F131,0),IFERROR(VLOOKUP($G:$G,Structure!$A:$AJ,AE$1,0)*$H131,0))</f>
        <v>0</v>
      </c>
      <c r="AF131" s="9">
        <f>SUM(IFERROR(VLOOKUP($C:$C,Structure!$A:$AJ,AF$1,0)*$D131,0),IFERROR(VLOOKUP($E:$E,Structure!$A:$AJ,AF$1,0)*$F131,0),IFERROR(VLOOKUP($G:$G,Structure!$A:$AJ,AF$1,0)*$H131,0))</f>
        <v>0</v>
      </c>
      <c r="AG131" s="9">
        <f>SUM(IFERROR(VLOOKUP($C:$C,Structure!$A:$AJ,AG$1,0)*$D131,0),IFERROR(VLOOKUP($E:$E,Structure!$A:$AJ,AG$1,0)*$F131,0),IFERROR(VLOOKUP($G:$G,Structure!$A:$AJ,AG$1,0)*$H131,0))</f>
        <v>0</v>
      </c>
      <c r="AH131" s="9">
        <f>SUM(IFERROR(VLOOKUP($C:$C,Structure!$A:$AJ,AH$1,0)*$D131,0),IFERROR(VLOOKUP($E:$E,Structure!$A:$AJ,AH$1,0)*$F131,0),IFERROR(VLOOKUP($G:$G,Structure!$A:$AJ,AH$1,0)*$H131,0))</f>
        <v>0</v>
      </c>
      <c r="AI131" s="9">
        <f>SUM(IFERROR(VLOOKUP($C:$C,Structure!$A:$AJ,AI$1,0)*$D131,0),IFERROR(VLOOKUP($E:$E,Structure!$A:$AJ,AI$1,0)*$F131,0),IFERROR(VLOOKUP($G:$G,Structure!$A:$AJ,AI$1,0)*$H131,0))</f>
        <v>0</v>
      </c>
      <c r="AJ131" s="9">
        <f>SUM(IFERROR(VLOOKUP($C:$C,Structure!$A:$AJ,AJ$1,0)*$D131,0),IFERROR(VLOOKUP($E:$E,Structure!$A:$AJ,AJ$1,0)*$F131,0),IFERROR(VLOOKUP($G:$G,Structure!$A:$AJ,AJ$1,0)*$H131,0))</f>
        <v>0</v>
      </c>
      <c r="AK131" s="9">
        <f>SUM(IFERROR(VLOOKUP($C:$C,Structure!$A:$AJ,AK$1,0)*$D131,0),IFERROR(VLOOKUP($E:$E,Structure!$A:$AJ,AK$1,0)*$F131,0),IFERROR(VLOOKUP($G:$G,Structure!$A:$AJ,AK$1,0)*$H131,0))</f>
        <v>0</v>
      </c>
      <c r="AL131" s="9">
        <f>SUM(IFERROR(VLOOKUP($C:$C,Structure!$A:$AJ,AL$1,0)*$D131,0),IFERROR(VLOOKUP($E:$E,Structure!$A:$AJ,AL$1,0)*$F131,0),IFERROR(VLOOKUP($G:$G,Structure!$A:$AJ,AL$1,0)*$H131,0))</f>
        <v>0</v>
      </c>
      <c r="AM131" s="9">
        <f>SUM(IFERROR(VLOOKUP($C:$C,Structure!$A:$AJ,AM$1,0)*$D131,0),IFERROR(VLOOKUP($E:$E,Structure!$A:$AJ,AM$1,0)*$F131,0),IFERROR(VLOOKUP($G:$G,Structure!$A:$AJ,AM$1,0)*$H131,0))</f>
        <v>0</v>
      </c>
      <c r="AN131" s="9">
        <f>SUM(IFERROR(VLOOKUP($C:$C,Structure!$A:$AJ,AN$1,0)*$D131,0),IFERROR(VLOOKUP($E:$E,Structure!$A:$AJ,AN$1,0)*$F131,0),IFERROR(VLOOKUP($G:$G,Structure!$A:$AJ,AN$1,0)*$H131,0))</f>
        <v>0</v>
      </c>
      <c r="AO131" s="9">
        <f>SUM(IFERROR(VLOOKUP($C:$C,Structure!$A:$AJ,AO$1,0)*$D131,0),IFERROR(VLOOKUP($E:$E,Structure!$A:$AJ,AO$1,0)*$F131,0),IFERROR(VLOOKUP($G:$G,Structure!$A:$AJ,AO$1,0)*$H131,0))</f>
        <v>0</v>
      </c>
      <c r="AP131" s="9">
        <f>SUM(IFERROR(VLOOKUP($C:$C,Structure!$A:$AJ,AP$1,0)*$D131,0),IFERROR(VLOOKUP($E:$E,Structure!$A:$AJ,AP$1,0)*$F131,0),IFERROR(VLOOKUP($G:$G,Structure!$A:$AJ,AP$1,0)*$H131,0))</f>
        <v>0</v>
      </c>
      <c r="AQ131" s="9">
        <f>SUM(IFERROR(VLOOKUP($C:$C,Structure!$A:$AJ,AQ$1,0)*$D131,0),IFERROR(VLOOKUP($E:$E,Structure!$A:$AJ,AQ$1,0)*$F131,0),IFERROR(VLOOKUP($G:$G,Structure!$A:$AJ,AQ$1,0)*$H131,0))</f>
        <v>0</v>
      </c>
      <c r="AR131" s="21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4">
        <f t="shared" si="127"/>
        <v>0</v>
      </c>
      <c r="CE131" s="4">
        <f t="shared" si="128"/>
        <v>-84</v>
      </c>
      <c r="CF131" s="4">
        <f t="shared" si="129"/>
        <v>4</v>
      </c>
      <c r="CG131" s="4">
        <f t="shared" si="130"/>
        <v>14</v>
      </c>
      <c r="CH131" s="4">
        <f t="shared" si="131"/>
        <v>-7</v>
      </c>
      <c r="CI131" s="4">
        <f t="shared" si="132"/>
        <v>127</v>
      </c>
      <c r="CJ131" s="4">
        <f t="shared" si="133"/>
        <v>-141</v>
      </c>
      <c r="CK131" s="4">
        <f t="shared" si="134"/>
        <v>95</v>
      </c>
      <c r="CL131" s="4">
        <f t="shared" si="135"/>
        <v>0</v>
      </c>
      <c r="CM131" s="4">
        <f t="shared" si="136"/>
        <v>6</v>
      </c>
      <c r="CN131" s="4">
        <f t="shared" si="137"/>
        <v>-28</v>
      </c>
      <c r="CO131" s="4">
        <f t="shared" si="138"/>
        <v>0</v>
      </c>
      <c r="CP131" s="4">
        <f t="shared" si="139"/>
        <v>19</v>
      </c>
      <c r="CQ131" s="4">
        <f t="shared" si="140"/>
        <v>-194</v>
      </c>
      <c r="CR131" s="4">
        <f t="shared" si="141"/>
        <v>15</v>
      </c>
      <c r="CS131" s="4">
        <f t="shared" si="142"/>
        <v>-24</v>
      </c>
      <c r="CT131" s="4">
        <f t="shared" si="143"/>
        <v>0</v>
      </c>
      <c r="CU131" s="4">
        <f t="shared" si="144"/>
        <v>0</v>
      </c>
      <c r="CV131" s="4">
        <f t="shared" si="145"/>
        <v>0</v>
      </c>
      <c r="CW131" s="4">
        <f t="shared" si="146"/>
        <v>0</v>
      </c>
      <c r="CX131" s="4">
        <f t="shared" si="147"/>
        <v>-85</v>
      </c>
      <c r="CY131" s="4">
        <f t="shared" si="148"/>
        <v>0</v>
      </c>
      <c r="CZ131" s="4">
        <f t="shared" si="149"/>
        <v>0</v>
      </c>
      <c r="DA131" s="4">
        <f t="shared" si="150"/>
        <v>0</v>
      </c>
      <c r="DB131" s="4">
        <f t="shared" si="151"/>
        <v>0</v>
      </c>
      <c r="DC131" s="4">
        <f t="shared" si="152"/>
        <v>0</v>
      </c>
      <c r="DD131" s="4">
        <f t="shared" si="153"/>
        <v>0</v>
      </c>
      <c r="DE131" s="4">
        <f t="shared" si="154"/>
        <v>0</v>
      </c>
      <c r="DF131" s="4">
        <f t="shared" si="155"/>
        <v>0</v>
      </c>
      <c r="DG131" s="4">
        <f t="shared" si="156"/>
        <v>0</v>
      </c>
      <c r="DH131" s="4">
        <f t="shared" si="157"/>
        <v>0</v>
      </c>
      <c r="DI131" s="4">
        <f t="shared" si="158"/>
        <v>0</v>
      </c>
      <c r="DJ131" s="4">
        <f t="shared" si="159"/>
        <v>0</v>
      </c>
      <c r="DK131" s="4">
        <f t="shared" si="160"/>
        <v>0</v>
      </c>
      <c r="DL131" s="4">
        <f t="shared" si="161"/>
        <v>0</v>
      </c>
    </row>
    <row r="132" spans="1:116" x14ac:dyDescent="0.25">
      <c r="A132" s="5">
        <v>46186</v>
      </c>
      <c r="B132" s="6">
        <v>3.1286617740988731E-10</v>
      </c>
      <c r="C132" s="3"/>
      <c r="D132" s="3"/>
      <c r="E132" s="3" t="s">
        <v>30</v>
      </c>
      <c r="F132" s="3">
        <v>8</v>
      </c>
      <c r="G132" s="3"/>
      <c r="H132" s="9"/>
      <c r="I132" s="9">
        <f>SUM(IFERROR(VLOOKUP($C:$C,Structure!$A:$AJ,I$1,0)*$D132,0),IFERROR(VLOOKUP($E:$E,Structure!$A:$AJ,I$1,0)*$F132,0),IFERROR(VLOOKUP($G:$G,Structure!$A:$AJ,I$1,0)*$H132,0))</f>
        <v>0</v>
      </c>
      <c r="J132" s="9">
        <f>SUM(IFERROR(VLOOKUP($C:$C,Structure!$A:$AJ,J$1,0)*$D132,0),IFERROR(VLOOKUP($E:$E,Structure!$A:$AJ,J$1,0)*$F132,0),IFERROR(VLOOKUP($G:$G,Structure!$A:$AJ,J$1,0)*$H132,0))</f>
        <v>0</v>
      </c>
      <c r="K132" s="9">
        <f>SUM(IFERROR(VLOOKUP($C:$C,Structure!$A:$AJ,K$1,0)*$D132,0),IFERROR(VLOOKUP($E:$E,Structure!$A:$AJ,K$1,0)*$F132,0),IFERROR(VLOOKUP($G:$G,Structure!$A:$AJ,K$1,0)*$H132,0))</f>
        <v>0</v>
      </c>
      <c r="L132" s="9">
        <f>SUM(IFERROR(VLOOKUP($C:$C,Structure!$A:$AJ,L$1,0)*$D132,0),IFERROR(VLOOKUP($E:$E,Structure!$A:$AJ,L$1,0)*$F132,0),IFERROR(VLOOKUP($G:$G,Structure!$A:$AJ,L$1,0)*$H132,0))</f>
        <v>0</v>
      </c>
      <c r="M132" s="9">
        <f>SUM(IFERROR(VLOOKUP($C:$C,Structure!$A:$AJ,M$1,0)*$D132,0),IFERROR(VLOOKUP($E:$E,Structure!$A:$AJ,M$1,0)*$F132,0),IFERROR(VLOOKUP($G:$G,Structure!$A:$AJ,M$1,0)*$H132,0))</f>
        <v>0</v>
      </c>
      <c r="N132" s="9">
        <f>SUM(IFERROR(VLOOKUP($C:$C,Structure!$A:$AJ,N$1,0)*$D132,0),IFERROR(VLOOKUP($E:$E,Structure!$A:$AJ,N$1,0)*$F132,0),IFERROR(VLOOKUP($G:$G,Structure!$A:$AJ,N$1,0)*$H132,0))</f>
        <v>0</v>
      </c>
      <c r="O132" s="9">
        <f>SUM(IFERROR(VLOOKUP($C:$C,Structure!$A:$AJ,O$1,0)*$D132,0),IFERROR(VLOOKUP($E:$E,Structure!$A:$AJ,O$1,0)*$F132,0),IFERROR(VLOOKUP($G:$G,Structure!$A:$AJ,O$1,0)*$H132,0))</f>
        <v>0</v>
      </c>
      <c r="P132" s="9">
        <f>SUM(IFERROR(VLOOKUP($C:$C,Structure!$A:$AJ,P$1,0)*$D132,0),IFERROR(VLOOKUP($E:$E,Structure!$A:$AJ,P$1,0)*$F132,0),IFERROR(VLOOKUP($G:$G,Structure!$A:$AJ,P$1,0)*$H132,0))</f>
        <v>0</v>
      </c>
      <c r="Q132" s="9">
        <f>SUM(IFERROR(VLOOKUP($C:$C,Structure!$A:$AJ,Q$1,0)*$D132,0),IFERROR(VLOOKUP($E:$E,Structure!$A:$AJ,Q$1,0)*$F132,0),IFERROR(VLOOKUP($G:$G,Structure!$A:$AJ,Q$1,0)*$H132,0))</f>
        <v>0</v>
      </c>
      <c r="R132" s="9">
        <f>SUM(IFERROR(VLOOKUP($C:$C,Structure!$A:$AJ,R$1,0)*$D132,0),IFERROR(VLOOKUP($E:$E,Structure!$A:$AJ,R$1,0)*$F132,0),IFERROR(VLOOKUP($G:$G,Structure!$A:$AJ,R$1,0)*$H132,0))</f>
        <v>0</v>
      </c>
      <c r="S132" s="9">
        <f>SUM(IFERROR(VLOOKUP($C:$C,Structure!$A:$AJ,S$1,0)*$D132,0),IFERROR(VLOOKUP($E:$E,Structure!$A:$AJ,S$1,0)*$F132,0),IFERROR(VLOOKUP($G:$G,Structure!$A:$AJ,S$1,0)*$H132,0))</f>
        <v>0</v>
      </c>
      <c r="T132" s="9">
        <f>SUM(IFERROR(VLOOKUP($C:$C,Structure!$A:$AJ,T$1,0)*$D132,0),IFERROR(VLOOKUP($E:$E,Structure!$A:$AJ,T$1,0)*$F132,0),IFERROR(VLOOKUP($G:$G,Structure!$A:$AJ,T$1,0)*$H132,0))</f>
        <v>0</v>
      </c>
      <c r="U132" s="9">
        <f>SUM(IFERROR(VLOOKUP($C:$C,Structure!$A:$AJ,U$1,0)*$D132,0),IFERROR(VLOOKUP($E:$E,Structure!$A:$AJ,U$1,0)*$F132,0),IFERROR(VLOOKUP($G:$G,Structure!$A:$AJ,U$1,0)*$H132,0))</f>
        <v>0</v>
      </c>
      <c r="V132" s="9">
        <f>SUM(IFERROR(VLOOKUP($C:$C,Structure!$A:$AJ,V$1,0)*$D132,0),IFERROR(VLOOKUP($E:$E,Structure!$A:$AJ,V$1,0)*$F132,0),IFERROR(VLOOKUP($G:$G,Structure!$A:$AJ,V$1,0)*$H132,0))</f>
        <v>8</v>
      </c>
      <c r="W132" s="9">
        <f>SUM(IFERROR(VLOOKUP($C:$C,Structure!$A:$AJ,W$1,0)*$D132,0),IFERROR(VLOOKUP($E:$E,Structure!$A:$AJ,W$1,0)*$F132,0),IFERROR(VLOOKUP($G:$G,Structure!$A:$AJ,W$1,0)*$H132,0))</f>
        <v>0</v>
      </c>
      <c r="X132" s="9">
        <f>SUM(IFERROR(VLOOKUP($C:$C,Structure!$A:$AJ,X$1,0)*$D132,0),IFERROR(VLOOKUP($E:$E,Structure!$A:$AJ,X$1,0)*$F132,0),IFERROR(VLOOKUP($G:$G,Structure!$A:$AJ,X$1,0)*$H132,0))</f>
        <v>0</v>
      </c>
      <c r="Y132" s="9">
        <f>SUM(IFERROR(VLOOKUP($C:$C,Structure!$A:$AJ,Y$1,0)*$D132,0),IFERROR(VLOOKUP($E:$E,Structure!$A:$AJ,Y$1,0)*$F132,0),IFERROR(VLOOKUP($G:$G,Structure!$A:$AJ,Y$1,0)*$H132,0))</f>
        <v>0</v>
      </c>
      <c r="Z132" s="9">
        <f>SUM(IFERROR(VLOOKUP($C:$C,Structure!$A:$AJ,Z$1,0)*$D132,0),IFERROR(VLOOKUP($E:$E,Structure!$A:$AJ,Z$1,0)*$F132,0),IFERROR(VLOOKUP($G:$G,Structure!$A:$AJ,Z$1,0)*$H132,0))</f>
        <v>0</v>
      </c>
      <c r="AA132" s="9">
        <f>SUM(IFERROR(VLOOKUP($C:$C,Structure!$A:$AJ,AA$1,0)*$D132,0),IFERROR(VLOOKUP($E:$E,Structure!$A:$AJ,AA$1,0)*$F132,0),IFERROR(VLOOKUP($G:$G,Structure!$A:$AJ,AA$1,0)*$H132,0))</f>
        <v>0</v>
      </c>
      <c r="AB132" s="9">
        <f>SUM(IFERROR(VLOOKUP($C:$C,Structure!$A:$AJ,AB$1,0)*$D132,0),IFERROR(VLOOKUP($E:$E,Structure!$A:$AJ,AB$1,0)*$F132,0),IFERROR(VLOOKUP($G:$G,Structure!$A:$AJ,AB$1,0)*$H132,0))</f>
        <v>0</v>
      </c>
      <c r="AC132" s="9">
        <f>SUM(IFERROR(VLOOKUP($C:$C,Structure!$A:$AJ,AC$1,0)*$D132,0),IFERROR(VLOOKUP($E:$E,Structure!$A:$AJ,AC$1,0)*$F132,0),IFERROR(VLOOKUP($G:$G,Structure!$A:$AJ,AC$1,0)*$H132,0))</f>
        <v>8</v>
      </c>
      <c r="AD132" s="9">
        <f>SUM(IFERROR(VLOOKUP($C:$C,Structure!$A:$AJ,AD$1,0)*$D132,0),IFERROR(VLOOKUP($E:$E,Structure!$A:$AJ,AD$1,0)*$F132,0),IFERROR(VLOOKUP($G:$G,Structure!$A:$AJ,AD$1,0)*$H132,0))</f>
        <v>0</v>
      </c>
      <c r="AE132" s="9">
        <f>SUM(IFERROR(VLOOKUP($C:$C,Structure!$A:$AJ,AE$1,0)*$D132,0),IFERROR(VLOOKUP($E:$E,Structure!$A:$AJ,AE$1,0)*$F132,0),IFERROR(VLOOKUP($G:$G,Structure!$A:$AJ,AE$1,0)*$H132,0))</f>
        <v>0</v>
      </c>
      <c r="AF132" s="9">
        <f>SUM(IFERROR(VLOOKUP($C:$C,Structure!$A:$AJ,AF$1,0)*$D132,0),IFERROR(VLOOKUP($E:$E,Structure!$A:$AJ,AF$1,0)*$F132,0),IFERROR(VLOOKUP($G:$G,Structure!$A:$AJ,AF$1,0)*$H132,0))</f>
        <v>0</v>
      </c>
      <c r="AG132" s="9">
        <f>SUM(IFERROR(VLOOKUP($C:$C,Structure!$A:$AJ,AG$1,0)*$D132,0),IFERROR(VLOOKUP($E:$E,Structure!$A:$AJ,AG$1,0)*$F132,0),IFERROR(VLOOKUP($G:$G,Structure!$A:$AJ,AG$1,0)*$H132,0))</f>
        <v>0</v>
      </c>
      <c r="AH132" s="9">
        <f>SUM(IFERROR(VLOOKUP($C:$C,Structure!$A:$AJ,AH$1,0)*$D132,0),IFERROR(VLOOKUP($E:$E,Structure!$A:$AJ,AH$1,0)*$F132,0),IFERROR(VLOOKUP($G:$G,Structure!$A:$AJ,AH$1,0)*$H132,0))</f>
        <v>0</v>
      </c>
      <c r="AI132" s="9">
        <f>SUM(IFERROR(VLOOKUP($C:$C,Structure!$A:$AJ,AI$1,0)*$D132,0),IFERROR(VLOOKUP($E:$E,Structure!$A:$AJ,AI$1,0)*$F132,0),IFERROR(VLOOKUP($G:$G,Structure!$A:$AJ,AI$1,0)*$H132,0))</f>
        <v>0</v>
      </c>
      <c r="AJ132" s="9">
        <f>SUM(IFERROR(VLOOKUP($C:$C,Structure!$A:$AJ,AJ$1,0)*$D132,0),IFERROR(VLOOKUP($E:$E,Structure!$A:$AJ,AJ$1,0)*$F132,0),IFERROR(VLOOKUP($G:$G,Structure!$A:$AJ,AJ$1,0)*$H132,0))</f>
        <v>0</v>
      </c>
      <c r="AK132" s="9">
        <f>SUM(IFERROR(VLOOKUP($C:$C,Structure!$A:$AJ,AK$1,0)*$D132,0),IFERROR(VLOOKUP($E:$E,Structure!$A:$AJ,AK$1,0)*$F132,0),IFERROR(VLOOKUP($G:$G,Structure!$A:$AJ,AK$1,0)*$H132,0))</f>
        <v>0</v>
      </c>
      <c r="AL132" s="9">
        <f>SUM(IFERROR(VLOOKUP($C:$C,Structure!$A:$AJ,AL$1,0)*$D132,0),IFERROR(VLOOKUP($E:$E,Structure!$A:$AJ,AL$1,0)*$F132,0),IFERROR(VLOOKUP($G:$G,Structure!$A:$AJ,AL$1,0)*$H132,0))</f>
        <v>0</v>
      </c>
      <c r="AM132" s="9">
        <f>SUM(IFERROR(VLOOKUP($C:$C,Structure!$A:$AJ,AM$1,0)*$D132,0),IFERROR(VLOOKUP($E:$E,Structure!$A:$AJ,AM$1,0)*$F132,0),IFERROR(VLOOKUP($G:$G,Structure!$A:$AJ,AM$1,0)*$H132,0))</f>
        <v>0</v>
      </c>
      <c r="AN132" s="9">
        <f>SUM(IFERROR(VLOOKUP($C:$C,Structure!$A:$AJ,AN$1,0)*$D132,0),IFERROR(VLOOKUP($E:$E,Structure!$A:$AJ,AN$1,0)*$F132,0),IFERROR(VLOOKUP($G:$G,Structure!$A:$AJ,AN$1,0)*$H132,0))</f>
        <v>0</v>
      </c>
      <c r="AO132" s="9">
        <f>SUM(IFERROR(VLOOKUP($C:$C,Structure!$A:$AJ,AO$1,0)*$D132,0),IFERROR(VLOOKUP($E:$E,Structure!$A:$AJ,AO$1,0)*$F132,0),IFERROR(VLOOKUP($G:$G,Structure!$A:$AJ,AO$1,0)*$H132,0))</f>
        <v>0</v>
      </c>
      <c r="AP132" s="9">
        <f>SUM(IFERROR(VLOOKUP($C:$C,Structure!$A:$AJ,AP$1,0)*$D132,0),IFERROR(VLOOKUP($E:$E,Structure!$A:$AJ,AP$1,0)*$F132,0),IFERROR(VLOOKUP($G:$G,Structure!$A:$AJ,AP$1,0)*$H132,0))</f>
        <v>0</v>
      </c>
      <c r="AQ132" s="9">
        <f>SUM(IFERROR(VLOOKUP($C:$C,Structure!$A:$AJ,AQ$1,0)*$D132,0),IFERROR(VLOOKUP($E:$E,Structure!$A:$AJ,AQ$1,0)*$F132,0),IFERROR(VLOOKUP($G:$G,Structure!$A:$AJ,AQ$1,0)*$H132,0))</f>
        <v>0</v>
      </c>
      <c r="AR132" s="21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4">
        <f t="shared" si="127"/>
        <v>0</v>
      </c>
      <c r="CE132" s="4">
        <f t="shared" si="128"/>
        <v>-84</v>
      </c>
      <c r="CF132" s="4">
        <f t="shared" si="129"/>
        <v>4</v>
      </c>
      <c r="CG132" s="4">
        <f t="shared" si="130"/>
        <v>14</v>
      </c>
      <c r="CH132" s="4">
        <f t="shared" si="131"/>
        <v>-7</v>
      </c>
      <c r="CI132" s="4">
        <f t="shared" si="132"/>
        <v>127</v>
      </c>
      <c r="CJ132" s="4">
        <f t="shared" si="133"/>
        <v>-141</v>
      </c>
      <c r="CK132" s="4">
        <f t="shared" si="134"/>
        <v>95</v>
      </c>
      <c r="CL132" s="4">
        <f t="shared" si="135"/>
        <v>0</v>
      </c>
      <c r="CM132" s="4">
        <f t="shared" si="136"/>
        <v>6</v>
      </c>
      <c r="CN132" s="4">
        <f t="shared" si="137"/>
        <v>-28</v>
      </c>
      <c r="CO132" s="4">
        <f t="shared" si="138"/>
        <v>0</v>
      </c>
      <c r="CP132" s="4">
        <f t="shared" si="139"/>
        <v>19</v>
      </c>
      <c r="CQ132" s="4">
        <f t="shared" si="140"/>
        <v>-202</v>
      </c>
      <c r="CR132" s="4">
        <f t="shared" si="141"/>
        <v>15</v>
      </c>
      <c r="CS132" s="4">
        <f t="shared" si="142"/>
        <v>-24</v>
      </c>
      <c r="CT132" s="4">
        <f t="shared" si="143"/>
        <v>0</v>
      </c>
      <c r="CU132" s="4">
        <f t="shared" si="144"/>
        <v>0</v>
      </c>
      <c r="CV132" s="4">
        <f t="shared" si="145"/>
        <v>0</v>
      </c>
      <c r="CW132" s="4">
        <f t="shared" si="146"/>
        <v>0</v>
      </c>
      <c r="CX132" s="4">
        <f t="shared" si="147"/>
        <v>-93</v>
      </c>
      <c r="CY132" s="4">
        <f t="shared" si="148"/>
        <v>0</v>
      </c>
      <c r="CZ132" s="4">
        <f t="shared" si="149"/>
        <v>0</v>
      </c>
      <c r="DA132" s="4">
        <f t="shared" si="150"/>
        <v>0</v>
      </c>
      <c r="DB132" s="4">
        <f t="shared" si="151"/>
        <v>0</v>
      </c>
      <c r="DC132" s="4">
        <f t="shared" si="152"/>
        <v>0</v>
      </c>
      <c r="DD132" s="4">
        <f t="shared" si="153"/>
        <v>0</v>
      </c>
      <c r="DE132" s="4">
        <f t="shared" si="154"/>
        <v>0</v>
      </c>
      <c r="DF132" s="4">
        <f t="shared" si="155"/>
        <v>0</v>
      </c>
      <c r="DG132" s="4">
        <f t="shared" si="156"/>
        <v>0</v>
      </c>
      <c r="DH132" s="4">
        <f t="shared" si="157"/>
        <v>0</v>
      </c>
      <c r="DI132" s="4">
        <f t="shared" si="158"/>
        <v>0</v>
      </c>
      <c r="DJ132" s="4">
        <f t="shared" si="159"/>
        <v>0</v>
      </c>
      <c r="DK132" s="4">
        <f t="shared" si="160"/>
        <v>0</v>
      </c>
      <c r="DL132" s="4">
        <f t="shared" si="161"/>
        <v>0</v>
      </c>
    </row>
    <row r="133" spans="1:116" x14ac:dyDescent="0.25">
      <c r="A133" s="5">
        <v>46186</v>
      </c>
      <c r="B133" s="6">
        <v>2.083333364862483E-2</v>
      </c>
      <c r="C133" s="3"/>
      <c r="D133" s="3"/>
      <c r="E133" s="3" t="s">
        <v>30</v>
      </c>
      <c r="F133" s="3">
        <v>8</v>
      </c>
      <c r="G133" s="3"/>
      <c r="H133" s="9"/>
      <c r="I133" s="9">
        <f>SUM(IFERROR(VLOOKUP($C:$C,Structure!$A:$AJ,I$1,0)*$D133,0),IFERROR(VLOOKUP($E:$E,Structure!$A:$AJ,I$1,0)*$F133,0),IFERROR(VLOOKUP($G:$G,Structure!$A:$AJ,I$1,0)*$H133,0))</f>
        <v>0</v>
      </c>
      <c r="J133" s="9">
        <f>SUM(IFERROR(VLOOKUP($C:$C,Structure!$A:$AJ,J$1,0)*$D133,0),IFERROR(VLOOKUP($E:$E,Structure!$A:$AJ,J$1,0)*$F133,0),IFERROR(VLOOKUP($G:$G,Structure!$A:$AJ,J$1,0)*$H133,0))</f>
        <v>0</v>
      </c>
      <c r="K133" s="9">
        <f>SUM(IFERROR(VLOOKUP($C:$C,Structure!$A:$AJ,K$1,0)*$D133,0),IFERROR(VLOOKUP($E:$E,Structure!$A:$AJ,K$1,0)*$F133,0),IFERROR(VLOOKUP($G:$G,Structure!$A:$AJ,K$1,0)*$H133,0))</f>
        <v>0</v>
      </c>
      <c r="L133" s="9">
        <f>SUM(IFERROR(VLOOKUP($C:$C,Structure!$A:$AJ,L$1,0)*$D133,0),IFERROR(VLOOKUP($E:$E,Structure!$A:$AJ,L$1,0)*$F133,0),IFERROR(VLOOKUP($G:$G,Structure!$A:$AJ,L$1,0)*$H133,0))</f>
        <v>0</v>
      </c>
      <c r="M133" s="9">
        <f>SUM(IFERROR(VLOOKUP($C:$C,Structure!$A:$AJ,M$1,0)*$D133,0),IFERROR(VLOOKUP($E:$E,Structure!$A:$AJ,M$1,0)*$F133,0),IFERROR(VLOOKUP($G:$G,Structure!$A:$AJ,M$1,0)*$H133,0))</f>
        <v>0</v>
      </c>
      <c r="N133" s="9">
        <f>SUM(IFERROR(VLOOKUP($C:$C,Structure!$A:$AJ,N$1,0)*$D133,0),IFERROR(VLOOKUP($E:$E,Structure!$A:$AJ,N$1,0)*$F133,0),IFERROR(VLOOKUP($G:$G,Structure!$A:$AJ,N$1,0)*$H133,0))</f>
        <v>0</v>
      </c>
      <c r="O133" s="9">
        <f>SUM(IFERROR(VLOOKUP($C:$C,Structure!$A:$AJ,O$1,0)*$D133,0),IFERROR(VLOOKUP($E:$E,Structure!$A:$AJ,O$1,0)*$F133,0),IFERROR(VLOOKUP($G:$G,Structure!$A:$AJ,O$1,0)*$H133,0))</f>
        <v>0</v>
      </c>
      <c r="P133" s="9">
        <f>SUM(IFERROR(VLOOKUP($C:$C,Structure!$A:$AJ,P$1,0)*$D133,0),IFERROR(VLOOKUP($E:$E,Structure!$A:$AJ,P$1,0)*$F133,0),IFERROR(VLOOKUP($G:$G,Structure!$A:$AJ,P$1,0)*$H133,0))</f>
        <v>0</v>
      </c>
      <c r="Q133" s="9">
        <f>SUM(IFERROR(VLOOKUP($C:$C,Structure!$A:$AJ,Q$1,0)*$D133,0),IFERROR(VLOOKUP($E:$E,Structure!$A:$AJ,Q$1,0)*$F133,0),IFERROR(VLOOKUP($G:$G,Structure!$A:$AJ,Q$1,0)*$H133,0))</f>
        <v>0</v>
      </c>
      <c r="R133" s="9">
        <f>SUM(IFERROR(VLOOKUP($C:$C,Structure!$A:$AJ,R$1,0)*$D133,0),IFERROR(VLOOKUP($E:$E,Structure!$A:$AJ,R$1,0)*$F133,0),IFERROR(VLOOKUP($G:$G,Structure!$A:$AJ,R$1,0)*$H133,0))</f>
        <v>0</v>
      </c>
      <c r="S133" s="9">
        <f>SUM(IFERROR(VLOOKUP($C:$C,Structure!$A:$AJ,S$1,0)*$D133,0),IFERROR(VLOOKUP($E:$E,Structure!$A:$AJ,S$1,0)*$F133,0),IFERROR(VLOOKUP($G:$G,Structure!$A:$AJ,S$1,0)*$H133,0))</f>
        <v>0</v>
      </c>
      <c r="T133" s="9">
        <f>SUM(IFERROR(VLOOKUP($C:$C,Structure!$A:$AJ,T$1,0)*$D133,0),IFERROR(VLOOKUP($E:$E,Structure!$A:$AJ,T$1,0)*$F133,0),IFERROR(VLOOKUP($G:$G,Structure!$A:$AJ,T$1,0)*$H133,0))</f>
        <v>0</v>
      </c>
      <c r="U133" s="9">
        <f>SUM(IFERROR(VLOOKUP($C:$C,Structure!$A:$AJ,U$1,0)*$D133,0),IFERROR(VLOOKUP($E:$E,Structure!$A:$AJ,U$1,0)*$F133,0),IFERROR(VLOOKUP($G:$G,Structure!$A:$AJ,U$1,0)*$H133,0))</f>
        <v>0</v>
      </c>
      <c r="V133" s="9">
        <f>SUM(IFERROR(VLOOKUP($C:$C,Structure!$A:$AJ,V$1,0)*$D133,0),IFERROR(VLOOKUP($E:$E,Structure!$A:$AJ,V$1,0)*$F133,0),IFERROR(VLOOKUP($G:$G,Structure!$A:$AJ,V$1,0)*$H133,0))</f>
        <v>8</v>
      </c>
      <c r="W133" s="9">
        <f>SUM(IFERROR(VLOOKUP($C:$C,Structure!$A:$AJ,W$1,0)*$D133,0),IFERROR(VLOOKUP($E:$E,Structure!$A:$AJ,W$1,0)*$F133,0),IFERROR(VLOOKUP($G:$G,Structure!$A:$AJ,W$1,0)*$H133,0))</f>
        <v>0</v>
      </c>
      <c r="X133" s="9">
        <f>SUM(IFERROR(VLOOKUP($C:$C,Structure!$A:$AJ,X$1,0)*$D133,0),IFERROR(VLOOKUP($E:$E,Structure!$A:$AJ,X$1,0)*$F133,0),IFERROR(VLOOKUP($G:$G,Structure!$A:$AJ,X$1,0)*$H133,0))</f>
        <v>0</v>
      </c>
      <c r="Y133" s="9">
        <f>SUM(IFERROR(VLOOKUP($C:$C,Structure!$A:$AJ,Y$1,0)*$D133,0),IFERROR(VLOOKUP($E:$E,Structure!$A:$AJ,Y$1,0)*$F133,0),IFERROR(VLOOKUP($G:$G,Structure!$A:$AJ,Y$1,0)*$H133,0))</f>
        <v>0</v>
      </c>
      <c r="Z133" s="9">
        <f>SUM(IFERROR(VLOOKUP($C:$C,Structure!$A:$AJ,Z$1,0)*$D133,0),IFERROR(VLOOKUP($E:$E,Structure!$A:$AJ,Z$1,0)*$F133,0),IFERROR(VLOOKUP($G:$G,Structure!$A:$AJ,Z$1,0)*$H133,0))</f>
        <v>0</v>
      </c>
      <c r="AA133" s="9">
        <f>SUM(IFERROR(VLOOKUP($C:$C,Structure!$A:$AJ,AA$1,0)*$D133,0),IFERROR(VLOOKUP($E:$E,Structure!$A:$AJ,AA$1,0)*$F133,0),IFERROR(VLOOKUP($G:$G,Structure!$A:$AJ,AA$1,0)*$H133,0))</f>
        <v>0</v>
      </c>
      <c r="AB133" s="9">
        <f>SUM(IFERROR(VLOOKUP($C:$C,Structure!$A:$AJ,AB$1,0)*$D133,0),IFERROR(VLOOKUP($E:$E,Structure!$A:$AJ,AB$1,0)*$F133,0),IFERROR(VLOOKUP($G:$G,Structure!$A:$AJ,AB$1,0)*$H133,0))</f>
        <v>0</v>
      </c>
      <c r="AC133" s="9">
        <f>SUM(IFERROR(VLOOKUP($C:$C,Structure!$A:$AJ,AC$1,0)*$D133,0),IFERROR(VLOOKUP($E:$E,Structure!$A:$AJ,AC$1,0)*$F133,0),IFERROR(VLOOKUP($G:$G,Structure!$A:$AJ,AC$1,0)*$H133,0))</f>
        <v>8</v>
      </c>
      <c r="AD133" s="9">
        <f>SUM(IFERROR(VLOOKUP($C:$C,Structure!$A:$AJ,AD$1,0)*$D133,0),IFERROR(VLOOKUP($E:$E,Structure!$A:$AJ,AD$1,0)*$F133,0),IFERROR(VLOOKUP($G:$G,Structure!$A:$AJ,AD$1,0)*$H133,0))</f>
        <v>0</v>
      </c>
      <c r="AE133" s="9">
        <f>SUM(IFERROR(VLOOKUP($C:$C,Structure!$A:$AJ,AE$1,0)*$D133,0),IFERROR(VLOOKUP($E:$E,Structure!$A:$AJ,AE$1,0)*$F133,0),IFERROR(VLOOKUP($G:$G,Structure!$A:$AJ,AE$1,0)*$H133,0))</f>
        <v>0</v>
      </c>
      <c r="AF133" s="9">
        <f>SUM(IFERROR(VLOOKUP($C:$C,Structure!$A:$AJ,AF$1,0)*$D133,0),IFERROR(VLOOKUP($E:$E,Structure!$A:$AJ,AF$1,0)*$F133,0),IFERROR(VLOOKUP($G:$G,Structure!$A:$AJ,AF$1,0)*$H133,0))</f>
        <v>0</v>
      </c>
      <c r="AG133" s="9">
        <f>SUM(IFERROR(VLOOKUP($C:$C,Structure!$A:$AJ,AG$1,0)*$D133,0),IFERROR(VLOOKUP($E:$E,Structure!$A:$AJ,AG$1,0)*$F133,0),IFERROR(VLOOKUP($G:$G,Structure!$A:$AJ,AG$1,0)*$H133,0))</f>
        <v>0</v>
      </c>
      <c r="AH133" s="9">
        <f>SUM(IFERROR(VLOOKUP($C:$C,Structure!$A:$AJ,AH$1,0)*$D133,0),IFERROR(VLOOKUP($E:$E,Structure!$A:$AJ,AH$1,0)*$F133,0),IFERROR(VLOOKUP($G:$G,Structure!$A:$AJ,AH$1,0)*$H133,0))</f>
        <v>0</v>
      </c>
      <c r="AI133" s="9">
        <f>SUM(IFERROR(VLOOKUP($C:$C,Structure!$A:$AJ,AI$1,0)*$D133,0),IFERROR(VLOOKUP($E:$E,Structure!$A:$AJ,AI$1,0)*$F133,0),IFERROR(VLOOKUP($G:$G,Structure!$A:$AJ,AI$1,0)*$H133,0))</f>
        <v>0</v>
      </c>
      <c r="AJ133" s="9">
        <f>SUM(IFERROR(VLOOKUP($C:$C,Structure!$A:$AJ,AJ$1,0)*$D133,0),IFERROR(VLOOKUP($E:$E,Structure!$A:$AJ,AJ$1,0)*$F133,0),IFERROR(VLOOKUP($G:$G,Structure!$A:$AJ,AJ$1,0)*$H133,0))</f>
        <v>0</v>
      </c>
      <c r="AK133" s="9">
        <f>SUM(IFERROR(VLOOKUP($C:$C,Structure!$A:$AJ,AK$1,0)*$D133,0),IFERROR(VLOOKUP($E:$E,Structure!$A:$AJ,AK$1,0)*$F133,0),IFERROR(VLOOKUP($G:$G,Structure!$A:$AJ,AK$1,0)*$H133,0))</f>
        <v>0</v>
      </c>
      <c r="AL133" s="9">
        <f>SUM(IFERROR(VLOOKUP($C:$C,Structure!$A:$AJ,AL$1,0)*$D133,0),IFERROR(VLOOKUP($E:$E,Structure!$A:$AJ,AL$1,0)*$F133,0),IFERROR(VLOOKUP($G:$G,Structure!$A:$AJ,AL$1,0)*$H133,0))</f>
        <v>0</v>
      </c>
      <c r="AM133" s="9">
        <f>SUM(IFERROR(VLOOKUP($C:$C,Structure!$A:$AJ,AM$1,0)*$D133,0),IFERROR(VLOOKUP($E:$E,Structure!$A:$AJ,AM$1,0)*$F133,0),IFERROR(VLOOKUP($G:$G,Structure!$A:$AJ,AM$1,0)*$H133,0))</f>
        <v>0</v>
      </c>
      <c r="AN133" s="9">
        <f>SUM(IFERROR(VLOOKUP($C:$C,Structure!$A:$AJ,AN$1,0)*$D133,0),IFERROR(VLOOKUP($E:$E,Structure!$A:$AJ,AN$1,0)*$F133,0),IFERROR(VLOOKUP($G:$G,Structure!$A:$AJ,AN$1,0)*$H133,0))</f>
        <v>0</v>
      </c>
      <c r="AO133" s="9">
        <f>SUM(IFERROR(VLOOKUP($C:$C,Structure!$A:$AJ,AO$1,0)*$D133,0),IFERROR(VLOOKUP($E:$E,Structure!$A:$AJ,AO$1,0)*$F133,0),IFERROR(VLOOKUP($G:$G,Structure!$A:$AJ,AO$1,0)*$H133,0))</f>
        <v>0</v>
      </c>
      <c r="AP133" s="9">
        <f>SUM(IFERROR(VLOOKUP($C:$C,Structure!$A:$AJ,AP$1,0)*$D133,0),IFERROR(VLOOKUP($E:$E,Structure!$A:$AJ,AP$1,0)*$F133,0),IFERROR(VLOOKUP($G:$G,Structure!$A:$AJ,AP$1,0)*$H133,0))</f>
        <v>0</v>
      </c>
      <c r="AQ133" s="9">
        <f>SUM(IFERROR(VLOOKUP($C:$C,Structure!$A:$AJ,AQ$1,0)*$D133,0),IFERROR(VLOOKUP($E:$E,Structure!$A:$AJ,AQ$1,0)*$F133,0),IFERROR(VLOOKUP($G:$G,Structure!$A:$AJ,AQ$1,0)*$H133,0))</f>
        <v>0</v>
      </c>
      <c r="AR133" s="21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4">
        <f t="shared" ref="CD133:CD164" si="162">CD132+AU133-I133</f>
        <v>0</v>
      </c>
      <c r="CE133" s="4">
        <f t="shared" ref="CE133:CE164" si="163">CE132+AV133-J133</f>
        <v>-84</v>
      </c>
      <c r="CF133" s="4">
        <f t="shared" ref="CF133:CF164" si="164">CF132+AW133-K133</f>
        <v>4</v>
      </c>
      <c r="CG133" s="4">
        <f t="shared" ref="CG133:CG164" si="165">CG132+AX133-L133</f>
        <v>14</v>
      </c>
      <c r="CH133" s="4">
        <f t="shared" ref="CH133:CH164" si="166">CH132+AY133-M133</f>
        <v>-7</v>
      </c>
      <c r="CI133" s="4">
        <f t="shared" ref="CI133:CI164" si="167">CI132+AZ133-N133</f>
        <v>127</v>
      </c>
      <c r="CJ133" s="4">
        <f t="shared" ref="CJ133:CJ164" si="168">CJ132+BA133-O133</f>
        <v>-141</v>
      </c>
      <c r="CK133" s="4">
        <f t="shared" ref="CK133:CK164" si="169">CK132+BB133-P133</f>
        <v>95</v>
      </c>
      <c r="CL133" s="4">
        <f t="shared" ref="CL133:CL164" si="170">CL132+BC133-Q133</f>
        <v>0</v>
      </c>
      <c r="CM133" s="4">
        <f t="shared" ref="CM133:CM164" si="171">CM132+BD133-R133</f>
        <v>6</v>
      </c>
      <c r="CN133" s="4">
        <f t="shared" ref="CN133:CN164" si="172">CN132+BE133-S133</f>
        <v>-28</v>
      </c>
      <c r="CO133" s="4">
        <f t="shared" ref="CO133:CO164" si="173">CO132+BF133-T133</f>
        <v>0</v>
      </c>
      <c r="CP133" s="4">
        <f t="shared" ref="CP133:CP164" si="174">CP132+BG133-U133</f>
        <v>19</v>
      </c>
      <c r="CQ133" s="4">
        <f t="shared" ref="CQ133:CQ164" si="175">CQ132+BH133-V133</f>
        <v>-210</v>
      </c>
      <c r="CR133" s="4">
        <f t="shared" ref="CR133:CR164" si="176">CR132+BI133-W133</f>
        <v>15</v>
      </c>
      <c r="CS133" s="4">
        <f t="shared" ref="CS133:CS164" si="177">CS132+BJ133-X133</f>
        <v>-24</v>
      </c>
      <c r="CT133" s="4">
        <f t="shared" ref="CT133:CT164" si="178">CT132+BK133-Y133</f>
        <v>0</v>
      </c>
      <c r="CU133" s="4">
        <f t="shared" ref="CU133:CU164" si="179">CU132+BL133-Z133</f>
        <v>0</v>
      </c>
      <c r="CV133" s="4">
        <f t="shared" ref="CV133:CV164" si="180">CV132+BM133-AA133</f>
        <v>0</v>
      </c>
      <c r="CW133" s="4">
        <f t="shared" ref="CW133:CW164" si="181">CW132+BN133-AB133</f>
        <v>0</v>
      </c>
      <c r="CX133" s="4">
        <f t="shared" ref="CX133:CX164" si="182">CX132+BO133-AC133</f>
        <v>-101</v>
      </c>
      <c r="CY133" s="4">
        <f t="shared" ref="CY133:CY164" si="183">CY132+BP133-AD133</f>
        <v>0</v>
      </c>
      <c r="CZ133" s="4">
        <f t="shared" ref="CZ133:CZ164" si="184">CZ132+BQ133-AE133</f>
        <v>0</v>
      </c>
      <c r="DA133" s="4">
        <f t="shared" ref="DA133:DA164" si="185">DA132+BR133-AF133</f>
        <v>0</v>
      </c>
      <c r="DB133" s="4">
        <f t="shared" ref="DB133:DB164" si="186">DB132+BS133-AG133</f>
        <v>0</v>
      </c>
      <c r="DC133" s="4">
        <f t="shared" ref="DC133:DC164" si="187">DC132+BT133-AH133</f>
        <v>0</v>
      </c>
      <c r="DD133" s="4">
        <f t="shared" ref="DD133:DD164" si="188">DD132+BU133-AI133</f>
        <v>0</v>
      </c>
      <c r="DE133" s="4">
        <f t="shared" ref="DE133:DE164" si="189">DE132+BV133-AJ133</f>
        <v>0</v>
      </c>
      <c r="DF133" s="4">
        <f t="shared" ref="DF133:DF164" si="190">DF132+BW133-AK133</f>
        <v>0</v>
      </c>
      <c r="DG133" s="4">
        <f t="shared" ref="DG133:DG164" si="191">DG132+BX133-AL133</f>
        <v>0</v>
      </c>
      <c r="DH133" s="4">
        <f t="shared" ref="DH133:DH164" si="192">DH132+BY133-AM133</f>
        <v>0</v>
      </c>
      <c r="DI133" s="4">
        <f t="shared" ref="DI133:DI164" si="193">DI132+BZ133-AN133</f>
        <v>0</v>
      </c>
      <c r="DJ133" s="4">
        <f t="shared" ref="DJ133:DJ164" si="194">DJ132+CA133-AO133</f>
        <v>0</v>
      </c>
      <c r="DK133" s="4">
        <f t="shared" ref="DK133:DK164" si="195">DK132+CB133-AP133</f>
        <v>0</v>
      </c>
      <c r="DL133" s="4">
        <f t="shared" ref="DL133:DL164" si="196">DL132+CC133-AQ133</f>
        <v>0</v>
      </c>
    </row>
    <row r="134" spans="1:116" x14ac:dyDescent="0.25">
      <c r="A134" s="5">
        <v>46186</v>
      </c>
      <c r="B134" s="6">
        <v>4.1666666984383482E-2</v>
      </c>
      <c r="C134" s="3"/>
      <c r="D134" s="3"/>
      <c r="E134" s="3" t="s">
        <v>30</v>
      </c>
      <c r="F134" s="3">
        <v>8</v>
      </c>
      <c r="G134" s="3"/>
      <c r="H134" s="9"/>
      <c r="I134" s="9">
        <f>SUM(IFERROR(VLOOKUP($C:$C,Structure!$A:$AJ,I$1,0)*$D134,0),IFERROR(VLOOKUP($E:$E,Structure!$A:$AJ,I$1,0)*$F134,0),IFERROR(VLOOKUP($G:$G,Structure!$A:$AJ,I$1,0)*$H134,0))</f>
        <v>0</v>
      </c>
      <c r="J134" s="9">
        <f>SUM(IFERROR(VLOOKUP($C:$C,Structure!$A:$AJ,J$1,0)*$D134,0),IFERROR(VLOOKUP($E:$E,Structure!$A:$AJ,J$1,0)*$F134,0),IFERROR(VLOOKUP($G:$G,Structure!$A:$AJ,J$1,0)*$H134,0))</f>
        <v>0</v>
      </c>
      <c r="K134" s="9">
        <f>SUM(IFERROR(VLOOKUP($C:$C,Structure!$A:$AJ,K$1,0)*$D134,0),IFERROR(VLOOKUP($E:$E,Structure!$A:$AJ,K$1,0)*$F134,0),IFERROR(VLOOKUP($G:$G,Structure!$A:$AJ,K$1,0)*$H134,0))</f>
        <v>0</v>
      </c>
      <c r="L134" s="9">
        <f>SUM(IFERROR(VLOOKUP($C:$C,Structure!$A:$AJ,L$1,0)*$D134,0),IFERROR(VLOOKUP($E:$E,Structure!$A:$AJ,L$1,0)*$F134,0),IFERROR(VLOOKUP($G:$G,Structure!$A:$AJ,L$1,0)*$H134,0))</f>
        <v>0</v>
      </c>
      <c r="M134" s="9">
        <f>SUM(IFERROR(VLOOKUP($C:$C,Structure!$A:$AJ,M$1,0)*$D134,0),IFERROR(VLOOKUP($E:$E,Structure!$A:$AJ,M$1,0)*$F134,0),IFERROR(VLOOKUP($G:$G,Structure!$A:$AJ,M$1,0)*$H134,0))</f>
        <v>0</v>
      </c>
      <c r="N134" s="9">
        <f>SUM(IFERROR(VLOOKUP($C:$C,Structure!$A:$AJ,N$1,0)*$D134,0),IFERROR(VLOOKUP($E:$E,Structure!$A:$AJ,N$1,0)*$F134,0),IFERROR(VLOOKUP($G:$G,Structure!$A:$AJ,N$1,0)*$H134,0))</f>
        <v>0</v>
      </c>
      <c r="O134" s="9">
        <f>SUM(IFERROR(VLOOKUP($C:$C,Structure!$A:$AJ,O$1,0)*$D134,0),IFERROR(VLOOKUP($E:$E,Structure!$A:$AJ,O$1,0)*$F134,0),IFERROR(VLOOKUP($G:$G,Structure!$A:$AJ,O$1,0)*$H134,0))</f>
        <v>0</v>
      </c>
      <c r="P134" s="9">
        <f>SUM(IFERROR(VLOOKUP($C:$C,Structure!$A:$AJ,P$1,0)*$D134,0),IFERROR(VLOOKUP($E:$E,Structure!$A:$AJ,P$1,0)*$F134,0),IFERROR(VLOOKUP($G:$G,Structure!$A:$AJ,P$1,0)*$H134,0))</f>
        <v>0</v>
      </c>
      <c r="Q134" s="9">
        <f>SUM(IFERROR(VLOOKUP($C:$C,Structure!$A:$AJ,Q$1,0)*$D134,0),IFERROR(VLOOKUP($E:$E,Structure!$A:$AJ,Q$1,0)*$F134,0),IFERROR(VLOOKUP($G:$G,Structure!$A:$AJ,Q$1,0)*$H134,0))</f>
        <v>0</v>
      </c>
      <c r="R134" s="9">
        <f>SUM(IFERROR(VLOOKUP($C:$C,Structure!$A:$AJ,R$1,0)*$D134,0),IFERROR(VLOOKUP($E:$E,Structure!$A:$AJ,R$1,0)*$F134,0),IFERROR(VLOOKUP($G:$G,Structure!$A:$AJ,R$1,0)*$H134,0))</f>
        <v>0</v>
      </c>
      <c r="S134" s="9">
        <f>SUM(IFERROR(VLOOKUP($C:$C,Structure!$A:$AJ,S$1,0)*$D134,0),IFERROR(VLOOKUP($E:$E,Structure!$A:$AJ,S$1,0)*$F134,0),IFERROR(VLOOKUP($G:$G,Structure!$A:$AJ,S$1,0)*$H134,0))</f>
        <v>0</v>
      </c>
      <c r="T134" s="9">
        <f>SUM(IFERROR(VLOOKUP($C:$C,Structure!$A:$AJ,T$1,0)*$D134,0),IFERROR(VLOOKUP($E:$E,Structure!$A:$AJ,T$1,0)*$F134,0),IFERROR(VLOOKUP($G:$G,Structure!$A:$AJ,T$1,0)*$H134,0))</f>
        <v>0</v>
      </c>
      <c r="U134" s="9">
        <f>SUM(IFERROR(VLOOKUP($C:$C,Structure!$A:$AJ,U$1,0)*$D134,0),IFERROR(VLOOKUP($E:$E,Structure!$A:$AJ,U$1,0)*$F134,0),IFERROR(VLOOKUP($G:$G,Structure!$A:$AJ,U$1,0)*$H134,0))</f>
        <v>0</v>
      </c>
      <c r="V134" s="9">
        <f>SUM(IFERROR(VLOOKUP($C:$C,Structure!$A:$AJ,V$1,0)*$D134,0),IFERROR(VLOOKUP($E:$E,Structure!$A:$AJ,V$1,0)*$F134,0),IFERROR(VLOOKUP($G:$G,Structure!$A:$AJ,V$1,0)*$H134,0))</f>
        <v>8</v>
      </c>
      <c r="W134" s="9">
        <f>SUM(IFERROR(VLOOKUP($C:$C,Structure!$A:$AJ,W$1,0)*$D134,0),IFERROR(VLOOKUP($E:$E,Structure!$A:$AJ,W$1,0)*$F134,0),IFERROR(VLOOKUP($G:$G,Structure!$A:$AJ,W$1,0)*$H134,0))</f>
        <v>0</v>
      </c>
      <c r="X134" s="9">
        <f>SUM(IFERROR(VLOOKUP($C:$C,Structure!$A:$AJ,X$1,0)*$D134,0),IFERROR(VLOOKUP($E:$E,Structure!$A:$AJ,X$1,0)*$F134,0),IFERROR(VLOOKUP($G:$G,Structure!$A:$AJ,X$1,0)*$H134,0))</f>
        <v>0</v>
      </c>
      <c r="Y134" s="9">
        <f>SUM(IFERROR(VLOOKUP($C:$C,Structure!$A:$AJ,Y$1,0)*$D134,0),IFERROR(VLOOKUP($E:$E,Structure!$A:$AJ,Y$1,0)*$F134,0),IFERROR(VLOOKUP($G:$G,Structure!$A:$AJ,Y$1,0)*$H134,0))</f>
        <v>0</v>
      </c>
      <c r="Z134" s="9">
        <f>SUM(IFERROR(VLOOKUP($C:$C,Structure!$A:$AJ,Z$1,0)*$D134,0),IFERROR(VLOOKUP($E:$E,Structure!$A:$AJ,Z$1,0)*$F134,0),IFERROR(VLOOKUP($G:$G,Structure!$A:$AJ,Z$1,0)*$H134,0))</f>
        <v>0</v>
      </c>
      <c r="AA134" s="9">
        <f>SUM(IFERROR(VLOOKUP($C:$C,Structure!$A:$AJ,AA$1,0)*$D134,0),IFERROR(VLOOKUP($E:$E,Structure!$A:$AJ,AA$1,0)*$F134,0),IFERROR(VLOOKUP($G:$G,Structure!$A:$AJ,AA$1,0)*$H134,0))</f>
        <v>0</v>
      </c>
      <c r="AB134" s="9">
        <f>SUM(IFERROR(VLOOKUP($C:$C,Structure!$A:$AJ,AB$1,0)*$D134,0),IFERROR(VLOOKUP($E:$E,Structure!$A:$AJ,AB$1,0)*$F134,0),IFERROR(VLOOKUP($G:$G,Structure!$A:$AJ,AB$1,0)*$H134,0))</f>
        <v>0</v>
      </c>
      <c r="AC134" s="9">
        <f>SUM(IFERROR(VLOOKUP($C:$C,Structure!$A:$AJ,AC$1,0)*$D134,0),IFERROR(VLOOKUP($E:$E,Structure!$A:$AJ,AC$1,0)*$F134,0),IFERROR(VLOOKUP($G:$G,Structure!$A:$AJ,AC$1,0)*$H134,0))</f>
        <v>8</v>
      </c>
      <c r="AD134" s="9">
        <f>SUM(IFERROR(VLOOKUP($C:$C,Structure!$A:$AJ,AD$1,0)*$D134,0),IFERROR(VLOOKUP($E:$E,Structure!$A:$AJ,AD$1,0)*$F134,0),IFERROR(VLOOKUP($G:$G,Structure!$A:$AJ,AD$1,0)*$H134,0))</f>
        <v>0</v>
      </c>
      <c r="AE134" s="9">
        <f>SUM(IFERROR(VLOOKUP($C:$C,Structure!$A:$AJ,AE$1,0)*$D134,0),IFERROR(VLOOKUP($E:$E,Structure!$A:$AJ,AE$1,0)*$F134,0),IFERROR(VLOOKUP($G:$G,Structure!$A:$AJ,AE$1,0)*$H134,0))</f>
        <v>0</v>
      </c>
      <c r="AF134" s="9">
        <f>SUM(IFERROR(VLOOKUP($C:$C,Structure!$A:$AJ,AF$1,0)*$D134,0),IFERROR(VLOOKUP($E:$E,Structure!$A:$AJ,AF$1,0)*$F134,0),IFERROR(VLOOKUP($G:$G,Structure!$A:$AJ,AF$1,0)*$H134,0))</f>
        <v>0</v>
      </c>
      <c r="AG134" s="9">
        <f>SUM(IFERROR(VLOOKUP($C:$C,Structure!$A:$AJ,AG$1,0)*$D134,0),IFERROR(VLOOKUP($E:$E,Structure!$A:$AJ,AG$1,0)*$F134,0),IFERROR(VLOOKUP($G:$G,Structure!$A:$AJ,AG$1,0)*$H134,0))</f>
        <v>0</v>
      </c>
      <c r="AH134" s="9">
        <f>SUM(IFERROR(VLOOKUP($C:$C,Structure!$A:$AJ,AH$1,0)*$D134,0),IFERROR(VLOOKUP($E:$E,Structure!$A:$AJ,AH$1,0)*$F134,0),IFERROR(VLOOKUP($G:$G,Structure!$A:$AJ,AH$1,0)*$H134,0))</f>
        <v>0</v>
      </c>
      <c r="AI134" s="9">
        <f>SUM(IFERROR(VLOOKUP($C:$C,Structure!$A:$AJ,AI$1,0)*$D134,0),IFERROR(VLOOKUP($E:$E,Structure!$A:$AJ,AI$1,0)*$F134,0),IFERROR(VLOOKUP($G:$G,Structure!$A:$AJ,AI$1,0)*$H134,0))</f>
        <v>0</v>
      </c>
      <c r="AJ134" s="9">
        <f>SUM(IFERROR(VLOOKUP($C:$C,Structure!$A:$AJ,AJ$1,0)*$D134,0),IFERROR(VLOOKUP($E:$E,Structure!$A:$AJ,AJ$1,0)*$F134,0),IFERROR(VLOOKUP($G:$G,Structure!$A:$AJ,AJ$1,0)*$H134,0))</f>
        <v>0</v>
      </c>
      <c r="AK134" s="9">
        <f>SUM(IFERROR(VLOOKUP($C:$C,Structure!$A:$AJ,AK$1,0)*$D134,0),IFERROR(VLOOKUP($E:$E,Structure!$A:$AJ,AK$1,0)*$F134,0),IFERROR(VLOOKUP($G:$G,Structure!$A:$AJ,AK$1,0)*$H134,0))</f>
        <v>0</v>
      </c>
      <c r="AL134" s="9">
        <f>SUM(IFERROR(VLOOKUP($C:$C,Structure!$A:$AJ,AL$1,0)*$D134,0),IFERROR(VLOOKUP($E:$E,Structure!$A:$AJ,AL$1,0)*$F134,0),IFERROR(VLOOKUP($G:$G,Structure!$A:$AJ,AL$1,0)*$H134,0))</f>
        <v>0</v>
      </c>
      <c r="AM134" s="9">
        <f>SUM(IFERROR(VLOOKUP($C:$C,Structure!$A:$AJ,AM$1,0)*$D134,0),IFERROR(VLOOKUP($E:$E,Structure!$A:$AJ,AM$1,0)*$F134,0),IFERROR(VLOOKUP($G:$G,Structure!$A:$AJ,AM$1,0)*$H134,0))</f>
        <v>0</v>
      </c>
      <c r="AN134" s="9">
        <f>SUM(IFERROR(VLOOKUP($C:$C,Structure!$A:$AJ,AN$1,0)*$D134,0),IFERROR(VLOOKUP($E:$E,Structure!$A:$AJ,AN$1,0)*$F134,0),IFERROR(VLOOKUP($G:$G,Structure!$A:$AJ,AN$1,0)*$H134,0))</f>
        <v>0</v>
      </c>
      <c r="AO134" s="9">
        <f>SUM(IFERROR(VLOOKUP($C:$C,Structure!$A:$AJ,AO$1,0)*$D134,0),IFERROR(VLOOKUP($E:$E,Structure!$A:$AJ,AO$1,0)*$F134,0),IFERROR(VLOOKUP($G:$G,Structure!$A:$AJ,AO$1,0)*$H134,0))</f>
        <v>0</v>
      </c>
      <c r="AP134" s="9">
        <f>SUM(IFERROR(VLOOKUP($C:$C,Structure!$A:$AJ,AP$1,0)*$D134,0),IFERROR(VLOOKUP($E:$E,Structure!$A:$AJ,AP$1,0)*$F134,0),IFERROR(VLOOKUP($G:$G,Structure!$A:$AJ,AP$1,0)*$H134,0))</f>
        <v>0</v>
      </c>
      <c r="AQ134" s="9">
        <f>SUM(IFERROR(VLOOKUP($C:$C,Structure!$A:$AJ,AQ$1,0)*$D134,0),IFERROR(VLOOKUP($E:$E,Structure!$A:$AJ,AQ$1,0)*$F134,0),IFERROR(VLOOKUP($G:$G,Structure!$A:$AJ,AQ$1,0)*$H134,0))</f>
        <v>0</v>
      </c>
      <c r="AR134" s="21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4">
        <f t="shared" si="162"/>
        <v>0</v>
      </c>
      <c r="CE134" s="4">
        <f t="shared" si="163"/>
        <v>-84</v>
      </c>
      <c r="CF134" s="4">
        <f t="shared" si="164"/>
        <v>4</v>
      </c>
      <c r="CG134" s="4">
        <f t="shared" si="165"/>
        <v>14</v>
      </c>
      <c r="CH134" s="4">
        <f t="shared" si="166"/>
        <v>-7</v>
      </c>
      <c r="CI134" s="4">
        <f t="shared" si="167"/>
        <v>127</v>
      </c>
      <c r="CJ134" s="4">
        <f t="shared" si="168"/>
        <v>-141</v>
      </c>
      <c r="CK134" s="4">
        <f t="shared" si="169"/>
        <v>95</v>
      </c>
      <c r="CL134" s="4">
        <f t="shared" si="170"/>
        <v>0</v>
      </c>
      <c r="CM134" s="4">
        <f t="shared" si="171"/>
        <v>6</v>
      </c>
      <c r="CN134" s="4">
        <f t="shared" si="172"/>
        <v>-28</v>
      </c>
      <c r="CO134" s="4">
        <f t="shared" si="173"/>
        <v>0</v>
      </c>
      <c r="CP134" s="4">
        <f t="shared" si="174"/>
        <v>19</v>
      </c>
      <c r="CQ134" s="4">
        <f t="shared" si="175"/>
        <v>-218</v>
      </c>
      <c r="CR134" s="4">
        <f t="shared" si="176"/>
        <v>15</v>
      </c>
      <c r="CS134" s="4">
        <f t="shared" si="177"/>
        <v>-24</v>
      </c>
      <c r="CT134" s="4">
        <f t="shared" si="178"/>
        <v>0</v>
      </c>
      <c r="CU134" s="4">
        <f t="shared" si="179"/>
        <v>0</v>
      </c>
      <c r="CV134" s="4">
        <f t="shared" si="180"/>
        <v>0</v>
      </c>
      <c r="CW134" s="4">
        <f t="shared" si="181"/>
        <v>0</v>
      </c>
      <c r="CX134" s="4">
        <f t="shared" si="182"/>
        <v>-109</v>
      </c>
      <c r="CY134" s="4">
        <f t="shared" si="183"/>
        <v>0</v>
      </c>
      <c r="CZ134" s="4">
        <f t="shared" si="184"/>
        <v>0</v>
      </c>
      <c r="DA134" s="4">
        <f t="shared" si="185"/>
        <v>0</v>
      </c>
      <c r="DB134" s="4">
        <f t="shared" si="186"/>
        <v>0</v>
      </c>
      <c r="DC134" s="4">
        <f t="shared" si="187"/>
        <v>0</v>
      </c>
      <c r="DD134" s="4">
        <f t="shared" si="188"/>
        <v>0</v>
      </c>
      <c r="DE134" s="4">
        <f t="shared" si="189"/>
        <v>0</v>
      </c>
      <c r="DF134" s="4">
        <f t="shared" si="190"/>
        <v>0</v>
      </c>
      <c r="DG134" s="4">
        <f t="shared" si="191"/>
        <v>0</v>
      </c>
      <c r="DH134" s="4">
        <f t="shared" si="192"/>
        <v>0</v>
      </c>
      <c r="DI134" s="4">
        <f t="shared" si="193"/>
        <v>0</v>
      </c>
      <c r="DJ134" s="4">
        <f t="shared" si="194"/>
        <v>0</v>
      </c>
      <c r="DK134" s="4">
        <f t="shared" si="195"/>
        <v>0</v>
      </c>
      <c r="DL134" s="4">
        <f t="shared" si="196"/>
        <v>0</v>
      </c>
    </row>
    <row r="135" spans="1:116" x14ac:dyDescent="0.25">
      <c r="A135" s="5">
        <v>46186</v>
      </c>
      <c r="B135" s="6">
        <v>6.2500000320142135E-2</v>
      </c>
      <c r="C135" s="3"/>
      <c r="D135" s="3"/>
      <c r="E135" s="3" t="s">
        <v>30</v>
      </c>
      <c r="F135" s="3">
        <v>8</v>
      </c>
      <c r="G135" s="3"/>
      <c r="H135" s="9"/>
      <c r="I135" s="9">
        <f>SUM(IFERROR(VLOOKUP($C:$C,Structure!$A:$AJ,I$1,0)*$D135,0),IFERROR(VLOOKUP($E:$E,Structure!$A:$AJ,I$1,0)*$F135,0),IFERROR(VLOOKUP($G:$G,Structure!$A:$AJ,I$1,0)*$H135,0))</f>
        <v>0</v>
      </c>
      <c r="J135" s="9">
        <f>SUM(IFERROR(VLOOKUP($C:$C,Structure!$A:$AJ,J$1,0)*$D135,0),IFERROR(VLOOKUP($E:$E,Structure!$A:$AJ,J$1,0)*$F135,0),IFERROR(VLOOKUP($G:$G,Structure!$A:$AJ,J$1,0)*$H135,0))</f>
        <v>0</v>
      </c>
      <c r="K135" s="9">
        <f>SUM(IFERROR(VLOOKUP($C:$C,Structure!$A:$AJ,K$1,0)*$D135,0),IFERROR(VLOOKUP($E:$E,Structure!$A:$AJ,K$1,0)*$F135,0),IFERROR(VLOOKUP($G:$G,Structure!$A:$AJ,K$1,0)*$H135,0))</f>
        <v>0</v>
      </c>
      <c r="L135" s="9">
        <f>SUM(IFERROR(VLOOKUP($C:$C,Structure!$A:$AJ,L$1,0)*$D135,0),IFERROR(VLOOKUP($E:$E,Structure!$A:$AJ,L$1,0)*$F135,0),IFERROR(VLOOKUP($G:$G,Structure!$A:$AJ,L$1,0)*$H135,0))</f>
        <v>0</v>
      </c>
      <c r="M135" s="9">
        <f>SUM(IFERROR(VLOOKUP($C:$C,Structure!$A:$AJ,M$1,0)*$D135,0),IFERROR(VLOOKUP($E:$E,Structure!$A:$AJ,M$1,0)*$F135,0),IFERROR(VLOOKUP($G:$G,Structure!$A:$AJ,M$1,0)*$H135,0))</f>
        <v>0</v>
      </c>
      <c r="N135" s="9">
        <f>SUM(IFERROR(VLOOKUP($C:$C,Structure!$A:$AJ,N$1,0)*$D135,0),IFERROR(VLOOKUP($E:$E,Structure!$A:$AJ,N$1,0)*$F135,0),IFERROR(VLOOKUP($G:$G,Structure!$A:$AJ,N$1,0)*$H135,0))</f>
        <v>0</v>
      </c>
      <c r="O135" s="9">
        <f>SUM(IFERROR(VLOOKUP($C:$C,Structure!$A:$AJ,O$1,0)*$D135,0),IFERROR(VLOOKUP($E:$E,Structure!$A:$AJ,O$1,0)*$F135,0),IFERROR(VLOOKUP($G:$G,Structure!$A:$AJ,O$1,0)*$H135,0))</f>
        <v>0</v>
      </c>
      <c r="P135" s="9">
        <f>SUM(IFERROR(VLOOKUP($C:$C,Structure!$A:$AJ,P$1,0)*$D135,0),IFERROR(VLOOKUP($E:$E,Structure!$A:$AJ,P$1,0)*$F135,0),IFERROR(VLOOKUP($G:$G,Structure!$A:$AJ,P$1,0)*$H135,0))</f>
        <v>0</v>
      </c>
      <c r="Q135" s="9">
        <f>SUM(IFERROR(VLOOKUP($C:$C,Structure!$A:$AJ,Q$1,0)*$D135,0),IFERROR(VLOOKUP($E:$E,Structure!$A:$AJ,Q$1,0)*$F135,0),IFERROR(VLOOKUP($G:$G,Structure!$A:$AJ,Q$1,0)*$H135,0))</f>
        <v>0</v>
      </c>
      <c r="R135" s="9">
        <f>SUM(IFERROR(VLOOKUP($C:$C,Structure!$A:$AJ,R$1,0)*$D135,0),IFERROR(VLOOKUP($E:$E,Structure!$A:$AJ,R$1,0)*$F135,0),IFERROR(VLOOKUP($G:$G,Structure!$A:$AJ,R$1,0)*$H135,0))</f>
        <v>0</v>
      </c>
      <c r="S135" s="9">
        <f>SUM(IFERROR(VLOOKUP($C:$C,Structure!$A:$AJ,S$1,0)*$D135,0),IFERROR(VLOOKUP($E:$E,Structure!$A:$AJ,S$1,0)*$F135,0),IFERROR(VLOOKUP($G:$G,Structure!$A:$AJ,S$1,0)*$H135,0))</f>
        <v>0</v>
      </c>
      <c r="T135" s="9">
        <f>SUM(IFERROR(VLOOKUP($C:$C,Structure!$A:$AJ,T$1,0)*$D135,0),IFERROR(VLOOKUP($E:$E,Structure!$A:$AJ,T$1,0)*$F135,0),IFERROR(VLOOKUP($G:$G,Structure!$A:$AJ,T$1,0)*$H135,0))</f>
        <v>0</v>
      </c>
      <c r="U135" s="9">
        <f>SUM(IFERROR(VLOOKUP($C:$C,Structure!$A:$AJ,U$1,0)*$D135,0),IFERROR(VLOOKUP($E:$E,Structure!$A:$AJ,U$1,0)*$F135,0),IFERROR(VLOOKUP($G:$G,Structure!$A:$AJ,U$1,0)*$H135,0))</f>
        <v>0</v>
      </c>
      <c r="V135" s="9">
        <f>SUM(IFERROR(VLOOKUP($C:$C,Structure!$A:$AJ,V$1,0)*$D135,0),IFERROR(VLOOKUP($E:$E,Structure!$A:$AJ,V$1,0)*$F135,0),IFERROR(VLOOKUP($G:$G,Structure!$A:$AJ,V$1,0)*$H135,0))</f>
        <v>8</v>
      </c>
      <c r="W135" s="9">
        <f>SUM(IFERROR(VLOOKUP($C:$C,Structure!$A:$AJ,W$1,0)*$D135,0),IFERROR(VLOOKUP($E:$E,Structure!$A:$AJ,W$1,0)*$F135,0),IFERROR(VLOOKUP($G:$G,Structure!$A:$AJ,W$1,0)*$H135,0))</f>
        <v>0</v>
      </c>
      <c r="X135" s="9">
        <f>SUM(IFERROR(VLOOKUP($C:$C,Structure!$A:$AJ,X$1,0)*$D135,0),IFERROR(VLOOKUP($E:$E,Structure!$A:$AJ,X$1,0)*$F135,0),IFERROR(VLOOKUP($G:$G,Structure!$A:$AJ,X$1,0)*$H135,0))</f>
        <v>0</v>
      </c>
      <c r="Y135" s="9">
        <f>SUM(IFERROR(VLOOKUP($C:$C,Structure!$A:$AJ,Y$1,0)*$D135,0),IFERROR(VLOOKUP($E:$E,Structure!$A:$AJ,Y$1,0)*$F135,0),IFERROR(VLOOKUP($G:$G,Structure!$A:$AJ,Y$1,0)*$H135,0))</f>
        <v>0</v>
      </c>
      <c r="Z135" s="9">
        <f>SUM(IFERROR(VLOOKUP($C:$C,Structure!$A:$AJ,Z$1,0)*$D135,0),IFERROR(VLOOKUP($E:$E,Structure!$A:$AJ,Z$1,0)*$F135,0),IFERROR(VLOOKUP($G:$G,Structure!$A:$AJ,Z$1,0)*$H135,0))</f>
        <v>0</v>
      </c>
      <c r="AA135" s="9">
        <f>SUM(IFERROR(VLOOKUP($C:$C,Structure!$A:$AJ,AA$1,0)*$D135,0),IFERROR(VLOOKUP($E:$E,Structure!$A:$AJ,AA$1,0)*$F135,0),IFERROR(VLOOKUP($G:$G,Structure!$A:$AJ,AA$1,0)*$H135,0))</f>
        <v>0</v>
      </c>
      <c r="AB135" s="9">
        <f>SUM(IFERROR(VLOOKUP($C:$C,Structure!$A:$AJ,AB$1,0)*$D135,0),IFERROR(VLOOKUP($E:$E,Structure!$A:$AJ,AB$1,0)*$F135,0),IFERROR(VLOOKUP($G:$G,Structure!$A:$AJ,AB$1,0)*$H135,0))</f>
        <v>0</v>
      </c>
      <c r="AC135" s="9">
        <f>SUM(IFERROR(VLOOKUP($C:$C,Structure!$A:$AJ,AC$1,0)*$D135,0),IFERROR(VLOOKUP($E:$E,Structure!$A:$AJ,AC$1,0)*$F135,0),IFERROR(VLOOKUP($G:$G,Structure!$A:$AJ,AC$1,0)*$H135,0))</f>
        <v>8</v>
      </c>
      <c r="AD135" s="9">
        <f>SUM(IFERROR(VLOOKUP($C:$C,Structure!$A:$AJ,AD$1,0)*$D135,0),IFERROR(VLOOKUP($E:$E,Structure!$A:$AJ,AD$1,0)*$F135,0),IFERROR(VLOOKUP($G:$G,Structure!$A:$AJ,AD$1,0)*$H135,0))</f>
        <v>0</v>
      </c>
      <c r="AE135" s="9">
        <f>SUM(IFERROR(VLOOKUP($C:$C,Structure!$A:$AJ,AE$1,0)*$D135,0),IFERROR(VLOOKUP($E:$E,Structure!$A:$AJ,AE$1,0)*$F135,0),IFERROR(VLOOKUP($G:$G,Structure!$A:$AJ,AE$1,0)*$H135,0))</f>
        <v>0</v>
      </c>
      <c r="AF135" s="9">
        <f>SUM(IFERROR(VLOOKUP($C:$C,Structure!$A:$AJ,AF$1,0)*$D135,0),IFERROR(VLOOKUP($E:$E,Structure!$A:$AJ,AF$1,0)*$F135,0),IFERROR(VLOOKUP($G:$G,Structure!$A:$AJ,AF$1,0)*$H135,0))</f>
        <v>0</v>
      </c>
      <c r="AG135" s="9">
        <f>SUM(IFERROR(VLOOKUP($C:$C,Structure!$A:$AJ,AG$1,0)*$D135,0),IFERROR(VLOOKUP($E:$E,Structure!$A:$AJ,AG$1,0)*$F135,0),IFERROR(VLOOKUP($G:$G,Structure!$A:$AJ,AG$1,0)*$H135,0))</f>
        <v>0</v>
      </c>
      <c r="AH135" s="9">
        <f>SUM(IFERROR(VLOOKUP($C:$C,Structure!$A:$AJ,AH$1,0)*$D135,0),IFERROR(VLOOKUP($E:$E,Structure!$A:$AJ,AH$1,0)*$F135,0),IFERROR(VLOOKUP($G:$G,Structure!$A:$AJ,AH$1,0)*$H135,0))</f>
        <v>0</v>
      </c>
      <c r="AI135" s="9">
        <f>SUM(IFERROR(VLOOKUP($C:$C,Structure!$A:$AJ,AI$1,0)*$D135,0),IFERROR(VLOOKUP($E:$E,Structure!$A:$AJ,AI$1,0)*$F135,0),IFERROR(VLOOKUP($G:$G,Structure!$A:$AJ,AI$1,0)*$H135,0))</f>
        <v>0</v>
      </c>
      <c r="AJ135" s="9">
        <f>SUM(IFERROR(VLOOKUP($C:$C,Structure!$A:$AJ,AJ$1,0)*$D135,0),IFERROR(VLOOKUP($E:$E,Structure!$A:$AJ,AJ$1,0)*$F135,0),IFERROR(VLOOKUP($G:$G,Structure!$A:$AJ,AJ$1,0)*$H135,0))</f>
        <v>0</v>
      </c>
      <c r="AK135" s="9">
        <f>SUM(IFERROR(VLOOKUP($C:$C,Structure!$A:$AJ,AK$1,0)*$D135,0),IFERROR(VLOOKUP($E:$E,Structure!$A:$AJ,AK$1,0)*$F135,0),IFERROR(VLOOKUP($G:$G,Structure!$A:$AJ,AK$1,0)*$H135,0))</f>
        <v>0</v>
      </c>
      <c r="AL135" s="9">
        <f>SUM(IFERROR(VLOOKUP($C:$C,Structure!$A:$AJ,AL$1,0)*$D135,0),IFERROR(VLOOKUP($E:$E,Structure!$A:$AJ,AL$1,0)*$F135,0),IFERROR(VLOOKUP($G:$G,Structure!$A:$AJ,AL$1,0)*$H135,0))</f>
        <v>0</v>
      </c>
      <c r="AM135" s="9">
        <f>SUM(IFERROR(VLOOKUP($C:$C,Structure!$A:$AJ,AM$1,0)*$D135,0),IFERROR(VLOOKUP($E:$E,Structure!$A:$AJ,AM$1,0)*$F135,0),IFERROR(VLOOKUP($G:$G,Structure!$A:$AJ,AM$1,0)*$H135,0))</f>
        <v>0</v>
      </c>
      <c r="AN135" s="9">
        <f>SUM(IFERROR(VLOOKUP($C:$C,Structure!$A:$AJ,AN$1,0)*$D135,0),IFERROR(VLOOKUP($E:$E,Structure!$A:$AJ,AN$1,0)*$F135,0),IFERROR(VLOOKUP($G:$G,Structure!$A:$AJ,AN$1,0)*$H135,0))</f>
        <v>0</v>
      </c>
      <c r="AO135" s="9">
        <f>SUM(IFERROR(VLOOKUP($C:$C,Structure!$A:$AJ,AO$1,0)*$D135,0),IFERROR(VLOOKUP($E:$E,Structure!$A:$AJ,AO$1,0)*$F135,0),IFERROR(VLOOKUP($G:$G,Structure!$A:$AJ,AO$1,0)*$H135,0))</f>
        <v>0</v>
      </c>
      <c r="AP135" s="9">
        <f>SUM(IFERROR(VLOOKUP($C:$C,Structure!$A:$AJ,AP$1,0)*$D135,0),IFERROR(VLOOKUP($E:$E,Structure!$A:$AJ,AP$1,0)*$F135,0),IFERROR(VLOOKUP($G:$G,Structure!$A:$AJ,AP$1,0)*$H135,0))</f>
        <v>0</v>
      </c>
      <c r="AQ135" s="9">
        <f>SUM(IFERROR(VLOOKUP($C:$C,Structure!$A:$AJ,AQ$1,0)*$D135,0),IFERROR(VLOOKUP($E:$E,Structure!$A:$AJ,AQ$1,0)*$F135,0),IFERROR(VLOOKUP($G:$G,Structure!$A:$AJ,AQ$1,0)*$H135,0))</f>
        <v>0</v>
      </c>
      <c r="AR135" s="21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4">
        <f t="shared" si="162"/>
        <v>0</v>
      </c>
      <c r="CE135" s="4">
        <f t="shared" si="163"/>
        <v>-84</v>
      </c>
      <c r="CF135" s="4">
        <f t="shared" si="164"/>
        <v>4</v>
      </c>
      <c r="CG135" s="4">
        <f t="shared" si="165"/>
        <v>14</v>
      </c>
      <c r="CH135" s="4">
        <f t="shared" si="166"/>
        <v>-7</v>
      </c>
      <c r="CI135" s="4">
        <f t="shared" si="167"/>
        <v>127</v>
      </c>
      <c r="CJ135" s="4">
        <f t="shared" si="168"/>
        <v>-141</v>
      </c>
      <c r="CK135" s="4">
        <f t="shared" si="169"/>
        <v>95</v>
      </c>
      <c r="CL135" s="4">
        <f t="shared" si="170"/>
        <v>0</v>
      </c>
      <c r="CM135" s="4">
        <f t="shared" si="171"/>
        <v>6</v>
      </c>
      <c r="CN135" s="4">
        <f t="shared" si="172"/>
        <v>-28</v>
      </c>
      <c r="CO135" s="4">
        <f t="shared" si="173"/>
        <v>0</v>
      </c>
      <c r="CP135" s="4">
        <f t="shared" si="174"/>
        <v>19</v>
      </c>
      <c r="CQ135" s="4">
        <f t="shared" si="175"/>
        <v>-226</v>
      </c>
      <c r="CR135" s="4">
        <f t="shared" si="176"/>
        <v>15</v>
      </c>
      <c r="CS135" s="4">
        <f t="shared" si="177"/>
        <v>-24</v>
      </c>
      <c r="CT135" s="4">
        <f t="shared" si="178"/>
        <v>0</v>
      </c>
      <c r="CU135" s="4">
        <f t="shared" si="179"/>
        <v>0</v>
      </c>
      <c r="CV135" s="4">
        <f t="shared" si="180"/>
        <v>0</v>
      </c>
      <c r="CW135" s="4">
        <f t="shared" si="181"/>
        <v>0</v>
      </c>
      <c r="CX135" s="4">
        <f t="shared" si="182"/>
        <v>-117</v>
      </c>
      <c r="CY135" s="4">
        <f t="shared" si="183"/>
        <v>0</v>
      </c>
      <c r="CZ135" s="4">
        <f t="shared" si="184"/>
        <v>0</v>
      </c>
      <c r="DA135" s="4">
        <f t="shared" si="185"/>
        <v>0</v>
      </c>
      <c r="DB135" s="4">
        <f t="shared" si="186"/>
        <v>0</v>
      </c>
      <c r="DC135" s="4">
        <f t="shared" si="187"/>
        <v>0</v>
      </c>
      <c r="DD135" s="4">
        <f t="shared" si="188"/>
        <v>0</v>
      </c>
      <c r="DE135" s="4">
        <f t="shared" si="189"/>
        <v>0</v>
      </c>
      <c r="DF135" s="4">
        <f t="shared" si="190"/>
        <v>0</v>
      </c>
      <c r="DG135" s="4">
        <f t="shared" si="191"/>
        <v>0</v>
      </c>
      <c r="DH135" s="4">
        <f t="shared" si="192"/>
        <v>0</v>
      </c>
      <c r="DI135" s="4">
        <f t="shared" si="193"/>
        <v>0</v>
      </c>
      <c r="DJ135" s="4">
        <f t="shared" si="194"/>
        <v>0</v>
      </c>
      <c r="DK135" s="4">
        <f t="shared" si="195"/>
        <v>0</v>
      </c>
      <c r="DL135" s="4">
        <f t="shared" si="196"/>
        <v>0</v>
      </c>
    </row>
    <row r="136" spans="1:116" x14ac:dyDescent="0.25">
      <c r="A136" s="5">
        <v>46186</v>
      </c>
      <c r="B136" s="6">
        <v>8.3333333655900788E-2</v>
      </c>
      <c r="C136" s="3"/>
      <c r="D136" s="3"/>
      <c r="E136" s="3" t="s">
        <v>30</v>
      </c>
      <c r="F136" s="3">
        <v>8</v>
      </c>
      <c r="G136" s="3"/>
      <c r="H136" s="9"/>
      <c r="I136" s="9">
        <f>SUM(IFERROR(VLOOKUP($C:$C,Structure!$A:$AJ,I$1,0)*$D136,0),IFERROR(VLOOKUP($E:$E,Structure!$A:$AJ,I$1,0)*$F136,0),IFERROR(VLOOKUP($G:$G,Structure!$A:$AJ,I$1,0)*$H136,0))</f>
        <v>0</v>
      </c>
      <c r="J136" s="9">
        <f>SUM(IFERROR(VLOOKUP($C:$C,Structure!$A:$AJ,J$1,0)*$D136,0),IFERROR(VLOOKUP($E:$E,Structure!$A:$AJ,J$1,0)*$F136,0),IFERROR(VLOOKUP($G:$G,Structure!$A:$AJ,J$1,0)*$H136,0))</f>
        <v>0</v>
      </c>
      <c r="K136" s="9">
        <f>SUM(IFERROR(VLOOKUP($C:$C,Structure!$A:$AJ,K$1,0)*$D136,0),IFERROR(VLOOKUP($E:$E,Structure!$A:$AJ,K$1,0)*$F136,0),IFERROR(VLOOKUP($G:$G,Structure!$A:$AJ,K$1,0)*$H136,0))</f>
        <v>0</v>
      </c>
      <c r="L136" s="9">
        <f>SUM(IFERROR(VLOOKUP($C:$C,Structure!$A:$AJ,L$1,0)*$D136,0),IFERROR(VLOOKUP($E:$E,Structure!$A:$AJ,L$1,0)*$F136,0),IFERROR(VLOOKUP($G:$G,Structure!$A:$AJ,L$1,0)*$H136,0))</f>
        <v>0</v>
      </c>
      <c r="M136" s="9">
        <f>SUM(IFERROR(VLOOKUP($C:$C,Structure!$A:$AJ,M$1,0)*$D136,0),IFERROR(VLOOKUP($E:$E,Structure!$A:$AJ,M$1,0)*$F136,0),IFERROR(VLOOKUP($G:$G,Structure!$A:$AJ,M$1,0)*$H136,0))</f>
        <v>0</v>
      </c>
      <c r="N136" s="9">
        <f>SUM(IFERROR(VLOOKUP($C:$C,Structure!$A:$AJ,N$1,0)*$D136,0),IFERROR(VLOOKUP($E:$E,Structure!$A:$AJ,N$1,0)*$F136,0),IFERROR(VLOOKUP($G:$G,Structure!$A:$AJ,N$1,0)*$H136,0))</f>
        <v>0</v>
      </c>
      <c r="O136" s="9">
        <f>SUM(IFERROR(VLOOKUP($C:$C,Structure!$A:$AJ,O$1,0)*$D136,0),IFERROR(VLOOKUP($E:$E,Structure!$A:$AJ,O$1,0)*$F136,0),IFERROR(VLOOKUP($G:$G,Structure!$A:$AJ,O$1,0)*$H136,0))</f>
        <v>0</v>
      </c>
      <c r="P136" s="9">
        <f>SUM(IFERROR(VLOOKUP($C:$C,Structure!$A:$AJ,P$1,0)*$D136,0),IFERROR(VLOOKUP($E:$E,Structure!$A:$AJ,P$1,0)*$F136,0),IFERROR(VLOOKUP($G:$G,Structure!$A:$AJ,P$1,0)*$H136,0))</f>
        <v>0</v>
      </c>
      <c r="Q136" s="9">
        <f>SUM(IFERROR(VLOOKUP($C:$C,Structure!$A:$AJ,Q$1,0)*$D136,0),IFERROR(VLOOKUP($E:$E,Structure!$A:$AJ,Q$1,0)*$F136,0),IFERROR(VLOOKUP($G:$G,Structure!$A:$AJ,Q$1,0)*$H136,0))</f>
        <v>0</v>
      </c>
      <c r="R136" s="9">
        <f>SUM(IFERROR(VLOOKUP($C:$C,Structure!$A:$AJ,R$1,0)*$D136,0),IFERROR(VLOOKUP($E:$E,Structure!$A:$AJ,R$1,0)*$F136,0),IFERROR(VLOOKUP($G:$G,Structure!$A:$AJ,R$1,0)*$H136,0))</f>
        <v>0</v>
      </c>
      <c r="S136" s="9">
        <f>SUM(IFERROR(VLOOKUP($C:$C,Structure!$A:$AJ,S$1,0)*$D136,0),IFERROR(VLOOKUP($E:$E,Structure!$A:$AJ,S$1,0)*$F136,0),IFERROR(VLOOKUP($G:$G,Structure!$A:$AJ,S$1,0)*$H136,0))</f>
        <v>0</v>
      </c>
      <c r="T136" s="9">
        <f>SUM(IFERROR(VLOOKUP($C:$C,Structure!$A:$AJ,T$1,0)*$D136,0),IFERROR(VLOOKUP($E:$E,Structure!$A:$AJ,T$1,0)*$F136,0),IFERROR(VLOOKUP($G:$G,Structure!$A:$AJ,T$1,0)*$H136,0))</f>
        <v>0</v>
      </c>
      <c r="U136" s="9">
        <f>SUM(IFERROR(VLOOKUP($C:$C,Structure!$A:$AJ,U$1,0)*$D136,0),IFERROR(VLOOKUP($E:$E,Structure!$A:$AJ,U$1,0)*$F136,0),IFERROR(VLOOKUP($G:$G,Structure!$A:$AJ,U$1,0)*$H136,0))</f>
        <v>0</v>
      </c>
      <c r="V136" s="9">
        <f>SUM(IFERROR(VLOOKUP($C:$C,Structure!$A:$AJ,V$1,0)*$D136,0),IFERROR(VLOOKUP($E:$E,Structure!$A:$AJ,V$1,0)*$F136,0),IFERROR(VLOOKUP($G:$G,Structure!$A:$AJ,V$1,0)*$H136,0))</f>
        <v>8</v>
      </c>
      <c r="W136" s="9">
        <f>SUM(IFERROR(VLOOKUP($C:$C,Structure!$A:$AJ,W$1,0)*$D136,0),IFERROR(VLOOKUP($E:$E,Structure!$A:$AJ,W$1,0)*$F136,0),IFERROR(VLOOKUP($G:$G,Structure!$A:$AJ,W$1,0)*$H136,0))</f>
        <v>0</v>
      </c>
      <c r="X136" s="9">
        <f>SUM(IFERROR(VLOOKUP($C:$C,Structure!$A:$AJ,X$1,0)*$D136,0),IFERROR(VLOOKUP($E:$E,Structure!$A:$AJ,X$1,0)*$F136,0),IFERROR(VLOOKUP($G:$G,Structure!$A:$AJ,X$1,0)*$H136,0))</f>
        <v>0</v>
      </c>
      <c r="Y136" s="9">
        <f>SUM(IFERROR(VLOOKUP($C:$C,Structure!$A:$AJ,Y$1,0)*$D136,0),IFERROR(VLOOKUP($E:$E,Structure!$A:$AJ,Y$1,0)*$F136,0),IFERROR(VLOOKUP($G:$G,Structure!$A:$AJ,Y$1,0)*$H136,0))</f>
        <v>0</v>
      </c>
      <c r="Z136" s="9">
        <f>SUM(IFERROR(VLOOKUP($C:$C,Structure!$A:$AJ,Z$1,0)*$D136,0),IFERROR(VLOOKUP($E:$E,Structure!$A:$AJ,Z$1,0)*$F136,0),IFERROR(VLOOKUP($G:$G,Structure!$A:$AJ,Z$1,0)*$H136,0))</f>
        <v>0</v>
      </c>
      <c r="AA136" s="9">
        <f>SUM(IFERROR(VLOOKUP($C:$C,Structure!$A:$AJ,AA$1,0)*$D136,0),IFERROR(VLOOKUP($E:$E,Structure!$A:$AJ,AA$1,0)*$F136,0),IFERROR(VLOOKUP($G:$G,Structure!$A:$AJ,AA$1,0)*$H136,0))</f>
        <v>0</v>
      </c>
      <c r="AB136" s="9">
        <f>SUM(IFERROR(VLOOKUP($C:$C,Structure!$A:$AJ,AB$1,0)*$D136,0),IFERROR(VLOOKUP($E:$E,Structure!$A:$AJ,AB$1,0)*$F136,0),IFERROR(VLOOKUP($G:$G,Structure!$A:$AJ,AB$1,0)*$H136,0))</f>
        <v>0</v>
      </c>
      <c r="AC136" s="9">
        <f>SUM(IFERROR(VLOOKUP($C:$C,Structure!$A:$AJ,AC$1,0)*$D136,0),IFERROR(VLOOKUP($E:$E,Structure!$A:$AJ,AC$1,0)*$F136,0),IFERROR(VLOOKUP($G:$G,Structure!$A:$AJ,AC$1,0)*$H136,0))</f>
        <v>8</v>
      </c>
      <c r="AD136" s="9">
        <f>SUM(IFERROR(VLOOKUP($C:$C,Structure!$A:$AJ,AD$1,0)*$D136,0),IFERROR(VLOOKUP($E:$E,Structure!$A:$AJ,AD$1,0)*$F136,0),IFERROR(VLOOKUP($G:$G,Structure!$A:$AJ,AD$1,0)*$H136,0))</f>
        <v>0</v>
      </c>
      <c r="AE136" s="9">
        <f>SUM(IFERROR(VLOOKUP($C:$C,Structure!$A:$AJ,AE$1,0)*$D136,0),IFERROR(VLOOKUP($E:$E,Structure!$A:$AJ,AE$1,0)*$F136,0),IFERROR(VLOOKUP($G:$G,Structure!$A:$AJ,AE$1,0)*$H136,0))</f>
        <v>0</v>
      </c>
      <c r="AF136" s="9">
        <f>SUM(IFERROR(VLOOKUP($C:$C,Structure!$A:$AJ,AF$1,0)*$D136,0),IFERROR(VLOOKUP($E:$E,Structure!$A:$AJ,AF$1,0)*$F136,0),IFERROR(VLOOKUP($G:$G,Structure!$A:$AJ,AF$1,0)*$H136,0))</f>
        <v>0</v>
      </c>
      <c r="AG136" s="9">
        <f>SUM(IFERROR(VLOOKUP($C:$C,Structure!$A:$AJ,AG$1,0)*$D136,0),IFERROR(VLOOKUP($E:$E,Structure!$A:$AJ,AG$1,0)*$F136,0),IFERROR(VLOOKUP($G:$G,Structure!$A:$AJ,AG$1,0)*$H136,0))</f>
        <v>0</v>
      </c>
      <c r="AH136" s="9">
        <f>SUM(IFERROR(VLOOKUP($C:$C,Structure!$A:$AJ,AH$1,0)*$D136,0),IFERROR(VLOOKUP($E:$E,Structure!$A:$AJ,AH$1,0)*$F136,0),IFERROR(VLOOKUP($G:$G,Structure!$A:$AJ,AH$1,0)*$H136,0))</f>
        <v>0</v>
      </c>
      <c r="AI136" s="9">
        <f>SUM(IFERROR(VLOOKUP($C:$C,Structure!$A:$AJ,AI$1,0)*$D136,0),IFERROR(VLOOKUP($E:$E,Structure!$A:$AJ,AI$1,0)*$F136,0),IFERROR(VLOOKUP($G:$G,Structure!$A:$AJ,AI$1,0)*$H136,0))</f>
        <v>0</v>
      </c>
      <c r="AJ136" s="9">
        <f>SUM(IFERROR(VLOOKUP($C:$C,Structure!$A:$AJ,AJ$1,0)*$D136,0),IFERROR(VLOOKUP($E:$E,Structure!$A:$AJ,AJ$1,0)*$F136,0),IFERROR(VLOOKUP($G:$G,Structure!$A:$AJ,AJ$1,0)*$H136,0))</f>
        <v>0</v>
      </c>
      <c r="AK136" s="9">
        <f>SUM(IFERROR(VLOOKUP($C:$C,Structure!$A:$AJ,AK$1,0)*$D136,0),IFERROR(VLOOKUP($E:$E,Structure!$A:$AJ,AK$1,0)*$F136,0),IFERROR(VLOOKUP($G:$G,Structure!$A:$AJ,AK$1,0)*$H136,0))</f>
        <v>0</v>
      </c>
      <c r="AL136" s="9">
        <f>SUM(IFERROR(VLOOKUP($C:$C,Structure!$A:$AJ,AL$1,0)*$D136,0),IFERROR(VLOOKUP($E:$E,Structure!$A:$AJ,AL$1,0)*$F136,0),IFERROR(VLOOKUP($G:$G,Structure!$A:$AJ,AL$1,0)*$H136,0))</f>
        <v>0</v>
      </c>
      <c r="AM136" s="9">
        <f>SUM(IFERROR(VLOOKUP($C:$C,Structure!$A:$AJ,AM$1,0)*$D136,0),IFERROR(VLOOKUP($E:$E,Structure!$A:$AJ,AM$1,0)*$F136,0),IFERROR(VLOOKUP($G:$G,Structure!$A:$AJ,AM$1,0)*$H136,0))</f>
        <v>0</v>
      </c>
      <c r="AN136" s="9">
        <f>SUM(IFERROR(VLOOKUP($C:$C,Structure!$A:$AJ,AN$1,0)*$D136,0),IFERROR(VLOOKUP($E:$E,Structure!$A:$AJ,AN$1,0)*$F136,0),IFERROR(VLOOKUP($G:$G,Structure!$A:$AJ,AN$1,0)*$H136,0))</f>
        <v>0</v>
      </c>
      <c r="AO136" s="9">
        <f>SUM(IFERROR(VLOOKUP($C:$C,Structure!$A:$AJ,AO$1,0)*$D136,0),IFERROR(VLOOKUP($E:$E,Structure!$A:$AJ,AO$1,0)*$F136,0),IFERROR(VLOOKUP($G:$G,Structure!$A:$AJ,AO$1,0)*$H136,0))</f>
        <v>0</v>
      </c>
      <c r="AP136" s="9">
        <f>SUM(IFERROR(VLOOKUP($C:$C,Structure!$A:$AJ,AP$1,0)*$D136,0),IFERROR(VLOOKUP($E:$E,Structure!$A:$AJ,AP$1,0)*$F136,0),IFERROR(VLOOKUP($G:$G,Structure!$A:$AJ,AP$1,0)*$H136,0))</f>
        <v>0</v>
      </c>
      <c r="AQ136" s="9">
        <f>SUM(IFERROR(VLOOKUP($C:$C,Structure!$A:$AJ,AQ$1,0)*$D136,0),IFERROR(VLOOKUP($E:$E,Structure!$A:$AJ,AQ$1,0)*$F136,0),IFERROR(VLOOKUP($G:$G,Structure!$A:$AJ,AQ$1,0)*$H136,0))</f>
        <v>0</v>
      </c>
      <c r="AR136" s="21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4">
        <f t="shared" si="162"/>
        <v>0</v>
      </c>
      <c r="CE136" s="4">
        <f t="shared" si="163"/>
        <v>-84</v>
      </c>
      <c r="CF136" s="4">
        <f t="shared" si="164"/>
        <v>4</v>
      </c>
      <c r="CG136" s="4">
        <f t="shared" si="165"/>
        <v>14</v>
      </c>
      <c r="CH136" s="4">
        <f t="shared" si="166"/>
        <v>-7</v>
      </c>
      <c r="CI136" s="4">
        <f t="shared" si="167"/>
        <v>127</v>
      </c>
      <c r="CJ136" s="4">
        <f t="shared" si="168"/>
        <v>-141</v>
      </c>
      <c r="CK136" s="4">
        <f t="shared" si="169"/>
        <v>95</v>
      </c>
      <c r="CL136" s="4">
        <f t="shared" si="170"/>
        <v>0</v>
      </c>
      <c r="CM136" s="4">
        <f t="shared" si="171"/>
        <v>6</v>
      </c>
      <c r="CN136" s="4">
        <f t="shared" si="172"/>
        <v>-28</v>
      </c>
      <c r="CO136" s="4">
        <f t="shared" si="173"/>
        <v>0</v>
      </c>
      <c r="CP136" s="4">
        <f t="shared" si="174"/>
        <v>19</v>
      </c>
      <c r="CQ136" s="4">
        <f t="shared" si="175"/>
        <v>-234</v>
      </c>
      <c r="CR136" s="4">
        <f t="shared" si="176"/>
        <v>15</v>
      </c>
      <c r="CS136" s="4">
        <f t="shared" si="177"/>
        <v>-24</v>
      </c>
      <c r="CT136" s="4">
        <f t="shared" si="178"/>
        <v>0</v>
      </c>
      <c r="CU136" s="4">
        <f t="shared" si="179"/>
        <v>0</v>
      </c>
      <c r="CV136" s="4">
        <f t="shared" si="180"/>
        <v>0</v>
      </c>
      <c r="CW136" s="4">
        <f t="shared" si="181"/>
        <v>0</v>
      </c>
      <c r="CX136" s="4">
        <f t="shared" si="182"/>
        <v>-125</v>
      </c>
      <c r="CY136" s="4">
        <f t="shared" si="183"/>
        <v>0</v>
      </c>
      <c r="CZ136" s="4">
        <f t="shared" si="184"/>
        <v>0</v>
      </c>
      <c r="DA136" s="4">
        <f t="shared" si="185"/>
        <v>0</v>
      </c>
      <c r="DB136" s="4">
        <f t="shared" si="186"/>
        <v>0</v>
      </c>
      <c r="DC136" s="4">
        <f t="shared" si="187"/>
        <v>0</v>
      </c>
      <c r="DD136" s="4">
        <f t="shared" si="188"/>
        <v>0</v>
      </c>
      <c r="DE136" s="4">
        <f t="shared" si="189"/>
        <v>0</v>
      </c>
      <c r="DF136" s="4">
        <f t="shared" si="190"/>
        <v>0</v>
      </c>
      <c r="DG136" s="4">
        <f t="shared" si="191"/>
        <v>0</v>
      </c>
      <c r="DH136" s="4">
        <f t="shared" si="192"/>
        <v>0</v>
      </c>
      <c r="DI136" s="4">
        <f t="shared" si="193"/>
        <v>0</v>
      </c>
      <c r="DJ136" s="4">
        <f t="shared" si="194"/>
        <v>0</v>
      </c>
      <c r="DK136" s="4">
        <f t="shared" si="195"/>
        <v>0</v>
      </c>
      <c r="DL136" s="4">
        <f t="shared" si="196"/>
        <v>0</v>
      </c>
    </row>
    <row r="137" spans="1:116" x14ac:dyDescent="0.25">
      <c r="A137" s="5">
        <v>46186</v>
      </c>
      <c r="B137" s="6">
        <v>0.10416666699165944</v>
      </c>
      <c r="C137" s="3"/>
      <c r="D137" s="3"/>
      <c r="E137" s="3" t="s">
        <v>30</v>
      </c>
      <c r="F137" s="3">
        <v>8</v>
      </c>
      <c r="G137" s="3"/>
      <c r="H137" s="9"/>
      <c r="I137" s="9">
        <f>SUM(IFERROR(VLOOKUP($C:$C,Structure!$A:$AJ,I$1,0)*$D137,0),IFERROR(VLOOKUP($E:$E,Structure!$A:$AJ,I$1,0)*$F137,0),IFERROR(VLOOKUP($G:$G,Structure!$A:$AJ,I$1,0)*$H137,0))</f>
        <v>0</v>
      </c>
      <c r="J137" s="9">
        <f>SUM(IFERROR(VLOOKUP($C:$C,Structure!$A:$AJ,J$1,0)*$D137,0),IFERROR(VLOOKUP($E:$E,Structure!$A:$AJ,J$1,0)*$F137,0),IFERROR(VLOOKUP($G:$G,Structure!$A:$AJ,J$1,0)*$H137,0))</f>
        <v>0</v>
      </c>
      <c r="K137" s="9">
        <f>SUM(IFERROR(VLOOKUP($C:$C,Structure!$A:$AJ,K$1,0)*$D137,0),IFERROR(VLOOKUP($E:$E,Structure!$A:$AJ,K$1,0)*$F137,0),IFERROR(VLOOKUP($G:$G,Structure!$A:$AJ,K$1,0)*$H137,0))</f>
        <v>0</v>
      </c>
      <c r="L137" s="9">
        <f>SUM(IFERROR(VLOOKUP($C:$C,Structure!$A:$AJ,L$1,0)*$D137,0),IFERROR(VLOOKUP($E:$E,Structure!$A:$AJ,L$1,0)*$F137,0),IFERROR(VLOOKUP($G:$G,Structure!$A:$AJ,L$1,0)*$H137,0))</f>
        <v>0</v>
      </c>
      <c r="M137" s="9">
        <f>SUM(IFERROR(VLOOKUP($C:$C,Structure!$A:$AJ,M$1,0)*$D137,0),IFERROR(VLOOKUP($E:$E,Structure!$A:$AJ,M$1,0)*$F137,0),IFERROR(VLOOKUP($G:$G,Structure!$A:$AJ,M$1,0)*$H137,0))</f>
        <v>0</v>
      </c>
      <c r="N137" s="9">
        <f>SUM(IFERROR(VLOOKUP($C:$C,Structure!$A:$AJ,N$1,0)*$D137,0),IFERROR(VLOOKUP($E:$E,Structure!$A:$AJ,N$1,0)*$F137,0),IFERROR(VLOOKUP($G:$G,Structure!$A:$AJ,N$1,0)*$H137,0))</f>
        <v>0</v>
      </c>
      <c r="O137" s="9">
        <f>SUM(IFERROR(VLOOKUP($C:$C,Structure!$A:$AJ,O$1,0)*$D137,0),IFERROR(VLOOKUP($E:$E,Structure!$A:$AJ,O$1,0)*$F137,0),IFERROR(VLOOKUP($G:$G,Structure!$A:$AJ,O$1,0)*$H137,0))</f>
        <v>0</v>
      </c>
      <c r="P137" s="9">
        <f>SUM(IFERROR(VLOOKUP($C:$C,Structure!$A:$AJ,P$1,0)*$D137,0),IFERROR(VLOOKUP($E:$E,Structure!$A:$AJ,P$1,0)*$F137,0),IFERROR(VLOOKUP($G:$G,Structure!$A:$AJ,P$1,0)*$H137,0))</f>
        <v>0</v>
      </c>
      <c r="Q137" s="9">
        <f>SUM(IFERROR(VLOOKUP($C:$C,Structure!$A:$AJ,Q$1,0)*$D137,0),IFERROR(VLOOKUP($E:$E,Structure!$A:$AJ,Q$1,0)*$F137,0),IFERROR(VLOOKUP($G:$G,Structure!$A:$AJ,Q$1,0)*$H137,0))</f>
        <v>0</v>
      </c>
      <c r="R137" s="9">
        <f>SUM(IFERROR(VLOOKUP($C:$C,Structure!$A:$AJ,R$1,0)*$D137,0),IFERROR(VLOOKUP($E:$E,Structure!$A:$AJ,R$1,0)*$F137,0),IFERROR(VLOOKUP($G:$G,Structure!$A:$AJ,R$1,0)*$H137,0))</f>
        <v>0</v>
      </c>
      <c r="S137" s="9">
        <f>SUM(IFERROR(VLOOKUP($C:$C,Structure!$A:$AJ,S$1,0)*$D137,0),IFERROR(VLOOKUP($E:$E,Structure!$A:$AJ,S$1,0)*$F137,0),IFERROR(VLOOKUP($G:$G,Structure!$A:$AJ,S$1,0)*$H137,0))</f>
        <v>0</v>
      </c>
      <c r="T137" s="9">
        <f>SUM(IFERROR(VLOOKUP($C:$C,Structure!$A:$AJ,T$1,0)*$D137,0),IFERROR(VLOOKUP($E:$E,Structure!$A:$AJ,T$1,0)*$F137,0),IFERROR(VLOOKUP($G:$G,Structure!$A:$AJ,T$1,0)*$H137,0))</f>
        <v>0</v>
      </c>
      <c r="U137" s="9">
        <f>SUM(IFERROR(VLOOKUP($C:$C,Structure!$A:$AJ,U$1,0)*$D137,0),IFERROR(VLOOKUP($E:$E,Structure!$A:$AJ,U$1,0)*$F137,0),IFERROR(VLOOKUP($G:$G,Structure!$A:$AJ,U$1,0)*$H137,0))</f>
        <v>0</v>
      </c>
      <c r="V137" s="9">
        <f>SUM(IFERROR(VLOOKUP($C:$C,Structure!$A:$AJ,V$1,0)*$D137,0),IFERROR(VLOOKUP($E:$E,Structure!$A:$AJ,V$1,0)*$F137,0),IFERROR(VLOOKUP($G:$G,Structure!$A:$AJ,V$1,0)*$H137,0))</f>
        <v>8</v>
      </c>
      <c r="W137" s="9">
        <f>SUM(IFERROR(VLOOKUP($C:$C,Structure!$A:$AJ,W$1,0)*$D137,0),IFERROR(VLOOKUP($E:$E,Structure!$A:$AJ,W$1,0)*$F137,0),IFERROR(VLOOKUP($G:$G,Structure!$A:$AJ,W$1,0)*$H137,0))</f>
        <v>0</v>
      </c>
      <c r="X137" s="9">
        <f>SUM(IFERROR(VLOOKUP($C:$C,Structure!$A:$AJ,X$1,0)*$D137,0),IFERROR(VLOOKUP($E:$E,Structure!$A:$AJ,X$1,0)*$F137,0),IFERROR(VLOOKUP($G:$G,Structure!$A:$AJ,X$1,0)*$H137,0))</f>
        <v>0</v>
      </c>
      <c r="Y137" s="9">
        <f>SUM(IFERROR(VLOOKUP($C:$C,Structure!$A:$AJ,Y$1,0)*$D137,0),IFERROR(VLOOKUP($E:$E,Structure!$A:$AJ,Y$1,0)*$F137,0),IFERROR(VLOOKUP($G:$G,Structure!$A:$AJ,Y$1,0)*$H137,0))</f>
        <v>0</v>
      </c>
      <c r="Z137" s="9">
        <f>SUM(IFERROR(VLOOKUP($C:$C,Structure!$A:$AJ,Z$1,0)*$D137,0),IFERROR(VLOOKUP($E:$E,Structure!$A:$AJ,Z$1,0)*$F137,0),IFERROR(VLOOKUP($G:$G,Structure!$A:$AJ,Z$1,0)*$H137,0))</f>
        <v>0</v>
      </c>
      <c r="AA137" s="9">
        <f>SUM(IFERROR(VLOOKUP($C:$C,Structure!$A:$AJ,AA$1,0)*$D137,0),IFERROR(VLOOKUP($E:$E,Structure!$A:$AJ,AA$1,0)*$F137,0),IFERROR(VLOOKUP($G:$G,Structure!$A:$AJ,AA$1,0)*$H137,0))</f>
        <v>0</v>
      </c>
      <c r="AB137" s="9">
        <f>SUM(IFERROR(VLOOKUP($C:$C,Structure!$A:$AJ,AB$1,0)*$D137,0),IFERROR(VLOOKUP($E:$E,Structure!$A:$AJ,AB$1,0)*$F137,0),IFERROR(VLOOKUP($G:$G,Structure!$A:$AJ,AB$1,0)*$H137,0))</f>
        <v>0</v>
      </c>
      <c r="AC137" s="9">
        <f>SUM(IFERROR(VLOOKUP($C:$C,Structure!$A:$AJ,AC$1,0)*$D137,0),IFERROR(VLOOKUP($E:$E,Structure!$A:$AJ,AC$1,0)*$F137,0),IFERROR(VLOOKUP($G:$G,Structure!$A:$AJ,AC$1,0)*$H137,0))</f>
        <v>8</v>
      </c>
      <c r="AD137" s="9">
        <f>SUM(IFERROR(VLOOKUP($C:$C,Structure!$A:$AJ,AD$1,0)*$D137,0),IFERROR(VLOOKUP($E:$E,Structure!$A:$AJ,AD$1,0)*$F137,0),IFERROR(VLOOKUP($G:$G,Structure!$A:$AJ,AD$1,0)*$H137,0))</f>
        <v>0</v>
      </c>
      <c r="AE137" s="9">
        <f>SUM(IFERROR(VLOOKUP($C:$C,Structure!$A:$AJ,AE$1,0)*$D137,0),IFERROR(VLOOKUP($E:$E,Structure!$A:$AJ,AE$1,0)*$F137,0),IFERROR(VLOOKUP($G:$G,Structure!$A:$AJ,AE$1,0)*$H137,0))</f>
        <v>0</v>
      </c>
      <c r="AF137" s="9">
        <f>SUM(IFERROR(VLOOKUP($C:$C,Structure!$A:$AJ,AF$1,0)*$D137,0),IFERROR(VLOOKUP($E:$E,Structure!$A:$AJ,AF$1,0)*$F137,0),IFERROR(VLOOKUP($G:$G,Structure!$A:$AJ,AF$1,0)*$H137,0))</f>
        <v>0</v>
      </c>
      <c r="AG137" s="9">
        <f>SUM(IFERROR(VLOOKUP($C:$C,Structure!$A:$AJ,AG$1,0)*$D137,0),IFERROR(VLOOKUP($E:$E,Structure!$A:$AJ,AG$1,0)*$F137,0),IFERROR(VLOOKUP($G:$G,Structure!$A:$AJ,AG$1,0)*$H137,0))</f>
        <v>0</v>
      </c>
      <c r="AH137" s="9">
        <f>SUM(IFERROR(VLOOKUP($C:$C,Structure!$A:$AJ,AH$1,0)*$D137,0),IFERROR(VLOOKUP($E:$E,Structure!$A:$AJ,AH$1,0)*$F137,0),IFERROR(VLOOKUP($G:$G,Structure!$A:$AJ,AH$1,0)*$H137,0))</f>
        <v>0</v>
      </c>
      <c r="AI137" s="9">
        <f>SUM(IFERROR(VLOOKUP($C:$C,Structure!$A:$AJ,AI$1,0)*$D137,0),IFERROR(VLOOKUP($E:$E,Structure!$A:$AJ,AI$1,0)*$F137,0),IFERROR(VLOOKUP($G:$G,Structure!$A:$AJ,AI$1,0)*$H137,0))</f>
        <v>0</v>
      </c>
      <c r="AJ137" s="9">
        <f>SUM(IFERROR(VLOOKUP($C:$C,Structure!$A:$AJ,AJ$1,0)*$D137,0),IFERROR(VLOOKUP($E:$E,Structure!$A:$AJ,AJ$1,0)*$F137,0),IFERROR(VLOOKUP($G:$G,Structure!$A:$AJ,AJ$1,0)*$H137,0))</f>
        <v>0</v>
      </c>
      <c r="AK137" s="9">
        <f>SUM(IFERROR(VLOOKUP($C:$C,Structure!$A:$AJ,AK$1,0)*$D137,0),IFERROR(VLOOKUP($E:$E,Structure!$A:$AJ,AK$1,0)*$F137,0),IFERROR(VLOOKUP($G:$G,Structure!$A:$AJ,AK$1,0)*$H137,0))</f>
        <v>0</v>
      </c>
      <c r="AL137" s="9">
        <f>SUM(IFERROR(VLOOKUP($C:$C,Structure!$A:$AJ,AL$1,0)*$D137,0),IFERROR(VLOOKUP($E:$E,Structure!$A:$AJ,AL$1,0)*$F137,0),IFERROR(VLOOKUP($G:$G,Structure!$A:$AJ,AL$1,0)*$H137,0))</f>
        <v>0</v>
      </c>
      <c r="AM137" s="9">
        <f>SUM(IFERROR(VLOOKUP($C:$C,Structure!$A:$AJ,AM$1,0)*$D137,0),IFERROR(VLOOKUP($E:$E,Structure!$A:$AJ,AM$1,0)*$F137,0),IFERROR(VLOOKUP($G:$G,Structure!$A:$AJ,AM$1,0)*$H137,0))</f>
        <v>0</v>
      </c>
      <c r="AN137" s="9">
        <f>SUM(IFERROR(VLOOKUP($C:$C,Structure!$A:$AJ,AN$1,0)*$D137,0),IFERROR(VLOOKUP($E:$E,Structure!$A:$AJ,AN$1,0)*$F137,0),IFERROR(VLOOKUP($G:$G,Structure!$A:$AJ,AN$1,0)*$H137,0))</f>
        <v>0</v>
      </c>
      <c r="AO137" s="9">
        <f>SUM(IFERROR(VLOOKUP($C:$C,Structure!$A:$AJ,AO$1,0)*$D137,0),IFERROR(VLOOKUP($E:$E,Structure!$A:$AJ,AO$1,0)*$F137,0),IFERROR(VLOOKUP($G:$G,Structure!$A:$AJ,AO$1,0)*$H137,0))</f>
        <v>0</v>
      </c>
      <c r="AP137" s="9">
        <f>SUM(IFERROR(VLOOKUP($C:$C,Structure!$A:$AJ,AP$1,0)*$D137,0),IFERROR(VLOOKUP($E:$E,Structure!$A:$AJ,AP$1,0)*$F137,0),IFERROR(VLOOKUP($G:$G,Structure!$A:$AJ,AP$1,0)*$H137,0))</f>
        <v>0</v>
      </c>
      <c r="AQ137" s="9">
        <f>SUM(IFERROR(VLOOKUP($C:$C,Structure!$A:$AJ,AQ$1,0)*$D137,0),IFERROR(VLOOKUP($E:$E,Structure!$A:$AJ,AQ$1,0)*$F137,0),IFERROR(VLOOKUP($G:$G,Structure!$A:$AJ,AQ$1,0)*$H137,0))</f>
        <v>0</v>
      </c>
      <c r="AR137" s="21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4">
        <f t="shared" si="162"/>
        <v>0</v>
      </c>
      <c r="CE137" s="4">
        <f t="shared" si="163"/>
        <v>-84</v>
      </c>
      <c r="CF137" s="4">
        <f t="shared" si="164"/>
        <v>4</v>
      </c>
      <c r="CG137" s="4">
        <f t="shared" si="165"/>
        <v>14</v>
      </c>
      <c r="CH137" s="4">
        <f t="shared" si="166"/>
        <v>-7</v>
      </c>
      <c r="CI137" s="4">
        <f t="shared" si="167"/>
        <v>127</v>
      </c>
      <c r="CJ137" s="4">
        <f t="shared" si="168"/>
        <v>-141</v>
      </c>
      <c r="CK137" s="4">
        <f t="shared" si="169"/>
        <v>95</v>
      </c>
      <c r="CL137" s="4">
        <f t="shared" si="170"/>
        <v>0</v>
      </c>
      <c r="CM137" s="4">
        <f t="shared" si="171"/>
        <v>6</v>
      </c>
      <c r="CN137" s="4">
        <f t="shared" si="172"/>
        <v>-28</v>
      </c>
      <c r="CO137" s="4">
        <f t="shared" si="173"/>
        <v>0</v>
      </c>
      <c r="CP137" s="4">
        <f t="shared" si="174"/>
        <v>19</v>
      </c>
      <c r="CQ137" s="4">
        <f t="shared" si="175"/>
        <v>-242</v>
      </c>
      <c r="CR137" s="4">
        <f t="shared" si="176"/>
        <v>15</v>
      </c>
      <c r="CS137" s="4">
        <f t="shared" si="177"/>
        <v>-24</v>
      </c>
      <c r="CT137" s="4">
        <f t="shared" si="178"/>
        <v>0</v>
      </c>
      <c r="CU137" s="4">
        <f t="shared" si="179"/>
        <v>0</v>
      </c>
      <c r="CV137" s="4">
        <f t="shared" si="180"/>
        <v>0</v>
      </c>
      <c r="CW137" s="4">
        <f t="shared" si="181"/>
        <v>0</v>
      </c>
      <c r="CX137" s="4">
        <f t="shared" si="182"/>
        <v>-133</v>
      </c>
      <c r="CY137" s="4">
        <f t="shared" si="183"/>
        <v>0</v>
      </c>
      <c r="CZ137" s="4">
        <f t="shared" si="184"/>
        <v>0</v>
      </c>
      <c r="DA137" s="4">
        <f t="shared" si="185"/>
        <v>0</v>
      </c>
      <c r="DB137" s="4">
        <f t="shared" si="186"/>
        <v>0</v>
      </c>
      <c r="DC137" s="4">
        <f t="shared" si="187"/>
        <v>0</v>
      </c>
      <c r="DD137" s="4">
        <f t="shared" si="188"/>
        <v>0</v>
      </c>
      <c r="DE137" s="4">
        <f t="shared" si="189"/>
        <v>0</v>
      </c>
      <c r="DF137" s="4">
        <f t="shared" si="190"/>
        <v>0</v>
      </c>
      <c r="DG137" s="4">
        <f t="shared" si="191"/>
        <v>0</v>
      </c>
      <c r="DH137" s="4">
        <f t="shared" si="192"/>
        <v>0</v>
      </c>
      <c r="DI137" s="4">
        <f t="shared" si="193"/>
        <v>0</v>
      </c>
      <c r="DJ137" s="4">
        <f t="shared" si="194"/>
        <v>0</v>
      </c>
      <c r="DK137" s="4">
        <f t="shared" si="195"/>
        <v>0</v>
      </c>
      <c r="DL137" s="4">
        <f t="shared" si="196"/>
        <v>0</v>
      </c>
    </row>
    <row r="138" spans="1:116" x14ac:dyDescent="0.25">
      <c r="A138" s="5">
        <v>46186</v>
      </c>
      <c r="B138" s="6">
        <v>0.12500000032741809</v>
      </c>
      <c r="C138" s="3"/>
      <c r="D138" s="3"/>
      <c r="E138" s="3" t="s">
        <v>30</v>
      </c>
      <c r="F138" s="3">
        <v>8</v>
      </c>
      <c r="G138" s="3"/>
      <c r="H138" s="9"/>
      <c r="I138" s="9">
        <f>SUM(IFERROR(VLOOKUP($C:$C,Structure!$A:$AJ,I$1,0)*$D138,0),IFERROR(VLOOKUP($E:$E,Structure!$A:$AJ,I$1,0)*$F138,0),IFERROR(VLOOKUP($G:$G,Structure!$A:$AJ,I$1,0)*$H138,0))</f>
        <v>0</v>
      </c>
      <c r="J138" s="9">
        <f>SUM(IFERROR(VLOOKUP($C:$C,Structure!$A:$AJ,J$1,0)*$D138,0),IFERROR(VLOOKUP($E:$E,Structure!$A:$AJ,J$1,0)*$F138,0),IFERROR(VLOOKUP($G:$G,Structure!$A:$AJ,J$1,0)*$H138,0))</f>
        <v>0</v>
      </c>
      <c r="K138" s="9">
        <f>SUM(IFERROR(VLOOKUP($C:$C,Structure!$A:$AJ,K$1,0)*$D138,0),IFERROR(VLOOKUP($E:$E,Structure!$A:$AJ,K$1,0)*$F138,0),IFERROR(VLOOKUP($G:$G,Structure!$A:$AJ,K$1,0)*$H138,0))</f>
        <v>0</v>
      </c>
      <c r="L138" s="9">
        <f>SUM(IFERROR(VLOOKUP($C:$C,Structure!$A:$AJ,L$1,0)*$D138,0),IFERROR(VLOOKUP($E:$E,Structure!$A:$AJ,L$1,0)*$F138,0),IFERROR(VLOOKUP($G:$G,Structure!$A:$AJ,L$1,0)*$H138,0))</f>
        <v>0</v>
      </c>
      <c r="M138" s="9">
        <f>SUM(IFERROR(VLOOKUP($C:$C,Structure!$A:$AJ,M$1,0)*$D138,0),IFERROR(VLOOKUP($E:$E,Structure!$A:$AJ,M$1,0)*$F138,0),IFERROR(VLOOKUP($G:$G,Structure!$A:$AJ,M$1,0)*$H138,0))</f>
        <v>0</v>
      </c>
      <c r="N138" s="9">
        <f>SUM(IFERROR(VLOOKUP($C:$C,Structure!$A:$AJ,N$1,0)*$D138,0),IFERROR(VLOOKUP($E:$E,Structure!$A:$AJ,N$1,0)*$F138,0),IFERROR(VLOOKUP($G:$G,Structure!$A:$AJ,N$1,0)*$H138,0))</f>
        <v>0</v>
      </c>
      <c r="O138" s="9">
        <f>SUM(IFERROR(VLOOKUP($C:$C,Structure!$A:$AJ,O$1,0)*$D138,0),IFERROR(VLOOKUP($E:$E,Structure!$A:$AJ,O$1,0)*$F138,0),IFERROR(VLOOKUP($G:$G,Structure!$A:$AJ,O$1,0)*$H138,0))</f>
        <v>0</v>
      </c>
      <c r="P138" s="9">
        <f>SUM(IFERROR(VLOOKUP($C:$C,Structure!$A:$AJ,P$1,0)*$D138,0),IFERROR(VLOOKUP($E:$E,Structure!$A:$AJ,P$1,0)*$F138,0),IFERROR(VLOOKUP($G:$G,Structure!$A:$AJ,P$1,0)*$H138,0))</f>
        <v>0</v>
      </c>
      <c r="Q138" s="9">
        <f>SUM(IFERROR(VLOOKUP($C:$C,Structure!$A:$AJ,Q$1,0)*$D138,0),IFERROR(VLOOKUP($E:$E,Structure!$A:$AJ,Q$1,0)*$F138,0),IFERROR(VLOOKUP($G:$G,Structure!$A:$AJ,Q$1,0)*$H138,0))</f>
        <v>0</v>
      </c>
      <c r="R138" s="9">
        <f>SUM(IFERROR(VLOOKUP($C:$C,Structure!$A:$AJ,R$1,0)*$D138,0),IFERROR(VLOOKUP($E:$E,Structure!$A:$AJ,R$1,0)*$F138,0),IFERROR(VLOOKUP($G:$G,Structure!$A:$AJ,R$1,0)*$H138,0))</f>
        <v>0</v>
      </c>
      <c r="S138" s="9">
        <f>SUM(IFERROR(VLOOKUP($C:$C,Structure!$A:$AJ,S$1,0)*$D138,0),IFERROR(VLOOKUP($E:$E,Structure!$A:$AJ,S$1,0)*$F138,0),IFERROR(VLOOKUP($G:$G,Structure!$A:$AJ,S$1,0)*$H138,0))</f>
        <v>0</v>
      </c>
      <c r="T138" s="9">
        <f>SUM(IFERROR(VLOOKUP($C:$C,Structure!$A:$AJ,T$1,0)*$D138,0),IFERROR(VLOOKUP($E:$E,Structure!$A:$AJ,T$1,0)*$F138,0),IFERROR(VLOOKUP($G:$G,Structure!$A:$AJ,T$1,0)*$H138,0))</f>
        <v>0</v>
      </c>
      <c r="U138" s="9">
        <f>SUM(IFERROR(VLOOKUP($C:$C,Structure!$A:$AJ,U$1,0)*$D138,0),IFERROR(VLOOKUP($E:$E,Structure!$A:$AJ,U$1,0)*$F138,0),IFERROR(VLOOKUP($G:$G,Structure!$A:$AJ,U$1,0)*$H138,0))</f>
        <v>0</v>
      </c>
      <c r="V138" s="9">
        <f>SUM(IFERROR(VLOOKUP($C:$C,Structure!$A:$AJ,V$1,0)*$D138,0),IFERROR(VLOOKUP($E:$E,Structure!$A:$AJ,V$1,0)*$F138,0),IFERROR(VLOOKUP($G:$G,Structure!$A:$AJ,V$1,0)*$H138,0))</f>
        <v>8</v>
      </c>
      <c r="W138" s="9">
        <f>SUM(IFERROR(VLOOKUP($C:$C,Structure!$A:$AJ,W$1,0)*$D138,0),IFERROR(VLOOKUP($E:$E,Structure!$A:$AJ,W$1,0)*$F138,0),IFERROR(VLOOKUP($G:$G,Structure!$A:$AJ,W$1,0)*$H138,0))</f>
        <v>0</v>
      </c>
      <c r="X138" s="9">
        <f>SUM(IFERROR(VLOOKUP($C:$C,Structure!$A:$AJ,X$1,0)*$D138,0),IFERROR(VLOOKUP($E:$E,Structure!$A:$AJ,X$1,0)*$F138,0),IFERROR(VLOOKUP($G:$G,Structure!$A:$AJ,X$1,0)*$H138,0))</f>
        <v>0</v>
      </c>
      <c r="Y138" s="9">
        <f>SUM(IFERROR(VLOOKUP($C:$C,Structure!$A:$AJ,Y$1,0)*$D138,0),IFERROR(VLOOKUP($E:$E,Structure!$A:$AJ,Y$1,0)*$F138,0),IFERROR(VLOOKUP($G:$G,Structure!$A:$AJ,Y$1,0)*$H138,0))</f>
        <v>0</v>
      </c>
      <c r="Z138" s="9">
        <f>SUM(IFERROR(VLOOKUP($C:$C,Structure!$A:$AJ,Z$1,0)*$D138,0),IFERROR(VLOOKUP($E:$E,Structure!$A:$AJ,Z$1,0)*$F138,0),IFERROR(VLOOKUP($G:$G,Structure!$A:$AJ,Z$1,0)*$H138,0))</f>
        <v>0</v>
      </c>
      <c r="AA138" s="9">
        <f>SUM(IFERROR(VLOOKUP($C:$C,Structure!$A:$AJ,AA$1,0)*$D138,0),IFERROR(VLOOKUP($E:$E,Structure!$A:$AJ,AA$1,0)*$F138,0),IFERROR(VLOOKUP($G:$G,Structure!$A:$AJ,AA$1,0)*$H138,0))</f>
        <v>0</v>
      </c>
      <c r="AB138" s="9">
        <f>SUM(IFERROR(VLOOKUP($C:$C,Structure!$A:$AJ,AB$1,0)*$D138,0),IFERROR(VLOOKUP($E:$E,Structure!$A:$AJ,AB$1,0)*$F138,0),IFERROR(VLOOKUP($G:$G,Structure!$A:$AJ,AB$1,0)*$H138,0))</f>
        <v>0</v>
      </c>
      <c r="AC138" s="9">
        <f>SUM(IFERROR(VLOOKUP($C:$C,Structure!$A:$AJ,AC$1,0)*$D138,0),IFERROR(VLOOKUP($E:$E,Structure!$A:$AJ,AC$1,0)*$F138,0),IFERROR(VLOOKUP($G:$G,Structure!$A:$AJ,AC$1,0)*$H138,0))</f>
        <v>8</v>
      </c>
      <c r="AD138" s="9">
        <f>SUM(IFERROR(VLOOKUP($C:$C,Structure!$A:$AJ,AD$1,0)*$D138,0),IFERROR(VLOOKUP($E:$E,Structure!$A:$AJ,AD$1,0)*$F138,0),IFERROR(VLOOKUP($G:$G,Structure!$A:$AJ,AD$1,0)*$H138,0))</f>
        <v>0</v>
      </c>
      <c r="AE138" s="9">
        <f>SUM(IFERROR(VLOOKUP($C:$C,Structure!$A:$AJ,AE$1,0)*$D138,0),IFERROR(VLOOKUP($E:$E,Structure!$A:$AJ,AE$1,0)*$F138,0),IFERROR(VLOOKUP($G:$G,Structure!$A:$AJ,AE$1,0)*$H138,0))</f>
        <v>0</v>
      </c>
      <c r="AF138" s="9">
        <f>SUM(IFERROR(VLOOKUP($C:$C,Structure!$A:$AJ,AF$1,0)*$D138,0),IFERROR(VLOOKUP($E:$E,Structure!$A:$AJ,AF$1,0)*$F138,0),IFERROR(VLOOKUP($G:$G,Structure!$A:$AJ,AF$1,0)*$H138,0))</f>
        <v>0</v>
      </c>
      <c r="AG138" s="9">
        <f>SUM(IFERROR(VLOOKUP($C:$C,Structure!$A:$AJ,AG$1,0)*$D138,0),IFERROR(VLOOKUP($E:$E,Structure!$A:$AJ,AG$1,0)*$F138,0),IFERROR(VLOOKUP($G:$G,Structure!$A:$AJ,AG$1,0)*$H138,0))</f>
        <v>0</v>
      </c>
      <c r="AH138" s="9">
        <f>SUM(IFERROR(VLOOKUP($C:$C,Structure!$A:$AJ,AH$1,0)*$D138,0),IFERROR(VLOOKUP($E:$E,Structure!$A:$AJ,AH$1,0)*$F138,0),IFERROR(VLOOKUP($G:$G,Structure!$A:$AJ,AH$1,0)*$H138,0))</f>
        <v>0</v>
      </c>
      <c r="AI138" s="9">
        <f>SUM(IFERROR(VLOOKUP($C:$C,Structure!$A:$AJ,AI$1,0)*$D138,0),IFERROR(VLOOKUP($E:$E,Structure!$A:$AJ,AI$1,0)*$F138,0),IFERROR(VLOOKUP($G:$G,Structure!$A:$AJ,AI$1,0)*$H138,0))</f>
        <v>0</v>
      </c>
      <c r="AJ138" s="9">
        <f>SUM(IFERROR(VLOOKUP($C:$C,Structure!$A:$AJ,AJ$1,0)*$D138,0),IFERROR(VLOOKUP($E:$E,Structure!$A:$AJ,AJ$1,0)*$F138,0),IFERROR(VLOOKUP($G:$G,Structure!$A:$AJ,AJ$1,0)*$H138,0))</f>
        <v>0</v>
      </c>
      <c r="AK138" s="9">
        <f>SUM(IFERROR(VLOOKUP($C:$C,Structure!$A:$AJ,AK$1,0)*$D138,0),IFERROR(VLOOKUP($E:$E,Structure!$A:$AJ,AK$1,0)*$F138,0),IFERROR(VLOOKUP($G:$G,Structure!$A:$AJ,AK$1,0)*$H138,0))</f>
        <v>0</v>
      </c>
      <c r="AL138" s="9">
        <f>SUM(IFERROR(VLOOKUP($C:$C,Structure!$A:$AJ,AL$1,0)*$D138,0),IFERROR(VLOOKUP($E:$E,Structure!$A:$AJ,AL$1,0)*$F138,0),IFERROR(VLOOKUP($G:$G,Structure!$A:$AJ,AL$1,0)*$H138,0))</f>
        <v>0</v>
      </c>
      <c r="AM138" s="9">
        <f>SUM(IFERROR(VLOOKUP($C:$C,Structure!$A:$AJ,AM$1,0)*$D138,0),IFERROR(VLOOKUP($E:$E,Structure!$A:$AJ,AM$1,0)*$F138,0),IFERROR(VLOOKUP($G:$G,Structure!$A:$AJ,AM$1,0)*$H138,0))</f>
        <v>0</v>
      </c>
      <c r="AN138" s="9">
        <f>SUM(IFERROR(VLOOKUP($C:$C,Structure!$A:$AJ,AN$1,0)*$D138,0),IFERROR(VLOOKUP($E:$E,Structure!$A:$AJ,AN$1,0)*$F138,0),IFERROR(VLOOKUP($G:$G,Structure!$A:$AJ,AN$1,0)*$H138,0))</f>
        <v>0</v>
      </c>
      <c r="AO138" s="9">
        <f>SUM(IFERROR(VLOOKUP($C:$C,Structure!$A:$AJ,AO$1,0)*$D138,0),IFERROR(VLOOKUP($E:$E,Structure!$A:$AJ,AO$1,0)*$F138,0),IFERROR(VLOOKUP($G:$G,Structure!$A:$AJ,AO$1,0)*$H138,0))</f>
        <v>0</v>
      </c>
      <c r="AP138" s="9">
        <f>SUM(IFERROR(VLOOKUP($C:$C,Structure!$A:$AJ,AP$1,0)*$D138,0),IFERROR(VLOOKUP($E:$E,Structure!$A:$AJ,AP$1,0)*$F138,0),IFERROR(VLOOKUP($G:$G,Structure!$A:$AJ,AP$1,0)*$H138,0))</f>
        <v>0</v>
      </c>
      <c r="AQ138" s="9">
        <f>SUM(IFERROR(VLOOKUP($C:$C,Structure!$A:$AJ,AQ$1,0)*$D138,0),IFERROR(VLOOKUP($E:$E,Structure!$A:$AJ,AQ$1,0)*$F138,0),IFERROR(VLOOKUP($G:$G,Structure!$A:$AJ,AQ$1,0)*$H138,0))</f>
        <v>0</v>
      </c>
      <c r="AR138" s="21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4">
        <f t="shared" si="162"/>
        <v>0</v>
      </c>
      <c r="CE138" s="4">
        <f t="shared" si="163"/>
        <v>-84</v>
      </c>
      <c r="CF138" s="4">
        <f t="shared" si="164"/>
        <v>4</v>
      </c>
      <c r="CG138" s="4">
        <f t="shared" si="165"/>
        <v>14</v>
      </c>
      <c r="CH138" s="4">
        <f t="shared" si="166"/>
        <v>-7</v>
      </c>
      <c r="CI138" s="4">
        <f t="shared" si="167"/>
        <v>127</v>
      </c>
      <c r="CJ138" s="4">
        <f t="shared" si="168"/>
        <v>-141</v>
      </c>
      <c r="CK138" s="4">
        <f t="shared" si="169"/>
        <v>95</v>
      </c>
      <c r="CL138" s="4">
        <f t="shared" si="170"/>
        <v>0</v>
      </c>
      <c r="CM138" s="4">
        <f t="shared" si="171"/>
        <v>6</v>
      </c>
      <c r="CN138" s="4">
        <f t="shared" si="172"/>
        <v>-28</v>
      </c>
      <c r="CO138" s="4">
        <f t="shared" si="173"/>
        <v>0</v>
      </c>
      <c r="CP138" s="4">
        <f t="shared" si="174"/>
        <v>19</v>
      </c>
      <c r="CQ138" s="4">
        <f t="shared" si="175"/>
        <v>-250</v>
      </c>
      <c r="CR138" s="4">
        <f t="shared" si="176"/>
        <v>15</v>
      </c>
      <c r="CS138" s="4">
        <f t="shared" si="177"/>
        <v>-24</v>
      </c>
      <c r="CT138" s="4">
        <f t="shared" si="178"/>
        <v>0</v>
      </c>
      <c r="CU138" s="4">
        <f t="shared" si="179"/>
        <v>0</v>
      </c>
      <c r="CV138" s="4">
        <f t="shared" si="180"/>
        <v>0</v>
      </c>
      <c r="CW138" s="4">
        <f t="shared" si="181"/>
        <v>0</v>
      </c>
      <c r="CX138" s="4">
        <f t="shared" si="182"/>
        <v>-141</v>
      </c>
      <c r="CY138" s="4">
        <f t="shared" si="183"/>
        <v>0</v>
      </c>
      <c r="CZ138" s="4">
        <f t="shared" si="184"/>
        <v>0</v>
      </c>
      <c r="DA138" s="4">
        <f t="shared" si="185"/>
        <v>0</v>
      </c>
      <c r="DB138" s="4">
        <f t="shared" si="186"/>
        <v>0</v>
      </c>
      <c r="DC138" s="4">
        <f t="shared" si="187"/>
        <v>0</v>
      </c>
      <c r="DD138" s="4">
        <f t="shared" si="188"/>
        <v>0</v>
      </c>
      <c r="DE138" s="4">
        <f t="shared" si="189"/>
        <v>0</v>
      </c>
      <c r="DF138" s="4">
        <f t="shared" si="190"/>
        <v>0</v>
      </c>
      <c r="DG138" s="4">
        <f t="shared" si="191"/>
        <v>0</v>
      </c>
      <c r="DH138" s="4">
        <f t="shared" si="192"/>
        <v>0</v>
      </c>
      <c r="DI138" s="4">
        <f t="shared" si="193"/>
        <v>0</v>
      </c>
      <c r="DJ138" s="4">
        <f t="shared" si="194"/>
        <v>0</v>
      </c>
      <c r="DK138" s="4">
        <f t="shared" si="195"/>
        <v>0</v>
      </c>
      <c r="DL138" s="4">
        <f t="shared" si="196"/>
        <v>0</v>
      </c>
    </row>
    <row r="139" spans="1:116" x14ac:dyDescent="0.25">
      <c r="A139" s="5">
        <v>46186</v>
      </c>
      <c r="B139" s="6">
        <v>0.14583333366317675</v>
      </c>
      <c r="C139" s="3"/>
      <c r="D139" s="3"/>
      <c r="E139" s="3" t="s">
        <v>30</v>
      </c>
      <c r="F139" s="3">
        <v>8</v>
      </c>
      <c r="G139" s="3"/>
      <c r="H139" s="9"/>
      <c r="I139" s="9">
        <f>SUM(IFERROR(VLOOKUP($C:$C,Structure!$A:$AJ,I$1,0)*$D139,0),IFERROR(VLOOKUP($E:$E,Structure!$A:$AJ,I$1,0)*$F139,0),IFERROR(VLOOKUP($G:$G,Structure!$A:$AJ,I$1,0)*$H139,0))</f>
        <v>0</v>
      </c>
      <c r="J139" s="9">
        <f>SUM(IFERROR(VLOOKUP($C:$C,Structure!$A:$AJ,J$1,0)*$D139,0),IFERROR(VLOOKUP($E:$E,Structure!$A:$AJ,J$1,0)*$F139,0),IFERROR(VLOOKUP($G:$G,Structure!$A:$AJ,J$1,0)*$H139,0))</f>
        <v>0</v>
      </c>
      <c r="K139" s="9">
        <f>SUM(IFERROR(VLOOKUP($C:$C,Structure!$A:$AJ,K$1,0)*$D139,0),IFERROR(VLOOKUP($E:$E,Structure!$A:$AJ,K$1,0)*$F139,0),IFERROR(VLOOKUP($G:$G,Structure!$A:$AJ,K$1,0)*$H139,0))</f>
        <v>0</v>
      </c>
      <c r="L139" s="9">
        <f>SUM(IFERROR(VLOOKUP($C:$C,Structure!$A:$AJ,L$1,0)*$D139,0),IFERROR(VLOOKUP($E:$E,Structure!$A:$AJ,L$1,0)*$F139,0),IFERROR(VLOOKUP($G:$G,Structure!$A:$AJ,L$1,0)*$H139,0))</f>
        <v>0</v>
      </c>
      <c r="M139" s="9">
        <f>SUM(IFERROR(VLOOKUP($C:$C,Structure!$A:$AJ,M$1,0)*$D139,0),IFERROR(VLOOKUP($E:$E,Structure!$A:$AJ,M$1,0)*$F139,0),IFERROR(VLOOKUP($G:$G,Structure!$A:$AJ,M$1,0)*$H139,0))</f>
        <v>0</v>
      </c>
      <c r="N139" s="9">
        <f>SUM(IFERROR(VLOOKUP($C:$C,Structure!$A:$AJ,N$1,0)*$D139,0),IFERROR(VLOOKUP($E:$E,Structure!$A:$AJ,N$1,0)*$F139,0),IFERROR(VLOOKUP($G:$G,Structure!$A:$AJ,N$1,0)*$H139,0))</f>
        <v>0</v>
      </c>
      <c r="O139" s="9">
        <f>SUM(IFERROR(VLOOKUP($C:$C,Structure!$A:$AJ,O$1,0)*$D139,0),IFERROR(VLOOKUP($E:$E,Structure!$A:$AJ,O$1,0)*$F139,0),IFERROR(VLOOKUP($G:$G,Structure!$A:$AJ,O$1,0)*$H139,0))</f>
        <v>0</v>
      </c>
      <c r="P139" s="9">
        <f>SUM(IFERROR(VLOOKUP($C:$C,Structure!$A:$AJ,P$1,0)*$D139,0),IFERROR(VLOOKUP($E:$E,Structure!$A:$AJ,P$1,0)*$F139,0),IFERROR(VLOOKUP($G:$G,Structure!$A:$AJ,P$1,0)*$H139,0))</f>
        <v>0</v>
      </c>
      <c r="Q139" s="9">
        <f>SUM(IFERROR(VLOOKUP($C:$C,Structure!$A:$AJ,Q$1,0)*$D139,0),IFERROR(VLOOKUP($E:$E,Structure!$A:$AJ,Q$1,0)*$F139,0),IFERROR(VLOOKUP($G:$G,Structure!$A:$AJ,Q$1,0)*$H139,0))</f>
        <v>0</v>
      </c>
      <c r="R139" s="9">
        <f>SUM(IFERROR(VLOOKUP($C:$C,Structure!$A:$AJ,R$1,0)*$D139,0),IFERROR(VLOOKUP($E:$E,Structure!$A:$AJ,R$1,0)*$F139,0),IFERROR(VLOOKUP($G:$G,Structure!$A:$AJ,R$1,0)*$H139,0))</f>
        <v>0</v>
      </c>
      <c r="S139" s="9">
        <f>SUM(IFERROR(VLOOKUP($C:$C,Structure!$A:$AJ,S$1,0)*$D139,0),IFERROR(VLOOKUP($E:$E,Structure!$A:$AJ,S$1,0)*$F139,0),IFERROR(VLOOKUP($G:$G,Structure!$A:$AJ,S$1,0)*$H139,0))</f>
        <v>0</v>
      </c>
      <c r="T139" s="9">
        <f>SUM(IFERROR(VLOOKUP($C:$C,Structure!$A:$AJ,T$1,0)*$D139,0),IFERROR(VLOOKUP($E:$E,Structure!$A:$AJ,T$1,0)*$F139,0),IFERROR(VLOOKUP($G:$G,Structure!$A:$AJ,T$1,0)*$H139,0))</f>
        <v>0</v>
      </c>
      <c r="U139" s="9">
        <f>SUM(IFERROR(VLOOKUP($C:$C,Structure!$A:$AJ,U$1,0)*$D139,0),IFERROR(VLOOKUP($E:$E,Structure!$A:$AJ,U$1,0)*$F139,0),IFERROR(VLOOKUP($G:$G,Structure!$A:$AJ,U$1,0)*$H139,0))</f>
        <v>0</v>
      </c>
      <c r="V139" s="9">
        <f>SUM(IFERROR(VLOOKUP($C:$C,Structure!$A:$AJ,V$1,0)*$D139,0),IFERROR(VLOOKUP($E:$E,Structure!$A:$AJ,V$1,0)*$F139,0),IFERROR(VLOOKUP($G:$G,Structure!$A:$AJ,V$1,0)*$H139,0))</f>
        <v>8</v>
      </c>
      <c r="W139" s="9">
        <f>SUM(IFERROR(VLOOKUP($C:$C,Structure!$A:$AJ,W$1,0)*$D139,0),IFERROR(VLOOKUP($E:$E,Structure!$A:$AJ,W$1,0)*$F139,0),IFERROR(VLOOKUP($G:$G,Structure!$A:$AJ,W$1,0)*$H139,0))</f>
        <v>0</v>
      </c>
      <c r="X139" s="9">
        <f>SUM(IFERROR(VLOOKUP($C:$C,Structure!$A:$AJ,X$1,0)*$D139,0),IFERROR(VLOOKUP($E:$E,Structure!$A:$AJ,X$1,0)*$F139,0),IFERROR(VLOOKUP($G:$G,Structure!$A:$AJ,X$1,0)*$H139,0))</f>
        <v>0</v>
      </c>
      <c r="Y139" s="9">
        <f>SUM(IFERROR(VLOOKUP($C:$C,Structure!$A:$AJ,Y$1,0)*$D139,0),IFERROR(VLOOKUP($E:$E,Structure!$A:$AJ,Y$1,0)*$F139,0),IFERROR(VLOOKUP($G:$G,Structure!$A:$AJ,Y$1,0)*$H139,0))</f>
        <v>0</v>
      </c>
      <c r="Z139" s="9">
        <f>SUM(IFERROR(VLOOKUP($C:$C,Structure!$A:$AJ,Z$1,0)*$D139,0),IFERROR(VLOOKUP($E:$E,Structure!$A:$AJ,Z$1,0)*$F139,0),IFERROR(VLOOKUP($G:$G,Structure!$A:$AJ,Z$1,0)*$H139,0))</f>
        <v>0</v>
      </c>
      <c r="AA139" s="9">
        <f>SUM(IFERROR(VLOOKUP($C:$C,Structure!$A:$AJ,AA$1,0)*$D139,0),IFERROR(VLOOKUP($E:$E,Structure!$A:$AJ,AA$1,0)*$F139,0),IFERROR(VLOOKUP($G:$G,Structure!$A:$AJ,AA$1,0)*$H139,0))</f>
        <v>0</v>
      </c>
      <c r="AB139" s="9">
        <f>SUM(IFERROR(VLOOKUP($C:$C,Structure!$A:$AJ,AB$1,0)*$D139,0),IFERROR(VLOOKUP($E:$E,Structure!$A:$AJ,AB$1,0)*$F139,0),IFERROR(VLOOKUP($G:$G,Structure!$A:$AJ,AB$1,0)*$H139,0))</f>
        <v>0</v>
      </c>
      <c r="AC139" s="9">
        <f>SUM(IFERROR(VLOOKUP($C:$C,Structure!$A:$AJ,AC$1,0)*$D139,0),IFERROR(VLOOKUP($E:$E,Structure!$A:$AJ,AC$1,0)*$F139,0),IFERROR(VLOOKUP($G:$G,Structure!$A:$AJ,AC$1,0)*$H139,0))</f>
        <v>8</v>
      </c>
      <c r="AD139" s="9">
        <f>SUM(IFERROR(VLOOKUP($C:$C,Structure!$A:$AJ,AD$1,0)*$D139,0),IFERROR(VLOOKUP($E:$E,Structure!$A:$AJ,AD$1,0)*$F139,0),IFERROR(VLOOKUP($G:$G,Structure!$A:$AJ,AD$1,0)*$H139,0))</f>
        <v>0</v>
      </c>
      <c r="AE139" s="9">
        <f>SUM(IFERROR(VLOOKUP($C:$C,Structure!$A:$AJ,AE$1,0)*$D139,0),IFERROR(VLOOKUP($E:$E,Structure!$A:$AJ,AE$1,0)*$F139,0),IFERROR(VLOOKUP($G:$G,Structure!$A:$AJ,AE$1,0)*$H139,0))</f>
        <v>0</v>
      </c>
      <c r="AF139" s="9">
        <f>SUM(IFERROR(VLOOKUP($C:$C,Structure!$A:$AJ,AF$1,0)*$D139,0),IFERROR(VLOOKUP($E:$E,Structure!$A:$AJ,AF$1,0)*$F139,0),IFERROR(VLOOKUP($G:$G,Structure!$A:$AJ,AF$1,0)*$H139,0))</f>
        <v>0</v>
      </c>
      <c r="AG139" s="9">
        <f>SUM(IFERROR(VLOOKUP($C:$C,Structure!$A:$AJ,AG$1,0)*$D139,0),IFERROR(VLOOKUP($E:$E,Structure!$A:$AJ,AG$1,0)*$F139,0),IFERROR(VLOOKUP($G:$G,Structure!$A:$AJ,AG$1,0)*$H139,0))</f>
        <v>0</v>
      </c>
      <c r="AH139" s="9">
        <f>SUM(IFERROR(VLOOKUP($C:$C,Structure!$A:$AJ,AH$1,0)*$D139,0),IFERROR(VLOOKUP($E:$E,Structure!$A:$AJ,AH$1,0)*$F139,0),IFERROR(VLOOKUP($G:$G,Structure!$A:$AJ,AH$1,0)*$H139,0))</f>
        <v>0</v>
      </c>
      <c r="AI139" s="9">
        <f>SUM(IFERROR(VLOOKUP($C:$C,Structure!$A:$AJ,AI$1,0)*$D139,0),IFERROR(VLOOKUP($E:$E,Structure!$A:$AJ,AI$1,0)*$F139,0),IFERROR(VLOOKUP($G:$G,Structure!$A:$AJ,AI$1,0)*$H139,0))</f>
        <v>0</v>
      </c>
      <c r="AJ139" s="9">
        <f>SUM(IFERROR(VLOOKUP($C:$C,Structure!$A:$AJ,AJ$1,0)*$D139,0),IFERROR(VLOOKUP($E:$E,Structure!$A:$AJ,AJ$1,0)*$F139,0),IFERROR(VLOOKUP($G:$G,Structure!$A:$AJ,AJ$1,0)*$H139,0))</f>
        <v>0</v>
      </c>
      <c r="AK139" s="9">
        <f>SUM(IFERROR(VLOOKUP($C:$C,Structure!$A:$AJ,AK$1,0)*$D139,0),IFERROR(VLOOKUP($E:$E,Structure!$A:$AJ,AK$1,0)*$F139,0),IFERROR(VLOOKUP($G:$G,Structure!$A:$AJ,AK$1,0)*$H139,0))</f>
        <v>0</v>
      </c>
      <c r="AL139" s="9">
        <f>SUM(IFERROR(VLOOKUP($C:$C,Structure!$A:$AJ,AL$1,0)*$D139,0),IFERROR(VLOOKUP($E:$E,Structure!$A:$AJ,AL$1,0)*$F139,0),IFERROR(VLOOKUP($G:$G,Structure!$A:$AJ,AL$1,0)*$H139,0))</f>
        <v>0</v>
      </c>
      <c r="AM139" s="9">
        <f>SUM(IFERROR(VLOOKUP($C:$C,Structure!$A:$AJ,AM$1,0)*$D139,0),IFERROR(VLOOKUP($E:$E,Structure!$A:$AJ,AM$1,0)*$F139,0),IFERROR(VLOOKUP($G:$G,Structure!$A:$AJ,AM$1,0)*$H139,0))</f>
        <v>0</v>
      </c>
      <c r="AN139" s="9">
        <f>SUM(IFERROR(VLOOKUP($C:$C,Structure!$A:$AJ,AN$1,0)*$D139,0),IFERROR(VLOOKUP($E:$E,Structure!$A:$AJ,AN$1,0)*$F139,0),IFERROR(VLOOKUP($G:$G,Structure!$A:$AJ,AN$1,0)*$H139,0))</f>
        <v>0</v>
      </c>
      <c r="AO139" s="9">
        <f>SUM(IFERROR(VLOOKUP($C:$C,Structure!$A:$AJ,AO$1,0)*$D139,0),IFERROR(VLOOKUP($E:$E,Structure!$A:$AJ,AO$1,0)*$F139,0),IFERROR(VLOOKUP($G:$G,Structure!$A:$AJ,AO$1,0)*$H139,0))</f>
        <v>0</v>
      </c>
      <c r="AP139" s="9">
        <f>SUM(IFERROR(VLOOKUP($C:$C,Structure!$A:$AJ,AP$1,0)*$D139,0),IFERROR(VLOOKUP($E:$E,Structure!$A:$AJ,AP$1,0)*$F139,0),IFERROR(VLOOKUP($G:$G,Structure!$A:$AJ,AP$1,0)*$H139,0))</f>
        <v>0</v>
      </c>
      <c r="AQ139" s="9">
        <f>SUM(IFERROR(VLOOKUP($C:$C,Structure!$A:$AJ,AQ$1,0)*$D139,0),IFERROR(VLOOKUP($E:$E,Structure!$A:$AJ,AQ$1,0)*$F139,0),IFERROR(VLOOKUP($G:$G,Structure!$A:$AJ,AQ$1,0)*$H139,0))</f>
        <v>0</v>
      </c>
      <c r="AR139" s="21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4">
        <f t="shared" si="162"/>
        <v>0</v>
      </c>
      <c r="CE139" s="4">
        <f t="shared" si="163"/>
        <v>-84</v>
      </c>
      <c r="CF139" s="4">
        <f t="shared" si="164"/>
        <v>4</v>
      </c>
      <c r="CG139" s="4">
        <f t="shared" si="165"/>
        <v>14</v>
      </c>
      <c r="CH139" s="4">
        <f t="shared" si="166"/>
        <v>-7</v>
      </c>
      <c r="CI139" s="4">
        <f t="shared" si="167"/>
        <v>127</v>
      </c>
      <c r="CJ139" s="4">
        <f t="shared" si="168"/>
        <v>-141</v>
      </c>
      <c r="CK139" s="4">
        <f t="shared" si="169"/>
        <v>95</v>
      </c>
      <c r="CL139" s="4">
        <f t="shared" si="170"/>
        <v>0</v>
      </c>
      <c r="CM139" s="4">
        <f t="shared" si="171"/>
        <v>6</v>
      </c>
      <c r="CN139" s="4">
        <f t="shared" si="172"/>
        <v>-28</v>
      </c>
      <c r="CO139" s="4">
        <f t="shared" si="173"/>
        <v>0</v>
      </c>
      <c r="CP139" s="4">
        <f t="shared" si="174"/>
        <v>19</v>
      </c>
      <c r="CQ139" s="4">
        <f t="shared" si="175"/>
        <v>-258</v>
      </c>
      <c r="CR139" s="4">
        <f t="shared" si="176"/>
        <v>15</v>
      </c>
      <c r="CS139" s="4">
        <f t="shared" si="177"/>
        <v>-24</v>
      </c>
      <c r="CT139" s="4">
        <f t="shared" si="178"/>
        <v>0</v>
      </c>
      <c r="CU139" s="4">
        <f t="shared" si="179"/>
        <v>0</v>
      </c>
      <c r="CV139" s="4">
        <f t="shared" si="180"/>
        <v>0</v>
      </c>
      <c r="CW139" s="4">
        <f t="shared" si="181"/>
        <v>0</v>
      </c>
      <c r="CX139" s="4">
        <f t="shared" si="182"/>
        <v>-149</v>
      </c>
      <c r="CY139" s="4">
        <f t="shared" si="183"/>
        <v>0</v>
      </c>
      <c r="CZ139" s="4">
        <f t="shared" si="184"/>
        <v>0</v>
      </c>
      <c r="DA139" s="4">
        <f t="shared" si="185"/>
        <v>0</v>
      </c>
      <c r="DB139" s="4">
        <f t="shared" si="186"/>
        <v>0</v>
      </c>
      <c r="DC139" s="4">
        <f t="shared" si="187"/>
        <v>0</v>
      </c>
      <c r="DD139" s="4">
        <f t="shared" si="188"/>
        <v>0</v>
      </c>
      <c r="DE139" s="4">
        <f t="shared" si="189"/>
        <v>0</v>
      </c>
      <c r="DF139" s="4">
        <f t="shared" si="190"/>
        <v>0</v>
      </c>
      <c r="DG139" s="4">
        <f t="shared" si="191"/>
        <v>0</v>
      </c>
      <c r="DH139" s="4">
        <f t="shared" si="192"/>
        <v>0</v>
      </c>
      <c r="DI139" s="4">
        <f t="shared" si="193"/>
        <v>0</v>
      </c>
      <c r="DJ139" s="4">
        <f t="shared" si="194"/>
        <v>0</v>
      </c>
      <c r="DK139" s="4">
        <f t="shared" si="195"/>
        <v>0</v>
      </c>
      <c r="DL139" s="4">
        <f t="shared" si="196"/>
        <v>0</v>
      </c>
    </row>
    <row r="140" spans="1:116" x14ac:dyDescent="0.25">
      <c r="A140" s="5">
        <v>46186</v>
      </c>
      <c r="B140" s="6">
        <v>0.1666666669989354</v>
      </c>
      <c r="C140" s="3"/>
      <c r="D140" s="3"/>
      <c r="E140" s="3" t="s">
        <v>30</v>
      </c>
      <c r="F140" s="3">
        <v>8</v>
      </c>
      <c r="G140" s="3"/>
      <c r="H140" s="9"/>
      <c r="I140" s="9">
        <f>SUM(IFERROR(VLOOKUP($C:$C,Structure!$A:$AJ,I$1,0)*$D140,0),IFERROR(VLOOKUP($E:$E,Structure!$A:$AJ,I$1,0)*$F140,0),IFERROR(VLOOKUP($G:$G,Structure!$A:$AJ,I$1,0)*$H140,0))</f>
        <v>0</v>
      </c>
      <c r="J140" s="9">
        <f>SUM(IFERROR(VLOOKUP($C:$C,Structure!$A:$AJ,J$1,0)*$D140,0),IFERROR(VLOOKUP($E:$E,Structure!$A:$AJ,J$1,0)*$F140,0),IFERROR(VLOOKUP($G:$G,Structure!$A:$AJ,J$1,0)*$H140,0))</f>
        <v>0</v>
      </c>
      <c r="K140" s="9">
        <f>SUM(IFERROR(VLOOKUP($C:$C,Structure!$A:$AJ,K$1,0)*$D140,0),IFERROR(VLOOKUP($E:$E,Structure!$A:$AJ,K$1,0)*$F140,0),IFERROR(VLOOKUP($G:$G,Structure!$A:$AJ,K$1,0)*$H140,0))</f>
        <v>0</v>
      </c>
      <c r="L140" s="9">
        <f>SUM(IFERROR(VLOOKUP($C:$C,Structure!$A:$AJ,L$1,0)*$D140,0),IFERROR(VLOOKUP($E:$E,Structure!$A:$AJ,L$1,0)*$F140,0),IFERROR(VLOOKUP($G:$G,Structure!$A:$AJ,L$1,0)*$H140,0))</f>
        <v>0</v>
      </c>
      <c r="M140" s="9">
        <f>SUM(IFERROR(VLOOKUP($C:$C,Structure!$A:$AJ,M$1,0)*$D140,0),IFERROR(VLOOKUP($E:$E,Structure!$A:$AJ,M$1,0)*$F140,0),IFERROR(VLOOKUP($G:$G,Structure!$A:$AJ,M$1,0)*$H140,0))</f>
        <v>0</v>
      </c>
      <c r="N140" s="9">
        <f>SUM(IFERROR(VLOOKUP($C:$C,Structure!$A:$AJ,N$1,0)*$D140,0),IFERROR(VLOOKUP($E:$E,Structure!$A:$AJ,N$1,0)*$F140,0),IFERROR(VLOOKUP($G:$G,Structure!$A:$AJ,N$1,0)*$H140,0))</f>
        <v>0</v>
      </c>
      <c r="O140" s="9">
        <f>SUM(IFERROR(VLOOKUP($C:$C,Structure!$A:$AJ,O$1,0)*$D140,0),IFERROR(VLOOKUP($E:$E,Structure!$A:$AJ,O$1,0)*$F140,0),IFERROR(VLOOKUP($G:$G,Structure!$A:$AJ,O$1,0)*$H140,0))</f>
        <v>0</v>
      </c>
      <c r="P140" s="9">
        <f>SUM(IFERROR(VLOOKUP($C:$C,Structure!$A:$AJ,P$1,0)*$D140,0),IFERROR(VLOOKUP($E:$E,Structure!$A:$AJ,P$1,0)*$F140,0),IFERROR(VLOOKUP($G:$G,Structure!$A:$AJ,P$1,0)*$H140,0))</f>
        <v>0</v>
      </c>
      <c r="Q140" s="9">
        <f>SUM(IFERROR(VLOOKUP($C:$C,Structure!$A:$AJ,Q$1,0)*$D140,0),IFERROR(VLOOKUP($E:$E,Structure!$A:$AJ,Q$1,0)*$F140,0),IFERROR(VLOOKUP($G:$G,Structure!$A:$AJ,Q$1,0)*$H140,0))</f>
        <v>0</v>
      </c>
      <c r="R140" s="9">
        <f>SUM(IFERROR(VLOOKUP($C:$C,Structure!$A:$AJ,R$1,0)*$D140,0),IFERROR(VLOOKUP($E:$E,Structure!$A:$AJ,R$1,0)*$F140,0),IFERROR(VLOOKUP($G:$G,Structure!$A:$AJ,R$1,0)*$H140,0))</f>
        <v>0</v>
      </c>
      <c r="S140" s="9">
        <f>SUM(IFERROR(VLOOKUP($C:$C,Structure!$A:$AJ,S$1,0)*$D140,0),IFERROR(VLOOKUP($E:$E,Structure!$A:$AJ,S$1,0)*$F140,0),IFERROR(VLOOKUP($G:$G,Structure!$A:$AJ,S$1,0)*$H140,0))</f>
        <v>0</v>
      </c>
      <c r="T140" s="9">
        <f>SUM(IFERROR(VLOOKUP($C:$C,Structure!$A:$AJ,T$1,0)*$D140,0),IFERROR(VLOOKUP($E:$E,Structure!$A:$AJ,T$1,0)*$F140,0),IFERROR(VLOOKUP($G:$G,Structure!$A:$AJ,T$1,0)*$H140,0))</f>
        <v>0</v>
      </c>
      <c r="U140" s="9">
        <f>SUM(IFERROR(VLOOKUP($C:$C,Structure!$A:$AJ,U$1,0)*$D140,0),IFERROR(VLOOKUP($E:$E,Structure!$A:$AJ,U$1,0)*$F140,0),IFERROR(VLOOKUP($G:$G,Structure!$A:$AJ,U$1,0)*$H140,0))</f>
        <v>0</v>
      </c>
      <c r="V140" s="9">
        <f>SUM(IFERROR(VLOOKUP($C:$C,Structure!$A:$AJ,V$1,0)*$D140,0),IFERROR(VLOOKUP($E:$E,Structure!$A:$AJ,V$1,0)*$F140,0),IFERROR(VLOOKUP($G:$G,Structure!$A:$AJ,V$1,0)*$H140,0))</f>
        <v>8</v>
      </c>
      <c r="W140" s="9">
        <f>SUM(IFERROR(VLOOKUP($C:$C,Structure!$A:$AJ,W$1,0)*$D140,0),IFERROR(VLOOKUP($E:$E,Structure!$A:$AJ,W$1,0)*$F140,0),IFERROR(VLOOKUP($G:$G,Structure!$A:$AJ,W$1,0)*$H140,0))</f>
        <v>0</v>
      </c>
      <c r="X140" s="9">
        <f>SUM(IFERROR(VLOOKUP($C:$C,Structure!$A:$AJ,X$1,0)*$D140,0),IFERROR(VLOOKUP($E:$E,Structure!$A:$AJ,X$1,0)*$F140,0),IFERROR(VLOOKUP($G:$G,Structure!$A:$AJ,X$1,0)*$H140,0))</f>
        <v>0</v>
      </c>
      <c r="Y140" s="9">
        <f>SUM(IFERROR(VLOOKUP($C:$C,Structure!$A:$AJ,Y$1,0)*$D140,0),IFERROR(VLOOKUP($E:$E,Structure!$A:$AJ,Y$1,0)*$F140,0),IFERROR(VLOOKUP($G:$G,Structure!$A:$AJ,Y$1,0)*$H140,0))</f>
        <v>0</v>
      </c>
      <c r="Z140" s="9">
        <f>SUM(IFERROR(VLOOKUP($C:$C,Structure!$A:$AJ,Z$1,0)*$D140,0),IFERROR(VLOOKUP($E:$E,Structure!$A:$AJ,Z$1,0)*$F140,0),IFERROR(VLOOKUP($G:$G,Structure!$A:$AJ,Z$1,0)*$H140,0))</f>
        <v>0</v>
      </c>
      <c r="AA140" s="9">
        <f>SUM(IFERROR(VLOOKUP($C:$C,Structure!$A:$AJ,AA$1,0)*$D140,0),IFERROR(VLOOKUP($E:$E,Structure!$A:$AJ,AA$1,0)*$F140,0),IFERROR(VLOOKUP($G:$G,Structure!$A:$AJ,AA$1,0)*$H140,0))</f>
        <v>0</v>
      </c>
      <c r="AB140" s="9">
        <f>SUM(IFERROR(VLOOKUP($C:$C,Structure!$A:$AJ,AB$1,0)*$D140,0),IFERROR(VLOOKUP($E:$E,Structure!$A:$AJ,AB$1,0)*$F140,0),IFERROR(VLOOKUP($G:$G,Structure!$A:$AJ,AB$1,0)*$H140,0))</f>
        <v>0</v>
      </c>
      <c r="AC140" s="9">
        <f>SUM(IFERROR(VLOOKUP($C:$C,Structure!$A:$AJ,AC$1,0)*$D140,0),IFERROR(VLOOKUP($E:$E,Structure!$A:$AJ,AC$1,0)*$F140,0),IFERROR(VLOOKUP($G:$G,Structure!$A:$AJ,AC$1,0)*$H140,0))</f>
        <v>8</v>
      </c>
      <c r="AD140" s="9">
        <f>SUM(IFERROR(VLOOKUP($C:$C,Structure!$A:$AJ,AD$1,0)*$D140,0),IFERROR(VLOOKUP($E:$E,Structure!$A:$AJ,AD$1,0)*$F140,0),IFERROR(VLOOKUP($G:$G,Structure!$A:$AJ,AD$1,0)*$H140,0))</f>
        <v>0</v>
      </c>
      <c r="AE140" s="9">
        <f>SUM(IFERROR(VLOOKUP($C:$C,Structure!$A:$AJ,AE$1,0)*$D140,0),IFERROR(VLOOKUP($E:$E,Structure!$A:$AJ,AE$1,0)*$F140,0),IFERROR(VLOOKUP($G:$G,Structure!$A:$AJ,AE$1,0)*$H140,0))</f>
        <v>0</v>
      </c>
      <c r="AF140" s="9">
        <f>SUM(IFERROR(VLOOKUP($C:$C,Structure!$A:$AJ,AF$1,0)*$D140,0),IFERROR(VLOOKUP($E:$E,Structure!$A:$AJ,AF$1,0)*$F140,0),IFERROR(VLOOKUP($G:$G,Structure!$A:$AJ,AF$1,0)*$H140,0))</f>
        <v>0</v>
      </c>
      <c r="AG140" s="9">
        <f>SUM(IFERROR(VLOOKUP($C:$C,Structure!$A:$AJ,AG$1,0)*$D140,0),IFERROR(VLOOKUP($E:$E,Structure!$A:$AJ,AG$1,0)*$F140,0),IFERROR(VLOOKUP($G:$G,Structure!$A:$AJ,AG$1,0)*$H140,0))</f>
        <v>0</v>
      </c>
      <c r="AH140" s="9">
        <f>SUM(IFERROR(VLOOKUP($C:$C,Structure!$A:$AJ,AH$1,0)*$D140,0),IFERROR(VLOOKUP($E:$E,Structure!$A:$AJ,AH$1,0)*$F140,0),IFERROR(VLOOKUP($G:$G,Structure!$A:$AJ,AH$1,0)*$H140,0))</f>
        <v>0</v>
      </c>
      <c r="AI140" s="9">
        <f>SUM(IFERROR(VLOOKUP($C:$C,Structure!$A:$AJ,AI$1,0)*$D140,0),IFERROR(VLOOKUP($E:$E,Structure!$A:$AJ,AI$1,0)*$F140,0),IFERROR(VLOOKUP($G:$G,Structure!$A:$AJ,AI$1,0)*$H140,0))</f>
        <v>0</v>
      </c>
      <c r="AJ140" s="9">
        <f>SUM(IFERROR(VLOOKUP($C:$C,Structure!$A:$AJ,AJ$1,0)*$D140,0),IFERROR(VLOOKUP($E:$E,Structure!$A:$AJ,AJ$1,0)*$F140,0),IFERROR(VLOOKUP($G:$G,Structure!$A:$AJ,AJ$1,0)*$H140,0))</f>
        <v>0</v>
      </c>
      <c r="AK140" s="9">
        <f>SUM(IFERROR(VLOOKUP($C:$C,Structure!$A:$AJ,AK$1,0)*$D140,0),IFERROR(VLOOKUP($E:$E,Structure!$A:$AJ,AK$1,0)*$F140,0),IFERROR(VLOOKUP($G:$G,Structure!$A:$AJ,AK$1,0)*$H140,0))</f>
        <v>0</v>
      </c>
      <c r="AL140" s="9">
        <f>SUM(IFERROR(VLOOKUP($C:$C,Structure!$A:$AJ,AL$1,0)*$D140,0),IFERROR(VLOOKUP($E:$E,Structure!$A:$AJ,AL$1,0)*$F140,0),IFERROR(VLOOKUP($G:$G,Structure!$A:$AJ,AL$1,0)*$H140,0))</f>
        <v>0</v>
      </c>
      <c r="AM140" s="9">
        <f>SUM(IFERROR(VLOOKUP($C:$C,Structure!$A:$AJ,AM$1,0)*$D140,0),IFERROR(VLOOKUP($E:$E,Structure!$A:$AJ,AM$1,0)*$F140,0),IFERROR(VLOOKUP($G:$G,Structure!$A:$AJ,AM$1,0)*$H140,0))</f>
        <v>0</v>
      </c>
      <c r="AN140" s="9">
        <f>SUM(IFERROR(VLOOKUP($C:$C,Structure!$A:$AJ,AN$1,0)*$D140,0),IFERROR(VLOOKUP($E:$E,Structure!$A:$AJ,AN$1,0)*$F140,0),IFERROR(VLOOKUP($G:$G,Structure!$A:$AJ,AN$1,0)*$H140,0))</f>
        <v>0</v>
      </c>
      <c r="AO140" s="9">
        <f>SUM(IFERROR(VLOOKUP($C:$C,Structure!$A:$AJ,AO$1,0)*$D140,0),IFERROR(VLOOKUP($E:$E,Structure!$A:$AJ,AO$1,0)*$F140,0),IFERROR(VLOOKUP($G:$G,Structure!$A:$AJ,AO$1,0)*$H140,0))</f>
        <v>0</v>
      </c>
      <c r="AP140" s="9">
        <f>SUM(IFERROR(VLOOKUP($C:$C,Structure!$A:$AJ,AP$1,0)*$D140,0),IFERROR(VLOOKUP($E:$E,Structure!$A:$AJ,AP$1,0)*$F140,0),IFERROR(VLOOKUP($G:$G,Structure!$A:$AJ,AP$1,0)*$H140,0))</f>
        <v>0</v>
      </c>
      <c r="AQ140" s="9">
        <f>SUM(IFERROR(VLOOKUP($C:$C,Structure!$A:$AJ,AQ$1,0)*$D140,0),IFERROR(VLOOKUP($E:$E,Structure!$A:$AJ,AQ$1,0)*$F140,0),IFERROR(VLOOKUP($G:$G,Structure!$A:$AJ,AQ$1,0)*$H140,0))</f>
        <v>0</v>
      </c>
      <c r="AR140" s="21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4">
        <f t="shared" si="162"/>
        <v>0</v>
      </c>
      <c r="CE140" s="4">
        <f t="shared" si="163"/>
        <v>-84</v>
      </c>
      <c r="CF140" s="4">
        <f t="shared" si="164"/>
        <v>4</v>
      </c>
      <c r="CG140" s="4">
        <f t="shared" si="165"/>
        <v>14</v>
      </c>
      <c r="CH140" s="4">
        <f t="shared" si="166"/>
        <v>-7</v>
      </c>
      <c r="CI140" s="4">
        <f t="shared" si="167"/>
        <v>127</v>
      </c>
      <c r="CJ140" s="4">
        <f t="shared" si="168"/>
        <v>-141</v>
      </c>
      <c r="CK140" s="4">
        <f t="shared" si="169"/>
        <v>95</v>
      </c>
      <c r="CL140" s="4">
        <f t="shared" si="170"/>
        <v>0</v>
      </c>
      <c r="CM140" s="4">
        <f t="shared" si="171"/>
        <v>6</v>
      </c>
      <c r="CN140" s="4">
        <f t="shared" si="172"/>
        <v>-28</v>
      </c>
      <c r="CO140" s="4">
        <f t="shared" si="173"/>
        <v>0</v>
      </c>
      <c r="CP140" s="4">
        <f t="shared" si="174"/>
        <v>19</v>
      </c>
      <c r="CQ140" s="4">
        <f t="shared" si="175"/>
        <v>-266</v>
      </c>
      <c r="CR140" s="4">
        <f t="shared" si="176"/>
        <v>15</v>
      </c>
      <c r="CS140" s="4">
        <f t="shared" si="177"/>
        <v>-24</v>
      </c>
      <c r="CT140" s="4">
        <f t="shared" si="178"/>
        <v>0</v>
      </c>
      <c r="CU140" s="4">
        <f t="shared" si="179"/>
        <v>0</v>
      </c>
      <c r="CV140" s="4">
        <f t="shared" si="180"/>
        <v>0</v>
      </c>
      <c r="CW140" s="4">
        <f t="shared" si="181"/>
        <v>0</v>
      </c>
      <c r="CX140" s="4">
        <f t="shared" si="182"/>
        <v>-157</v>
      </c>
      <c r="CY140" s="4">
        <f t="shared" si="183"/>
        <v>0</v>
      </c>
      <c r="CZ140" s="4">
        <f t="shared" si="184"/>
        <v>0</v>
      </c>
      <c r="DA140" s="4">
        <f t="shared" si="185"/>
        <v>0</v>
      </c>
      <c r="DB140" s="4">
        <f t="shared" si="186"/>
        <v>0</v>
      </c>
      <c r="DC140" s="4">
        <f t="shared" si="187"/>
        <v>0</v>
      </c>
      <c r="DD140" s="4">
        <f t="shared" si="188"/>
        <v>0</v>
      </c>
      <c r="DE140" s="4">
        <f t="shared" si="189"/>
        <v>0</v>
      </c>
      <c r="DF140" s="4">
        <f t="shared" si="190"/>
        <v>0</v>
      </c>
      <c r="DG140" s="4">
        <f t="shared" si="191"/>
        <v>0</v>
      </c>
      <c r="DH140" s="4">
        <f t="shared" si="192"/>
        <v>0</v>
      </c>
      <c r="DI140" s="4">
        <f t="shared" si="193"/>
        <v>0</v>
      </c>
      <c r="DJ140" s="4">
        <f t="shared" si="194"/>
        <v>0</v>
      </c>
      <c r="DK140" s="4">
        <f t="shared" si="195"/>
        <v>0</v>
      </c>
      <c r="DL140" s="4">
        <f t="shared" si="196"/>
        <v>0</v>
      </c>
    </row>
    <row r="141" spans="1:116" x14ac:dyDescent="0.25">
      <c r="A141" s="5">
        <v>46186</v>
      </c>
      <c r="B141" s="6">
        <v>0.18750000033469405</v>
      </c>
      <c r="C141" s="3"/>
      <c r="D141" s="3"/>
      <c r="E141" s="3" t="s">
        <v>30</v>
      </c>
      <c r="F141" s="3">
        <v>8</v>
      </c>
      <c r="G141" s="3"/>
      <c r="H141" s="9"/>
      <c r="I141" s="9">
        <f>SUM(IFERROR(VLOOKUP($C:$C,Structure!$A:$AJ,I$1,0)*$D141,0),IFERROR(VLOOKUP($E:$E,Structure!$A:$AJ,I$1,0)*$F141,0),IFERROR(VLOOKUP($G:$G,Structure!$A:$AJ,I$1,0)*$H141,0))</f>
        <v>0</v>
      </c>
      <c r="J141" s="9">
        <f>SUM(IFERROR(VLOOKUP($C:$C,Structure!$A:$AJ,J$1,0)*$D141,0),IFERROR(VLOOKUP($E:$E,Structure!$A:$AJ,J$1,0)*$F141,0),IFERROR(VLOOKUP($G:$G,Structure!$A:$AJ,J$1,0)*$H141,0))</f>
        <v>0</v>
      </c>
      <c r="K141" s="9">
        <f>SUM(IFERROR(VLOOKUP($C:$C,Structure!$A:$AJ,K$1,0)*$D141,0),IFERROR(VLOOKUP($E:$E,Structure!$A:$AJ,K$1,0)*$F141,0),IFERROR(VLOOKUP($G:$G,Structure!$A:$AJ,K$1,0)*$H141,0))</f>
        <v>0</v>
      </c>
      <c r="L141" s="9">
        <f>SUM(IFERROR(VLOOKUP($C:$C,Structure!$A:$AJ,L$1,0)*$D141,0),IFERROR(VLOOKUP($E:$E,Structure!$A:$AJ,L$1,0)*$F141,0),IFERROR(VLOOKUP($G:$G,Structure!$A:$AJ,L$1,0)*$H141,0))</f>
        <v>0</v>
      </c>
      <c r="M141" s="9">
        <f>SUM(IFERROR(VLOOKUP($C:$C,Structure!$A:$AJ,M$1,0)*$D141,0),IFERROR(VLOOKUP($E:$E,Structure!$A:$AJ,M$1,0)*$F141,0),IFERROR(VLOOKUP($G:$G,Structure!$A:$AJ,M$1,0)*$H141,0))</f>
        <v>0</v>
      </c>
      <c r="N141" s="9">
        <f>SUM(IFERROR(VLOOKUP($C:$C,Structure!$A:$AJ,N$1,0)*$D141,0),IFERROR(VLOOKUP($E:$E,Structure!$A:$AJ,N$1,0)*$F141,0),IFERROR(VLOOKUP($G:$G,Structure!$A:$AJ,N$1,0)*$H141,0))</f>
        <v>0</v>
      </c>
      <c r="O141" s="9">
        <f>SUM(IFERROR(VLOOKUP($C:$C,Structure!$A:$AJ,O$1,0)*$D141,0),IFERROR(VLOOKUP($E:$E,Structure!$A:$AJ,O$1,0)*$F141,0),IFERROR(VLOOKUP($G:$G,Structure!$A:$AJ,O$1,0)*$H141,0))</f>
        <v>0</v>
      </c>
      <c r="P141" s="9">
        <f>SUM(IFERROR(VLOOKUP($C:$C,Structure!$A:$AJ,P$1,0)*$D141,0),IFERROR(VLOOKUP($E:$E,Structure!$A:$AJ,P$1,0)*$F141,0),IFERROR(VLOOKUP($G:$G,Structure!$A:$AJ,P$1,0)*$H141,0))</f>
        <v>0</v>
      </c>
      <c r="Q141" s="9">
        <f>SUM(IFERROR(VLOOKUP($C:$C,Structure!$A:$AJ,Q$1,0)*$D141,0),IFERROR(VLOOKUP($E:$E,Structure!$A:$AJ,Q$1,0)*$F141,0),IFERROR(VLOOKUP($G:$G,Structure!$A:$AJ,Q$1,0)*$H141,0))</f>
        <v>0</v>
      </c>
      <c r="R141" s="9">
        <f>SUM(IFERROR(VLOOKUP($C:$C,Structure!$A:$AJ,R$1,0)*$D141,0),IFERROR(VLOOKUP($E:$E,Structure!$A:$AJ,R$1,0)*$F141,0),IFERROR(VLOOKUP($G:$G,Structure!$A:$AJ,R$1,0)*$H141,0))</f>
        <v>0</v>
      </c>
      <c r="S141" s="9">
        <f>SUM(IFERROR(VLOOKUP($C:$C,Structure!$A:$AJ,S$1,0)*$D141,0),IFERROR(VLOOKUP($E:$E,Structure!$A:$AJ,S$1,0)*$F141,0),IFERROR(VLOOKUP($G:$G,Structure!$A:$AJ,S$1,0)*$H141,0))</f>
        <v>0</v>
      </c>
      <c r="T141" s="9">
        <f>SUM(IFERROR(VLOOKUP($C:$C,Structure!$A:$AJ,T$1,0)*$D141,0),IFERROR(VLOOKUP($E:$E,Structure!$A:$AJ,T$1,0)*$F141,0),IFERROR(VLOOKUP($G:$G,Structure!$A:$AJ,T$1,0)*$H141,0))</f>
        <v>0</v>
      </c>
      <c r="U141" s="9">
        <f>SUM(IFERROR(VLOOKUP($C:$C,Structure!$A:$AJ,U$1,0)*$D141,0),IFERROR(VLOOKUP($E:$E,Structure!$A:$AJ,U$1,0)*$F141,0),IFERROR(VLOOKUP($G:$G,Structure!$A:$AJ,U$1,0)*$H141,0))</f>
        <v>0</v>
      </c>
      <c r="V141" s="9">
        <f>SUM(IFERROR(VLOOKUP($C:$C,Structure!$A:$AJ,V$1,0)*$D141,0),IFERROR(VLOOKUP($E:$E,Structure!$A:$AJ,V$1,0)*$F141,0),IFERROR(VLOOKUP($G:$G,Structure!$A:$AJ,V$1,0)*$H141,0))</f>
        <v>8</v>
      </c>
      <c r="W141" s="9">
        <f>SUM(IFERROR(VLOOKUP($C:$C,Structure!$A:$AJ,W$1,0)*$D141,0),IFERROR(VLOOKUP($E:$E,Structure!$A:$AJ,W$1,0)*$F141,0),IFERROR(VLOOKUP($G:$G,Structure!$A:$AJ,W$1,0)*$H141,0))</f>
        <v>0</v>
      </c>
      <c r="X141" s="9">
        <f>SUM(IFERROR(VLOOKUP($C:$C,Structure!$A:$AJ,X$1,0)*$D141,0),IFERROR(VLOOKUP($E:$E,Structure!$A:$AJ,X$1,0)*$F141,0),IFERROR(VLOOKUP($G:$G,Structure!$A:$AJ,X$1,0)*$H141,0))</f>
        <v>0</v>
      </c>
      <c r="Y141" s="9">
        <f>SUM(IFERROR(VLOOKUP($C:$C,Structure!$A:$AJ,Y$1,0)*$D141,0),IFERROR(VLOOKUP($E:$E,Structure!$A:$AJ,Y$1,0)*$F141,0),IFERROR(VLOOKUP($G:$G,Structure!$A:$AJ,Y$1,0)*$H141,0))</f>
        <v>0</v>
      </c>
      <c r="Z141" s="9">
        <f>SUM(IFERROR(VLOOKUP($C:$C,Structure!$A:$AJ,Z$1,0)*$D141,0),IFERROR(VLOOKUP($E:$E,Structure!$A:$AJ,Z$1,0)*$F141,0),IFERROR(VLOOKUP($G:$G,Structure!$A:$AJ,Z$1,0)*$H141,0))</f>
        <v>0</v>
      </c>
      <c r="AA141" s="9">
        <f>SUM(IFERROR(VLOOKUP($C:$C,Structure!$A:$AJ,AA$1,0)*$D141,0),IFERROR(VLOOKUP($E:$E,Structure!$A:$AJ,AA$1,0)*$F141,0),IFERROR(VLOOKUP($G:$G,Structure!$A:$AJ,AA$1,0)*$H141,0))</f>
        <v>0</v>
      </c>
      <c r="AB141" s="9">
        <f>SUM(IFERROR(VLOOKUP($C:$C,Structure!$A:$AJ,AB$1,0)*$D141,0),IFERROR(VLOOKUP($E:$E,Structure!$A:$AJ,AB$1,0)*$F141,0),IFERROR(VLOOKUP($G:$G,Structure!$A:$AJ,AB$1,0)*$H141,0))</f>
        <v>0</v>
      </c>
      <c r="AC141" s="9">
        <f>SUM(IFERROR(VLOOKUP($C:$C,Structure!$A:$AJ,AC$1,0)*$D141,0),IFERROR(VLOOKUP($E:$E,Structure!$A:$AJ,AC$1,0)*$F141,0),IFERROR(VLOOKUP($G:$G,Structure!$A:$AJ,AC$1,0)*$H141,0))</f>
        <v>8</v>
      </c>
      <c r="AD141" s="9">
        <f>SUM(IFERROR(VLOOKUP($C:$C,Structure!$A:$AJ,AD$1,0)*$D141,0),IFERROR(VLOOKUP($E:$E,Structure!$A:$AJ,AD$1,0)*$F141,0),IFERROR(VLOOKUP($G:$G,Structure!$A:$AJ,AD$1,0)*$H141,0))</f>
        <v>0</v>
      </c>
      <c r="AE141" s="9">
        <f>SUM(IFERROR(VLOOKUP($C:$C,Structure!$A:$AJ,AE$1,0)*$D141,0),IFERROR(VLOOKUP($E:$E,Structure!$A:$AJ,AE$1,0)*$F141,0),IFERROR(VLOOKUP($G:$G,Structure!$A:$AJ,AE$1,0)*$H141,0))</f>
        <v>0</v>
      </c>
      <c r="AF141" s="9">
        <f>SUM(IFERROR(VLOOKUP($C:$C,Structure!$A:$AJ,AF$1,0)*$D141,0),IFERROR(VLOOKUP($E:$E,Structure!$A:$AJ,AF$1,0)*$F141,0),IFERROR(VLOOKUP($G:$G,Structure!$A:$AJ,AF$1,0)*$H141,0))</f>
        <v>0</v>
      </c>
      <c r="AG141" s="9">
        <f>SUM(IFERROR(VLOOKUP($C:$C,Structure!$A:$AJ,AG$1,0)*$D141,0),IFERROR(VLOOKUP($E:$E,Structure!$A:$AJ,AG$1,0)*$F141,0),IFERROR(VLOOKUP($G:$G,Structure!$A:$AJ,AG$1,0)*$H141,0))</f>
        <v>0</v>
      </c>
      <c r="AH141" s="9">
        <f>SUM(IFERROR(VLOOKUP($C:$C,Structure!$A:$AJ,AH$1,0)*$D141,0),IFERROR(VLOOKUP($E:$E,Structure!$A:$AJ,AH$1,0)*$F141,0),IFERROR(VLOOKUP($G:$G,Structure!$A:$AJ,AH$1,0)*$H141,0))</f>
        <v>0</v>
      </c>
      <c r="AI141" s="9">
        <f>SUM(IFERROR(VLOOKUP($C:$C,Structure!$A:$AJ,AI$1,0)*$D141,0),IFERROR(VLOOKUP($E:$E,Structure!$A:$AJ,AI$1,0)*$F141,0),IFERROR(VLOOKUP($G:$G,Structure!$A:$AJ,AI$1,0)*$H141,0))</f>
        <v>0</v>
      </c>
      <c r="AJ141" s="9">
        <f>SUM(IFERROR(VLOOKUP($C:$C,Structure!$A:$AJ,AJ$1,0)*$D141,0),IFERROR(VLOOKUP($E:$E,Structure!$A:$AJ,AJ$1,0)*$F141,0),IFERROR(VLOOKUP($G:$G,Structure!$A:$AJ,AJ$1,0)*$H141,0))</f>
        <v>0</v>
      </c>
      <c r="AK141" s="9">
        <f>SUM(IFERROR(VLOOKUP($C:$C,Structure!$A:$AJ,AK$1,0)*$D141,0),IFERROR(VLOOKUP($E:$E,Structure!$A:$AJ,AK$1,0)*$F141,0),IFERROR(VLOOKUP($G:$G,Structure!$A:$AJ,AK$1,0)*$H141,0))</f>
        <v>0</v>
      </c>
      <c r="AL141" s="9">
        <f>SUM(IFERROR(VLOOKUP($C:$C,Structure!$A:$AJ,AL$1,0)*$D141,0),IFERROR(VLOOKUP($E:$E,Structure!$A:$AJ,AL$1,0)*$F141,0),IFERROR(VLOOKUP($G:$G,Structure!$A:$AJ,AL$1,0)*$H141,0))</f>
        <v>0</v>
      </c>
      <c r="AM141" s="9">
        <f>SUM(IFERROR(VLOOKUP($C:$C,Structure!$A:$AJ,AM$1,0)*$D141,0),IFERROR(VLOOKUP($E:$E,Structure!$A:$AJ,AM$1,0)*$F141,0),IFERROR(VLOOKUP($G:$G,Structure!$A:$AJ,AM$1,0)*$H141,0))</f>
        <v>0</v>
      </c>
      <c r="AN141" s="9">
        <f>SUM(IFERROR(VLOOKUP($C:$C,Structure!$A:$AJ,AN$1,0)*$D141,0),IFERROR(VLOOKUP($E:$E,Structure!$A:$AJ,AN$1,0)*$F141,0),IFERROR(VLOOKUP($G:$G,Structure!$A:$AJ,AN$1,0)*$H141,0))</f>
        <v>0</v>
      </c>
      <c r="AO141" s="9">
        <f>SUM(IFERROR(VLOOKUP($C:$C,Structure!$A:$AJ,AO$1,0)*$D141,0),IFERROR(VLOOKUP($E:$E,Structure!$A:$AJ,AO$1,0)*$F141,0),IFERROR(VLOOKUP($G:$G,Structure!$A:$AJ,AO$1,0)*$H141,0))</f>
        <v>0</v>
      </c>
      <c r="AP141" s="9">
        <f>SUM(IFERROR(VLOOKUP($C:$C,Structure!$A:$AJ,AP$1,0)*$D141,0),IFERROR(VLOOKUP($E:$E,Structure!$A:$AJ,AP$1,0)*$F141,0),IFERROR(VLOOKUP($G:$G,Structure!$A:$AJ,AP$1,0)*$H141,0))</f>
        <v>0</v>
      </c>
      <c r="AQ141" s="9">
        <f>SUM(IFERROR(VLOOKUP($C:$C,Structure!$A:$AJ,AQ$1,0)*$D141,0),IFERROR(VLOOKUP($E:$E,Structure!$A:$AJ,AQ$1,0)*$F141,0),IFERROR(VLOOKUP($G:$G,Structure!$A:$AJ,AQ$1,0)*$H141,0))</f>
        <v>0</v>
      </c>
      <c r="AR141" s="21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4">
        <f t="shared" si="162"/>
        <v>0</v>
      </c>
      <c r="CE141" s="4">
        <f t="shared" si="163"/>
        <v>-84</v>
      </c>
      <c r="CF141" s="4">
        <f t="shared" si="164"/>
        <v>4</v>
      </c>
      <c r="CG141" s="4">
        <f t="shared" si="165"/>
        <v>14</v>
      </c>
      <c r="CH141" s="4">
        <f t="shared" si="166"/>
        <v>-7</v>
      </c>
      <c r="CI141" s="4">
        <f t="shared" si="167"/>
        <v>127</v>
      </c>
      <c r="CJ141" s="4">
        <f t="shared" si="168"/>
        <v>-141</v>
      </c>
      <c r="CK141" s="4">
        <f t="shared" si="169"/>
        <v>95</v>
      </c>
      <c r="CL141" s="4">
        <f t="shared" si="170"/>
        <v>0</v>
      </c>
      <c r="CM141" s="4">
        <f t="shared" si="171"/>
        <v>6</v>
      </c>
      <c r="CN141" s="4">
        <f t="shared" si="172"/>
        <v>-28</v>
      </c>
      <c r="CO141" s="4">
        <f t="shared" si="173"/>
        <v>0</v>
      </c>
      <c r="CP141" s="4">
        <f t="shared" si="174"/>
        <v>19</v>
      </c>
      <c r="CQ141" s="4">
        <f t="shared" si="175"/>
        <v>-274</v>
      </c>
      <c r="CR141" s="4">
        <f t="shared" si="176"/>
        <v>15</v>
      </c>
      <c r="CS141" s="4">
        <f t="shared" si="177"/>
        <v>-24</v>
      </c>
      <c r="CT141" s="4">
        <f t="shared" si="178"/>
        <v>0</v>
      </c>
      <c r="CU141" s="4">
        <f t="shared" si="179"/>
        <v>0</v>
      </c>
      <c r="CV141" s="4">
        <f t="shared" si="180"/>
        <v>0</v>
      </c>
      <c r="CW141" s="4">
        <f t="shared" si="181"/>
        <v>0</v>
      </c>
      <c r="CX141" s="4">
        <f t="shared" si="182"/>
        <v>-165</v>
      </c>
      <c r="CY141" s="4">
        <f t="shared" si="183"/>
        <v>0</v>
      </c>
      <c r="CZ141" s="4">
        <f t="shared" si="184"/>
        <v>0</v>
      </c>
      <c r="DA141" s="4">
        <f t="shared" si="185"/>
        <v>0</v>
      </c>
      <c r="DB141" s="4">
        <f t="shared" si="186"/>
        <v>0</v>
      </c>
      <c r="DC141" s="4">
        <f t="shared" si="187"/>
        <v>0</v>
      </c>
      <c r="DD141" s="4">
        <f t="shared" si="188"/>
        <v>0</v>
      </c>
      <c r="DE141" s="4">
        <f t="shared" si="189"/>
        <v>0</v>
      </c>
      <c r="DF141" s="4">
        <f t="shared" si="190"/>
        <v>0</v>
      </c>
      <c r="DG141" s="4">
        <f t="shared" si="191"/>
        <v>0</v>
      </c>
      <c r="DH141" s="4">
        <f t="shared" si="192"/>
        <v>0</v>
      </c>
      <c r="DI141" s="4">
        <f t="shared" si="193"/>
        <v>0</v>
      </c>
      <c r="DJ141" s="4">
        <f t="shared" si="194"/>
        <v>0</v>
      </c>
      <c r="DK141" s="4">
        <f t="shared" si="195"/>
        <v>0</v>
      </c>
      <c r="DL141" s="4">
        <f t="shared" si="196"/>
        <v>0</v>
      </c>
    </row>
    <row r="142" spans="1:116" x14ac:dyDescent="0.25">
      <c r="A142" s="5">
        <v>46186</v>
      </c>
      <c r="B142" s="6">
        <v>0.2083333336704527</v>
      </c>
      <c r="C142" s="3"/>
      <c r="D142" s="3"/>
      <c r="E142" s="3" t="s">
        <v>30</v>
      </c>
      <c r="F142" s="3">
        <v>8</v>
      </c>
      <c r="G142" s="3"/>
      <c r="H142" s="9"/>
      <c r="I142" s="9">
        <f>SUM(IFERROR(VLOOKUP($C:$C,Structure!$A:$AJ,I$1,0)*$D142,0),IFERROR(VLOOKUP($E:$E,Structure!$A:$AJ,I$1,0)*$F142,0),IFERROR(VLOOKUP($G:$G,Structure!$A:$AJ,I$1,0)*$H142,0))</f>
        <v>0</v>
      </c>
      <c r="J142" s="9">
        <f>SUM(IFERROR(VLOOKUP($C:$C,Structure!$A:$AJ,J$1,0)*$D142,0),IFERROR(VLOOKUP($E:$E,Structure!$A:$AJ,J$1,0)*$F142,0),IFERROR(VLOOKUP($G:$G,Structure!$A:$AJ,J$1,0)*$H142,0))</f>
        <v>0</v>
      </c>
      <c r="K142" s="9">
        <f>SUM(IFERROR(VLOOKUP($C:$C,Structure!$A:$AJ,K$1,0)*$D142,0),IFERROR(VLOOKUP($E:$E,Structure!$A:$AJ,K$1,0)*$F142,0),IFERROR(VLOOKUP($G:$G,Structure!$A:$AJ,K$1,0)*$H142,0))</f>
        <v>0</v>
      </c>
      <c r="L142" s="9">
        <f>SUM(IFERROR(VLOOKUP($C:$C,Structure!$A:$AJ,L$1,0)*$D142,0),IFERROR(VLOOKUP($E:$E,Structure!$A:$AJ,L$1,0)*$F142,0),IFERROR(VLOOKUP($G:$G,Structure!$A:$AJ,L$1,0)*$H142,0))</f>
        <v>0</v>
      </c>
      <c r="M142" s="9">
        <f>SUM(IFERROR(VLOOKUP($C:$C,Structure!$A:$AJ,M$1,0)*$D142,0),IFERROR(VLOOKUP($E:$E,Structure!$A:$AJ,M$1,0)*$F142,0),IFERROR(VLOOKUP($G:$G,Structure!$A:$AJ,M$1,0)*$H142,0))</f>
        <v>0</v>
      </c>
      <c r="N142" s="9">
        <f>SUM(IFERROR(VLOOKUP($C:$C,Structure!$A:$AJ,N$1,0)*$D142,0),IFERROR(VLOOKUP($E:$E,Structure!$A:$AJ,N$1,0)*$F142,0),IFERROR(VLOOKUP($G:$G,Structure!$A:$AJ,N$1,0)*$H142,0))</f>
        <v>0</v>
      </c>
      <c r="O142" s="9">
        <f>SUM(IFERROR(VLOOKUP($C:$C,Structure!$A:$AJ,O$1,0)*$D142,0),IFERROR(VLOOKUP($E:$E,Structure!$A:$AJ,O$1,0)*$F142,0),IFERROR(VLOOKUP($G:$G,Structure!$A:$AJ,O$1,0)*$H142,0))</f>
        <v>0</v>
      </c>
      <c r="P142" s="9">
        <f>SUM(IFERROR(VLOOKUP($C:$C,Structure!$A:$AJ,P$1,0)*$D142,0),IFERROR(VLOOKUP($E:$E,Structure!$A:$AJ,P$1,0)*$F142,0),IFERROR(VLOOKUP($G:$G,Structure!$A:$AJ,P$1,0)*$H142,0))</f>
        <v>0</v>
      </c>
      <c r="Q142" s="9">
        <f>SUM(IFERROR(VLOOKUP($C:$C,Structure!$A:$AJ,Q$1,0)*$D142,0),IFERROR(VLOOKUP($E:$E,Structure!$A:$AJ,Q$1,0)*$F142,0),IFERROR(VLOOKUP($G:$G,Structure!$A:$AJ,Q$1,0)*$H142,0))</f>
        <v>0</v>
      </c>
      <c r="R142" s="9">
        <f>SUM(IFERROR(VLOOKUP($C:$C,Structure!$A:$AJ,R$1,0)*$D142,0),IFERROR(VLOOKUP($E:$E,Structure!$A:$AJ,R$1,0)*$F142,0),IFERROR(VLOOKUP($G:$G,Structure!$A:$AJ,R$1,0)*$H142,0))</f>
        <v>0</v>
      </c>
      <c r="S142" s="9">
        <f>SUM(IFERROR(VLOOKUP($C:$C,Structure!$A:$AJ,S$1,0)*$D142,0),IFERROR(VLOOKUP($E:$E,Structure!$A:$AJ,S$1,0)*$F142,0),IFERROR(VLOOKUP($G:$G,Structure!$A:$AJ,S$1,0)*$H142,0))</f>
        <v>0</v>
      </c>
      <c r="T142" s="9">
        <f>SUM(IFERROR(VLOOKUP($C:$C,Structure!$A:$AJ,T$1,0)*$D142,0),IFERROR(VLOOKUP($E:$E,Structure!$A:$AJ,T$1,0)*$F142,0),IFERROR(VLOOKUP($G:$G,Structure!$A:$AJ,T$1,0)*$H142,0))</f>
        <v>0</v>
      </c>
      <c r="U142" s="9">
        <f>SUM(IFERROR(VLOOKUP($C:$C,Structure!$A:$AJ,U$1,0)*$D142,0),IFERROR(VLOOKUP($E:$E,Structure!$A:$AJ,U$1,0)*$F142,0),IFERROR(VLOOKUP($G:$G,Structure!$A:$AJ,U$1,0)*$H142,0))</f>
        <v>0</v>
      </c>
      <c r="V142" s="9">
        <f>SUM(IFERROR(VLOOKUP($C:$C,Structure!$A:$AJ,V$1,0)*$D142,0),IFERROR(VLOOKUP($E:$E,Structure!$A:$AJ,V$1,0)*$F142,0),IFERROR(VLOOKUP($G:$G,Structure!$A:$AJ,V$1,0)*$H142,0))</f>
        <v>8</v>
      </c>
      <c r="W142" s="9">
        <f>SUM(IFERROR(VLOOKUP($C:$C,Structure!$A:$AJ,W$1,0)*$D142,0),IFERROR(VLOOKUP($E:$E,Structure!$A:$AJ,W$1,0)*$F142,0),IFERROR(VLOOKUP($G:$G,Structure!$A:$AJ,W$1,0)*$H142,0))</f>
        <v>0</v>
      </c>
      <c r="X142" s="9">
        <f>SUM(IFERROR(VLOOKUP($C:$C,Structure!$A:$AJ,X$1,0)*$D142,0),IFERROR(VLOOKUP($E:$E,Structure!$A:$AJ,X$1,0)*$F142,0),IFERROR(VLOOKUP($G:$G,Structure!$A:$AJ,X$1,0)*$H142,0))</f>
        <v>0</v>
      </c>
      <c r="Y142" s="9">
        <f>SUM(IFERROR(VLOOKUP($C:$C,Structure!$A:$AJ,Y$1,0)*$D142,0),IFERROR(VLOOKUP($E:$E,Structure!$A:$AJ,Y$1,0)*$F142,0),IFERROR(VLOOKUP($G:$G,Structure!$A:$AJ,Y$1,0)*$H142,0))</f>
        <v>0</v>
      </c>
      <c r="Z142" s="9">
        <f>SUM(IFERROR(VLOOKUP($C:$C,Structure!$A:$AJ,Z$1,0)*$D142,0),IFERROR(VLOOKUP($E:$E,Structure!$A:$AJ,Z$1,0)*$F142,0),IFERROR(VLOOKUP($G:$G,Structure!$A:$AJ,Z$1,0)*$H142,0))</f>
        <v>0</v>
      </c>
      <c r="AA142" s="9">
        <f>SUM(IFERROR(VLOOKUP($C:$C,Structure!$A:$AJ,AA$1,0)*$D142,0),IFERROR(VLOOKUP($E:$E,Structure!$A:$AJ,AA$1,0)*$F142,0),IFERROR(VLOOKUP($G:$G,Structure!$A:$AJ,AA$1,0)*$H142,0))</f>
        <v>0</v>
      </c>
      <c r="AB142" s="9">
        <f>SUM(IFERROR(VLOOKUP($C:$C,Structure!$A:$AJ,AB$1,0)*$D142,0),IFERROR(VLOOKUP($E:$E,Structure!$A:$AJ,AB$1,0)*$F142,0),IFERROR(VLOOKUP($G:$G,Structure!$A:$AJ,AB$1,0)*$H142,0))</f>
        <v>0</v>
      </c>
      <c r="AC142" s="9">
        <f>SUM(IFERROR(VLOOKUP($C:$C,Structure!$A:$AJ,AC$1,0)*$D142,0),IFERROR(VLOOKUP($E:$E,Structure!$A:$AJ,AC$1,0)*$F142,0),IFERROR(VLOOKUP($G:$G,Structure!$A:$AJ,AC$1,0)*$H142,0))</f>
        <v>8</v>
      </c>
      <c r="AD142" s="9">
        <f>SUM(IFERROR(VLOOKUP($C:$C,Structure!$A:$AJ,AD$1,0)*$D142,0),IFERROR(VLOOKUP($E:$E,Structure!$A:$AJ,AD$1,0)*$F142,0),IFERROR(VLOOKUP($G:$G,Structure!$A:$AJ,AD$1,0)*$H142,0))</f>
        <v>0</v>
      </c>
      <c r="AE142" s="9">
        <f>SUM(IFERROR(VLOOKUP($C:$C,Structure!$A:$AJ,AE$1,0)*$D142,0),IFERROR(VLOOKUP($E:$E,Structure!$A:$AJ,AE$1,0)*$F142,0),IFERROR(VLOOKUP($G:$G,Structure!$A:$AJ,AE$1,0)*$H142,0))</f>
        <v>0</v>
      </c>
      <c r="AF142" s="9">
        <f>SUM(IFERROR(VLOOKUP($C:$C,Structure!$A:$AJ,AF$1,0)*$D142,0),IFERROR(VLOOKUP($E:$E,Structure!$A:$AJ,AF$1,0)*$F142,0),IFERROR(VLOOKUP($G:$G,Structure!$A:$AJ,AF$1,0)*$H142,0))</f>
        <v>0</v>
      </c>
      <c r="AG142" s="9">
        <f>SUM(IFERROR(VLOOKUP($C:$C,Structure!$A:$AJ,AG$1,0)*$D142,0),IFERROR(VLOOKUP($E:$E,Structure!$A:$AJ,AG$1,0)*$F142,0),IFERROR(VLOOKUP($G:$G,Structure!$A:$AJ,AG$1,0)*$H142,0))</f>
        <v>0</v>
      </c>
      <c r="AH142" s="9">
        <f>SUM(IFERROR(VLOOKUP($C:$C,Structure!$A:$AJ,AH$1,0)*$D142,0),IFERROR(VLOOKUP($E:$E,Structure!$A:$AJ,AH$1,0)*$F142,0),IFERROR(VLOOKUP($G:$G,Structure!$A:$AJ,AH$1,0)*$H142,0))</f>
        <v>0</v>
      </c>
      <c r="AI142" s="9">
        <f>SUM(IFERROR(VLOOKUP($C:$C,Structure!$A:$AJ,AI$1,0)*$D142,0),IFERROR(VLOOKUP($E:$E,Structure!$A:$AJ,AI$1,0)*$F142,0),IFERROR(VLOOKUP($G:$G,Structure!$A:$AJ,AI$1,0)*$H142,0))</f>
        <v>0</v>
      </c>
      <c r="AJ142" s="9">
        <f>SUM(IFERROR(VLOOKUP($C:$C,Structure!$A:$AJ,AJ$1,0)*$D142,0),IFERROR(VLOOKUP($E:$E,Structure!$A:$AJ,AJ$1,0)*$F142,0),IFERROR(VLOOKUP($G:$G,Structure!$A:$AJ,AJ$1,0)*$H142,0))</f>
        <v>0</v>
      </c>
      <c r="AK142" s="9">
        <f>SUM(IFERROR(VLOOKUP($C:$C,Structure!$A:$AJ,AK$1,0)*$D142,0),IFERROR(VLOOKUP($E:$E,Structure!$A:$AJ,AK$1,0)*$F142,0),IFERROR(VLOOKUP($G:$G,Structure!$A:$AJ,AK$1,0)*$H142,0))</f>
        <v>0</v>
      </c>
      <c r="AL142" s="9">
        <f>SUM(IFERROR(VLOOKUP($C:$C,Structure!$A:$AJ,AL$1,0)*$D142,0),IFERROR(VLOOKUP($E:$E,Structure!$A:$AJ,AL$1,0)*$F142,0),IFERROR(VLOOKUP($G:$G,Structure!$A:$AJ,AL$1,0)*$H142,0))</f>
        <v>0</v>
      </c>
      <c r="AM142" s="9">
        <f>SUM(IFERROR(VLOOKUP($C:$C,Structure!$A:$AJ,AM$1,0)*$D142,0),IFERROR(VLOOKUP($E:$E,Structure!$A:$AJ,AM$1,0)*$F142,0),IFERROR(VLOOKUP($G:$G,Structure!$A:$AJ,AM$1,0)*$H142,0))</f>
        <v>0</v>
      </c>
      <c r="AN142" s="9">
        <f>SUM(IFERROR(VLOOKUP($C:$C,Structure!$A:$AJ,AN$1,0)*$D142,0),IFERROR(VLOOKUP($E:$E,Structure!$A:$AJ,AN$1,0)*$F142,0),IFERROR(VLOOKUP($G:$G,Structure!$A:$AJ,AN$1,0)*$H142,0))</f>
        <v>0</v>
      </c>
      <c r="AO142" s="9">
        <f>SUM(IFERROR(VLOOKUP($C:$C,Structure!$A:$AJ,AO$1,0)*$D142,0),IFERROR(VLOOKUP($E:$E,Structure!$A:$AJ,AO$1,0)*$F142,0),IFERROR(VLOOKUP($G:$G,Structure!$A:$AJ,AO$1,0)*$H142,0))</f>
        <v>0</v>
      </c>
      <c r="AP142" s="9">
        <f>SUM(IFERROR(VLOOKUP($C:$C,Structure!$A:$AJ,AP$1,0)*$D142,0),IFERROR(VLOOKUP($E:$E,Structure!$A:$AJ,AP$1,0)*$F142,0),IFERROR(VLOOKUP($G:$G,Structure!$A:$AJ,AP$1,0)*$H142,0))</f>
        <v>0</v>
      </c>
      <c r="AQ142" s="9">
        <f>SUM(IFERROR(VLOOKUP($C:$C,Structure!$A:$AJ,AQ$1,0)*$D142,0),IFERROR(VLOOKUP($E:$E,Structure!$A:$AJ,AQ$1,0)*$F142,0),IFERROR(VLOOKUP($G:$G,Structure!$A:$AJ,AQ$1,0)*$H142,0))</f>
        <v>0</v>
      </c>
      <c r="AR142" s="21" t="s">
        <v>828</v>
      </c>
      <c r="AS142" s="3" t="s">
        <v>352</v>
      </c>
      <c r="AT142" s="3" t="s">
        <v>825</v>
      </c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>
        <v>50</v>
      </c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4">
        <f t="shared" si="162"/>
        <v>0</v>
      </c>
      <c r="CE142" s="4">
        <f t="shared" si="163"/>
        <v>-84</v>
      </c>
      <c r="CF142" s="4">
        <f t="shared" si="164"/>
        <v>4</v>
      </c>
      <c r="CG142" s="4">
        <f t="shared" si="165"/>
        <v>14</v>
      </c>
      <c r="CH142" s="4">
        <f t="shared" si="166"/>
        <v>-7</v>
      </c>
      <c r="CI142" s="4">
        <f t="shared" si="167"/>
        <v>127</v>
      </c>
      <c r="CJ142" s="4">
        <f t="shared" si="168"/>
        <v>-141</v>
      </c>
      <c r="CK142" s="4">
        <f t="shared" si="169"/>
        <v>95</v>
      </c>
      <c r="CL142" s="4">
        <f t="shared" si="170"/>
        <v>0</v>
      </c>
      <c r="CM142" s="4">
        <f t="shared" si="171"/>
        <v>6</v>
      </c>
      <c r="CN142" s="4">
        <f t="shared" si="172"/>
        <v>-28</v>
      </c>
      <c r="CO142" s="4">
        <f t="shared" si="173"/>
        <v>0</v>
      </c>
      <c r="CP142" s="4">
        <f t="shared" si="174"/>
        <v>69</v>
      </c>
      <c r="CQ142" s="4">
        <f t="shared" si="175"/>
        <v>-282</v>
      </c>
      <c r="CR142" s="4">
        <f t="shared" si="176"/>
        <v>15</v>
      </c>
      <c r="CS142" s="4">
        <f t="shared" si="177"/>
        <v>-24</v>
      </c>
      <c r="CT142" s="4">
        <f t="shared" si="178"/>
        <v>0</v>
      </c>
      <c r="CU142" s="4">
        <f t="shared" si="179"/>
        <v>0</v>
      </c>
      <c r="CV142" s="4">
        <f t="shared" si="180"/>
        <v>0</v>
      </c>
      <c r="CW142" s="4">
        <f t="shared" si="181"/>
        <v>0</v>
      </c>
      <c r="CX142" s="4">
        <f t="shared" si="182"/>
        <v>-173</v>
      </c>
      <c r="CY142" s="4">
        <f t="shared" si="183"/>
        <v>0</v>
      </c>
      <c r="CZ142" s="4">
        <f t="shared" si="184"/>
        <v>0</v>
      </c>
      <c r="DA142" s="4">
        <f t="shared" si="185"/>
        <v>0</v>
      </c>
      <c r="DB142" s="4">
        <f t="shared" si="186"/>
        <v>0</v>
      </c>
      <c r="DC142" s="4">
        <f t="shared" si="187"/>
        <v>0</v>
      </c>
      <c r="DD142" s="4">
        <f t="shared" si="188"/>
        <v>0</v>
      </c>
      <c r="DE142" s="4">
        <f t="shared" si="189"/>
        <v>0</v>
      </c>
      <c r="DF142" s="4">
        <f t="shared" si="190"/>
        <v>0</v>
      </c>
      <c r="DG142" s="4">
        <f t="shared" si="191"/>
        <v>0</v>
      </c>
      <c r="DH142" s="4">
        <f t="shared" si="192"/>
        <v>0</v>
      </c>
      <c r="DI142" s="4">
        <f t="shared" si="193"/>
        <v>0</v>
      </c>
      <c r="DJ142" s="4">
        <f t="shared" si="194"/>
        <v>0</v>
      </c>
      <c r="DK142" s="4">
        <f t="shared" si="195"/>
        <v>0</v>
      </c>
      <c r="DL142" s="4">
        <f t="shared" si="196"/>
        <v>0</v>
      </c>
    </row>
    <row r="143" spans="1:116" x14ac:dyDescent="0.25">
      <c r="A143" s="5">
        <v>46186</v>
      </c>
      <c r="B143" s="6">
        <v>0.22916666700621136</v>
      </c>
      <c r="C143" s="3"/>
      <c r="D143" s="3"/>
      <c r="E143" s="3" t="s">
        <v>30</v>
      </c>
      <c r="F143" s="3">
        <v>8</v>
      </c>
      <c r="G143" s="3"/>
      <c r="H143" s="9"/>
      <c r="I143" s="9">
        <f>SUM(IFERROR(VLOOKUP($C:$C,Structure!$A:$AJ,I$1,0)*$D143,0),IFERROR(VLOOKUP($E:$E,Structure!$A:$AJ,I$1,0)*$F143,0),IFERROR(VLOOKUP($G:$G,Structure!$A:$AJ,I$1,0)*$H143,0))</f>
        <v>0</v>
      </c>
      <c r="J143" s="9">
        <f>SUM(IFERROR(VLOOKUP($C:$C,Structure!$A:$AJ,J$1,0)*$D143,0),IFERROR(VLOOKUP($E:$E,Structure!$A:$AJ,J$1,0)*$F143,0),IFERROR(VLOOKUP($G:$G,Structure!$A:$AJ,J$1,0)*$H143,0))</f>
        <v>0</v>
      </c>
      <c r="K143" s="9">
        <f>SUM(IFERROR(VLOOKUP($C:$C,Structure!$A:$AJ,K$1,0)*$D143,0),IFERROR(VLOOKUP($E:$E,Structure!$A:$AJ,K$1,0)*$F143,0),IFERROR(VLOOKUP($G:$G,Structure!$A:$AJ,K$1,0)*$H143,0))</f>
        <v>0</v>
      </c>
      <c r="L143" s="9">
        <f>SUM(IFERROR(VLOOKUP($C:$C,Structure!$A:$AJ,L$1,0)*$D143,0),IFERROR(VLOOKUP($E:$E,Structure!$A:$AJ,L$1,0)*$F143,0),IFERROR(VLOOKUP($G:$G,Structure!$A:$AJ,L$1,0)*$H143,0))</f>
        <v>0</v>
      </c>
      <c r="M143" s="9">
        <f>SUM(IFERROR(VLOOKUP($C:$C,Structure!$A:$AJ,M$1,0)*$D143,0),IFERROR(VLOOKUP($E:$E,Structure!$A:$AJ,M$1,0)*$F143,0),IFERROR(VLOOKUP($G:$G,Structure!$A:$AJ,M$1,0)*$H143,0))</f>
        <v>0</v>
      </c>
      <c r="N143" s="9">
        <f>SUM(IFERROR(VLOOKUP($C:$C,Structure!$A:$AJ,N$1,0)*$D143,0),IFERROR(VLOOKUP($E:$E,Structure!$A:$AJ,N$1,0)*$F143,0),IFERROR(VLOOKUP($G:$G,Structure!$A:$AJ,N$1,0)*$H143,0))</f>
        <v>0</v>
      </c>
      <c r="O143" s="9">
        <f>SUM(IFERROR(VLOOKUP($C:$C,Structure!$A:$AJ,O$1,0)*$D143,0),IFERROR(VLOOKUP($E:$E,Structure!$A:$AJ,O$1,0)*$F143,0),IFERROR(VLOOKUP($G:$G,Structure!$A:$AJ,O$1,0)*$H143,0))</f>
        <v>0</v>
      </c>
      <c r="P143" s="9">
        <f>SUM(IFERROR(VLOOKUP($C:$C,Structure!$A:$AJ,P$1,0)*$D143,0),IFERROR(VLOOKUP($E:$E,Structure!$A:$AJ,P$1,0)*$F143,0),IFERROR(VLOOKUP($G:$G,Structure!$A:$AJ,P$1,0)*$H143,0))</f>
        <v>0</v>
      </c>
      <c r="Q143" s="9">
        <f>SUM(IFERROR(VLOOKUP($C:$C,Structure!$A:$AJ,Q$1,0)*$D143,0),IFERROR(VLOOKUP($E:$E,Structure!$A:$AJ,Q$1,0)*$F143,0),IFERROR(VLOOKUP($G:$G,Structure!$A:$AJ,Q$1,0)*$H143,0))</f>
        <v>0</v>
      </c>
      <c r="R143" s="9">
        <f>SUM(IFERROR(VLOOKUP($C:$C,Structure!$A:$AJ,R$1,0)*$D143,0),IFERROR(VLOOKUP($E:$E,Structure!$A:$AJ,R$1,0)*$F143,0),IFERROR(VLOOKUP($G:$G,Structure!$A:$AJ,R$1,0)*$H143,0))</f>
        <v>0</v>
      </c>
      <c r="S143" s="9">
        <f>SUM(IFERROR(VLOOKUP($C:$C,Structure!$A:$AJ,S$1,0)*$D143,0),IFERROR(VLOOKUP($E:$E,Structure!$A:$AJ,S$1,0)*$F143,0),IFERROR(VLOOKUP($G:$G,Structure!$A:$AJ,S$1,0)*$H143,0))</f>
        <v>0</v>
      </c>
      <c r="T143" s="9">
        <f>SUM(IFERROR(VLOOKUP($C:$C,Structure!$A:$AJ,T$1,0)*$D143,0),IFERROR(VLOOKUP($E:$E,Structure!$A:$AJ,T$1,0)*$F143,0),IFERROR(VLOOKUP($G:$G,Structure!$A:$AJ,T$1,0)*$H143,0))</f>
        <v>0</v>
      </c>
      <c r="U143" s="9">
        <f>SUM(IFERROR(VLOOKUP($C:$C,Structure!$A:$AJ,U$1,0)*$D143,0),IFERROR(VLOOKUP($E:$E,Structure!$A:$AJ,U$1,0)*$F143,0),IFERROR(VLOOKUP($G:$G,Structure!$A:$AJ,U$1,0)*$H143,0))</f>
        <v>0</v>
      </c>
      <c r="V143" s="9">
        <f>SUM(IFERROR(VLOOKUP($C:$C,Structure!$A:$AJ,V$1,0)*$D143,0),IFERROR(VLOOKUP($E:$E,Structure!$A:$AJ,V$1,0)*$F143,0),IFERROR(VLOOKUP($G:$G,Structure!$A:$AJ,V$1,0)*$H143,0))</f>
        <v>8</v>
      </c>
      <c r="W143" s="9">
        <f>SUM(IFERROR(VLOOKUP($C:$C,Structure!$A:$AJ,W$1,0)*$D143,0),IFERROR(VLOOKUP($E:$E,Structure!$A:$AJ,W$1,0)*$F143,0),IFERROR(VLOOKUP($G:$G,Structure!$A:$AJ,W$1,0)*$H143,0))</f>
        <v>0</v>
      </c>
      <c r="X143" s="9">
        <f>SUM(IFERROR(VLOOKUP($C:$C,Structure!$A:$AJ,X$1,0)*$D143,0),IFERROR(VLOOKUP($E:$E,Structure!$A:$AJ,X$1,0)*$F143,0),IFERROR(VLOOKUP($G:$G,Structure!$A:$AJ,X$1,0)*$H143,0))</f>
        <v>0</v>
      </c>
      <c r="Y143" s="9">
        <f>SUM(IFERROR(VLOOKUP($C:$C,Structure!$A:$AJ,Y$1,0)*$D143,0),IFERROR(VLOOKUP($E:$E,Structure!$A:$AJ,Y$1,0)*$F143,0),IFERROR(VLOOKUP($G:$G,Structure!$A:$AJ,Y$1,0)*$H143,0))</f>
        <v>0</v>
      </c>
      <c r="Z143" s="9">
        <f>SUM(IFERROR(VLOOKUP($C:$C,Structure!$A:$AJ,Z$1,0)*$D143,0),IFERROR(VLOOKUP($E:$E,Structure!$A:$AJ,Z$1,0)*$F143,0),IFERROR(VLOOKUP($G:$G,Structure!$A:$AJ,Z$1,0)*$H143,0))</f>
        <v>0</v>
      </c>
      <c r="AA143" s="9">
        <f>SUM(IFERROR(VLOOKUP($C:$C,Structure!$A:$AJ,AA$1,0)*$D143,0),IFERROR(VLOOKUP($E:$E,Structure!$A:$AJ,AA$1,0)*$F143,0),IFERROR(VLOOKUP($G:$G,Structure!$A:$AJ,AA$1,0)*$H143,0))</f>
        <v>0</v>
      </c>
      <c r="AB143" s="9">
        <f>SUM(IFERROR(VLOOKUP($C:$C,Structure!$A:$AJ,AB$1,0)*$D143,0),IFERROR(VLOOKUP($E:$E,Structure!$A:$AJ,AB$1,0)*$F143,0),IFERROR(VLOOKUP($G:$G,Structure!$A:$AJ,AB$1,0)*$H143,0))</f>
        <v>0</v>
      </c>
      <c r="AC143" s="9">
        <f>SUM(IFERROR(VLOOKUP($C:$C,Structure!$A:$AJ,AC$1,0)*$D143,0),IFERROR(VLOOKUP($E:$E,Structure!$A:$AJ,AC$1,0)*$F143,0),IFERROR(VLOOKUP($G:$G,Structure!$A:$AJ,AC$1,0)*$H143,0))</f>
        <v>8</v>
      </c>
      <c r="AD143" s="9">
        <f>SUM(IFERROR(VLOOKUP($C:$C,Structure!$A:$AJ,AD$1,0)*$D143,0),IFERROR(VLOOKUP($E:$E,Structure!$A:$AJ,AD$1,0)*$F143,0),IFERROR(VLOOKUP($G:$G,Structure!$A:$AJ,AD$1,0)*$H143,0))</f>
        <v>0</v>
      </c>
      <c r="AE143" s="9">
        <f>SUM(IFERROR(VLOOKUP($C:$C,Structure!$A:$AJ,AE$1,0)*$D143,0),IFERROR(VLOOKUP($E:$E,Structure!$A:$AJ,AE$1,0)*$F143,0),IFERROR(VLOOKUP($G:$G,Structure!$A:$AJ,AE$1,0)*$H143,0))</f>
        <v>0</v>
      </c>
      <c r="AF143" s="9">
        <f>SUM(IFERROR(VLOOKUP($C:$C,Structure!$A:$AJ,AF$1,0)*$D143,0),IFERROR(VLOOKUP($E:$E,Structure!$A:$AJ,AF$1,0)*$F143,0),IFERROR(VLOOKUP($G:$G,Structure!$A:$AJ,AF$1,0)*$H143,0))</f>
        <v>0</v>
      </c>
      <c r="AG143" s="9">
        <f>SUM(IFERROR(VLOOKUP($C:$C,Structure!$A:$AJ,AG$1,0)*$D143,0),IFERROR(VLOOKUP($E:$E,Structure!$A:$AJ,AG$1,0)*$F143,0),IFERROR(VLOOKUP($G:$G,Structure!$A:$AJ,AG$1,0)*$H143,0))</f>
        <v>0</v>
      </c>
      <c r="AH143" s="9">
        <f>SUM(IFERROR(VLOOKUP($C:$C,Structure!$A:$AJ,AH$1,0)*$D143,0),IFERROR(VLOOKUP($E:$E,Structure!$A:$AJ,AH$1,0)*$F143,0),IFERROR(VLOOKUP($G:$G,Structure!$A:$AJ,AH$1,0)*$H143,0))</f>
        <v>0</v>
      </c>
      <c r="AI143" s="9">
        <f>SUM(IFERROR(VLOOKUP($C:$C,Structure!$A:$AJ,AI$1,0)*$D143,0),IFERROR(VLOOKUP($E:$E,Structure!$A:$AJ,AI$1,0)*$F143,0),IFERROR(VLOOKUP($G:$G,Structure!$A:$AJ,AI$1,0)*$H143,0))</f>
        <v>0</v>
      </c>
      <c r="AJ143" s="9">
        <f>SUM(IFERROR(VLOOKUP($C:$C,Structure!$A:$AJ,AJ$1,0)*$D143,0),IFERROR(VLOOKUP($E:$E,Structure!$A:$AJ,AJ$1,0)*$F143,0),IFERROR(VLOOKUP($G:$G,Structure!$A:$AJ,AJ$1,0)*$H143,0))</f>
        <v>0</v>
      </c>
      <c r="AK143" s="9">
        <f>SUM(IFERROR(VLOOKUP($C:$C,Structure!$A:$AJ,AK$1,0)*$D143,0),IFERROR(VLOOKUP($E:$E,Structure!$A:$AJ,AK$1,0)*$F143,0),IFERROR(VLOOKUP($G:$G,Structure!$A:$AJ,AK$1,0)*$H143,0))</f>
        <v>0</v>
      </c>
      <c r="AL143" s="9">
        <f>SUM(IFERROR(VLOOKUP($C:$C,Structure!$A:$AJ,AL$1,0)*$D143,0),IFERROR(VLOOKUP($E:$E,Structure!$A:$AJ,AL$1,0)*$F143,0),IFERROR(VLOOKUP($G:$G,Structure!$A:$AJ,AL$1,0)*$H143,0))</f>
        <v>0</v>
      </c>
      <c r="AM143" s="9">
        <f>SUM(IFERROR(VLOOKUP($C:$C,Structure!$A:$AJ,AM$1,0)*$D143,0),IFERROR(VLOOKUP($E:$E,Structure!$A:$AJ,AM$1,0)*$F143,0),IFERROR(VLOOKUP($G:$G,Structure!$A:$AJ,AM$1,0)*$H143,0))</f>
        <v>0</v>
      </c>
      <c r="AN143" s="9">
        <f>SUM(IFERROR(VLOOKUP($C:$C,Structure!$A:$AJ,AN$1,0)*$D143,0),IFERROR(VLOOKUP($E:$E,Structure!$A:$AJ,AN$1,0)*$F143,0),IFERROR(VLOOKUP($G:$G,Structure!$A:$AJ,AN$1,0)*$H143,0))</f>
        <v>0</v>
      </c>
      <c r="AO143" s="9">
        <f>SUM(IFERROR(VLOOKUP($C:$C,Structure!$A:$AJ,AO$1,0)*$D143,0),IFERROR(VLOOKUP($E:$E,Structure!$A:$AJ,AO$1,0)*$F143,0),IFERROR(VLOOKUP($G:$G,Structure!$A:$AJ,AO$1,0)*$H143,0))</f>
        <v>0</v>
      </c>
      <c r="AP143" s="9">
        <f>SUM(IFERROR(VLOOKUP($C:$C,Structure!$A:$AJ,AP$1,0)*$D143,0),IFERROR(VLOOKUP($E:$E,Structure!$A:$AJ,AP$1,0)*$F143,0),IFERROR(VLOOKUP($G:$G,Structure!$A:$AJ,AP$1,0)*$H143,0))</f>
        <v>0</v>
      </c>
      <c r="AQ143" s="9">
        <f>SUM(IFERROR(VLOOKUP($C:$C,Structure!$A:$AJ,AQ$1,0)*$D143,0),IFERROR(VLOOKUP($E:$E,Structure!$A:$AJ,AQ$1,0)*$F143,0),IFERROR(VLOOKUP($G:$G,Structure!$A:$AJ,AQ$1,0)*$H143,0))</f>
        <v>0</v>
      </c>
      <c r="AR143" s="21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4">
        <f t="shared" si="162"/>
        <v>0</v>
      </c>
      <c r="CE143" s="4">
        <f t="shared" si="163"/>
        <v>-84</v>
      </c>
      <c r="CF143" s="4">
        <f t="shared" si="164"/>
        <v>4</v>
      </c>
      <c r="CG143" s="4">
        <f t="shared" si="165"/>
        <v>14</v>
      </c>
      <c r="CH143" s="4">
        <f t="shared" si="166"/>
        <v>-7</v>
      </c>
      <c r="CI143" s="4">
        <f t="shared" si="167"/>
        <v>127</v>
      </c>
      <c r="CJ143" s="4">
        <f t="shared" si="168"/>
        <v>-141</v>
      </c>
      <c r="CK143" s="4">
        <f t="shared" si="169"/>
        <v>95</v>
      </c>
      <c r="CL143" s="4">
        <f t="shared" si="170"/>
        <v>0</v>
      </c>
      <c r="CM143" s="4">
        <f t="shared" si="171"/>
        <v>6</v>
      </c>
      <c r="CN143" s="4">
        <f t="shared" si="172"/>
        <v>-28</v>
      </c>
      <c r="CO143" s="4">
        <f t="shared" si="173"/>
        <v>0</v>
      </c>
      <c r="CP143" s="4">
        <f t="shared" si="174"/>
        <v>69</v>
      </c>
      <c r="CQ143" s="4">
        <f t="shared" si="175"/>
        <v>-290</v>
      </c>
      <c r="CR143" s="4">
        <f t="shared" si="176"/>
        <v>15</v>
      </c>
      <c r="CS143" s="4">
        <f t="shared" si="177"/>
        <v>-24</v>
      </c>
      <c r="CT143" s="4">
        <f t="shared" si="178"/>
        <v>0</v>
      </c>
      <c r="CU143" s="4">
        <f t="shared" si="179"/>
        <v>0</v>
      </c>
      <c r="CV143" s="4">
        <f t="shared" si="180"/>
        <v>0</v>
      </c>
      <c r="CW143" s="4">
        <f t="shared" si="181"/>
        <v>0</v>
      </c>
      <c r="CX143" s="4">
        <f t="shared" si="182"/>
        <v>-181</v>
      </c>
      <c r="CY143" s="4">
        <f t="shared" si="183"/>
        <v>0</v>
      </c>
      <c r="CZ143" s="4">
        <f t="shared" si="184"/>
        <v>0</v>
      </c>
      <c r="DA143" s="4">
        <f t="shared" si="185"/>
        <v>0</v>
      </c>
      <c r="DB143" s="4">
        <f t="shared" si="186"/>
        <v>0</v>
      </c>
      <c r="DC143" s="4">
        <f t="shared" si="187"/>
        <v>0</v>
      </c>
      <c r="DD143" s="4">
        <f t="shared" si="188"/>
        <v>0</v>
      </c>
      <c r="DE143" s="4">
        <f t="shared" si="189"/>
        <v>0</v>
      </c>
      <c r="DF143" s="4">
        <f t="shared" si="190"/>
        <v>0</v>
      </c>
      <c r="DG143" s="4">
        <f t="shared" si="191"/>
        <v>0</v>
      </c>
      <c r="DH143" s="4">
        <f t="shared" si="192"/>
        <v>0</v>
      </c>
      <c r="DI143" s="4">
        <f t="shared" si="193"/>
        <v>0</v>
      </c>
      <c r="DJ143" s="4">
        <f t="shared" si="194"/>
        <v>0</v>
      </c>
      <c r="DK143" s="4">
        <f t="shared" si="195"/>
        <v>0</v>
      </c>
      <c r="DL143" s="4">
        <f t="shared" si="196"/>
        <v>0</v>
      </c>
    </row>
    <row r="144" spans="1:116" x14ac:dyDescent="0.25">
      <c r="A144" s="5">
        <v>46186</v>
      </c>
      <c r="B144" s="6">
        <v>0.25000000034197001</v>
      </c>
      <c r="C144" s="3"/>
      <c r="D144" s="3"/>
      <c r="E144" s="3" t="s">
        <v>30</v>
      </c>
      <c r="F144" s="3">
        <v>8</v>
      </c>
      <c r="G144" s="3"/>
      <c r="H144" s="9"/>
      <c r="I144" s="9">
        <f>SUM(IFERROR(VLOOKUP($C:$C,Structure!$A:$AJ,I$1,0)*$D144,0),IFERROR(VLOOKUP($E:$E,Structure!$A:$AJ,I$1,0)*$F144,0),IFERROR(VLOOKUP($G:$G,Structure!$A:$AJ,I$1,0)*$H144,0))</f>
        <v>0</v>
      </c>
      <c r="J144" s="9">
        <f>SUM(IFERROR(VLOOKUP($C:$C,Structure!$A:$AJ,J$1,0)*$D144,0),IFERROR(VLOOKUP($E:$E,Structure!$A:$AJ,J$1,0)*$F144,0),IFERROR(VLOOKUP($G:$G,Structure!$A:$AJ,J$1,0)*$H144,0))</f>
        <v>0</v>
      </c>
      <c r="K144" s="9">
        <f>SUM(IFERROR(VLOOKUP($C:$C,Structure!$A:$AJ,K$1,0)*$D144,0),IFERROR(VLOOKUP($E:$E,Structure!$A:$AJ,K$1,0)*$F144,0),IFERROR(VLOOKUP($G:$G,Structure!$A:$AJ,K$1,0)*$H144,0))</f>
        <v>0</v>
      </c>
      <c r="L144" s="9">
        <f>SUM(IFERROR(VLOOKUP($C:$C,Structure!$A:$AJ,L$1,0)*$D144,0),IFERROR(VLOOKUP($E:$E,Structure!$A:$AJ,L$1,0)*$F144,0),IFERROR(VLOOKUP($G:$G,Structure!$A:$AJ,L$1,0)*$H144,0))</f>
        <v>0</v>
      </c>
      <c r="M144" s="9">
        <f>SUM(IFERROR(VLOOKUP($C:$C,Structure!$A:$AJ,M$1,0)*$D144,0),IFERROR(VLOOKUP($E:$E,Structure!$A:$AJ,M$1,0)*$F144,0),IFERROR(VLOOKUP($G:$G,Structure!$A:$AJ,M$1,0)*$H144,0))</f>
        <v>0</v>
      </c>
      <c r="N144" s="9">
        <f>SUM(IFERROR(VLOOKUP($C:$C,Structure!$A:$AJ,N$1,0)*$D144,0),IFERROR(VLOOKUP($E:$E,Structure!$A:$AJ,N$1,0)*$F144,0),IFERROR(VLOOKUP($G:$G,Structure!$A:$AJ,N$1,0)*$H144,0))</f>
        <v>0</v>
      </c>
      <c r="O144" s="9">
        <f>SUM(IFERROR(VLOOKUP($C:$C,Structure!$A:$AJ,O$1,0)*$D144,0),IFERROR(VLOOKUP($E:$E,Structure!$A:$AJ,O$1,0)*$F144,0),IFERROR(VLOOKUP($G:$G,Structure!$A:$AJ,O$1,0)*$H144,0))</f>
        <v>0</v>
      </c>
      <c r="P144" s="9">
        <f>SUM(IFERROR(VLOOKUP($C:$C,Structure!$A:$AJ,P$1,0)*$D144,0),IFERROR(VLOOKUP($E:$E,Structure!$A:$AJ,P$1,0)*$F144,0),IFERROR(VLOOKUP($G:$G,Structure!$A:$AJ,P$1,0)*$H144,0))</f>
        <v>0</v>
      </c>
      <c r="Q144" s="9">
        <f>SUM(IFERROR(VLOOKUP($C:$C,Structure!$A:$AJ,Q$1,0)*$D144,0),IFERROR(VLOOKUP($E:$E,Structure!$A:$AJ,Q$1,0)*$F144,0),IFERROR(VLOOKUP($G:$G,Structure!$A:$AJ,Q$1,0)*$H144,0))</f>
        <v>0</v>
      </c>
      <c r="R144" s="9">
        <f>SUM(IFERROR(VLOOKUP($C:$C,Structure!$A:$AJ,R$1,0)*$D144,0),IFERROR(VLOOKUP($E:$E,Structure!$A:$AJ,R$1,0)*$F144,0),IFERROR(VLOOKUP($G:$G,Structure!$A:$AJ,R$1,0)*$H144,0))</f>
        <v>0</v>
      </c>
      <c r="S144" s="9">
        <f>SUM(IFERROR(VLOOKUP($C:$C,Structure!$A:$AJ,S$1,0)*$D144,0),IFERROR(VLOOKUP($E:$E,Structure!$A:$AJ,S$1,0)*$F144,0),IFERROR(VLOOKUP($G:$G,Structure!$A:$AJ,S$1,0)*$H144,0))</f>
        <v>0</v>
      </c>
      <c r="T144" s="9">
        <f>SUM(IFERROR(VLOOKUP($C:$C,Structure!$A:$AJ,T$1,0)*$D144,0),IFERROR(VLOOKUP($E:$E,Structure!$A:$AJ,T$1,0)*$F144,0),IFERROR(VLOOKUP($G:$G,Structure!$A:$AJ,T$1,0)*$H144,0))</f>
        <v>0</v>
      </c>
      <c r="U144" s="9">
        <f>SUM(IFERROR(VLOOKUP($C:$C,Structure!$A:$AJ,U$1,0)*$D144,0),IFERROR(VLOOKUP($E:$E,Structure!$A:$AJ,U$1,0)*$F144,0),IFERROR(VLOOKUP($G:$G,Structure!$A:$AJ,U$1,0)*$H144,0))</f>
        <v>0</v>
      </c>
      <c r="V144" s="9">
        <f>SUM(IFERROR(VLOOKUP($C:$C,Structure!$A:$AJ,V$1,0)*$D144,0),IFERROR(VLOOKUP($E:$E,Structure!$A:$AJ,V$1,0)*$F144,0),IFERROR(VLOOKUP($G:$G,Structure!$A:$AJ,V$1,0)*$H144,0))</f>
        <v>8</v>
      </c>
      <c r="W144" s="9">
        <f>SUM(IFERROR(VLOOKUP($C:$C,Structure!$A:$AJ,W$1,0)*$D144,0),IFERROR(VLOOKUP($E:$E,Structure!$A:$AJ,W$1,0)*$F144,0),IFERROR(VLOOKUP($G:$G,Structure!$A:$AJ,W$1,0)*$H144,0))</f>
        <v>0</v>
      </c>
      <c r="X144" s="9">
        <f>SUM(IFERROR(VLOOKUP($C:$C,Structure!$A:$AJ,X$1,0)*$D144,0),IFERROR(VLOOKUP($E:$E,Structure!$A:$AJ,X$1,0)*$F144,0),IFERROR(VLOOKUP($G:$G,Structure!$A:$AJ,X$1,0)*$H144,0))</f>
        <v>0</v>
      </c>
      <c r="Y144" s="9">
        <f>SUM(IFERROR(VLOOKUP($C:$C,Structure!$A:$AJ,Y$1,0)*$D144,0),IFERROR(VLOOKUP($E:$E,Structure!$A:$AJ,Y$1,0)*$F144,0),IFERROR(VLOOKUP($G:$G,Structure!$A:$AJ,Y$1,0)*$H144,0))</f>
        <v>0</v>
      </c>
      <c r="Z144" s="9">
        <f>SUM(IFERROR(VLOOKUP($C:$C,Structure!$A:$AJ,Z$1,0)*$D144,0),IFERROR(VLOOKUP($E:$E,Structure!$A:$AJ,Z$1,0)*$F144,0),IFERROR(VLOOKUP($G:$G,Structure!$A:$AJ,Z$1,0)*$H144,0))</f>
        <v>0</v>
      </c>
      <c r="AA144" s="9">
        <f>SUM(IFERROR(VLOOKUP($C:$C,Structure!$A:$AJ,AA$1,0)*$D144,0),IFERROR(VLOOKUP($E:$E,Structure!$A:$AJ,AA$1,0)*$F144,0),IFERROR(VLOOKUP($G:$G,Structure!$A:$AJ,AA$1,0)*$H144,0))</f>
        <v>0</v>
      </c>
      <c r="AB144" s="9">
        <f>SUM(IFERROR(VLOOKUP($C:$C,Structure!$A:$AJ,AB$1,0)*$D144,0),IFERROR(VLOOKUP($E:$E,Structure!$A:$AJ,AB$1,0)*$F144,0),IFERROR(VLOOKUP($G:$G,Structure!$A:$AJ,AB$1,0)*$H144,0))</f>
        <v>0</v>
      </c>
      <c r="AC144" s="9">
        <f>SUM(IFERROR(VLOOKUP($C:$C,Structure!$A:$AJ,AC$1,0)*$D144,0),IFERROR(VLOOKUP($E:$E,Structure!$A:$AJ,AC$1,0)*$F144,0),IFERROR(VLOOKUP($G:$G,Structure!$A:$AJ,AC$1,0)*$H144,0))</f>
        <v>8</v>
      </c>
      <c r="AD144" s="9">
        <f>SUM(IFERROR(VLOOKUP($C:$C,Structure!$A:$AJ,AD$1,0)*$D144,0),IFERROR(VLOOKUP($E:$E,Structure!$A:$AJ,AD$1,0)*$F144,0),IFERROR(VLOOKUP($G:$G,Structure!$A:$AJ,AD$1,0)*$H144,0))</f>
        <v>0</v>
      </c>
      <c r="AE144" s="9">
        <f>SUM(IFERROR(VLOOKUP($C:$C,Structure!$A:$AJ,AE$1,0)*$D144,0),IFERROR(VLOOKUP($E:$E,Structure!$A:$AJ,AE$1,0)*$F144,0),IFERROR(VLOOKUP($G:$G,Structure!$A:$AJ,AE$1,0)*$H144,0))</f>
        <v>0</v>
      </c>
      <c r="AF144" s="9">
        <f>SUM(IFERROR(VLOOKUP($C:$C,Structure!$A:$AJ,AF$1,0)*$D144,0),IFERROR(VLOOKUP($E:$E,Structure!$A:$AJ,AF$1,0)*$F144,0),IFERROR(VLOOKUP($G:$G,Structure!$A:$AJ,AF$1,0)*$H144,0))</f>
        <v>0</v>
      </c>
      <c r="AG144" s="9">
        <f>SUM(IFERROR(VLOOKUP($C:$C,Structure!$A:$AJ,AG$1,0)*$D144,0),IFERROR(VLOOKUP($E:$E,Structure!$A:$AJ,AG$1,0)*$F144,0),IFERROR(VLOOKUP($G:$G,Structure!$A:$AJ,AG$1,0)*$H144,0))</f>
        <v>0</v>
      </c>
      <c r="AH144" s="9">
        <f>SUM(IFERROR(VLOOKUP($C:$C,Structure!$A:$AJ,AH$1,0)*$D144,0),IFERROR(VLOOKUP($E:$E,Structure!$A:$AJ,AH$1,0)*$F144,0),IFERROR(VLOOKUP($G:$G,Structure!$A:$AJ,AH$1,0)*$H144,0))</f>
        <v>0</v>
      </c>
      <c r="AI144" s="9">
        <f>SUM(IFERROR(VLOOKUP($C:$C,Structure!$A:$AJ,AI$1,0)*$D144,0),IFERROR(VLOOKUP($E:$E,Structure!$A:$AJ,AI$1,0)*$F144,0),IFERROR(VLOOKUP($G:$G,Structure!$A:$AJ,AI$1,0)*$H144,0))</f>
        <v>0</v>
      </c>
      <c r="AJ144" s="9">
        <f>SUM(IFERROR(VLOOKUP($C:$C,Structure!$A:$AJ,AJ$1,0)*$D144,0),IFERROR(VLOOKUP($E:$E,Structure!$A:$AJ,AJ$1,0)*$F144,0),IFERROR(VLOOKUP($G:$G,Structure!$A:$AJ,AJ$1,0)*$H144,0))</f>
        <v>0</v>
      </c>
      <c r="AK144" s="9">
        <f>SUM(IFERROR(VLOOKUP($C:$C,Structure!$A:$AJ,AK$1,0)*$D144,0),IFERROR(VLOOKUP($E:$E,Structure!$A:$AJ,AK$1,0)*$F144,0),IFERROR(VLOOKUP($G:$G,Structure!$A:$AJ,AK$1,0)*$H144,0))</f>
        <v>0</v>
      </c>
      <c r="AL144" s="9">
        <f>SUM(IFERROR(VLOOKUP($C:$C,Structure!$A:$AJ,AL$1,0)*$D144,0),IFERROR(VLOOKUP($E:$E,Structure!$A:$AJ,AL$1,0)*$F144,0),IFERROR(VLOOKUP($G:$G,Structure!$A:$AJ,AL$1,0)*$H144,0))</f>
        <v>0</v>
      </c>
      <c r="AM144" s="9">
        <f>SUM(IFERROR(VLOOKUP($C:$C,Structure!$A:$AJ,AM$1,0)*$D144,0),IFERROR(VLOOKUP($E:$E,Structure!$A:$AJ,AM$1,0)*$F144,0),IFERROR(VLOOKUP($G:$G,Structure!$A:$AJ,AM$1,0)*$H144,0))</f>
        <v>0</v>
      </c>
      <c r="AN144" s="9">
        <f>SUM(IFERROR(VLOOKUP($C:$C,Structure!$A:$AJ,AN$1,0)*$D144,0),IFERROR(VLOOKUP($E:$E,Structure!$A:$AJ,AN$1,0)*$F144,0),IFERROR(VLOOKUP($G:$G,Structure!$A:$AJ,AN$1,0)*$H144,0))</f>
        <v>0</v>
      </c>
      <c r="AO144" s="9">
        <f>SUM(IFERROR(VLOOKUP($C:$C,Structure!$A:$AJ,AO$1,0)*$D144,0),IFERROR(VLOOKUP($E:$E,Structure!$A:$AJ,AO$1,0)*$F144,0),IFERROR(VLOOKUP($G:$G,Structure!$A:$AJ,AO$1,0)*$H144,0))</f>
        <v>0</v>
      </c>
      <c r="AP144" s="9">
        <f>SUM(IFERROR(VLOOKUP($C:$C,Structure!$A:$AJ,AP$1,0)*$D144,0),IFERROR(VLOOKUP($E:$E,Structure!$A:$AJ,AP$1,0)*$F144,0),IFERROR(VLOOKUP($G:$G,Structure!$A:$AJ,AP$1,0)*$H144,0))</f>
        <v>0</v>
      </c>
      <c r="AQ144" s="9">
        <f>SUM(IFERROR(VLOOKUP($C:$C,Structure!$A:$AJ,AQ$1,0)*$D144,0),IFERROR(VLOOKUP($E:$E,Structure!$A:$AJ,AQ$1,0)*$F144,0),IFERROR(VLOOKUP($G:$G,Structure!$A:$AJ,AQ$1,0)*$H144,0))</f>
        <v>0</v>
      </c>
      <c r="AR144" s="21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4">
        <f t="shared" si="162"/>
        <v>0</v>
      </c>
      <c r="CE144" s="4">
        <f t="shared" si="163"/>
        <v>-84</v>
      </c>
      <c r="CF144" s="4">
        <f t="shared" si="164"/>
        <v>4</v>
      </c>
      <c r="CG144" s="4">
        <f t="shared" si="165"/>
        <v>14</v>
      </c>
      <c r="CH144" s="4">
        <f t="shared" si="166"/>
        <v>-7</v>
      </c>
      <c r="CI144" s="4">
        <f t="shared" si="167"/>
        <v>127</v>
      </c>
      <c r="CJ144" s="4">
        <f t="shared" si="168"/>
        <v>-141</v>
      </c>
      <c r="CK144" s="4">
        <f t="shared" si="169"/>
        <v>95</v>
      </c>
      <c r="CL144" s="4">
        <f t="shared" si="170"/>
        <v>0</v>
      </c>
      <c r="CM144" s="4">
        <f t="shared" si="171"/>
        <v>6</v>
      </c>
      <c r="CN144" s="4">
        <f t="shared" si="172"/>
        <v>-28</v>
      </c>
      <c r="CO144" s="4">
        <f t="shared" si="173"/>
        <v>0</v>
      </c>
      <c r="CP144" s="4">
        <f t="shared" si="174"/>
        <v>69</v>
      </c>
      <c r="CQ144" s="4">
        <f t="shared" si="175"/>
        <v>-298</v>
      </c>
      <c r="CR144" s="4">
        <f t="shared" si="176"/>
        <v>15</v>
      </c>
      <c r="CS144" s="4">
        <f t="shared" si="177"/>
        <v>-24</v>
      </c>
      <c r="CT144" s="4">
        <f t="shared" si="178"/>
        <v>0</v>
      </c>
      <c r="CU144" s="4">
        <f t="shared" si="179"/>
        <v>0</v>
      </c>
      <c r="CV144" s="4">
        <f t="shared" si="180"/>
        <v>0</v>
      </c>
      <c r="CW144" s="4">
        <f t="shared" si="181"/>
        <v>0</v>
      </c>
      <c r="CX144" s="4">
        <f t="shared" si="182"/>
        <v>-189</v>
      </c>
      <c r="CY144" s="4">
        <f t="shared" si="183"/>
        <v>0</v>
      </c>
      <c r="CZ144" s="4">
        <f t="shared" si="184"/>
        <v>0</v>
      </c>
      <c r="DA144" s="4">
        <f t="shared" si="185"/>
        <v>0</v>
      </c>
      <c r="DB144" s="4">
        <f t="shared" si="186"/>
        <v>0</v>
      </c>
      <c r="DC144" s="4">
        <f t="shared" si="187"/>
        <v>0</v>
      </c>
      <c r="DD144" s="4">
        <f t="shared" si="188"/>
        <v>0</v>
      </c>
      <c r="DE144" s="4">
        <f t="shared" si="189"/>
        <v>0</v>
      </c>
      <c r="DF144" s="4">
        <f t="shared" si="190"/>
        <v>0</v>
      </c>
      <c r="DG144" s="4">
        <f t="shared" si="191"/>
        <v>0</v>
      </c>
      <c r="DH144" s="4">
        <f t="shared" si="192"/>
        <v>0</v>
      </c>
      <c r="DI144" s="4">
        <f t="shared" si="193"/>
        <v>0</v>
      </c>
      <c r="DJ144" s="4">
        <f t="shared" si="194"/>
        <v>0</v>
      </c>
      <c r="DK144" s="4">
        <f t="shared" si="195"/>
        <v>0</v>
      </c>
      <c r="DL144" s="4">
        <f t="shared" si="196"/>
        <v>0</v>
      </c>
    </row>
    <row r="145" spans="1:116" x14ac:dyDescent="0.25">
      <c r="A145" s="5">
        <v>46186</v>
      </c>
      <c r="B145" s="6">
        <v>0.27083333367772866</v>
      </c>
      <c r="C145" s="3"/>
      <c r="D145" s="3"/>
      <c r="E145" s="3" t="s">
        <v>30</v>
      </c>
      <c r="F145" s="3">
        <v>8</v>
      </c>
      <c r="G145" s="3"/>
      <c r="H145" s="9"/>
      <c r="I145" s="9">
        <f>SUM(IFERROR(VLOOKUP($C:$C,Structure!$A:$AJ,I$1,0)*$D145,0),IFERROR(VLOOKUP($E:$E,Structure!$A:$AJ,I$1,0)*$F145,0),IFERROR(VLOOKUP($G:$G,Structure!$A:$AJ,I$1,0)*$H145,0))</f>
        <v>0</v>
      </c>
      <c r="J145" s="9">
        <f>SUM(IFERROR(VLOOKUP($C:$C,Structure!$A:$AJ,J$1,0)*$D145,0),IFERROR(VLOOKUP($E:$E,Structure!$A:$AJ,J$1,0)*$F145,0),IFERROR(VLOOKUP($G:$G,Structure!$A:$AJ,J$1,0)*$H145,0))</f>
        <v>0</v>
      </c>
      <c r="K145" s="9">
        <f>SUM(IFERROR(VLOOKUP($C:$C,Structure!$A:$AJ,K$1,0)*$D145,0),IFERROR(VLOOKUP($E:$E,Structure!$A:$AJ,K$1,0)*$F145,0),IFERROR(VLOOKUP($G:$G,Structure!$A:$AJ,K$1,0)*$H145,0))</f>
        <v>0</v>
      </c>
      <c r="L145" s="9">
        <f>SUM(IFERROR(VLOOKUP($C:$C,Structure!$A:$AJ,L$1,0)*$D145,0),IFERROR(VLOOKUP($E:$E,Structure!$A:$AJ,L$1,0)*$F145,0),IFERROR(VLOOKUP($G:$G,Structure!$A:$AJ,L$1,0)*$H145,0))</f>
        <v>0</v>
      </c>
      <c r="M145" s="9">
        <f>SUM(IFERROR(VLOOKUP($C:$C,Structure!$A:$AJ,M$1,0)*$D145,0),IFERROR(VLOOKUP($E:$E,Structure!$A:$AJ,M$1,0)*$F145,0),IFERROR(VLOOKUP($G:$G,Structure!$A:$AJ,M$1,0)*$H145,0))</f>
        <v>0</v>
      </c>
      <c r="N145" s="9">
        <f>SUM(IFERROR(VLOOKUP($C:$C,Structure!$A:$AJ,N$1,0)*$D145,0),IFERROR(VLOOKUP($E:$E,Structure!$A:$AJ,N$1,0)*$F145,0),IFERROR(VLOOKUP($G:$G,Structure!$A:$AJ,N$1,0)*$H145,0))</f>
        <v>0</v>
      </c>
      <c r="O145" s="9">
        <f>SUM(IFERROR(VLOOKUP($C:$C,Structure!$A:$AJ,O$1,0)*$D145,0),IFERROR(VLOOKUP($E:$E,Structure!$A:$AJ,O$1,0)*$F145,0),IFERROR(VLOOKUP($G:$G,Structure!$A:$AJ,O$1,0)*$H145,0))</f>
        <v>0</v>
      </c>
      <c r="P145" s="9">
        <f>SUM(IFERROR(VLOOKUP($C:$C,Structure!$A:$AJ,P$1,0)*$D145,0),IFERROR(VLOOKUP($E:$E,Structure!$A:$AJ,P$1,0)*$F145,0),IFERROR(VLOOKUP($G:$G,Structure!$A:$AJ,P$1,0)*$H145,0))</f>
        <v>0</v>
      </c>
      <c r="Q145" s="9">
        <f>SUM(IFERROR(VLOOKUP($C:$C,Structure!$A:$AJ,Q$1,0)*$D145,0),IFERROR(VLOOKUP($E:$E,Structure!$A:$AJ,Q$1,0)*$F145,0),IFERROR(VLOOKUP($G:$G,Structure!$A:$AJ,Q$1,0)*$H145,0))</f>
        <v>0</v>
      </c>
      <c r="R145" s="9">
        <f>SUM(IFERROR(VLOOKUP($C:$C,Structure!$A:$AJ,R$1,0)*$D145,0),IFERROR(VLOOKUP($E:$E,Structure!$A:$AJ,R$1,0)*$F145,0),IFERROR(VLOOKUP($G:$G,Structure!$A:$AJ,R$1,0)*$H145,0))</f>
        <v>0</v>
      </c>
      <c r="S145" s="9">
        <f>SUM(IFERROR(VLOOKUP($C:$C,Structure!$A:$AJ,S$1,0)*$D145,0),IFERROR(VLOOKUP($E:$E,Structure!$A:$AJ,S$1,0)*$F145,0),IFERROR(VLOOKUP($G:$G,Structure!$A:$AJ,S$1,0)*$H145,0))</f>
        <v>0</v>
      </c>
      <c r="T145" s="9">
        <f>SUM(IFERROR(VLOOKUP($C:$C,Structure!$A:$AJ,T$1,0)*$D145,0),IFERROR(VLOOKUP($E:$E,Structure!$A:$AJ,T$1,0)*$F145,0),IFERROR(VLOOKUP($G:$G,Structure!$A:$AJ,T$1,0)*$H145,0))</f>
        <v>0</v>
      </c>
      <c r="U145" s="9">
        <f>SUM(IFERROR(VLOOKUP($C:$C,Structure!$A:$AJ,U$1,0)*$D145,0),IFERROR(VLOOKUP($E:$E,Structure!$A:$AJ,U$1,0)*$F145,0),IFERROR(VLOOKUP($G:$G,Structure!$A:$AJ,U$1,0)*$H145,0))</f>
        <v>0</v>
      </c>
      <c r="V145" s="9">
        <f>SUM(IFERROR(VLOOKUP($C:$C,Structure!$A:$AJ,V$1,0)*$D145,0),IFERROR(VLOOKUP($E:$E,Structure!$A:$AJ,V$1,0)*$F145,0),IFERROR(VLOOKUP($G:$G,Structure!$A:$AJ,V$1,0)*$H145,0))</f>
        <v>8</v>
      </c>
      <c r="W145" s="9">
        <f>SUM(IFERROR(VLOOKUP($C:$C,Structure!$A:$AJ,W$1,0)*$D145,0),IFERROR(VLOOKUP($E:$E,Structure!$A:$AJ,W$1,0)*$F145,0),IFERROR(VLOOKUP($G:$G,Structure!$A:$AJ,W$1,0)*$H145,0))</f>
        <v>0</v>
      </c>
      <c r="X145" s="9">
        <f>SUM(IFERROR(VLOOKUP($C:$C,Structure!$A:$AJ,X$1,0)*$D145,0),IFERROR(VLOOKUP($E:$E,Structure!$A:$AJ,X$1,0)*$F145,0),IFERROR(VLOOKUP($G:$G,Structure!$A:$AJ,X$1,0)*$H145,0))</f>
        <v>0</v>
      </c>
      <c r="Y145" s="9">
        <f>SUM(IFERROR(VLOOKUP($C:$C,Structure!$A:$AJ,Y$1,0)*$D145,0),IFERROR(VLOOKUP($E:$E,Structure!$A:$AJ,Y$1,0)*$F145,0),IFERROR(VLOOKUP($G:$G,Structure!$A:$AJ,Y$1,0)*$H145,0))</f>
        <v>0</v>
      </c>
      <c r="Z145" s="9">
        <f>SUM(IFERROR(VLOOKUP($C:$C,Structure!$A:$AJ,Z$1,0)*$D145,0),IFERROR(VLOOKUP($E:$E,Structure!$A:$AJ,Z$1,0)*$F145,0),IFERROR(VLOOKUP($G:$G,Structure!$A:$AJ,Z$1,0)*$H145,0))</f>
        <v>0</v>
      </c>
      <c r="AA145" s="9">
        <f>SUM(IFERROR(VLOOKUP($C:$C,Structure!$A:$AJ,AA$1,0)*$D145,0),IFERROR(VLOOKUP($E:$E,Structure!$A:$AJ,AA$1,0)*$F145,0),IFERROR(VLOOKUP($G:$G,Structure!$A:$AJ,AA$1,0)*$H145,0))</f>
        <v>0</v>
      </c>
      <c r="AB145" s="9">
        <f>SUM(IFERROR(VLOOKUP($C:$C,Structure!$A:$AJ,AB$1,0)*$D145,0),IFERROR(VLOOKUP($E:$E,Structure!$A:$AJ,AB$1,0)*$F145,0),IFERROR(VLOOKUP($G:$G,Structure!$A:$AJ,AB$1,0)*$H145,0))</f>
        <v>0</v>
      </c>
      <c r="AC145" s="9">
        <f>SUM(IFERROR(VLOOKUP($C:$C,Structure!$A:$AJ,AC$1,0)*$D145,0),IFERROR(VLOOKUP($E:$E,Structure!$A:$AJ,AC$1,0)*$F145,0),IFERROR(VLOOKUP($G:$G,Structure!$A:$AJ,AC$1,0)*$H145,0))</f>
        <v>8</v>
      </c>
      <c r="AD145" s="9">
        <f>SUM(IFERROR(VLOOKUP($C:$C,Structure!$A:$AJ,AD$1,0)*$D145,0),IFERROR(VLOOKUP($E:$E,Structure!$A:$AJ,AD$1,0)*$F145,0),IFERROR(VLOOKUP($G:$G,Structure!$A:$AJ,AD$1,0)*$H145,0))</f>
        <v>0</v>
      </c>
      <c r="AE145" s="9">
        <f>SUM(IFERROR(VLOOKUP($C:$C,Structure!$A:$AJ,AE$1,0)*$D145,0),IFERROR(VLOOKUP($E:$E,Structure!$A:$AJ,AE$1,0)*$F145,0),IFERROR(VLOOKUP($G:$G,Structure!$A:$AJ,AE$1,0)*$H145,0))</f>
        <v>0</v>
      </c>
      <c r="AF145" s="9">
        <f>SUM(IFERROR(VLOOKUP($C:$C,Structure!$A:$AJ,AF$1,0)*$D145,0),IFERROR(VLOOKUP($E:$E,Structure!$A:$AJ,AF$1,0)*$F145,0),IFERROR(VLOOKUP($G:$G,Structure!$A:$AJ,AF$1,0)*$H145,0))</f>
        <v>0</v>
      </c>
      <c r="AG145" s="9">
        <f>SUM(IFERROR(VLOOKUP($C:$C,Structure!$A:$AJ,AG$1,0)*$D145,0),IFERROR(VLOOKUP($E:$E,Structure!$A:$AJ,AG$1,0)*$F145,0),IFERROR(VLOOKUP($G:$G,Structure!$A:$AJ,AG$1,0)*$H145,0))</f>
        <v>0</v>
      </c>
      <c r="AH145" s="9">
        <f>SUM(IFERROR(VLOOKUP($C:$C,Structure!$A:$AJ,AH$1,0)*$D145,0),IFERROR(VLOOKUP($E:$E,Structure!$A:$AJ,AH$1,0)*$F145,0),IFERROR(VLOOKUP($G:$G,Structure!$A:$AJ,AH$1,0)*$H145,0))</f>
        <v>0</v>
      </c>
      <c r="AI145" s="9">
        <f>SUM(IFERROR(VLOOKUP($C:$C,Structure!$A:$AJ,AI$1,0)*$D145,0),IFERROR(VLOOKUP($E:$E,Structure!$A:$AJ,AI$1,0)*$F145,0),IFERROR(VLOOKUP($G:$G,Structure!$A:$AJ,AI$1,0)*$H145,0))</f>
        <v>0</v>
      </c>
      <c r="AJ145" s="9">
        <f>SUM(IFERROR(VLOOKUP($C:$C,Structure!$A:$AJ,AJ$1,0)*$D145,0),IFERROR(VLOOKUP($E:$E,Structure!$A:$AJ,AJ$1,0)*$F145,0),IFERROR(VLOOKUP($G:$G,Structure!$A:$AJ,AJ$1,0)*$H145,0))</f>
        <v>0</v>
      </c>
      <c r="AK145" s="9">
        <f>SUM(IFERROR(VLOOKUP($C:$C,Structure!$A:$AJ,AK$1,0)*$D145,0),IFERROR(VLOOKUP($E:$E,Structure!$A:$AJ,AK$1,0)*$F145,0),IFERROR(VLOOKUP($G:$G,Structure!$A:$AJ,AK$1,0)*$H145,0))</f>
        <v>0</v>
      </c>
      <c r="AL145" s="9">
        <f>SUM(IFERROR(VLOOKUP($C:$C,Structure!$A:$AJ,AL$1,0)*$D145,0),IFERROR(VLOOKUP($E:$E,Structure!$A:$AJ,AL$1,0)*$F145,0),IFERROR(VLOOKUP($G:$G,Structure!$A:$AJ,AL$1,0)*$H145,0))</f>
        <v>0</v>
      </c>
      <c r="AM145" s="9">
        <f>SUM(IFERROR(VLOOKUP($C:$C,Structure!$A:$AJ,AM$1,0)*$D145,0),IFERROR(VLOOKUP($E:$E,Structure!$A:$AJ,AM$1,0)*$F145,0),IFERROR(VLOOKUP($G:$G,Structure!$A:$AJ,AM$1,0)*$H145,0))</f>
        <v>0</v>
      </c>
      <c r="AN145" s="9">
        <f>SUM(IFERROR(VLOOKUP($C:$C,Structure!$A:$AJ,AN$1,0)*$D145,0),IFERROR(VLOOKUP($E:$E,Structure!$A:$AJ,AN$1,0)*$F145,0),IFERROR(VLOOKUP($G:$G,Structure!$A:$AJ,AN$1,0)*$H145,0))</f>
        <v>0</v>
      </c>
      <c r="AO145" s="9">
        <f>SUM(IFERROR(VLOOKUP($C:$C,Structure!$A:$AJ,AO$1,0)*$D145,0),IFERROR(VLOOKUP($E:$E,Structure!$A:$AJ,AO$1,0)*$F145,0),IFERROR(VLOOKUP($G:$G,Structure!$A:$AJ,AO$1,0)*$H145,0))</f>
        <v>0</v>
      </c>
      <c r="AP145" s="9">
        <f>SUM(IFERROR(VLOOKUP($C:$C,Structure!$A:$AJ,AP$1,0)*$D145,0),IFERROR(VLOOKUP($E:$E,Structure!$A:$AJ,AP$1,0)*$F145,0),IFERROR(VLOOKUP($G:$G,Structure!$A:$AJ,AP$1,0)*$H145,0))</f>
        <v>0</v>
      </c>
      <c r="AQ145" s="9">
        <f>SUM(IFERROR(VLOOKUP($C:$C,Structure!$A:$AJ,AQ$1,0)*$D145,0),IFERROR(VLOOKUP($E:$E,Structure!$A:$AJ,AQ$1,0)*$F145,0),IFERROR(VLOOKUP($G:$G,Structure!$A:$AJ,AQ$1,0)*$H145,0))</f>
        <v>0</v>
      </c>
      <c r="AR145" s="21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4">
        <f t="shared" si="162"/>
        <v>0</v>
      </c>
      <c r="CE145" s="4">
        <f t="shared" si="163"/>
        <v>-84</v>
      </c>
      <c r="CF145" s="4">
        <f t="shared" si="164"/>
        <v>4</v>
      </c>
      <c r="CG145" s="4">
        <f t="shared" si="165"/>
        <v>14</v>
      </c>
      <c r="CH145" s="4">
        <f t="shared" si="166"/>
        <v>-7</v>
      </c>
      <c r="CI145" s="4">
        <f t="shared" si="167"/>
        <v>127</v>
      </c>
      <c r="CJ145" s="4">
        <f t="shared" si="168"/>
        <v>-141</v>
      </c>
      <c r="CK145" s="4">
        <f t="shared" si="169"/>
        <v>95</v>
      </c>
      <c r="CL145" s="4">
        <f t="shared" si="170"/>
        <v>0</v>
      </c>
      <c r="CM145" s="4">
        <f t="shared" si="171"/>
        <v>6</v>
      </c>
      <c r="CN145" s="4">
        <f t="shared" si="172"/>
        <v>-28</v>
      </c>
      <c r="CO145" s="4">
        <f t="shared" si="173"/>
        <v>0</v>
      </c>
      <c r="CP145" s="4">
        <f t="shared" si="174"/>
        <v>69</v>
      </c>
      <c r="CQ145" s="4">
        <f t="shared" si="175"/>
        <v>-306</v>
      </c>
      <c r="CR145" s="4">
        <f t="shared" si="176"/>
        <v>15</v>
      </c>
      <c r="CS145" s="4">
        <f t="shared" si="177"/>
        <v>-24</v>
      </c>
      <c r="CT145" s="4">
        <f t="shared" si="178"/>
        <v>0</v>
      </c>
      <c r="CU145" s="4">
        <f t="shared" si="179"/>
        <v>0</v>
      </c>
      <c r="CV145" s="4">
        <f t="shared" si="180"/>
        <v>0</v>
      </c>
      <c r="CW145" s="4">
        <f t="shared" si="181"/>
        <v>0</v>
      </c>
      <c r="CX145" s="4">
        <f t="shared" si="182"/>
        <v>-197</v>
      </c>
      <c r="CY145" s="4">
        <f t="shared" si="183"/>
        <v>0</v>
      </c>
      <c r="CZ145" s="4">
        <f t="shared" si="184"/>
        <v>0</v>
      </c>
      <c r="DA145" s="4">
        <f t="shared" si="185"/>
        <v>0</v>
      </c>
      <c r="DB145" s="4">
        <f t="shared" si="186"/>
        <v>0</v>
      </c>
      <c r="DC145" s="4">
        <f t="shared" si="187"/>
        <v>0</v>
      </c>
      <c r="DD145" s="4">
        <f t="shared" si="188"/>
        <v>0</v>
      </c>
      <c r="DE145" s="4">
        <f t="shared" si="189"/>
        <v>0</v>
      </c>
      <c r="DF145" s="4">
        <f t="shared" si="190"/>
        <v>0</v>
      </c>
      <c r="DG145" s="4">
        <f t="shared" si="191"/>
        <v>0</v>
      </c>
      <c r="DH145" s="4">
        <f t="shared" si="192"/>
        <v>0</v>
      </c>
      <c r="DI145" s="4">
        <f t="shared" si="193"/>
        <v>0</v>
      </c>
      <c r="DJ145" s="4">
        <f t="shared" si="194"/>
        <v>0</v>
      </c>
      <c r="DK145" s="4">
        <f t="shared" si="195"/>
        <v>0</v>
      </c>
      <c r="DL145" s="4">
        <f t="shared" si="196"/>
        <v>0</v>
      </c>
    </row>
    <row r="146" spans="1:116" x14ac:dyDescent="0.25">
      <c r="A146" s="5">
        <v>46186</v>
      </c>
      <c r="B146" s="6">
        <v>0.29166666701348731</v>
      </c>
      <c r="C146" s="3"/>
      <c r="D146" s="3"/>
      <c r="E146" s="3" t="s">
        <v>30</v>
      </c>
      <c r="F146" s="3">
        <v>8</v>
      </c>
      <c r="G146" s="3"/>
      <c r="H146" s="9"/>
      <c r="I146" s="9">
        <f>SUM(IFERROR(VLOOKUP($C:$C,Structure!$A:$AJ,I$1,0)*$D146,0),IFERROR(VLOOKUP($E:$E,Structure!$A:$AJ,I$1,0)*$F146,0),IFERROR(VLOOKUP($G:$G,Structure!$A:$AJ,I$1,0)*$H146,0))</f>
        <v>0</v>
      </c>
      <c r="J146" s="9">
        <f>SUM(IFERROR(VLOOKUP($C:$C,Structure!$A:$AJ,J$1,0)*$D146,0),IFERROR(VLOOKUP($E:$E,Structure!$A:$AJ,J$1,0)*$F146,0),IFERROR(VLOOKUP($G:$G,Structure!$A:$AJ,J$1,0)*$H146,0))</f>
        <v>0</v>
      </c>
      <c r="K146" s="9">
        <f>SUM(IFERROR(VLOOKUP($C:$C,Structure!$A:$AJ,K$1,0)*$D146,0),IFERROR(VLOOKUP($E:$E,Structure!$A:$AJ,K$1,0)*$F146,0),IFERROR(VLOOKUP($G:$G,Structure!$A:$AJ,K$1,0)*$H146,0))</f>
        <v>0</v>
      </c>
      <c r="L146" s="9">
        <f>SUM(IFERROR(VLOOKUP($C:$C,Structure!$A:$AJ,L$1,0)*$D146,0),IFERROR(VLOOKUP($E:$E,Structure!$A:$AJ,L$1,0)*$F146,0),IFERROR(VLOOKUP($G:$G,Structure!$A:$AJ,L$1,0)*$H146,0))</f>
        <v>0</v>
      </c>
      <c r="M146" s="9">
        <f>SUM(IFERROR(VLOOKUP($C:$C,Structure!$A:$AJ,M$1,0)*$D146,0),IFERROR(VLOOKUP($E:$E,Structure!$A:$AJ,M$1,0)*$F146,0),IFERROR(VLOOKUP($G:$G,Structure!$A:$AJ,M$1,0)*$H146,0))</f>
        <v>0</v>
      </c>
      <c r="N146" s="9">
        <f>SUM(IFERROR(VLOOKUP($C:$C,Structure!$A:$AJ,N$1,0)*$D146,0),IFERROR(VLOOKUP($E:$E,Structure!$A:$AJ,N$1,0)*$F146,0),IFERROR(VLOOKUP($G:$G,Structure!$A:$AJ,N$1,0)*$H146,0))</f>
        <v>0</v>
      </c>
      <c r="O146" s="9">
        <f>SUM(IFERROR(VLOOKUP($C:$C,Structure!$A:$AJ,O$1,0)*$D146,0),IFERROR(VLOOKUP($E:$E,Structure!$A:$AJ,O$1,0)*$F146,0),IFERROR(VLOOKUP($G:$G,Structure!$A:$AJ,O$1,0)*$H146,0))</f>
        <v>0</v>
      </c>
      <c r="P146" s="9">
        <f>SUM(IFERROR(VLOOKUP($C:$C,Structure!$A:$AJ,P$1,0)*$D146,0),IFERROR(VLOOKUP($E:$E,Structure!$A:$AJ,P$1,0)*$F146,0),IFERROR(VLOOKUP($G:$G,Structure!$A:$AJ,P$1,0)*$H146,0))</f>
        <v>0</v>
      </c>
      <c r="Q146" s="9">
        <f>SUM(IFERROR(VLOOKUP($C:$C,Structure!$A:$AJ,Q$1,0)*$D146,0),IFERROR(VLOOKUP($E:$E,Structure!$A:$AJ,Q$1,0)*$F146,0),IFERROR(VLOOKUP($G:$G,Structure!$A:$AJ,Q$1,0)*$H146,0))</f>
        <v>0</v>
      </c>
      <c r="R146" s="9">
        <f>SUM(IFERROR(VLOOKUP($C:$C,Structure!$A:$AJ,R$1,0)*$D146,0),IFERROR(VLOOKUP($E:$E,Structure!$A:$AJ,R$1,0)*$F146,0),IFERROR(VLOOKUP($G:$G,Structure!$A:$AJ,R$1,0)*$H146,0))</f>
        <v>0</v>
      </c>
      <c r="S146" s="9">
        <f>SUM(IFERROR(VLOOKUP($C:$C,Structure!$A:$AJ,S$1,0)*$D146,0),IFERROR(VLOOKUP($E:$E,Structure!$A:$AJ,S$1,0)*$F146,0),IFERROR(VLOOKUP($G:$G,Structure!$A:$AJ,S$1,0)*$H146,0))</f>
        <v>0</v>
      </c>
      <c r="T146" s="9">
        <f>SUM(IFERROR(VLOOKUP($C:$C,Structure!$A:$AJ,T$1,0)*$D146,0),IFERROR(VLOOKUP($E:$E,Structure!$A:$AJ,T$1,0)*$F146,0),IFERROR(VLOOKUP($G:$G,Structure!$A:$AJ,T$1,0)*$H146,0))</f>
        <v>0</v>
      </c>
      <c r="U146" s="9">
        <f>SUM(IFERROR(VLOOKUP($C:$C,Structure!$A:$AJ,U$1,0)*$D146,0),IFERROR(VLOOKUP($E:$E,Structure!$A:$AJ,U$1,0)*$F146,0),IFERROR(VLOOKUP($G:$G,Structure!$A:$AJ,U$1,0)*$H146,0))</f>
        <v>0</v>
      </c>
      <c r="V146" s="9">
        <f>SUM(IFERROR(VLOOKUP($C:$C,Structure!$A:$AJ,V$1,0)*$D146,0),IFERROR(VLOOKUP($E:$E,Structure!$A:$AJ,V$1,0)*$F146,0),IFERROR(VLOOKUP($G:$G,Structure!$A:$AJ,V$1,0)*$H146,0))</f>
        <v>8</v>
      </c>
      <c r="W146" s="9">
        <f>SUM(IFERROR(VLOOKUP($C:$C,Structure!$A:$AJ,W$1,0)*$D146,0),IFERROR(VLOOKUP($E:$E,Structure!$A:$AJ,W$1,0)*$F146,0),IFERROR(VLOOKUP($G:$G,Structure!$A:$AJ,W$1,0)*$H146,0))</f>
        <v>0</v>
      </c>
      <c r="X146" s="9">
        <f>SUM(IFERROR(VLOOKUP($C:$C,Structure!$A:$AJ,X$1,0)*$D146,0),IFERROR(VLOOKUP($E:$E,Structure!$A:$AJ,X$1,0)*$F146,0),IFERROR(VLOOKUP($G:$G,Structure!$A:$AJ,X$1,0)*$H146,0))</f>
        <v>0</v>
      </c>
      <c r="Y146" s="9">
        <f>SUM(IFERROR(VLOOKUP($C:$C,Structure!$A:$AJ,Y$1,0)*$D146,0),IFERROR(VLOOKUP($E:$E,Structure!$A:$AJ,Y$1,0)*$F146,0),IFERROR(VLOOKUP($G:$G,Structure!$A:$AJ,Y$1,0)*$H146,0))</f>
        <v>0</v>
      </c>
      <c r="Z146" s="9">
        <f>SUM(IFERROR(VLOOKUP($C:$C,Structure!$A:$AJ,Z$1,0)*$D146,0),IFERROR(VLOOKUP($E:$E,Structure!$A:$AJ,Z$1,0)*$F146,0),IFERROR(VLOOKUP($G:$G,Structure!$A:$AJ,Z$1,0)*$H146,0))</f>
        <v>0</v>
      </c>
      <c r="AA146" s="9">
        <f>SUM(IFERROR(VLOOKUP($C:$C,Structure!$A:$AJ,AA$1,0)*$D146,0),IFERROR(VLOOKUP($E:$E,Structure!$A:$AJ,AA$1,0)*$F146,0),IFERROR(VLOOKUP($G:$G,Structure!$A:$AJ,AA$1,0)*$H146,0))</f>
        <v>0</v>
      </c>
      <c r="AB146" s="9">
        <f>SUM(IFERROR(VLOOKUP($C:$C,Structure!$A:$AJ,AB$1,0)*$D146,0),IFERROR(VLOOKUP($E:$E,Structure!$A:$AJ,AB$1,0)*$F146,0),IFERROR(VLOOKUP($G:$G,Structure!$A:$AJ,AB$1,0)*$H146,0))</f>
        <v>0</v>
      </c>
      <c r="AC146" s="9">
        <f>SUM(IFERROR(VLOOKUP($C:$C,Structure!$A:$AJ,AC$1,0)*$D146,0),IFERROR(VLOOKUP($E:$E,Structure!$A:$AJ,AC$1,0)*$F146,0),IFERROR(VLOOKUP($G:$G,Structure!$A:$AJ,AC$1,0)*$H146,0))</f>
        <v>8</v>
      </c>
      <c r="AD146" s="9">
        <f>SUM(IFERROR(VLOOKUP($C:$C,Structure!$A:$AJ,AD$1,0)*$D146,0),IFERROR(VLOOKUP($E:$E,Structure!$A:$AJ,AD$1,0)*$F146,0),IFERROR(VLOOKUP($G:$G,Structure!$A:$AJ,AD$1,0)*$H146,0))</f>
        <v>0</v>
      </c>
      <c r="AE146" s="9">
        <f>SUM(IFERROR(VLOOKUP($C:$C,Structure!$A:$AJ,AE$1,0)*$D146,0),IFERROR(VLOOKUP($E:$E,Structure!$A:$AJ,AE$1,0)*$F146,0),IFERROR(VLOOKUP($G:$G,Structure!$A:$AJ,AE$1,0)*$H146,0))</f>
        <v>0</v>
      </c>
      <c r="AF146" s="9">
        <f>SUM(IFERROR(VLOOKUP($C:$C,Structure!$A:$AJ,AF$1,0)*$D146,0),IFERROR(VLOOKUP($E:$E,Structure!$A:$AJ,AF$1,0)*$F146,0),IFERROR(VLOOKUP($G:$G,Structure!$A:$AJ,AF$1,0)*$H146,0))</f>
        <v>0</v>
      </c>
      <c r="AG146" s="9">
        <f>SUM(IFERROR(VLOOKUP($C:$C,Structure!$A:$AJ,AG$1,0)*$D146,0),IFERROR(VLOOKUP($E:$E,Structure!$A:$AJ,AG$1,0)*$F146,0),IFERROR(VLOOKUP($G:$G,Structure!$A:$AJ,AG$1,0)*$H146,0))</f>
        <v>0</v>
      </c>
      <c r="AH146" s="9">
        <f>SUM(IFERROR(VLOOKUP($C:$C,Structure!$A:$AJ,AH$1,0)*$D146,0),IFERROR(VLOOKUP($E:$E,Structure!$A:$AJ,AH$1,0)*$F146,0),IFERROR(VLOOKUP($G:$G,Structure!$A:$AJ,AH$1,0)*$H146,0))</f>
        <v>0</v>
      </c>
      <c r="AI146" s="9">
        <f>SUM(IFERROR(VLOOKUP($C:$C,Structure!$A:$AJ,AI$1,0)*$D146,0),IFERROR(VLOOKUP($E:$E,Structure!$A:$AJ,AI$1,0)*$F146,0),IFERROR(VLOOKUP($G:$G,Structure!$A:$AJ,AI$1,0)*$H146,0))</f>
        <v>0</v>
      </c>
      <c r="AJ146" s="9">
        <f>SUM(IFERROR(VLOOKUP($C:$C,Structure!$A:$AJ,AJ$1,0)*$D146,0),IFERROR(VLOOKUP($E:$E,Structure!$A:$AJ,AJ$1,0)*$F146,0),IFERROR(VLOOKUP($G:$G,Structure!$A:$AJ,AJ$1,0)*$H146,0))</f>
        <v>0</v>
      </c>
      <c r="AK146" s="9">
        <f>SUM(IFERROR(VLOOKUP($C:$C,Structure!$A:$AJ,AK$1,0)*$D146,0),IFERROR(VLOOKUP($E:$E,Structure!$A:$AJ,AK$1,0)*$F146,0),IFERROR(VLOOKUP($G:$G,Structure!$A:$AJ,AK$1,0)*$H146,0))</f>
        <v>0</v>
      </c>
      <c r="AL146" s="9">
        <f>SUM(IFERROR(VLOOKUP($C:$C,Structure!$A:$AJ,AL$1,0)*$D146,0),IFERROR(VLOOKUP($E:$E,Structure!$A:$AJ,AL$1,0)*$F146,0),IFERROR(VLOOKUP($G:$G,Structure!$A:$AJ,AL$1,0)*$H146,0))</f>
        <v>0</v>
      </c>
      <c r="AM146" s="9">
        <f>SUM(IFERROR(VLOOKUP($C:$C,Structure!$A:$AJ,AM$1,0)*$D146,0),IFERROR(VLOOKUP($E:$E,Structure!$A:$AJ,AM$1,0)*$F146,0),IFERROR(VLOOKUP($G:$G,Structure!$A:$AJ,AM$1,0)*$H146,0))</f>
        <v>0</v>
      </c>
      <c r="AN146" s="9">
        <f>SUM(IFERROR(VLOOKUP($C:$C,Structure!$A:$AJ,AN$1,0)*$D146,0),IFERROR(VLOOKUP($E:$E,Structure!$A:$AJ,AN$1,0)*$F146,0),IFERROR(VLOOKUP($G:$G,Structure!$A:$AJ,AN$1,0)*$H146,0))</f>
        <v>0</v>
      </c>
      <c r="AO146" s="9">
        <f>SUM(IFERROR(VLOOKUP($C:$C,Structure!$A:$AJ,AO$1,0)*$D146,0),IFERROR(VLOOKUP($E:$E,Structure!$A:$AJ,AO$1,0)*$F146,0),IFERROR(VLOOKUP($G:$G,Structure!$A:$AJ,AO$1,0)*$H146,0))</f>
        <v>0</v>
      </c>
      <c r="AP146" s="9">
        <f>SUM(IFERROR(VLOOKUP($C:$C,Structure!$A:$AJ,AP$1,0)*$D146,0),IFERROR(VLOOKUP($E:$E,Structure!$A:$AJ,AP$1,0)*$F146,0),IFERROR(VLOOKUP($G:$G,Structure!$A:$AJ,AP$1,0)*$H146,0))</f>
        <v>0</v>
      </c>
      <c r="AQ146" s="9">
        <f>SUM(IFERROR(VLOOKUP($C:$C,Structure!$A:$AJ,AQ$1,0)*$D146,0),IFERROR(VLOOKUP($E:$E,Structure!$A:$AJ,AQ$1,0)*$F146,0),IFERROR(VLOOKUP($G:$G,Structure!$A:$AJ,AQ$1,0)*$H146,0))</f>
        <v>0</v>
      </c>
      <c r="AR146" s="21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4">
        <f t="shared" si="162"/>
        <v>0</v>
      </c>
      <c r="CE146" s="4">
        <f t="shared" si="163"/>
        <v>-84</v>
      </c>
      <c r="CF146" s="4">
        <f t="shared" si="164"/>
        <v>4</v>
      </c>
      <c r="CG146" s="4">
        <f t="shared" si="165"/>
        <v>14</v>
      </c>
      <c r="CH146" s="4">
        <f t="shared" si="166"/>
        <v>-7</v>
      </c>
      <c r="CI146" s="4">
        <f t="shared" si="167"/>
        <v>127</v>
      </c>
      <c r="CJ146" s="4">
        <f t="shared" si="168"/>
        <v>-141</v>
      </c>
      <c r="CK146" s="4">
        <f t="shared" si="169"/>
        <v>95</v>
      </c>
      <c r="CL146" s="4">
        <f t="shared" si="170"/>
        <v>0</v>
      </c>
      <c r="CM146" s="4">
        <f t="shared" si="171"/>
        <v>6</v>
      </c>
      <c r="CN146" s="4">
        <f t="shared" si="172"/>
        <v>-28</v>
      </c>
      <c r="CO146" s="4">
        <f t="shared" si="173"/>
        <v>0</v>
      </c>
      <c r="CP146" s="4">
        <f t="shared" si="174"/>
        <v>69</v>
      </c>
      <c r="CQ146" s="4">
        <f t="shared" si="175"/>
        <v>-314</v>
      </c>
      <c r="CR146" s="4">
        <f t="shared" si="176"/>
        <v>15</v>
      </c>
      <c r="CS146" s="4">
        <f t="shared" si="177"/>
        <v>-24</v>
      </c>
      <c r="CT146" s="4">
        <f t="shared" si="178"/>
        <v>0</v>
      </c>
      <c r="CU146" s="4">
        <f t="shared" si="179"/>
        <v>0</v>
      </c>
      <c r="CV146" s="4">
        <f t="shared" si="180"/>
        <v>0</v>
      </c>
      <c r="CW146" s="4">
        <f t="shared" si="181"/>
        <v>0</v>
      </c>
      <c r="CX146" s="4">
        <f t="shared" si="182"/>
        <v>-205</v>
      </c>
      <c r="CY146" s="4">
        <f t="shared" si="183"/>
        <v>0</v>
      </c>
      <c r="CZ146" s="4">
        <f t="shared" si="184"/>
        <v>0</v>
      </c>
      <c r="DA146" s="4">
        <f t="shared" si="185"/>
        <v>0</v>
      </c>
      <c r="DB146" s="4">
        <f t="shared" si="186"/>
        <v>0</v>
      </c>
      <c r="DC146" s="4">
        <f t="shared" si="187"/>
        <v>0</v>
      </c>
      <c r="DD146" s="4">
        <f t="shared" si="188"/>
        <v>0</v>
      </c>
      <c r="DE146" s="4">
        <f t="shared" si="189"/>
        <v>0</v>
      </c>
      <c r="DF146" s="4">
        <f t="shared" si="190"/>
        <v>0</v>
      </c>
      <c r="DG146" s="4">
        <f t="shared" si="191"/>
        <v>0</v>
      </c>
      <c r="DH146" s="4">
        <f t="shared" si="192"/>
        <v>0</v>
      </c>
      <c r="DI146" s="4">
        <f t="shared" si="193"/>
        <v>0</v>
      </c>
      <c r="DJ146" s="4">
        <f t="shared" si="194"/>
        <v>0</v>
      </c>
      <c r="DK146" s="4">
        <f t="shared" si="195"/>
        <v>0</v>
      </c>
      <c r="DL146" s="4">
        <f t="shared" si="196"/>
        <v>0</v>
      </c>
    </row>
    <row r="147" spans="1:116" x14ac:dyDescent="0.25">
      <c r="A147" s="5">
        <v>46186</v>
      </c>
      <c r="B147" s="6">
        <v>0.31250000034924597</v>
      </c>
      <c r="C147" s="3"/>
      <c r="D147" s="3"/>
      <c r="E147" s="3" t="s">
        <v>30</v>
      </c>
      <c r="F147" s="3">
        <v>8</v>
      </c>
      <c r="G147" s="3"/>
      <c r="H147" s="9"/>
      <c r="I147" s="9">
        <f>SUM(IFERROR(VLOOKUP($C:$C,Structure!$A:$AJ,I$1,0)*$D147,0),IFERROR(VLOOKUP($E:$E,Structure!$A:$AJ,I$1,0)*$F147,0),IFERROR(VLOOKUP($G:$G,Structure!$A:$AJ,I$1,0)*$H147,0))</f>
        <v>0</v>
      </c>
      <c r="J147" s="9">
        <f>SUM(IFERROR(VLOOKUP($C:$C,Structure!$A:$AJ,J$1,0)*$D147,0),IFERROR(VLOOKUP($E:$E,Structure!$A:$AJ,J$1,0)*$F147,0),IFERROR(VLOOKUP($G:$G,Structure!$A:$AJ,J$1,0)*$H147,0))</f>
        <v>0</v>
      </c>
      <c r="K147" s="9">
        <f>SUM(IFERROR(VLOOKUP($C:$C,Structure!$A:$AJ,K$1,0)*$D147,0),IFERROR(VLOOKUP($E:$E,Structure!$A:$AJ,K$1,0)*$F147,0),IFERROR(VLOOKUP($G:$G,Structure!$A:$AJ,K$1,0)*$H147,0))</f>
        <v>0</v>
      </c>
      <c r="L147" s="9">
        <f>SUM(IFERROR(VLOOKUP($C:$C,Structure!$A:$AJ,L$1,0)*$D147,0),IFERROR(VLOOKUP($E:$E,Structure!$A:$AJ,L$1,0)*$F147,0),IFERROR(VLOOKUP($G:$G,Structure!$A:$AJ,L$1,0)*$H147,0))</f>
        <v>0</v>
      </c>
      <c r="M147" s="9">
        <f>SUM(IFERROR(VLOOKUP($C:$C,Structure!$A:$AJ,M$1,0)*$D147,0),IFERROR(VLOOKUP($E:$E,Structure!$A:$AJ,M$1,0)*$F147,0),IFERROR(VLOOKUP($G:$G,Structure!$A:$AJ,M$1,0)*$H147,0))</f>
        <v>0</v>
      </c>
      <c r="N147" s="9">
        <f>SUM(IFERROR(VLOOKUP($C:$C,Structure!$A:$AJ,N$1,0)*$D147,0),IFERROR(VLOOKUP($E:$E,Structure!$A:$AJ,N$1,0)*$F147,0),IFERROR(VLOOKUP($G:$G,Structure!$A:$AJ,N$1,0)*$H147,0))</f>
        <v>0</v>
      </c>
      <c r="O147" s="9">
        <f>SUM(IFERROR(VLOOKUP($C:$C,Structure!$A:$AJ,O$1,0)*$D147,0),IFERROR(VLOOKUP($E:$E,Structure!$A:$AJ,O$1,0)*$F147,0),IFERROR(VLOOKUP($G:$G,Structure!$A:$AJ,O$1,0)*$H147,0))</f>
        <v>0</v>
      </c>
      <c r="P147" s="9">
        <f>SUM(IFERROR(VLOOKUP($C:$C,Structure!$A:$AJ,P$1,0)*$D147,0),IFERROR(VLOOKUP($E:$E,Structure!$A:$AJ,P$1,0)*$F147,0),IFERROR(VLOOKUP($G:$G,Structure!$A:$AJ,P$1,0)*$H147,0))</f>
        <v>0</v>
      </c>
      <c r="Q147" s="9">
        <f>SUM(IFERROR(VLOOKUP($C:$C,Structure!$A:$AJ,Q$1,0)*$D147,0),IFERROR(VLOOKUP($E:$E,Structure!$A:$AJ,Q$1,0)*$F147,0),IFERROR(VLOOKUP($G:$G,Structure!$A:$AJ,Q$1,0)*$H147,0))</f>
        <v>0</v>
      </c>
      <c r="R147" s="9">
        <f>SUM(IFERROR(VLOOKUP($C:$C,Structure!$A:$AJ,R$1,0)*$D147,0),IFERROR(VLOOKUP($E:$E,Structure!$A:$AJ,R$1,0)*$F147,0),IFERROR(VLOOKUP($G:$G,Structure!$A:$AJ,R$1,0)*$H147,0))</f>
        <v>0</v>
      </c>
      <c r="S147" s="9">
        <f>SUM(IFERROR(VLOOKUP($C:$C,Structure!$A:$AJ,S$1,0)*$D147,0),IFERROR(VLOOKUP($E:$E,Structure!$A:$AJ,S$1,0)*$F147,0),IFERROR(VLOOKUP($G:$G,Structure!$A:$AJ,S$1,0)*$H147,0))</f>
        <v>0</v>
      </c>
      <c r="T147" s="9">
        <f>SUM(IFERROR(VLOOKUP($C:$C,Structure!$A:$AJ,T$1,0)*$D147,0),IFERROR(VLOOKUP($E:$E,Structure!$A:$AJ,T$1,0)*$F147,0),IFERROR(VLOOKUP($G:$G,Structure!$A:$AJ,T$1,0)*$H147,0))</f>
        <v>0</v>
      </c>
      <c r="U147" s="9">
        <f>SUM(IFERROR(VLOOKUP($C:$C,Structure!$A:$AJ,U$1,0)*$D147,0),IFERROR(VLOOKUP($E:$E,Structure!$A:$AJ,U$1,0)*$F147,0),IFERROR(VLOOKUP($G:$G,Structure!$A:$AJ,U$1,0)*$H147,0))</f>
        <v>0</v>
      </c>
      <c r="V147" s="9">
        <f>SUM(IFERROR(VLOOKUP($C:$C,Structure!$A:$AJ,V$1,0)*$D147,0),IFERROR(VLOOKUP($E:$E,Structure!$A:$AJ,V$1,0)*$F147,0),IFERROR(VLOOKUP($G:$G,Structure!$A:$AJ,V$1,0)*$H147,0))</f>
        <v>8</v>
      </c>
      <c r="W147" s="9">
        <f>SUM(IFERROR(VLOOKUP($C:$C,Structure!$A:$AJ,W$1,0)*$D147,0),IFERROR(VLOOKUP($E:$E,Structure!$A:$AJ,W$1,0)*$F147,0),IFERROR(VLOOKUP($G:$G,Structure!$A:$AJ,W$1,0)*$H147,0))</f>
        <v>0</v>
      </c>
      <c r="X147" s="9">
        <f>SUM(IFERROR(VLOOKUP($C:$C,Structure!$A:$AJ,X$1,0)*$D147,0),IFERROR(VLOOKUP($E:$E,Structure!$A:$AJ,X$1,0)*$F147,0),IFERROR(VLOOKUP($G:$G,Structure!$A:$AJ,X$1,0)*$H147,0))</f>
        <v>0</v>
      </c>
      <c r="Y147" s="9">
        <f>SUM(IFERROR(VLOOKUP($C:$C,Structure!$A:$AJ,Y$1,0)*$D147,0),IFERROR(VLOOKUP($E:$E,Structure!$A:$AJ,Y$1,0)*$F147,0),IFERROR(VLOOKUP($G:$G,Structure!$A:$AJ,Y$1,0)*$H147,0))</f>
        <v>0</v>
      </c>
      <c r="Z147" s="9">
        <f>SUM(IFERROR(VLOOKUP($C:$C,Structure!$A:$AJ,Z$1,0)*$D147,0),IFERROR(VLOOKUP($E:$E,Structure!$A:$AJ,Z$1,0)*$F147,0),IFERROR(VLOOKUP($G:$G,Structure!$A:$AJ,Z$1,0)*$H147,0))</f>
        <v>0</v>
      </c>
      <c r="AA147" s="9">
        <f>SUM(IFERROR(VLOOKUP($C:$C,Structure!$A:$AJ,AA$1,0)*$D147,0),IFERROR(VLOOKUP($E:$E,Structure!$A:$AJ,AA$1,0)*$F147,0),IFERROR(VLOOKUP($G:$G,Structure!$A:$AJ,AA$1,0)*$H147,0))</f>
        <v>0</v>
      </c>
      <c r="AB147" s="9">
        <f>SUM(IFERROR(VLOOKUP($C:$C,Structure!$A:$AJ,AB$1,0)*$D147,0),IFERROR(VLOOKUP($E:$E,Structure!$A:$AJ,AB$1,0)*$F147,0),IFERROR(VLOOKUP($G:$G,Structure!$A:$AJ,AB$1,0)*$H147,0))</f>
        <v>0</v>
      </c>
      <c r="AC147" s="9">
        <f>SUM(IFERROR(VLOOKUP($C:$C,Structure!$A:$AJ,AC$1,0)*$D147,0),IFERROR(VLOOKUP($E:$E,Structure!$A:$AJ,AC$1,0)*$F147,0),IFERROR(VLOOKUP($G:$G,Structure!$A:$AJ,AC$1,0)*$H147,0))</f>
        <v>8</v>
      </c>
      <c r="AD147" s="9">
        <f>SUM(IFERROR(VLOOKUP($C:$C,Structure!$A:$AJ,AD$1,0)*$D147,0),IFERROR(VLOOKUP($E:$E,Structure!$A:$AJ,AD$1,0)*$F147,0),IFERROR(VLOOKUP($G:$G,Structure!$A:$AJ,AD$1,0)*$H147,0))</f>
        <v>0</v>
      </c>
      <c r="AE147" s="9">
        <f>SUM(IFERROR(VLOOKUP($C:$C,Structure!$A:$AJ,AE$1,0)*$D147,0),IFERROR(VLOOKUP($E:$E,Structure!$A:$AJ,AE$1,0)*$F147,0),IFERROR(VLOOKUP($G:$G,Structure!$A:$AJ,AE$1,0)*$H147,0))</f>
        <v>0</v>
      </c>
      <c r="AF147" s="9">
        <f>SUM(IFERROR(VLOOKUP($C:$C,Structure!$A:$AJ,AF$1,0)*$D147,0),IFERROR(VLOOKUP($E:$E,Structure!$A:$AJ,AF$1,0)*$F147,0),IFERROR(VLOOKUP($G:$G,Structure!$A:$AJ,AF$1,0)*$H147,0))</f>
        <v>0</v>
      </c>
      <c r="AG147" s="9">
        <f>SUM(IFERROR(VLOOKUP($C:$C,Structure!$A:$AJ,AG$1,0)*$D147,0),IFERROR(VLOOKUP($E:$E,Structure!$A:$AJ,AG$1,0)*$F147,0),IFERROR(VLOOKUP($G:$G,Structure!$A:$AJ,AG$1,0)*$H147,0))</f>
        <v>0</v>
      </c>
      <c r="AH147" s="9">
        <f>SUM(IFERROR(VLOOKUP($C:$C,Structure!$A:$AJ,AH$1,0)*$D147,0),IFERROR(VLOOKUP($E:$E,Structure!$A:$AJ,AH$1,0)*$F147,0),IFERROR(VLOOKUP($G:$G,Structure!$A:$AJ,AH$1,0)*$H147,0))</f>
        <v>0</v>
      </c>
      <c r="AI147" s="9">
        <f>SUM(IFERROR(VLOOKUP($C:$C,Structure!$A:$AJ,AI$1,0)*$D147,0),IFERROR(VLOOKUP($E:$E,Structure!$A:$AJ,AI$1,0)*$F147,0),IFERROR(VLOOKUP($G:$G,Structure!$A:$AJ,AI$1,0)*$H147,0))</f>
        <v>0</v>
      </c>
      <c r="AJ147" s="9">
        <f>SUM(IFERROR(VLOOKUP($C:$C,Structure!$A:$AJ,AJ$1,0)*$D147,0),IFERROR(VLOOKUP($E:$E,Structure!$A:$AJ,AJ$1,0)*$F147,0),IFERROR(VLOOKUP($G:$G,Structure!$A:$AJ,AJ$1,0)*$H147,0))</f>
        <v>0</v>
      </c>
      <c r="AK147" s="9">
        <f>SUM(IFERROR(VLOOKUP($C:$C,Structure!$A:$AJ,AK$1,0)*$D147,0),IFERROR(VLOOKUP($E:$E,Structure!$A:$AJ,AK$1,0)*$F147,0),IFERROR(VLOOKUP($G:$G,Structure!$A:$AJ,AK$1,0)*$H147,0))</f>
        <v>0</v>
      </c>
      <c r="AL147" s="9">
        <f>SUM(IFERROR(VLOOKUP($C:$C,Structure!$A:$AJ,AL$1,0)*$D147,0),IFERROR(VLOOKUP($E:$E,Structure!$A:$AJ,AL$1,0)*$F147,0),IFERROR(VLOOKUP($G:$G,Structure!$A:$AJ,AL$1,0)*$H147,0))</f>
        <v>0</v>
      </c>
      <c r="AM147" s="9">
        <f>SUM(IFERROR(VLOOKUP($C:$C,Structure!$A:$AJ,AM$1,0)*$D147,0),IFERROR(VLOOKUP($E:$E,Structure!$A:$AJ,AM$1,0)*$F147,0),IFERROR(VLOOKUP($G:$G,Structure!$A:$AJ,AM$1,0)*$H147,0))</f>
        <v>0</v>
      </c>
      <c r="AN147" s="9">
        <f>SUM(IFERROR(VLOOKUP($C:$C,Structure!$A:$AJ,AN$1,0)*$D147,0),IFERROR(VLOOKUP($E:$E,Structure!$A:$AJ,AN$1,0)*$F147,0),IFERROR(VLOOKUP($G:$G,Structure!$A:$AJ,AN$1,0)*$H147,0))</f>
        <v>0</v>
      </c>
      <c r="AO147" s="9">
        <f>SUM(IFERROR(VLOOKUP($C:$C,Structure!$A:$AJ,AO$1,0)*$D147,0),IFERROR(VLOOKUP($E:$E,Structure!$A:$AJ,AO$1,0)*$F147,0),IFERROR(VLOOKUP($G:$G,Structure!$A:$AJ,AO$1,0)*$H147,0))</f>
        <v>0</v>
      </c>
      <c r="AP147" s="9">
        <f>SUM(IFERROR(VLOOKUP($C:$C,Structure!$A:$AJ,AP$1,0)*$D147,0),IFERROR(VLOOKUP($E:$E,Structure!$A:$AJ,AP$1,0)*$F147,0),IFERROR(VLOOKUP($G:$G,Structure!$A:$AJ,AP$1,0)*$H147,0))</f>
        <v>0</v>
      </c>
      <c r="AQ147" s="9">
        <f>SUM(IFERROR(VLOOKUP($C:$C,Structure!$A:$AJ,AQ$1,0)*$D147,0),IFERROR(VLOOKUP($E:$E,Structure!$A:$AJ,AQ$1,0)*$F147,0),IFERROR(VLOOKUP($G:$G,Structure!$A:$AJ,AQ$1,0)*$H147,0))</f>
        <v>0</v>
      </c>
      <c r="AR147" s="21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4">
        <f t="shared" si="162"/>
        <v>0</v>
      </c>
      <c r="CE147" s="4">
        <f t="shared" si="163"/>
        <v>-84</v>
      </c>
      <c r="CF147" s="4">
        <f t="shared" si="164"/>
        <v>4</v>
      </c>
      <c r="CG147" s="4">
        <f t="shared" si="165"/>
        <v>14</v>
      </c>
      <c r="CH147" s="4">
        <f t="shared" si="166"/>
        <v>-7</v>
      </c>
      <c r="CI147" s="4">
        <f t="shared" si="167"/>
        <v>127</v>
      </c>
      <c r="CJ147" s="4">
        <f t="shared" si="168"/>
        <v>-141</v>
      </c>
      <c r="CK147" s="4">
        <f t="shared" si="169"/>
        <v>95</v>
      </c>
      <c r="CL147" s="4">
        <f t="shared" si="170"/>
        <v>0</v>
      </c>
      <c r="CM147" s="4">
        <f t="shared" si="171"/>
        <v>6</v>
      </c>
      <c r="CN147" s="4">
        <f t="shared" si="172"/>
        <v>-28</v>
      </c>
      <c r="CO147" s="4">
        <f t="shared" si="173"/>
        <v>0</v>
      </c>
      <c r="CP147" s="4">
        <f t="shared" si="174"/>
        <v>69</v>
      </c>
      <c r="CQ147" s="4">
        <f t="shared" si="175"/>
        <v>-322</v>
      </c>
      <c r="CR147" s="4">
        <f t="shared" si="176"/>
        <v>15</v>
      </c>
      <c r="CS147" s="4">
        <f t="shared" si="177"/>
        <v>-24</v>
      </c>
      <c r="CT147" s="4">
        <f t="shared" si="178"/>
        <v>0</v>
      </c>
      <c r="CU147" s="4">
        <f t="shared" si="179"/>
        <v>0</v>
      </c>
      <c r="CV147" s="4">
        <f t="shared" si="180"/>
        <v>0</v>
      </c>
      <c r="CW147" s="4">
        <f t="shared" si="181"/>
        <v>0</v>
      </c>
      <c r="CX147" s="4">
        <f t="shared" si="182"/>
        <v>-213</v>
      </c>
      <c r="CY147" s="4">
        <f t="shared" si="183"/>
        <v>0</v>
      </c>
      <c r="CZ147" s="4">
        <f t="shared" si="184"/>
        <v>0</v>
      </c>
      <c r="DA147" s="4">
        <f t="shared" si="185"/>
        <v>0</v>
      </c>
      <c r="DB147" s="4">
        <f t="shared" si="186"/>
        <v>0</v>
      </c>
      <c r="DC147" s="4">
        <f t="shared" si="187"/>
        <v>0</v>
      </c>
      <c r="DD147" s="4">
        <f t="shared" si="188"/>
        <v>0</v>
      </c>
      <c r="DE147" s="4">
        <f t="shared" si="189"/>
        <v>0</v>
      </c>
      <c r="DF147" s="4">
        <f t="shared" si="190"/>
        <v>0</v>
      </c>
      <c r="DG147" s="4">
        <f t="shared" si="191"/>
        <v>0</v>
      </c>
      <c r="DH147" s="4">
        <f t="shared" si="192"/>
        <v>0</v>
      </c>
      <c r="DI147" s="4">
        <f t="shared" si="193"/>
        <v>0</v>
      </c>
      <c r="DJ147" s="4">
        <f t="shared" si="194"/>
        <v>0</v>
      </c>
      <c r="DK147" s="4">
        <f t="shared" si="195"/>
        <v>0</v>
      </c>
      <c r="DL147" s="4">
        <f t="shared" si="196"/>
        <v>0</v>
      </c>
    </row>
    <row r="148" spans="1:116" x14ac:dyDescent="0.25">
      <c r="A148" s="5">
        <v>46186</v>
      </c>
      <c r="B148" s="6">
        <v>0.33333333368500462</v>
      </c>
      <c r="C148" s="3"/>
      <c r="D148" s="3"/>
      <c r="E148" s="3" t="s">
        <v>30</v>
      </c>
      <c r="F148" s="3">
        <v>8</v>
      </c>
      <c r="G148" s="3"/>
      <c r="H148" s="9"/>
      <c r="I148" s="9">
        <f>SUM(IFERROR(VLOOKUP($C:$C,Structure!$A:$AJ,I$1,0)*$D148,0),IFERROR(VLOOKUP($E:$E,Structure!$A:$AJ,I$1,0)*$F148,0),IFERROR(VLOOKUP($G:$G,Structure!$A:$AJ,I$1,0)*$H148,0))</f>
        <v>0</v>
      </c>
      <c r="J148" s="9">
        <f>SUM(IFERROR(VLOOKUP($C:$C,Structure!$A:$AJ,J$1,0)*$D148,0),IFERROR(VLOOKUP($E:$E,Structure!$A:$AJ,J$1,0)*$F148,0),IFERROR(VLOOKUP($G:$G,Structure!$A:$AJ,J$1,0)*$H148,0))</f>
        <v>0</v>
      </c>
      <c r="K148" s="9">
        <f>SUM(IFERROR(VLOOKUP($C:$C,Structure!$A:$AJ,K$1,0)*$D148,0),IFERROR(VLOOKUP($E:$E,Structure!$A:$AJ,K$1,0)*$F148,0),IFERROR(VLOOKUP($G:$G,Structure!$A:$AJ,K$1,0)*$H148,0))</f>
        <v>0</v>
      </c>
      <c r="L148" s="9">
        <f>SUM(IFERROR(VLOOKUP($C:$C,Structure!$A:$AJ,L$1,0)*$D148,0),IFERROR(VLOOKUP($E:$E,Structure!$A:$AJ,L$1,0)*$F148,0),IFERROR(VLOOKUP($G:$G,Structure!$A:$AJ,L$1,0)*$H148,0))</f>
        <v>0</v>
      </c>
      <c r="M148" s="9">
        <f>SUM(IFERROR(VLOOKUP($C:$C,Structure!$A:$AJ,M$1,0)*$D148,0),IFERROR(VLOOKUP($E:$E,Structure!$A:$AJ,M$1,0)*$F148,0),IFERROR(VLOOKUP($G:$G,Structure!$A:$AJ,M$1,0)*$H148,0))</f>
        <v>0</v>
      </c>
      <c r="N148" s="9">
        <f>SUM(IFERROR(VLOOKUP($C:$C,Structure!$A:$AJ,N$1,0)*$D148,0),IFERROR(VLOOKUP($E:$E,Structure!$A:$AJ,N$1,0)*$F148,0),IFERROR(VLOOKUP($G:$G,Structure!$A:$AJ,N$1,0)*$H148,0))</f>
        <v>0</v>
      </c>
      <c r="O148" s="9">
        <f>SUM(IFERROR(VLOOKUP($C:$C,Structure!$A:$AJ,O$1,0)*$D148,0),IFERROR(VLOOKUP($E:$E,Structure!$A:$AJ,O$1,0)*$F148,0),IFERROR(VLOOKUP($G:$G,Structure!$A:$AJ,O$1,0)*$H148,0))</f>
        <v>0</v>
      </c>
      <c r="P148" s="9">
        <f>SUM(IFERROR(VLOOKUP($C:$C,Structure!$A:$AJ,P$1,0)*$D148,0),IFERROR(VLOOKUP($E:$E,Structure!$A:$AJ,P$1,0)*$F148,0),IFERROR(VLOOKUP($G:$G,Structure!$A:$AJ,P$1,0)*$H148,0))</f>
        <v>0</v>
      </c>
      <c r="Q148" s="9">
        <f>SUM(IFERROR(VLOOKUP($C:$C,Structure!$A:$AJ,Q$1,0)*$D148,0),IFERROR(VLOOKUP($E:$E,Structure!$A:$AJ,Q$1,0)*$F148,0),IFERROR(VLOOKUP($G:$G,Structure!$A:$AJ,Q$1,0)*$H148,0))</f>
        <v>0</v>
      </c>
      <c r="R148" s="9">
        <f>SUM(IFERROR(VLOOKUP($C:$C,Structure!$A:$AJ,R$1,0)*$D148,0),IFERROR(VLOOKUP($E:$E,Structure!$A:$AJ,R$1,0)*$F148,0),IFERROR(VLOOKUP($G:$G,Structure!$A:$AJ,R$1,0)*$H148,0))</f>
        <v>0</v>
      </c>
      <c r="S148" s="9">
        <f>SUM(IFERROR(VLOOKUP($C:$C,Structure!$A:$AJ,S$1,0)*$D148,0),IFERROR(VLOOKUP($E:$E,Structure!$A:$AJ,S$1,0)*$F148,0),IFERROR(VLOOKUP($G:$G,Structure!$A:$AJ,S$1,0)*$H148,0))</f>
        <v>0</v>
      </c>
      <c r="T148" s="9">
        <f>SUM(IFERROR(VLOOKUP($C:$C,Structure!$A:$AJ,T$1,0)*$D148,0),IFERROR(VLOOKUP($E:$E,Structure!$A:$AJ,T$1,0)*$F148,0),IFERROR(VLOOKUP($G:$G,Structure!$A:$AJ,T$1,0)*$H148,0))</f>
        <v>0</v>
      </c>
      <c r="U148" s="9">
        <f>SUM(IFERROR(VLOOKUP($C:$C,Structure!$A:$AJ,U$1,0)*$D148,0),IFERROR(VLOOKUP($E:$E,Structure!$A:$AJ,U$1,0)*$F148,0),IFERROR(VLOOKUP($G:$G,Structure!$A:$AJ,U$1,0)*$H148,0))</f>
        <v>0</v>
      </c>
      <c r="V148" s="9">
        <f>SUM(IFERROR(VLOOKUP($C:$C,Structure!$A:$AJ,V$1,0)*$D148,0),IFERROR(VLOOKUP($E:$E,Structure!$A:$AJ,V$1,0)*$F148,0),IFERROR(VLOOKUP($G:$G,Structure!$A:$AJ,V$1,0)*$H148,0))</f>
        <v>8</v>
      </c>
      <c r="W148" s="9">
        <f>SUM(IFERROR(VLOOKUP($C:$C,Structure!$A:$AJ,W$1,0)*$D148,0),IFERROR(VLOOKUP($E:$E,Structure!$A:$AJ,W$1,0)*$F148,0),IFERROR(VLOOKUP($G:$G,Structure!$A:$AJ,W$1,0)*$H148,0))</f>
        <v>0</v>
      </c>
      <c r="X148" s="9">
        <f>SUM(IFERROR(VLOOKUP($C:$C,Structure!$A:$AJ,X$1,0)*$D148,0),IFERROR(VLOOKUP($E:$E,Structure!$A:$AJ,X$1,0)*$F148,0),IFERROR(VLOOKUP($G:$G,Structure!$A:$AJ,X$1,0)*$H148,0))</f>
        <v>0</v>
      </c>
      <c r="Y148" s="9">
        <f>SUM(IFERROR(VLOOKUP($C:$C,Structure!$A:$AJ,Y$1,0)*$D148,0),IFERROR(VLOOKUP($E:$E,Structure!$A:$AJ,Y$1,0)*$F148,0),IFERROR(VLOOKUP($G:$G,Structure!$A:$AJ,Y$1,0)*$H148,0))</f>
        <v>0</v>
      </c>
      <c r="Z148" s="9">
        <f>SUM(IFERROR(VLOOKUP($C:$C,Structure!$A:$AJ,Z$1,0)*$D148,0),IFERROR(VLOOKUP($E:$E,Structure!$A:$AJ,Z$1,0)*$F148,0),IFERROR(VLOOKUP($G:$G,Structure!$A:$AJ,Z$1,0)*$H148,0))</f>
        <v>0</v>
      </c>
      <c r="AA148" s="9">
        <f>SUM(IFERROR(VLOOKUP($C:$C,Structure!$A:$AJ,AA$1,0)*$D148,0),IFERROR(VLOOKUP($E:$E,Structure!$A:$AJ,AA$1,0)*$F148,0),IFERROR(VLOOKUP($G:$G,Structure!$A:$AJ,AA$1,0)*$H148,0))</f>
        <v>0</v>
      </c>
      <c r="AB148" s="9">
        <f>SUM(IFERROR(VLOOKUP($C:$C,Structure!$A:$AJ,AB$1,0)*$D148,0),IFERROR(VLOOKUP($E:$E,Structure!$A:$AJ,AB$1,0)*$F148,0),IFERROR(VLOOKUP($G:$G,Structure!$A:$AJ,AB$1,0)*$H148,0))</f>
        <v>0</v>
      </c>
      <c r="AC148" s="9">
        <f>SUM(IFERROR(VLOOKUP($C:$C,Structure!$A:$AJ,AC$1,0)*$D148,0),IFERROR(VLOOKUP($E:$E,Structure!$A:$AJ,AC$1,0)*$F148,0),IFERROR(VLOOKUP($G:$G,Structure!$A:$AJ,AC$1,0)*$H148,0))</f>
        <v>8</v>
      </c>
      <c r="AD148" s="9">
        <f>SUM(IFERROR(VLOOKUP($C:$C,Structure!$A:$AJ,AD$1,0)*$D148,0),IFERROR(VLOOKUP($E:$E,Structure!$A:$AJ,AD$1,0)*$F148,0),IFERROR(VLOOKUP($G:$G,Structure!$A:$AJ,AD$1,0)*$H148,0))</f>
        <v>0</v>
      </c>
      <c r="AE148" s="9">
        <f>SUM(IFERROR(VLOOKUP($C:$C,Structure!$A:$AJ,AE$1,0)*$D148,0),IFERROR(VLOOKUP($E:$E,Structure!$A:$AJ,AE$1,0)*$F148,0),IFERROR(VLOOKUP($G:$G,Structure!$A:$AJ,AE$1,0)*$H148,0))</f>
        <v>0</v>
      </c>
      <c r="AF148" s="9">
        <f>SUM(IFERROR(VLOOKUP($C:$C,Structure!$A:$AJ,AF$1,0)*$D148,0),IFERROR(VLOOKUP($E:$E,Structure!$A:$AJ,AF$1,0)*$F148,0),IFERROR(VLOOKUP($G:$G,Structure!$A:$AJ,AF$1,0)*$H148,0))</f>
        <v>0</v>
      </c>
      <c r="AG148" s="9">
        <f>SUM(IFERROR(VLOOKUP($C:$C,Structure!$A:$AJ,AG$1,0)*$D148,0),IFERROR(VLOOKUP($E:$E,Structure!$A:$AJ,AG$1,0)*$F148,0),IFERROR(VLOOKUP($G:$G,Structure!$A:$AJ,AG$1,0)*$H148,0))</f>
        <v>0</v>
      </c>
      <c r="AH148" s="9">
        <f>SUM(IFERROR(VLOOKUP($C:$C,Structure!$A:$AJ,AH$1,0)*$D148,0),IFERROR(VLOOKUP($E:$E,Structure!$A:$AJ,AH$1,0)*$F148,0),IFERROR(VLOOKUP($G:$G,Structure!$A:$AJ,AH$1,0)*$H148,0))</f>
        <v>0</v>
      </c>
      <c r="AI148" s="9">
        <f>SUM(IFERROR(VLOOKUP($C:$C,Structure!$A:$AJ,AI$1,0)*$D148,0),IFERROR(VLOOKUP($E:$E,Structure!$A:$AJ,AI$1,0)*$F148,0),IFERROR(VLOOKUP($G:$G,Structure!$A:$AJ,AI$1,0)*$H148,0))</f>
        <v>0</v>
      </c>
      <c r="AJ148" s="9">
        <f>SUM(IFERROR(VLOOKUP($C:$C,Structure!$A:$AJ,AJ$1,0)*$D148,0),IFERROR(VLOOKUP($E:$E,Structure!$A:$AJ,AJ$1,0)*$F148,0),IFERROR(VLOOKUP($G:$G,Structure!$A:$AJ,AJ$1,0)*$H148,0))</f>
        <v>0</v>
      </c>
      <c r="AK148" s="9">
        <f>SUM(IFERROR(VLOOKUP($C:$C,Structure!$A:$AJ,AK$1,0)*$D148,0),IFERROR(VLOOKUP($E:$E,Structure!$A:$AJ,AK$1,0)*$F148,0),IFERROR(VLOOKUP($G:$G,Structure!$A:$AJ,AK$1,0)*$H148,0))</f>
        <v>0</v>
      </c>
      <c r="AL148" s="9">
        <f>SUM(IFERROR(VLOOKUP($C:$C,Structure!$A:$AJ,AL$1,0)*$D148,0),IFERROR(VLOOKUP($E:$E,Structure!$A:$AJ,AL$1,0)*$F148,0),IFERROR(VLOOKUP($G:$G,Structure!$A:$AJ,AL$1,0)*$H148,0))</f>
        <v>0</v>
      </c>
      <c r="AM148" s="9">
        <f>SUM(IFERROR(VLOOKUP($C:$C,Structure!$A:$AJ,AM$1,0)*$D148,0),IFERROR(VLOOKUP($E:$E,Structure!$A:$AJ,AM$1,0)*$F148,0),IFERROR(VLOOKUP($G:$G,Structure!$A:$AJ,AM$1,0)*$H148,0))</f>
        <v>0</v>
      </c>
      <c r="AN148" s="9">
        <f>SUM(IFERROR(VLOOKUP($C:$C,Structure!$A:$AJ,AN$1,0)*$D148,0),IFERROR(VLOOKUP($E:$E,Structure!$A:$AJ,AN$1,0)*$F148,0),IFERROR(VLOOKUP($G:$G,Structure!$A:$AJ,AN$1,0)*$H148,0))</f>
        <v>0</v>
      </c>
      <c r="AO148" s="9">
        <f>SUM(IFERROR(VLOOKUP($C:$C,Structure!$A:$AJ,AO$1,0)*$D148,0),IFERROR(VLOOKUP($E:$E,Structure!$A:$AJ,AO$1,0)*$F148,0),IFERROR(VLOOKUP($G:$G,Structure!$A:$AJ,AO$1,0)*$H148,0))</f>
        <v>0</v>
      </c>
      <c r="AP148" s="9">
        <f>SUM(IFERROR(VLOOKUP($C:$C,Structure!$A:$AJ,AP$1,0)*$D148,0),IFERROR(VLOOKUP($E:$E,Structure!$A:$AJ,AP$1,0)*$F148,0),IFERROR(VLOOKUP($G:$G,Structure!$A:$AJ,AP$1,0)*$H148,0))</f>
        <v>0</v>
      </c>
      <c r="AQ148" s="9">
        <f>SUM(IFERROR(VLOOKUP($C:$C,Structure!$A:$AJ,AQ$1,0)*$D148,0),IFERROR(VLOOKUP($E:$E,Structure!$A:$AJ,AQ$1,0)*$F148,0),IFERROR(VLOOKUP($G:$G,Structure!$A:$AJ,AQ$1,0)*$H148,0))</f>
        <v>0</v>
      </c>
      <c r="AR148" s="21" t="s">
        <v>824</v>
      </c>
      <c r="AS148" s="3" t="s">
        <v>352</v>
      </c>
      <c r="AT148" s="3" t="s">
        <v>825</v>
      </c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>
        <v>100</v>
      </c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4">
        <f t="shared" si="162"/>
        <v>0</v>
      </c>
      <c r="CE148" s="4">
        <f t="shared" si="163"/>
        <v>-84</v>
      </c>
      <c r="CF148" s="4">
        <f t="shared" si="164"/>
        <v>4</v>
      </c>
      <c r="CG148" s="4">
        <f t="shared" si="165"/>
        <v>14</v>
      </c>
      <c r="CH148" s="4">
        <f t="shared" si="166"/>
        <v>-7</v>
      </c>
      <c r="CI148" s="4">
        <f t="shared" si="167"/>
        <v>127</v>
      </c>
      <c r="CJ148" s="4">
        <f t="shared" si="168"/>
        <v>-141</v>
      </c>
      <c r="CK148" s="4">
        <f t="shared" si="169"/>
        <v>95</v>
      </c>
      <c r="CL148" s="4">
        <f t="shared" si="170"/>
        <v>0</v>
      </c>
      <c r="CM148" s="4">
        <f t="shared" si="171"/>
        <v>6</v>
      </c>
      <c r="CN148" s="4">
        <f t="shared" si="172"/>
        <v>-28</v>
      </c>
      <c r="CO148" s="4">
        <f t="shared" si="173"/>
        <v>0</v>
      </c>
      <c r="CP148" s="4">
        <f t="shared" si="174"/>
        <v>69</v>
      </c>
      <c r="CQ148" s="4">
        <f t="shared" si="175"/>
        <v>-230</v>
      </c>
      <c r="CR148" s="4">
        <f t="shared" si="176"/>
        <v>15</v>
      </c>
      <c r="CS148" s="4">
        <f t="shared" si="177"/>
        <v>-24</v>
      </c>
      <c r="CT148" s="4">
        <f t="shared" si="178"/>
        <v>0</v>
      </c>
      <c r="CU148" s="4">
        <f t="shared" si="179"/>
        <v>0</v>
      </c>
      <c r="CV148" s="4">
        <f t="shared" si="180"/>
        <v>0</v>
      </c>
      <c r="CW148" s="4">
        <f t="shared" si="181"/>
        <v>0</v>
      </c>
      <c r="CX148" s="4">
        <f t="shared" si="182"/>
        <v>-221</v>
      </c>
      <c r="CY148" s="4">
        <f t="shared" si="183"/>
        <v>0</v>
      </c>
      <c r="CZ148" s="4">
        <f t="shared" si="184"/>
        <v>0</v>
      </c>
      <c r="DA148" s="4">
        <f t="shared" si="185"/>
        <v>0</v>
      </c>
      <c r="DB148" s="4">
        <f t="shared" si="186"/>
        <v>0</v>
      </c>
      <c r="DC148" s="4">
        <f t="shared" si="187"/>
        <v>0</v>
      </c>
      <c r="DD148" s="4">
        <f t="shared" si="188"/>
        <v>0</v>
      </c>
      <c r="DE148" s="4">
        <f t="shared" si="189"/>
        <v>0</v>
      </c>
      <c r="DF148" s="4">
        <f t="shared" si="190"/>
        <v>0</v>
      </c>
      <c r="DG148" s="4">
        <f t="shared" si="191"/>
        <v>0</v>
      </c>
      <c r="DH148" s="4">
        <f t="shared" si="192"/>
        <v>0</v>
      </c>
      <c r="DI148" s="4">
        <f t="shared" si="193"/>
        <v>0</v>
      </c>
      <c r="DJ148" s="4">
        <f t="shared" si="194"/>
        <v>0</v>
      </c>
      <c r="DK148" s="4">
        <f t="shared" si="195"/>
        <v>0</v>
      </c>
      <c r="DL148" s="4">
        <f t="shared" si="196"/>
        <v>0</v>
      </c>
    </row>
    <row r="149" spans="1:116" x14ac:dyDescent="0.25">
      <c r="A149" s="5">
        <v>46186</v>
      </c>
      <c r="B149" s="6">
        <v>0.35416666702076327</v>
      </c>
      <c r="C149" s="3"/>
      <c r="D149" s="3"/>
      <c r="E149" s="3" t="s">
        <v>30</v>
      </c>
      <c r="F149" s="3">
        <v>8</v>
      </c>
      <c r="G149" s="3"/>
      <c r="H149" s="9"/>
      <c r="I149" s="9">
        <f>SUM(IFERROR(VLOOKUP($C:$C,Structure!$A:$AJ,I$1,0)*$D149,0),IFERROR(VLOOKUP($E:$E,Structure!$A:$AJ,I$1,0)*$F149,0),IFERROR(VLOOKUP($G:$G,Structure!$A:$AJ,I$1,0)*$H149,0))</f>
        <v>0</v>
      </c>
      <c r="J149" s="9">
        <f>SUM(IFERROR(VLOOKUP($C:$C,Structure!$A:$AJ,J$1,0)*$D149,0),IFERROR(VLOOKUP($E:$E,Structure!$A:$AJ,J$1,0)*$F149,0),IFERROR(VLOOKUP($G:$G,Structure!$A:$AJ,J$1,0)*$H149,0))</f>
        <v>0</v>
      </c>
      <c r="K149" s="9">
        <f>SUM(IFERROR(VLOOKUP($C:$C,Structure!$A:$AJ,K$1,0)*$D149,0),IFERROR(VLOOKUP($E:$E,Structure!$A:$AJ,K$1,0)*$F149,0),IFERROR(VLOOKUP($G:$G,Structure!$A:$AJ,K$1,0)*$H149,0))</f>
        <v>0</v>
      </c>
      <c r="L149" s="9">
        <f>SUM(IFERROR(VLOOKUP($C:$C,Structure!$A:$AJ,L$1,0)*$D149,0),IFERROR(VLOOKUP($E:$E,Structure!$A:$AJ,L$1,0)*$F149,0),IFERROR(VLOOKUP($G:$G,Structure!$A:$AJ,L$1,0)*$H149,0))</f>
        <v>0</v>
      </c>
      <c r="M149" s="9">
        <f>SUM(IFERROR(VLOOKUP($C:$C,Structure!$A:$AJ,M$1,0)*$D149,0),IFERROR(VLOOKUP($E:$E,Structure!$A:$AJ,M$1,0)*$F149,0),IFERROR(VLOOKUP($G:$G,Structure!$A:$AJ,M$1,0)*$H149,0))</f>
        <v>0</v>
      </c>
      <c r="N149" s="9">
        <f>SUM(IFERROR(VLOOKUP($C:$C,Structure!$A:$AJ,N$1,0)*$D149,0),IFERROR(VLOOKUP($E:$E,Structure!$A:$AJ,N$1,0)*$F149,0),IFERROR(VLOOKUP($G:$G,Structure!$A:$AJ,N$1,0)*$H149,0))</f>
        <v>0</v>
      </c>
      <c r="O149" s="9">
        <f>SUM(IFERROR(VLOOKUP($C:$C,Structure!$A:$AJ,O$1,0)*$D149,0),IFERROR(VLOOKUP($E:$E,Structure!$A:$AJ,O$1,0)*$F149,0),IFERROR(VLOOKUP($G:$G,Structure!$A:$AJ,O$1,0)*$H149,0))</f>
        <v>0</v>
      </c>
      <c r="P149" s="9">
        <f>SUM(IFERROR(VLOOKUP($C:$C,Structure!$A:$AJ,P$1,0)*$D149,0),IFERROR(VLOOKUP($E:$E,Structure!$A:$AJ,P$1,0)*$F149,0),IFERROR(VLOOKUP($G:$G,Structure!$A:$AJ,P$1,0)*$H149,0))</f>
        <v>0</v>
      </c>
      <c r="Q149" s="9">
        <f>SUM(IFERROR(VLOOKUP($C:$C,Structure!$A:$AJ,Q$1,0)*$D149,0),IFERROR(VLOOKUP($E:$E,Structure!$A:$AJ,Q$1,0)*$F149,0),IFERROR(VLOOKUP($G:$G,Structure!$A:$AJ,Q$1,0)*$H149,0))</f>
        <v>0</v>
      </c>
      <c r="R149" s="9">
        <f>SUM(IFERROR(VLOOKUP($C:$C,Structure!$A:$AJ,R$1,0)*$D149,0),IFERROR(VLOOKUP($E:$E,Structure!$A:$AJ,R$1,0)*$F149,0),IFERROR(VLOOKUP($G:$G,Structure!$A:$AJ,R$1,0)*$H149,0))</f>
        <v>0</v>
      </c>
      <c r="S149" s="9">
        <f>SUM(IFERROR(VLOOKUP($C:$C,Structure!$A:$AJ,S$1,0)*$D149,0),IFERROR(VLOOKUP($E:$E,Structure!$A:$AJ,S$1,0)*$F149,0),IFERROR(VLOOKUP($G:$G,Structure!$A:$AJ,S$1,0)*$H149,0))</f>
        <v>0</v>
      </c>
      <c r="T149" s="9">
        <f>SUM(IFERROR(VLOOKUP($C:$C,Structure!$A:$AJ,T$1,0)*$D149,0),IFERROR(VLOOKUP($E:$E,Structure!$A:$AJ,T$1,0)*$F149,0),IFERROR(VLOOKUP($G:$G,Structure!$A:$AJ,T$1,0)*$H149,0))</f>
        <v>0</v>
      </c>
      <c r="U149" s="9">
        <f>SUM(IFERROR(VLOOKUP($C:$C,Structure!$A:$AJ,U$1,0)*$D149,0),IFERROR(VLOOKUP($E:$E,Structure!$A:$AJ,U$1,0)*$F149,0),IFERROR(VLOOKUP($G:$G,Structure!$A:$AJ,U$1,0)*$H149,0))</f>
        <v>0</v>
      </c>
      <c r="V149" s="9">
        <f>SUM(IFERROR(VLOOKUP($C:$C,Structure!$A:$AJ,V$1,0)*$D149,0),IFERROR(VLOOKUP($E:$E,Structure!$A:$AJ,V$1,0)*$F149,0),IFERROR(VLOOKUP($G:$G,Structure!$A:$AJ,V$1,0)*$H149,0))</f>
        <v>8</v>
      </c>
      <c r="W149" s="9">
        <f>SUM(IFERROR(VLOOKUP($C:$C,Structure!$A:$AJ,W$1,0)*$D149,0),IFERROR(VLOOKUP($E:$E,Structure!$A:$AJ,W$1,0)*$F149,0),IFERROR(VLOOKUP($G:$G,Structure!$A:$AJ,W$1,0)*$H149,0))</f>
        <v>0</v>
      </c>
      <c r="X149" s="9">
        <f>SUM(IFERROR(VLOOKUP($C:$C,Structure!$A:$AJ,X$1,0)*$D149,0),IFERROR(VLOOKUP($E:$E,Structure!$A:$AJ,X$1,0)*$F149,0),IFERROR(VLOOKUP($G:$G,Structure!$A:$AJ,X$1,0)*$H149,0))</f>
        <v>0</v>
      </c>
      <c r="Y149" s="9">
        <f>SUM(IFERROR(VLOOKUP($C:$C,Structure!$A:$AJ,Y$1,0)*$D149,0),IFERROR(VLOOKUP($E:$E,Structure!$A:$AJ,Y$1,0)*$F149,0),IFERROR(VLOOKUP($G:$G,Structure!$A:$AJ,Y$1,0)*$H149,0))</f>
        <v>0</v>
      </c>
      <c r="Z149" s="9">
        <f>SUM(IFERROR(VLOOKUP($C:$C,Structure!$A:$AJ,Z$1,0)*$D149,0),IFERROR(VLOOKUP($E:$E,Structure!$A:$AJ,Z$1,0)*$F149,0),IFERROR(VLOOKUP($G:$G,Structure!$A:$AJ,Z$1,0)*$H149,0))</f>
        <v>0</v>
      </c>
      <c r="AA149" s="9">
        <f>SUM(IFERROR(VLOOKUP($C:$C,Structure!$A:$AJ,AA$1,0)*$D149,0),IFERROR(VLOOKUP($E:$E,Structure!$A:$AJ,AA$1,0)*$F149,0),IFERROR(VLOOKUP($G:$G,Structure!$A:$AJ,AA$1,0)*$H149,0))</f>
        <v>0</v>
      </c>
      <c r="AB149" s="9">
        <f>SUM(IFERROR(VLOOKUP($C:$C,Structure!$A:$AJ,AB$1,0)*$D149,0),IFERROR(VLOOKUP($E:$E,Structure!$A:$AJ,AB$1,0)*$F149,0),IFERROR(VLOOKUP($G:$G,Structure!$A:$AJ,AB$1,0)*$H149,0))</f>
        <v>0</v>
      </c>
      <c r="AC149" s="9">
        <f>SUM(IFERROR(VLOOKUP($C:$C,Structure!$A:$AJ,AC$1,0)*$D149,0),IFERROR(VLOOKUP($E:$E,Structure!$A:$AJ,AC$1,0)*$F149,0),IFERROR(VLOOKUP($G:$G,Structure!$A:$AJ,AC$1,0)*$H149,0))</f>
        <v>8</v>
      </c>
      <c r="AD149" s="9">
        <f>SUM(IFERROR(VLOOKUP($C:$C,Structure!$A:$AJ,AD$1,0)*$D149,0),IFERROR(VLOOKUP($E:$E,Structure!$A:$AJ,AD$1,0)*$F149,0),IFERROR(VLOOKUP($G:$G,Structure!$A:$AJ,AD$1,0)*$H149,0))</f>
        <v>0</v>
      </c>
      <c r="AE149" s="9">
        <f>SUM(IFERROR(VLOOKUP($C:$C,Structure!$A:$AJ,AE$1,0)*$D149,0),IFERROR(VLOOKUP($E:$E,Structure!$A:$AJ,AE$1,0)*$F149,0),IFERROR(VLOOKUP($G:$G,Structure!$A:$AJ,AE$1,0)*$H149,0))</f>
        <v>0</v>
      </c>
      <c r="AF149" s="9">
        <f>SUM(IFERROR(VLOOKUP($C:$C,Structure!$A:$AJ,AF$1,0)*$D149,0),IFERROR(VLOOKUP($E:$E,Structure!$A:$AJ,AF$1,0)*$F149,0),IFERROR(VLOOKUP($G:$G,Structure!$A:$AJ,AF$1,0)*$H149,0))</f>
        <v>0</v>
      </c>
      <c r="AG149" s="9">
        <f>SUM(IFERROR(VLOOKUP($C:$C,Structure!$A:$AJ,AG$1,0)*$D149,0),IFERROR(VLOOKUP($E:$E,Structure!$A:$AJ,AG$1,0)*$F149,0),IFERROR(VLOOKUP($G:$G,Structure!$A:$AJ,AG$1,0)*$H149,0))</f>
        <v>0</v>
      </c>
      <c r="AH149" s="9">
        <f>SUM(IFERROR(VLOOKUP($C:$C,Structure!$A:$AJ,AH$1,0)*$D149,0),IFERROR(VLOOKUP($E:$E,Structure!$A:$AJ,AH$1,0)*$F149,0),IFERROR(VLOOKUP($G:$G,Structure!$A:$AJ,AH$1,0)*$H149,0))</f>
        <v>0</v>
      </c>
      <c r="AI149" s="9">
        <f>SUM(IFERROR(VLOOKUP($C:$C,Structure!$A:$AJ,AI$1,0)*$D149,0),IFERROR(VLOOKUP($E:$E,Structure!$A:$AJ,AI$1,0)*$F149,0),IFERROR(VLOOKUP($G:$G,Structure!$A:$AJ,AI$1,0)*$H149,0))</f>
        <v>0</v>
      </c>
      <c r="AJ149" s="9">
        <f>SUM(IFERROR(VLOOKUP($C:$C,Structure!$A:$AJ,AJ$1,0)*$D149,0),IFERROR(VLOOKUP($E:$E,Structure!$A:$AJ,AJ$1,0)*$F149,0),IFERROR(VLOOKUP($G:$G,Structure!$A:$AJ,AJ$1,0)*$H149,0))</f>
        <v>0</v>
      </c>
      <c r="AK149" s="9">
        <f>SUM(IFERROR(VLOOKUP($C:$C,Structure!$A:$AJ,AK$1,0)*$D149,0),IFERROR(VLOOKUP($E:$E,Structure!$A:$AJ,AK$1,0)*$F149,0),IFERROR(VLOOKUP($G:$G,Structure!$A:$AJ,AK$1,0)*$H149,0))</f>
        <v>0</v>
      </c>
      <c r="AL149" s="9">
        <f>SUM(IFERROR(VLOOKUP($C:$C,Structure!$A:$AJ,AL$1,0)*$D149,0),IFERROR(VLOOKUP($E:$E,Structure!$A:$AJ,AL$1,0)*$F149,0),IFERROR(VLOOKUP($G:$G,Structure!$A:$AJ,AL$1,0)*$H149,0))</f>
        <v>0</v>
      </c>
      <c r="AM149" s="9">
        <f>SUM(IFERROR(VLOOKUP($C:$C,Structure!$A:$AJ,AM$1,0)*$D149,0),IFERROR(VLOOKUP($E:$E,Structure!$A:$AJ,AM$1,0)*$F149,0),IFERROR(VLOOKUP($G:$G,Structure!$A:$AJ,AM$1,0)*$H149,0))</f>
        <v>0</v>
      </c>
      <c r="AN149" s="9">
        <f>SUM(IFERROR(VLOOKUP($C:$C,Structure!$A:$AJ,AN$1,0)*$D149,0),IFERROR(VLOOKUP($E:$E,Structure!$A:$AJ,AN$1,0)*$F149,0),IFERROR(VLOOKUP($G:$G,Structure!$A:$AJ,AN$1,0)*$H149,0))</f>
        <v>0</v>
      </c>
      <c r="AO149" s="9">
        <f>SUM(IFERROR(VLOOKUP($C:$C,Structure!$A:$AJ,AO$1,0)*$D149,0),IFERROR(VLOOKUP($E:$E,Structure!$A:$AJ,AO$1,0)*$F149,0),IFERROR(VLOOKUP($G:$G,Structure!$A:$AJ,AO$1,0)*$H149,0))</f>
        <v>0</v>
      </c>
      <c r="AP149" s="9">
        <f>SUM(IFERROR(VLOOKUP($C:$C,Structure!$A:$AJ,AP$1,0)*$D149,0),IFERROR(VLOOKUP($E:$E,Structure!$A:$AJ,AP$1,0)*$F149,0),IFERROR(VLOOKUP($G:$G,Structure!$A:$AJ,AP$1,0)*$H149,0))</f>
        <v>0</v>
      </c>
      <c r="AQ149" s="9">
        <f>SUM(IFERROR(VLOOKUP($C:$C,Structure!$A:$AJ,AQ$1,0)*$D149,0),IFERROR(VLOOKUP($E:$E,Structure!$A:$AJ,AQ$1,0)*$F149,0),IFERROR(VLOOKUP($G:$G,Structure!$A:$AJ,AQ$1,0)*$H149,0))</f>
        <v>0</v>
      </c>
      <c r="AR149" s="21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4">
        <f t="shared" si="162"/>
        <v>0</v>
      </c>
      <c r="CE149" s="4">
        <f t="shared" si="163"/>
        <v>-84</v>
      </c>
      <c r="CF149" s="4">
        <f t="shared" si="164"/>
        <v>4</v>
      </c>
      <c r="CG149" s="4">
        <f t="shared" si="165"/>
        <v>14</v>
      </c>
      <c r="CH149" s="4">
        <f t="shared" si="166"/>
        <v>-7</v>
      </c>
      <c r="CI149" s="4">
        <f t="shared" si="167"/>
        <v>127</v>
      </c>
      <c r="CJ149" s="4">
        <f t="shared" si="168"/>
        <v>-141</v>
      </c>
      <c r="CK149" s="4">
        <f t="shared" si="169"/>
        <v>95</v>
      </c>
      <c r="CL149" s="4">
        <f t="shared" si="170"/>
        <v>0</v>
      </c>
      <c r="CM149" s="4">
        <f t="shared" si="171"/>
        <v>6</v>
      </c>
      <c r="CN149" s="4">
        <f t="shared" si="172"/>
        <v>-28</v>
      </c>
      <c r="CO149" s="4">
        <f t="shared" si="173"/>
        <v>0</v>
      </c>
      <c r="CP149" s="4">
        <f t="shared" si="174"/>
        <v>69</v>
      </c>
      <c r="CQ149" s="4">
        <f t="shared" si="175"/>
        <v>-238</v>
      </c>
      <c r="CR149" s="4">
        <f t="shared" si="176"/>
        <v>15</v>
      </c>
      <c r="CS149" s="4">
        <f t="shared" si="177"/>
        <v>-24</v>
      </c>
      <c r="CT149" s="4">
        <f t="shared" si="178"/>
        <v>0</v>
      </c>
      <c r="CU149" s="4">
        <f t="shared" si="179"/>
        <v>0</v>
      </c>
      <c r="CV149" s="4">
        <f t="shared" si="180"/>
        <v>0</v>
      </c>
      <c r="CW149" s="4">
        <f t="shared" si="181"/>
        <v>0</v>
      </c>
      <c r="CX149" s="4">
        <f t="shared" si="182"/>
        <v>-229</v>
      </c>
      <c r="CY149" s="4">
        <f t="shared" si="183"/>
        <v>0</v>
      </c>
      <c r="CZ149" s="4">
        <f t="shared" si="184"/>
        <v>0</v>
      </c>
      <c r="DA149" s="4">
        <f t="shared" si="185"/>
        <v>0</v>
      </c>
      <c r="DB149" s="4">
        <f t="shared" si="186"/>
        <v>0</v>
      </c>
      <c r="DC149" s="4">
        <f t="shared" si="187"/>
        <v>0</v>
      </c>
      <c r="DD149" s="4">
        <f t="shared" si="188"/>
        <v>0</v>
      </c>
      <c r="DE149" s="4">
        <f t="shared" si="189"/>
        <v>0</v>
      </c>
      <c r="DF149" s="4">
        <f t="shared" si="190"/>
        <v>0</v>
      </c>
      <c r="DG149" s="4">
        <f t="shared" si="191"/>
        <v>0</v>
      </c>
      <c r="DH149" s="4">
        <f t="shared" si="192"/>
        <v>0</v>
      </c>
      <c r="DI149" s="4">
        <f t="shared" si="193"/>
        <v>0</v>
      </c>
      <c r="DJ149" s="4">
        <f t="shared" si="194"/>
        <v>0</v>
      </c>
      <c r="DK149" s="4">
        <f t="shared" si="195"/>
        <v>0</v>
      </c>
      <c r="DL149" s="4">
        <f t="shared" si="196"/>
        <v>0</v>
      </c>
    </row>
    <row r="150" spans="1:116" x14ac:dyDescent="0.25">
      <c r="A150" s="5">
        <v>46186</v>
      </c>
      <c r="B150" s="6">
        <v>0.37500000035652192</v>
      </c>
      <c r="C150" s="3"/>
      <c r="D150" s="3"/>
      <c r="E150" s="3" t="s">
        <v>30</v>
      </c>
      <c r="F150" s="3">
        <v>8</v>
      </c>
      <c r="G150" s="3"/>
      <c r="H150" s="9"/>
      <c r="I150" s="9">
        <f>SUM(IFERROR(VLOOKUP($C:$C,Structure!$A:$AJ,I$1,0)*$D150,0),IFERROR(VLOOKUP($E:$E,Structure!$A:$AJ,I$1,0)*$F150,0),IFERROR(VLOOKUP($G:$G,Structure!$A:$AJ,I$1,0)*$H150,0))</f>
        <v>0</v>
      </c>
      <c r="J150" s="9">
        <f>SUM(IFERROR(VLOOKUP($C:$C,Structure!$A:$AJ,J$1,0)*$D150,0),IFERROR(VLOOKUP($E:$E,Structure!$A:$AJ,J$1,0)*$F150,0),IFERROR(VLOOKUP($G:$G,Structure!$A:$AJ,J$1,0)*$H150,0))</f>
        <v>0</v>
      </c>
      <c r="K150" s="9">
        <f>SUM(IFERROR(VLOOKUP($C:$C,Structure!$A:$AJ,K$1,0)*$D150,0),IFERROR(VLOOKUP($E:$E,Structure!$A:$AJ,K$1,0)*$F150,0),IFERROR(VLOOKUP($G:$G,Structure!$A:$AJ,K$1,0)*$H150,0))</f>
        <v>0</v>
      </c>
      <c r="L150" s="9">
        <f>SUM(IFERROR(VLOOKUP($C:$C,Structure!$A:$AJ,L$1,0)*$D150,0),IFERROR(VLOOKUP($E:$E,Structure!$A:$AJ,L$1,0)*$F150,0),IFERROR(VLOOKUP($G:$G,Structure!$A:$AJ,L$1,0)*$H150,0))</f>
        <v>0</v>
      </c>
      <c r="M150" s="9">
        <f>SUM(IFERROR(VLOOKUP($C:$C,Structure!$A:$AJ,M$1,0)*$D150,0),IFERROR(VLOOKUP($E:$E,Structure!$A:$AJ,M$1,0)*$F150,0),IFERROR(VLOOKUP($G:$G,Structure!$A:$AJ,M$1,0)*$H150,0))</f>
        <v>0</v>
      </c>
      <c r="N150" s="9">
        <f>SUM(IFERROR(VLOOKUP($C:$C,Structure!$A:$AJ,N$1,0)*$D150,0),IFERROR(VLOOKUP($E:$E,Structure!$A:$AJ,N$1,0)*$F150,0),IFERROR(VLOOKUP($G:$G,Structure!$A:$AJ,N$1,0)*$H150,0))</f>
        <v>0</v>
      </c>
      <c r="O150" s="9">
        <f>SUM(IFERROR(VLOOKUP($C:$C,Structure!$A:$AJ,O$1,0)*$D150,0),IFERROR(VLOOKUP($E:$E,Structure!$A:$AJ,O$1,0)*$F150,0),IFERROR(VLOOKUP($G:$G,Structure!$A:$AJ,O$1,0)*$H150,0))</f>
        <v>0</v>
      </c>
      <c r="P150" s="9">
        <f>SUM(IFERROR(VLOOKUP($C:$C,Structure!$A:$AJ,P$1,0)*$D150,0),IFERROR(VLOOKUP($E:$E,Structure!$A:$AJ,P$1,0)*$F150,0),IFERROR(VLOOKUP($G:$G,Structure!$A:$AJ,P$1,0)*$H150,0))</f>
        <v>0</v>
      </c>
      <c r="Q150" s="9">
        <f>SUM(IFERROR(VLOOKUP($C:$C,Structure!$A:$AJ,Q$1,0)*$D150,0),IFERROR(VLOOKUP($E:$E,Structure!$A:$AJ,Q$1,0)*$F150,0),IFERROR(VLOOKUP($G:$G,Structure!$A:$AJ,Q$1,0)*$H150,0))</f>
        <v>0</v>
      </c>
      <c r="R150" s="9">
        <f>SUM(IFERROR(VLOOKUP($C:$C,Structure!$A:$AJ,R$1,0)*$D150,0),IFERROR(VLOOKUP($E:$E,Structure!$A:$AJ,R$1,0)*$F150,0),IFERROR(VLOOKUP($G:$G,Structure!$A:$AJ,R$1,0)*$H150,0))</f>
        <v>0</v>
      </c>
      <c r="S150" s="9">
        <f>SUM(IFERROR(VLOOKUP($C:$C,Structure!$A:$AJ,S$1,0)*$D150,0),IFERROR(VLOOKUP($E:$E,Structure!$A:$AJ,S$1,0)*$F150,0),IFERROR(VLOOKUP($G:$G,Structure!$A:$AJ,S$1,0)*$H150,0))</f>
        <v>0</v>
      </c>
      <c r="T150" s="9">
        <f>SUM(IFERROR(VLOOKUP($C:$C,Structure!$A:$AJ,T$1,0)*$D150,0),IFERROR(VLOOKUP($E:$E,Structure!$A:$AJ,T$1,0)*$F150,0),IFERROR(VLOOKUP($G:$G,Structure!$A:$AJ,T$1,0)*$H150,0))</f>
        <v>0</v>
      </c>
      <c r="U150" s="9">
        <f>SUM(IFERROR(VLOOKUP($C:$C,Structure!$A:$AJ,U$1,0)*$D150,0),IFERROR(VLOOKUP($E:$E,Structure!$A:$AJ,U$1,0)*$F150,0),IFERROR(VLOOKUP($G:$G,Structure!$A:$AJ,U$1,0)*$H150,0))</f>
        <v>0</v>
      </c>
      <c r="V150" s="9">
        <f>SUM(IFERROR(VLOOKUP($C:$C,Structure!$A:$AJ,V$1,0)*$D150,0),IFERROR(VLOOKUP($E:$E,Structure!$A:$AJ,V$1,0)*$F150,0),IFERROR(VLOOKUP($G:$G,Structure!$A:$AJ,V$1,0)*$H150,0))</f>
        <v>8</v>
      </c>
      <c r="W150" s="9">
        <f>SUM(IFERROR(VLOOKUP($C:$C,Structure!$A:$AJ,W$1,0)*$D150,0),IFERROR(VLOOKUP($E:$E,Structure!$A:$AJ,W$1,0)*$F150,0),IFERROR(VLOOKUP($G:$G,Structure!$A:$AJ,W$1,0)*$H150,0))</f>
        <v>0</v>
      </c>
      <c r="X150" s="9">
        <f>SUM(IFERROR(VLOOKUP($C:$C,Structure!$A:$AJ,X$1,0)*$D150,0),IFERROR(VLOOKUP($E:$E,Structure!$A:$AJ,X$1,0)*$F150,0),IFERROR(VLOOKUP($G:$G,Structure!$A:$AJ,X$1,0)*$H150,0))</f>
        <v>0</v>
      </c>
      <c r="Y150" s="9">
        <f>SUM(IFERROR(VLOOKUP($C:$C,Structure!$A:$AJ,Y$1,0)*$D150,0),IFERROR(VLOOKUP($E:$E,Structure!$A:$AJ,Y$1,0)*$F150,0),IFERROR(VLOOKUP($G:$G,Structure!$A:$AJ,Y$1,0)*$H150,0))</f>
        <v>0</v>
      </c>
      <c r="Z150" s="9">
        <f>SUM(IFERROR(VLOOKUP($C:$C,Structure!$A:$AJ,Z$1,0)*$D150,0),IFERROR(VLOOKUP($E:$E,Structure!$A:$AJ,Z$1,0)*$F150,0),IFERROR(VLOOKUP($G:$G,Structure!$A:$AJ,Z$1,0)*$H150,0))</f>
        <v>0</v>
      </c>
      <c r="AA150" s="9">
        <f>SUM(IFERROR(VLOOKUP($C:$C,Structure!$A:$AJ,AA$1,0)*$D150,0),IFERROR(VLOOKUP($E:$E,Structure!$A:$AJ,AA$1,0)*$F150,0),IFERROR(VLOOKUP($G:$G,Structure!$A:$AJ,AA$1,0)*$H150,0))</f>
        <v>0</v>
      </c>
      <c r="AB150" s="9">
        <f>SUM(IFERROR(VLOOKUP($C:$C,Structure!$A:$AJ,AB$1,0)*$D150,0),IFERROR(VLOOKUP($E:$E,Structure!$A:$AJ,AB$1,0)*$F150,0),IFERROR(VLOOKUP($G:$G,Structure!$A:$AJ,AB$1,0)*$H150,0))</f>
        <v>0</v>
      </c>
      <c r="AC150" s="9">
        <f>SUM(IFERROR(VLOOKUP($C:$C,Structure!$A:$AJ,AC$1,0)*$D150,0),IFERROR(VLOOKUP($E:$E,Structure!$A:$AJ,AC$1,0)*$F150,0),IFERROR(VLOOKUP($G:$G,Structure!$A:$AJ,AC$1,0)*$H150,0))</f>
        <v>8</v>
      </c>
      <c r="AD150" s="9">
        <f>SUM(IFERROR(VLOOKUP($C:$C,Structure!$A:$AJ,AD$1,0)*$D150,0),IFERROR(VLOOKUP($E:$E,Structure!$A:$AJ,AD$1,0)*$F150,0),IFERROR(VLOOKUP($G:$G,Structure!$A:$AJ,AD$1,0)*$H150,0))</f>
        <v>0</v>
      </c>
      <c r="AE150" s="9">
        <f>SUM(IFERROR(VLOOKUP($C:$C,Structure!$A:$AJ,AE$1,0)*$D150,0),IFERROR(VLOOKUP($E:$E,Structure!$A:$AJ,AE$1,0)*$F150,0),IFERROR(VLOOKUP($G:$G,Structure!$A:$AJ,AE$1,0)*$H150,0))</f>
        <v>0</v>
      </c>
      <c r="AF150" s="9">
        <f>SUM(IFERROR(VLOOKUP($C:$C,Structure!$A:$AJ,AF$1,0)*$D150,0),IFERROR(VLOOKUP($E:$E,Structure!$A:$AJ,AF$1,0)*$F150,0),IFERROR(VLOOKUP($G:$G,Structure!$A:$AJ,AF$1,0)*$H150,0))</f>
        <v>0</v>
      </c>
      <c r="AG150" s="9">
        <f>SUM(IFERROR(VLOOKUP($C:$C,Structure!$A:$AJ,AG$1,0)*$D150,0),IFERROR(VLOOKUP($E:$E,Structure!$A:$AJ,AG$1,0)*$F150,0),IFERROR(VLOOKUP($G:$G,Structure!$A:$AJ,AG$1,0)*$H150,0))</f>
        <v>0</v>
      </c>
      <c r="AH150" s="9">
        <f>SUM(IFERROR(VLOOKUP($C:$C,Structure!$A:$AJ,AH$1,0)*$D150,0),IFERROR(VLOOKUP($E:$E,Structure!$A:$AJ,AH$1,0)*$F150,0),IFERROR(VLOOKUP($G:$G,Structure!$A:$AJ,AH$1,0)*$H150,0))</f>
        <v>0</v>
      </c>
      <c r="AI150" s="9">
        <f>SUM(IFERROR(VLOOKUP($C:$C,Structure!$A:$AJ,AI$1,0)*$D150,0),IFERROR(VLOOKUP($E:$E,Structure!$A:$AJ,AI$1,0)*$F150,0),IFERROR(VLOOKUP($G:$G,Structure!$A:$AJ,AI$1,0)*$H150,0))</f>
        <v>0</v>
      </c>
      <c r="AJ150" s="9">
        <f>SUM(IFERROR(VLOOKUP($C:$C,Structure!$A:$AJ,AJ$1,0)*$D150,0),IFERROR(VLOOKUP($E:$E,Structure!$A:$AJ,AJ$1,0)*$F150,0),IFERROR(VLOOKUP($G:$G,Structure!$A:$AJ,AJ$1,0)*$H150,0))</f>
        <v>0</v>
      </c>
      <c r="AK150" s="9">
        <f>SUM(IFERROR(VLOOKUP($C:$C,Structure!$A:$AJ,AK$1,0)*$D150,0),IFERROR(VLOOKUP($E:$E,Structure!$A:$AJ,AK$1,0)*$F150,0),IFERROR(VLOOKUP($G:$G,Structure!$A:$AJ,AK$1,0)*$H150,0))</f>
        <v>0</v>
      </c>
      <c r="AL150" s="9">
        <f>SUM(IFERROR(VLOOKUP($C:$C,Structure!$A:$AJ,AL$1,0)*$D150,0),IFERROR(VLOOKUP($E:$E,Structure!$A:$AJ,AL$1,0)*$F150,0),IFERROR(VLOOKUP($G:$G,Structure!$A:$AJ,AL$1,0)*$H150,0))</f>
        <v>0</v>
      </c>
      <c r="AM150" s="9">
        <f>SUM(IFERROR(VLOOKUP($C:$C,Structure!$A:$AJ,AM$1,0)*$D150,0),IFERROR(VLOOKUP($E:$E,Structure!$A:$AJ,AM$1,0)*$F150,0),IFERROR(VLOOKUP($G:$G,Structure!$A:$AJ,AM$1,0)*$H150,0))</f>
        <v>0</v>
      </c>
      <c r="AN150" s="9">
        <f>SUM(IFERROR(VLOOKUP($C:$C,Structure!$A:$AJ,AN$1,0)*$D150,0),IFERROR(VLOOKUP($E:$E,Structure!$A:$AJ,AN$1,0)*$F150,0),IFERROR(VLOOKUP($G:$G,Structure!$A:$AJ,AN$1,0)*$H150,0))</f>
        <v>0</v>
      </c>
      <c r="AO150" s="9">
        <f>SUM(IFERROR(VLOOKUP($C:$C,Structure!$A:$AJ,AO$1,0)*$D150,0),IFERROR(VLOOKUP($E:$E,Structure!$A:$AJ,AO$1,0)*$F150,0),IFERROR(VLOOKUP($G:$G,Structure!$A:$AJ,AO$1,0)*$H150,0))</f>
        <v>0</v>
      </c>
      <c r="AP150" s="9">
        <f>SUM(IFERROR(VLOOKUP($C:$C,Structure!$A:$AJ,AP$1,0)*$D150,0),IFERROR(VLOOKUP($E:$E,Structure!$A:$AJ,AP$1,0)*$F150,0),IFERROR(VLOOKUP($G:$G,Structure!$A:$AJ,AP$1,0)*$H150,0))</f>
        <v>0</v>
      </c>
      <c r="AQ150" s="9">
        <f>SUM(IFERROR(VLOOKUP($C:$C,Structure!$A:$AJ,AQ$1,0)*$D150,0),IFERROR(VLOOKUP($E:$E,Structure!$A:$AJ,AQ$1,0)*$F150,0),IFERROR(VLOOKUP($G:$G,Structure!$A:$AJ,AQ$1,0)*$H150,0))</f>
        <v>0</v>
      </c>
      <c r="AR150" s="21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4">
        <f t="shared" si="162"/>
        <v>0</v>
      </c>
      <c r="CE150" s="4">
        <f t="shared" si="163"/>
        <v>-84</v>
      </c>
      <c r="CF150" s="4">
        <f t="shared" si="164"/>
        <v>4</v>
      </c>
      <c r="CG150" s="4">
        <f t="shared" si="165"/>
        <v>14</v>
      </c>
      <c r="CH150" s="4">
        <f t="shared" si="166"/>
        <v>-7</v>
      </c>
      <c r="CI150" s="4">
        <f t="shared" si="167"/>
        <v>127</v>
      </c>
      <c r="CJ150" s="4">
        <f t="shared" si="168"/>
        <v>-141</v>
      </c>
      <c r="CK150" s="4">
        <f t="shared" si="169"/>
        <v>95</v>
      </c>
      <c r="CL150" s="4">
        <f t="shared" si="170"/>
        <v>0</v>
      </c>
      <c r="CM150" s="4">
        <f t="shared" si="171"/>
        <v>6</v>
      </c>
      <c r="CN150" s="4">
        <f t="shared" si="172"/>
        <v>-28</v>
      </c>
      <c r="CO150" s="4">
        <f t="shared" si="173"/>
        <v>0</v>
      </c>
      <c r="CP150" s="4">
        <f t="shared" si="174"/>
        <v>69</v>
      </c>
      <c r="CQ150" s="4">
        <f t="shared" si="175"/>
        <v>-246</v>
      </c>
      <c r="CR150" s="4">
        <f t="shared" si="176"/>
        <v>15</v>
      </c>
      <c r="CS150" s="4">
        <f t="shared" si="177"/>
        <v>-24</v>
      </c>
      <c r="CT150" s="4">
        <f t="shared" si="178"/>
        <v>0</v>
      </c>
      <c r="CU150" s="4">
        <f t="shared" si="179"/>
        <v>0</v>
      </c>
      <c r="CV150" s="4">
        <f t="shared" si="180"/>
        <v>0</v>
      </c>
      <c r="CW150" s="4">
        <f t="shared" si="181"/>
        <v>0</v>
      </c>
      <c r="CX150" s="4">
        <f t="shared" si="182"/>
        <v>-237</v>
      </c>
      <c r="CY150" s="4">
        <f t="shared" si="183"/>
        <v>0</v>
      </c>
      <c r="CZ150" s="4">
        <f t="shared" si="184"/>
        <v>0</v>
      </c>
      <c r="DA150" s="4">
        <f t="shared" si="185"/>
        <v>0</v>
      </c>
      <c r="DB150" s="4">
        <f t="shared" si="186"/>
        <v>0</v>
      </c>
      <c r="DC150" s="4">
        <f t="shared" si="187"/>
        <v>0</v>
      </c>
      <c r="DD150" s="4">
        <f t="shared" si="188"/>
        <v>0</v>
      </c>
      <c r="DE150" s="4">
        <f t="shared" si="189"/>
        <v>0</v>
      </c>
      <c r="DF150" s="4">
        <f t="shared" si="190"/>
        <v>0</v>
      </c>
      <c r="DG150" s="4">
        <f t="shared" si="191"/>
        <v>0</v>
      </c>
      <c r="DH150" s="4">
        <f t="shared" si="192"/>
        <v>0</v>
      </c>
      <c r="DI150" s="4">
        <f t="shared" si="193"/>
        <v>0</v>
      </c>
      <c r="DJ150" s="4">
        <f t="shared" si="194"/>
        <v>0</v>
      </c>
      <c r="DK150" s="4">
        <f t="shared" si="195"/>
        <v>0</v>
      </c>
      <c r="DL150" s="4">
        <f t="shared" si="196"/>
        <v>0</v>
      </c>
    </row>
    <row r="151" spans="1:116" x14ac:dyDescent="0.25">
      <c r="A151" s="5">
        <v>46186</v>
      </c>
      <c r="B151" s="6">
        <v>0.39583333369228058</v>
      </c>
      <c r="C151" s="3"/>
      <c r="D151" s="3"/>
      <c r="E151" s="3" t="s">
        <v>30</v>
      </c>
      <c r="F151" s="3">
        <v>8</v>
      </c>
      <c r="G151" s="3"/>
      <c r="H151" s="9"/>
      <c r="I151" s="9">
        <f>SUM(IFERROR(VLOOKUP($C:$C,Structure!$A:$AJ,I$1,0)*$D151,0),IFERROR(VLOOKUP($E:$E,Structure!$A:$AJ,I$1,0)*$F151,0),IFERROR(VLOOKUP($G:$G,Structure!$A:$AJ,I$1,0)*$H151,0))</f>
        <v>0</v>
      </c>
      <c r="J151" s="9">
        <f>SUM(IFERROR(VLOOKUP($C:$C,Structure!$A:$AJ,J$1,0)*$D151,0),IFERROR(VLOOKUP($E:$E,Structure!$A:$AJ,J$1,0)*$F151,0),IFERROR(VLOOKUP($G:$G,Structure!$A:$AJ,J$1,0)*$H151,0))</f>
        <v>0</v>
      </c>
      <c r="K151" s="9">
        <f>SUM(IFERROR(VLOOKUP($C:$C,Structure!$A:$AJ,K$1,0)*$D151,0),IFERROR(VLOOKUP($E:$E,Structure!$A:$AJ,K$1,0)*$F151,0),IFERROR(VLOOKUP($G:$G,Structure!$A:$AJ,K$1,0)*$H151,0))</f>
        <v>0</v>
      </c>
      <c r="L151" s="9">
        <f>SUM(IFERROR(VLOOKUP($C:$C,Structure!$A:$AJ,L$1,0)*$D151,0),IFERROR(VLOOKUP($E:$E,Structure!$A:$AJ,L$1,0)*$F151,0),IFERROR(VLOOKUP($G:$G,Structure!$A:$AJ,L$1,0)*$H151,0))</f>
        <v>0</v>
      </c>
      <c r="M151" s="9">
        <f>SUM(IFERROR(VLOOKUP($C:$C,Structure!$A:$AJ,M$1,0)*$D151,0),IFERROR(VLOOKUP($E:$E,Structure!$A:$AJ,M$1,0)*$F151,0),IFERROR(VLOOKUP($G:$G,Structure!$A:$AJ,M$1,0)*$H151,0))</f>
        <v>0</v>
      </c>
      <c r="N151" s="9">
        <f>SUM(IFERROR(VLOOKUP($C:$C,Structure!$A:$AJ,N$1,0)*$D151,0),IFERROR(VLOOKUP($E:$E,Structure!$A:$AJ,N$1,0)*$F151,0),IFERROR(VLOOKUP($G:$G,Structure!$A:$AJ,N$1,0)*$H151,0))</f>
        <v>0</v>
      </c>
      <c r="O151" s="9">
        <f>SUM(IFERROR(VLOOKUP($C:$C,Structure!$A:$AJ,O$1,0)*$D151,0),IFERROR(VLOOKUP($E:$E,Structure!$A:$AJ,O$1,0)*$F151,0),IFERROR(VLOOKUP($G:$G,Structure!$A:$AJ,O$1,0)*$H151,0))</f>
        <v>0</v>
      </c>
      <c r="P151" s="9">
        <f>SUM(IFERROR(VLOOKUP($C:$C,Structure!$A:$AJ,P$1,0)*$D151,0),IFERROR(VLOOKUP($E:$E,Structure!$A:$AJ,P$1,0)*$F151,0),IFERROR(VLOOKUP($G:$G,Structure!$A:$AJ,P$1,0)*$H151,0))</f>
        <v>0</v>
      </c>
      <c r="Q151" s="9">
        <f>SUM(IFERROR(VLOOKUP($C:$C,Structure!$A:$AJ,Q$1,0)*$D151,0),IFERROR(VLOOKUP($E:$E,Structure!$A:$AJ,Q$1,0)*$F151,0),IFERROR(VLOOKUP($G:$G,Structure!$A:$AJ,Q$1,0)*$H151,0))</f>
        <v>0</v>
      </c>
      <c r="R151" s="9">
        <f>SUM(IFERROR(VLOOKUP($C:$C,Structure!$A:$AJ,R$1,0)*$D151,0),IFERROR(VLOOKUP($E:$E,Structure!$A:$AJ,R$1,0)*$F151,0),IFERROR(VLOOKUP($G:$G,Structure!$A:$AJ,R$1,0)*$H151,0))</f>
        <v>0</v>
      </c>
      <c r="S151" s="9">
        <f>SUM(IFERROR(VLOOKUP($C:$C,Structure!$A:$AJ,S$1,0)*$D151,0),IFERROR(VLOOKUP($E:$E,Structure!$A:$AJ,S$1,0)*$F151,0),IFERROR(VLOOKUP($G:$G,Structure!$A:$AJ,S$1,0)*$H151,0))</f>
        <v>0</v>
      </c>
      <c r="T151" s="9">
        <f>SUM(IFERROR(VLOOKUP($C:$C,Structure!$A:$AJ,T$1,0)*$D151,0),IFERROR(VLOOKUP($E:$E,Structure!$A:$AJ,T$1,0)*$F151,0),IFERROR(VLOOKUP($G:$G,Structure!$A:$AJ,T$1,0)*$H151,0))</f>
        <v>0</v>
      </c>
      <c r="U151" s="9">
        <f>SUM(IFERROR(VLOOKUP($C:$C,Structure!$A:$AJ,U$1,0)*$D151,0),IFERROR(VLOOKUP($E:$E,Structure!$A:$AJ,U$1,0)*$F151,0),IFERROR(VLOOKUP($G:$G,Structure!$A:$AJ,U$1,0)*$H151,0))</f>
        <v>0</v>
      </c>
      <c r="V151" s="9">
        <f>SUM(IFERROR(VLOOKUP($C:$C,Structure!$A:$AJ,V$1,0)*$D151,0),IFERROR(VLOOKUP($E:$E,Structure!$A:$AJ,V$1,0)*$F151,0),IFERROR(VLOOKUP($G:$G,Structure!$A:$AJ,V$1,0)*$H151,0))</f>
        <v>8</v>
      </c>
      <c r="W151" s="9">
        <f>SUM(IFERROR(VLOOKUP($C:$C,Structure!$A:$AJ,W$1,0)*$D151,0),IFERROR(VLOOKUP($E:$E,Structure!$A:$AJ,W$1,0)*$F151,0),IFERROR(VLOOKUP($G:$G,Structure!$A:$AJ,W$1,0)*$H151,0))</f>
        <v>0</v>
      </c>
      <c r="X151" s="9">
        <f>SUM(IFERROR(VLOOKUP($C:$C,Structure!$A:$AJ,X$1,0)*$D151,0),IFERROR(VLOOKUP($E:$E,Structure!$A:$AJ,X$1,0)*$F151,0),IFERROR(VLOOKUP($G:$G,Structure!$A:$AJ,X$1,0)*$H151,0))</f>
        <v>0</v>
      </c>
      <c r="Y151" s="9">
        <f>SUM(IFERROR(VLOOKUP($C:$C,Structure!$A:$AJ,Y$1,0)*$D151,0),IFERROR(VLOOKUP($E:$E,Structure!$A:$AJ,Y$1,0)*$F151,0),IFERROR(VLOOKUP($G:$G,Structure!$A:$AJ,Y$1,0)*$H151,0))</f>
        <v>0</v>
      </c>
      <c r="Z151" s="9">
        <f>SUM(IFERROR(VLOOKUP($C:$C,Structure!$A:$AJ,Z$1,0)*$D151,0),IFERROR(VLOOKUP($E:$E,Structure!$A:$AJ,Z$1,0)*$F151,0),IFERROR(VLOOKUP($G:$G,Structure!$A:$AJ,Z$1,0)*$H151,0))</f>
        <v>0</v>
      </c>
      <c r="AA151" s="9">
        <f>SUM(IFERROR(VLOOKUP($C:$C,Structure!$A:$AJ,AA$1,0)*$D151,0),IFERROR(VLOOKUP($E:$E,Structure!$A:$AJ,AA$1,0)*$F151,0),IFERROR(VLOOKUP($G:$G,Structure!$A:$AJ,AA$1,0)*$H151,0))</f>
        <v>0</v>
      </c>
      <c r="AB151" s="9">
        <f>SUM(IFERROR(VLOOKUP($C:$C,Structure!$A:$AJ,AB$1,0)*$D151,0),IFERROR(VLOOKUP($E:$E,Structure!$A:$AJ,AB$1,0)*$F151,0),IFERROR(VLOOKUP($G:$G,Structure!$A:$AJ,AB$1,0)*$H151,0))</f>
        <v>0</v>
      </c>
      <c r="AC151" s="9">
        <f>SUM(IFERROR(VLOOKUP($C:$C,Structure!$A:$AJ,AC$1,0)*$D151,0),IFERROR(VLOOKUP($E:$E,Structure!$A:$AJ,AC$1,0)*$F151,0),IFERROR(VLOOKUP($G:$G,Structure!$A:$AJ,AC$1,0)*$H151,0))</f>
        <v>8</v>
      </c>
      <c r="AD151" s="9">
        <f>SUM(IFERROR(VLOOKUP($C:$C,Structure!$A:$AJ,AD$1,0)*$D151,0),IFERROR(VLOOKUP($E:$E,Structure!$A:$AJ,AD$1,0)*$F151,0),IFERROR(VLOOKUP($G:$G,Structure!$A:$AJ,AD$1,0)*$H151,0))</f>
        <v>0</v>
      </c>
      <c r="AE151" s="9">
        <f>SUM(IFERROR(VLOOKUP($C:$C,Structure!$A:$AJ,AE$1,0)*$D151,0),IFERROR(VLOOKUP($E:$E,Structure!$A:$AJ,AE$1,0)*$F151,0),IFERROR(VLOOKUP($G:$G,Structure!$A:$AJ,AE$1,0)*$H151,0))</f>
        <v>0</v>
      </c>
      <c r="AF151" s="9">
        <f>SUM(IFERROR(VLOOKUP($C:$C,Structure!$A:$AJ,AF$1,0)*$D151,0),IFERROR(VLOOKUP($E:$E,Structure!$A:$AJ,AF$1,0)*$F151,0),IFERROR(VLOOKUP($G:$G,Structure!$A:$AJ,AF$1,0)*$H151,0))</f>
        <v>0</v>
      </c>
      <c r="AG151" s="9">
        <f>SUM(IFERROR(VLOOKUP($C:$C,Structure!$A:$AJ,AG$1,0)*$D151,0),IFERROR(VLOOKUP($E:$E,Structure!$A:$AJ,AG$1,0)*$F151,0),IFERROR(VLOOKUP($G:$G,Structure!$A:$AJ,AG$1,0)*$H151,0))</f>
        <v>0</v>
      </c>
      <c r="AH151" s="9">
        <f>SUM(IFERROR(VLOOKUP($C:$C,Structure!$A:$AJ,AH$1,0)*$D151,0),IFERROR(VLOOKUP($E:$E,Structure!$A:$AJ,AH$1,0)*$F151,0),IFERROR(VLOOKUP($G:$G,Structure!$A:$AJ,AH$1,0)*$H151,0))</f>
        <v>0</v>
      </c>
      <c r="AI151" s="9">
        <f>SUM(IFERROR(VLOOKUP($C:$C,Structure!$A:$AJ,AI$1,0)*$D151,0),IFERROR(VLOOKUP($E:$E,Structure!$A:$AJ,AI$1,0)*$F151,0),IFERROR(VLOOKUP($G:$G,Structure!$A:$AJ,AI$1,0)*$H151,0))</f>
        <v>0</v>
      </c>
      <c r="AJ151" s="9">
        <f>SUM(IFERROR(VLOOKUP($C:$C,Structure!$A:$AJ,AJ$1,0)*$D151,0),IFERROR(VLOOKUP($E:$E,Structure!$A:$AJ,AJ$1,0)*$F151,0),IFERROR(VLOOKUP($G:$G,Structure!$A:$AJ,AJ$1,0)*$H151,0))</f>
        <v>0</v>
      </c>
      <c r="AK151" s="9">
        <f>SUM(IFERROR(VLOOKUP($C:$C,Structure!$A:$AJ,AK$1,0)*$D151,0),IFERROR(VLOOKUP($E:$E,Structure!$A:$AJ,AK$1,0)*$F151,0),IFERROR(VLOOKUP($G:$G,Structure!$A:$AJ,AK$1,0)*$H151,0))</f>
        <v>0</v>
      </c>
      <c r="AL151" s="9">
        <f>SUM(IFERROR(VLOOKUP($C:$C,Structure!$A:$AJ,AL$1,0)*$D151,0),IFERROR(VLOOKUP($E:$E,Structure!$A:$AJ,AL$1,0)*$F151,0),IFERROR(VLOOKUP($G:$G,Structure!$A:$AJ,AL$1,0)*$H151,0))</f>
        <v>0</v>
      </c>
      <c r="AM151" s="9">
        <f>SUM(IFERROR(VLOOKUP($C:$C,Structure!$A:$AJ,AM$1,0)*$D151,0),IFERROR(VLOOKUP($E:$E,Structure!$A:$AJ,AM$1,0)*$F151,0),IFERROR(VLOOKUP($G:$G,Structure!$A:$AJ,AM$1,0)*$H151,0))</f>
        <v>0</v>
      </c>
      <c r="AN151" s="9">
        <f>SUM(IFERROR(VLOOKUP($C:$C,Structure!$A:$AJ,AN$1,0)*$D151,0),IFERROR(VLOOKUP($E:$E,Structure!$A:$AJ,AN$1,0)*$F151,0),IFERROR(VLOOKUP($G:$G,Structure!$A:$AJ,AN$1,0)*$H151,0))</f>
        <v>0</v>
      </c>
      <c r="AO151" s="9">
        <f>SUM(IFERROR(VLOOKUP($C:$C,Structure!$A:$AJ,AO$1,0)*$D151,0),IFERROR(VLOOKUP($E:$E,Structure!$A:$AJ,AO$1,0)*$F151,0),IFERROR(VLOOKUP($G:$G,Structure!$A:$AJ,AO$1,0)*$H151,0))</f>
        <v>0</v>
      </c>
      <c r="AP151" s="9">
        <f>SUM(IFERROR(VLOOKUP($C:$C,Structure!$A:$AJ,AP$1,0)*$D151,0),IFERROR(VLOOKUP($E:$E,Structure!$A:$AJ,AP$1,0)*$F151,0),IFERROR(VLOOKUP($G:$G,Structure!$A:$AJ,AP$1,0)*$H151,0))</f>
        <v>0</v>
      </c>
      <c r="AQ151" s="9">
        <f>SUM(IFERROR(VLOOKUP($C:$C,Structure!$A:$AJ,AQ$1,0)*$D151,0),IFERROR(VLOOKUP($E:$E,Structure!$A:$AJ,AQ$1,0)*$F151,0),IFERROR(VLOOKUP($G:$G,Structure!$A:$AJ,AQ$1,0)*$H151,0))</f>
        <v>0</v>
      </c>
      <c r="AR151" s="21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4">
        <f t="shared" si="162"/>
        <v>0</v>
      </c>
      <c r="CE151" s="4">
        <f t="shared" si="163"/>
        <v>-84</v>
      </c>
      <c r="CF151" s="4">
        <f t="shared" si="164"/>
        <v>4</v>
      </c>
      <c r="CG151" s="4">
        <f t="shared" si="165"/>
        <v>14</v>
      </c>
      <c r="CH151" s="4">
        <f t="shared" si="166"/>
        <v>-7</v>
      </c>
      <c r="CI151" s="4">
        <f t="shared" si="167"/>
        <v>127</v>
      </c>
      <c r="CJ151" s="4">
        <f t="shared" si="168"/>
        <v>-141</v>
      </c>
      <c r="CK151" s="4">
        <f t="shared" si="169"/>
        <v>95</v>
      </c>
      <c r="CL151" s="4">
        <f t="shared" si="170"/>
        <v>0</v>
      </c>
      <c r="CM151" s="4">
        <f t="shared" si="171"/>
        <v>6</v>
      </c>
      <c r="CN151" s="4">
        <f t="shared" si="172"/>
        <v>-28</v>
      </c>
      <c r="CO151" s="4">
        <f t="shared" si="173"/>
        <v>0</v>
      </c>
      <c r="CP151" s="4">
        <f t="shared" si="174"/>
        <v>69</v>
      </c>
      <c r="CQ151" s="4">
        <f t="shared" si="175"/>
        <v>-254</v>
      </c>
      <c r="CR151" s="4">
        <f t="shared" si="176"/>
        <v>15</v>
      </c>
      <c r="CS151" s="4">
        <f t="shared" si="177"/>
        <v>-24</v>
      </c>
      <c r="CT151" s="4">
        <f t="shared" si="178"/>
        <v>0</v>
      </c>
      <c r="CU151" s="4">
        <f t="shared" si="179"/>
        <v>0</v>
      </c>
      <c r="CV151" s="4">
        <f t="shared" si="180"/>
        <v>0</v>
      </c>
      <c r="CW151" s="4">
        <f t="shared" si="181"/>
        <v>0</v>
      </c>
      <c r="CX151" s="4">
        <f t="shared" si="182"/>
        <v>-245</v>
      </c>
      <c r="CY151" s="4">
        <f t="shared" si="183"/>
        <v>0</v>
      </c>
      <c r="CZ151" s="4">
        <f t="shared" si="184"/>
        <v>0</v>
      </c>
      <c r="DA151" s="4">
        <f t="shared" si="185"/>
        <v>0</v>
      </c>
      <c r="DB151" s="4">
        <f t="shared" si="186"/>
        <v>0</v>
      </c>
      <c r="DC151" s="4">
        <f t="shared" si="187"/>
        <v>0</v>
      </c>
      <c r="DD151" s="4">
        <f t="shared" si="188"/>
        <v>0</v>
      </c>
      <c r="DE151" s="4">
        <f t="shared" si="189"/>
        <v>0</v>
      </c>
      <c r="DF151" s="4">
        <f t="shared" si="190"/>
        <v>0</v>
      </c>
      <c r="DG151" s="4">
        <f t="shared" si="191"/>
        <v>0</v>
      </c>
      <c r="DH151" s="4">
        <f t="shared" si="192"/>
        <v>0</v>
      </c>
      <c r="DI151" s="4">
        <f t="shared" si="193"/>
        <v>0</v>
      </c>
      <c r="DJ151" s="4">
        <f t="shared" si="194"/>
        <v>0</v>
      </c>
      <c r="DK151" s="4">
        <f t="shared" si="195"/>
        <v>0</v>
      </c>
      <c r="DL151" s="4">
        <f t="shared" si="196"/>
        <v>0</v>
      </c>
    </row>
    <row r="152" spans="1:116" x14ac:dyDescent="0.25">
      <c r="A152" s="5">
        <v>46186</v>
      </c>
      <c r="B152" s="6">
        <v>0.41666666702803923</v>
      </c>
      <c r="C152" s="3"/>
      <c r="D152" s="3"/>
      <c r="E152" s="3" t="s">
        <v>30</v>
      </c>
      <c r="F152" s="3">
        <v>8</v>
      </c>
      <c r="G152" s="3"/>
      <c r="H152" s="9"/>
      <c r="I152" s="9">
        <f>SUM(IFERROR(VLOOKUP($C:$C,Structure!$A:$AJ,I$1,0)*$D152,0),IFERROR(VLOOKUP($E:$E,Structure!$A:$AJ,I$1,0)*$F152,0),IFERROR(VLOOKUP($G:$G,Structure!$A:$AJ,I$1,0)*$H152,0))</f>
        <v>0</v>
      </c>
      <c r="J152" s="9">
        <f>SUM(IFERROR(VLOOKUP($C:$C,Structure!$A:$AJ,J$1,0)*$D152,0),IFERROR(VLOOKUP($E:$E,Structure!$A:$AJ,J$1,0)*$F152,0),IFERROR(VLOOKUP($G:$G,Structure!$A:$AJ,J$1,0)*$H152,0))</f>
        <v>0</v>
      </c>
      <c r="K152" s="9">
        <f>SUM(IFERROR(VLOOKUP($C:$C,Structure!$A:$AJ,K$1,0)*$D152,0),IFERROR(VLOOKUP($E:$E,Structure!$A:$AJ,K$1,0)*$F152,0),IFERROR(VLOOKUP($G:$G,Structure!$A:$AJ,K$1,0)*$H152,0))</f>
        <v>0</v>
      </c>
      <c r="L152" s="9">
        <f>SUM(IFERROR(VLOOKUP($C:$C,Structure!$A:$AJ,L$1,0)*$D152,0),IFERROR(VLOOKUP($E:$E,Structure!$A:$AJ,L$1,0)*$F152,0),IFERROR(VLOOKUP($G:$G,Structure!$A:$AJ,L$1,0)*$H152,0))</f>
        <v>0</v>
      </c>
      <c r="M152" s="9">
        <f>SUM(IFERROR(VLOOKUP($C:$C,Structure!$A:$AJ,M$1,0)*$D152,0),IFERROR(VLOOKUP($E:$E,Structure!$A:$AJ,M$1,0)*$F152,0),IFERROR(VLOOKUP($G:$G,Structure!$A:$AJ,M$1,0)*$H152,0))</f>
        <v>0</v>
      </c>
      <c r="N152" s="9">
        <f>SUM(IFERROR(VLOOKUP($C:$C,Structure!$A:$AJ,N$1,0)*$D152,0),IFERROR(VLOOKUP($E:$E,Structure!$A:$AJ,N$1,0)*$F152,0),IFERROR(VLOOKUP($G:$G,Structure!$A:$AJ,N$1,0)*$H152,0))</f>
        <v>0</v>
      </c>
      <c r="O152" s="9">
        <f>SUM(IFERROR(VLOOKUP($C:$C,Structure!$A:$AJ,O$1,0)*$D152,0),IFERROR(VLOOKUP($E:$E,Structure!$A:$AJ,O$1,0)*$F152,0),IFERROR(VLOOKUP($G:$G,Structure!$A:$AJ,O$1,0)*$H152,0))</f>
        <v>0</v>
      </c>
      <c r="P152" s="9">
        <f>SUM(IFERROR(VLOOKUP($C:$C,Structure!$A:$AJ,P$1,0)*$D152,0),IFERROR(VLOOKUP($E:$E,Structure!$A:$AJ,P$1,0)*$F152,0),IFERROR(VLOOKUP($G:$G,Structure!$A:$AJ,P$1,0)*$H152,0))</f>
        <v>0</v>
      </c>
      <c r="Q152" s="9">
        <f>SUM(IFERROR(VLOOKUP($C:$C,Structure!$A:$AJ,Q$1,0)*$D152,0),IFERROR(VLOOKUP($E:$E,Structure!$A:$AJ,Q$1,0)*$F152,0),IFERROR(VLOOKUP($G:$G,Structure!$A:$AJ,Q$1,0)*$H152,0))</f>
        <v>0</v>
      </c>
      <c r="R152" s="9">
        <f>SUM(IFERROR(VLOOKUP($C:$C,Structure!$A:$AJ,R$1,0)*$D152,0),IFERROR(VLOOKUP($E:$E,Structure!$A:$AJ,R$1,0)*$F152,0),IFERROR(VLOOKUP($G:$G,Structure!$A:$AJ,R$1,0)*$H152,0))</f>
        <v>0</v>
      </c>
      <c r="S152" s="9">
        <f>SUM(IFERROR(VLOOKUP($C:$C,Structure!$A:$AJ,S$1,0)*$D152,0),IFERROR(VLOOKUP($E:$E,Structure!$A:$AJ,S$1,0)*$F152,0),IFERROR(VLOOKUP($G:$G,Structure!$A:$AJ,S$1,0)*$H152,0))</f>
        <v>0</v>
      </c>
      <c r="T152" s="9">
        <f>SUM(IFERROR(VLOOKUP($C:$C,Structure!$A:$AJ,T$1,0)*$D152,0),IFERROR(VLOOKUP($E:$E,Structure!$A:$AJ,T$1,0)*$F152,0),IFERROR(VLOOKUP($G:$G,Structure!$A:$AJ,T$1,0)*$H152,0))</f>
        <v>0</v>
      </c>
      <c r="U152" s="9">
        <f>SUM(IFERROR(VLOOKUP($C:$C,Structure!$A:$AJ,U$1,0)*$D152,0),IFERROR(VLOOKUP($E:$E,Structure!$A:$AJ,U$1,0)*$F152,0),IFERROR(VLOOKUP($G:$G,Structure!$A:$AJ,U$1,0)*$H152,0))</f>
        <v>0</v>
      </c>
      <c r="V152" s="9">
        <f>SUM(IFERROR(VLOOKUP($C:$C,Structure!$A:$AJ,V$1,0)*$D152,0),IFERROR(VLOOKUP($E:$E,Structure!$A:$AJ,V$1,0)*$F152,0),IFERROR(VLOOKUP($G:$G,Structure!$A:$AJ,V$1,0)*$H152,0))</f>
        <v>8</v>
      </c>
      <c r="W152" s="9">
        <f>SUM(IFERROR(VLOOKUP($C:$C,Structure!$A:$AJ,W$1,0)*$D152,0),IFERROR(VLOOKUP($E:$E,Structure!$A:$AJ,W$1,0)*$F152,0),IFERROR(VLOOKUP($G:$G,Structure!$A:$AJ,W$1,0)*$H152,0))</f>
        <v>0</v>
      </c>
      <c r="X152" s="9">
        <f>SUM(IFERROR(VLOOKUP($C:$C,Structure!$A:$AJ,X$1,0)*$D152,0),IFERROR(VLOOKUP($E:$E,Structure!$A:$AJ,X$1,0)*$F152,0),IFERROR(VLOOKUP($G:$G,Structure!$A:$AJ,X$1,0)*$H152,0))</f>
        <v>0</v>
      </c>
      <c r="Y152" s="9">
        <f>SUM(IFERROR(VLOOKUP($C:$C,Structure!$A:$AJ,Y$1,0)*$D152,0),IFERROR(VLOOKUP($E:$E,Structure!$A:$AJ,Y$1,0)*$F152,0),IFERROR(VLOOKUP($G:$G,Structure!$A:$AJ,Y$1,0)*$H152,0))</f>
        <v>0</v>
      </c>
      <c r="Z152" s="9">
        <f>SUM(IFERROR(VLOOKUP($C:$C,Structure!$A:$AJ,Z$1,0)*$D152,0),IFERROR(VLOOKUP($E:$E,Structure!$A:$AJ,Z$1,0)*$F152,0),IFERROR(VLOOKUP($G:$G,Structure!$A:$AJ,Z$1,0)*$H152,0))</f>
        <v>0</v>
      </c>
      <c r="AA152" s="9">
        <f>SUM(IFERROR(VLOOKUP($C:$C,Structure!$A:$AJ,AA$1,0)*$D152,0),IFERROR(VLOOKUP($E:$E,Structure!$A:$AJ,AA$1,0)*$F152,0),IFERROR(VLOOKUP($G:$G,Structure!$A:$AJ,AA$1,0)*$H152,0))</f>
        <v>0</v>
      </c>
      <c r="AB152" s="9">
        <f>SUM(IFERROR(VLOOKUP($C:$C,Structure!$A:$AJ,AB$1,0)*$D152,0),IFERROR(VLOOKUP($E:$E,Structure!$A:$AJ,AB$1,0)*$F152,0),IFERROR(VLOOKUP($G:$G,Structure!$A:$AJ,AB$1,0)*$H152,0))</f>
        <v>0</v>
      </c>
      <c r="AC152" s="9">
        <f>SUM(IFERROR(VLOOKUP($C:$C,Structure!$A:$AJ,AC$1,0)*$D152,0),IFERROR(VLOOKUP($E:$E,Structure!$A:$AJ,AC$1,0)*$F152,0),IFERROR(VLOOKUP($G:$G,Structure!$A:$AJ,AC$1,0)*$H152,0))</f>
        <v>8</v>
      </c>
      <c r="AD152" s="9">
        <f>SUM(IFERROR(VLOOKUP($C:$C,Structure!$A:$AJ,AD$1,0)*$D152,0),IFERROR(VLOOKUP($E:$E,Structure!$A:$AJ,AD$1,0)*$F152,0),IFERROR(VLOOKUP($G:$G,Structure!$A:$AJ,AD$1,0)*$H152,0))</f>
        <v>0</v>
      </c>
      <c r="AE152" s="9">
        <f>SUM(IFERROR(VLOOKUP($C:$C,Structure!$A:$AJ,AE$1,0)*$D152,0),IFERROR(VLOOKUP($E:$E,Structure!$A:$AJ,AE$1,0)*$F152,0),IFERROR(VLOOKUP($G:$G,Structure!$A:$AJ,AE$1,0)*$H152,0))</f>
        <v>0</v>
      </c>
      <c r="AF152" s="9">
        <f>SUM(IFERROR(VLOOKUP($C:$C,Structure!$A:$AJ,AF$1,0)*$D152,0),IFERROR(VLOOKUP($E:$E,Structure!$A:$AJ,AF$1,0)*$F152,0),IFERROR(VLOOKUP($G:$G,Structure!$A:$AJ,AF$1,0)*$H152,0))</f>
        <v>0</v>
      </c>
      <c r="AG152" s="9">
        <f>SUM(IFERROR(VLOOKUP($C:$C,Structure!$A:$AJ,AG$1,0)*$D152,0),IFERROR(VLOOKUP($E:$E,Structure!$A:$AJ,AG$1,0)*$F152,0),IFERROR(VLOOKUP($G:$G,Structure!$A:$AJ,AG$1,0)*$H152,0))</f>
        <v>0</v>
      </c>
      <c r="AH152" s="9">
        <f>SUM(IFERROR(VLOOKUP($C:$C,Structure!$A:$AJ,AH$1,0)*$D152,0),IFERROR(VLOOKUP($E:$E,Structure!$A:$AJ,AH$1,0)*$F152,0),IFERROR(VLOOKUP($G:$G,Structure!$A:$AJ,AH$1,0)*$H152,0))</f>
        <v>0</v>
      </c>
      <c r="AI152" s="9">
        <f>SUM(IFERROR(VLOOKUP($C:$C,Structure!$A:$AJ,AI$1,0)*$D152,0),IFERROR(VLOOKUP($E:$E,Structure!$A:$AJ,AI$1,0)*$F152,0),IFERROR(VLOOKUP($G:$G,Structure!$A:$AJ,AI$1,0)*$H152,0))</f>
        <v>0</v>
      </c>
      <c r="AJ152" s="9">
        <f>SUM(IFERROR(VLOOKUP($C:$C,Structure!$A:$AJ,AJ$1,0)*$D152,0),IFERROR(VLOOKUP($E:$E,Structure!$A:$AJ,AJ$1,0)*$F152,0),IFERROR(VLOOKUP($G:$G,Structure!$A:$AJ,AJ$1,0)*$H152,0))</f>
        <v>0</v>
      </c>
      <c r="AK152" s="9">
        <f>SUM(IFERROR(VLOOKUP($C:$C,Structure!$A:$AJ,AK$1,0)*$D152,0),IFERROR(VLOOKUP($E:$E,Structure!$A:$AJ,AK$1,0)*$F152,0),IFERROR(VLOOKUP($G:$G,Structure!$A:$AJ,AK$1,0)*$H152,0))</f>
        <v>0</v>
      </c>
      <c r="AL152" s="9">
        <f>SUM(IFERROR(VLOOKUP($C:$C,Structure!$A:$AJ,AL$1,0)*$D152,0),IFERROR(VLOOKUP($E:$E,Structure!$A:$AJ,AL$1,0)*$F152,0),IFERROR(VLOOKUP($G:$G,Structure!$A:$AJ,AL$1,0)*$H152,0))</f>
        <v>0</v>
      </c>
      <c r="AM152" s="9">
        <f>SUM(IFERROR(VLOOKUP($C:$C,Structure!$A:$AJ,AM$1,0)*$D152,0),IFERROR(VLOOKUP($E:$E,Structure!$A:$AJ,AM$1,0)*$F152,0),IFERROR(VLOOKUP($G:$G,Structure!$A:$AJ,AM$1,0)*$H152,0))</f>
        <v>0</v>
      </c>
      <c r="AN152" s="9">
        <f>SUM(IFERROR(VLOOKUP($C:$C,Structure!$A:$AJ,AN$1,0)*$D152,0),IFERROR(VLOOKUP($E:$E,Structure!$A:$AJ,AN$1,0)*$F152,0),IFERROR(VLOOKUP($G:$G,Structure!$A:$AJ,AN$1,0)*$H152,0))</f>
        <v>0</v>
      </c>
      <c r="AO152" s="9">
        <f>SUM(IFERROR(VLOOKUP($C:$C,Structure!$A:$AJ,AO$1,0)*$D152,0),IFERROR(VLOOKUP($E:$E,Structure!$A:$AJ,AO$1,0)*$F152,0),IFERROR(VLOOKUP($G:$G,Structure!$A:$AJ,AO$1,0)*$H152,0))</f>
        <v>0</v>
      </c>
      <c r="AP152" s="9">
        <f>SUM(IFERROR(VLOOKUP($C:$C,Structure!$A:$AJ,AP$1,0)*$D152,0),IFERROR(VLOOKUP($E:$E,Structure!$A:$AJ,AP$1,0)*$F152,0),IFERROR(VLOOKUP($G:$G,Structure!$A:$AJ,AP$1,0)*$H152,0))</f>
        <v>0</v>
      </c>
      <c r="AQ152" s="9">
        <f>SUM(IFERROR(VLOOKUP($C:$C,Structure!$A:$AJ,AQ$1,0)*$D152,0),IFERROR(VLOOKUP($E:$E,Structure!$A:$AJ,AQ$1,0)*$F152,0),IFERROR(VLOOKUP($G:$G,Structure!$A:$AJ,AQ$1,0)*$H152,0))</f>
        <v>0</v>
      </c>
      <c r="AR152" s="21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4">
        <f t="shared" si="162"/>
        <v>0</v>
      </c>
      <c r="CE152" s="4">
        <f t="shared" si="163"/>
        <v>-84</v>
      </c>
      <c r="CF152" s="4">
        <f t="shared" si="164"/>
        <v>4</v>
      </c>
      <c r="CG152" s="4">
        <f t="shared" si="165"/>
        <v>14</v>
      </c>
      <c r="CH152" s="4">
        <f t="shared" si="166"/>
        <v>-7</v>
      </c>
      <c r="CI152" s="4">
        <f t="shared" si="167"/>
        <v>127</v>
      </c>
      <c r="CJ152" s="4">
        <f t="shared" si="168"/>
        <v>-141</v>
      </c>
      <c r="CK152" s="4">
        <f t="shared" si="169"/>
        <v>95</v>
      </c>
      <c r="CL152" s="4">
        <f t="shared" si="170"/>
        <v>0</v>
      </c>
      <c r="CM152" s="4">
        <f t="shared" si="171"/>
        <v>6</v>
      </c>
      <c r="CN152" s="4">
        <f t="shared" si="172"/>
        <v>-28</v>
      </c>
      <c r="CO152" s="4">
        <f t="shared" si="173"/>
        <v>0</v>
      </c>
      <c r="CP152" s="4">
        <f t="shared" si="174"/>
        <v>69</v>
      </c>
      <c r="CQ152" s="4">
        <f t="shared" si="175"/>
        <v>-262</v>
      </c>
      <c r="CR152" s="4">
        <f t="shared" si="176"/>
        <v>15</v>
      </c>
      <c r="CS152" s="4">
        <f t="shared" si="177"/>
        <v>-24</v>
      </c>
      <c r="CT152" s="4">
        <f t="shared" si="178"/>
        <v>0</v>
      </c>
      <c r="CU152" s="4">
        <f t="shared" si="179"/>
        <v>0</v>
      </c>
      <c r="CV152" s="4">
        <f t="shared" si="180"/>
        <v>0</v>
      </c>
      <c r="CW152" s="4">
        <f t="shared" si="181"/>
        <v>0</v>
      </c>
      <c r="CX152" s="4">
        <f t="shared" si="182"/>
        <v>-253</v>
      </c>
      <c r="CY152" s="4">
        <f t="shared" si="183"/>
        <v>0</v>
      </c>
      <c r="CZ152" s="4">
        <f t="shared" si="184"/>
        <v>0</v>
      </c>
      <c r="DA152" s="4">
        <f t="shared" si="185"/>
        <v>0</v>
      </c>
      <c r="DB152" s="4">
        <f t="shared" si="186"/>
        <v>0</v>
      </c>
      <c r="DC152" s="4">
        <f t="shared" si="187"/>
        <v>0</v>
      </c>
      <c r="DD152" s="4">
        <f t="shared" si="188"/>
        <v>0</v>
      </c>
      <c r="DE152" s="4">
        <f t="shared" si="189"/>
        <v>0</v>
      </c>
      <c r="DF152" s="4">
        <f t="shared" si="190"/>
        <v>0</v>
      </c>
      <c r="DG152" s="4">
        <f t="shared" si="191"/>
        <v>0</v>
      </c>
      <c r="DH152" s="4">
        <f t="shared" si="192"/>
        <v>0</v>
      </c>
      <c r="DI152" s="4">
        <f t="shared" si="193"/>
        <v>0</v>
      </c>
      <c r="DJ152" s="4">
        <f t="shared" si="194"/>
        <v>0</v>
      </c>
      <c r="DK152" s="4">
        <f t="shared" si="195"/>
        <v>0</v>
      </c>
      <c r="DL152" s="4">
        <f t="shared" si="196"/>
        <v>0</v>
      </c>
    </row>
    <row r="153" spans="1:116" x14ac:dyDescent="0.25">
      <c r="A153" s="5">
        <v>46186</v>
      </c>
      <c r="B153" s="6">
        <v>0.43750000036379788</v>
      </c>
      <c r="C153" s="3"/>
      <c r="D153" s="3"/>
      <c r="E153" s="3" t="s">
        <v>30</v>
      </c>
      <c r="F153" s="3">
        <v>8</v>
      </c>
      <c r="G153" s="3"/>
      <c r="H153" s="9"/>
      <c r="I153" s="9">
        <f>SUM(IFERROR(VLOOKUP($C:$C,Structure!$A:$AJ,I$1,0)*$D153,0),IFERROR(VLOOKUP($E:$E,Structure!$A:$AJ,I$1,0)*$F153,0),IFERROR(VLOOKUP($G:$G,Structure!$A:$AJ,I$1,0)*$H153,0))</f>
        <v>0</v>
      </c>
      <c r="J153" s="9">
        <f>SUM(IFERROR(VLOOKUP($C:$C,Structure!$A:$AJ,J$1,0)*$D153,0),IFERROR(VLOOKUP($E:$E,Structure!$A:$AJ,J$1,0)*$F153,0),IFERROR(VLOOKUP($G:$G,Structure!$A:$AJ,J$1,0)*$H153,0))</f>
        <v>0</v>
      </c>
      <c r="K153" s="9">
        <f>SUM(IFERROR(VLOOKUP($C:$C,Structure!$A:$AJ,K$1,0)*$D153,0),IFERROR(VLOOKUP($E:$E,Structure!$A:$AJ,K$1,0)*$F153,0),IFERROR(VLOOKUP($G:$G,Structure!$A:$AJ,K$1,0)*$H153,0))</f>
        <v>0</v>
      </c>
      <c r="L153" s="9">
        <f>SUM(IFERROR(VLOOKUP($C:$C,Structure!$A:$AJ,L$1,0)*$D153,0),IFERROR(VLOOKUP($E:$E,Structure!$A:$AJ,L$1,0)*$F153,0),IFERROR(VLOOKUP($G:$G,Structure!$A:$AJ,L$1,0)*$H153,0))</f>
        <v>0</v>
      </c>
      <c r="M153" s="9">
        <f>SUM(IFERROR(VLOOKUP($C:$C,Structure!$A:$AJ,M$1,0)*$D153,0),IFERROR(VLOOKUP($E:$E,Structure!$A:$AJ,M$1,0)*$F153,0),IFERROR(VLOOKUP($G:$G,Structure!$A:$AJ,M$1,0)*$H153,0))</f>
        <v>0</v>
      </c>
      <c r="N153" s="9">
        <f>SUM(IFERROR(VLOOKUP($C:$C,Structure!$A:$AJ,N$1,0)*$D153,0),IFERROR(VLOOKUP($E:$E,Structure!$A:$AJ,N$1,0)*$F153,0),IFERROR(VLOOKUP($G:$G,Structure!$A:$AJ,N$1,0)*$H153,0))</f>
        <v>0</v>
      </c>
      <c r="O153" s="9">
        <f>SUM(IFERROR(VLOOKUP($C:$C,Structure!$A:$AJ,O$1,0)*$D153,0),IFERROR(VLOOKUP($E:$E,Structure!$A:$AJ,O$1,0)*$F153,0),IFERROR(VLOOKUP($G:$G,Structure!$A:$AJ,O$1,0)*$H153,0))</f>
        <v>0</v>
      </c>
      <c r="P153" s="9">
        <f>SUM(IFERROR(VLOOKUP($C:$C,Structure!$A:$AJ,P$1,0)*$D153,0),IFERROR(VLOOKUP($E:$E,Structure!$A:$AJ,P$1,0)*$F153,0),IFERROR(VLOOKUP($G:$G,Structure!$A:$AJ,P$1,0)*$H153,0))</f>
        <v>0</v>
      </c>
      <c r="Q153" s="9">
        <f>SUM(IFERROR(VLOOKUP($C:$C,Structure!$A:$AJ,Q$1,0)*$D153,0),IFERROR(VLOOKUP($E:$E,Structure!$A:$AJ,Q$1,0)*$F153,0),IFERROR(VLOOKUP($G:$G,Structure!$A:$AJ,Q$1,0)*$H153,0))</f>
        <v>0</v>
      </c>
      <c r="R153" s="9">
        <f>SUM(IFERROR(VLOOKUP($C:$C,Structure!$A:$AJ,R$1,0)*$D153,0),IFERROR(VLOOKUP($E:$E,Structure!$A:$AJ,R$1,0)*$F153,0),IFERROR(VLOOKUP($G:$G,Structure!$A:$AJ,R$1,0)*$H153,0))</f>
        <v>0</v>
      </c>
      <c r="S153" s="9">
        <f>SUM(IFERROR(VLOOKUP($C:$C,Structure!$A:$AJ,S$1,0)*$D153,0),IFERROR(VLOOKUP($E:$E,Structure!$A:$AJ,S$1,0)*$F153,0),IFERROR(VLOOKUP($G:$G,Structure!$A:$AJ,S$1,0)*$H153,0))</f>
        <v>0</v>
      </c>
      <c r="T153" s="9">
        <f>SUM(IFERROR(VLOOKUP($C:$C,Structure!$A:$AJ,T$1,0)*$D153,0),IFERROR(VLOOKUP($E:$E,Structure!$A:$AJ,T$1,0)*$F153,0),IFERROR(VLOOKUP($G:$G,Structure!$A:$AJ,T$1,0)*$H153,0))</f>
        <v>0</v>
      </c>
      <c r="U153" s="9">
        <f>SUM(IFERROR(VLOOKUP($C:$C,Structure!$A:$AJ,U$1,0)*$D153,0),IFERROR(VLOOKUP($E:$E,Structure!$A:$AJ,U$1,0)*$F153,0),IFERROR(VLOOKUP($G:$G,Structure!$A:$AJ,U$1,0)*$H153,0))</f>
        <v>0</v>
      </c>
      <c r="V153" s="9">
        <f>SUM(IFERROR(VLOOKUP($C:$C,Structure!$A:$AJ,V$1,0)*$D153,0),IFERROR(VLOOKUP($E:$E,Structure!$A:$AJ,V$1,0)*$F153,0),IFERROR(VLOOKUP($G:$G,Structure!$A:$AJ,V$1,0)*$H153,0))</f>
        <v>8</v>
      </c>
      <c r="W153" s="9">
        <f>SUM(IFERROR(VLOOKUP($C:$C,Structure!$A:$AJ,W$1,0)*$D153,0),IFERROR(VLOOKUP($E:$E,Structure!$A:$AJ,W$1,0)*$F153,0),IFERROR(VLOOKUP($G:$G,Structure!$A:$AJ,W$1,0)*$H153,0))</f>
        <v>0</v>
      </c>
      <c r="X153" s="9">
        <f>SUM(IFERROR(VLOOKUP($C:$C,Structure!$A:$AJ,X$1,0)*$D153,0),IFERROR(VLOOKUP($E:$E,Structure!$A:$AJ,X$1,0)*$F153,0),IFERROR(VLOOKUP($G:$G,Structure!$A:$AJ,X$1,0)*$H153,0))</f>
        <v>0</v>
      </c>
      <c r="Y153" s="9">
        <f>SUM(IFERROR(VLOOKUP($C:$C,Structure!$A:$AJ,Y$1,0)*$D153,0),IFERROR(VLOOKUP($E:$E,Structure!$A:$AJ,Y$1,0)*$F153,0),IFERROR(VLOOKUP($G:$G,Structure!$A:$AJ,Y$1,0)*$H153,0))</f>
        <v>0</v>
      </c>
      <c r="Z153" s="9">
        <f>SUM(IFERROR(VLOOKUP($C:$C,Structure!$A:$AJ,Z$1,0)*$D153,0),IFERROR(VLOOKUP($E:$E,Structure!$A:$AJ,Z$1,0)*$F153,0),IFERROR(VLOOKUP($G:$G,Structure!$A:$AJ,Z$1,0)*$H153,0))</f>
        <v>0</v>
      </c>
      <c r="AA153" s="9">
        <f>SUM(IFERROR(VLOOKUP($C:$C,Structure!$A:$AJ,AA$1,0)*$D153,0),IFERROR(VLOOKUP($E:$E,Structure!$A:$AJ,AA$1,0)*$F153,0),IFERROR(VLOOKUP($G:$G,Structure!$A:$AJ,AA$1,0)*$H153,0))</f>
        <v>0</v>
      </c>
      <c r="AB153" s="9">
        <f>SUM(IFERROR(VLOOKUP($C:$C,Structure!$A:$AJ,AB$1,0)*$D153,0),IFERROR(VLOOKUP($E:$E,Structure!$A:$AJ,AB$1,0)*$F153,0),IFERROR(VLOOKUP($G:$G,Structure!$A:$AJ,AB$1,0)*$H153,0))</f>
        <v>0</v>
      </c>
      <c r="AC153" s="9">
        <f>SUM(IFERROR(VLOOKUP($C:$C,Structure!$A:$AJ,AC$1,0)*$D153,0),IFERROR(VLOOKUP($E:$E,Structure!$A:$AJ,AC$1,0)*$F153,0),IFERROR(VLOOKUP($G:$G,Structure!$A:$AJ,AC$1,0)*$H153,0))</f>
        <v>8</v>
      </c>
      <c r="AD153" s="9">
        <f>SUM(IFERROR(VLOOKUP($C:$C,Structure!$A:$AJ,AD$1,0)*$D153,0),IFERROR(VLOOKUP($E:$E,Structure!$A:$AJ,AD$1,0)*$F153,0),IFERROR(VLOOKUP($G:$G,Structure!$A:$AJ,AD$1,0)*$H153,0))</f>
        <v>0</v>
      </c>
      <c r="AE153" s="9">
        <f>SUM(IFERROR(VLOOKUP($C:$C,Structure!$A:$AJ,AE$1,0)*$D153,0),IFERROR(VLOOKUP($E:$E,Structure!$A:$AJ,AE$1,0)*$F153,0),IFERROR(VLOOKUP($G:$G,Structure!$A:$AJ,AE$1,0)*$H153,0))</f>
        <v>0</v>
      </c>
      <c r="AF153" s="9">
        <f>SUM(IFERROR(VLOOKUP($C:$C,Structure!$A:$AJ,AF$1,0)*$D153,0),IFERROR(VLOOKUP($E:$E,Structure!$A:$AJ,AF$1,0)*$F153,0),IFERROR(VLOOKUP($G:$G,Structure!$A:$AJ,AF$1,0)*$H153,0))</f>
        <v>0</v>
      </c>
      <c r="AG153" s="9">
        <f>SUM(IFERROR(VLOOKUP($C:$C,Structure!$A:$AJ,AG$1,0)*$D153,0),IFERROR(VLOOKUP($E:$E,Structure!$A:$AJ,AG$1,0)*$F153,0),IFERROR(VLOOKUP($G:$G,Structure!$A:$AJ,AG$1,0)*$H153,0))</f>
        <v>0</v>
      </c>
      <c r="AH153" s="9">
        <f>SUM(IFERROR(VLOOKUP($C:$C,Structure!$A:$AJ,AH$1,0)*$D153,0),IFERROR(VLOOKUP($E:$E,Structure!$A:$AJ,AH$1,0)*$F153,0),IFERROR(VLOOKUP($G:$G,Structure!$A:$AJ,AH$1,0)*$H153,0))</f>
        <v>0</v>
      </c>
      <c r="AI153" s="9">
        <f>SUM(IFERROR(VLOOKUP($C:$C,Structure!$A:$AJ,AI$1,0)*$D153,0),IFERROR(VLOOKUP($E:$E,Structure!$A:$AJ,AI$1,0)*$F153,0),IFERROR(VLOOKUP($G:$G,Structure!$A:$AJ,AI$1,0)*$H153,0))</f>
        <v>0</v>
      </c>
      <c r="AJ153" s="9">
        <f>SUM(IFERROR(VLOOKUP($C:$C,Structure!$A:$AJ,AJ$1,0)*$D153,0),IFERROR(VLOOKUP($E:$E,Structure!$A:$AJ,AJ$1,0)*$F153,0),IFERROR(VLOOKUP($G:$G,Structure!$A:$AJ,AJ$1,0)*$H153,0))</f>
        <v>0</v>
      </c>
      <c r="AK153" s="9">
        <f>SUM(IFERROR(VLOOKUP($C:$C,Structure!$A:$AJ,AK$1,0)*$D153,0),IFERROR(VLOOKUP($E:$E,Structure!$A:$AJ,AK$1,0)*$F153,0),IFERROR(VLOOKUP($G:$G,Structure!$A:$AJ,AK$1,0)*$H153,0))</f>
        <v>0</v>
      </c>
      <c r="AL153" s="9">
        <f>SUM(IFERROR(VLOOKUP($C:$C,Structure!$A:$AJ,AL$1,0)*$D153,0),IFERROR(VLOOKUP($E:$E,Structure!$A:$AJ,AL$1,0)*$F153,0),IFERROR(VLOOKUP($G:$G,Structure!$A:$AJ,AL$1,0)*$H153,0))</f>
        <v>0</v>
      </c>
      <c r="AM153" s="9">
        <f>SUM(IFERROR(VLOOKUP($C:$C,Structure!$A:$AJ,AM$1,0)*$D153,0),IFERROR(VLOOKUP($E:$E,Structure!$A:$AJ,AM$1,0)*$F153,0),IFERROR(VLOOKUP($G:$G,Structure!$A:$AJ,AM$1,0)*$H153,0))</f>
        <v>0</v>
      </c>
      <c r="AN153" s="9">
        <f>SUM(IFERROR(VLOOKUP($C:$C,Structure!$A:$AJ,AN$1,0)*$D153,0),IFERROR(VLOOKUP($E:$E,Structure!$A:$AJ,AN$1,0)*$F153,0),IFERROR(VLOOKUP($G:$G,Structure!$A:$AJ,AN$1,0)*$H153,0))</f>
        <v>0</v>
      </c>
      <c r="AO153" s="9">
        <f>SUM(IFERROR(VLOOKUP($C:$C,Structure!$A:$AJ,AO$1,0)*$D153,0),IFERROR(VLOOKUP($E:$E,Structure!$A:$AJ,AO$1,0)*$F153,0),IFERROR(VLOOKUP($G:$G,Structure!$A:$AJ,AO$1,0)*$H153,0))</f>
        <v>0</v>
      </c>
      <c r="AP153" s="9">
        <f>SUM(IFERROR(VLOOKUP($C:$C,Structure!$A:$AJ,AP$1,0)*$D153,0),IFERROR(VLOOKUP($E:$E,Structure!$A:$AJ,AP$1,0)*$F153,0),IFERROR(VLOOKUP($G:$G,Structure!$A:$AJ,AP$1,0)*$H153,0))</f>
        <v>0</v>
      </c>
      <c r="AQ153" s="9">
        <f>SUM(IFERROR(VLOOKUP($C:$C,Structure!$A:$AJ,AQ$1,0)*$D153,0),IFERROR(VLOOKUP($E:$E,Structure!$A:$AJ,AQ$1,0)*$F153,0),IFERROR(VLOOKUP($G:$G,Structure!$A:$AJ,AQ$1,0)*$H153,0))</f>
        <v>0</v>
      </c>
      <c r="AR153" s="21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4">
        <f t="shared" si="162"/>
        <v>0</v>
      </c>
      <c r="CE153" s="4">
        <f t="shared" si="163"/>
        <v>-84</v>
      </c>
      <c r="CF153" s="4">
        <f t="shared" si="164"/>
        <v>4</v>
      </c>
      <c r="CG153" s="4">
        <f t="shared" si="165"/>
        <v>14</v>
      </c>
      <c r="CH153" s="4">
        <f t="shared" si="166"/>
        <v>-7</v>
      </c>
      <c r="CI153" s="4">
        <f t="shared" si="167"/>
        <v>127</v>
      </c>
      <c r="CJ153" s="4">
        <f t="shared" si="168"/>
        <v>-141</v>
      </c>
      <c r="CK153" s="4">
        <f t="shared" si="169"/>
        <v>95</v>
      </c>
      <c r="CL153" s="4">
        <f t="shared" si="170"/>
        <v>0</v>
      </c>
      <c r="CM153" s="4">
        <f t="shared" si="171"/>
        <v>6</v>
      </c>
      <c r="CN153" s="4">
        <f t="shared" si="172"/>
        <v>-28</v>
      </c>
      <c r="CO153" s="4">
        <f t="shared" si="173"/>
        <v>0</v>
      </c>
      <c r="CP153" s="4">
        <f t="shared" si="174"/>
        <v>69</v>
      </c>
      <c r="CQ153" s="4">
        <f t="shared" si="175"/>
        <v>-270</v>
      </c>
      <c r="CR153" s="4">
        <f t="shared" si="176"/>
        <v>15</v>
      </c>
      <c r="CS153" s="4">
        <f t="shared" si="177"/>
        <v>-24</v>
      </c>
      <c r="CT153" s="4">
        <f t="shared" si="178"/>
        <v>0</v>
      </c>
      <c r="CU153" s="4">
        <f t="shared" si="179"/>
        <v>0</v>
      </c>
      <c r="CV153" s="4">
        <f t="shared" si="180"/>
        <v>0</v>
      </c>
      <c r="CW153" s="4">
        <f t="shared" si="181"/>
        <v>0</v>
      </c>
      <c r="CX153" s="4">
        <f t="shared" si="182"/>
        <v>-261</v>
      </c>
      <c r="CY153" s="4">
        <f t="shared" si="183"/>
        <v>0</v>
      </c>
      <c r="CZ153" s="4">
        <f t="shared" si="184"/>
        <v>0</v>
      </c>
      <c r="DA153" s="4">
        <f t="shared" si="185"/>
        <v>0</v>
      </c>
      <c r="DB153" s="4">
        <f t="shared" si="186"/>
        <v>0</v>
      </c>
      <c r="DC153" s="4">
        <f t="shared" si="187"/>
        <v>0</v>
      </c>
      <c r="DD153" s="4">
        <f t="shared" si="188"/>
        <v>0</v>
      </c>
      <c r="DE153" s="4">
        <f t="shared" si="189"/>
        <v>0</v>
      </c>
      <c r="DF153" s="4">
        <f t="shared" si="190"/>
        <v>0</v>
      </c>
      <c r="DG153" s="4">
        <f t="shared" si="191"/>
        <v>0</v>
      </c>
      <c r="DH153" s="4">
        <f t="shared" si="192"/>
        <v>0</v>
      </c>
      <c r="DI153" s="4">
        <f t="shared" si="193"/>
        <v>0</v>
      </c>
      <c r="DJ153" s="4">
        <f t="shared" si="194"/>
        <v>0</v>
      </c>
      <c r="DK153" s="4">
        <f t="shared" si="195"/>
        <v>0</v>
      </c>
      <c r="DL153" s="4">
        <f t="shared" si="196"/>
        <v>0</v>
      </c>
    </row>
    <row r="154" spans="1:116" x14ac:dyDescent="0.25">
      <c r="A154" s="5">
        <v>46186</v>
      </c>
      <c r="B154" s="6">
        <v>0.45833333369955653</v>
      </c>
      <c r="C154" s="3"/>
      <c r="D154" s="3"/>
      <c r="E154" s="3" t="s">
        <v>30</v>
      </c>
      <c r="F154" s="3">
        <v>8</v>
      </c>
      <c r="G154" s="3"/>
      <c r="H154" s="9"/>
      <c r="I154" s="9">
        <f>SUM(IFERROR(VLOOKUP($C:$C,Structure!$A:$AJ,I$1,0)*$D154,0),IFERROR(VLOOKUP($E:$E,Structure!$A:$AJ,I$1,0)*$F154,0),IFERROR(VLOOKUP($G:$G,Structure!$A:$AJ,I$1,0)*$H154,0))</f>
        <v>0</v>
      </c>
      <c r="J154" s="9">
        <f>SUM(IFERROR(VLOOKUP($C:$C,Structure!$A:$AJ,J$1,0)*$D154,0),IFERROR(VLOOKUP($E:$E,Structure!$A:$AJ,J$1,0)*$F154,0),IFERROR(VLOOKUP($G:$G,Structure!$A:$AJ,J$1,0)*$H154,0))</f>
        <v>0</v>
      </c>
      <c r="K154" s="9">
        <f>SUM(IFERROR(VLOOKUP($C:$C,Structure!$A:$AJ,K$1,0)*$D154,0),IFERROR(VLOOKUP($E:$E,Structure!$A:$AJ,K$1,0)*$F154,0),IFERROR(VLOOKUP($G:$G,Structure!$A:$AJ,K$1,0)*$H154,0))</f>
        <v>0</v>
      </c>
      <c r="L154" s="9">
        <f>SUM(IFERROR(VLOOKUP($C:$C,Structure!$A:$AJ,L$1,0)*$D154,0),IFERROR(VLOOKUP($E:$E,Structure!$A:$AJ,L$1,0)*$F154,0),IFERROR(VLOOKUP($G:$G,Structure!$A:$AJ,L$1,0)*$H154,0))</f>
        <v>0</v>
      </c>
      <c r="M154" s="9">
        <f>SUM(IFERROR(VLOOKUP($C:$C,Structure!$A:$AJ,M$1,0)*$D154,0),IFERROR(VLOOKUP($E:$E,Structure!$A:$AJ,M$1,0)*$F154,0),IFERROR(VLOOKUP($G:$G,Structure!$A:$AJ,M$1,0)*$H154,0))</f>
        <v>0</v>
      </c>
      <c r="N154" s="9">
        <f>SUM(IFERROR(VLOOKUP($C:$C,Structure!$A:$AJ,N$1,0)*$D154,0),IFERROR(VLOOKUP($E:$E,Structure!$A:$AJ,N$1,0)*$F154,0),IFERROR(VLOOKUP($G:$G,Structure!$A:$AJ,N$1,0)*$H154,0))</f>
        <v>0</v>
      </c>
      <c r="O154" s="9">
        <f>SUM(IFERROR(VLOOKUP($C:$C,Structure!$A:$AJ,O$1,0)*$D154,0),IFERROR(VLOOKUP($E:$E,Structure!$A:$AJ,O$1,0)*$F154,0),IFERROR(VLOOKUP($G:$G,Structure!$A:$AJ,O$1,0)*$H154,0))</f>
        <v>0</v>
      </c>
      <c r="P154" s="9">
        <f>SUM(IFERROR(VLOOKUP($C:$C,Structure!$A:$AJ,P$1,0)*$D154,0),IFERROR(VLOOKUP($E:$E,Structure!$A:$AJ,P$1,0)*$F154,0),IFERROR(VLOOKUP($G:$G,Structure!$A:$AJ,P$1,0)*$H154,0))</f>
        <v>0</v>
      </c>
      <c r="Q154" s="9">
        <f>SUM(IFERROR(VLOOKUP($C:$C,Structure!$A:$AJ,Q$1,0)*$D154,0),IFERROR(VLOOKUP($E:$E,Structure!$A:$AJ,Q$1,0)*$F154,0),IFERROR(VLOOKUP($G:$G,Structure!$A:$AJ,Q$1,0)*$H154,0))</f>
        <v>0</v>
      </c>
      <c r="R154" s="9">
        <f>SUM(IFERROR(VLOOKUP($C:$C,Structure!$A:$AJ,R$1,0)*$D154,0),IFERROR(VLOOKUP($E:$E,Structure!$A:$AJ,R$1,0)*$F154,0),IFERROR(VLOOKUP($G:$G,Structure!$A:$AJ,R$1,0)*$H154,0))</f>
        <v>0</v>
      </c>
      <c r="S154" s="9">
        <f>SUM(IFERROR(VLOOKUP($C:$C,Structure!$A:$AJ,S$1,0)*$D154,0),IFERROR(VLOOKUP($E:$E,Structure!$A:$AJ,S$1,0)*$F154,0),IFERROR(VLOOKUP($G:$G,Structure!$A:$AJ,S$1,0)*$H154,0))</f>
        <v>0</v>
      </c>
      <c r="T154" s="9">
        <f>SUM(IFERROR(VLOOKUP($C:$C,Structure!$A:$AJ,T$1,0)*$D154,0),IFERROR(VLOOKUP($E:$E,Structure!$A:$AJ,T$1,0)*$F154,0),IFERROR(VLOOKUP($G:$G,Structure!$A:$AJ,T$1,0)*$H154,0))</f>
        <v>0</v>
      </c>
      <c r="U154" s="9">
        <f>SUM(IFERROR(VLOOKUP($C:$C,Structure!$A:$AJ,U$1,0)*$D154,0),IFERROR(VLOOKUP($E:$E,Structure!$A:$AJ,U$1,0)*$F154,0),IFERROR(VLOOKUP($G:$G,Structure!$A:$AJ,U$1,0)*$H154,0))</f>
        <v>0</v>
      </c>
      <c r="V154" s="9">
        <f>SUM(IFERROR(VLOOKUP($C:$C,Structure!$A:$AJ,V$1,0)*$D154,0),IFERROR(VLOOKUP($E:$E,Structure!$A:$AJ,V$1,0)*$F154,0),IFERROR(VLOOKUP($G:$G,Structure!$A:$AJ,V$1,0)*$H154,0))</f>
        <v>8</v>
      </c>
      <c r="W154" s="9">
        <f>SUM(IFERROR(VLOOKUP($C:$C,Structure!$A:$AJ,W$1,0)*$D154,0),IFERROR(VLOOKUP($E:$E,Structure!$A:$AJ,W$1,0)*$F154,0),IFERROR(VLOOKUP($G:$G,Structure!$A:$AJ,W$1,0)*$H154,0))</f>
        <v>0</v>
      </c>
      <c r="X154" s="9">
        <f>SUM(IFERROR(VLOOKUP($C:$C,Structure!$A:$AJ,X$1,0)*$D154,0),IFERROR(VLOOKUP($E:$E,Structure!$A:$AJ,X$1,0)*$F154,0),IFERROR(VLOOKUP($G:$G,Structure!$A:$AJ,X$1,0)*$H154,0))</f>
        <v>0</v>
      </c>
      <c r="Y154" s="9">
        <f>SUM(IFERROR(VLOOKUP($C:$C,Structure!$A:$AJ,Y$1,0)*$D154,0),IFERROR(VLOOKUP($E:$E,Structure!$A:$AJ,Y$1,0)*$F154,0),IFERROR(VLOOKUP($G:$G,Structure!$A:$AJ,Y$1,0)*$H154,0))</f>
        <v>0</v>
      </c>
      <c r="Z154" s="9">
        <f>SUM(IFERROR(VLOOKUP($C:$C,Structure!$A:$AJ,Z$1,0)*$D154,0),IFERROR(VLOOKUP($E:$E,Structure!$A:$AJ,Z$1,0)*$F154,0),IFERROR(VLOOKUP($G:$G,Structure!$A:$AJ,Z$1,0)*$H154,0))</f>
        <v>0</v>
      </c>
      <c r="AA154" s="9">
        <f>SUM(IFERROR(VLOOKUP($C:$C,Structure!$A:$AJ,AA$1,0)*$D154,0),IFERROR(VLOOKUP($E:$E,Structure!$A:$AJ,AA$1,0)*$F154,0),IFERROR(VLOOKUP($G:$G,Structure!$A:$AJ,AA$1,0)*$H154,0))</f>
        <v>0</v>
      </c>
      <c r="AB154" s="9">
        <f>SUM(IFERROR(VLOOKUP($C:$C,Structure!$A:$AJ,AB$1,0)*$D154,0),IFERROR(VLOOKUP($E:$E,Structure!$A:$AJ,AB$1,0)*$F154,0),IFERROR(VLOOKUP($G:$G,Structure!$A:$AJ,AB$1,0)*$H154,0))</f>
        <v>0</v>
      </c>
      <c r="AC154" s="9">
        <f>SUM(IFERROR(VLOOKUP($C:$C,Structure!$A:$AJ,AC$1,0)*$D154,0),IFERROR(VLOOKUP($E:$E,Structure!$A:$AJ,AC$1,0)*$F154,0),IFERROR(VLOOKUP($G:$G,Structure!$A:$AJ,AC$1,0)*$H154,0))</f>
        <v>8</v>
      </c>
      <c r="AD154" s="9">
        <f>SUM(IFERROR(VLOOKUP($C:$C,Structure!$A:$AJ,AD$1,0)*$D154,0),IFERROR(VLOOKUP($E:$E,Structure!$A:$AJ,AD$1,0)*$F154,0),IFERROR(VLOOKUP($G:$G,Structure!$A:$AJ,AD$1,0)*$H154,0))</f>
        <v>0</v>
      </c>
      <c r="AE154" s="9">
        <f>SUM(IFERROR(VLOOKUP($C:$C,Structure!$A:$AJ,AE$1,0)*$D154,0),IFERROR(VLOOKUP($E:$E,Structure!$A:$AJ,AE$1,0)*$F154,0),IFERROR(VLOOKUP($G:$G,Structure!$A:$AJ,AE$1,0)*$H154,0))</f>
        <v>0</v>
      </c>
      <c r="AF154" s="9">
        <f>SUM(IFERROR(VLOOKUP($C:$C,Structure!$A:$AJ,AF$1,0)*$D154,0),IFERROR(VLOOKUP($E:$E,Structure!$A:$AJ,AF$1,0)*$F154,0),IFERROR(VLOOKUP($G:$G,Structure!$A:$AJ,AF$1,0)*$H154,0))</f>
        <v>0</v>
      </c>
      <c r="AG154" s="9">
        <f>SUM(IFERROR(VLOOKUP($C:$C,Structure!$A:$AJ,AG$1,0)*$D154,0),IFERROR(VLOOKUP($E:$E,Structure!$A:$AJ,AG$1,0)*$F154,0),IFERROR(VLOOKUP($G:$G,Structure!$A:$AJ,AG$1,0)*$H154,0))</f>
        <v>0</v>
      </c>
      <c r="AH154" s="9">
        <f>SUM(IFERROR(VLOOKUP($C:$C,Structure!$A:$AJ,AH$1,0)*$D154,0),IFERROR(VLOOKUP($E:$E,Structure!$A:$AJ,AH$1,0)*$F154,0),IFERROR(VLOOKUP($G:$G,Structure!$A:$AJ,AH$1,0)*$H154,0))</f>
        <v>0</v>
      </c>
      <c r="AI154" s="9">
        <f>SUM(IFERROR(VLOOKUP($C:$C,Structure!$A:$AJ,AI$1,0)*$D154,0),IFERROR(VLOOKUP($E:$E,Structure!$A:$AJ,AI$1,0)*$F154,0),IFERROR(VLOOKUP($G:$G,Structure!$A:$AJ,AI$1,0)*$H154,0))</f>
        <v>0</v>
      </c>
      <c r="AJ154" s="9">
        <f>SUM(IFERROR(VLOOKUP($C:$C,Structure!$A:$AJ,AJ$1,0)*$D154,0),IFERROR(VLOOKUP($E:$E,Structure!$A:$AJ,AJ$1,0)*$F154,0),IFERROR(VLOOKUP($G:$G,Structure!$A:$AJ,AJ$1,0)*$H154,0))</f>
        <v>0</v>
      </c>
      <c r="AK154" s="9">
        <f>SUM(IFERROR(VLOOKUP($C:$C,Structure!$A:$AJ,AK$1,0)*$D154,0),IFERROR(VLOOKUP($E:$E,Structure!$A:$AJ,AK$1,0)*$F154,0),IFERROR(VLOOKUP($G:$G,Structure!$A:$AJ,AK$1,0)*$H154,0))</f>
        <v>0</v>
      </c>
      <c r="AL154" s="9">
        <f>SUM(IFERROR(VLOOKUP($C:$C,Structure!$A:$AJ,AL$1,0)*$D154,0),IFERROR(VLOOKUP($E:$E,Structure!$A:$AJ,AL$1,0)*$F154,0),IFERROR(VLOOKUP($G:$G,Structure!$A:$AJ,AL$1,0)*$H154,0))</f>
        <v>0</v>
      </c>
      <c r="AM154" s="9">
        <f>SUM(IFERROR(VLOOKUP($C:$C,Structure!$A:$AJ,AM$1,0)*$D154,0),IFERROR(VLOOKUP($E:$E,Structure!$A:$AJ,AM$1,0)*$F154,0),IFERROR(VLOOKUP($G:$G,Structure!$A:$AJ,AM$1,0)*$H154,0))</f>
        <v>0</v>
      </c>
      <c r="AN154" s="9">
        <f>SUM(IFERROR(VLOOKUP($C:$C,Structure!$A:$AJ,AN$1,0)*$D154,0),IFERROR(VLOOKUP($E:$E,Structure!$A:$AJ,AN$1,0)*$F154,0),IFERROR(VLOOKUP($G:$G,Structure!$A:$AJ,AN$1,0)*$H154,0))</f>
        <v>0</v>
      </c>
      <c r="AO154" s="9">
        <f>SUM(IFERROR(VLOOKUP($C:$C,Structure!$A:$AJ,AO$1,0)*$D154,0),IFERROR(VLOOKUP($E:$E,Structure!$A:$AJ,AO$1,0)*$F154,0),IFERROR(VLOOKUP($G:$G,Structure!$A:$AJ,AO$1,0)*$H154,0))</f>
        <v>0</v>
      </c>
      <c r="AP154" s="9">
        <f>SUM(IFERROR(VLOOKUP($C:$C,Structure!$A:$AJ,AP$1,0)*$D154,0),IFERROR(VLOOKUP($E:$E,Structure!$A:$AJ,AP$1,0)*$F154,0),IFERROR(VLOOKUP($G:$G,Structure!$A:$AJ,AP$1,0)*$H154,0))</f>
        <v>0</v>
      </c>
      <c r="AQ154" s="9">
        <f>SUM(IFERROR(VLOOKUP($C:$C,Structure!$A:$AJ,AQ$1,0)*$D154,0),IFERROR(VLOOKUP($E:$E,Structure!$A:$AJ,AQ$1,0)*$F154,0),IFERROR(VLOOKUP($G:$G,Structure!$A:$AJ,AQ$1,0)*$H154,0))</f>
        <v>0</v>
      </c>
      <c r="AR154" s="21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4">
        <f t="shared" si="162"/>
        <v>0</v>
      </c>
      <c r="CE154" s="4">
        <f t="shared" si="163"/>
        <v>-84</v>
      </c>
      <c r="CF154" s="4">
        <f t="shared" si="164"/>
        <v>4</v>
      </c>
      <c r="CG154" s="4">
        <f t="shared" si="165"/>
        <v>14</v>
      </c>
      <c r="CH154" s="4">
        <f t="shared" si="166"/>
        <v>-7</v>
      </c>
      <c r="CI154" s="4">
        <f t="shared" si="167"/>
        <v>127</v>
      </c>
      <c r="CJ154" s="4">
        <f t="shared" si="168"/>
        <v>-141</v>
      </c>
      <c r="CK154" s="4">
        <f t="shared" si="169"/>
        <v>95</v>
      </c>
      <c r="CL154" s="4">
        <f t="shared" si="170"/>
        <v>0</v>
      </c>
      <c r="CM154" s="4">
        <f t="shared" si="171"/>
        <v>6</v>
      </c>
      <c r="CN154" s="4">
        <f t="shared" si="172"/>
        <v>-28</v>
      </c>
      <c r="CO154" s="4">
        <f t="shared" si="173"/>
        <v>0</v>
      </c>
      <c r="CP154" s="4">
        <f t="shared" si="174"/>
        <v>69</v>
      </c>
      <c r="CQ154" s="4">
        <f t="shared" si="175"/>
        <v>-278</v>
      </c>
      <c r="CR154" s="4">
        <f t="shared" si="176"/>
        <v>15</v>
      </c>
      <c r="CS154" s="4">
        <f t="shared" si="177"/>
        <v>-24</v>
      </c>
      <c r="CT154" s="4">
        <f t="shared" si="178"/>
        <v>0</v>
      </c>
      <c r="CU154" s="4">
        <f t="shared" si="179"/>
        <v>0</v>
      </c>
      <c r="CV154" s="4">
        <f t="shared" si="180"/>
        <v>0</v>
      </c>
      <c r="CW154" s="4">
        <f t="shared" si="181"/>
        <v>0</v>
      </c>
      <c r="CX154" s="4">
        <f t="shared" si="182"/>
        <v>-269</v>
      </c>
      <c r="CY154" s="4">
        <f t="shared" si="183"/>
        <v>0</v>
      </c>
      <c r="CZ154" s="4">
        <f t="shared" si="184"/>
        <v>0</v>
      </c>
      <c r="DA154" s="4">
        <f t="shared" si="185"/>
        <v>0</v>
      </c>
      <c r="DB154" s="4">
        <f t="shared" si="186"/>
        <v>0</v>
      </c>
      <c r="DC154" s="4">
        <f t="shared" si="187"/>
        <v>0</v>
      </c>
      <c r="DD154" s="4">
        <f t="shared" si="188"/>
        <v>0</v>
      </c>
      <c r="DE154" s="4">
        <f t="shared" si="189"/>
        <v>0</v>
      </c>
      <c r="DF154" s="4">
        <f t="shared" si="190"/>
        <v>0</v>
      </c>
      <c r="DG154" s="4">
        <f t="shared" si="191"/>
        <v>0</v>
      </c>
      <c r="DH154" s="4">
        <f t="shared" si="192"/>
        <v>0</v>
      </c>
      <c r="DI154" s="4">
        <f t="shared" si="193"/>
        <v>0</v>
      </c>
      <c r="DJ154" s="4">
        <f t="shared" si="194"/>
        <v>0</v>
      </c>
      <c r="DK154" s="4">
        <f t="shared" si="195"/>
        <v>0</v>
      </c>
      <c r="DL154" s="4">
        <f t="shared" si="196"/>
        <v>0</v>
      </c>
    </row>
    <row r="155" spans="1:116" x14ac:dyDescent="0.25">
      <c r="A155" s="5">
        <v>46186</v>
      </c>
      <c r="B155" s="6">
        <v>0.47916666703531519</v>
      </c>
      <c r="C155" s="3"/>
      <c r="D155" s="3"/>
      <c r="E155" s="3" t="s">
        <v>30</v>
      </c>
      <c r="F155" s="3">
        <v>8</v>
      </c>
      <c r="G155" s="3"/>
      <c r="H155" s="9"/>
      <c r="I155" s="9">
        <f>SUM(IFERROR(VLOOKUP($C:$C,Structure!$A:$AJ,I$1,0)*$D155,0),IFERROR(VLOOKUP($E:$E,Structure!$A:$AJ,I$1,0)*$F155,0),IFERROR(VLOOKUP($G:$G,Structure!$A:$AJ,I$1,0)*$H155,0))</f>
        <v>0</v>
      </c>
      <c r="J155" s="9">
        <f>SUM(IFERROR(VLOOKUP($C:$C,Structure!$A:$AJ,J$1,0)*$D155,0),IFERROR(VLOOKUP($E:$E,Structure!$A:$AJ,J$1,0)*$F155,0),IFERROR(VLOOKUP($G:$G,Structure!$A:$AJ,J$1,0)*$H155,0))</f>
        <v>0</v>
      </c>
      <c r="K155" s="9">
        <f>SUM(IFERROR(VLOOKUP($C:$C,Structure!$A:$AJ,K$1,0)*$D155,0),IFERROR(VLOOKUP($E:$E,Structure!$A:$AJ,K$1,0)*$F155,0),IFERROR(VLOOKUP($G:$G,Structure!$A:$AJ,K$1,0)*$H155,0))</f>
        <v>0</v>
      </c>
      <c r="L155" s="9">
        <f>SUM(IFERROR(VLOOKUP($C:$C,Structure!$A:$AJ,L$1,0)*$D155,0),IFERROR(VLOOKUP($E:$E,Structure!$A:$AJ,L$1,0)*$F155,0),IFERROR(VLOOKUP($G:$G,Structure!$A:$AJ,L$1,0)*$H155,0))</f>
        <v>0</v>
      </c>
      <c r="M155" s="9">
        <f>SUM(IFERROR(VLOOKUP($C:$C,Structure!$A:$AJ,M$1,0)*$D155,0),IFERROR(VLOOKUP($E:$E,Structure!$A:$AJ,M$1,0)*$F155,0),IFERROR(VLOOKUP($G:$G,Structure!$A:$AJ,M$1,0)*$H155,0))</f>
        <v>0</v>
      </c>
      <c r="N155" s="9">
        <f>SUM(IFERROR(VLOOKUP($C:$C,Structure!$A:$AJ,N$1,0)*$D155,0),IFERROR(VLOOKUP($E:$E,Structure!$A:$AJ,N$1,0)*$F155,0),IFERROR(VLOOKUP($G:$G,Structure!$A:$AJ,N$1,0)*$H155,0))</f>
        <v>0</v>
      </c>
      <c r="O155" s="9">
        <f>SUM(IFERROR(VLOOKUP($C:$C,Structure!$A:$AJ,O$1,0)*$D155,0),IFERROR(VLOOKUP($E:$E,Structure!$A:$AJ,O$1,0)*$F155,0),IFERROR(VLOOKUP($G:$G,Structure!$A:$AJ,O$1,0)*$H155,0))</f>
        <v>0</v>
      </c>
      <c r="P155" s="9">
        <f>SUM(IFERROR(VLOOKUP($C:$C,Structure!$A:$AJ,P$1,0)*$D155,0),IFERROR(VLOOKUP($E:$E,Structure!$A:$AJ,P$1,0)*$F155,0),IFERROR(VLOOKUP($G:$G,Structure!$A:$AJ,P$1,0)*$H155,0))</f>
        <v>0</v>
      </c>
      <c r="Q155" s="9">
        <f>SUM(IFERROR(VLOOKUP($C:$C,Structure!$A:$AJ,Q$1,0)*$D155,0),IFERROR(VLOOKUP($E:$E,Structure!$A:$AJ,Q$1,0)*$F155,0),IFERROR(VLOOKUP($G:$G,Structure!$A:$AJ,Q$1,0)*$H155,0))</f>
        <v>0</v>
      </c>
      <c r="R155" s="9">
        <f>SUM(IFERROR(VLOOKUP($C:$C,Structure!$A:$AJ,R$1,0)*$D155,0),IFERROR(VLOOKUP($E:$E,Structure!$A:$AJ,R$1,0)*$F155,0),IFERROR(VLOOKUP($G:$G,Structure!$A:$AJ,R$1,0)*$H155,0))</f>
        <v>0</v>
      </c>
      <c r="S155" s="9">
        <f>SUM(IFERROR(VLOOKUP($C:$C,Structure!$A:$AJ,S$1,0)*$D155,0),IFERROR(VLOOKUP($E:$E,Structure!$A:$AJ,S$1,0)*$F155,0),IFERROR(VLOOKUP($G:$G,Structure!$A:$AJ,S$1,0)*$H155,0))</f>
        <v>0</v>
      </c>
      <c r="T155" s="9">
        <f>SUM(IFERROR(VLOOKUP($C:$C,Structure!$A:$AJ,T$1,0)*$D155,0),IFERROR(VLOOKUP($E:$E,Structure!$A:$AJ,T$1,0)*$F155,0),IFERROR(VLOOKUP($G:$G,Structure!$A:$AJ,T$1,0)*$H155,0))</f>
        <v>0</v>
      </c>
      <c r="U155" s="9">
        <f>SUM(IFERROR(VLOOKUP($C:$C,Structure!$A:$AJ,U$1,0)*$D155,0),IFERROR(VLOOKUP($E:$E,Structure!$A:$AJ,U$1,0)*$F155,0),IFERROR(VLOOKUP($G:$G,Structure!$A:$AJ,U$1,0)*$H155,0))</f>
        <v>0</v>
      </c>
      <c r="V155" s="9">
        <f>SUM(IFERROR(VLOOKUP($C:$C,Structure!$A:$AJ,V$1,0)*$D155,0),IFERROR(VLOOKUP($E:$E,Structure!$A:$AJ,V$1,0)*$F155,0),IFERROR(VLOOKUP($G:$G,Structure!$A:$AJ,V$1,0)*$H155,0))</f>
        <v>8</v>
      </c>
      <c r="W155" s="9">
        <f>SUM(IFERROR(VLOOKUP($C:$C,Structure!$A:$AJ,W$1,0)*$D155,0),IFERROR(VLOOKUP($E:$E,Structure!$A:$AJ,W$1,0)*$F155,0),IFERROR(VLOOKUP($G:$G,Structure!$A:$AJ,W$1,0)*$H155,0))</f>
        <v>0</v>
      </c>
      <c r="X155" s="9">
        <f>SUM(IFERROR(VLOOKUP($C:$C,Structure!$A:$AJ,X$1,0)*$D155,0),IFERROR(VLOOKUP($E:$E,Structure!$A:$AJ,X$1,0)*$F155,0),IFERROR(VLOOKUP($G:$G,Structure!$A:$AJ,X$1,0)*$H155,0))</f>
        <v>0</v>
      </c>
      <c r="Y155" s="9">
        <f>SUM(IFERROR(VLOOKUP($C:$C,Structure!$A:$AJ,Y$1,0)*$D155,0),IFERROR(VLOOKUP($E:$E,Structure!$A:$AJ,Y$1,0)*$F155,0),IFERROR(VLOOKUP($G:$G,Structure!$A:$AJ,Y$1,0)*$H155,0))</f>
        <v>0</v>
      </c>
      <c r="Z155" s="9">
        <f>SUM(IFERROR(VLOOKUP($C:$C,Structure!$A:$AJ,Z$1,0)*$D155,0),IFERROR(VLOOKUP($E:$E,Structure!$A:$AJ,Z$1,0)*$F155,0),IFERROR(VLOOKUP($G:$G,Structure!$A:$AJ,Z$1,0)*$H155,0))</f>
        <v>0</v>
      </c>
      <c r="AA155" s="9">
        <f>SUM(IFERROR(VLOOKUP($C:$C,Structure!$A:$AJ,AA$1,0)*$D155,0),IFERROR(VLOOKUP($E:$E,Structure!$A:$AJ,AA$1,0)*$F155,0),IFERROR(VLOOKUP($G:$G,Structure!$A:$AJ,AA$1,0)*$H155,0))</f>
        <v>0</v>
      </c>
      <c r="AB155" s="9">
        <f>SUM(IFERROR(VLOOKUP($C:$C,Structure!$A:$AJ,AB$1,0)*$D155,0),IFERROR(VLOOKUP($E:$E,Structure!$A:$AJ,AB$1,0)*$F155,0),IFERROR(VLOOKUP($G:$G,Structure!$A:$AJ,AB$1,0)*$H155,0))</f>
        <v>0</v>
      </c>
      <c r="AC155" s="9">
        <f>SUM(IFERROR(VLOOKUP($C:$C,Structure!$A:$AJ,AC$1,0)*$D155,0),IFERROR(VLOOKUP($E:$E,Structure!$A:$AJ,AC$1,0)*$F155,0),IFERROR(VLOOKUP($G:$G,Structure!$A:$AJ,AC$1,0)*$H155,0))</f>
        <v>8</v>
      </c>
      <c r="AD155" s="9">
        <f>SUM(IFERROR(VLOOKUP($C:$C,Structure!$A:$AJ,AD$1,0)*$D155,0),IFERROR(VLOOKUP($E:$E,Structure!$A:$AJ,AD$1,0)*$F155,0),IFERROR(VLOOKUP($G:$G,Structure!$A:$AJ,AD$1,0)*$H155,0))</f>
        <v>0</v>
      </c>
      <c r="AE155" s="9">
        <f>SUM(IFERROR(VLOOKUP($C:$C,Structure!$A:$AJ,AE$1,0)*$D155,0),IFERROR(VLOOKUP($E:$E,Structure!$A:$AJ,AE$1,0)*$F155,0),IFERROR(VLOOKUP($G:$G,Structure!$A:$AJ,AE$1,0)*$H155,0))</f>
        <v>0</v>
      </c>
      <c r="AF155" s="9">
        <f>SUM(IFERROR(VLOOKUP($C:$C,Structure!$A:$AJ,AF$1,0)*$D155,0),IFERROR(VLOOKUP($E:$E,Structure!$A:$AJ,AF$1,0)*$F155,0),IFERROR(VLOOKUP($G:$G,Structure!$A:$AJ,AF$1,0)*$H155,0))</f>
        <v>0</v>
      </c>
      <c r="AG155" s="9">
        <f>SUM(IFERROR(VLOOKUP($C:$C,Structure!$A:$AJ,AG$1,0)*$D155,0),IFERROR(VLOOKUP($E:$E,Structure!$A:$AJ,AG$1,0)*$F155,0),IFERROR(VLOOKUP($G:$G,Structure!$A:$AJ,AG$1,0)*$H155,0))</f>
        <v>0</v>
      </c>
      <c r="AH155" s="9">
        <f>SUM(IFERROR(VLOOKUP($C:$C,Structure!$A:$AJ,AH$1,0)*$D155,0),IFERROR(VLOOKUP($E:$E,Structure!$A:$AJ,AH$1,0)*$F155,0),IFERROR(VLOOKUP($G:$G,Structure!$A:$AJ,AH$1,0)*$H155,0))</f>
        <v>0</v>
      </c>
      <c r="AI155" s="9">
        <f>SUM(IFERROR(VLOOKUP($C:$C,Structure!$A:$AJ,AI$1,0)*$D155,0),IFERROR(VLOOKUP($E:$E,Structure!$A:$AJ,AI$1,0)*$F155,0),IFERROR(VLOOKUP($G:$G,Structure!$A:$AJ,AI$1,0)*$H155,0))</f>
        <v>0</v>
      </c>
      <c r="AJ155" s="9">
        <f>SUM(IFERROR(VLOOKUP($C:$C,Structure!$A:$AJ,AJ$1,0)*$D155,0),IFERROR(VLOOKUP($E:$E,Structure!$A:$AJ,AJ$1,0)*$F155,0),IFERROR(VLOOKUP($G:$G,Structure!$A:$AJ,AJ$1,0)*$H155,0))</f>
        <v>0</v>
      </c>
      <c r="AK155" s="9">
        <f>SUM(IFERROR(VLOOKUP($C:$C,Structure!$A:$AJ,AK$1,0)*$D155,0),IFERROR(VLOOKUP($E:$E,Structure!$A:$AJ,AK$1,0)*$F155,0),IFERROR(VLOOKUP($G:$G,Structure!$A:$AJ,AK$1,0)*$H155,0))</f>
        <v>0</v>
      </c>
      <c r="AL155" s="9">
        <f>SUM(IFERROR(VLOOKUP($C:$C,Structure!$A:$AJ,AL$1,0)*$D155,0),IFERROR(VLOOKUP($E:$E,Structure!$A:$AJ,AL$1,0)*$F155,0),IFERROR(VLOOKUP($G:$G,Structure!$A:$AJ,AL$1,0)*$H155,0))</f>
        <v>0</v>
      </c>
      <c r="AM155" s="9">
        <f>SUM(IFERROR(VLOOKUP($C:$C,Structure!$A:$AJ,AM$1,0)*$D155,0),IFERROR(VLOOKUP($E:$E,Structure!$A:$AJ,AM$1,0)*$F155,0),IFERROR(VLOOKUP($G:$G,Structure!$A:$AJ,AM$1,0)*$H155,0))</f>
        <v>0</v>
      </c>
      <c r="AN155" s="9">
        <f>SUM(IFERROR(VLOOKUP($C:$C,Structure!$A:$AJ,AN$1,0)*$D155,0),IFERROR(VLOOKUP($E:$E,Structure!$A:$AJ,AN$1,0)*$F155,0),IFERROR(VLOOKUP($G:$G,Structure!$A:$AJ,AN$1,0)*$H155,0))</f>
        <v>0</v>
      </c>
      <c r="AO155" s="9">
        <f>SUM(IFERROR(VLOOKUP($C:$C,Structure!$A:$AJ,AO$1,0)*$D155,0),IFERROR(VLOOKUP($E:$E,Structure!$A:$AJ,AO$1,0)*$F155,0),IFERROR(VLOOKUP($G:$G,Structure!$A:$AJ,AO$1,0)*$H155,0))</f>
        <v>0</v>
      </c>
      <c r="AP155" s="9">
        <f>SUM(IFERROR(VLOOKUP($C:$C,Structure!$A:$AJ,AP$1,0)*$D155,0),IFERROR(VLOOKUP($E:$E,Structure!$A:$AJ,AP$1,0)*$F155,0),IFERROR(VLOOKUP($G:$G,Structure!$A:$AJ,AP$1,0)*$H155,0))</f>
        <v>0</v>
      </c>
      <c r="AQ155" s="9">
        <f>SUM(IFERROR(VLOOKUP($C:$C,Structure!$A:$AJ,AQ$1,0)*$D155,0),IFERROR(VLOOKUP($E:$E,Structure!$A:$AJ,AQ$1,0)*$F155,0),IFERROR(VLOOKUP($G:$G,Structure!$A:$AJ,AQ$1,0)*$H155,0))</f>
        <v>0</v>
      </c>
      <c r="AR155" s="21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4">
        <f t="shared" si="162"/>
        <v>0</v>
      </c>
      <c r="CE155" s="4">
        <f t="shared" si="163"/>
        <v>-84</v>
      </c>
      <c r="CF155" s="4">
        <f t="shared" si="164"/>
        <v>4</v>
      </c>
      <c r="CG155" s="4">
        <f t="shared" si="165"/>
        <v>14</v>
      </c>
      <c r="CH155" s="4">
        <f t="shared" si="166"/>
        <v>-7</v>
      </c>
      <c r="CI155" s="4">
        <f t="shared" si="167"/>
        <v>127</v>
      </c>
      <c r="CJ155" s="4">
        <f t="shared" si="168"/>
        <v>-141</v>
      </c>
      <c r="CK155" s="4">
        <f t="shared" si="169"/>
        <v>95</v>
      </c>
      <c r="CL155" s="4">
        <f t="shared" si="170"/>
        <v>0</v>
      </c>
      <c r="CM155" s="4">
        <f t="shared" si="171"/>
        <v>6</v>
      </c>
      <c r="CN155" s="4">
        <f t="shared" si="172"/>
        <v>-28</v>
      </c>
      <c r="CO155" s="4">
        <f t="shared" si="173"/>
        <v>0</v>
      </c>
      <c r="CP155" s="4">
        <f t="shared" si="174"/>
        <v>69</v>
      </c>
      <c r="CQ155" s="4">
        <f t="shared" si="175"/>
        <v>-286</v>
      </c>
      <c r="CR155" s="4">
        <f t="shared" si="176"/>
        <v>15</v>
      </c>
      <c r="CS155" s="4">
        <f t="shared" si="177"/>
        <v>-24</v>
      </c>
      <c r="CT155" s="4">
        <f t="shared" si="178"/>
        <v>0</v>
      </c>
      <c r="CU155" s="4">
        <f t="shared" si="179"/>
        <v>0</v>
      </c>
      <c r="CV155" s="4">
        <f t="shared" si="180"/>
        <v>0</v>
      </c>
      <c r="CW155" s="4">
        <f t="shared" si="181"/>
        <v>0</v>
      </c>
      <c r="CX155" s="4">
        <f t="shared" si="182"/>
        <v>-277</v>
      </c>
      <c r="CY155" s="4">
        <f t="shared" si="183"/>
        <v>0</v>
      </c>
      <c r="CZ155" s="4">
        <f t="shared" si="184"/>
        <v>0</v>
      </c>
      <c r="DA155" s="4">
        <f t="shared" si="185"/>
        <v>0</v>
      </c>
      <c r="DB155" s="4">
        <f t="shared" si="186"/>
        <v>0</v>
      </c>
      <c r="DC155" s="4">
        <f t="shared" si="187"/>
        <v>0</v>
      </c>
      <c r="DD155" s="4">
        <f t="shared" si="188"/>
        <v>0</v>
      </c>
      <c r="DE155" s="4">
        <f t="shared" si="189"/>
        <v>0</v>
      </c>
      <c r="DF155" s="4">
        <f t="shared" si="190"/>
        <v>0</v>
      </c>
      <c r="DG155" s="4">
        <f t="shared" si="191"/>
        <v>0</v>
      </c>
      <c r="DH155" s="4">
        <f t="shared" si="192"/>
        <v>0</v>
      </c>
      <c r="DI155" s="4">
        <f t="shared" si="193"/>
        <v>0</v>
      </c>
      <c r="DJ155" s="4">
        <f t="shared" si="194"/>
        <v>0</v>
      </c>
      <c r="DK155" s="4">
        <f t="shared" si="195"/>
        <v>0</v>
      </c>
      <c r="DL155" s="4">
        <f t="shared" si="196"/>
        <v>0</v>
      </c>
    </row>
    <row r="156" spans="1:116" x14ac:dyDescent="0.25">
      <c r="A156" s="5">
        <v>46186</v>
      </c>
      <c r="B156" s="6">
        <v>0.50000000037107384</v>
      </c>
      <c r="C156" s="3"/>
      <c r="D156" s="3"/>
      <c r="E156" s="3" t="s">
        <v>30</v>
      </c>
      <c r="F156" s="3">
        <v>8</v>
      </c>
      <c r="G156" s="3"/>
      <c r="H156" s="9"/>
      <c r="I156" s="9">
        <f>SUM(IFERROR(VLOOKUP($C:$C,Structure!$A:$AJ,I$1,0)*$D156,0),IFERROR(VLOOKUP($E:$E,Structure!$A:$AJ,I$1,0)*$F156,0),IFERROR(VLOOKUP($G:$G,Structure!$A:$AJ,I$1,0)*$H156,0))</f>
        <v>0</v>
      </c>
      <c r="J156" s="9">
        <f>SUM(IFERROR(VLOOKUP($C:$C,Structure!$A:$AJ,J$1,0)*$D156,0),IFERROR(VLOOKUP($E:$E,Structure!$A:$AJ,J$1,0)*$F156,0),IFERROR(VLOOKUP($G:$G,Structure!$A:$AJ,J$1,0)*$H156,0))</f>
        <v>0</v>
      </c>
      <c r="K156" s="9">
        <f>SUM(IFERROR(VLOOKUP($C:$C,Structure!$A:$AJ,K$1,0)*$D156,0),IFERROR(VLOOKUP($E:$E,Structure!$A:$AJ,K$1,0)*$F156,0),IFERROR(VLOOKUP($G:$G,Structure!$A:$AJ,K$1,0)*$H156,0))</f>
        <v>0</v>
      </c>
      <c r="L156" s="9">
        <f>SUM(IFERROR(VLOOKUP($C:$C,Structure!$A:$AJ,L$1,0)*$D156,0),IFERROR(VLOOKUP($E:$E,Structure!$A:$AJ,L$1,0)*$F156,0),IFERROR(VLOOKUP($G:$G,Structure!$A:$AJ,L$1,0)*$H156,0))</f>
        <v>0</v>
      </c>
      <c r="M156" s="9">
        <f>SUM(IFERROR(VLOOKUP($C:$C,Structure!$A:$AJ,M$1,0)*$D156,0),IFERROR(VLOOKUP($E:$E,Structure!$A:$AJ,M$1,0)*$F156,0),IFERROR(VLOOKUP($G:$G,Structure!$A:$AJ,M$1,0)*$H156,0))</f>
        <v>0</v>
      </c>
      <c r="N156" s="9">
        <f>SUM(IFERROR(VLOOKUP($C:$C,Structure!$A:$AJ,N$1,0)*$D156,0),IFERROR(VLOOKUP($E:$E,Structure!$A:$AJ,N$1,0)*$F156,0),IFERROR(VLOOKUP($G:$G,Structure!$A:$AJ,N$1,0)*$H156,0))</f>
        <v>0</v>
      </c>
      <c r="O156" s="9">
        <f>SUM(IFERROR(VLOOKUP($C:$C,Structure!$A:$AJ,O$1,0)*$D156,0),IFERROR(VLOOKUP($E:$E,Structure!$A:$AJ,O$1,0)*$F156,0),IFERROR(VLOOKUP($G:$G,Structure!$A:$AJ,O$1,0)*$H156,0))</f>
        <v>0</v>
      </c>
      <c r="P156" s="9">
        <f>SUM(IFERROR(VLOOKUP($C:$C,Structure!$A:$AJ,P$1,0)*$D156,0),IFERROR(VLOOKUP($E:$E,Structure!$A:$AJ,P$1,0)*$F156,0),IFERROR(VLOOKUP($G:$G,Structure!$A:$AJ,P$1,0)*$H156,0))</f>
        <v>0</v>
      </c>
      <c r="Q156" s="9">
        <f>SUM(IFERROR(VLOOKUP($C:$C,Structure!$A:$AJ,Q$1,0)*$D156,0),IFERROR(VLOOKUP($E:$E,Structure!$A:$AJ,Q$1,0)*$F156,0),IFERROR(VLOOKUP($G:$G,Structure!$A:$AJ,Q$1,0)*$H156,0))</f>
        <v>0</v>
      </c>
      <c r="R156" s="9">
        <f>SUM(IFERROR(VLOOKUP($C:$C,Structure!$A:$AJ,R$1,0)*$D156,0),IFERROR(VLOOKUP($E:$E,Structure!$A:$AJ,R$1,0)*$F156,0),IFERROR(VLOOKUP($G:$G,Structure!$A:$AJ,R$1,0)*$H156,0))</f>
        <v>0</v>
      </c>
      <c r="S156" s="9">
        <f>SUM(IFERROR(VLOOKUP($C:$C,Structure!$A:$AJ,S$1,0)*$D156,0),IFERROR(VLOOKUP($E:$E,Structure!$A:$AJ,S$1,0)*$F156,0),IFERROR(VLOOKUP($G:$G,Structure!$A:$AJ,S$1,0)*$H156,0))</f>
        <v>0</v>
      </c>
      <c r="T156" s="9">
        <f>SUM(IFERROR(VLOOKUP($C:$C,Structure!$A:$AJ,T$1,0)*$D156,0),IFERROR(VLOOKUP($E:$E,Structure!$A:$AJ,T$1,0)*$F156,0),IFERROR(VLOOKUP($G:$G,Structure!$A:$AJ,T$1,0)*$H156,0))</f>
        <v>0</v>
      </c>
      <c r="U156" s="9">
        <f>SUM(IFERROR(VLOOKUP($C:$C,Structure!$A:$AJ,U$1,0)*$D156,0),IFERROR(VLOOKUP($E:$E,Structure!$A:$AJ,U$1,0)*$F156,0),IFERROR(VLOOKUP($G:$G,Structure!$A:$AJ,U$1,0)*$H156,0))</f>
        <v>0</v>
      </c>
      <c r="V156" s="9">
        <f>SUM(IFERROR(VLOOKUP($C:$C,Structure!$A:$AJ,V$1,0)*$D156,0),IFERROR(VLOOKUP($E:$E,Structure!$A:$AJ,V$1,0)*$F156,0),IFERROR(VLOOKUP($G:$G,Structure!$A:$AJ,V$1,0)*$H156,0))</f>
        <v>8</v>
      </c>
      <c r="W156" s="9">
        <f>SUM(IFERROR(VLOOKUP($C:$C,Structure!$A:$AJ,W$1,0)*$D156,0),IFERROR(VLOOKUP($E:$E,Structure!$A:$AJ,W$1,0)*$F156,0),IFERROR(VLOOKUP($G:$G,Structure!$A:$AJ,W$1,0)*$H156,0))</f>
        <v>0</v>
      </c>
      <c r="X156" s="9">
        <f>SUM(IFERROR(VLOOKUP($C:$C,Structure!$A:$AJ,X$1,0)*$D156,0),IFERROR(VLOOKUP($E:$E,Structure!$A:$AJ,X$1,0)*$F156,0),IFERROR(VLOOKUP($G:$G,Structure!$A:$AJ,X$1,0)*$H156,0))</f>
        <v>0</v>
      </c>
      <c r="Y156" s="9">
        <f>SUM(IFERROR(VLOOKUP($C:$C,Structure!$A:$AJ,Y$1,0)*$D156,0),IFERROR(VLOOKUP($E:$E,Structure!$A:$AJ,Y$1,0)*$F156,0),IFERROR(VLOOKUP($G:$G,Structure!$A:$AJ,Y$1,0)*$H156,0))</f>
        <v>0</v>
      </c>
      <c r="Z156" s="9">
        <f>SUM(IFERROR(VLOOKUP($C:$C,Structure!$A:$AJ,Z$1,0)*$D156,0),IFERROR(VLOOKUP($E:$E,Structure!$A:$AJ,Z$1,0)*$F156,0),IFERROR(VLOOKUP($G:$G,Structure!$A:$AJ,Z$1,0)*$H156,0))</f>
        <v>0</v>
      </c>
      <c r="AA156" s="9">
        <f>SUM(IFERROR(VLOOKUP($C:$C,Structure!$A:$AJ,AA$1,0)*$D156,0),IFERROR(VLOOKUP($E:$E,Structure!$A:$AJ,AA$1,0)*$F156,0),IFERROR(VLOOKUP($G:$G,Structure!$A:$AJ,AA$1,0)*$H156,0))</f>
        <v>0</v>
      </c>
      <c r="AB156" s="9">
        <f>SUM(IFERROR(VLOOKUP($C:$C,Structure!$A:$AJ,AB$1,0)*$D156,0),IFERROR(VLOOKUP($E:$E,Structure!$A:$AJ,AB$1,0)*$F156,0),IFERROR(VLOOKUP($G:$G,Structure!$A:$AJ,AB$1,0)*$H156,0))</f>
        <v>0</v>
      </c>
      <c r="AC156" s="9">
        <f>SUM(IFERROR(VLOOKUP($C:$C,Structure!$A:$AJ,AC$1,0)*$D156,0),IFERROR(VLOOKUP($E:$E,Structure!$A:$AJ,AC$1,0)*$F156,0),IFERROR(VLOOKUP($G:$G,Structure!$A:$AJ,AC$1,0)*$H156,0))</f>
        <v>8</v>
      </c>
      <c r="AD156" s="9">
        <f>SUM(IFERROR(VLOOKUP($C:$C,Structure!$A:$AJ,AD$1,0)*$D156,0),IFERROR(VLOOKUP($E:$E,Structure!$A:$AJ,AD$1,0)*$F156,0),IFERROR(VLOOKUP($G:$G,Structure!$A:$AJ,AD$1,0)*$H156,0))</f>
        <v>0</v>
      </c>
      <c r="AE156" s="9">
        <f>SUM(IFERROR(VLOOKUP($C:$C,Structure!$A:$AJ,AE$1,0)*$D156,0),IFERROR(VLOOKUP($E:$E,Structure!$A:$AJ,AE$1,0)*$F156,0),IFERROR(VLOOKUP($G:$G,Structure!$A:$AJ,AE$1,0)*$H156,0))</f>
        <v>0</v>
      </c>
      <c r="AF156" s="9">
        <f>SUM(IFERROR(VLOOKUP($C:$C,Structure!$A:$AJ,AF$1,0)*$D156,0),IFERROR(VLOOKUP($E:$E,Structure!$A:$AJ,AF$1,0)*$F156,0),IFERROR(VLOOKUP($G:$G,Structure!$A:$AJ,AF$1,0)*$H156,0))</f>
        <v>0</v>
      </c>
      <c r="AG156" s="9">
        <f>SUM(IFERROR(VLOOKUP($C:$C,Structure!$A:$AJ,AG$1,0)*$D156,0),IFERROR(VLOOKUP($E:$E,Structure!$A:$AJ,AG$1,0)*$F156,0),IFERROR(VLOOKUP($G:$G,Structure!$A:$AJ,AG$1,0)*$H156,0))</f>
        <v>0</v>
      </c>
      <c r="AH156" s="9">
        <f>SUM(IFERROR(VLOOKUP($C:$C,Structure!$A:$AJ,AH$1,0)*$D156,0),IFERROR(VLOOKUP($E:$E,Structure!$A:$AJ,AH$1,0)*$F156,0),IFERROR(VLOOKUP($G:$G,Structure!$A:$AJ,AH$1,0)*$H156,0))</f>
        <v>0</v>
      </c>
      <c r="AI156" s="9">
        <f>SUM(IFERROR(VLOOKUP($C:$C,Structure!$A:$AJ,AI$1,0)*$D156,0),IFERROR(VLOOKUP($E:$E,Structure!$A:$AJ,AI$1,0)*$F156,0),IFERROR(VLOOKUP($G:$G,Structure!$A:$AJ,AI$1,0)*$H156,0))</f>
        <v>0</v>
      </c>
      <c r="AJ156" s="9">
        <f>SUM(IFERROR(VLOOKUP($C:$C,Structure!$A:$AJ,AJ$1,0)*$D156,0),IFERROR(VLOOKUP($E:$E,Structure!$A:$AJ,AJ$1,0)*$F156,0),IFERROR(VLOOKUP($G:$G,Structure!$A:$AJ,AJ$1,0)*$H156,0))</f>
        <v>0</v>
      </c>
      <c r="AK156" s="9">
        <f>SUM(IFERROR(VLOOKUP($C:$C,Structure!$A:$AJ,AK$1,0)*$D156,0),IFERROR(VLOOKUP($E:$E,Structure!$A:$AJ,AK$1,0)*$F156,0),IFERROR(VLOOKUP($G:$G,Structure!$A:$AJ,AK$1,0)*$H156,0))</f>
        <v>0</v>
      </c>
      <c r="AL156" s="9">
        <f>SUM(IFERROR(VLOOKUP($C:$C,Structure!$A:$AJ,AL$1,0)*$D156,0),IFERROR(VLOOKUP($E:$E,Structure!$A:$AJ,AL$1,0)*$F156,0),IFERROR(VLOOKUP($G:$G,Structure!$A:$AJ,AL$1,0)*$H156,0))</f>
        <v>0</v>
      </c>
      <c r="AM156" s="9">
        <f>SUM(IFERROR(VLOOKUP($C:$C,Structure!$A:$AJ,AM$1,0)*$D156,0),IFERROR(VLOOKUP($E:$E,Structure!$A:$AJ,AM$1,0)*$F156,0),IFERROR(VLOOKUP($G:$G,Structure!$A:$AJ,AM$1,0)*$H156,0))</f>
        <v>0</v>
      </c>
      <c r="AN156" s="9">
        <f>SUM(IFERROR(VLOOKUP($C:$C,Structure!$A:$AJ,AN$1,0)*$D156,0),IFERROR(VLOOKUP($E:$E,Structure!$A:$AJ,AN$1,0)*$F156,0),IFERROR(VLOOKUP($G:$G,Structure!$A:$AJ,AN$1,0)*$H156,0))</f>
        <v>0</v>
      </c>
      <c r="AO156" s="9">
        <f>SUM(IFERROR(VLOOKUP($C:$C,Structure!$A:$AJ,AO$1,0)*$D156,0),IFERROR(VLOOKUP($E:$E,Structure!$A:$AJ,AO$1,0)*$F156,0),IFERROR(VLOOKUP($G:$G,Structure!$A:$AJ,AO$1,0)*$H156,0))</f>
        <v>0</v>
      </c>
      <c r="AP156" s="9">
        <f>SUM(IFERROR(VLOOKUP($C:$C,Structure!$A:$AJ,AP$1,0)*$D156,0),IFERROR(VLOOKUP($E:$E,Structure!$A:$AJ,AP$1,0)*$F156,0),IFERROR(VLOOKUP($G:$G,Structure!$A:$AJ,AP$1,0)*$H156,0))</f>
        <v>0</v>
      </c>
      <c r="AQ156" s="9">
        <f>SUM(IFERROR(VLOOKUP($C:$C,Structure!$A:$AJ,AQ$1,0)*$D156,0),IFERROR(VLOOKUP($E:$E,Structure!$A:$AJ,AQ$1,0)*$F156,0),IFERROR(VLOOKUP($G:$G,Structure!$A:$AJ,AQ$1,0)*$H156,0))</f>
        <v>0</v>
      </c>
      <c r="AR156" s="21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4">
        <f t="shared" si="162"/>
        <v>0</v>
      </c>
      <c r="CE156" s="4">
        <f t="shared" si="163"/>
        <v>-84</v>
      </c>
      <c r="CF156" s="4">
        <f t="shared" si="164"/>
        <v>4</v>
      </c>
      <c r="CG156" s="4">
        <f t="shared" si="165"/>
        <v>14</v>
      </c>
      <c r="CH156" s="4">
        <f t="shared" si="166"/>
        <v>-7</v>
      </c>
      <c r="CI156" s="4">
        <f t="shared" si="167"/>
        <v>127</v>
      </c>
      <c r="CJ156" s="4">
        <f t="shared" si="168"/>
        <v>-141</v>
      </c>
      <c r="CK156" s="4">
        <f t="shared" si="169"/>
        <v>95</v>
      </c>
      <c r="CL156" s="4">
        <f t="shared" si="170"/>
        <v>0</v>
      </c>
      <c r="CM156" s="4">
        <f t="shared" si="171"/>
        <v>6</v>
      </c>
      <c r="CN156" s="4">
        <f t="shared" si="172"/>
        <v>-28</v>
      </c>
      <c r="CO156" s="4">
        <f t="shared" si="173"/>
        <v>0</v>
      </c>
      <c r="CP156" s="4">
        <f t="shared" si="174"/>
        <v>69</v>
      </c>
      <c r="CQ156" s="4">
        <f t="shared" si="175"/>
        <v>-294</v>
      </c>
      <c r="CR156" s="4">
        <f t="shared" si="176"/>
        <v>15</v>
      </c>
      <c r="CS156" s="4">
        <f t="shared" si="177"/>
        <v>-24</v>
      </c>
      <c r="CT156" s="4">
        <f t="shared" si="178"/>
        <v>0</v>
      </c>
      <c r="CU156" s="4">
        <f t="shared" si="179"/>
        <v>0</v>
      </c>
      <c r="CV156" s="4">
        <f t="shared" si="180"/>
        <v>0</v>
      </c>
      <c r="CW156" s="4">
        <f t="shared" si="181"/>
        <v>0</v>
      </c>
      <c r="CX156" s="4">
        <f t="shared" si="182"/>
        <v>-285</v>
      </c>
      <c r="CY156" s="4">
        <f t="shared" si="183"/>
        <v>0</v>
      </c>
      <c r="CZ156" s="4">
        <f t="shared" si="184"/>
        <v>0</v>
      </c>
      <c r="DA156" s="4">
        <f t="shared" si="185"/>
        <v>0</v>
      </c>
      <c r="DB156" s="4">
        <f t="shared" si="186"/>
        <v>0</v>
      </c>
      <c r="DC156" s="4">
        <f t="shared" si="187"/>
        <v>0</v>
      </c>
      <c r="DD156" s="4">
        <f t="shared" si="188"/>
        <v>0</v>
      </c>
      <c r="DE156" s="4">
        <f t="shared" si="189"/>
        <v>0</v>
      </c>
      <c r="DF156" s="4">
        <f t="shared" si="190"/>
        <v>0</v>
      </c>
      <c r="DG156" s="4">
        <f t="shared" si="191"/>
        <v>0</v>
      </c>
      <c r="DH156" s="4">
        <f t="shared" si="192"/>
        <v>0</v>
      </c>
      <c r="DI156" s="4">
        <f t="shared" si="193"/>
        <v>0</v>
      </c>
      <c r="DJ156" s="4">
        <f t="shared" si="194"/>
        <v>0</v>
      </c>
      <c r="DK156" s="4">
        <f t="shared" si="195"/>
        <v>0</v>
      </c>
      <c r="DL156" s="4">
        <f t="shared" si="196"/>
        <v>0</v>
      </c>
    </row>
    <row r="157" spans="1:116" x14ac:dyDescent="0.25">
      <c r="A157" s="5">
        <v>46186</v>
      </c>
      <c r="B157" s="6">
        <v>0.52083333370683249</v>
      </c>
      <c r="C157" s="3"/>
      <c r="D157" s="3"/>
      <c r="E157" s="3" t="s">
        <v>30</v>
      </c>
      <c r="F157" s="3">
        <v>8</v>
      </c>
      <c r="G157" s="3"/>
      <c r="H157" s="9"/>
      <c r="I157" s="9">
        <f>SUM(IFERROR(VLOOKUP($C:$C,Structure!$A:$AJ,I$1,0)*$D157,0),IFERROR(VLOOKUP($E:$E,Structure!$A:$AJ,I$1,0)*$F157,0),IFERROR(VLOOKUP($G:$G,Structure!$A:$AJ,I$1,0)*$H157,0))</f>
        <v>0</v>
      </c>
      <c r="J157" s="9">
        <f>SUM(IFERROR(VLOOKUP($C:$C,Structure!$A:$AJ,J$1,0)*$D157,0),IFERROR(VLOOKUP($E:$E,Structure!$A:$AJ,J$1,0)*$F157,0),IFERROR(VLOOKUP($G:$G,Structure!$A:$AJ,J$1,0)*$H157,0))</f>
        <v>0</v>
      </c>
      <c r="K157" s="9">
        <f>SUM(IFERROR(VLOOKUP($C:$C,Structure!$A:$AJ,K$1,0)*$D157,0),IFERROR(VLOOKUP($E:$E,Structure!$A:$AJ,K$1,0)*$F157,0),IFERROR(VLOOKUP($G:$G,Structure!$A:$AJ,K$1,0)*$H157,0))</f>
        <v>0</v>
      </c>
      <c r="L157" s="9">
        <f>SUM(IFERROR(VLOOKUP($C:$C,Structure!$A:$AJ,L$1,0)*$D157,0),IFERROR(VLOOKUP($E:$E,Structure!$A:$AJ,L$1,0)*$F157,0),IFERROR(VLOOKUP($G:$G,Structure!$A:$AJ,L$1,0)*$H157,0))</f>
        <v>0</v>
      </c>
      <c r="M157" s="9">
        <f>SUM(IFERROR(VLOOKUP($C:$C,Structure!$A:$AJ,M$1,0)*$D157,0),IFERROR(VLOOKUP($E:$E,Structure!$A:$AJ,M$1,0)*$F157,0),IFERROR(VLOOKUP($G:$G,Structure!$A:$AJ,M$1,0)*$H157,0))</f>
        <v>0</v>
      </c>
      <c r="N157" s="9">
        <f>SUM(IFERROR(VLOOKUP($C:$C,Structure!$A:$AJ,N$1,0)*$D157,0),IFERROR(VLOOKUP($E:$E,Structure!$A:$AJ,N$1,0)*$F157,0),IFERROR(VLOOKUP($G:$G,Structure!$A:$AJ,N$1,0)*$H157,0))</f>
        <v>0</v>
      </c>
      <c r="O157" s="9">
        <f>SUM(IFERROR(VLOOKUP($C:$C,Structure!$A:$AJ,O$1,0)*$D157,0),IFERROR(VLOOKUP($E:$E,Structure!$A:$AJ,O$1,0)*$F157,0),IFERROR(VLOOKUP($G:$G,Structure!$A:$AJ,O$1,0)*$H157,0))</f>
        <v>0</v>
      </c>
      <c r="P157" s="9">
        <f>SUM(IFERROR(VLOOKUP($C:$C,Structure!$A:$AJ,P$1,0)*$D157,0),IFERROR(VLOOKUP($E:$E,Structure!$A:$AJ,P$1,0)*$F157,0),IFERROR(VLOOKUP($G:$G,Structure!$A:$AJ,P$1,0)*$H157,0))</f>
        <v>0</v>
      </c>
      <c r="Q157" s="9">
        <f>SUM(IFERROR(VLOOKUP($C:$C,Structure!$A:$AJ,Q$1,0)*$D157,0),IFERROR(VLOOKUP($E:$E,Structure!$A:$AJ,Q$1,0)*$F157,0),IFERROR(VLOOKUP($G:$G,Structure!$A:$AJ,Q$1,0)*$H157,0))</f>
        <v>0</v>
      </c>
      <c r="R157" s="9">
        <f>SUM(IFERROR(VLOOKUP($C:$C,Structure!$A:$AJ,R$1,0)*$D157,0),IFERROR(VLOOKUP($E:$E,Structure!$A:$AJ,R$1,0)*$F157,0),IFERROR(VLOOKUP($G:$G,Structure!$A:$AJ,R$1,0)*$H157,0))</f>
        <v>0</v>
      </c>
      <c r="S157" s="9">
        <f>SUM(IFERROR(VLOOKUP($C:$C,Structure!$A:$AJ,S$1,0)*$D157,0),IFERROR(VLOOKUP($E:$E,Structure!$A:$AJ,S$1,0)*$F157,0),IFERROR(VLOOKUP($G:$G,Structure!$A:$AJ,S$1,0)*$H157,0))</f>
        <v>0</v>
      </c>
      <c r="T157" s="9">
        <f>SUM(IFERROR(VLOOKUP($C:$C,Structure!$A:$AJ,T$1,0)*$D157,0),IFERROR(VLOOKUP($E:$E,Structure!$A:$AJ,T$1,0)*$F157,0),IFERROR(VLOOKUP($G:$G,Structure!$A:$AJ,T$1,0)*$H157,0))</f>
        <v>0</v>
      </c>
      <c r="U157" s="9">
        <f>SUM(IFERROR(VLOOKUP($C:$C,Structure!$A:$AJ,U$1,0)*$D157,0),IFERROR(VLOOKUP($E:$E,Structure!$A:$AJ,U$1,0)*$F157,0),IFERROR(VLOOKUP($G:$G,Structure!$A:$AJ,U$1,0)*$H157,0))</f>
        <v>0</v>
      </c>
      <c r="V157" s="9">
        <f>SUM(IFERROR(VLOOKUP($C:$C,Structure!$A:$AJ,V$1,0)*$D157,0),IFERROR(VLOOKUP($E:$E,Structure!$A:$AJ,V$1,0)*$F157,0),IFERROR(VLOOKUP($G:$G,Structure!$A:$AJ,V$1,0)*$H157,0))</f>
        <v>8</v>
      </c>
      <c r="W157" s="9">
        <f>SUM(IFERROR(VLOOKUP($C:$C,Structure!$A:$AJ,W$1,0)*$D157,0),IFERROR(VLOOKUP($E:$E,Structure!$A:$AJ,W$1,0)*$F157,0),IFERROR(VLOOKUP($G:$G,Structure!$A:$AJ,W$1,0)*$H157,0))</f>
        <v>0</v>
      </c>
      <c r="X157" s="9">
        <f>SUM(IFERROR(VLOOKUP($C:$C,Structure!$A:$AJ,X$1,0)*$D157,0),IFERROR(VLOOKUP($E:$E,Structure!$A:$AJ,X$1,0)*$F157,0),IFERROR(VLOOKUP($G:$G,Structure!$A:$AJ,X$1,0)*$H157,0))</f>
        <v>0</v>
      </c>
      <c r="Y157" s="9">
        <f>SUM(IFERROR(VLOOKUP($C:$C,Structure!$A:$AJ,Y$1,0)*$D157,0),IFERROR(VLOOKUP($E:$E,Structure!$A:$AJ,Y$1,0)*$F157,0),IFERROR(VLOOKUP($G:$G,Structure!$A:$AJ,Y$1,0)*$H157,0))</f>
        <v>0</v>
      </c>
      <c r="Z157" s="9">
        <f>SUM(IFERROR(VLOOKUP($C:$C,Structure!$A:$AJ,Z$1,0)*$D157,0),IFERROR(VLOOKUP($E:$E,Structure!$A:$AJ,Z$1,0)*$F157,0),IFERROR(VLOOKUP($G:$G,Structure!$A:$AJ,Z$1,0)*$H157,0))</f>
        <v>0</v>
      </c>
      <c r="AA157" s="9">
        <f>SUM(IFERROR(VLOOKUP($C:$C,Structure!$A:$AJ,AA$1,0)*$D157,0),IFERROR(VLOOKUP($E:$E,Structure!$A:$AJ,AA$1,0)*$F157,0),IFERROR(VLOOKUP($G:$G,Structure!$A:$AJ,AA$1,0)*$H157,0))</f>
        <v>0</v>
      </c>
      <c r="AB157" s="9">
        <f>SUM(IFERROR(VLOOKUP($C:$C,Structure!$A:$AJ,AB$1,0)*$D157,0),IFERROR(VLOOKUP($E:$E,Structure!$A:$AJ,AB$1,0)*$F157,0),IFERROR(VLOOKUP($G:$G,Structure!$A:$AJ,AB$1,0)*$H157,0))</f>
        <v>0</v>
      </c>
      <c r="AC157" s="9">
        <f>SUM(IFERROR(VLOOKUP($C:$C,Structure!$A:$AJ,AC$1,0)*$D157,0),IFERROR(VLOOKUP($E:$E,Structure!$A:$AJ,AC$1,0)*$F157,0),IFERROR(VLOOKUP($G:$G,Structure!$A:$AJ,AC$1,0)*$H157,0))</f>
        <v>8</v>
      </c>
      <c r="AD157" s="9">
        <f>SUM(IFERROR(VLOOKUP($C:$C,Structure!$A:$AJ,AD$1,0)*$D157,0),IFERROR(VLOOKUP($E:$E,Structure!$A:$AJ,AD$1,0)*$F157,0),IFERROR(VLOOKUP($G:$G,Structure!$A:$AJ,AD$1,0)*$H157,0))</f>
        <v>0</v>
      </c>
      <c r="AE157" s="9">
        <f>SUM(IFERROR(VLOOKUP($C:$C,Structure!$A:$AJ,AE$1,0)*$D157,0),IFERROR(VLOOKUP($E:$E,Structure!$A:$AJ,AE$1,0)*$F157,0),IFERROR(VLOOKUP($G:$G,Structure!$A:$AJ,AE$1,0)*$H157,0))</f>
        <v>0</v>
      </c>
      <c r="AF157" s="9">
        <f>SUM(IFERROR(VLOOKUP($C:$C,Structure!$A:$AJ,AF$1,0)*$D157,0),IFERROR(VLOOKUP($E:$E,Structure!$A:$AJ,AF$1,0)*$F157,0),IFERROR(VLOOKUP($G:$G,Structure!$A:$AJ,AF$1,0)*$H157,0))</f>
        <v>0</v>
      </c>
      <c r="AG157" s="9">
        <f>SUM(IFERROR(VLOOKUP($C:$C,Structure!$A:$AJ,AG$1,0)*$D157,0),IFERROR(VLOOKUP($E:$E,Structure!$A:$AJ,AG$1,0)*$F157,0),IFERROR(VLOOKUP($G:$G,Structure!$A:$AJ,AG$1,0)*$H157,0))</f>
        <v>0</v>
      </c>
      <c r="AH157" s="9">
        <f>SUM(IFERROR(VLOOKUP($C:$C,Structure!$A:$AJ,AH$1,0)*$D157,0),IFERROR(VLOOKUP($E:$E,Structure!$A:$AJ,AH$1,0)*$F157,0),IFERROR(VLOOKUP($G:$G,Structure!$A:$AJ,AH$1,0)*$H157,0))</f>
        <v>0</v>
      </c>
      <c r="AI157" s="9">
        <f>SUM(IFERROR(VLOOKUP($C:$C,Structure!$A:$AJ,AI$1,0)*$D157,0),IFERROR(VLOOKUP($E:$E,Structure!$A:$AJ,AI$1,0)*$F157,0),IFERROR(VLOOKUP($G:$G,Structure!$A:$AJ,AI$1,0)*$H157,0))</f>
        <v>0</v>
      </c>
      <c r="AJ157" s="9">
        <f>SUM(IFERROR(VLOOKUP($C:$C,Structure!$A:$AJ,AJ$1,0)*$D157,0),IFERROR(VLOOKUP($E:$E,Structure!$A:$AJ,AJ$1,0)*$F157,0),IFERROR(VLOOKUP($G:$G,Structure!$A:$AJ,AJ$1,0)*$H157,0))</f>
        <v>0</v>
      </c>
      <c r="AK157" s="9">
        <f>SUM(IFERROR(VLOOKUP($C:$C,Structure!$A:$AJ,AK$1,0)*$D157,0),IFERROR(VLOOKUP($E:$E,Structure!$A:$AJ,AK$1,0)*$F157,0),IFERROR(VLOOKUP($G:$G,Structure!$A:$AJ,AK$1,0)*$H157,0))</f>
        <v>0</v>
      </c>
      <c r="AL157" s="9">
        <f>SUM(IFERROR(VLOOKUP($C:$C,Structure!$A:$AJ,AL$1,0)*$D157,0),IFERROR(VLOOKUP($E:$E,Structure!$A:$AJ,AL$1,0)*$F157,0),IFERROR(VLOOKUP($G:$G,Structure!$A:$AJ,AL$1,0)*$H157,0))</f>
        <v>0</v>
      </c>
      <c r="AM157" s="9">
        <f>SUM(IFERROR(VLOOKUP($C:$C,Structure!$A:$AJ,AM$1,0)*$D157,0),IFERROR(VLOOKUP($E:$E,Structure!$A:$AJ,AM$1,0)*$F157,0),IFERROR(VLOOKUP($G:$G,Structure!$A:$AJ,AM$1,0)*$H157,0))</f>
        <v>0</v>
      </c>
      <c r="AN157" s="9">
        <f>SUM(IFERROR(VLOOKUP($C:$C,Structure!$A:$AJ,AN$1,0)*$D157,0),IFERROR(VLOOKUP($E:$E,Structure!$A:$AJ,AN$1,0)*$F157,0),IFERROR(VLOOKUP($G:$G,Structure!$A:$AJ,AN$1,0)*$H157,0))</f>
        <v>0</v>
      </c>
      <c r="AO157" s="9">
        <f>SUM(IFERROR(VLOOKUP($C:$C,Structure!$A:$AJ,AO$1,0)*$D157,0),IFERROR(VLOOKUP($E:$E,Structure!$A:$AJ,AO$1,0)*$F157,0),IFERROR(VLOOKUP($G:$G,Structure!$A:$AJ,AO$1,0)*$H157,0))</f>
        <v>0</v>
      </c>
      <c r="AP157" s="9">
        <f>SUM(IFERROR(VLOOKUP($C:$C,Structure!$A:$AJ,AP$1,0)*$D157,0),IFERROR(VLOOKUP($E:$E,Structure!$A:$AJ,AP$1,0)*$F157,0),IFERROR(VLOOKUP($G:$G,Structure!$A:$AJ,AP$1,0)*$H157,0))</f>
        <v>0</v>
      </c>
      <c r="AQ157" s="9">
        <f>SUM(IFERROR(VLOOKUP($C:$C,Structure!$A:$AJ,AQ$1,0)*$D157,0),IFERROR(VLOOKUP($E:$E,Structure!$A:$AJ,AQ$1,0)*$F157,0),IFERROR(VLOOKUP($G:$G,Structure!$A:$AJ,AQ$1,0)*$H157,0))</f>
        <v>0</v>
      </c>
      <c r="AR157" s="21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4">
        <f t="shared" si="162"/>
        <v>0</v>
      </c>
      <c r="CE157" s="4">
        <f t="shared" si="163"/>
        <v>-84</v>
      </c>
      <c r="CF157" s="4">
        <f t="shared" si="164"/>
        <v>4</v>
      </c>
      <c r="CG157" s="4">
        <f t="shared" si="165"/>
        <v>14</v>
      </c>
      <c r="CH157" s="4">
        <f t="shared" si="166"/>
        <v>-7</v>
      </c>
      <c r="CI157" s="4">
        <f t="shared" si="167"/>
        <v>127</v>
      </c>
      <c r="CJ157" s="4">
        <f t="shared" si="168"/>
        <v>-141</v>
      </c>
      <c r="CK157" s="4">
        <f t="shared" si="169"/>
        <v>95</v>
      </c>
      <c r="CL157" s="4">
        <f t="shared" si="170"/>
        <v>0</v>
      </c>
      <c r="CM157" s="4">
        <f t="shared" si="171"/>
        <v>6</v>
      </c>
      <c r="CN157" s="4">
        <f t="shared" si="172"/>
        <v>-28</v>
      </c>
      <c r="CO157" s="4">
        <f t="shared" si="173"/>
        <v>0</v>
      </c>
      <c r="CP157" s="4">
        <f t="shared" si="174"/>
        <v>69</v>
      </c>
      <c r="CQ157" s="4">
        <f t="shared" si="175"/>
        <v>-302</v>
      </c>
      <c r="CR157" s="4">
        <f t="shared" si="176"/>
        <v>15</v>
      </c>
      <c r="CS157" s="4">
        <f t="shared" si="177"/>
        <v>-24</v>
      </c>
      <c r="CT157" s="4">
        <f t="shared" si="178"/>
        <v>0</v>
      </c>
      <c r="CU157" s="4">
        <f t="shared" si="179"/>
        <v>0</v>
      </c>
      <c r="CV157" s="4">
        <f t="shared" si="180"/>
        <v>0</v>
      </c>
      <c r="CW157" s="4">
        <f t="shared" si="181"/>
        <v>0</v>
      </c>
      <c r="CX157" s="4">
        <f t="shared" si="182"/>
        <v>-293</v>
      </c>
      <c r="CY157" s="4">
        <f t="shared" si="183"/>
        <v>0</v>
      </c>
      <c r="CZ157" s="4">
        <f t="shared" si="184"/>
        <v>0</v>
      </c>
      <c r="DA157" s="4">
        <f t="shared" si="185"/>
        <v>0</v>
      </c>
      <c r="DB157" s="4">
        <f t="shared" si="186"/>
        <v>0</v>
      </c>
      <c r="DC157" s="4">
        <f t="shared" si="187"/>
        <v>0</v>
      </c>
      <c r="DD157" s="4">
        <f t="shared" si="188"/>
        <v>0</v>
      </c>
      <c r="DE157" s="4">
        <f t="shared" si="189"/>
        <v>0</v>
      </c>
      <c r="DF157" s="4">
        <f t="shared" si="190"/>
        <v>0</v>
      </c>
      <c r="DG157" s="4">
        <f t="shared" si="191"/>
        <v>0</v>
      </c>
      <c r="DH157" s="4">
        <f t="shared" si="192"/>
        <v>0</v>
      </c>
      <c r="DI157" s="4">
        <f t="shared" si="193"/>
        <v>0</v>
      </c>
      <c r="DJ157" s="4">
        <f t="shared" si="194"/>
        <v>0</v>
      </c>
      <c r="DK157" s="4">
        <f t="shared" si="195"/>
        <v>0</v>
      </c>
      <c r="DL157" s="4">
        <f t="shared" si="196"/>
        <v>0</v>
      </c>
    </row>
    <row r="158" spans="1:116" x14ac:dyDescent="0.25">
      <c r="A158" s="5">
        <v>46186</v>
      </c>
      <c r="B158" s="6">
        <v>0.54166666704259114</v>
      </c>
      <c r="C158" s="3"/>
      <c r="D158" s="3"/>
      <c r="E158" s="3" t="s">
        <v>30</v>
      </c>
      <c r="F158" s="3">
        <v>8</v>
      </c>
      <c r="G158" s="3"/>
      <c r="H158" s="9"/>
      <c r="I158" s="9">
        <f>SUM(IFERROR(VLOOKUP($C:$C,Structure!$A:$AJ,I$1,0)*$D158,0),IFERROR(VLOOKUP($E:$E,Structure!$A:$AJ,I$1,0)*$F158,0),IFERROR(VLOOKUP($G:$G,Structure!$A:$AJ,I$1,0)*$H158,0))</f>
        <v>0</v>
      </c>
      <c r="J158" s="9">
        <f>SUM(IFERROR(VLOOKUP($C:$C,Structure!$A:$AJ,J$1,0)*$D158,0),IFERROR(VLOOKUP($E:$E,Structure!$A:$AJ,J$1,0)*$F158,0),IFERROR(VLOOKUP($G:$G,Structure!$A:$AJ,J$1,0)*$H158,0))</f>
        <v>0</v>
      </c>
      <c r="K158" s="9">
        <f>SUM(IFERROR(VLOOKUP($C:$C,Structure!$A:$AJ,K$1,0)*$D158,0),IFERROR(VLOOKUP($E:$E,Structure!$A:$AJ,K$1,0)*$F158,0),IFERROR(VLOOKUP($G:$G,Structure!$A:$AJ,K$1,0)*$H158,0))</f>
        <v>0</v>
      </c>
      <c r="L158" s="9">
        <f>SUM(IFERROR(VLOOKUP($C:$C,Structure!$A:$AJ,L$1,0)*$D158,0),IFERROR(VLOOKUP($E:$E,Structure!$A:$AJ,L$1,0)*$F158,0),IFERROR(VLOOKUP($G:$G,Structure!$A:$AJ,L$1,0)*$H158,0))</f>
        <v>0</v>
      </c>
      <c r="M158" s="9">
        <f>SUM(IFERROR(VLOOKUP($C:$C,Structure!$A:$AJ,M$1,0)*$D158,0),IFERROR(VLOOKUP($E:$E,Structure!$A:$AJ,M$1,0)*$F158,0),IFERROR(VLOOKUP($G:$G,Structure!$A:$AJ,M$1,0)*$H158,0))</f>
        <v>0</v>
      </c>
      <c r="N158" s="9">
        <f>SUM(IFERROR(VLOOKUP($C:$C,Structure!$A:$AJ,N$1,0)*$D158,0),IFERROR(VLOOKUP($E:$E,Structure!$A:$AJ,N$1,0)*$F158,0),IFERROR(VLOOKUP($G:$G,Structure!$A:$AJ,N$1,0)*$H158,0))</f>
        <v>0</v>
      </c>
      <c r="O158" s="9">
        <f>SUM(IFERROR(VLOOKUP($C:$C,Structure!$A:$AJ,O$1,0)*$D158,0),IFERROR(VLOOKUP($E:$E,Structure!$A:$AJ,O$1,0)*$F158,0),IFERROR(VLOOKUP($G:$G,Structure!$A:$AJ,O$1,0)*$H158,0))</f>
        <v>0</v>
      </c>
      <c r="P158" s="9">
        <f>SUM(IFERROR(VLOOKUP($C:$C,Structure!$A:$AJ,P$1,0)*$D158,0),IFERROR(VLOOKUP($E:$E,Structure!$A:$AJ,P$1,0)*$F158,0),IFERROR(VLOOKUP($G:$G,Structure!$A:$AJ,P$1,0)*$H158,0))</f>
        <v>0</v>
      </c>
      <c r="Q158" s="9">
        <f>SUM(IFERROR(VLOOKUP($C:$C,Structure!$A:$AJ,Q$1,0)*$D158,0),IFERROR(VLOOKUP($E:$E,Structure!$A:$AJ,Q$1,0)*$F158,0),IFERROR(VLOOKUP($G:$G,Structure!$A:$AJ,Q$1,0)*$H158,0))</f>
        <v>0</v>
      </c>
      <c r="R158" s="9">
        <f>SUM(IFERROR(VLOOKUP($C:$C,Structure!$A:$AJ,R$1,0)*$D158,0),IFERROR(VLOOKUP($E:$E,Structure!$A:$AJ,R$1,0)*$F158,0),IFERROR(VLOOKUP($G:$G,Structure!$A:$AJ,R$1,0)*$H158,0))</f>
        <v>0</v>
      </c>
      <c r="S158" s="9">
        <f>SUM(IFERROR(VLOOKUP($C:$C,Structure!$A:$AJ,S$1,0)*$D158,0),IFERROR(VLOOKUP($E:$E,Structure!$A:$AJ,S$1,0)*$F158,0),IFERROR(VLOOKUP($G:$G,Structure!$A:$AJ,S$1,0)*$H158,0))</f>
        <v>0</v>
      </c>
      <c r="T158" s="9">
        <f>SUM(IFERROR(VLOOKUP($C:$C,Structure!$A:$AJ,T$1,0)*$D158,0),IFERROR(VLOOKUP($E:$E,Structure!$A:$AJ,T$1,0)*$F158,0),IFERROR(VLOOKUP($G:$G,Structure!$A:$AJ,T$1,0)*$H158,0))</f>
        <v>0</v>
      </c>
      <c r="U158" s="9">
        <f>SUM(IFERROR(VLOOKUP($C:$C,Structure!$A:$AJ,U$1,0)*$D158,0),IFERROR(VLOOKUP($E:$E,Structure!$A:$AJ,U$1,0)*$F158,0),IFERROR(VLOOKUP($G:$G,Structure!$A:$AJ,U$1,0)*$H158,0))</f>
        <v>0</v>
      </c>
      <c r="V158" s="9">
        <f>SUM(IFERROR(VLOOKUP($C:$C,Structure!$A:$AJ,V$1,0)*$D158,0),IFERROR(VLOOKUP($E:$E,Structure!$A:$AJ,V$1,0)*$F158,0),IFERROR(VLOOKUP($G:$G,Structure!$A:$AJ,V$1,0)*$H158,0))</f>
        <v>8</v>
      </c>
      <c r="W158" s="9">
        <f>SUM(IFERROR(VLOOKUP($C:$C,Structure!$A:$AJ,W$1,0)*$D158,0),IFERROR(VLOOKUP($E:$E,Structure!$A:$AJ,W$1,0)*$F158,0),IFERROR(VLOOKUP($G:$G,Structure!$A:$AJ,W$1,0)*$H158,0))</f>
        <v>0</v>
      </c>
      <c r="X158" s="9">
        <f>SUM(IFERROR(VLOOKUP($C:$C,Structure!$A:$AJ,X$1,0)*$D158,0),IFERROR(VLOOKUP($E:$E,Structure!$A:$AJ,X$1,0)*$F158,0),IFERROR(VLOOKUP($G:$G,Structure!$A:$AJ,X$1,0)*$H158,0))</f>
        <v>0</v>
      </c>
      <c r="Y158" s="9">
        <f>SUM(IFERROR(VLOOKUP($C:$C,Structure!$A:$AJ,Y$1,0)*$D158,0),IFERROR(VLOOKUP($E:$E,Structure!$A:$AJ,Y$1,0)*$F158,0),IFERROR(VLOOKUP($G:$G,Structure!$A:$AJ,Y$1,0)*$H158,0))</f>
        <v>0</v>
      </c>
      <c r="Z158" s="9">
        <f>SUM(IFERROR(VLOOKUP($C:$C,Structure!$A:$AJ,Z$1,0)*$D158,0),IFERROR(VLOOKUP($E:$E,Structure!$A:$AJ,Z$1,0)*$F158,0),IFERROR(VLOOKUP($G:$G,Structure!$A:$AJ,Z$1,0)*$H158,0))</f>
        <v>0</v>
      </c>
      <c r="AA158" s="9">
        <f>SUM(IFERROR(VLOOKUP($C:$C,Structure!$A:$AJ,AA$1,0)*$D158,0),IFERROR(VLOOKUP($E:$E,Structure!$A:$AJ,AA$1,0)*$F158,0),IFERROR(VLOOKUP($G:$G,Structure!$A:$AJ,AA$1,0)*$H158,0))</f>
        <v>0</v>
      </c>
      <c r="AB158" s="9">
        <f>SUM(IFERROR(VLOOKUP($C:$C,Structure!$A:$AJ,AB$1,0)*$D158,0),IFERROR(VLOOKUP($E:$E,Structure!$A:$AJ,AB$1,0)*$F158,0),IFERROR(VLOOKUP($G:$G,Structure!$A:$AJ,AB$1,0)*$H158,0))</f>
        <v>0</v>
      </c>
      <c r="AC158" s="9">
        <f>SUM(IFERROR(VLOOKUP($C:$C,Structure!$A:$AJ,AC$1,0)*$D158,0),IFERROR(VLOOKUP($E:$E,Structure!$A:$AJ,AC$1,0)*$F158,0),IFERROR(VLOOKUP($G:$G,Structure!$A:$AJ,AC$1,0)*$H158,0))</f>
        <v>8</v>
      </c>
      <c r="AD158" s="9">
        <f>SUM(IFERROR(VLOOKUP($C:$C,Structure!$A:$AJ,AD$1,0)*$D158,0),IFERROR(VLOOKUP($E:$E,Structure!$A:$AJ,AD$1,0)*$F158,0),IFERROR(VLOOKUP($G:$G,Structure!$A:$AJ,AD$1,0)*$H158,0))</f>
        <v>0</v>
      </c>
      <c r="AE158" s="9">
        <f>SUM(IFERROR(VLOOKUP($C:$C,Structure!$A:$AJ,AE$1,0)*$D158,0),IFERROR(VLOOKUP($E:$E,Structure!$A:$AJ,AE$1,0)*$F158,0),IFERROR(VLOOKUP($G:$G,Structure!$A:$AJ,AE$1,0)*$H158,0))</f>
        <v>0</v>
      </c>
      <c r="AF158" s="9">
        <f>SUM(IFERROR(VLOOKUP($C:$C,Structure!$A:$AJ,AF$1,0)*$D158,0),IFERROR(VLOOKUP($E:$E,Structure!$A:$AJ,AF$1,0)*$F158,0),IFERROR(VLOOKUP($G:$G,Structure!$A:$AJ,AF$1,0)*$H158,0))</f>
        <v>0</v>
      </c>
      <c r="AG158" s="9">
        <f>SUM(IFERROR(VLOOKUP($C:$C,Structure!$A:$AJ,AG$1,0)*$D158,0),IFERROR(VLOOKUP($E:$E,Structure!$A:$AJ,AG$1,0)*$F158,0),IFERROR(VLOOKUP($G:$G,Structure!$A:$AJ,AG$1,0)*$H158,0))</f>
        <v>0</v>
      </c>
      <c r="AH158" s="9">
        <f>SUM(IFERROR(VLOOKUP($C:$C,Structure!$A:$AJ,AH$1,0)*$D158,0),IFERROR(VLOOKUP($E:$E,Structure!$A:$AJ,AH$1,0)*$F158,0),IFERROR(VLOOKUP($G:$G,Structure!$A:$AJ,AH$1,0)*$H158,0))</f>
        <v>0</v>
      </c>
      <c r="AI158" s="9">
        <f>SUM(IFERROR(VLOOKUP($C:$C,Structure!$A:$AJ,AI$1,0)*$D158,0),IFERROR(VLOOKUP($E:$E,Structure!$A:$AJ,AI$1,0)*$F158,0),IFERROR(VLOOKUP($G:$G,Structure!$A:$AJ,AI$1,0)*$H158,0))</f>
        <v>0</v>
      </c>
      <c r="AJ158" s="9">
        <f>SUM(IFERROR(VLOOKUP($C:$C,Structure!$A:$AJ,AJ$1,0)*$D158,0),IFERROR(VLOOKUP($E:$E,Structure!$A:$AJ,AJ$1,0)*$F158,0),IFERROR(VLOOKUP($G:$G,Structure!$A:$AJ,AJ$1,0)*$H158,0))</f>
        <v>0</v>
      </c>
      <c r="AK158" s="9">
        <f>SUM(IFERROR(VLOOKUP($C:$C,Structure!$A:$AJ,AK$1,0)*$D158,0),IFERROR(VLOOKUP($E:$E,Structure!$A:$AJ,AK$1,0)*$F158,0),IFERROR(VLOOKUP($G:$G,Structure!$A:$AJ,AK$1,0)*$H158,0))</f>
        <v>0</v>
      </c>
      <c r="AL158" s="9">
        <f>SUM(IFERROR(VLOOKUP($C:$C,Structure!$A:$AJ,AL$1,0)*$D158,0),IFERROR(VLOOKUP($E:$E,Structure!$A:$AJ,AL$1,0)*$F158,0),IFERROR(VLOOKUP($G:$G,Structure!$A:$AJ,AL$1,0)*$H158,0))</f>
        <v>0</v>
      </c>
      <c r="AM158" s="9">
        <f>SUM(IFERROR(VLOOKUP($C:$C,Structure!$A:$AJ,AM$1,0)*$D158,0),IFERROR(VLOOKUP($E:$E,Structure!$A:$AJ,AM$1,0)*$F158,0),IFERROR(VLOOKUP($G:$G,Structure!$A:$AJ,AM$1,0)*$H158,0))</f>
        <v>0</v>
      </c>
      <c r="AN158" s="9">
        <f>SUM(IFERROR(VLOOKUP($C:$C,Structure!$A:$AJ,AN$1,0)*$D158,0),IFERROR(VLOOKUP($E:$E,Structure!$A:$AJ,AN$1,0)*$F158,0),IFERROR(VLOOKUP($G:$G,Structure!$A:$AJ,AN$1,0)*$H158,0))</f>
        <v>0</v>
      </c>
      <c r="AO158" s="9">
        <f>SUM(IFERROR(VLOOKUP($C:$C,Structure!$A:$AJ,AO$1,0)*$D158,0),IFERROR(VLOOKUP($E:$E,Structure!$A:$AJ,AO$1,0)*$F158,0),IFERROR(VLOOKUP($G:$G,Structure!$A:$AJ,AO$1,0)*$H158,0))</f>
        <v>0</v>
      </c>
      <c r="AP158" s="9">
        <f>SUM(IFERROR(VLOOKUP($C:$C,Structure!$A:$AJ,AP$1,0)*$D158,0),IFERROR(VLOOKUP($E:$E,Structure!$A:$AJ,AP$1,0)*$F158,0),IFERROR(VLOOKUP($G:$G,Structure!$A:$AJ,AP$1,0)*$H158,0))</f>
        <v>0</v>
      </c>
      <c r="AQ158" s="9">
        <f>SUM(IFERROR(VLOOKUP($C:$C,Structure!$A:$AJ,AQ$1,0)*$D158,0),IFERROR(VLOOKUP($E:$E,Structure!$A:$AJ,AQ$1,0)*$F158,0),IFERROR(VLOOKUP($G:$G,Structure!$A:$AJ,AQ$1,0)*$H158,0))</f>
        <v>0</v>
      </c>
      <c r="AR158" s="21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4">
        <f t="shared" si="162"/>
        <v>0</v>
      </c>
      <c r="CE158" s="4">
        <f t="shared" si="163"/>
        <v>-84</v>
      </c>
      <c r="CF158" s="4">
        <f t="shared" si="164"/>
        <v>4</v>
      </c>
      <c r="CG158" s="4">
        <f t="shared" si="165"/>
        <v>14</v>
      </c>
      <c r="CH158" s="4">
        <f t="shared" si="166"/>
        <v>-7</v>
      </c>
      <c r="CI158" s="4">
        <f t="shared" si="167"/>
        <v>127</v>
      </c>
      <c r="CJ158" s="4">
        <f t="shared" si="168"/>
        <v>-141</v>
      </c>
      <c r="CK158" s="4">
        <f t="shared" si="169"/>
        <v>95</v>
      </c>
      <c r="CL158" s="4">
        <f t="shared" si="170"/>
        <v>0</v>
      </c>
      <c r="CM158" s="4">
        <f t="shared" si="171"/>
        <v>6</v>
      </c>
      <c r="CN158" s="4">
        <f t="shared" si="172"/>
        <v>-28</v>
      </c>
      <c r="CO158" s="4">
        <f t="shared" si="173"/>
        <v>0</v>
      </c>
      <c r="CP158" s="4">
        <f t="shared" si="174"/>
        <v>69</v>
      </c>
      <c r="CQ158" s="4">
        <f t="shared" si="175"/>
        <v>-310</v>
      </c>
      <c r="CR158" s="4">
        <f t="shared" si="176"/>
        <v>15</v>
      </c>
      <c r="CS158" s="4">
        <f t="shared" si="177"/>
        <v>-24</v>
      </c>
      <c r="CT158" s="4">
        <f t="shared" si="178"/>
        <v>0</v>
      </c>
      <c r="CU158" s="4">
        <f t="shared" si="179"/>
        <v>0</v>
      </c>
      <c r="CV158" s="4">
        <f t="shared" si="180"/>
        <v>0</v>
      </c>
      <c r="CW158" s="4">
        <f t="shared" si="181"/>
        <v>0</v>
      </c>
      <c r="CX158" s="4">
        <f t="shared" si="182"/>
        <v>-301</v>
      </c>
      <c r="CY158" s="4">
        <f t="shared" si="183"/>
        <v>0</v>
      </c>
      <c r="CZ158" s="4">
        <f t="shared" si="184"/>
        <v>0</v>
      </c>
      <c r="DA158" s="4">
        <f t="shared" si="185"/>
        <v>0</v>
      </c>
      <c r="DB158" s="4">
        <f t="shared" si="186"/>
        <v>0</v>
      </c>
      <c r="DC158" s="4">
        <f t="shared" si="187"/>
        <v>0</v>
      </c>
      <c r="DD158" s="4">
        <f t="shared" si="188"/>
        <v>0</v>
      </c>
      <c r="DE158" s="4">
        <f t="shared" si="189"/>
        <v>0</v>
      </c>
      <c r="DF158" s="4">
        <f t="shared" si="190"/>
        <v>0</v>
      </c>
      <c r="DG158" s="4">
        <f t="shared" si="191"/>
        <v>0</v>
      </c>
      <c r="DH158" s="4">
        <f t="shared" si="192"/>
        <v>0</v>
      </c>
      <c r="DI158" s="4">
        <f t="shared" si="193"/>
        <v>0</v>
      </c>
      <c r="DJ158" s="4">
        <f t="shared" si="194"/>
        <v>0</v>
      </c>
      <c r="DK158" s="4">
        <f t="shared" si="195"/>
        <v>0</v>
      </c>
      <c r="DL158" s="4">
        <f t="shared" si="196"/>
        <v>0</v>
      </c>
    </row>
    <row r="159" spans="1:116" x14ac:dyDescent="0.25">
      <c r="A159" s="5">
        <v>46186</v>
      </c>
      <c r="B159" s="6">
        <v>0.5625000003783498</v>
      </c>
      <c r="C159" s="3"/>
      <c r="D159" s="3"/>
      <c r="E159" s="3" t="s">
        <v>30</v>
      </c>
      <c r="F159" s="3">
        <v>8</v>
      </c>
      <c r="G159" s="3"/>
      <c r="H159" s="9"/>
      <c r="I159" s="9">
        <f>SUM(IFERROR(VLOOKUP($C:$C,Structure!$A:$AJ,I$1,0)*$D159,0),IFERROR(VLOOKUP($E:$E,Structure!$A:$AJ,I$1,0)*$F159,0),IFERROR(VLOOKUP($G:$G,Structure!$A:$AJ,I$1,0)*$H159,0))</f>
        <v>0</v>
      </c>
      <c r="J159" s="9">
        <f>SUM(IFERROR(VLOOKUP($C:$C,Structure!$A:$AJ,J$1,0)*$D159,0),IFERROR(VLOOKUP($E:$E,Structure!$A:$AJ,J$1,0)*$F159,0),IFERROR(VLOOKUP($G:$G,Structure!$A:$AJ,J$1,0)*$H159,0))</f>
        <v>0</v>
      </c>
      <c r="K159" s="9">
        <f>SUM(IFERROR(VLOOKUP($C:$C,Structure!$A:$AJ,K$1,0)*$D159,0),IFERROR(VLOOKUP($E:$E,Structure!$A:$AJ,K$1,0)*$F159,0),IFERROR(VLOOKUP($G:$G,Structure!$A:$AJ,K$1,0)*$H159,0))</f>
        <v>0</v>
      </c>
      <c r="L159" s="9">
        <f>SUM(IFERROR(VLOOKUP($C:$C,Structure!$A:$AJ,L$1,0)*$D159,0),IFERROR(VLOOKUP($E:$E,Structure!$A:$AJ,L$1,0)*$F159,0),IFERROR(VLOOKUP($G:$G,Structure!$A:$AJ,L$1,0)*$H159,0))</f>
        <v>0</v>
      </c>
      <c r="M159" s="9">
        <f>SUM(IFERROR(VLOOKUP($C:$C,Structure!$A:$AJ,M$1,0)*$D159,0),IFERROR(VLOOKUP($E:$E,Structure!$A:$AJ,M$1,0)*$F159,0),IFERROR(VLOOKUP($G:$G,Structure!$A:$AJ,M$1,0)*$H159,0))</f>
        <v>0</v>
      </c>
      <c r="N159" s="9">
        <f>SUM(IFERROR(VLOOKUP($C:$C,Structure!$A:$AJ,N$1,0)*$D159,0),IFERROR(VLOOKUP($E:$E,Structure!$A:$AJ,N$1,0)*$F159,0),IFERROR(VLOOKUP($G:$G,Structure!$A:$AJ,N$1,0)*$H159,0))</f>
        <v>0</v>
      </c>
      <c r="O159" s="9">
        <f>SUM(IFERROR(VLOOKUP($C:$C,Structure!$A:$AJ,O$1,0)*$D159,0),IFERROR(VLOOKUP($E:$E,Structure!$A:$AJ,O$1,0)*$F159,0),IFERROR(VLOOKUP($G:$G,Structure!$A:$AJ,O$1,0)*$H159,0))</f>
        <v>0</v>
      </c>
      <c r="P159" s="9">
        <f>SUM(IFERROR(VLOOKUP($C:$C,Structure!$A:$AJ,P$1,0)*$D159,0),IFERROR(VLOOKUP($E:$E,Structure!$A:$AJ,P$1,0)*$F159,0),IFERROR(VLOOKUP($G:$G,Structure!$A:$AJ,P$1,0)*$H159,0))</f>
        <v>0</v>
      </c>
      <c r="Q159" s="9">
        <f>SUM(IFERROR(VLOOKUP($C:$C,Structure!$A:$AJ,Q$1,0)*$D159,0),IFERROR(VLOOKUP($E:$E,Structure!$A:$AJ,Q$1,0)*$F159,0),IFERROR(VLOOKUP($G:$G,Structure!$A:$AJ,Q$1,0)*$H159,0))</f>
        <v>0</v>
      </c>
      <c r="R159" s="9">
        <f>SUM(IFERROR(VLOOKUP($C:$C,Structure!$A:$AJ,R$1,0)*$D159,0),IFERROR(VLOOKUP($E:$E,Structure!$A:$AJ,R$1,0)*$F159,0),IFERROR(VLOOKUP($G:$G,Structure!$A:$AJ,R$1,0)*$H159,0))</f>
        <v>0</v>
      </c>
      <c r="S159" s="9">
        <f>SUM(IFERROR(VLOOKUP($C:$C,Structure!$A:$AJ,S$1,0)*$D159,0),IFERROR(VLOOKUP($E:$E,Structure!$A:$AJ,S$1,0)*$F159,0),IFERROR(VLOOKUP($G:$G,Structure!$A:$AJ,S$1,0)*$H159,0))</f>
        <v>0</v>
      </c>
      <c r="T159" s="9">
        <f>SUM(IFERROR(VLOOKUP($C:$C,Structure!$A:$AJ,T$1,0)*$D159,0),IFERROR(VLOOKUP($E:$E,Structure!$A:$AJ,T$1,0)*$F159,0),IFERROR(VLOOKUP($G:$G,Structure!$A:$AJ,T$1,0)*$H159,0))</f>
        <v>0</v>
      </c>
      <c r="U159" s="9">
        <f>SUM(IFERROR(VLOOKUP($C:$C,Structure!$A:$AJ,U$1,0)*$D159,0),IFERROR(VLOOKUP($E:$E,Structure!$A:$AJ,U$1,0)*$F159,0),IFERROR(VLOOKUP($G:$G,Structure!$A:$AJ,U$1,0)*$H159,0))</f>
        <v>0</v>
      </c>
      <c r="V159" s="9">
        <f>SUM(IFERROR(VLOOKUP($C:$C,Structure!$A:$AJ,V$1,0)*$D159,0),IFERROR(VLOOKUP($E:$E,Structure!$A:$AJ,V$1,0)*$F159,0),IFERROR(VLOOKUP($G:$G,Structure!$A:$AJ,V$1,0)*$H159,0))</f>
        <v>8</v>
      </c>
      <c r="W159" s="9">
        <f>SUM(IFERROR(VLOOKUP($C:$C,Structure!$A:$AJ,W$1,0)*$D159,0),IFERROR(VLOOKUP($E:$E,Structure!$A:$AJ,W$1,0)*$F159,0),IFERROR(VLOOKUP($G:$G,Structure!$A:$AJ,W$1,0)*$H159,0))</f>
        <v>0</v>
      </c>
      <c r="X159" s="9">
        <f>SUM(IFERROR(VLOOKUP($C:$C,Structure!$A:$AJ,X$1,0)*$D159,0),IFERROR(VLOOKUP($E:$E,Structure!$A:$AJ,X$1,0)*$F159,0),IFERROR(VLOOKUP($G:$G,Structure!$A:$AJ,X$1,0)*$H159,0))</f>
        <v>0</v>
      </c>
      <c r="Y159" s="9">
        <f>SUM(IFERROR(VLOOKUP($C:$C,Structure!$A:$AJ,Y$1,0)*$D159,0),IFERROR(VLOOKUP($E:$E,Structure!$A:$AJ,Y$1,0)*$F159,0),IFERROR(VLOOKUP($G:$G,Structure!$A:$AJ,Y$1,0)*$H159,0))</f>
        <v>0</v>
      </c>
      <c r="Z159" s="9">
        <f>SUM(IFERROR(VLOOKUP($C:$C,Structure!$A:$AJ,Z$1,0)*$D159,0),IFERROR(VLOOKUP($E:$E,Structure!$A:$AJ,Z$1,0)*$F159,0),IFERROR(VLOOKUP($G:$G,Structure!$A:$AJ,Z$1,0)*$H159,0))</f>
        <v>0</v>
      </c>
      <c r="AA159" s="9">
        <f>SUM(IFERROR(VLOOKUP($C:$C,Structure!$A:$AJ,AA$1,0)*$D159,0),IFERROR(VLOOKUP($E:$E,Structure!$A:$AJ,AA$1,0)*$F159,0),IFERROR(VLOOKUP($G:$G,Structure!$A:$AJ,AA$1,0)*$H159,0))</f>
        <v>0</v>
      </c>
      <c r="AB159" s="9">
        <f>SUM(IFERROR(VLOOKUP($C:$C,Structure!$A:$AJ,AB$1,0)*$D159,0),IFERROR(VLOOKUP($E:$E,Structure!$A:$AJ,AB$1,0)*$F159,0),IFERROR(VLOOKUP($G:$G,Structure!$A:$AJ,AB$1,0)*$H159,0))</f>
        <v>0</v>
      </c>
      <c r="AC159" s="9">
        <f>SUM(IFERROR(VLOOKUP($C:$C,Structure!$A:$AJ,AC$1,0)*$D159,0),IFERROR(VLOOKUP($E:$E,Structure!$A:$AJ,AC$1,0)*$F159,0),IFERROR(VLOOKUP($G:$G,Structure!$A:$AJ,AC$1,0)*$H159,0))</f>
        <v>8</v>
      </c>
      <c r="AD159" s="9">
        <f>SUM(IFERROR(VLOOKUP($C:$C,Structure!$A:$AJ,AD$1,0)*$D159,0),IFERROR(VLOOKUP($E:$E,Structure!$A:$AJ,AD$1,0)*$F159,0),IFERROR(VLOOKUP($G:$G,Structure!$A:$AJ,AD$1,0)*$H159,0))</f>
        <v>0</v>
      </c>
      <c r="AE159" s="9">
        <f>SUM(IFERROR(VLOOKUP($C:$C,Structure!$A:$AJ,AE$1,0)*$D159,0),IFERROR(VLOOKUP($E:$E,Structure!$A:$AJ,AE$1,0)*$F159,0),IFERROR(VLOOKUP($G:$G,Structure!$A:$AJ,AE$1,0)*$H159,0))</f>
        <v>0</v>
      </c>
      <c r="AF159" s="9">
        <f>SUM(IFERROR(VLOOKUP($C:$C,Structure!$A:$AJ,AF$1,0)*$D159,0),IFERROR(VLOOKUP($E:$E,Structure!$A:$AJ,AF$1,0)*$F159,0),IFERROR(VLOOKUP($G:$G,Structure!$A:$AJ,AF$1,0)*$H159,0))</f>
        <v>0</v>
      </c>
      <c r="AG159" s="9">
        <f>SUM(IFERROR(VLOOKUP($C:$C,Structure!$A:$AJ,AG$1,0)*$D159,0),IFERROR(VLOOKUP($E:$E,Structure!$A:$AJ,AG$1,0)*$F159,0),IFERROR(VLOOKUP($G:$G,Structure!$A:$AJ,AG$1,0)*$H159,0))</f>
        <v>0</v>
      </c>
      <c r="AH159" s="9">
        <f>SUM(IFERROR(VLOOKUP($C:$C,Structure!$A:$AJ,AH$1,0)*$D159,0),IFERROR(VLOOKUP($E:$E,Structure!$A:$AJ,AH$1,0)*$F159,0),IFERROR(VLOOKUP($G:$G,Structure!$A:$AJ,AH$1,0)*$H159,0))</f>
        <v>0</v>
      </c>
      <c r="AI159" s="9">
        <f>SUM(IFERROR(VLOOKUP($C:$C,Structure!$A:$AJ,AI$1,0)*$D159,0),IFERROR(VLOOKUP($E:$E,Structure!$A:$AJ,AI$1,0)*$F159,0),IFERROR(VLOOKUP($G:$G,Structure!$A:$AJ,AI$1,0)*$H159,0))</f>
        <v>0</v>
      </c>
      <c r="AJ159" s="9">
        <f>SUM(IFERROR(VLOOKUP($C:$C,Structure!$A:$AJ,AJ$1,0)*$D159,0),IFERROR(VLOOKUP($E:$E,Structure!$A:$AJ,AJ$1,0)*$F159,0),IFERROR(VLOOKUP($G:$G,Structure!$A:$AJ,AJ$1,0)*$H159,0))</f>
        <v>0</v>
      </c>
      <c r="AK159" s="9">
        <f>SUM(IFERROR(VLOOKUP($C:$C,Structure!$A:$AJ,AK$1,0)*$D159,0),IFERROR(VLOOKUP($E:$E,Structure!$A:$AJ,AK$1,0)*$F159,0),IFERROR(VLOOKUP($G:$G,Structure!$A:$AJ,AK$1,0)*$H159,0))</f>
        <v>0</v>
      </c>
      <c r="AL159" s="9">
        <f>SUM(IFERROR(VLOOKUP($C:$C,Structure!$A:$AJ,AL$1,0)*$D159,0),IFERROR(VLOOKUP($E:$E,Structure!$A:$AJ,AL$1,0)*$F159,0),IFERROR(VLOOKUP($G:$G,Structure!$A:$AJ,AL$1,0)*$H159,0))</f>
        <v>0</v>
      </c>
      <c r="AM159" s="9">
        <f>SUM(IFERROR(VLOOKUP($C:$C,Structure!$A:$AJ,AM$1,0)*$D159,0),IFERROR(VLOOKUP($E:$E,Structure!$A:$AJ,AM$1,0)*$F159,0),IFERROR(VLOOKUP($G:$G,Structure!$A:$AJ,AM$1,0)*$H159,0))</f>
        <v>0</v>
      </c>
      <c r="AN159" s="9">
        <f>SUM(IFERROR(VLOOKUP($C:$C,Structure!$A:$AJ,AN$1,0)*$D159,0),IFERROR(VLOOKUP($E:$E,Structure!$A:$AJ,AN$1,0)*$F159,0),IFERROR(VLOOKUP($G:$G,Structure!$A:$AJ,AN$1,0)*$H159,0))</f>
        <v>0</v>
      </c>
      <c r="AO159" s="9">
        <f>SUM(IFERROR(VLOOKUP($C:$C,Structure!$A:$AJ,AO$1,0)*$D159,0),IFERROR(VLOOKUP($E:$E,Structure!$A:$AJ,AO$1,0)*$F159,0),IFERROR(VLOOKUP($G:$G,Structure!$A:$AJ,AO$1,0)*$H159,0))</f>
        <v>0</v>
      </c>
      <c r="AP159" s="9">
        <f>SUM(IFERROR(VLOOKUP($C:$C,Structure!$A:$AJ,AP$1,0)*$D159,0),IFERROR(VLOOKUP($E:$E,Structure!$A:$AJ,AP$1,0)*$F159,0),IFERROR(VLOOKUP($G:$G,Structure!$A:$AJ,AP$1,0)*$H159,0))</f>
        <v>0</v>
      </c>
      <c r="AQ159" s="9">
        <f>SUM(IFERROR(VLOOKUP($C:$C,Structure!$A:$AJ,AQ$1,0)*$D159,0),IFERROR(VLOOKUP($E:$E,Structure!$A:$AJ,AQ$1,0)*$F159,0),IFERROR(VLOOKUP($G:$G,Structure!$A:$AJ,AQ$1,0)*$H159,0))</f>
        <v>0</v>
      </c>
      <c r="AR159" s="21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4">
        <f t="shared" si="162"/>
        <v>0</v>
      </c>
      <c r="CE159" s="4">
        <f t="shared" si="163"/>
        <v>-84</v>
      </c>
      <c r="CF159" s="4">
        <f t="shared" si="164"/>
        <v>4</v>
      </c>
      <c r="CG159" s="4">
        <f t="shared" si="165"/>
        <v>14</v>
      </c>
      <c r="CH159" s="4">
        <f t="shared" si="166"/>
        <v>-7</v>
      </c>
      <c r="CI159" s="4">
        <f t="shared" si="167"/>
        <v>127</v>
      </c>
      <c r="CJ159" s="4">
        <f t="shared" si="168"/>
        <v>-141</v>
      </c>
      <c r="CK159" s="4">
        <f t="shared" si="169"/>
        <v>95</v>
      </c>
      <c r="CL159" s="4">
        <f t="shared" si="170"/>
        <v>0</v>
      </c>
      <c r="CM159" s="4">
        <f t="shared" si="171"/>
        <v>6</v>
      </c>
      <c r="CN159" s="4">
        <f t="shared" si="172"/>
        <v>-28</v>
      </c>
      <c r="CO159" s="4">
        <f t="shared" si="173"/>
        <v>0</v>
      </c>
      <c r="CP159" s="4">
        <f t="shared" si="174"/>
        <v>69</v>
      </c>
      <c r="CQ159" s="4">
        <f t="shared" si="175"/>
        <v>-318</v>
      </c>
      <c r="CR159" s="4">
        <f t="shared" si="176"/>
        <v>15</v>
      </c>
      <c r="CS159" s="4">
        <f t="shared" si="177"/>
        <v>-24</v>
      </c>
      <c r="CT159" s="4">
        <f t="shared" si="178"/>
        <v>0</v>
      </c>
      <c r="CU159" s="4">
        <f t="shared" si="179"/>
        <v>0</v>
      </c>
      <c r="CV159" s="4">
        <f t="shared" si="180"/>
        <v>0</v>
      </c>
      <c r="CW159" s="4">
        <f t="shared" si="181"/>
        <v>0</v>
      </c>
      <c r="CX159" s="4">
        <f t="shared" si="182"/>
        <v>-309</v>
      </c>
      <c r="CY159" s="4">
        <f t="shared" si="183"/>
        <v>0</v>
      </c>
      <c r="CZ159" s="4">
        <f t="shared" si="184"/>
        <v>0</v>
      </c>
      <c r="DA159" s="4">
        <f t="shared" si="185"/>
        <v>0</v>
      </c>
      <c r="DB159" s="4">
        <f t="shared" si="186"/>
        <v>0</v>
      </c>
      <c r="DC159" s="4">
        <f t="shared" si="187"/>
        <v>0</v>
      </c>
      <c r="DD159" s="4">
        <f t="shared" si="188"/>
        <v>0</v>
      </c>
      <c r="DE159" s="4">
        <f t="shared" si="189"/>
        <v>0</v>
      </c>
      <c r="DF159" s="4">
        <f t="shared" si="190"/>
        <v>0</v>
      </c>
      <c r="DG159" s="4">
        <f t="shared" si="191"/>
        <v>0</v>
      </c>
      <c r="DH159" s="4">
        <f t="shared" si="192"/>
        <v>0</v>
      </c>
      <c r="DI159" s="4">
        <f t="shared" si="193"/>
        <v>0</v>
      </c>
      <c r="DJ159" s="4">
        <f t="shared" si="194"/>
        <v>0</v>
      </c>
      <c r="DK159" s="4">
        <f t="shared" si="195"/>
        <v>0</v>
      </c>
      <c r="DL159" s="4">
        <f t="shared" si="196"/>
        <v>0</v>
      </c>
    </row>
    <row r="160" spans="1:116" x14ac:dyDescent="0.25">
      <c r="A160" s="5">
        <v>46186</v>
      </c>
      <c r="B160" s="6">
        <v>0.58333333371410845</v>
      </c>
      <c r="C160" s="3"/>
      <c r="D160" s="3"/>
      <c r="E160" s="3" t="s">
        <v>30</v>
      </c>
      <c r="F160" s="3">
        <v>8</v>
      </c>
      <c r="G160" s="3"/>
      <c r="H160" s="9"/>
      <c r="I160" s="9">
        <f>SUM(IFERROR(VLOOKUP($C:$C,Structure!$A:$AJ,I$1,0)*$D160,0),IFERROR(VLOOKUP($E:$E,Structure!$A:$AJ,I$1,0)*$F160,0),IFERROR(VLOOKUP($G:$G,Structure!$A:$AJ,I$1,0)*$H160,0))</f>
        <v>0</v>
      </c>
      <c r="J160" s="9">
        <f>SUM(IFERROR(VLOOKUP($C:$C,Structure!$A:$AJ,J$1,0)*$D160,0),IFERROR(VLOOKUP($E:$E,Structure!$A:$AJ,J$1,0)*$F160,0),IFERROR(VLOOKUP($G:$G,Structure!$A:$AJ,J$1,0)*$H160,0))</f>
        <v>0</v>
      </c>
      <c r="K160" s="9">
        <f>SUM(IFERROR(VLOOKUP($C:$C,Structure!$A:$AJ,K$1,0)*$D160,0),IFERROR(VLOOKUP($E:$E,Structure!$A:$AJ,K$1,0)*$F160,0),IFERROR(VLOOKUP($G:$G,Structure!$A:$AJ,K$1,0)*$H160,0))</f>
        <v>0</v>
      </c>
      <c r="L160" s="9">
        <f>SUM(IFERROR(VLOOKUP($C:$C,Structure!$A:$AJ,L$1,0)*$D160,0),IFERROR(VLOOKUP($E:$E,Structure!$A:$AJ,L$1,0)*$F160,0),IFERROR(VLOOKUP($G:$G,Structure!$A:$AJ,L$1,0)*$H160,0))</f>
        <v>0</v>
      </c>
      <c r="M160" s="9">
        <f>SUM(IFERROR(VLOOKUP($C:$C,Structure!$A:$AJ,M$1,0)*$D160,0),IFERROR(VLOOKUP($E:$E,Structure!$A:$AJ,M$1,0)*$F160,0),IFERROR(VLOOKUP($G:$G,Structure!$A:$AJ,M$1,0)*$H160,0))</f>
        <v>0</v>
      </c>
      <c r="N160" s="9">
        <f>SUM(IFERROR(VLOOKUP($C:$C,Structure!$A:$AJ,N$1,0)*$D160,0),IFERROR(VLOOKUP($E:$E,Structure!$A:$AJ,N$1,0)*$F160,0),IFERROR(VLOOKUP($G:$G,Structure!$A:$AJ,N$1,0)*$H160,0))</f>
        <v>0</v>
      </c>
      <c r="O160" s="9">
        <f>SUM(IFERROR(VLOOKUP($C:$C,Structure!$A:$AJ,O$1,0)*$D160,0),IFERROR(VLOOKUP($E:$E,Structure!$A:$AJ,O$1,0)*$F160,0),IFERROR(VLOOKUP($G:$G,Structure!$A:$AJ,O$1,0)*$H160,0))</f>
        <v>0</v>
      </c>
      <c r="P160" s="9">
        <f>SUM(IFERROR(VLOOKUP($C:$C,Structure!$A:$AJ,P$1,0)*$D160,0),IFERROR(VLOOKUP($E:$E,Structure!$A:$AJ,P$1,0)*$F160,0),IFERROR(VLOOKUP($G:$G,Structure!$A:$AJ,P$1,0)*$H160,0))</f>
        <v>0</v>
      </c>
      <c r="Q160" s="9">
        <f>SUM(IFERROR(VLOOKUP($C:$C,Structure!$A:$AJ,Q$1,0)*$D160,0),IFERROR(VLOOKUP($E:$E,Structure!$A:$AJ,Q$1,0)*$F160,0),IFERROR(VLOOKUP($G:$G,Structure!$A:$AJ,Q$1,0)*$H160,0))</f>
        <v>0</v>
      </c>
      <c r="R160" s="9">
        <f>SUM(IFERROR(VLOOKUP($C:$C,Structure!$A:$AJ,R$1,0)*$D160,0),IFERROR(VLOOKUP($E:$E,Structure!$A:$AJ,R$1,0)*$F160,0),IFERROR(VLOOKUP($G:$G,Structure!$A:$AJ,R$1,0)*$H160,0))</f>
        <v>0</v>
      </c>
      <c r="S160" s="9">
        <f>SUM(IFERROR(VLOOKUP($C:$C,Structure!$A:$AJ,S$1,0)*$D160,0),IFERROR(VLOOKUP($E:$E,Structure!$A:$AJ,S$1,0)*$F160,0),IFERROR(VLOOKUP($G:$G,Structure!$A:$AJ,S$1,0)*$H160,0))</f>
        <v>0</v>
      </c>
      <c r="T160" s="9">
        <f>SUM(IFERROR(VLOOKUP($C:$C,Structure!$A:$AJ,T$1,0)*$D160,0),IFERROR(VLOOKUP($E:$E,Structure!$A:$AJ,T$1,0)*$F160,0),IFERROR(VLOOKUP($G:$G,Structure!$A:$AJ,T$1,0)*$H160,0))</f>
        <v>0</v>
      </c>
      <c r="U160" s="9">
        <f>SUM(IFERROR(VLOOKUP($C:$C,Structure!$A:$AJ,U$1,0)*$D160,0),IFERROR(VLOOKUP($E:$E,Structure!$A:$AJ,U$1,0)*$F160,0),IFERROR(VLOOKUP($G:$G,Structure!$A:$AJ,U$1,0)*$H160,0))</f>
        <v>0</v>
      </c>
      <c r="V160" s="9">
        <f>SUM(IFERROR(VLOOKUP($C:$C,Structure!$A:$AJ,V$1,0)*$D160,0),IFERROR(VLOOKUP($E:$E,Structure!$A:$AJ,V$1,0)*$F160,0),IFERROR(VLOOKUP($G:$G,Structure!$A:$AJ,V$1,0)*$H160,0))</f>
        <v>8</v>
      </c>
      <c r="W160" s="9">
        <f>SUM(IFERROR(VLOOKUP($C:$C,Structure!$A:$AJ,W$1,0)*$D160,0),IFERROR(VLOOKUP($E:$E,Structure!$A:$AJ,W$1,0)*$F160,0),IFERROR(VLOOKUP($G:$G,Structure!$A:$AJ,W$1,0)*$H160,0))</f>
        <v>0</v>
      </c>
      <c r="X160" s="9">
        <f>SUM(IFERROR(VLOOKUP($C:$C,Structure!$A:$AJ,X$1,0)*$D160,0),IFERROR(VLOOKUP($E:$E,Structure!$A:$AJ,X$1,0)*$F160,0),IFERROR(VLOOKUP($G:$G,Structure!$A:$AJ,X$1,0)*$H160,0))</f>
        <v>0</v>
      </c>
      <c r="Y160" s="9">
        <f>SUM(IFERROR(VLOOKUP($C:$C,Structure!$A:$AJ,Y$1,0)*$D160,0),IFERROR(VLOOKUP($E:$E,Structure!$A:$AJ,Y$1,0)*$F160,0),IFERROR(VLOOKUP($G:$G,Structure!$A:$AJ,Y$1,0)*$H160,0))</f>
        <v>0</v>
      </c>
      <c r="Z160" s="9">
        <f>SUM(IFERROR(VLOOKUP($C:$C,Structure!$A:$AJ,Z$1,0)*$D160,0),IFERROR(VLOOKUP($E:$E,Structure!$A:$AJ,Z$1,0)*$F160,0),IFERROR(VLOOKUP($G:$G,Structure!$A:$AJ,Z$1,0)*$H160,0))</f>
        <v>0</v>
      </c>
      <c r="AA160" s="9">
        <f>SUM(IFERROR(VLOOKUP($C:$C,Structure!$A:$AJ,AA$1,0)*$D160,0),IFERROR(VLOOKUP($E:$E,Structure!$A:$AJ,AA$1,0)*$F160,0),IFERROR(VLOOKUP($G:$G,Structure!$A:$AJ,AA$1,0)*$H160,0))</f>
        <v>0</v>
      </c>
      <c r="AB160" s="9">
        <f>SUM(IFERROR(VLOOKUP($C:$C,Structure!$A:$AJ,AB$1,0)*$D160,0),IFERROR(VLOOKUP($E:$E,Structure!$A:$AJ,AB$1,0)*$F160,0),IFERROR(VLOOKUP($G:$G,Structure!$A:$AJ,AB$1,0)*$H160,0))</f>
        <v>0</v>
      </c>
      <c r="AC160" s="9">
        <f>SUM(IFERROR(VLOOKUP($C:$C,Structure!$A:$AJ,AC$1,0)*$D160,0),IFERROR(VLOOKUP($E:$E,Structure!$A:$AJ,AC$1,0)*$F160,0),IFERROR(VLOOKUP($G:$G,Structure!$A:$AJ,AC$1,0)*$H160,0))</f>
        <v>8</v>
      </c>
      <c r="AD160" s="9">
        <f>SUM(IFERROR(VLOOKUP($C:$C,Structure!$A:$AJ,AD$1,0)*$D160,0),IFERROR(VLOOKUP($E:$E,Structure!$A:$AJ,AD$1,0)*$F160,0),IFERROR(VLOOKUP($G:$G,Structure!$A:$AJ,AD$1,0)*$H160,0))</f>
        <v>0</v>
      </c>
      <c r="AE160" s="9">
        <f>SUM(IFERROR(VLOOKUP($C:$C,Structure!$A:$AJ,AE$1,0)*$D160,0),IFERROR(VLOOKUP($E:$E,Structure!$A:$AJ,AE$1,0)*$F160,0),IFERROR(VLOOKUP($G:$G,Structure!$A:$AJ,AE$1,0)*$H160,0))</f>
        <v>0</v>
      </c>
      <c r="AF160" s="9">
        <f>SUM(IFERROR(VLOOKUP($C:$C,Structure!$A:$AJ,AF$1,0)*$D160,0),IFERROR(VLOOKUP($E:$E,Structure!$A:$AJ,AF$1,0)*$F160,0),IFERROR(VLOOKUP($G:$G,Structure!$A:$AJ,AF$1,0)*$H160,0))</f>
        <v>0</v>
      </c>
      <c r="AG160" s="9">
        <f>SUM(IFERROR(VLOOKUP($C:$C,Structure!$A:$AJ,AG$1,0)*$D160,0),IFERROR(VLOOKUP($E:$E,Structure!$A:$AJ,AG$1,0)*$F160,0),IFERROR(VLOOKUP($G:$G,Structure!$A:$AJ,AG$1,0)*$H160,0))</f>
        <v>0</v>
      </c>
      <c r="AH160" s="9">
        <f>SUM(IFERROR(VLOOKUP($C:$C,Structure!$A:$AJ,AH$1,0)*$D160,0),IFERROR(VLOOKUP($E:$E,Structure!$A:$AJ,AH$1,0)*$F160,0),IFERROR(VLOOKUP($G:$G,Structure!$A:$AJ,AH$1,0)*$H160,0))</f>
        <v>0</v>
      </c>
      <c r="AI160" s="9">
        <f>SUM(IFERROR(VLOOKUP($C:$C,Structure!$A:$AJ,AI$1,0)*$D160,0),IFERROR(VLOOKUP($E:$E,Structure!$A:$AJ,AI$1,0)*$F160,0),IFERROR(VLOOKUP($G:$G,Structure!$A:$AJ,AI$1,0)*$H160,0))</f>
        <v>0</v>
      </c>
      <c r="AJ160" s="9">
        <f>SUM(IFERROR(VLOOKUP($C:$C,Structure!$A:$AJ,AJ$1,0)*$D160,0),IFERROR(VLOOKUP($E:$E,Structure!$A:$AJ,AJ$1,0)*$F160,0),IFERROR(VLOOKUP($G:$G,Structure!$A:$AJ,AJ$1,0)*$H160,0))</f>
        <v>0</v>
      </c>
      <c r="AK160" s="9">
        <f>SUM(IFERROR(VLOOKUP($C:$C,Structure!$A:$AJ,AK$1,0)*$D160,0),IFERROR(VLOOKUP($E:$E,Structure!$A:$AJ,AK$1,0)*$F160,0),IFERROR(VLOOKUP($G:$G,Structure!$A:$AJ,AK$1,0)*$H160,0))</f>
        <v>0</v>
      </c>
      <c r="AL160" s="9">
        <f>SUM(IFERROR(VLOOKUP($C:$C,Structure!$A:$AJ,AL$1,0)*$D160,0),IFERROR(VLOOKUP($E:$E,Structure!$A:$AJ,AL$1,0)*$F160,0),IFERROR(VLOOKUP($G:$G,Structure!$A:$AJ,AL$1,0)*$H160,0))</f>
        <v>0</v>
      </c>
      <c r="AM160" s="9">
        <f>SUM(IFERROR(VLOOKUP($C:$C,Structure!$A:$AJ,AM$1,0)*$D160,0),IFERROR(VLOOKUP($E:$E,Structure!$A:$AJ,AM$1,0)*$F160,0),IFERROR(VLOOKUP($G:$G,Structure!$A:$AJ,AM$1,0)*$H160,0))</f>
        <v>0</v>
      </c>
      <c r="AN160" s="9">
        <f>SUM(IFERROR(VLOOKUP($C:$C,Structure!$A:$AJ,AN$1,0)*$D160,0),IFERROR(VLOOKUP($E:$E,Structure!$A:$AJ,AN$1,0)*$F160,0),IFERROR(VLOOKUP($G:$G,Structure!$A:$AJ,AN$1,0)*$H160,0))</f>
        <v>0</v>
      </c>
      <c r="AO160" s="9">
        <f>SUM(IFERROR(VLOOKUP($C:$C,Structure!$A:$AJ,AO$1,0)*$D160,0),IFERROR(VLOOKUP($E:$E,Structure!$A:$AJ,AO$1,0)*$F160,0),IFERROR(VLOOKUP($G:$G,Structure!$A:$AJ,AO$1,0)*$H160,0))</f>
        <v>0</v>
      </c>
      <c r="AP160" s="9">
        <f>SUM(IFERROR(VLOOKUP($C:$C,Structure!$A:$AJ,AP$1,0)*$D160,0),IFERROR(VLOOKUP($E:$E,Structure!$A:$AJ,AP$1,0)*$F160,0),IFERROR(VLOOKUP($G:$G,Structure!$A:$AJ,AP$1,0)*$H160,0))</f>
        <v>0</v>
      </c>
      <c r="AQ160" s="9">
        <f>SUM(IFERROR(VLOOKUP($C:$C,Structure!$A:$AJ,AQ$1,0)*$D160,0),IFERROR(VLOOKUP($E:$E,Structure!$A:$AJ,AQ$1,0)*$F160,0),IFERROR(VLOOKUP($G:$G,Structure!$A:$AJ,AQ$1,0)*$H160,0))</f>
        <v>0</v>
      </c>
      <c r="AR160" s="21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4">
        <f t="shared" si="162"/>
        <v>0</v>
      </c>
      <c r="CE160" s="4">
        <f t="shared" si="163"/>
        <v>-84</v>
      </c>
      <c r="CF160" s="4">
        <f t="shared" si="164"/>
        <v>4</v>
      </c>
      <c r="CG160" s="4">
        <f t="shared" si="165"/>
        <v>14</v>
      </c>
      <c r="CH160" s="4">
        <f t="shared" si="166"/>
        <v>-7</v>
      </c>
      <c r="CI160" s="4">
        <f t="shared" si="167"/>
        <v>127</v>
      </c>
      <c r="CJ160" s="4">
        <f t="shared" si="168"/>
        <v>-141</v>
      </c>
      <c r="CK160" s="4">
        <f t="shared" si="169"/>
        <v>95</v>
      </c>
      <c r="CL160" s="4">
        <f t="shared" si="170"/>
        <v>0</v>
      </c>
      <c r="CM160" s="4">
        <f t="shared" si="171"/>
        <v>6</v>
      </c>
      <c r="CN160" s="4">
        <f t="shared" si="172"/>
        <v>-28</v>
      </c>
      <c r="CO160" s="4">
        <f t="shared" si="173"/>
        <v>0</v>
      </c>
      <c r="CP160" s="4">
        <f t="shared" si="174"/>
        <v>69</v>
      </c>
      <c r="CQ160" s="4">
        <f t="shared" si="175"/>
        <v>-326</v>
      </c>
      <c r="CR160" s="4">
        <f t="shared" si="176"/>
        <v>15</v>
      </c>
      <c r="CS160" s="4">
        <f t="shared" si="177"/>
        <v>-24</v>
      </c>
      <c r="CT160" s="4">
        <f t="shared" si="178"/>
        <v>0</v>
      </c>
      <c r="CU160" s="4">
        <f t="shared" si="179"/>
        <v>0</v>
      </c>
      <c r="CV160" s="4">
        <f t="shared" si="180"/>
        <v>0</v>
      </c>
      <c r="CW160" s="4">
        <f t="shared" si="181"/>
        <v>0</v>
      </c>
      <c r="CX160" s="4">
        <f t="shared" si="182"/>
        <v>-317</v>
      </c>
      <c r="CY160" s="4">
        <f t="shared" si="183"/>
        <v>0</v>
      </c>
      <c r="CZ160" s="4">
        <f t="shared" si="184"/>
        <v>0</v>
      </c>
      <c r="DA160" s="4">
        <f t="shared" si="185"/>
        <v>0</v>
      </c>
      <c r="DB160" s="4">
        <f t="shared" si="186"/>
        <v>0</v>
      </c>
      <c r="DC160" s="4">
        <f t="shared" si="187"/>
        <v>0</v>
      </c>
      <c r="DD160" s="4">
        <f t="shared" si="188"/>
        <v>0</v>
      </c>
      <c r="DE160" s="4">
        <f t="shared" si="189"/>
        <v>0</v>
      </c>
      <c r="DF160" s="4">
        <f t="shared" si="190"/>
        <v>0</v>
      </c>
      <c r="DG160" s="4">
        <f t="shared" si="191"/>
        <v>0</v>
      </c>
      <c r="DH160" s="4">
        <f t="shared" si="192"/>
        <v>0</v>
      </c>
      <c r="DI160" s="4">
        <f t="shared" si="193"/>
        <v>0</v>
      </c>
      <c r="DJ160" s="4">
        <f t="shared" si="194"/>
        <v>0</v>
      </c>
      <c r="DK160" s="4">
        <f t="shared" si="195"/>
        <v>0</v>
      </c>
      <c r="DL160" s="4">
        <f t="shared" si="196"/>
        <v>0</v>
      </c>
    </row>
    <row r="161" spans="1:116" x14ac:dyDescent="0.25">
      <c r="A161" s="5">
        <v>46186</v>
      </c>
      <c r="B161" s="6">
        <v>0.6041666670498671</v>
      </c>
      <c r="C161" s="3"/>
      <c r="D161" s="3"/>
      <c r="E161" s="3" t="s">
        <v>30</v>
      </c>
      <c r="F161" s="3">
        <v>8</v>
      </c>
      <c r="G161" s="3"/>
      <c r="H161" s="9"/>
      <c r="I161" s="9">
        <f>SUM(IFERROR(VLOOKUP($C:$C,Structure!$A:$AJ,I$1,0)*$D161,0),IFERROR(VLOOKUP($E:$E,Structure!$A:$AJ,I$1,0)*$F161,0),IFERROR(VLOOKUP($G:$G,Structure!$A:$AJ,I$1,0)*$H161,0))</f>
        <v>0</v>
      </c>
      <c r="J161" s="9">
        <f>SUM(IFERROR(VLOOKUP($C:$C,Structure!$A:$AJ,J$1,0)*$D161,0),IFERROR(VLOOKUP($E:$E,Structure!$A:$AJ,J$1,0)*$F161,0),IFERROR(VLOOKUP($G:$G,Structure!$A:$AJ,J$1,0)*$H161,0))</f>
        <v>0</v>
      </c>
      <c r="K161" s="9">
        <f>SUM(IFERROR(VLOOKUP($C:$C,Structure!$A:$AJ,K$1,0)*$D161,0),IFERROR(VLOOKUP($E:$E,Structure!$A:$AJ,K$1,0)*$F161,0),IFERROR(VLOOKUP($G:$G,Structure!$A:$AJ,K$1,0)*$H161,0))</f>
        <v>0</v>
      </c>
      <c r="L161" s="9">
        <f>SUM(IFERROR(VLOOKUP($C:$C,Structure!$A:$AJ,L$1,0)*$D161,0),IFERROR(VLOOKUP($E:$E,Structure!$A:$AJ,L$1,0)*$F161,0),IFERROR(VLOOKUP($G:$G,Structure!$A:$AJ,L$1,0)*$H161,0))</f>
        <v>0</v>
      </c>
      <c r="M161" s="9">
        <f>SUM(IFERROR(VLOOKUP($C:$C,Structure!$A:$AJ,M$1,0)*$D161,0),IFERROR(VLOOKUP($E:$E,Structure!$A:$AJ,M$1,0)*$F161,0),IFERROR(VLOOKUP($G:$G,Structure!$A:$AJ,M$1,0)*$H161,0))</f>
        <v>0</v>
      </c>
      <c r="N161" s="9">
        <f>SUM(IFERROR(VLOOKUP($C:$C,Structure!$A:$AJ,N$1,0)*$D161,0),IFERROR(VLOOKUP($E:$E,Structure!$A:$AJ,N$1,0)*$F161,0),IFERROR(VLOOKUP($G:$G,Structure!$A:$AJ,N$1,0)*$H161,0))</f>
        <v>0</v>
      </c>
      <c r="O161" s="9">
        <f>SUM(IFERROR(VLOOKUP($C:$C,Structure!$A:$AJ,O$1,0)*$D161,0),IFERROR(VLOOKUP($E:$E,Structure!$A:$AJ,O$1,0)*$F161,0),IFERROR(VLOOKUP($G:$G,Structure!$A:$AJ,O$1,0)*$H161,0))</f>
        <v>0</v>
      </c>
      <c r="P161" s="9">
        <f>SUM(IFERROR(VLOOKUP($C:$C,Structure!$A:$AJ,P$1,0)*$D161,0),IFERROR(VLOOKUP($E:$E,Structure!$A:$AJ,P$1,0)*$F161,0),IFERROR(VLOOKUP($G:$G,Structure!$A:$AJ,P$1,0)*$H161,0))</f>
        <v>0</v>
      </c>
      <c r="Q161" s="9">
        <f>SUM(IFERROR(VLOOKUP($C:$C,Structure!$A:$AJ,Q$1,0)*$D161,0),IFERROR(VLOOKUP($E:$E,Structure!$A:$AJ,Q$1,0)*$F161,0),IFERROR(VLOOKUP($G:$G,Structure!$A:$AJ,Q$1,0)*$H161,0))</f>
        <v>0</v>
      </c>
      <c r="R161" s="9">
        <f>SUM(IFERROR(VLOOKUP($C:$C,Structure!$A:$AJ,R$1,0)*$D161,0),IFERROR(VLOOKUP($E:$E,Structure!$A:$AJ,R$1,0)*$F161,0),IFERROR(VLOOKUP($G:$G,Structure!$A:$AJ,R$1,0)*$H161,0))</f>
        <v>0</v>
      </c>
      <c r="S161" s="9">
        <f>SUM(IFERROR(VLOOKUP($C:$C,Structure!$A:$AJ,S$1,0)*$D161,0),IFERROR(VLOOKUP($E:$E,Structure!$A:$AJ,S$1,0)*$F161,0),IFERROR(VLOOKUP($G:$G,Structure!$A:$AJ,S$1,0)*$H161,0))</f>
        <v>0</v>
      </c>
      <c r="T161" s="9">
        <f>SUM(IFERROR(VLOOKUP($C:$C,Structure!$A:$AJ,T$1,0)*$D161,0),IFERROR(VLOOKUP($E:$E,Structure!$A:$AJ,T$1,0)*$F161,0),IFERROR(VLOOKUP($G:$G,Structure!$A:$AJ,T$1,0)*$H161,0))</f>
        <v>0</v>
      </c>
      <c r="U161" s="9">
        <f>SUM(IFERROR(VLOOKUP($C:$C,Structure!$A:$AJ,U$1,0)*$D161,0),IFERROR(VLOOKUP($E:$E,Structure!$A:$AJ,U$1,0)*$F161,0),IFERROR(VLOOKUP($G:$G,Structure!$A:$AJ,U$1,0)*$H161,0))</f>
        <v>0</v>
      </c>
      <c r="V161" s="9">
        <f>SUM(IFERROR(VLOOKUP($C:$C,Structure!$A:$AJ,V$1,0)*$D161,0),IFERROR(VLOOKUP($E:$E,Structure!$A:$AJ,V$1,0)*$F161,0),IFERROR(VLOOKUP($G:$G,Structure!$A:$AJ,V$1,0)*$H161,0))</f>
        <v>8</v>
      </c>
      <c r="W161" s="9">
        <f>SUM(IFERROR(VLOOKUP($C:$C,Structure!$A:$AJ,W$1,0)*$D161,0),IFERROR(VLOOKUP($E:$E,Structure!$A:$AJ,W$1,0)*$F161,0),IFERROR(VLOOKUP($G:$G,Structure!$A:$AJ,W$1,0)*$H161,0))</f>
        <v>0</v>
      </c>
      <c r="X161" s="9">
        <f>SUM(IFERROR(VLOOKUP($C:$C,Structure!$A:$AJ,X$1,0)*$D161,0),IFERROR(VLOOKUP($E:$E,Structure!$A:$AJ,X$1,0)*$F161,0),IFERROR(VLOOKUP($G:$G,Structure!$A:$AJ,X$1,0)*$H161,0))</f>
        <v>0</v>
      </c>
      <c r="Y161" s="9">
        <f>SUM(IFERROR(VLOOKUP($C:$C,Structure!$A:$AJ,Y$1,0)*$D161,0),IFERROR(VLOOKUP($E:$E,Structure!$A:$AJ,Y$1,0)*$F161,0),IFERROR(VLOOKUP($G:$G,Structure!$A:$AJ,Y$1,0)*$H161,0))</f>
        <v>0</v>
      </c>
      <c r="Z161" s="9">
        <f>SUM(IFERROR(VLOOKUP($C:$C,Structure!$A:$AJ,Z$1,0)*$D161,0),IFERROR(VLOOKUP($E:$E,Structure!$A:$AJ,Z$1,0)*$F161,0),IFERROR(VLOOKUP($G:$G,Structure!$A:$AJ,Z$1,0)*$H161,0))</f>
        <v>0</v>
      </c>
      <c r="AA161" s="9">
        <f>SUM(IFERROR(VLOOKUP($C:$C,Structure!$A:$AJ,AA$1,0)*$D161,0),IFERROR(VLOOKUP($E:$E,Structure!$A:$AJ,AA$1,0)*$F161,0),IFERROR(VLOOKUP($G:$G,Structure!$A:$AJ,AA$1,0)*$H161,0))</f>
        <v>0</v>
      </c>
      <c r="AB161" s="9">
        <f>SUM(IFERROR(VLOOKUP($C:$C,Structure!$A:$AJ,AB$1,0)*$D161,0),IFERROR(VLOOKUP($E:$E,Structure!$A:$AJ,AB$1,0)*$F161,0),IFERROR(VLOOKUP($G:$G,Structure!$A:$AJ,AB$1,0)*$H161,0))</f>
        <v>0</v>
      </c>
      <c r="AC161" s="9">
        <f>SUM(IFERROR(VLOOKUP($C:$C,Structure!$A:$AJ,AC$1,0)*$D161,0),IFERROR(VLOOKUP($E:$E,Structure!$A:$AJ,AC$1,0)*$F161,0),IFERROR(VLOOKUP($G:$G,Structure!$A:$AJ,AC$1,0)*$H161,0))</f>
        <v>8</v>
      </c>
      <c r="AD161" s="9">
        <f>SUM(IFERROR(VLOOKUP($C:$C,Structure!$A:$AJ,AD$1,0)*$D161,0),IFERROR(VLOOKUP($E:$E,Structure!$A:$AJ,AD$1,0)*$F161,0),IFERROR(VLOOKUP($G:$G,Structure!$A:$AJ,AD$1,0)*$H161,0))</f>
        <v>0</v>
      </c>
      <c r="AE161" s="9">
        <f>SUM(IFERROR(VLOOKUP($C:$C,Structure!$A:$AJ,AE$1,0)*$D161,0),IFERROR(VLOOKUP($E:$E,Structure!$A:$AJ,AE$1,0)*$F161,0),IFERROR(VLOOKUP($G:$G,Structure!$A:$AJ,AE$1,0)*$H161,0))</f>
        <v>0</v>
      </c>
      <c r="AF161" s="9">
        <f>SUM(IFERROR(VLOOKUP($C:$C,Structure!$A:$AJ,AF$1,0)*$D161,0),IFERROR(VLOOKUP($E:$E,Structure!$A:$AJ,AF$1,0)*$F161,0),IFERROR(VLOOKUP($G:$G,Structure!$A:$AJ,AF$1,0)*$H161,0))</f>
        <v>0</v>
      </c>
      <c r="AG161" s="9">
        <f>SUM(IFERROR(VLOOKUP($C:$C,Structure!$A:$AJ,AG$1,0)*$D161,0),IFERROR(VLOOKUP($E:$E,Structure!$A:$AJ,AG$1,0)*$F161,0),IFERROR(VLOOKUP($G:$G,Structure!$A:$AJ,AG$1,0)*$H161,0))</f>
        <v>0</v>
      </c>
      <c r="AH161" s="9">
        <f>SUM(IFERROR(VLOOKUP($C:$C,Structure!$A:$AJ,AH$1,0)*$D161,0),IFERROR(VLOOKUP($E:$E,Structure!$A:$AJ,AH$1,0)*$F161,0),IFERROR(VLOOKUP($G:$G,Structure!$A:$AJ,AH$1,0)*$H161,0))</f>
        <v>0</v>
      </c>
      <c r="AI161" s="9">
        <f>SUM(IFERROR(VLOOKUP($C:$C,Structure!$A:$AJ,AI$1,0)*$D161,0),IFERROR(VLOOKUP($E:$E,Structure!$A:$AJ,AI$1,0)*$F161,0),IFERROR(VLOOKUP($G:$G,Structure!$A:$AJ,AI$1,0)*$H161,0))</f>
        <v>0</v>
      </c>
      <c r="AJ161" s="9">
        <f>SUM(IFERROR(VLOOKUP($C:$C,Structure!$A:$AJ,AJ$1,0)*$D161,0),IFERROR(VLOOKUP($E:$E,Structure!$A:$AJ,AJ$1,0)*$F161,0),IFERROR(VLOOKUP($G:$G,Structure!$A:$AJ,AJ$1,0)*$H161,0))</f>
        <v>0</v>
      </c>
      <c r="AK161" s="9">
        <f>SUM(IFERROR(VLOOKUP($C:$C,Structure!$A:$AJ,AK$1,0)*$D161,0),IFERROR(VLOOKUP($E:$E,Structure!$A:$AJ,AK$1,0)*$F161,0),IFERROR(VLOOKUP($G:$G,Structure!$A:$AJ,AK$1,0)*$H161,0))</f>
        <v>0</v>
      </c>
      <c r="AL161" s="9">
        <f>SUM(IFERROR(VLOOKUP($C:$C,Structure!$A:$AJ,AL$1,0)*$D161,0),IFERROR(VLOOKUP($E:$E,Structure!$A:$AJ,AL$1,0)*$F161,0),IFERROR(VLOOKUP($G:$G,Structure!$A:$AJ,AL$1,0)*$H161,0))</f>
        <v>0</v>
      </c>
      <c r="AM161" s="9">
        <f>SUM(IFERROR(VLOOKUP($C:$C,Structure!$A:$AJ,AM$1,0)*$D161,0),IFERROR(VLOOKUP($E:$E,Structure!$A:$AJ,AM$1,0)*$F161,0),IFERROR(VLOOKUP($G:$G,Structure!$A:$AJ,AM$1,0)*$H161,0))</f>
        <v>0</v>
      </c>
      <c r="AN161" s="9">
        <f>SUM(IFERROR(VLOOKUP($C:$C,Structure!$A:$AJ,AN$1,0)*$D161,0),IFERROR(VLOOKUP($E:$E,Structure!$A:$AJ,AN$1,0)*$F161,0),IFERROR(VLOOKUP($G:$G,Structure!$A:$AJ,AN$1,0)*$H161,0))</f>
        <v>0</v>
      </c>
      <c r="AO161" s="9">
        <f>SUM(IFERROR(VLOOKUP($C:$C,Structure!$A:$AJ,AO$1,0)*$D161,0),IFERROR(VLOOKUP($E:$E,Structure!$A:$AJ,AO$1,0)*$F161,0),IFERROR(VLOOKUP($G:$G,Structure!$A:$AJ,AO$1,0)*$H161,0))</f>
        <v>0</v>
      </c>
      <c r="AP161" s="9">
        <f>SUM(IFERROR(VLOOKUP($C:$C,Structure!$A:$AJ,AP$1,0)*$D161,0),IFERROR(VLOOKUP($E:$E,Structure!$A:$AJ,AP$1,0)*$F161,0),IFERROR(VLOOKUP($G:$G,Structure!$A:$AJ,AP$1,0)*$H161,0))</f>
        <v>0</v>
      </c>
      <c r="AQ161" s="9">
        <f>SUM(IFERROR(VLOOKUP($C:$C,Structure!$A:$AJ,AQ$1,0)*$D161,0),IFERROR(VLOOKUP($E:$E,Structure!$A:$AJ,AQ$1,0)*$F161,0),IFERROR(VLOOKUP($G:$G,Structure!$A:$AJ,AQ$1,0)*$H161,0))</f>
        <v>0</v>
      </c>
      <c r="AR161" s="21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4">
        <f t="shared" si="162"/>
        <v>0</v>
      </c>
      <c r="CE161" s="4">
        <f t="shared" si="163"/>
        <v>-84</v>
      </c>
      <c r="CF161" s="4">
        <f t="shared" si="164"/>
        <v>4</v>
      </c>
      <c r="CG161" s="4">
        <f t="shared" si="165"/>
        <v>14</v>
      </c>
      <c r="CH161" s="4">
        <f t="shared" si="166"/>
        <v>-7</v>
      </c>
      <c r="CI161" s="4">
        <f t="shared" si="167"/>
        <v>127</v>
      </c>
      <c r="CJ161" s="4">
        <f t="shared" si="168"/>
        <v>-141</v>
      </c>
      <c r="CK161" s="4">
        <f t="shared" si="169"/>
        <v>95</v>
      </c>
      <c r="CL161" s="4">
        <f t="shared" si="170"/>
        <v>0</v>
      </c>
      <c r="CM161" s="4">
        <f t="shared" si="171"/>
        <v>6</v>
      </c>
      <c r="CN161" s="4">
        <f t="shared" si="172"/>
        <v>-28</v>
      </c>
      <c r="CO161" s="4">
        <f t="shared" si="173"/>
        <v>0</v>
      </c>
      <c r="CP161" s="4">
        <f t="shared" si="174"/>
        <v>69</v>
      </c>
      <c r="CQ161" s="4">
        <f t="shared" si="175"/>
        <v>-334</v>
      </c>
      <c r="CR161" s="4">
        <f t="shared" si="176"/>
        <v>15</v>
      </c>
      <c r="CS161" s="4">
        <f t="shared" si="177"/>
        <v>-24</v>
      </c>
      <c r="CT161" s="4">
        <f t="shared" si="178"/>
        <v>0</v>
      </c>
      <c r="CU161" s="4">
        <f t="shared" si="179"/>
        <v>0</v>
      </c>
      <c r="CV161" s="4">
        <f t="shared" si="180"/>
        <v>0</v>
      </c>
      <c r="CW161" s="4">
        <f t="shared" si="181"/>
        <v>0</v>
      </c>
      <c r="CX161" s="4">
        <f t="shared" si="182"/>
        <v>-325</v>
      </c>
      <c r="CY161" s="4">
        <f t="shared" si="183"/>
        <v>0</v>
      </c>
      <c r="CZ161" s="4">
        <f t="shared" si="184"/>
        <v>0</v>
      </c>
      <c r="DA161" s="4">
        <f t="shared" si="185"/>
        <v>0</v>
      </c>
      <c r="DB161" s="4">
        <f t="shared" si="186"/>
        <v>0</v>
      </c>
      <c r="DC161" s="4">
        <f t="shared" si="187"/>
        <v>0</v>
      </c>
      <c r="DD161" s="4">
        <f t="shared" si="188"/>
        <v>0</v>
      </c>
      <c r="DE161" s="4">
        <f t="shared" si="189"/>
        <v>0</v>
      </c>
      <c r="DF161" s="4">
        <f t="shared" si="190"/>
        <v>0</v>
      </c>
      <c r="DG161" s="4">
        <f t="shared" si="191"/>
        <v>0</v>
      </c>
      <c r="DH161" s="4">
        <f t="shared" si="192"/>
        <v>0</v>
      </c>
      <c r="DI161" s="4">
        <f t="shared" si="193"/>
        <v>0</v>
      </c>
      <c r="DJ161" s="4">
        <f t="shared" si="194"/>
        <v>0</v>
      </c>
      <c r="DK161" s="4">
        <f t="shared" si="195"/>
        <v>0</v>
      </c>
      <c r="DL161" s="4">
        <f t="shared" si="196"/>
        <v>0</v>
      </c>
    </row>
    <row r="162" spans="1:116" x14ac:dyDescent="0.25">
      <c r="A162" s="5">
        <v>46186</v>
      </c>
      <c r="B162" s="6">
        <v>0.62500000038562575</v>
      </c>
      <c r="C162" s="3"/>
      <c r="D162" s="3"/>
      <c r="E162" s="3" t="s">
        <v>30</v>
      </c>
      <c r="F162" s="3">
        <v>8</v>
      </c>
      <c r="G162" s="3"/>
      <c r="H162" s="9"/>
      <c r="I162" s="9">
        <f>SUM(IFERROR(VLOOKUP($C:$C,Structure!$A:$AJ,I$1,0)*$D162,0),IFERROR(VLOOKUP($E:$E,Structure!$A:$AJ,I$1,0)*$F162,0),IFERROR(VLOOKUP($G:$G,Structure!$A:$AJ,I$1,0)*$H162,0))</f>
        <v>0</v>
      </c>
      <c r="J162" s="9">
        <f>SUM(IFERROR(VLOOKUP($C:$C,Structure!$A:$AJ,J$1,0)*$D162,0),IFERROR(VLOOKUP($E:$E,Structure!$A:$AJ,J$1,0)*$F162,0),IFERROR(VLOOKUP($G:$G,Structure!$A:$AJ,J$1,0)*$H162,0))</f>
        <v>0</v>
      </c>
      <c r="K162" s="9">
        <f>SUM(IFERROR(VLOOKUP($C:$C,Structure!$A:$AJ,K$1,0)*$D162,0),IFERROR(VLOOKUP($E:$E,Structure!$A:$AJ,K$1,0)*$F162,0),IFERROR(VLOOKUP($G:$G,Structure!$A:$AJ,K$1,0)*$H162,0))</f>
        <v>0</v>
      </c>
      <c r="L162" s="9">
        <f>SUM(IFERROR(VLOOKUP($C:$C,Structure!$A:$AJ,L$1,0)*$D162,0),IFERROR(VLOOKUP($E:$E,Structure!$A:$AJ,L$1,0)*$F162,0),IFERROR(VLOOKUP($G:$G,Structure!$A:$AJ,L$1,0)*$H162,0))</f>
        <v>0</v>
      </c>
      <c r="M162" s="9">
        <f>SUM(IFERROR(VLOOKUP($C:$C,Structure!$A:$AJ,M$1,0)*$D162,0),IFERROR(VLOOKUP($E:$E,Structure!$A:$AJ,M$1,0)*$F162,0),IFERROR(VLOOKUP($G:$G,Structure!$A:$AJ,M$1,0)*$H162,0))</f>
        <v>0</v>
      </c>
      <c r="N162" s="9">
        <f>SUM(IFERROR(VLOOKUP($C:$C,Structure!$A:$AJ,N$1,0)*$D162,0),IFERROR(VLOOKUP($E:$E,Structure!$A:$AJ,N$1,0)*$F162,0),IFERROR(VLOOKUP($G:$G,Structure!$A:$AJ,N$1,0)*$H162,0))</f>
        <v>0</v>
      </c>
      <c r="O162" s="9">
        <f>SUM(IFERROR(VLOOKUP($C:$C,Structure!$A:$AJ,O$1,0)*$D162,0),IFERROR(VLOOKUP($E:$E,Structure!$A:$AJ,O$1,0)*$F162,0),IFERROR(VLOOKUP($G:$G,Structure!$A:$AJ,O$1,0)*$H162,0))</f>
        <v>0</v>
      </c>
      <c r="P162" s="9">
        <f>SUM(IFERROR(VLOOKUP($C:$C,Structure!$A:$AJ,P$1,0)*$D162,0),IFERROR(VLOOKUP($E:$E,Structure!$A:$AJ,P$1,0)*$F162,0),IFERROR(VLOOKUP($G:$G,Structure!$A:$AJ,P$1,0)*$H162,0))</f>
        <v>0</v>
      </c>
      <c r="Q162" s="9">
        <f>SUM(IFERROR(VLOOKUP($C:$C,Structure!$A:$AJ,Q$1,0)*$D162,0),IFERROR(VLOOKUP($E:$E,Structure!$A:$AJ,Q$1,0)*$F162,0),IFERROR(VLOOKUP($G:$G,Structure!$A:$AJ,Q$1,0)*$H162,0))</f>
        <v>0</v>
      </c>
      <c r="R162" s="9">
        <f>SUM(IFERROR(VLOOKUP($C:$C,Structure!$A:$AJ,R$1,0)*$D162,0),IFERROR(VLOOKUP($E:$E,Structure!$A:$AJ,R$1,0)*$F162,0),IFERROR(VLOOKUP($G:$G,Structure!$A:$AJ,R$1,0)*$H162,0))</f>
        <v>0</v>
      </c>
      <c r="S162" s="9">
        <f>SUM(IFERROR(VLOOKUP($C:$C,Structure!$A:$AJ,S$1,0)*$D162,0),IFERROR(VLOOKUP($E:$E,Structure!$A:$AJ,S$1,0)*$F162,0),IFERROR(VLOOKUP($G:$G,Structure!$A:$AJ,S$1,0)*$H162,0))</f>
        <v>0</v>
      </c>
      <c r="T162" s="9">
        <f>SUM(IFERROR(VLOOKUP($C:$C,Structure!$A:$AJ,T$1,0)*$D162,0),IFERROR(VLOOKUP($E:$E,Structure!$A:$AJ,T$1,0)*$F162,0),IFERROR(VLOOKUP($G:$G,Structure!$A:$AJ,T$1,0)*$H162,0))</f>
        <v>0</v>
      </c>
      <c r="U162" s="9">
        <f>SUM(IFERROR(VLOOKUP($C:$C,Structure!$A:$AJ,U$1,0)*$D162,0),IFERROR(VLOOKUP($E:$E,Structure!$A:$AJ,U$1,0)*$F162,0),IFERROR(VLOOKUP($G:$G,Structure!$A:$AJ,U$1,0)*$H162,0))</f>
        <v>0</v>
      </c>
      <c r="V162" s="9">
        <f>SUM(IFERROR(VLOOKUP($C:$C,Structure!$A:$AJ,V$1,0)*$D162,0),IFERROR(VLOOKUP($E:$E,Structure!$A:$AJ,V$1,0)*$F162,0),IFERROR(VLOOKUP($G:$G,Structure!$A:$AJ,V$1,0)*$H162,0))</f>
        <v>8</v>
      </c>
      <c r="W162" s="9">
        <f>SUM(IFERROR(VLOOKUP($C:$C,Structure!$A:$AJ,W$1,0)*$D162,0),IFERROR(VLOOKUP($E:$E,Structure!$A:$AJ,W$1,0)*$F162,0),IFERROR(VLOOKUP($G:$G,Structure!$A:$AJ,W$1,0)*$H162,0))</f>
        <v>0</v>
      </c>
      <c r="X162" s="9">
        <f>SUM(IFERROR(VLOOKUP($C:$C,Structure!$A:$AJ,X$1,0)*$D162,0),IFERROR(VLOOKUP($E:$E,Structure!$A:$AJ,X$1,0)*$F162,0),IFERROR(VLOOKUP($G:$G,Structure!$A:$AJ,X$1,0)*$H162,0))</f>
        <v>0</v>
      </c>
      <c r="Y162" s="9">
        <f>SUM(IFERROR(VLOOKUP($C:$C,Structure!$A:$AJ,Y$1,0)*$D162,0),IFERROR(VLOOKUP($E:$E,Structure!$A:$AJ,Y$1,0)*$F162,0),IFERROR(VLOOKUP($G:$G,Structure!$A:$AJ,Y$1,0)*$H162,0))</f>
        <v>0</v>
      </c>
      <c r="Z162" s="9">
        <f>SUM(IFERROR(VLOOKUP($C:$C,Structure!$A:$AJ,Z$1,0)*$D162,0),IFERROR(VLOOKUP($E:$E,Structure!$A:$AJ,Z$1,0)*$F162,0),IFERROR(VLOOKUP($G:$G,Structure!$A:$AJ,Z$1,0)*$H162,0))</f>
        <v>0</v>
      </c>
      <c r="AA162" s="9">
        <f>SUM(IFERROR(VLOOKUP($C:$C,Structure!$A:$AJ,AA$1,0)*$D162,0),IFERROR(VLOOKUP($E:$E,Structure!$A:$AJ,AA$1,0)*$F162,0),IFERROR(VLOOKUP($G:$G,Structure!$A:$AJ,AA$1,0)*$H162,0))</f>
        <v>0</v>
      </c>
      <c r="AB162" s="9">
        <f>SUM(IFERROR(VLOOKUP($C:$C,Structure!$A:$AJ,AB$1,0)*$D162,0),IFERROR(VLOOKUP($E:$E,Structure!$A:$AJ,AB$1,0)*$F162,0),IFERROR(VLOOKUP($G:$G,Structure!$A:$AJ,AB$1,0)*$H162,0))</f>
        <v>0</v>
      </c>
      <c r="AC162" s="9">
        <f>SUM(IFERROR(VLOOKUP($C:$C,Structure!$A:$AJ,AC$1,0)*$D162,0),IFERROR(VLOOKUP($E:$E,Structure!$A:$AJ,AC$1,0)*$F162,0),IFERROR(VLOOKUP($G:$G,Structure!$A:$AJ,AC$1,0)*$H162,0))</f>
        <v>8</v>
      </c>
      <c r="AD162" s="9">
        <f>SUM(IFERROR(VLOOKUP($C:$C,Structure!$A:$AJ,AD$1,0)*$D162,0),IFERROR(VLOOKUP($E:$E,Structure!$A:$AJ,AD$1,0)*$F162,0),IFERROR(VLOOKUP($G:$G,Structure!$A:$AJ,AD$1,0)*$H162,0))</f>
        <v>0</v>
      </c>
      <c r="AE162" s="9">
        <f>SUM(IFERROR(VLOOKUP($C:$C,Structure!$A:$AJ,AE$1,0)*$D162,0),IFERROR(VLOOKUP($E:$E,Structure!$A:$AJ,AE$1,0)*$F162,0),IFERROR(VLOOKUP($G:$G,Structure!$A:$AJ,AE$1,0)*$H162,0))</f>
        <v>0</v>
      </c>
      <c r="AF162" s="9">
        <f>SUM(IFERROR(VLOOKUP($C:$C,Structure!$A:$AJ,AF$1,0)*$D162,0),IFERROR(VLOOKUP($E:$E,Structure!$A:$AJ,AF$1,0)*$F162,0),IFERROR(VLOOKUP($G:$G,Structure!$A:$AJ,AF$1,0)*$H162,0))</f>
        <v>0</v>
      </c>
      <c r="AG162" s="9">
        <f>SUM(IFERROR(VLOOKUP($C:$C,Structure!$A:$AJ,AG$1,0)*$D162,0),IFERROR(VLOOKUP($E:$E,Structure!$A:$AJ,AG$1,0)*$F162,0),IFERROR(VLOOKUP($G:$G,Structure!$A:$AJ,AG$1,0)*$H162,0))</f>
        <v>0</v>
      </c>
      <c r="AH162" s="9">
        <f>SUM(IFERROR(VLOOKUP($C:$C,Structure!$A:$AJ,AH$1,0)*$D162,0),IFERROR(VLOOKUP($E:$E,Structure!$A:$AJ,AH$1,0)*$F162,0),IFERROR(VLOOKUP($G:$G,Structure!$A:$AJ,AH$1,0)*$H162,0))</f>
        <v>0</v>
      </c>
      <c r="AI162" s="9">
        <f>SUM(IFERROR(VLOOKUP($C:$C,Structure!$A:$AJ,AI$1,0)*$D162,0),IFERROR(VLOOKUP($E:$E,Structure!$A:$AJ,AI$1,0)*$F162,0),IFERROR(VLOOKUP($G:$G,Structure!$A:$AJ,AI$1,0)*$H162,0))</f>
        <v>0</v>
      </c>
      <c r="AJ162" s="9">
        <f>SUM(IFERROR(VLOOKUP($C:$C,Structure!$A:$AJ,AJ$1,0)*$D162,0),IFERROR(VLOOKUP($E:$E,Structure!$A:$AJ,AJ$1,0)*$F162,0),IFERROR(VLOOKUP($G:$G,Structure!$A:$AJ,AJ$1,0)*$H162,0))</f>
        <v>0</v>
      </c>
      <c r="AK162" s="9">
        <f>SUM(IFERROR(VLOOKUP($C:$C,Structure!$A:$AJ,AK$1,0)*$D162,0),IFERROR(VLOOKUP($E:$E,Structure!$A:$AJ,AK$1,0)*$F162,0),IFERROR(VLOOKUP($G:$G,Structure!$A:$AJ,AK$1,0)*$H162,0))</f>
        <v>0</v>
      </c>
      <c r="AL162" s="9">
        <f>SUM(IFERROR(VLOOKUP($C:$C,Structure!$A:$AJ,AL$1,0)*$D162,0),IFERROR(VLOOKUP($E:$E,Structure!$A:$AJ,AL$1,0)*$F162,0),IFERROR(VLOOKUP($G:$G,Structure!$A:$AJ,AL$1,0)*$H162,0))</f>
        <v>0</v>
      </c>
      <c r="AM162" s="9">
        <f>SUM(IFERROR(VLOOKUP($C:$C,Structure!$A:$AJ,AM$1,0)*$D162,0),IFERROR(VLOOKUP($E:$E,Structure!$A:$AJ,AM$1,0)*$F162,0),IFERROR(VLOOKUP($G:$G,Structure!$A:$AJ,AM$1,0)*$H162,0))</f>
        <v>0</v>
      </c>
      <c r="AN162" s="9">
        <f>SUM(IFERROR(VLOOKUP($C:$C,Structure!$A:$AJ,AN$1,0)*$D162,0),IFERROR(VLOOKUP($E:$E,Structure!$A:$AJ,AN$1,0)*$F162,0),IFERROR(VLOOKUP($G:$G,Structure!$A:$AJ,AN$1,0)*$H162,0))</f>
        <v>0</v>
      </c>
      <c r="AO162" s="9">
        <f>SUM(IFERROR(VLOOKUP($C:$C,Structure!$A:$AJ,AO$1,0)*$D162,0),IFERROR(VLOOKUP($E:$E,Structure!$A:$AJ,AO$1,0)*$F162,0),IFERROR(VLOOKUP($G:$G,Structure!$A:$AJ,AO$1,0)*$H162,0))</f>
        <v>0</v>
      </c>
      <c r="AP162" s="9">
        <f>SUM(IFERROR(VLOOKUP($C:$C,Structure!$A:$AJ,AP$1,0)*$D162,0),IFERROR(VLOOKUP($E:$E,Structure!$A:$AJ,AP$1,0)*$F162,0),IFERROR(VLOOKUP($G:$G,Structure!$A:$AJ,AP$1,0)*$H162,0))</f>
        <v>0</v>
      </c>
      <c r="AQ162" s="9">
        <f>SUM(IFERROR(VLOOKUP($C:$C,Structure!$A:$AJ,AQ$1,0)*$D162,0),IFERROR(VLOOKUP($E:$E,Structure!$A:$AJ,AQ$1,0)*$F162,0),IFERROR(VLOOKUP($G:$G,Structure!$A:$AJ,AQ$1,0)*$H162,0))</f>
        <v>0</v>
      </c>
      <c r="AR162" s="21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4">
        <f t="shared" si="162"/>
        <v>0</v>
      </c>
      <c r="CE162" s="4">
        <f t="shared" si="163"/>
        <v>-84</v>
      </c>
      <c r="CF162" s="4">
        <f t="shared" si="164"/>
        <v>4</v>
      </c>
      <c r="CG162" s="4">
        <f t="shared" si="165"/>
        <v>14</v>
      </c>
      <c r="CH162" s="4">
        <f t="shared" si="166"/>
        <v>-7</v>
      </c>
      <c r="CI162" s="4">
        <f t="shared" si="167"/>
        <v>127</v>
      </c>
      <c r="CJ162" s="4">
        <f t="shared" si="168"/>
        <v>-141</v>
      </c>
      <c r="CK162" s="4">
        <f t="shared" si="169"/>
        <v>95</v>
      </c>
      <c r="CL162" s="4">
        <f t="shared" si="170"/>
        <v>0</v>
      </c>
      <c r="CM162" s="4">
        <f t="shared" si="171"/>
        <v>6</v>
      </c>
      <c r="CN162" s="4">
        <f t="shared" si="172"/>
        <v>-28</v>
      </c>
      <c r="CO162" s="4">
        <f t="shared" si="173"/>
        <v>0</v>
      </c>
      <c r="CP162" s="4">
        <f t="shared" si="174"/>
        <v>69</v>
      </c>
      <c r="CQ162" s="4">
        <f t="shared" si="175"/>
        <v>-342</v>
      </c>
      <c r="CR162" s="4">
        <f t="shared" si="176"/>
        <v>15</v>
      </c>
      <c r="CS162" s="4">
        <f t="shared" si="177"/>
        <v>-24</v>
      </c>
      <c r="CT162" s="4">
        <f t="shared" si="178"/>
        <v>0</v>
      </c>
      <c r="CU162" s="4">
        <f t="shared" si="179"/>
        <v>0</v>
      </c>
      <c r="CV162" s="4">
        <f t="shared" si="180"/>
        <v>0</v>
      </c>
      <c r="CW162" s="4">
        <f t="shared" si="181"/>
        <v>0</v>
      </c>
      <c r="CX162" s="4">
        <f t="shared" si="182"/>
        <v>-333</v>
      </c>
      <c r="CY162" s="4">
        <f t="shared" si="183"/>
        <v>0</v>
      </c>
      <c r="CZ162" s="4">
        <f t="shared" si="184"/>
        <v>0</v>
      </c>
      <c r="DA162" s="4">
        <f t="shared" si="185"/>
        <v>0</v>
      </c>
      <c r="DB162" s="4">
        <f t="shared" si="186"/>
        <v>0</v>
      </c>
      <c r="DC162" s="4">
        <f t="shared" si="187"/>
        <v>0</v>
      </c>
      <c r="DD162" s="4">
        <f t="shared" si="188"/>
        <v>0</v>
      </c>
      <c r="DE162" s="4">
        <f t="shared" si="189"/>
        <v>0</v>
      </c>
      <c r="DF162" s="4">
        <f t="shared" si="190"/>
        <v>0</v>
      </c>
      <c r="DG162" s="4">
        <f t="shared" si="191"/>
        <v>0</v>
      </c>
      <c r="DH162" s="4">
        <f t="shared" si="192"/>
        <v>0</v>
      </c>
      <c r="DI162" s="4">
        <f t="shared" si="193"/>
        <v>0</v>
      </c>
      <c r="DJ162" s="4">
        <f t="shared" si="194"/>
        <v>0</v>
      </c>
      <c r="DK162" s="4">
        <f t="shared" si="195"/>
        <v>0</v>
      </c>
      <c r="DL162" s="4">
        <f t="shared" si="196"/>
        <v>0</v>
      </c>
    </row>
    <row r="163" spans="1:116" x14ac:dyDescent="0.25">
      <c r="A163" s="5">
        <v>46186</v>
      </c>
      <c r="B163" s="6">
        <v>0.64583333372138441</v>
      </c>
      <c r="C163" s="3"/>
      <c r="D163" s="3"/>
      <c r="E163" s="3" t="s">
        <v>30</v>
      </c>
      <c r="F163" s="3">
        <v>8</v>
      </c>
      <c r="G163" s="3"/>
      <c r="H163" s="9"/>
      <c r="I163" s="9">
        <f>SUM(IFERROR(VLOOKUP($C:$C,Structure!$A:$AJ,I$1,0)*$D163,0),IFERROR(VLOOKUP($E:$E,Structure!$A:$AJ,I$1,0)*$F163,0),IFERROR(VLOOKUP($G:$G,Structure!$A:$AJ,I$1,0)*$H163,0))</f>
        <v>0</v>
      </c>
      <c r="J163" s="9">
        <f>SUM(IFERROR(VLOOKUP($C:$C,Structure!$A:$AJ,J$1,0)*$D163,0),IFERROR(VLOOKUP($E:$E,Structure!$A:$AJ,J$1,0)*$F163,0),IFERROR(VLOOKUP($G:$G,Structure!$A:$AJ,J$1,0)*$H163,0))</f>
        <v>0</v>
      </c>
      <c r="K163" s="9">
        <f>SUM(IFERROR(VLOOKUP($C:$C,Structure!$A:$AJ,K$1,0)*$D163,0),IFERROR(VLOOKUP($E:$E,Structure!$A:$AJ,K$1,0)*$F163,0),IFERROR(VLOOKUP($G:$G,Structure!$A:$AJ,K$1,0)*$H163,0))</f>
        <v>0</v>
      </c>
      <c r="L163" s="9">
        <f>SUM(IFERROR(VLOOKUP($C:$C,Structure!$A:$AJ,L$1,0)*$D163,0),IFERROR(VLOOKUP($E:$E,Structure!$A:$AJ,L$1,0)*$F163,0),IFERROR(VLOOKUP($G:$G,Structure!$A:$AJ,L$1,0)*$H163,0))</f>
        <v>0</v>
      </c>
      <c r="M163" s="9">
        <f>SUM(IFERROR(VLOOKUP($C:$C,Structure!$A:$AJ,M$1,0)*$D163,0),IFERROR(VLOOKUP($E:$E,Structure!$A:$AJ,M$1,0)*$F163,0),IFERROR(VLOOKUP($G:$G,Structure!$A:$AJ,M$1,0)*$H163,0))</f>
        <v>0</v>
      </c>
      <c r="N163" s="9">
        <f>SUM(IFERROR(VLOOKUP($C:$C,Structure!$A:$AJ,N$1,0)*$D163,0),IFERROR(VLOOKUP($E:$E,Structure!$A:$AJ,N$1,0)*$F163,0),IFERROR(VLOOKUP($G:$G,Structure!$A:$AJ,N$1,0)*$H163,0))</f>
        <v>0</v>
      </c>
      <c r="O163" s="9">
        <f>SUM(IFERROR(VLOOKUP($C:$C,Structure!$A:$AJ,O$1,0)*$D163,0),IFERROR(VLOOKUP($E:$E,Structure!$A:$AJ,O$1,0)*$F163,0),IFERROR(VLOOKUP($G:$G,Structure!$A:$AJ,O$1,0)*$H163,0))</f>
        <v>0</v>
      </c>
      <c r="P163" s="9">
        <f>SUM(IFERROR(VLOOKUP($C:$C,Structure!$A:$AJ,P$1,0)*$D163,0),IFERROR(VLOOKUP($E:$E,Structure!$A:$AJ,P$1,0)*$F163,0),IFERROR(VLOOKUP($G:$G,Structure!$A:$AJ,P$1,0)*$H163,0))</f>
        <v>0</v>
      </c>
      <c r="Q163" s="9">
        <f>SUM(IFERROR(VLOOKUP($C:$C,Structure!$A:$AJ,Q$1,0)*$D163,0),IFERROR(VLOOKUP($E:$E,Structure!$A:$AJ,Q$1,0)*$F163,0),IFERROR(VLOOKUP($G:$G,Structure!$A:$AJ,Q$1,0)*$H163,0))</f>
        <v>0</v>
      </c>
      <c r="R163" s="9">
        <f>SUM(IFERROR(VLOOKUP($C:$C,Structure!$A:$AJ,R$1,0)*$D163,0),IFERROR(VLOOKUP($E:$E,Structure!$A:$AJ,R$1,0)*$F163,0),IFERROR(VLOOKUP($G:$G,Structure!$A:$AJ,R$1,0)*$H163,0))</f>
        <v>0</v>
      </c>
      <c r="S163" s="9">
        <f>SUM(IFERROR(VLOOKUP($C:$C,Structure!$A:$AJ,S$1,0)*$D163,0),IFERROR(VLOOKUP($E:$E,Structure!$A:$AJ,S$1,0)*$F163,0),IFERROR(VLOOKUP($G:$G,Structure!$A:$AJ,S$1,0)*$H163,0))</f>
        <v>0</v>
      </c>
      <c r="T163" s="9">
        <f>SUM(IFERROR(VLOOKUP($C:$C,Structure!$A:$AJ,T$1,0)*$D163,0),IFERROR(VLOOKUP($E:$E,Structure!$A:$AJ,T$1,0)*$F163,0),IFERROR(VLOOKUP($G:$G,Structure!$A:$AJ,T$1,0)*$H163,0))</f>
        <v>0</v>
      </c>
      <c r="U163" s="9">
        <f>SUM(IFERROR(VLOOKUP($C:$C,Structure!$A:$AJ,U$1,0)*$D163,0),IFERROR(VLOOKUP($E:$E,Structure!$A:$AJ,U$1,0)*$F163,0),IFERROR(VLOOKUP($G:$G,Structure!$A:$AJ,U$1,0)*$H163,0))</f>
        <v>0</v>
      </c>
      <c r="V163" s="9">
        <f>SUM(IFERROR(VLOOKUP($C:$C,Structure!$A:$AJ,V$1,0)*$D163,0),IFERROR(VLOOKUP($E:$E,Structure!$A:$AJ,V$1,0)*$F163,0),IFERROR(VLOOKUP($G:$G,Structure!$A:$AJ,V$1,0)*$H163,0))</f>
        <v>8</v>
      </c>
      <c r="W163" s="9">
        <f>SUM(IFERROR(VLOOKUP($C:$C,Structure!$A:$AJ,W$1,0)*$D163,0),IFERROR(VLOOKUP($E:$E,Structure!$A:$AJ,W$1,0)*$F163,0),IFERROR(VLOOKUP($G:$G,Structure!$A:$AJ,W$1,0)*$H163,0))</f>
        <v>0</v>
      </c>
      <c r="X163" s="9">
        <f>SUM(IFERROR(VLOOKUP($C:$C,Structure!$A:$AJ,X$1,0)*$D163,0),IFERROR(VLOOKUP($E:$E,Structure!$A:$AJ,X$1,0)*$F163,0),IFERROR(VLOOKUP($G:$G,Structure!$A:$AJ,X$1,0)*$H163,0))</f>
        <v>0</v>
      </c>
      <c r="Y163" s="9">
        <f>SUM(IFERROR(VLOOKUP($C:$C,Structure!$A:$AJ,Y$1,0)*$D163,0),IFERROR(VLOOKUP($E:$E,Structure!$A:$AJ,Y$1,0)*$F163,0),IFERROR(VLOOKUP($G:$G,Structure!$A:$AJ,Y$1,0)*$H163,0))</f>
        <v>0</v>
      </c>
      <c r="Z163" s="9">
        <f>SUM(IFERROR(VLOOKUP($C:$C,Structure!$A:$AJ,Z$1,0)*$D163,0),IFERROR(VLOOKUP($E:$E,Structure!$A:$AJ,Z$1,0)*$F163,0),IFERROR(VLOOKUP($G:$G,Structure!$A:$AJ,Z$1,0)*$H163,0))</f>
        <v>0</v>
      </c>
      <c r="AA163" s="9">
        <f>SUM(IFERROR(VLOOKUP($C:$C,Structure!$A:$AJ,AA$1,0)*$D163,0),IFERROR(VLOOKUP($E:$E,Structure!$A:$AJ,AA$1,0)*$F163,0),IFERROR(VLOOKUP($G:$G,Structure!$A:$AJ,AA$1,0)*$H163,0))</f>
        <v>0</v>
      </c>
      <c r="AB163" s="9">
        <f>SUM(IFERROR(VLOOKUP($C:$C,Structure!$A:$AJ,AB$1,0)*$D163,0),IFERROR(VLOOKUP($E:$E,Structure!$A:$AJ,AB$1,0)*$F163,0),IFERROR(VLOOKUP($G:$G,Structure!$A:$AJ,AB$1,0)*$H163,0))</f>
        <v>0</v>
      </c>
      <c r="AC163" s="9">
        <f>SUM(IFERROR(VLOOKUP($C:$C,Structure!$A:$AJ,AC$1,0)*$D163,0),IFERROR(VLOOKUP($E:$E,Structure!$A:$AJ,AC$1,0)*$F163,0),IFERROR(VLOOKUP($G:$G,Structure!$A:$AJ,AC$1,0)*$H163,0))</f>
        <v>8</v>
      </c>
      <c r="AD163" s="9">
        <f>SUM(IFERROR(VLOOKUP($C:$C,Structure!$A:$AJ,AD$1,0)*$D163,0),IFERROR(VLOOKUP($E:$E,Structure!$A:$AJ,AD$1,0)*$F163,0),IFERROR(VLOOKUP($G:$G,Structure!$A:$AJ,AD$1,0)*$H163,0))</f>
        <v>0</v>
      </c>
      <c r="AE163" s="9">
        <f>SUM(IFERROR(VLOOKUP($C:$C,Structure!$A:$AJ,AE$1,0)*$D163,0),IFERROR(VLOOKUP($E:$E,Structure!$A:$AJ,AE$1,0)*$F163,0),IFERROR(VLOOKUP($G:$G,Structure!$A:$AJ,AE$1,0)*$H163,0))</f>
        <v>0</v>
      </c>
      <c r="AF163" s="9">
        <f>SUM(IFERROR(VLOOKUP($C:$C,Structure!$A:$AJ,AF$1,0)*$D163,0),IFERROR(VLOOKUP($E:$E,Structure!$A:$AJ,AF$1,0)*$F163,0),IFERROR(VLOOKUP($G:$G,Structure!$A:$AJ,AF$1,0)*$H163,0))</f>
        <v>0</v>
      </c>
      <c r="AG163" s="9">
        <f>SUM(IFERROR(VLOOKUP($C:$C,Structure!$A:$AJ,AG$1,0)*$D163,0),IFERROR(VLOOKUP($E:$E,Structure!$A:$AJ,AG$1,0)*$F163,0),IFERROR(VLOOKUP($G:$G,Structure!$A:$AJ,AG$1,0)*$H163,0))</f>
        <v>0</v>
      </c>
      <c r="AH163" s="9">
        <f>SUM(IFERROR(VLOOKUP($C:$C,Structure!$A:$AJ,AH$1,0)*$D163,0),IFERROR(VLOOKUP($E:$E,Structure!$A:$AJ,AH$1,0)*$F163,0),IFERROR(VLOOKUP($G:$G,Structure!$A:$AJ,AH$1,0)*$H163,0))</f>
        <v>0</v>
      </c>
      <c r="AI163" s="9">
        <f>SUM(IFERROR(VLOOKUP($C:$C,Structure!$A:$AJ,AI$1,0)*$D163,0),IFERROR(VLOOKUP($E:$E,Structure!$A:$AJ,AI$1,0)*$F163,0),IFERROR(VLOOKUP($G:$G,Structure!$A:$AJ,AI$1,0)*$H163,0))</f>
        <v>0</v>
      </c>
      <c r="AJ163" s="9">
        <f>SUM(IFERROR(VLOOKUP($C:$C,Structure!$A:$AJ,AJ$1,0)*$D163,0),IFERROR(VLOOKUP($E:$E,Structure!$A:$AJ,AJ$1,0)*$F163,0),IFERROR(VLOOKUP($G:$G,Structure!$A:$AJ,AJ$1,0)*$H163,0))</f>
        <v>0</v>
      </c>
      <c r="AK163" s="9">
        <f>SUM(IFERROR(VLOOKUP($C:$C,Structure!$A:$AJ,AK$1,0)*$D163,0),IFERROR(VLOOKUP($E:$E,Structure!$A:$AJ,AK$1,0)*$F163,0),IFERROR(VLOOKUP($G:$G,Structure!$A:$AJ,AK$1,0)*$H163,0))</f>
        <v>0</v>
      </c>
      <c r="AL163" s="9">
        <f>SUM(IFERROR(VLOOKUP($C:$C,Structure!$A:$AJ,AL$1,0)*$D163,0),IFERROR(VLOOKUP($E:$E,Structure!$A:$AJ,AL$1,0)*$F163,0),IFERROR(VLOOKUP($G:$G,Structure!$A:$AJ,AL$1,0)*$H163,0))</f>
        <v>0</v>
      </c>
      <c r="AM163" s="9">
        <f>SUM(IFERROR(VLOOKUP($C:$C,Structure!$A:$AJ,AM$1,0)*$D163,0),IFERROR(VLOOKUP($E:$E,Structure!$A:$AJ,AM$1,0)*$F163,0),IFERROR(VLOOKUP($G:$G,Structure!$A:$AJ,AM$1,0)*$H163,0))</f>
        <v>0</v>
      </c>
      <c r="AN163" s="9">
        <f>SUM(IFERROR(VLOOKUP($C:$C,Structure!$A:$AJ,AN$1,0)*$D163,0),IFERROR(VLOOKUP($E:$E,Structure!$A:$AJ,AN$1,0)*$F163,0),IFERROR(VLOOKUP($G:$G,Structure!$A:$AJ,AN$1,0)*$H163,0))</f>
        <v>0</v>
      </c>
      <c r="AO163" s="9">
        <f>SUM(IFERROR(VLOOKUP($C:$C,Structure!$A:$AJ,AO$1,0)*$D163,0),IFERROR(VLOOKUP($E:$E,Structure!$A:$AJ,AO$1,0)*$F163,0),IFERROR(VLOOKUP($G:$G,Structure!$A:$AJ,AO$1,0)*$H163,0))</f>
        <v>0</v>
      </c>
      <c r="AP163" s="9">
        <f>SUM(IFERROR(VLOOKUP($C:$C,Structure!$A:$AJ,AP$1,0)*$D163,0),IFERROR(VLOOKUP($E:$E,Structure!$A:$AJ,AP$1,0)*$F163,0),IFERROR(VLOOKUP($G:$G,Structure!$A:$AJ,AP$1,0)*$H163,0))</f>
        <v>0</v>
      </c>
      <c r="AQ163" s="9">
        <f>SUM(IFERROR(VLOOKUP($C:$C,Structure!$A:$AJ,AQ$1,0)*$D163,0),IFERROR(VLOOKUP($E:$E,Structure!$A:$AJ,AQ$1,0)*$F163,0),IFERROR(VLOOKUP($G:$G,Structure!$A:$AJ,AQ$1,0)*$H163,0))</f>
        <v>0</v>
      </c>
      <c r="AR163" s="21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4">
        <f t="shared" si="162"/>
        <v>0</v>
      </c>
      <c r="CE163" s="4">
        <f t="shared" si="163"/>
        <v>-84</v>
      </c>
      <c r="CF163" s="4">
        <f t="shared" si="164"/>
        <v>4</v>
      </c>
      <c r="CG163" s="4">
        <f t="shared" si="165"/>
        <v>14</v>
      </c>
      <c r="CH163" s="4">
        <f t="shared" si="166"/>
        <v>-7</v>
      </c>
      <c r="CI163" s="4">
        <f t="shared" si="167"/>
        <v>127</v>
      </c>
      <c r="CJ163" s="4">
        <f t="shared" si="168"/>
        <v>-141</v>
      </c>
      <c r="CK163" s="4">
        <f t="shared" si="169"/>
        <v>95</v>
      </c>
      <c r="CL163" s="4">
        <f t="shared" si="170"/>
        <v>0</v>
      </c>
      <c r="CM163" s="4">
        <f t="shared" si="171"/>
        <v>6</v>
      </c>
      <c r="CN163" s="4">
        <f t="shared" si="172"/>
        <v>-28</v>
      </c>
      <c r="CO163" s="4">
        <f t="shared" si="173"/>
        <v>0</v>
      </c>
      <c r="CP163" s="4">
        <f t="shared" si="174"/>
        <v>69</v>
      </c>
      <c r="CQ163" s="4">
        <f t="shared" si="175"/>
        <v>-350</v>
      </c>
      <c r="CR163" s="4">
        <f t="shared" si="176"/>
        <v>15</v>
      </c>
      <c r="CS163" s="4">
        <f t="shared" si="177"/>
        <v>-24</v>
      </c>
      <c r="CT163" s="4">
        <f t="shared" si="178"/>
        <v>0</v>
      </c>
      <c r="CU163" s="4">
        <f t="shared" si="179"/>
        <v>0</v>
      </c>
      <c r="CV163" s="4">
        <f t="shared" si="180"/>
        <v>0</v>
      </c>
      <c r="CW163" s="4">
        <f t="shared" si="181"/>
        <v>0</v>
      </c>
      <c r="CX163" s="4">
        <f t="shared" si="182"/>
        <v>-341</v>
      </c>
      <c r="CY163" s="4">
        <f t="shared" si="183"/>
        <v>0</v>
      </c>
      <c r="CZ163" s="4">
        <f t="shared" si="184"/>
        <v>0</v>
      </c>
      <c r="DA163" s="4">
        <f t="shared" si="185"/>
        <v>0</v>
      </c>
      <c r="DB163" s="4">
        <f t="shared" si="186"/>
        <v>0</v>
      </c>
      <c r="DC163" s="4">
        <f t="shared" si="187"/>
        <v>0</v>
      </c>
      <c r="DD163" s="4">
        <f t="shared" si="188"/>
        <v>0</v>
      </c>
      <c r="DE163" s="4">
        <f t="shared" si="189"/>
        <v>0</v>
      </c>
      <c r="DF163" s="4">
        <f t="shared" si="190"/>
        <v>0</v>
      </c>
      <c r="DG163" s="4">
        <f t="shared" si="191"/>
        <v>0</v>
      </c>
      <c r="DH163" s="4">
        <f t="shared" si="192"/>
        <v>0</v>
      </c>
      <c r="DI163" s="4">
        <f t="shared" si="193"/>
        <v>0</v>
      </c>
      <c r="DJ163" s="4">
        <f t="shared" si="194"/>
        <v>0</v>
      </c>
      <c r="DK163" s="4">
        <f t="shared" si="195"/>
        <v>0</v>
      </c>
      <c r="DL163" s="4">
        <f t="shared" si="196"/>
        <v>0</v>
      </c>
    </row>
    <row r="164" spans="1:116" x14ac:dyDescent="0.25">
      <c r="A164" s="5">
        <v>46186</v>
      </c>
      <c r="B164" s="6">
        <v>0.66666666705714306</v>
      </c>
      <c r="C164" s="3"/>
      <c r="D164" s="3"/>
      <c r="E164" s="3" t="s">
        <v>30</v>
      </c>
      <c r="F164" s="3">
        <v>8</v>
      </c>
      <c r="G164" s="3"/>
      <c r="H164" s="9"/>
      <c r="I164" s="9">
        <f>SUM(IFERROR(VLOOKUP($C:$C,Structure!$A:$AJ,I$1,0)*$D164,0),IFERROR(VLOOKUP($E:$E,Structure!$A:$AJ,I$1,0)*$F164,0),IFERROR(VLOOKUP($G:$G,Structure!$A:$AJ,I$1,0)*$H164,0))</f>
        <v>0</v>
      </c>
      <c r="J164" s="9">
        <f>SUM(IFERROR(VLOOKUP($C:$C,Structure!$A:$AJ,J$1,0)*$D164,0),IFERROR(VLOOKUP($E:$E,Structure!$A:$AJ,J$1,0)*$F164,0),IFERROR(VLOOKUP($G:$G,Structure!$A:$AJ,J$1,0)*$H164,0))</f>
        <v>0</v>
      </c>
      <c r="K164" s="9">
        <f>SUM(IFERROR(VLOOKUP($C:$C,Structure!$A:$AJ,K$1,0)*$D164,0),IFERROR(VLOOKUP($E:$E,Structure!$A:$AJ,K$1,0)*$F164,0),IFERROR(VLOOKUP($G:$G,Structure!$A:$AJ,K$1,0)*$H164,0))</f>
        <v>0</v>
      </c>
      <c r="L164" s="9">
        <f>SUM(IFERROR(VLOOKUP($C:$C,Structure!$A:$AJ,L$1,0)*$D164,0),IFERROR(VLOOKUP($E:$E,Structure!$A:$AJ,L$1,0)*$F164,0),IFERROR(VLOOKUP($G:$G,Structure!$A:$AJ,L$1,0)*$H164,0))</f>
        <v>0</v>
      </c>
      <c r="M164" s="9">
        <f>SUM(IFERROR(VLOOKUP($C:$C,Structure!$A:$AJ,M$1,0)*$D164,0),IFERROR(VLOOKUP($E:$E,Structure!$A:$AJ,M$1,0)*$F164,0),IFERROR(VLOOKUP($G:$G,Structure!$A:$AJ,M$1,0)*$H164,0))</f>
        <v>0</v>
      </c>
      <c r="N164" s="9">
        <f>SUM(IFERROR(VLOOKUP($C:$C,Structure!$A:$AJ,N$1,0)*$D164,0),IFERROR(VLOOKUP($E:$E,Structure!$A:$AJ,N$1,0)*$F164,0),IFERROR(VLOOKUP($G:$G,Structure!$A:$AJ,N$1,0)*$H164,0))</f>
        <v>0</v>
      </c>
      <c r="O164" s="9">
        <f>SUM(IFERROR(VLOOKUP($C:$C,Structure!$A:$AJ,O$1,0)*$D164,0),IFERROR(VLOOKUP($E:$E,Structure!$A:$AJ,O$1,0)*$F164,0),IFERROR(VLOOKUP($G:$G,Structure!$A:$AJ,O$1,0)*$H164,0))</f>
        <v>0</v>
      </c>
      <c r="P164" s="9">
        <f>SUM(IFERROR(VLOOKUP($C:$C,Structure!$A:$AJ,P$1,0)*$D164,0),IFERROR(VLOOKUP($E:$E,Structure!$A:$AJ,P$1,0)*$F164,0),IFERROR(VLOOKUP($G:$G,Structure!$A:$AJ,P$1,0)*$H164,0))</f>
        <v>0</v>
      </c>
      <c r="Q164" s="9">
        <f>SUM(IFERROR(VLOOKUP($C:$C,Structure!$A:$AJ,Q$1,0)*$D164,0),IFERROR(VLOOKUP($E:$E,Structure!$A:$AJ,Q$1,0)*$F164,0),IFERROR(VLOOKUP($G:$G,Structure!$A:$AJ,Q$1,0)*$H164,0))</f>
        <v>0</v>
      </c>
      <c r="R164" s="9">
        <f>SUM(IFERROR(VLOOKUP($C:$C,Structure!$A:$AJ,R$1,0)*$D164,0),IFERROR(VLOOKUP($E:$E,Structure!$A:$AJ,R$1,0)*$F164,0),IFERROR(VLOOKUP($G:$G,Structure!$A:$AJ,R$1,0)*$H164,0))</f>
        <v>0</v>
      </c>
      <c r="S164" s="9">
        <f>SUM(IFERROR(VLOOKUP($C:$C,Structure!$A:$AJ,S$1,0)*$D164,0),IFERROR(VLOOKUP($E:$E,Structure!$A:$AJ,S$1,0)*$F164,0),IFERROR(VLOOKUP($G:$G,Structure!$A:$AJ,S$1,0)*$H164,0))</f>
        <v>0</v>
      </c>
      <c r="T164" s="9">
        <f>SUM(IFERROR(VLOOKUP($C:$C,Structure!$A:$AJ,T$1,0)*$D164,0),IFERROR(VLOOKUP($E:$E,Structure!$A:$AJ,T$1,0)*$F164,0),IFERROR(VLOOKUP($G:$G,Structure!$A:$AJ,T$1,0)*$H164,0))</f>
        <v>0</v>
      </c>
      <c r="U164" s="9">
        <f>SUM(IFERROR(VLOOKUP($C:$C,Structure!$A:$AJ,U$1,0)*$D164,0),IFERROR(VLOOKUP($E:$E,Structure!$A:$AJ,U$1,0)*$F164,0),IFERROR(VLOOKUP($G:$G,Structure!$A:$AJ,U$1,0)*$H164,0))</f>
        <v>0</v>
      </c>
      <c r="V164" s="9">
        <f>SUM(IFERROR(VLOOKUP($C:$C,Structure!$A:$AJ,V$1,0)*$D164,0),IFERROR(VLOOKUP($E:$E,Structure!$A:$AJ,V$1,0)*$F164,0),IFERROR(VLOOKUP($G:$G,Structure!$A:$AJ,V$1,0)*$H164,0))</f>
        <v>8</v>
      </c>
      <c r="W164" s="9">
        <f>SUM(IFERROR(VLOOKUP($C:$C,Structure!$A:$AJ,W$1,0)*$D164,0),IFERROR(VLOOKUP($E:$E,Structure!$A:$AJ,W$1,0)*$F164,0),IFERROR(VLOOKUP($G:$G,Structure!$A:$AJ,W$1,0)*$H164,0))</f>
        <v>0</v>
      </c>
      <c r="X164" s="9">
        <f>SUM(IFERROR(VLOOKUP($C:$C,Structure!$A:$AJ,X$1,0)*$D164,0),IFERROR(VLOOKUP($E:$E,Structure!$A:$AJ,X$1,0)*$F164,0),IFERROR(VLOOKUP($G:$G,Structure!$A:$AJ,X$1,0)*$H164,0))</f>
        <v>0</v>
      </c>
      <c r="Y164" s="9">
        <f>SUM(IFERROR(VLOOKUP($C:$C,Structure!$A:$AJ,Y$1,0)*$D164,0),IFERROR(VLOOKUP($E:$E,Structure!$A:$AJ,Y$1,0)*$F164,0),IFERROR(VLOOKUP($G:$G,Structure!$A:$AJ,Y$1,0)*$H164,0))</f>
        <v>0</v>
      </c>
      <c r="Z164" s="9">
        <f>SUM(IFERROR(VLOOKUP($C:$C,Structure!$A:$AJ,Z$1,0)*$D164,0),IFERROR(VLOOKUP($E:$E,Structure!$A:$AJ,Z$1,0)*$F164,0),IFERROR(VLOOKUP($G:$G,Structure!$A:$AJ,Z$1,0)*$H164,0))</f>
        <v>0</v>
      </c>
      <c r="AA164" s="9">
        <f>SUM(IFERROR(VLOOKUP($C:$C,Structure!$A:$AJ,AA$1,0)*$D164,0),IFERROR(VLOOKUP($E:$E,Structure!$A:$AJ,AA$1,0)*$F164,0),IFERROR(VLOOKUP($G:$G,Structure!$A:$AJ,AA$1,0)*$H164,0))</f>
        <v>0</v>
      </c>
      <c r="AB164" s="9">
        <f>SUM(IFERROR(VLOOKUP($C:$C,Structure!$A:$AJ,AB$1,0)*$D164,0),IFERROR(VLOOKUP($E:$E,Structure!$A:$AJ,AB$1,0)*$F164,0),IFERROR(VLOOKUP($G:$G,Structure!$A:$AJ,AB$1,0)*$H164,0))</f>
        <v>0</v>
      </c>
      <c r="AC164" s="9">
        <f>SUM(IFERROR(VLOOKUP($C:$C,Structure!$A:$AJ,AC$1,0)*$D164,0),IFERROR(VLOOKUP($E:$E,Structure!$A:$AJ,AC$1,0)*$F164,0),IFERROR(VLOOKUP($G:$G,Structure!$A:$AJ,AC$1,0)*$H164,0))</f>
        <v>8</v>
      </c>
      <c r="AD164" s="9">
        <f>SUM(IFERROR(VLOOKUP($C:$C,Structure!$A:$AJ,AD$1,0)*$D164,0),IFERROR(VLOOKUP($E:$E,Structure!$A:$AJ,AD$1,0)*$F164,0),IFERROR(VLOOKUP($G:$G,Structure!$A:$AJ,AD$1,0)*$H164,0))</f>
        <v>0</v>
      </c>
      <c r="AE164" s="9">
        <f>SUM(IFERROR(VLOOKUP($C:$C,Structure!$A:$AJ,AE$1,0)*$D164,0),IFERROR(VLOOKUP($E:$E,Structure!$A:$AJ,AE$1,0)*$F164,0),IFERROR(VLOOKUP($G:$G,Structure!$A:$AJ,AE$1,0)*$H164,0))</f>
        <v>0</v>
      </c>
      <c r="AF164" s="9">
        <f>SUM(IFERROR(VLOOKUP($C:$C,Structure!$A:$AJ,AF$1,0)*$D164,0),IFERROR(VLOOKUP($E:$E,Structure!$A:$AJ,AF$1,0)*$F164,0),IFERROR(VLOOKUP($G:$G,Structure!$A:$AJ,AF$1,0)*$H164,0))</f>
        <v>0</v>
      </c>
      <c r="AG164" s="9">
        <f>SUM(IFERROR(VLOOKUP($C:$C,Structure!$A:$AJ,AG$1,0)*$D164,0),IFERROR(VLOOKUP($E:$E,Structure!$A:$AJ,AG$1,0)*$F164,0),IFERROR(VLOOKUP($G:$G,Structure!$A:$AJ,AG$1,0)*$H164,0))</f>
        <v>0</v>
      </c>
      <c r="AH164" s="9">
        <f>SUM(IFERROR(VLOOKUP($C:$C,Structure!$A:$AJ,AH$1,0)*$D164,0),IFERROR(VLOOKUP($E:$E,Structure!$A:$AJ,AH$1,0)*$F164,0),IFERROR(VLOOKUP($G:$G,Structure!$A:$AJ,AH$1,0)*$H164,0))</f>
        <v>0</v>
      </c>
      <c r="AI164" s="9">
        <f>SUM(IFERROR(VLOOKUP($C:$C,Structure!$A:$AJ,AI$1,0)*$D164,0),IFERROR(VLOOKUP($E:$E,Structure!$A:$AJ,AI$1,0)*$F164,0),IFERROR(VLOOKUP($G:$G,Structure!$A:$AJ,AI$1,0)*$H164,0))</f>
        <v>0</v>
      </c>
      <c r="AJ164" s="9">
        <f>SUM(IFERROR(VLOOKUP($C:$C,Structure!$A:$AJ,AJ$1,0)*$D164,0),IFERROR(VLOOKUP($E:$E,Structure!$A:$AJ,AJ$1,0)*$F164,0),IFERROR(VLOOKUP($G:$G,Structure!$A:$AJ,AJ$1,0)*$H164,0))</f>
        <v>0</v>
      </c>
      <c r="AK164" s="9">
        <f>SUM(IFERROR(VLOOKUP($C:$C,Structure!$A:$AJ,AK$1,0)*$D164,0),IFERROR(VLOOKUP($E:$E,Structure!$A:$AJ,AK$1,0)*$F164,0),IFERROR(VLOOKUP($G:$G,Structure!$A:$AJ,AK$1,0)*$H164,0))</f>
        <v>0</v>
      </c>
      <c r="AL164" s="9">
        <f>SUM(IFERROR(VLOOKUP($C:$C,Structure!$A:$AJ,AL$1,0)*$D164,0),IFERROR(VLOOKUP($E:$E,Structure!$A:$AJ,AL$1,0)*$F164,0),IFERROR(VLOOKUP($G:$G,Structure!$A:$AJ,AL$1,0)*$H164,0))</f>
        <v>0</v>
      </c>
      <c r="AM164" s="9">
        <f>SUM(IFERROR(VLOOKUP($C:$C,Structure!$A:$AJ,AM$1,0)*$D164,0),IFERROR(VLOOKUP($E:$E,Structure!$A:$AJ,AM$1,0)*$F164,0),IFERROR(VLOOKUP($G:$G,Structure!$A:$AJ,AM$1,0)*$H164,0))</f>
        <v>0</v>
      </c>
      <c r="AN164" s="9">
        <f>SUM(IFERROR(VLOOKUP($C:$C,Structure!$A:$AJ,AN$1,0)*$D164,0),IFERROR(VLOOKUP($E:$E,Structure!$A:$AJ,AN$1,0)*$F164,0),IFERROR(VLOOKUP($G:$G,Structure!$A:$AJ,AN$1,0)*$H164,0))</f>
        <v>0</v>
      </c>
      <c r="AO164" s="9">
        <f>SUM(IFERROR(VLOOKUP($C:$C,Structure!$A:$AJ,AO$1,0)*$D164,0),IFERROR(VLOOKUP($E:$E,Structure!$A:$AJ,AO$1,0)*$F164,0),IFERROR(VLOOKUP($G:$G,Structure!$A:$AJ,AO$1,0)*$H164,0))</f>
        <v>0</v>
      </c>
      <c r="AP164" s="9">
        <f>SUM(IFERROR(VLOOKUP($C:$C,Structure!$A:$AJ,AP$1,0)*$D164,0),IFERROR(VLOOKUP($E:$E,Structure!$A:$AJ,AP$1,0)*$F164,0),IFERROR(VLOOKUP($G:$G,Structure!$A:$AJ,AP$1,0)*$H164,0))</f>
        <v>0</v>
      </c>
      <c r="AQ164" s="9">
        <f>SUM(IFERROR(VLOOKUP($C:$C,Structure!$A:$AJ,AQ$1,0)*$D164,0),IFERROR(VLOOKUP($E:$E,Structure!$A:$AJ,AQ$1,0)*$F164,0),IFERROR(VLOOKUP($G:$G,Structure!$A:$AJ,AQ$1,0)*$H164,0))</f>
        <v>0</v>
      </c>
      <c r="AR164" s="21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4">
        <f t="shared" si="162"/>
        <v>0</v>
      </c>
      <c r="CE164" s="4">
        <f t="shared" si="163"/>
        <v>-84</v>
      </c>
      <c r="CF164" s="4">
        <f t="shared" si="164"/>
        <v>4</v>
      </c>
      <c r="CG164" s="4">
        <f t="shared" si="165"/>
        <v>14</v>
      </c>
      <c r="CH164" s="4">
        <f t="shared" si="166"/>
        <v>-7</v>
      </c>
      <c r="CI164" s="4">
        <f t="shared" si="167"/>
        <v>127</v>
      </c>
      <c r="CJ164" s="4">
        <f t="shared" si="168"/>
        <v>-141</v>
      </c>
      <c r="CK164" s="4">
        <f t="shared" si="169"/>
        <v>95</v>
      </c>
      <c r="CL164" s="4">
        <f t="shared" si="170"/>
        <v>0</v>
      </c>
      <c r="CM164" s="4">
        <f t="shared" si="171"/>
        <v>6</v>
      </c>
      <c r="CN164" s="4">
        <f t="shared" si="172"/>
        <v>-28</v>
      </c>
      <c r="CO164" s="4">
        <f t="shared" si="173"/>
        <v>0</v>
      </c>
      <c r="CP164" s="4">
        <f t="shared" si="174"/>
        <v>69</v>
      </c>
      <c r="CQ164" s="4">
        <f t="shared" si="175"/>
        <v>-358</v>
      </c>
      <c r="CR164" s="4">
        <f t="shared" si="176"/>
        <v>15</v>
      </c>
      <c r="CS164" s="4">
        <f t="shared" si="177"/>
        <v>-24</v>
      </c>
      <c r="CT164" s="4">
        <f t="shared" si="178"/>
        <v>0</v>
      </c>
      <c r="CU164" s="4">
        <f t="shared" si="179"/>
        <v>0</v>
      </c>
      <c r="CV164" s="4">
        <f t="shared" si="180"/>
        <v>0</v>
      </c>
      <c r="CW164" s="4">
        <f t="shared" si="181"/>
        <v>0</v>
      </c>
      <c r="CX164" s="4">
        <f t="shared" si="182"/>
        <v>-349</v>
      </c>
      <c r="CY164" s="4">
        <f t="shared" si="183"/>
        <v>0</v>
      </c>
      <c r="CZ164" s="4">
        <f t="shared" si="184"/>
        <v>0</v>
      </c>
      <c r="DA164" s="4">
        <f t="shared" si="185"/>
        <v>0</v>
      </c>
      <c r="DB164" s="4">
        <f t="shared" si="186"/>
        <v>0</v>
      </c>
      <c r="DC164" s="4">
        <f t="shared" si="187"/>
        <v>0</v>
      </c>
      <c r="DD164" s="4">
        <f t="shared" si="188"/>
        <v>0</v>
      </c>
      <c r="DE164" s="4">
        <f t="shared" si="189"/>
        <v>0</v>
      </c>
      <c r="DF164" s="4">
        <f t="shared" si="190"/>
        <v>0</v>
      </c>
      <c r="DG164" s="4">
        <f t="shared" si="191"/>
        <v>0</v>
      </c>
      <c r="DH164" s="4">
        <f t="shared" si="192"/>
        <v>0</v>
      </c>
      <c r="DI164" s="4">
        <f t="shared" si="193"/>
        <v>0</v>
      </c>
      <c r="DJ164" s="4">
        <f t="shared" si="194"/>
        <v>0</v>
      </c>
      <c r="DK164" s="4">
        <f t="shared" si="195"/>
        <v>0</v>
      </c>
      <c r="DL164" s="4">
        <f t="shared" si="196"/>
        <v>0</v>
      </c>
    </row>
    <row r="165" spans="1:116" x14ac:dyDescent="0.25">
      <c r="A165" s="5">
        <v>46186</v>
      </c>
      <c r="B165" s="6">
        <v>0.68750000039290171</v>
      </c>
      <c r="C165" s="3"/>
      <c r="D165" s="3"/>
      <c r="E165" s="3" t="s">
        <v>30</v>
      </c>
      <c r="F165" s="3">
        <v>8</v>
      </c>
      <c r="G165" s="3"/>
      <c r="H165" s="9"/>
      <c r="I165" s="9">
        <f>SUM(IFERROR(VLOOKUP($C:$C,Structure!$A:$AJ,I$1,0)*$D165,0),IFERROR(VLOOKUP($E:$E,Structure!$A:$AJ,I$1,0)*$F165,0),IFERROR(VLOOKUP($G:$G,Structure!$A:$AJ,I$1,0)*$H165,0))</f>
        <v>0</v>
      </c>
      <c r="J165" s="9">
        <f>SUM(IFERROR(VLOOKUP($C:$C,Structure!$A:$AJ,J$1,0)*$D165,0),IFERROR(VLOOKUP($E:$E,Structure!$A:$AJ,J$1,0)*$F165,0),IFERROR(VLOOKUP($G:$G,Structure!$A:$AJ,J$1,0)*$H165,0))</f>
        <v>0</v>
      </c>
      <c r="K165" s="9">
        <f>SUM(IFERROR(VLOOKUP($C:$C,Structure!$A:$AJ,K$1,0)*$D165,0),IFERROR(VLOOKUP($E:$E,Structure!$A:$AJ,K$1,0)*$F165,0),IFERROR(VLOOKUP($G:$G,Structure!$A:$AJ,K$1,0)*$H165,0))</f>
        <v>0</v>
      </c>
      <c r="L165" s="9">
        <f>SUM(IFERROR(VLOOKUP($C:$C,Structure!$A:$AJ,L$1,0)*$D165,0),IFERROR(VLOOKUP($E:$E,Structure!$A:$AJ,L$1,0)*$F165,0),IFERROR(VLOOKUP($G:$G,Structure!$A:$AJ,L$1,0)*$H165,0))</f>
        <v>0</v>
      </c>
      <c r="M165" s="9">
        <f>SUM(IFERROR(VLOOKUP($C:$C,Structure!$A:$AJ,M$1,0)*$D165,0),IFERROR(VLOOKUP($E:$E,Structure!$A:$AJ,M$1,0)*$F165,0),IFERROR(VLOOKUP($G:$G,Structure!$A:$AJ,M$1,0)*$H165,0))</f>
        <v>0</v>
      </c>
      <c r="N165" s="9">
        <f>SUM(IFERROR(VLOOKUP($C:$C,Structure!$A:$AJ,N$1,0)*$D165,0),IFERROR(VLOOKUP($E:$E,Structure!$A:$AJ,N$1,0)*$F165,0),IFERROR(VLOOKUP($G:$G,Structure!$A:$AJ,N$1,0)*$H165,0))</f>
        <v>0</v>
      </c>
      <c r="O165" s="9">
        <f>SUM(IFERROR(VLOOKUP($C:$C,Structure!$A:$AJ,O$1,0)*$D165,0),IFERROR(VLOOKUP($E:$E,Structure!$A:$AJ,O$1,0)*$F165,0),IFERROR(VLOOKUP($G:$G,Structure!$A:$AJ,O$1,0)*$H165,0))</f>
        <v>0</v>
      </c>
      <c r="P165" s="9">
        <f>SUM(IFERROR(VLOOKUP($C:$C,Structure!$A:$AJ,P$1,0)*$D165,0),IFERROR(VLOOKUP($E:$E,Structure!$A:$AJ,P$1,0)*$F165,0),IFERROR(VLOOKUP($G:$G,Structure!$A:$AJ,P$1,0)*$H165,0))</f>
        <v>0</v>
      </c>
      <c r="Q165" s="9">
        <f>SUM(IFERROR(VLOOKUP($C:$C,Structure!$A:$AJ,Q$1,0)*$D165,0),IFERROR(VLOOKUP($E:$E,Structure!$A:$AJ,Q$1,0)*$F165,0),IFERROR(VLOOKUP($G:$G,Structure!$A:$AJ,Q$1,0)*$H165,0))</f>
        <v>0</v>
      </c>
      <c r="R165" s="9">
        <f>SUM(IFERROR(VLOOKUP($C:$C,Structure!$A:$AJ,R$1,0)*$D165,0),IFERROR(VLOOKUP($E:$E,Structure!$A:$AJ,R$1,0)*$F165,0),IFERROR(VLOOKUP($G:$G,Structure!$A:$AJ,R$1,0)*$H165,0))</f>
        <v>0</v>
      </c>
      <c r="S165" s="9">
        <f>SUM(IFERROR(VLOOKUP($C:$C,Structure!$A:$AJ,S$1,0)*$D165,0),IFERROR(VLOOKUP($E:$E,Structure!$A:$AJ,S$1,0)*$F165,0),IFERROR(VLOOKUP($G:$G,Structure!$A:$AJ,S$1,0)*$H165,0))</f>
        <v>0</v>
      </c>
      <c r="T165" s="9">
        <f>SUM(IFERROR(VLOOKUP($C:$C,Structure!$A:$AJ,T$1,0)*$D165,0),IFERROR(VLOOKUP($E:$E,Structure!$A:$AJ,T$1,0)*$F165,0),IFERROR(VLOOKUP($G:$G,Structure!$A:$AJ,T$1,0)*$H165,0))</f>
        <v>0</v>
      </c>
      <c r="U165" s="9">
        <f>SUM(IFERROR(VLOOKUP($C:$C,Structure!$A:$AJ,U$1,0)*$D165,0),IFERROR(VLOOKUP($E:$E,Structure!$A:$AJ,U$1,0)*$F165,0),IFERROR(VLOOKUP($G:$G,Structure!$A:$AJ,U$1,0)*$H165,0))</f>
        <v>0</v>
      </c>
      <c r="V165" s="9">
        <f>SUM(IFERROR(VLOOKUP($C:$C,Structure!$A:$AJ,V$1,0)*$D165,0),IFERROR(VLOOKUP($E:$E,Structure!$A:$AJ,V$1,0)*$F165,0),IFERROR(VLOOKUP($G:$G,Structure!$A:$AJ,V$1,0)*$H165,0))</f>
        <v>8</v>
      </c>
      <c r="W165" s="9">
        <f>SUM(IFERROR(VLOOKUP($C:$C,Structure!$A:$AJ,W$1,0)*$D165,0),IFERROR(VLOOKUP($E:$E,Structure!$A:$AJ,W$1,0)*$F165,0),IFERROR(VLOOKUP($G:$G,Structure!$A:$AJ,W$1,0)*$H165,0))</f>
        <v>0</v>
      </c>
      <c r="X165" s="9">
        <f>SUM(IFERROR(VLOOKUP($C:$C,Structure!$A:$AJ,X$1,0)*$D165,0),IFERROR(VLOOKUP($E:$E,Structure!$A:$AJ,X$1,0)*$F165,0),IFERROR(VLOOKUP($G:$G,Structure!$A:$AJ,X$1,0)*$H165,0))</f>
        <v>0</v>
      </c>
      <c r="Y165" s="9">
        <f>SUM(IFERROR(VLOOKUP($C:$C,Structure!$A:$AJ,Y$1,0)*$D165,0),IFERROR(VLOOKUP($E:$E,Structure!$A:$AJ,Y$1,0)*$F165,0),IFERROR(VLOOKUP($G:$G,Structure!$A:$AJ,Y$1,0)*$H165,0))</f>
        <v>0</v>
      </c>
      <c r="Z165" s="9">
        <f>SUM(IFERROR(VLOOKUP($C:$C,Structure!$A:$AJ,Z$1,0)*$D165,0),IFERROR(VLOOKUP($E:$E,Structure!$A:$AJ,Z$1,0)*$F165,0),IFERROR(VLOOKUP($G:$G,Structure!$A:$AJ,Z$1,0)*$H165,0))</f>
        <v>0</v>
      </c>
      <c r="AA165" s="9">
        <f>SUM(IFERROR(VLOOKUP($C:$C,Structure!$A:$AJ,AA$1,0)*$D165,0),IFERROR(VLOOKUP($E:$E,Structure!$A:$AJ,AA$1,0)*$F165,0),IFERROR(VLOOKUP($G:$G,Structure!$A:$AJ,AA$1,0)*$H165,0))</f>
        <v>0</v>
      </c>
      <c r="AB165" s="9">
        <f>SUM(IFERROR(VLOOKUP($C:$C,Structure!$A:$AJ,AB$1,0)*$D165,0),IFERROR(VLOOKUP($E:$E,Structure!$A:$AJ,AB$1,0)*$F165,0),IFERROR(VLOOKUP($G:$G,Structure!$A:$AJ,AB$1,0)*$H165,0))</f>
        <v>0</v>
      </c>
      <c r="AC165" s="9">
        <f>SUM(IFERROR(VLOOKUP($C:$C,Structure!$A:$AJ,AC$1,0)*$D165,0),IFERROR(VLOOKUP($E:$E,Structure!$A:$AJ,AC$1,0)*$F165,0),IFERROR(VLOOKUP($G:$G,Structure!$A:$AJ,AC$1,0)*$H165,0))</f>
        <v>8</v>
      </c>
      <c r="AD165" s="9">
        <f>SUM(IFERROR(VLOOKUP($C:$C,Structure!$A:$AJ,AD$1,0)*$D165,0),IFERROR(VLOOKUP($E:$E,Structure!$A:$AJ,AD$1,0)*$F165,0),IFERROR(VLOOKUP($G:$G,Structure!$A:$AJ,AD$1,0)*$H165,0))</f>
        <v>0</v>
      </c>
      <c r="AE165" s="9">
        <f>SUM(IFERROR(VLOOKUP($C:$C,Structure!$A:$AJ,AE$1,0)*$D165,0),IFERROR(VLOOKUP($E:$E,Structure!$A:$AJ,AE$1,0)*$F165,0),IFERROR(VLOOKUP($G:$G,Structure!$A:$AJ,AE$1,0)*$H165,0))</f>
        <v>0</v>
      </c>
      <c r="AF165" s="9">
        <f>SUM(IFERROR(VLOOKUP($C:$C,Structure!$A:$AJ,AF$1,0)*$D165,0),IFERROR(VLOOKUP($E:$E,Structure!$A:$AJ,AF$1,0)*$F165,0),IFERROR(VLOOKUP($G:$G,Structure!$A:$AJ,AF$1,0)*$H165,0))</f>
        <v>0</v>
      </c>
      <c r="AG165" s="9">
        <f>SUM(IFERROR(VLOOKUP($C:$C,Structure!$A:$AJ,AG$1,0)*$D165,0),IFERROR(VLOOKUP($E:$E,Structure!$A:$AJ,AG$1,0)*$F165,0),IFERROR(VLOOKUP($G:$G,Structure!$A:$AJ,AG$1,0)*$H165,0))</f>
        <v>0</v>
      </c>
      <c r="AH165" s="9">
        <f>SUM(IFERROR(VLOOKUP($C:$C,Structure!$A:$AJ,AH$1,0)*$D165,0),IFERROR(VLOOKUP($E:$E,Structure!$A:$AJ,AH$1,0)*$F165,0),IFERROR(VLOOKUP($G:$G,Structure!$A:$AJ,AH$1,0)*$H165,0))</f>
        <v>0</v>
      </c>
      <c r="AI165" s="9">
        <f>SUM(IFERROR(VLOOKUP($C:$C,Structure!$A:$AJ,AI$1,0)*$D165,0),IFERROR(VLOOKUP($E:$E,Structure!$A:$AJ,AI$1,0)*$F165,0),IFERROR(VLOOKUP($G:$G,Structure!$A:$AJ,AI$1,0)*$H165,0))</f>
        <v>0</v>
      </c>
      <c r="AJ165" s="9">
        <f>SUM(IFERROR(VLOOKUP($C:$C,Structure!$A:$AJ,AJ$1,0)*$D165,0),IFERROR(VLOOKUP($E:$E,Structure!$A:$AJ,AJ$1,0)*$F165,0),IFERROR(VLOOKUP($G:$G,Structure!$A:$AJ,AJ$1,0)*$H165,0))</f>
        <v>0</v>
      </c>
      <c r="AK165" s="9">
        <f>SUM(IFERROR(VLOOKUP($C:$C,Structure!$A:$AJ,AK$1,0)*$D165,0),IFERROR(VLOOKUP($E:$E,Structure!$A:$AJ,AK$1,0)*$F165,0),IFERROR(VLOOKUP($G:$G,Structure!$A:$AJ,AK$1,0)*$H165,0))</f>
        <v>0</v>
      </c>
      <c r="AL165" s="9">
        <f>SUM(IFERROR(VLOOKUP($C:$C,Structure!$A:$AJ,AL$1,0)*$D165,0),IFERROR(VLOOKUP($E:$E,Structure!$A:$AJ,AL$1,0)*$F165,0),IFERROR(VLOOKUP($G:$G,Structure!$A:$AJ,AL$1,0)*$H165,0))</f>
        <v>0</v>
      </c>
      <c r="AM165" s="9">
        <f>SUM(IFERROR(VLOOKUP($C:$C,Structure!$A:$AJ,AM$1,0)*$D165,0),IFERROR(VLOOKUP($E:$E,Structure!$A:$AJ,AM$1,0)*$F165,0),IFERROR(VLOOKUP($G:$G,Structure!$A:$AJ,AM$1,0)*$H165,0))</f>
        <v>0</v>
      </c>
      <c r="AN165" s="9">
        <f>SUM(IFERROR(VLOOKUP($C:$C,Structure!$A:$AJ,AN$1,0)*$D165,0),IFERROR(VLOOKUP($E:$E,Structure!$A:$AJ,AN$1,0)*$F165,0),IFERROR(VLOOKUP($G:$G,Structure!$A:$AJ,AN$1,0)*$H165,0))</f>
        <v>0</v>
      </c>
      <c r="AO165" s="9">
        <f>SUM(IFERROR(VLOOKUP($C:$C,Structure!$A:$AJ,AO$1,0)*$D165,0),IFERROR(VLOOKUP($E:$E,Structure!$A:$AJ,AO$1,0)*$F165,0),IFERROR(VLOOKUP($G:$G,Structure!$A:$AJ,AO$1,0)*$H165,0))</f>
        <v>0</v>
      </c>
      <c r="AP165" s="9">
        <f>SUM(IFERROR(VLOOKUP($C:$C,Structure!$A:$AJ,AP$1,0)*$D165,0),IFERROR(VLOOKUP($E:$E,Structure!$A:$AJ,AP$1,0)*$F165,0),IFERROR(VLOOKUP($G:$G,Structure!$A:$AJ,AP$1,0)*$H165,0))</f>
        <v>0</v>
      </c>
      <c r="AQ165" s="9">
        <f>SUM(IFERROR(VLOOKUP($C:$C,Structure!$A:$AJ,AQ$1,0)*$D165,0),IFERROR(VLOOKUP($E:$E,Structure!$A:$AJ,AQ$1,0)*$F165,0),IFERROR(VLOOKUP($G:$G,Structure!$A:$AJ,AQ$1,0)*$H165,0))</f>
        <v>0</v>
      </c>
      <c r="AR165" s="21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4">
        <f t="shared" ref="CD165:CD172" si="197">CD164+AU165-I165</f>
        <v>0</v>
      </c>
      <c r="CE165" s="4">
        <f t="shared" ref="CE165:CE172" si="198">CE164+AV165-J165</f>
        <v>-84</v>
      </c>
      <c r="CF165" s="4">
        <f t="shared" ref="CF165:CF172" si="199">CF164+AW165-K165</f>
        <v>4</v>
      </c>
      <c r="CG165" s="4">
        <f t="shared" ref="CG165:CG172" si="200">CG164+AX165-L165</f>
        <v>14</v>
      </c>
      <c r="CH165" s="4">
        <f t="shared" ref="CH165:CH172" si="201">CH164+AY165-M165</f>
        <v>-7</v>
      </c>
      <c r="CI165" s="4">
        <f t="shared" ref="CI165:CI172" si="202">CI164+AZ165-N165</f>
        <v>127</v>
      </c>
      <c r="CJ165" s="4">
        <f t="shared" ref="CJ165:CJ172" si="203">CJ164+BA165-O165</f>
        <v>-141</v>
      </c>
      <c r="CK165" s="4">
        <f t="shared" ref="CK165:CK172" si="204">CK164+BB165-P165</f>
        <v>95</v>
      </c>
      <c r="CL165" s="4">
        <f t="shared" ref="CL165:CL172" si="205">CL164+BC165-Q165</f>
        <v>0</v>
      </c>
      <c r="CM165" s="4">
        <f t="shared" ref="CM165:CM172" si="206">CM164+BD165-R165</f>
        <v>6</v>
      </c>
      <c r="CN165" s="4">
        <f t="shared" ref="CN165:CN172" si="207">CN164+BE165-S165</f>
        <v>-28</v>
      </c>
      <c r="CO165" s="4">
        <f t="shared" ref="CO165:CO172" si="208">CO164+BF165-T165</f>
        <v>0</v>
      </c>
      <c r="CP165" s="4">
        <f t="shared" ref="CP165:CP172" si="209">CP164+BG165-U165</f>
        <v>69</v>
      </c>
      <c r="CQ165" s="4">
        <f t="shared" ref="CQ165:CQ172" si="210">CQ164+BH165-V165</f>
        <v>-366</v>
      </c>
      <c r="CR165" s="4">
        <f t="shared" ref="CR165:CR172" si="211">CR164+BI165-W165</f>
        <v>15</v>
      </c>
      <c r="CS165" s="4">
        <f t="shared" ref="CS165:CS172" si="212">CS164+BJ165-X165</f>
        <v>-24</v>
      </c>
      <c r="CT165" s="4">
        <f t="shared" ref="CT165:CT172" si="213">CT164+BK165-Y165</f>
        <v>0</v>
      </c>
      <c r="CU165" s="4">
        <f t="shared" ref="CU165:CU172" si="214">CU164+BL165-Z165</f>
        <v>0</v>
      </c>
      <c r="CV165" s="4">
        <f t="shared" ref="CV165:CV172" si="215">CV164+BM165-AA165</f>
        <v>0</v>
      </c>
      <c r="CW165" s="4">
        <f t="shared" ref="CW165:CW172" si="216">CW164+BN165-AB165</f>
        <v>0</v>
      </c>
      <c r="CX165" s="4">
        <f t="shared" ref="CX165:CX172" si="217">CX164+BO165-AC165</f>
        <v>-357</v>
      </c>
      <c r="CY165" s="4">
        <f t="shared" ref="CY165:CY172" si="218">CY164+BP165-AD165</f>
        <v>0</v>
      </c>
      <c r="CZ165" s="4">
        <f t="shared" ref="CZ165:CZ172" si="219">CZ164+BQ165-AE165</f>
        <v>0</v>
      </c>
      <c r="DA165" s="4">
        <f t="shared" ref="DA165:DA172" si="220">DA164+BR165-AF165</f>
        <v>0</v>
      </c>
      <c r="DB165" s="4">
        <f t="shared" ref="DB165:DB172" si="221">DB164+BS165-AG165</f>
        <v>0</v>
      </c>
      <c r="DC165" s="4">
        <f t="shared" ref="DC165:DC172" si="222">DC164+BT165-AH165</f>
        <v>0</v>
      </c>
      <c r="DD165" s="4">
        <f t="shared" ref="DD165:DD172" si="223">DD164+BU165-AI165</f>
        <v>0</v>
      </c>
      <c r="DE165" s="4">
        <f t="shared" ref="DE165:DE172" si="224">DE164+BV165-AJ165</f>
        <v>0</v>
      </c>
      <c r="DF165" s="4">
        <f t="shared" ref="DF165:DF172" si="225">DF164+BW165-AK165</f>
        <v>0</v>
      </c>
      <c r="DG165" s="4">
        <f t="shared" ref="DG165:DG172" si="226">DG164+BX165-AL165</f>
        <v>0</v>
      </c>
      <c r="DH165" s="4">
        <f t="shared" ref="DH165:DH172" si="227">DH164+BY165-AM165</f>
        <v>0</v>
      </c>
      <c r="DI165" s="4">
        <f t="shared" ref="DI165:DI172" si="228">DI164+BZ165-AN165</f>
        <v>0</v>
      </c>
      <c r="DJ165" s="4">
        <f t="shared" ref="DJ165:DJ172" si="229">DJ164+CA165-AO165</f>
        <v>0</v>
      </c>
      <c r="DK165" s="4">
        <f t="shared" ref="DK165:DK172" si="230">DK164+CB165-AP165</f>
        <v>0</v>
      </c>
      <c r="DL165" s="4">
        <f t="shared" ref="DL165:DL172" si="231">DL164+CC165-AQ165</f>
        <v>0</v>
      </c>
    </row>
    <row r="166" spans="1:116" x14ac:dyDescent="0.25">
      <c r="A166" s="5">
        <v>46186</v>
      </c>
      <c r="B166" s="6">
        <v>0.70833333372866036</v>
      </c>
      <c r="C166" s="3"/>
      <c r="D166" s="3"/>
      <c r="E166" s="3" t="s">
        <v>30</v>
      </c>
      <c r="F166" s="3">
        <v>8</v>
      </c>
      <c r="G166" s="3"/>
      <c r="H166" s="9"/>
      <c r="I166" s="9">
        <f>SUM(IFERROR(VLOOKUP($C:$C,Structure!$A:$AJ,I$1,0)*$D166,0),IFERROR(VLOOKUP($E:$E,Structure!$A:$AJ,I$1,0)*$F166,0),IFERROR(VLOOKUP($G:$G,Structure!$A:$AJ,I$1,0)*$H166,0))</f>
        <v>0</v>
      </c>
      <c r="J166" s="9">
        <f>SUM(IFERROR(VLOOKUP($C:$C,Structure!$A:$AJ,J$1,0)*$D166,0),IFERROR(VLOOKUP($E:$E,Structure!$A:$AJ,J$1,0)*$F166,0),IFERROR(VLOOKUP($G:$G,Structure!$A:$AJ,J$1,0)*$H166,0))</f>
        <v>0</v>
      </c>
      <c r="K166" s="9">
        <f>SUM(IFERROR(VLOOKUP($C:$C,Structure!$A:$AJ,K$1,0)*$D166,0),IFERROR(VLOOKUP($E:$E,Structure!$A:$AJ,K$1,0)*$F166,0),IFERROR(VLOOKUP($G:$G,Structure!$A:$AJ,K$1,0)*$H166,0))</f>
        <v>0</v>
      </c>
      <c r="L166" s="9">
        <f>SUM(IFERROR(VLOOKUP($C:$C,Structure!$A:$AJ,L$1,0)*$D166,0),IFERROR(VLOOKUP($E:$E,Structure!$A:$AJ,L$1,0)*$F166,0),IFERROR(VLOOKUP($G:$G,Structure!$A:$AJ,L$1,0)*$H166,0))</f>
        <v>0</v>
      </c>
      <c r="M166" s="9">
        <f>SUM(IFERROR(VLOOKUP($C:$C,Structure!$A:$AJ,M$1,0)*$D166,0),IFERROR(VLOOKUP($E:$E,Structure!$A:$AJ,M$1,0)*$F166,0),IFERROR(VLOOKUP($G:$G,Structure!$A:$AJ,M$1,0)*$H166,0))</f>
        <v>0</v>
      </c>
      <c r="N166" s="9">
        <f>SUM(IFERROR(VLOOKUP($C:$C,Structure!$A:$AJ,N$1,0)*$D166,0),IFERROR(VLOOKUP($E:$E,Structure!$A:$AJ,N$1,0)*$F166,0),IFERROR(VLOOKUP($G:$G,Structure!$A:$AJ,N$1,0)*$H166,0))</f>
        <v>0</v>
      </c>
      <c r="O166" s="9">
        <f>SUM(IFERROR(VLOOKUP($C:$C,Structure!$A:$AJ,O$1,0)*$D166,0),IFERROR(VLOOKUP($E:$E,Structure!$A:$AJ,O$1,0)*$F166,0),IFERROR(VLOOKUP($G:$G,Structure!$A:$AJ,O$1,0)*$H166,0))</f>
        <v>0</v>
      </c>
      <c r="P166" s="9">
        <f>SUM(IFERROR(VLOOKUP($C:$C,Structure!$A:$AJ,P$1,0)*$D166,0),IFERROR(VLOOKUP($E:$E,Structure!$A:$AJ,P$1,0)*$F166,0),IFERROR(VLOOKUP($G:$G,Structure!$A:$AJ,P$1,0)*$H166,0))</f>
        <v>0</v>
      </c>
      <c r="Q166" s="9">
        <f>SUM(IFERROR(VLOOKUP($C:$C,Structure!$A:$AJ,Q$1,0)*$D166,0),IFERROR(VLOOKUP($E:$E,Structure!$A:$AJ,Q$1,0)*$F166,0),IFERROR(VLOOKUP($G:$G,Structure!$A:$AJ,Q$1,0)*$H166,0))</f>
        <v>0</v>
      </c>
      <c r="R166" s="9">
        <f>SUM(IFERROR(VLOOKUP($C:$C,Structure!$A:$AJ,R$1,0)*$D166,0),IFERROR(VLOOKUP($E:$E,Structure!$A:$AJ,R$1,0)*$F166,0),IFERROR(VLOOKUP($G:$G,Structure!$A:$AJ,R$1,0)*$H166,0))</f>
        <v>0</v>
      </c>
      <c r="S166" s="9">
        <f>SUM(IFERROR(VLOOKUP($C:$C,Structure!$A:$AJ,S$1,0)*$D166,0),IFERROR(VLOOKUP($E:$E,Structure!$A:$AJ,S$1,0)*$F166,0),IFERROR(VLOOKUP($G:$G,Structure!$A:$AJ,S$1,0)*$H166,0))</f>
        <v>0</v>
      </c>
      <c r="T166" s="9">
        <f>SUM(IFERROR(VLOOKUP($C:$C,Structure!$A:$AJ,T$1,0)*$D166,0),IFERROR(VLOOKUP($E:$E,Structure!$A:$AJ,T$1,0)*$F166,0),IFERROR(VLOOKUP($G:$G,Structure!$A:$AJ,T$1,0)*$H166,0))</f>
        <v>0</v>
      </c>
      <c r="U166" s="9">
        <f>SUM(IFERROR(VLOOKUP($C:$C,Structure!$A:$AJ,U$1,0)*$D166,0),IFERROR(VLOOKUP($E:$E,Structure!$A:$AJ,U$1,0)*$F166,0),IFERROR(VLOOKUP($G:$G,Structure!$A:$AJ,U$1,0)*$H166,0))</f>
        <v>0</v>
      </c>
      <c r="V166" s="9">
        <f>SUM(IFERROR(VLOOKUP($C:$C,Structure!$A:$AJ,V$1,0)*$D166,0),IFERROR(VLOOKUP($E:$E,Structure!$A:$AJ,V$1,0)*$F166,0),IFERROR(VLOOKUP($G:$G,Structure!$A:$AJ,V$1,0)*$H166,0))</f>
        <v>8</v>
      </c>
      <c r="W166" s="9">
        <f>SUM(IFERROR(VLOOKUP($C:$C,Structure!$A:$AJ,W$1,0)*$D166,0),IFERROR(VLOOKUP($E:$E,Structure!$A:$AJ,W$1,0)*$F166,0),IFERROR(VLOOKUP($G:$G,Structure!$A:$AJ,W$1,0)*$H166,0))</f>
        <v>0</v>
      </c>
      <c r="X166" s="9">
        <f>SUM(IFERROR(VLOOKUP($C:$C,Structure!$A:$AJ,X$1,0)*$D166,0),IFERROR(VLOOKUP($E:$E,Structure!$A:$AJ,X$1,0)*$F166,0),IFERROR(VLOOKUP($G:$G,Structure!$A:$AJ,X$1,0)*$H166,0))</f>
        <v>0</v>
      </c>
      <c r="Y166" s="9">
        <f>SUM(IFERROR(VLOOKUP($C:$C,Structure!$A:$AJ,Y$1,0)*$D166,0),IFERROR(VLOOKUP($E:$E,Structure!$A:$AJ,Y$1,0)*$F166,0),IFERROR(VLOOKUP($G:$G,Structure!$A:$AJ,Y$1,0)*$H166,0))</f>
        <v>0</v>
      </c>
      <c r="Z166" s="9">
        <f>SUM(IFERROR(VLOOKUP($C:$C,Structure!$A:$AJ,Z$1,0)*$D166,0),IFERROR(VLOOKUP($E:$E,Structure!$A:$AJ,Z$1,0)*$F166,0),IFERROR(VLOOKUP($G:$G,Structure!$A:$AJ,Z$1,0)*$H166,0))</f>
        <v>0</v>
      </c>
      <c r="AA166" s="9">
        <f>SUM(IFERROR(VLOOKUP($C:$C,Structure!$A:$AJ,AA$1,0)*$D166,0),IFERROR(VLOOKUP($E:$E,Structure!$A:$AJ,AA$1,0)*$F166,0),IFERROR(VLOOKUP($G:$G,Structure!$A:$AJ,AA$1,0)*$H166,0))</f>
        <v>0</v>
      </c>
      <c r="AB166" s="9">
        <f>SUM(IFERROR(VLOOKUP($C:$C,Structure!$A:$AJ,AB$1,0)*$D166,0),IFERROR(VLOOKUP($E:$E,Structure!$A:$AJ,AB$1,0)*$F166,0),IFERROR(VLOOKUP($G:$G,Structure!$A:$AJ,AB$1,0)*$H166,0))</f>
        <v>0</v>
      </c>
      <c r="AC166" s="9">
        <f>SUM(IFERROR(VLOOKUP($C:$C,Structure!$A:$AJ,AC$1,0)*$D166,0),IFERROR(VLOOKUP($E:$E,Structure!$A:$AJ,AC$1,0)*$F166,0),IFERROR(VLOOKUP($G:$G,Structure!$A:$AJ,AC$1,0)*$H166,0))</f>
        <v>8</v>
      </c>
      <c r="AD166" s="9">
        <f>SUM(IFERROR(VLOOKUP($C:$C,Structure!$A:$AJ,AD$1,0)*$D166,0),IFERROR(VLOOKUP($E:$E,Structure!$A:$AJ,AD$1,0)*$F166,0),IFERROR(VLOOKUP($G:$G,Structure!$A:$AJ,AD$1,0)*$H166,0))</f>
        <v>0</v>
      </c>
      <c r="AE166" s="9">
        <f>SUM(IFERROR(VLOOKUP($C:$C,Structure!$A:$AJ,AE$1,0)*$D166,0),IFERROR(VLOOKUP($E:$E,Structure!$A:$AJ,AE$1,0)*$F166,0),IFERROR(VLOOKUP($G:$G,Structure!$A:$AJ,AE$1,0)*$H166,0))</f>
        <v>0</v>
      </c>
      <c r="AF166" s="9">
        <f>SUM(IFERROR(VLOOKUP($C:$C,Structure!$A:$AJ,AF$1,0)*$D166,0),IFERROR(VLOOKUP($E:$E,Structure!$A:$AJ,AF$1,0)*$F166,0),IFERROR(VLOOKUP($G:$G,Structure!$A:$AJ,AF$1,0)*$H166,0))</f>
        <v>0</v>
      </c>
      <c r="AG166" s="9">
        <f>SUM(IFERROR(VLOOKUP($C:$C,Structure!$A:$AJ,AG$1,0)*$D166,0),IFERROR(VLOOKUP($E:$E,Structure!$A:$AJ,AG$1,0)*$F166,0),IFERROR(VLOOKUP($G:$G,Structure!$A:$AJ,AG$1,0)*$H166,0))</f>
        <v>0</v>
      </c>
      <c r="AH166" s="9">
        <f>SUM(IFERROR(VLOOKUP($C:$C,Structure!$A:$AJ,AH$1,0)*$D166,0),IFERROR(VLOOKUP($E:$E,Structure!$A:$AJ,AH$1,0)*$F166,0),IFERROR(VLOOKUP($G:$G,Structure!$A:$AJ,AH$1,0)*$H166,0))</f>
        <v>0</v>
      </c>
      <c r="AI166" s="9">
        <f>SUM(IFERROR(VLOOKUP($C:$C,Structure!$A:$AJ,AI$1,0)*$D166,0),IFERROR(VLOOKUP($E:$E,Structure!$A:$AJ,AI$1,0)*$F166,0),IFERROR(VLOOKUP($G:$G,Structure!$A:$AJ,AI$1,0)*$H166,0))</f>
        <v>0</v>
      </c>
      <c r="AJ166" s="9">
        <f>SUM(IFERROR(VLOOKUP($C:$C,Structure!$A:$AJ,AJ$1,0)*$D166,0),IFERROR(VLOOKUP($E:$E,Structure!$A:$AJ,AJ$1,0)*$F166,0),IFERROR(VLOOKUP($G:$G,Structure!$A:$AJ,AJ$1,0)*$H166,0))</f>
        <v>0</v>
      </c>
      <c r="AK166" s="9">
        <f>SUM(IFERROR(VLOOKUP($C:$C,Structure!$A:$AJ,AK$1,0)*$D166,0),IFERROR(VLOOKUP($E:$E,Structure!$A:$AJ,AK$1,0)*$F166,0),IFERROR(VLOOKUP($G:$G,Structure!$A:$AJ,AK$1,0)*$H166,0))</f>
        <v>0</v>
      </c>
      <c r="AL166" s="9">
        <f>SUM(IFERROR(VLOOKUP($C:$C,Structure!$A:$AJ,AL$1,0)*$D166,0),IFERROR(VLOOKUP($E:$E,Structure!$A:$AJ,AL$1,0)*$F166,0),IFERROR(VLOOKUP($G:$G,Structure!$A:$AJ,AL$1,0)*$H166,0))</f>
        <v>0</v>
      </c>
      <c r="AM166" s="9">
        <f>SUM(IFERROR(VLOOKUP($C:$C,Structure!$A:$AJ,AM$1,0)*$D166,0),IFERROR(VLOOKUP($E:$E,Structure!$A:$AJ,AM$1,0)*$F166,0),IFERROR(VLOOKUP($G:$G,Structure!$A:$AJ,AM$1,0)*$H166,0))</f>
        <v>0</v>
      </c>
      <c r="AN166" s="9">
        <f>SUM(IFERROR(VLOOKUP($C:$C,Structure!$A:$AJ,AN$1,0)*$D166,0),IFERROR(VLOOKUP($E:$E,Structure!$A:$AJ,AN$1,0)*$F166,0),IFERROR(VLOOKUP($G:$G,Structure!$A:$AJ,AN$1,0)*$H166,0))</f>
        <v>0</v>
      </c>
      <c r="AO166" s="9">
        <f>SUM(IFERROR(VLOOKUP($C:$C,Structure!$A:$AJ,AO$1,0)*$D166,0),IFERROR(VLOOKUP($E:$E,Structure!$A:$AJ,AO$1,0)*$F166,0),IFERROR(VLOOKUP($G:$G,Structure!$A:$AJ,AO$1,0)*$H166,0))</f>
        <v>0</v>
      </c>
      <c r="AP166" s="9">
        <f>SUM(IFERROR(VLOOKUP($C:$C,Structure!$A:$AJ,AP$1,0)*$D166,0),IFERROR(VLOOKUP($E:$E,Structure!$A:$AJ,AP$1,0)*$F166,0),IFERROR(VLOOKUP($G:$G,Structure!$A:$AJ,AP$1,0)*$H166,0))</f>
        <v>0</v>
      </c>
      <c r="AQ166" s="9">
        <f>SUM(IFERROR(VLOOKUP($C:$C,Structure!$A:$AJ,AQ$1,0)*$D166,0),IFERROR(VLOOKUP($E:$E,Structure!$A:$AJ,AQ$1,0)*$F166,0),IFERROR(VLOOKUP($G:$G,Structure!$A:$AJ,AQ$1,0)*$H166,0))</f>
        <v>0</v>
      </c>
      <c r="AR166" s="21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4">
        <f t="shared" si="197"/>
        <v>0</v>
      </c>
      <c r="CE166" s="4">
        <f t="shared" si="198"/>
        <v>-84</v>
      </c>
      <c r="CF166" s="4">
        <f t="shared" si="199"/>
        <v>4</v>
      </c>
      <c r="CG166" s="4">
        <f t="shared" si="200"/>
        <v>14</v>
      </c>
      <c r="CH166" s="4">
        <f t="shared" si="201"/>
        <v>-7</v>
      </c>
      <c r="CI166" s="4">
        <f t="shared" si="202"/>
        <v>127</v>
      </c>
      <c r="CJ166" s="4">
        <f t="shared" si="203"/>
        <v>-141</v>
      </c>
      <c r="CK166" s="4">
        <f t="shared" si="204"/>
        <v>95</v>
      </c>
      <c r="CL166" s="4">
        <f t="shared" si="205"/>
        <v>0</v>
      </c>
      <c r="CM166" s="4">
        <f t="shared" si="206"/>
        <v>6</v>
      </c>
      <c r="CN166" s="4">
        <f t="shared" si="207"/>
        <v>-28</v>
      </c>
      <c r="CO166" s="4">
        <f t="shared" si="208"/>
        <v>0</v>
      </c>
      <c r="CP166" s="4">
        <f t="shared" si="209"/>
        <v>69</v>
      </c>
      <c r="CQ166" s="4">
        <f t="shared" si="210"/>
        <v>-374</v>
      </c>
      <c r="CR166" s="4">
        <f t="shared" si="211"/>
        <v>15</v>
      </c>
      <c r="CS166" s="4">
        <f t="shared" si="212"/>
        <v>-24</v>
      </c>
      <c r="CT166" s="4">
        <f t="shared" si="213"/>
        <v>0</v>
      </c>
      <c r="CU166" s="4">
        <f t="shared" si="214"/>
        <v>0</v>
      </c>
      <c r="CV166" s="4">
        <f t="shared" si="215"/>
        <v>0</v>
      </c>
      <c r="CW166" s="4">
        <f t="shared" si="216"/>
        <v>0</v>
      </c>
      <c r="CX166" s="4">
        <f t="shared" si="217"/>
        <v>-365</v>
      </c>
      <c r="CY166" s="4">
        <f t="shared" si="218"/>
        <v>0</v>
      </c>
      <c r="CZ166" s="4">
        <f t="shared" si="219"/>
        <v>0</v>
      </c>
      <c r="DA166" s="4">
        <f t="shared" si="220"/>
        <v>0</v>
      </c>
      <c r="DB166" s="4">
        <f t="shared" si="221"/>
        <v>0</v>
      </c>
      <c r="DC166" s="4">
        <f t="shared" si="222"/>
        <v>0</v>
      </c>
      <c r="DD166" s="4">
        <f t="shared" si="223"/>
        <v>0</v>
      </c>
      <c r="DE166" s="4">
        <f t="shared" si="224"/>
        <v>0</v>
      </c>
      <c r="DF166" s="4">
        <f t="shared" si="225"/>
        <v>0</v>
      </c>
      <c r="DG166" s="4">
        <f t="shared" si="226"/>
        <v>0</v>
      </c>
      <c r="DH166" s="4">
        <f t="shared" si="227"/>
        <v>0</v>
      </c>
      <c r="DI166" s="4">
        <f t="shared" si="228"/>
        <v>0</v>
      </c>
      <c r="DJ166" s="4">
        <f t="shared" si="229"/>
        <v>0</v>
      </c>
      <c r="DK166" s="4">
        <f t="shared" si="230"/>
        <v>0</v>
      </c>
      <c r="DL166" s="4">
        <f t="shared" si="231"/>
        <v>0</v>
      </c>
    </row>
    <row r="167" spans="1:116" x14ac:dyDescent="0.25">
      <c r="A167" s="5">
        <v>46186</v>
      </c>
      <c r="B167" s="6">
        <v>0.72916666706441902</v>
      </c>
      <c r="C167" s="3"/>
      <c r="D167" s="3"/>
      <c r="E167" s="3" t="s">
        <v>30</v>
      </c>
      <c r="F167" s="3">
        <v>8</v>
      </c>
      <c r="G167" s="3"/>
      <c r="H167" s="9"/>
      <c r="I167" s="9">
        <f>SUM(IFERROR(VLOOKUP($C:$C,Structure!$A:$AJ,I$1,0)*$D167,0),IFERROR(VLOOKUP($E:$E,Structure!$A:$AJ,I$1,0)*$F167,0),IFERROR(VLOOKUP($G:$G,Structure!$A:$AJ,I$1,0)*$H167,0))</f>
        <v>0</v>
      </c>
      <c r="J167" s="9">
        <f>SUM(IFERROR(VLOOKUP($C:$C,Structure!$A:$AJ,J$1,0)*$D167,0),IFERROR(VLOOKUP($E:$E,Structure!$A:$AJ,J$1,0)*$F167,0),IFERROR(VLOOKUP($G:$G,Structure!$A:$AJ,J$1,0)*$H167,0))</f>
        <v>0</v>
      </c>
      <c r="K167" s="9">
        <f>SUM(IFERROR(VLOOKUP($C:$C,Structure!$A:$AJ,K$1,0)*$D167,0),IFERROR(VLOOKUP($E:$E,Structure!$A:$AJ,K$1,0)*$F167,0),IFERROR(VLOOKUP($G:$G,Structure!$A:$AJ,K$1,0)*$H167,0))</f>
        <v>0</v>
      </c>
      <c r="L167" s="9">
        <f>SUM(IFERROR(VLOOKUP($C:$C,Structure!$A:$AJ,L$1,0)*$D167,0),IFERROR(VLOOKUP($E:$E,Structure!$A:$AJ,L$1,0)*$F167,0),IFERROR(VLOOKUP($G:$G,Structure!$A:$AJ,L$1,0)*$H167,0))</f>
        <v>0</v>
      </c>
      <c r="M167" s="9">
        <f>SUM(IFERROR(VLOOKUP($C:$C,Structure!$A:$AJ,M$1,0)*$D167,0),IFERROR(VLOOKUP($E:$E,Structure!$A:$AJ,M$1,0)*$F167,0),IFERROR(VLOOKUP($G:$G,Structure!$A:$AJ,M$1,0)*$H167,0))</f>
        <v>0</v>
      </c>
      <c r="N167" s="9">
        <f>SUM(IFERROR(VLOOKUP($C:$C,Structure!$A:$AJ,N$1,0)*$D167,0),IFERROR(VLOOKUP($E:$E,Structure!$A:$AJ,N$1,0)*$F167,0),IFERROR(VLOOKUP($G:$G,Structure!$A:$AJ,N$1,0)*$H167,0))</f>
        <v>0</v>
      </c>
      <c r="O167" s="9">
        <f>SUM(IFERROR(VLOOKUP($C:$C,Structure!$A:$AJ,O$1,0)*$D167,0),IFERROR(VLOOKUP($E:$E,Structure!$A:$AJ,O$1,0)*$F167,0),IFERROR(VLOOKUP($G:$G,Structure!$A:$AJ,O$1,0)*$H167,0))</f>
        <v>0</v>
      </c>
      <c r="P167" s="9">
        <f>SUM(IFERROR(VLOOKUP($C:$C,Structure!$A:$AJ,P$1,0)*$D167,0),IFERROR(VLOOKUP($E:$E,Structure!$A:$AJ,P$1,0)*$F167,0),IFERROR(VLOOKUP($G:$G,Structure!$A:$AJ,P$1,0)*$H167,0))</f>
        <v>0</v>
      </c>
      <c r="Q167" s="9">
        <f>SUM(IFERROR(VLOOKUP($C:$C,Structure!$A:$AJ,Q$1,0)*$D167,0),IFERROR(VLOOKUP($E:$E,Structure!$A:$AJ,Q$1,0)*$F167,0),IFERROR(VLOOKUP($G:$G,Structure!$A:$AJ,Q$1,0)*$H167,0))</f>
        <v>0</v>
      </c>
      <c r="R167" s="9">
        <f>SUM(IFERROR(VLOOKUP($C:$C,Structure!$A:$AJ,R$1,0)*$D167,0),IFERROR(VLOOKUP($E:$E,Structure!$A:$AJ,R$1,0)*$F167,0),IFERROR(VLOOKUP($G:$G,Structure!$A:$AJ,R$1,0)*$H167,0))</f>
        <v>0</v>
      </c>
      <c r="S167" s="9">
        <f>SUM(IFERROR(VLOOKUP($C:$C,Structure!$A:$AJ,S$1,0)*$D167,0),IFERROR(VLOOKUP($E:$E,Structure!$A:$AJ,S$1,0)*$F167,0),IFERROR(VLOOKUP($G:$G,Structure!$A:$AJ,S$1,0)*$H167,0))</f>
        <v>0</v>
      </c>
      <c r="T167" s="9">
        <f>SUM(IFERROR(VLOOKUP($C:$C,Structure!$A:$AJ,T$1,0)*$D167,0),IFERROR(VLOOKUP($E:$E,Structure!$A:$AJ,T$1,0)*$F167,0),IFERROR(VLOOKUP($G:$G,Structure!$A:$AJ,T$1,0)*$H167,0))</f>
        <v>0</v>
      </c>
      <c r="U167" s="9">
        <f>SUM(IFERROR(VLOOKUP($C:$C,Structure!$A:$AJ,U$1,0)*$D167,0),IFERROR(VLOOKUP($E:$E,Structure!$A:$AJ,U$1,0)*$F167,0),IFERROR(VLOOKUP($G:$G,Structure!$A:$AJ,U$1,0)*$H167,0))</f>
        <v>0</v>
      </c>
      <c r="V167" s="9">
        <f>SUM(IFERROR(VLOOKUP($C:$C,Structure!$A:$AJ,V$1,0)*$D167,0),IFERROR(VLOOKUP($E:$E,Structure!$A:$AJ,V$1,0)*$F167,0),IFERROR(VLOOKUP($G:$G,Structure!$A:$AJ,V$1,0)*$H167,0))</f>
        <v>8</v>
      </c>
      <c r="W167" s="9">
        <f>SUM(IFERROR(VLOOKUP($C:$C,Structure!$A:$AJ,W$1,0)*$D167,0),IFERROR(VLOOKUP($E:$E,Structure!$A:$AJ,W$1,0)*$F167,0),IFERROR(VLOOKUP($G:$G,Structure!$A:$AJ,W$1,0)*$H167,0))</f>
        <v>0</v>
      </c>
      <c r="X167" s="9">
        <f>SUM(IFERROR(VLOOKUP($C:$C,Structure!$A:$AJ,X$1,0)*$D167,0),IFERROR(VLOOKUP($E:$E,Structure!$A:$AJ,X$1,0)*$F167,0),IFERROR(VLOOKUP($G:$G,Structure!$A:$AJ,X$1,0)*$H167,0))</f>
        <v>0</v>
      </c>
      <c r="Y167" s="9">
        <f>SUM(IFERROR(VLOOKUP($C:$C,Structure!$A:$AJ,Y$1,0)*$D167,0),IFERROR(VLOOKUP($E:$E,Structure!$A:$AJ,Y$1,0)*$F167,0),IFERROR(VLOOKUP($G:$G,Structure!$A:$AJ,Y$1,0)*$H167,0))</f>
        <v>0</v>
      </c>
      <c r="Z167" s="9">
        <f>SUM(IFERROR(VLOOKUP($C:$C,Structure!$A:$AJ,Z$1,0)*$D167,0),IFERROR(VLOOKUP($E:$E,Structure!$A:$AJ,Z$1,0)*$F167,0),IFERROR(VLOOKUP($G:$G,Structure!$A:$AJ,Z$1,0)*$H167,0))</f>
        <v>0</v>
      </c>
      <c r="AA167" s="9">
        <f>SUM(IFERROR(VLOOKUP($C:$C,Structure!$A:$AJ,AA$1,0)*$D167,0),IFERROR(VLOOKUP($E:$E,Structure!$A:$AJ,AA$1,0)*$F167,0),IFERROR(VLOOKUP($G:$G,Structure!$A:$AJ,AA$1,0)*$H167,0))</f>
        <v>0</v>
      </c>
      <c r="AB167" s="9">
        <f>SUM(IFERROR(VLOOKUP($C:$C,Structure!$A:$AJ,AB$1,0)*$D167,0),IFERROR(VLOOKUP($E:$E,Structure!$A:$AJ,AB$1,0)*$F167,0),IFERROR(VLOOKUP($G:$G,Structure!$A:$AJ,AB$1,0)*$H167,0))</f>
        <v>0</v>
      </c>
      <c r="AC167" s="9">
        <f>SUM(IFERROR(VLOOKUP($C:$C,Structure!$A:$AJ,AC$1,0)*$D167,0),IFERROR(VLOOKUP($E:$E,Structure!$A:$AJ,AC$1,0)*$F167,0),IFERROR(VLOOKUP($G:$G,Structure!$A:$AJ,AC$1,0)*$H167,0))</f>
        <v>8</v>
      </c>
      <c r="AD167" s="9">
        <f>SUM(IFERROR(VLOOKUP($C:$C,Structure!$A:$AJ,AD$1,0)*$D167,0),IFERROR(VLOOKUP($E:$E,Structure!$A:$AJ,AD$1,0)*$F167,0),IFERROR(VLOOKUP($G:$G,Structure!$A:$AJ,AD$1,0)*$H167,0))</f>
        <v>0</v>
      </c>
      <c r="AE167" s="9">
        <f>SUM(IFERROR(VLOOKUP($C:$C,Structure!$A:$AJ,AE$1,0)*$D167,0),IFERROR(VLOOKUP($E:$E,Structure!$A:$AJ,AE$1,0)*$F167,0),IFERROR(VLOOKUP($G:$G,Structure!$A:$AJ,AE$1,0)*$H167,0))</f>
        <v>0</v>
      </c>
      <c r="AF167" s="9">
        <f>SUM(IFERROR(VLOOKUP($C:$C,Structure!$A:$AJ,AF$1,0)*$D167,0),IFERROR(VLOOKUP($E:$E,Structure!$A:$AJ,AF$1,0)*$F167,0),IFERROR(VLOOKUP($G:$G,Structure!$A:$AJ,AF$1,0)*$H167,0))</f>
        <v>0</v>
      </c>
      <c r="AG167" s="9">
        <f>SUM(IFERROR(VLOOKUP($C:$C,Structure!$A:$AJ,AG$1,0)*$D167,0),IFERROR(VLOOKUP($E:$E,Structure!$A:$AJ,AG$1,0)*$F167,0),IFERROR(VLOOKUP($G:$G,Structure!$A:$AJ,AG$1,0)*$H167,0))</f>
        <v>0</v>
      </c>
      <c r="AH167" s="9">
        <f>SUM(IFERROR(VLOOKUP($C:$C,Structure!$A:$AJ,AH$1,0)*$D167,0),IFERROR(VLOOKUP($E:$E,Structure!$A:$AJ,AH$1,0)*$F167,0),IFERROR(VLOOKUP($G:$G,Structure!$A:$AJ,AH$1,0)*$H167,0))</f>
        <v>0</v>
      </c>
      <c r="AI167" s="9">
        <f>SUM(IFERROR(VLOOKUP($C:$C,Structure!$A:$AJ,AI$1,0)*$D167,0),IFERROR(VLOOKUP($E:$E,Structure!$A:$AJ,AI$1,0)*$F167,0),IFERROR(VLOOKUP($G:$G,Structure!$A:$AJ,AI$1,0)*$H167,0))</f>
        <v>0</v>
      </c>
      <c r="AJ167" s="9">
        <f>SUM(IFERROR(VLOOKUP($C:$C,Structure!$A:$AJ,AJ$1,0)*$D167,0),IFERROR(VLOOKUP($E:$E,Structure!$A:$AJ,AJ$1,0)*$F167,0),IFERROR(VLOOKUP($G:$G,Structure!$A:$AJ,AJ$1,0)*$H167,0))</f>
        <v>0</v>
      </c>
      <c r="AK167" s="9">
        <f>SUM(IFERROR(VLOOKUP($C:$C,Structure!$A:$AJ,AK$1,0)*$D167,0),IFERROR(VLOOKUP($E:$E,Structure!$A:$AJ,AK$1,0)*$F167,0),IFERROR(VLOOKUP($G:$G,Structure!$A:$AJ,AK$1,0)*$H167,0))</f>
        <v>0</v>
      </c>
      <c r="AL167" s="9">
        <f>SUM(IFERROR(VLOOKUP($C:$C,Structure!$A:$AJ,AL$1,0)*$D167,0),IFERROR(VLOOKUP($E:$E,Structure!$A:$AJ,AL$1,0)*$F167,0),IFERROR(VLOOKUP($G:$G,Structure!$A:$AJ,AL$1,0)*$H167,0))</f>
        <v>0</v>
      </c>
      <c r="AM167" s="9">
        <f>SUM(IFERROR(VLOOKUP($C:$C,Structure!$A:$AJ,AM$1,0)*$D167,0),IFERROR(VLOOKUP($E:$E,Structure!$A:$AJ,AM$1,0)*$F167,0),IFERROR(VLOOKUP($G:$G,Structure!$A:$AJ,AM$1,0)*$H167,0))</f>
        <v>0</v>
      </c>
      <c r="AN167" s="9">
        <f>SUM(IFERROR(VLOOKUP($C:$C,Structure!$A:$AJ,AN$1,0)*$D167,0),IFERROR(VLOOKUP($E:$E,Structure!$A:$AJ,AN$1,0)*$F167,0),IFERROR(VLOOKUP($G:$G,Structure!$A:$AJ,AN$1,0)*$H167,0))</f>
        <v>0</v>
      </c>
      <c r="AO167" s="9">
        <f>SUM(IFERROR(VLOOKUP($C:$C,Structure!$A:$AJ,AO$1,0)*$D167,0),IFERROR(VLOOKUP($E:$E,Structure!$A:$AJ,AO$1,0)*$F167,0),IFERROR(VLOOKUP($G:$G,Structure!$A:$AJ,AO$1,0)*$H167,0))</f>
        <v>0</v>
      </c>
      <c r="AP167" s="9">
        <f>SUM(IFERROR(VLOOKUP($C:$C,Structure!$A:$AJ,AP$1,0)*$D167,0),IFERROR(VLOOKUP($E:$E,Structure!$A:$AJ,AP$1,0)*$F167,0),IFERROR(VLOOKUP($G:$G,Structure!$A:$AJ,AP$1,0)*$H167,0))</f>
        <v>0</v>
      </c>
      <c r="AQ167" s="9">
        <f>SUM(IFERROR(VLOOKUP($C:$C,Structure!$A:$AJ,AQ$1,0)*$D167,0),IFERROR(VLOOKUP($E:$E,Structure!$A:$AJ,AQ$1,0)*$F167,0),IFERROR(VLOOKUP($G:$G,Structure!$A:$AJ,AQ$1,0)*$H167,0))</f>
        <v>0</v>
      </c>
      <c r="AR167" s="21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4">
        <f t="shared" si="197"/>
        <v>0</v>
      </c>
      <c r="CE167" s="4">
        <f t="shared" si="198"/>
        <v>-84</v>
      </c>
      <c r="CF167" s="4">
        <f t="shared" si="199"/>
        <v>4</v>
      </c>
      <c r="CG167" s="4">
        <f t="shared" si="200"/>
        <v>14</v>
      </c>
      <c r="CH167" s="4">
        <f t="shared" si="201"/>
        <v>-7</v>
      </c>
      <c r="CI167" s="4">
        <f t="shared" si="202"/>
        <v>127</v>
      </c>
      <c r="CJ167" s="4">
        <f t="shared" si="203"/>
        <v>-141</v>
      </c>
      <c r="CK167" s="4">
        <f t="shared" si="204"/>
        <v>95</v>
      </c>
      <c r="CL167" s="4">
        <f t="shared" si="205"/>
        <v>0</v>
      </c>
      <c r="CM167" s="4">
        <f t="shared" si="206"/>
        <v>6</v>
      </c>
      <c r="CN167" s="4">
        <f t="shared" si="207"/>
        <v>-28</v>
      </c>
      <c r="CO167" s="4">
        <f t="shared" si="208"/>
        <v>0</v>
      </c>
      <c r="CP167" s="4">
        <f t="shared" si="209"/>
        <v>69</v>
      </c>
      <c r="CQ167" s="4">
        <f t="shared" si="210"/>
        <v>-382</v>
      </c>
      <c r="CR167" s="4">
        <f t="shared" si="211"/>
        <v>15</v>
      </c>
      <c r="CS167" s="4">
        <f t="shared" si="212"/>
        <v>-24</v>
      </c>
      <c r="CT167" s="4">
        <f t="shared" si="213"/>
        <v>0</v>
      </c>
      <c r="CU167" s="4">
        <f t="shared" si="214"/>
        <v>0</v>
      </c>
      <c r="CV167" s="4">
        <f t="shared" si="215"/>
        <v>0</v>
      </c>
      <c r="CW167" s="4">
        <f t="shared" si="216"/>
        <v>0</v>
      </c>
      <c r="CX167" s="4">
        <f t="shared" si="217"/>
        <v>-373</v>
      </c>
      <c r="CY167" s="4">
        <f t="shared" si="218"/>
        <v>0</v>
      </c>
      <c r="CZ167" s="4">
        <f t="shared" si="219"/>
        <v>0</v>
      </c>
      <c r="DA167" s="4">
        <f t="shared" si="220"/>
        <v>0</v>
      </c>
      <c r="DB167" s="4">
        <f t="shared" si="221"/>
        <v>0</v>
      </c>
      <c r="DC167" s="4">
        <f t="shared" si="222"/>
        <v>0</v>
      </c>
      <c r="DD167" s="4">
        <f t="shared" si="223"/>
        <v>0</v>
      </c>
      <c r="DE167" s="4">
        <f t="shared" si="224"/>
        <v>0</v>
      </c>
      <c r="DF167" s="4">
        <f t="shared" si="225"/>
        <v>0</v>
      </c>
      <c r="DG167" s="4">
        <f t="shared" si="226"/>
        <v>0</v>
      </c>
      <c r="DH167" s="4">
        <f t="shared" si="227"/>
        <v>0</v>
      </c>
      <c r="DI167" s="4">
        <f t="shared" si="228"/>
        <v>0</v>
      </c>
      <c r="DJ167" s="4">
        <f t="shared" si="229"/>
        <v>0</v>
      </c>
      <c r="DK167" s="4">
        <f t="shared" si="230"/>
        <v>0</v>
      </c>
      <c r="DL167" s="4">
        <f t="shared" si="231"/>
        <v>0</v>
      </c>
    </row>
    <row r="168" spans="1:116" x14ac:dyDescent="0.25">
      <c r="A168" s="5">
        <v>46186</v>
      </c>
      <c r="B168" s="6">
        <v>0.75000000040017767</v>
      </c>
      <c r="C168" s="3"/>
      <c r="D168" s="3"/>
      <c r="E168" s="3" t="s">
        <v>30</v>
      </c>
      <c r="F168" s="3">
        <v>8</v>
      </c>
      <c r="G168" s="3"/>
      <c r="H168" s="9"/>
      <c r="I168" s="9">
        <f>SUM(IFERROR(VLOOKUP($C:$C,Structure!$A:$AJ,I$1,0)*$D168,0),IFERROR(VLOOKUP($E:$E,Structure!$A:$AJ,I$1,0)*$F168,0),IFERROR(VLOOKUP($G:$G,Structure!$A:$AJ,I$1,0)*$H168,0))</f>
        <v>0</v>
      </c>
      <c r="J168" s="9">
        <f>SUM(IFERROR(VLOOKUP($C:$C,Structure!$A:$AJ,J$1,0)*$D168,0),IFERROR(VLOOKUP($E:$E,Structure!$A:$AJ,J$1,0)*$F168,0),IFERROR(VLOOKUP($G:$G,Structure!$A:$AJ,J$1,0)*$H168,0))</f>
        <v>0</v>
      </c>
      <c r="K168" s="9">
        <f>SUM(IFERROR(VLOOKUP($C:$C,Structure!$A:$AJ,K$1,0)*$D168,0),IFERROR(VLOOKUP($E:$E,Structure!$A:$AJ,K$1,0)*$F168,0),IFERROR(VLOOKUP($G:$G,Structure!$A:$AJ,K$1,0)*$H168,0))</f>
        <v>0</v>
      </c>
      <c r="L168" s="9">
        <f>SUM(IFERROR(VLOOKUP($C:$C,Structure!$A:$AJ,L$1,0)*$D168,0),IFERROR(VLOOKUP($E:$E,Structure!$A:$AJ,L$1,0)*$F168,0),IFERROR(VLOOKUP($G:$G,Structure!$A:$AJ,L$1,0)*$H168,0))</f>
        <v>0</v>
      </c>
      <c r="M168" s="9">
        <f>SUM(IFERROR(VLOOKUP($C:$C,Structure!$A:$AJ,M$1,0)*$D168,0),IFERROR(VLOOKUP($E:$E,Structure!$A:$AJ,M$1,0)*$F168,0),IFERROR(VLOOKUP($G:$G,Structure!$A:$AJ,M$1,0)*$H168,0))</f>
        <v>0</v>
      </c>
      <c r="N168" s="9">
        <f>SUM(IFERROR(VLOOKUP($C:$C,Structure!$A:$AJ,N$1,0)*$D168,0),IFERROR(VLOOKUP($E:$E,Structure!$A:$AJ,N$1,0)*$F168,0),IFERROR(VLOOKUP($G:$G,Structure!$A:$AJ,N$1,0)*$H168,0))</f>
        <v>0</v>
      </c>
      <c r="O168" s="9">
        <f>SUM(IFERROR(VLOOKUP($C:$C,Structure!$A:$AJ,O$1,0)*$D168,0),IFERROR(VLOOKUP($E:$E,Structure!$A:$AJ,O$1,0)*$F168,0),IFERROR(VLOOKUP($G:$G,Structure!$A:$AJ,O$1,0)*$H168,0))</f>
        <v>0</v>
      </c>
      <c r="P168" s="9">
        <f>SUM(IFERROR(VLOOKUP($C:$C,Structure!$A:$AJ,P$1,0)*$D168,0),IFERROR(VLOOKUP($E:$E,Structure!$A:$AJ,P$1,0)*$F168,0),IFERROR(VLOOKUP($G:$G,Structure!$A:$AJ,P$1,0)*$H168,0))</f>
        <v>0</v>
      </c>
      <c r="Q168" s="9">
        <f>SUM(IFERROR(VLOOKUP($C:$C,Structure!$A:$AJ,Q$1,0)*$D168,0),IFERROR(VLOOKUP($E:$E,Structure!$A:$AJ,Q$1,0)*$F168,0),IFERROR(VLOOKUP($G:$G,Structure!$A:$AJ,Q$1,0)*$H168,0))</f>
        <v>0</v>
      </c>
      <c r="R168" s="9">
        <f>SUM(IFERROR(VLOOKUP($C:$C,Structure!$A:$AJ,R$1,0)*$D168,0),IFERROR(VLOOKUP($E:$E,Structure!$A:$AJ,R$1,0)*$F168,0),IFERROR(VLOOKUP($G:$G,Structure!$A:$AJ,R$1,0)*$H168,0))</f>
        <v>0</v>
      </c>
      <c r="S168" s="9">
        <f>SUM(IFERROR(VLOOKUP($C:$C,Structure!$A:$AJ,S$1,0)*$D168,0),IFERROR(VLOOKUP($E:$E,Structure!$A:$AJ,S$1,0)*$F168,0),IFERROR(VLOOKUP($G:$G,Structure!$A:$AJ,S$1,0)*$H168,0))</f>
        <v>0</v>
      </c>
      <c r="T168" s="9">
        <f>SUM(IFERROR(VLOOKUP($C:$C,Structure!$A:$AJ,T$1,0)*$D168,0),IFERROR(VLOOKUP($E:$E,Structure!$A:$AJ,T$1,0)*$F168,0),IFERROR(VLOOKUP($G:$G,Structure!$A:$AJ,T$1,0)*$H168,0))</f>
        <v>0</v>
      </c>
      <c r="U168" s="9">
        <f>SUM(IFERROR(VLOOKUP($C:$C,Structure!$A:$AJ,U$1,0)*$D168,0),IFERROR(VLOOKUP($E:$E,Structure!$A:$AJ,U$1,0)*$F168,0),IFERROR(VLOOKUP($G:$G,Structure!$A:$AJ,U$1,0)*$H168,0))</f>
        <v>0</v>
      </c>
      <c r="V168" s="9">
        <f>SUM(IFERROR(VLOOKUP($C:$C,Structure!$A:$AJ,V$1,0)*$D168,0),IFERROR(VLOOKUP($E:$E,Structure!$A:$AJ,V$1,0)*$F168,0),IFERROR(VLOOKUP($G:$G,Structure!$A:$AJ,V$1,0)*$H168,0))</f>
        <v>8</v>
      </c>
      <c r="W168" s="9">
        <f>SUM(IFERROR(VLOOKUP($C:$C,Structure!$A:$AJ,W$1,0)*$D168,0),IFERROR(VLOOKUP($E:$E,Structure!$A:$AJ,W$1,0)*$F168,0),IFERROR(VLOOKUP($G:$G,Structure!$A:$AJ,W$1,0)*$H168,0))</f>
        <v>0</v>
      </c>
      <c r="X168" s="9">
        <f>SUM(IFERROR(VLOOKUP($C:$C,Structure!$A:$AJ,X$1,0)*$D168,0),IFERROR(VLOOKUP($E:$E,Structure!$A:$AJ,X$1,0)*$F168,0),IFERROR(VLOOKUP($G:$G,Structure!$A:$AJ,X$1,0)*$H168,0))</f>
        <v>0</v>
      </c>
      <c r="Y168" s="9">
        <f>SUM(IFERROR(VLOOKUP($C:$C,Structure!$A:$AJ,Y$1,0)*$D168,0),IFERROR(VLOOKUP($E:$E,Structure!$A:$AJ,Y$1,0)*$F168,0),IFERROR(VLOOKUP($G:$G,Structure!$A:$AJ,Y$1,0)*$H168,0))</f>
        <v>0</v>
      </c>
      <c r="Z168" s="9">
        <f>SUM(IFERROR(VLOOKUP($C:$C,Structure!$A:$AJ,Z$1,0)*$D168,0),IFERROR(VLOOKUP($E:$E,Structure!$A:$AJ,Z$1,0)*$F168,0),IFERROR(VLOOKUP($G:$G,Structure!$A:$AJ,Z$1,0)*$H168,0))</f>
        <v>0</v>
      </c>
      <c r="AA168" s="9">
        <f>SUM(IFERROR(VLOOKUP($C:$C,Structure!$A:$AJ,AA$1,0)*$D168,0),IFERROR(VLOOKUP($E:$E,Structure!$A:$AJ,AA$1,0)*$F168,0),IFERROR(VLOOKUP($G:$G,Structure!$A:$AJ,AA$1,0)*$H168,0))</f>
        <v>0</v>
      </c>
      <c r="AB168" s="9">
        <f>SUM(IFERROR(VLOOKUP($C:$C,Structure!$A:$AJ,AB$1,0)*$D168,0),IFERROR(VLOOKUP($E:$E,Structure!$A:$AJ,AB$1,0)*$F168,0),IFERROR(VLOOKUP($G:$G,Structure!$A:$AJ,AB$1,0)*$H168,0))</f>
        <v>0</v>
      </c>
      <c r="AC168" s="9">
        <f>SUM(IFERROR(VLOOKUP($C:$C,Structure!$A:$AJ,AC$1,0)*$D168,0),IFERROR(VLOOKUP($E:$E,Structure!$A:$AJ,AC$1,0)*$F168,0),IFERROR(VLOOKUP($G:$G,Structure!$A:$AJ,AC$1,0)*$H168,0))</f>
        <v>8</v>
      </c>
      <c r="AD168" s="9">
        <f>SUM(IFERROR(VLOOKUP($C:$C,Structure!$A:$AJ,AD$1,0)*$D168,0),IFERROR(VLOOKUP($E:$E,Structure!$A:$AJ,AD$1,0)*$F168,0),IFERROR(VLOOKUP($G:$G,Structure!$A:$AJ,AD$1,0)*$H168,0))</f>
        <v>0</v>
      </c>
      <c r="AE168" s="9">
        <f>SUM(IFERROR(VLOOKUP($C:$C,Structure!$A:$AJ,AE$1,0)*$D168,0),IFERROR(VLOOKUP($E:$E,Structure!$A:$AJ,AE$1,0)*$F168,0),IFERROR(VLOOKUP($G:$G,Structure!$A:$AJ,AE$1,0)*$H168,0))</f>
        <v>0</v>
      </c>
      <c r="AF168" s="9">
        <f>SUM(IFERROR(VLOOKUP($C:$C,Structure!$A:$AJ,AF$1,0)*$D168,0),IFERROR(VLOOKUP($E:$E,Structure!$A:$AJ,AF$1,0)*$F168,0),IFERROR(VLOOKUP($G:$G,Structure!$A:$AJ,AF$1,0)*$H168,0))</f>
        <v>0</v>
      </c>
      <c r="AG168" s="9">
        <f>SUM(IFERROR(VLOOKUP($C:$C,Structure!$A:$AJ,AG$1,0)*$D168,0),IFERROR(VLOOKUP($E:$E,Structure!$A:$AJ,AG$1,0)*$F168,0),IFERROR(VLOOKUP($G:$G,Structure!$A:$AJ,AG$1,0)*$H168,0))</f>
        <v>0</v>
      </c>
      <c r="AH168" s="9">
        <f>SUM(IFERROR(VLOOKUP($C:$C,Structure!$A:$AJ,AH$1,0)*$D168,0),IFERROR(VLOOKUP($E:$E,Structure!$A:$AJ,AH$1,0)*$F168,0),IFERROR(VLOOKUP($G:$G,Structure!$A:$AJ,AH$1,0)*$H168,0))</f>
        <v>0</v>
      </c>
      <c r="AI168" s="9">
        <f>SUM(IFERROR(VLOOKUP($C:$C,Structure!$A:$AJ,AI$1,0)*$D168,0),IFERROR(VLOOKUP($E:$E,Structure!$A:$AJ,AI$1,0)*$F168,0),IFERROR(VLOOKUP($G:$G,Structure!$A:$AJ,AI$1,0)*$H168,0))</f>
        <v>0</v>
      </c>
      <c r="AJ168" s="9">
        <f>SUM(IFERROR(VLOOKUP($C:$C,Structure!$A:$AJ,AJ$1,0)*$D168,0),IFERROR(VLOOKUP($E:$E,Structure!$A:$AJ,AJ$1,0)*$F168,0),IFERROR(VLOOKUP($G:$G,Structure!$A:$AJ,AJ$1,0)*$H168,0))</f>
        <v>0</v>
      </c>
      <c r="AK168" s="9">
        <f>SUM(IFERROR(VLOOKUP($C:$C,Structure!$A:$AJ,AK$1,0)*$D168,0),IFERROR(VLOOKUP($E:$E,Structure!$A:$AJ,AK$1,0)*$F168,0),IFERROR(VLOOKUP($G:$G,Structure!$A:$AJ,AK$1,0)*$H168,0))</f>
        <v>0</v>
      </c>
      <c r="AL168" s="9">
        <f>SUM(IFERROR(VLOOKUP($C:$C,Structure!$A:$AJ,AL$1,0)*$D168,0),IFERROR(VLOOKUP($E:$E,Structure!$A:$AJ,AL$1,0)*$F168,0),IFERROR(VLOOKUP($G:$G,Structure!$A:$AJ,AL$1,0)*$H168,0))</f>
        <v>0</v>
      </c>
      <c r="AM168" s="9">
        <f>SUM(IFERROR(VLOOKUP($C:$C,Structure!$A:$AJ,AM$1,0)*$D168,0),IFERROR(VLOOKUP($E:$E,Structure!$A:$AJ,AM$1,0)*$F168,0),IFERROR(VLOOKUP($G:$G,Structure!$A:$AJ,AM$1,0)*$H168,0))</f>
        <v>0</v>
      </c>
      <c r="AN168" s="9">
        <f>SUM(IFERROR(VLOOKUP($C:$C,Structure!$A:$AJ,AN$1,0)*$D168,0),IFERROR(VLOOKUP($E:$E,Structure!$A:$AJ,AN$1,0)*$F168,0),IFERROR(VLOOKUP($G:$G,Structure!$A:$AJ,AN$1,0)*$H168,0))</f>
        <v>0</v>
      </c>
      <c r="AO168" s="9">
        <f>SUM(IFERROR(VLOOKUP($C:$C,Structure!$A:$AJ,AO$1,0)*$D168,0),IFERROR(VLOOKUP($E:$E,Structure!$A:$AJ,AO$1,0)*$F168,0),IFERROR(VLOOKUP($G:$G,Structure!$A:$AJ,AO$1,0)*$H168,0))</f>
        <v>0</v>
      </c>
      <c r="AP168" s="9">
        <f>SUM(IFERROR(VLOOKUP($C:$C,Structure!$A:$AJ,AP$1,0)*$D168,0),IFERROR(VLOOKUP($E:$E,Structure!$A:$AJ,AP$1,0)*$F168,0),IFERROR(VLOOKUP($G:$G,Structure!$A:$AJ,AP$1,0)*$H168,0))</f>
        <v>0</v>
      </c>
      <c r="AQ168" s="9">
        <f>SUM(IFERROR(VLOOKUP($C:$C,Structure!$A:$AJ,AQ$1,0)*$D168,0),IFERROR(VLOOKUP($E:$E,Structure!$A:$AJ,AQ$1,0)*$F168,0),IFERROR(VLOOKUP($G:$G,Structure!$A:$AJ,AQ$1,0)*$H168,0))</f>
        <v>0</v>
      </c>
      <c r="AR168" s="21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4">
        <f t="shared" si="197"/>
        <v>0</v>
      </c>
      <c r="CE168" s="4">
        <f t="shared" si="198"/>
        <v>-84</v>
      </c>
      <c r="CF168" s="4">
        <f t="shared" si="199"/>
        <v>4</v>
      </c>
      <c r="CG168" s="4">
        <f t="shared" si="200"/>
        <v>14</v>
      </c>
      <c r="CH168" s="4">
        <f t="shared" si="201"/>
        <v>-7</v>
      </c>
      <c r="CI168" s="4">
        <f t="shared" si="202"/>
        <v>127</v>
      </c>
      <c r="CJ168" s="4">
        <f t="shared" si="203"/>
        <v>-141</v>
      </c>
      <c r="CK168" s="4">
        <f t="shared" si="204"/>
        <v>95</v>
      </c>
      <c r="CL168" s="4">
        <f t="shared" si="205"/>
        <v>0</v>
      </c>
      <c r="CM168" s="4">
        <f t="shared" si="206"/>
        <v>6</v>
      </c>
      <c r="CN168" s="4">
        <f t="shared" si="207"/>
        <v>-28</v>
      </c>
      <c r="CO168" s="4">
        <f t="shared" si="208"/>
        <v>0</v>
      </c>
      <c r="CP168" s="4">
        <f t="shared" si="209"/>
        <v>69</v>
      </c>
      <c r="CQ168" s="4">
        <f t="shared" si="210"/>
        <v>-390</v>
      </c>
      <c r="CR168" s="4">
        <f t="shared" si="211"/>
        <v>15</v>
      </c>
      <c r="CS168" s="4">
        <f t="shared" si="212"/>
        <v>-24</v>
      </c>
      <c r="CT168" s="4">
        <f t="shared" si="213"/>
        <v>0</v>
      </c>
      <c r="CU168" s="4">
        <f t="shared" si="214"/>
        <v>0</v>
      </c>
      <c r="CV168" s="4">
        <f t="shared" si="215"/>
        <v>0</v>
      </c>
      <c r="CW168" s="4">
        <f t="shared" si="216"/>
        <v>0</v>
      </c>
      <c r="CX168" s="4">
        <f t="shared" si="217"/>
        <v>-381</v>
      </c>
      <c r="CY168" s="4">
        <f t="shared" si="218"/>
        <v>0</v>
      </c>
      <c r="CZ168" s="4">
        <f t="shared" si="219"/>
        <v>0</v>
      </c>
      <c r="DA168" s="4">
        <f t="shared" si="220"/>
        <v>0</v>
      </c>
      <c r="DB168" s="4">
        <f t="shared" si="221"/>
        <v>0</v>
      </c>
      <c r="DC168" s="4">
        <f t="shared" si="222"/>
        <v>0</v>
      </c>
      <c r="DD168" s="4">
        <f t="shared" si="223"/>
        <v>0</v>
      </c>
      <c r="DE168" s="4">
        <f t="shared" si="224"/>
        <v>0</v>
      </c>
      <c r="DF168" s="4">
        <f t="shared" si="225"/>
        <v>0</v>
      </c>
      <c r="DG168" s="4">
        <f t="shared" si="226"/>
        <v>0</v>
      </c>
      <c r="DH168" s="4">
        <f t="shared" si="227"/>
        <v>0</v>
      </c>
      <c r="DI168" s="4">
        <f t="shared" si="228"/>
        <v>0</v>
      </c>
      <c r="DJ168" s="4">
        <f t="shared" si="229"/>
        <v>0</v>
      </c>
      <c r="DK168" s="4">
        <f t="shared" si="230"/>
        <v>0</v>
      </c>
      <c r="DL168" s="4">
        <f t="shared" si="231"/>
        <v>0</v>
      </c>
    </row>
    <row r="169" spans="1:116" x14ac:dyDescent="0.25">
      <c r="A169" s="5">
        <v>46186</v>
      </c>
      <c r="B169" s="6">
        <v>0.77083333373593632</v>
      </c>
      <c r="C169" s="3"/>
      <c r="D169" s="3"/>
      <c r="E169" s="3" t="s">
        <v>30</v>
      </c>
      <c r="F169" s="3">
        <v>8</v>
      </c>
      <c r="G169" s="3"/>
      <c r="H169" s="9"/>
      <c r="I169" s="9">
        <f>SUM(IFERROR(VLOOKUP($C:$C,Structure!$A:$AJ,I$1,0)*$D169,0),IFERROR(VLOOKUP($E:$E,Structure!$A:$AJ,I$1,0)*$F169,0),IFERROR(VLOOKUP($G:$G,Structure!$A:$AJ,I$1,0)*$H169,0))</f>
        <v>0</v>
      </c>
      <c r="J169" s="9">
        <f>SUM(IFERROR(VLOOKUP($C:$C,Structure!$A:$AJ,J$1,0)*$D169,0),IFERROR(VLOOKUP($E:$E,Structure!$A:$AJ,J$1,0)*$F169,0),IFERROR(VLOOKUP($G:$G,Structure!$A:$AJ,J$1,0)*$H169,0))</f>
        <v>0</v>
      </c>
      <c r="K169" s="9">
        <f>SUM(IFERROR(VLOOKUP($C:$C,Structure!$A:$AJ,K$1,0)*$D169,0),IFERROR(VLOOKUP($E:$E,Structure!$A:$AJ,K$1,0)*$F169,0),IFERROR(VLOOKUP($G:$G,Structure!$A:$AJ,K$1,0)*$H169,0))</f>
        <v>0</v>
      </c>
      <c r="L169" s="9">
        <f>SUM(IFERROR(VLOOKUP($C:$C,Structure!$A:$AJ,L$1,0)*$D169,0),IFERROR(VLOOKUP($E:$E,Structure!$A:$AJ,L$1,0)*$F169,0),IFERROR(VLOOKUP($G:$G,Structure!$A:$AJ,L$1,0)*$H169,0))</f>
        <v>0</v>
      </c>
      <c r="M169" s="9">
        <f>SUM(IFERROR(VLOOKUP($C:$C,Structure!$A:$AJ,M$1,0)*$D169,0),IFERROR(VLOOKUP($E:$E,Structure!$A:$AJ,M$1,0)*$F169,0),IFERROR(VLOOKUP($G:$G,Structure!$A:$AJ,M$1,0)*$H169,0))</f>
        <v>0</v>
      </c>
      <c r="N169" s="9">
        <f>SUM(IFERROR(VLOOKUP($C:$C,Structure!$A:$AJ,N$1,0)*$D169,0),IFERROR(VLOOKUP($E:$E,Structure!$A:$AJ,N$1,0)*$F169,0),IFERROR(VLOOKUP($G:$G,Structure!$A:$AJ,N$1,0)*$H169,0))</f>
        <v>0</v>
      </c>
      <c r="O169" s="9">
        <f>SUM(IFERROR(VLOOKUP($C:$C,Structure!$A:$AJ,O$1,0)*$D169,0),IFERROR(VLOOKUP($E:$E,Structure!$A:$AJ,O$1,0)*$F169,0),IFERROR(VLOOKUP($G:$G,Structure!$A:$AJ,O$1,0)*$H169,0))</f>
        <v>0</v>
      </c>
      <c r="P169" s="9">
        <f>SUM(IFERROR(VLOOKUP($C:$C,Structure!$A:$AJ,P$1,0)*$D169,0),IFERROR(VLOOKUP($E:$E,Structure!$A:$AJ,P$1,0)*$F169,0),IFERROR(VLOOKUP($G:$G,Structure!$A:$AJ,P$1,0)*$H169,0))</f>
        <v>0</v>
      </c>
      <c r="Q169" s="9">
        <f>SUM(IFERROR(VLOOKUP($C:$C,Structure!$A:$AJ,Q$1,0)*$D169,0),IFERROR(VLOOKUP($E:$E,Structure!$A:$AJ,Q$1,0)*$F169,0),IFERROR(VLOOKUP($G:$G,Structure!$A:$AJ,Q$1,0)*$H169,0))</f>
        <v>0</v>
      </c>
      <c r="R169" s="9">
        <f>SUM(IFERROR(VLOOKUP($C:$C,Structure!$A:$AJ,R$1,0)*$D169,0),IFERROR(VLOOKUP($E:$E,Structure!$A:$AJ,R$1,0)*$F169,0),IFERROR(VLOOKUP($G:$G,Structure!$A:$AJ,R$1,0)*$H169,0))</f>
        <v>0</v>
      </c>
      <c r="S169" s="9">
        <f>SUM(IFERROR(VLOOKUP($C:$C,Structure!$A:$AJ,S$1,0)*$D169,0),IFERROR(VLOOKUP($E:$E,Structure!$A:$AJ,S$1,0)*$F169,0),IFERROR(VLOOKUP($G:$G,Structure!$A:$AJ,S$1,0)*$H169,0))</f>
        <v>0</v>
      </c>
      <c r="T169" s="9">
        <f>SUM(IFERROR(VLOOKUP($C:$C,Structure!$A:$AJ,T$1,0)*$D169,0),IFERROR(VLOOKUP($E:$E,Structure!$A:$AJ,T$1,0)*$F169,0),IFERROR(VLOOKUP($G:$G,Structure!$A:$AJ,T$1,0)*$H169,0))</f>
        <v>0</v>
      </c>
      <c r="U169" s="9">
        <f>SUM(IFERROR(VLOOKUP($C:$C,Structure!$A:$AJ,U$1,0)*$D169,0),IFERROR(VLOOKUP($E:$E,Structure!$A:$AJ,U$1,0)*$F169,0),IFERROR(VLOOKUP($G:$G,Structure!$A:$AJ,U$1,0)*$H169,0))</f>
        <v>0</v>
      </c>
      <c r="V169" s="9">
        <f>SUM(IFERROR(VLOOKUP($C:$C,Structure!$A:$AJ,V$1,0)*$D169,0),IFERROR(VLOOKUP($E:$E,Structure!$A:$AJ,V$1,0)*$F169,0),IFERROR(VLOOKUP($G:$G,Structure!$A:$AJ,V$1,0)*$H169,0))</f>
        <v>8</v>
      </c>
      <c r="W169" s="9">
        <f>SUM(IFERROR(VLOOKUP($C:$C,Structure!$A:$AJ,W$1,0)*$D169,0),IFERROR(VLOOKUP($E:$E,Structure!$A:$AJ,W$1,0)*$F169,0),IFERROR(VLOOKUP($G:$G,Structure!$A:$AJ,W$1,0)*$H169,0))</f>
        <v>0</v>
      </c>
      <c r="X169" s="9">
        <f>SUM(IFERROR(VLOOKUP($C:$C,Structure!$A:$AJ,X$1,0)*$D169,0),IFERROR(VLOOKUP($E:$E,Structure!$A:$AJ,X$1,0)*$F169,0),IFERROR(VLOOKUP($G:$G,Structure!$A:$AJ,X$1,0)*$H169,0))</f>
        <v>0</v>
      </c>
      <c r="Y169" s="9">
        <f>SUM(IFERROR(VLOOKUP($C:$C,Structure!$A:$AJ,Y$1,0)*$D169,0),IFERROR(VLOOKUP($E:$E,Structure!$A:$AJ,Y$1,0)*$F169,0),IFERROR(VLOOKUP($G:$G,Structure!$A:$AJ,Y$1,0)*$H169,0))</f>
        <v>0</v>
      </c>
      <c r="Z169" s="9">
        <f>SUM(IFERROR(VLOOKUP($C:$C,Structure!$A:$AJ,Z$1,0)*$D169,0),IFERROR(VLOOKUP($E:$E,Structure!$A:$AJ,Z$1,0)*$F169,0),IFERROR(VLOOKUP($G:$G,Structure!$A:$AJ,Z$1,0)*$H169,0))</f>
        <v>0</v>
      </c>
      <c r="AA169" s="9">
        <f>SUM(IFERROR(VLOOKUP($C:$C,Structure!$A:$AJ,AA$1,0)*$D169,0),IFERROR(VLOOKUP($E:$E,Structure!$A:$AJ,AA$1,0)*$F169,0),IFERROR(VLOOKUP($G:$G,Structure!$A:$AJ,AA$1,0)*$H169,0))</f>
        <v>0</v>
      </c>
      <c r="AB169" s="9">
        <f>SUM(IFERROR(VLOOKUP($C:$C,Structure!$A:$AJ,AB$1,0)*$D169,0),IFERROR(VLOOKUP($E:$E,Structure!$A:$AJ,AB$1,0)*$F169,0),IFERROR(VLOOKUP($G:$G,Structure!$A:$AJ,AB$1,0)*$H169,0))</f>
        <v>0</v>
      </c>
      <c r="AC169" s="9">
        <f>SUM(IFERROR(VLOOKUP($C:$C,Structure!$A:$AJ,AC$1,0)*$D169,0),IFERROR(VLOOKUP($E:$E,Structure!$A:$AJ,AC$1,0)*$F169,0),IFERROR(VLOOKUP($G:$G,Structure!$A:$AJ,AC$1,0)*$H169,0))</f>
        <v>8</v>
      </c>
      <c r="AD169" s="9">
        <f>SUM(IFERROR(VLOOKUP($C:$C,Structure!$A:$AJ,AD$1,0)*$D169,0),IFERROR(VLOOKUP($E:$E,Structure!$A:$AJ,AD$1,0)*$F169,0),IFERROR(VLOOKUP($G:$G,Structure!$A:$AJ,AD$1,0)*$H169,0))</f>
        <v>0</v>
      </c>
      <c r="AE169" s="9">
        <f>SUM(IFERROR(VLOOKUP($C:$C,Structure!$A:$AJ,AE$1,0)*$D169,0),IFERROR(VLOOKUP($E:$E,Structure!$A:$AJ,AE$1,0)*$F169,0),IFERROR(VLOOKUP($G:$G,Structure!$A:$AJ,AE$1,0)*$H169,0))</f>
        <v>0</v>
      </c>
      <c r="AF169" s="9">
        <f>SUM(IFERROR(VLOOKUP($C:$C,Structure!$A:$AJ,AF$1,0)*$D169,0),IFERROR(VLOOKUP($E:$E,Structure!$A:$AJ,AF$1,0)*$F169,0),IFERROR(VLOOKUP($G:$G,Structure!$A:$AJ,AF$1,0)*$H169,0))</f>
        <v>0</v>
      </c>
      <c r="AG169" s="9">
        <f>SUM(IFERROR(VLOOKUP($C:$C,Structure!$A:$AJ,AG$1,0)*$D169,0),IFERROR(VLOOKUP($E:$E,Structure!$A:$AJ,AG$1,0)*$F169,0),IFERROR(VLOOKUP($G:$G,Structure!$A:$AJ,AG$1,0)*$H169,0))</f>
        <v>0</v>
      </c>
      <c r="AH169" s="9">
        <f>SUM(IFERROR(VLOOKUP($C:$C,Structure!$A:$AJ,AH$1,0)*$D169,0),IFERROR(VLOOKUP($E:$E,Structure!$A:$AJ,AH$1,0)*$F169,0),IFERROR(VLOOKUP($G:$G,Structure!$A:$AJ,AH$1,0)*$H169,0))</f>
        <v>0</v>
      </c>
      <c r="AI169" s="9">
        <f>SUM(IFERROR(VLOOKUP($C:$C,Structure!$A:$AJ,AI$1,0)*$D169,0),IFERROR(VLOOKUP($E:$E,Structure!$A:$AJ,AI$1,0)*$F169,0),IFERROR(VLOOKUP($G:$G,Structure!$A:$AJ,AI$1,0)*$H169,0))</f>
        <v>0</v>
      </c>
      <c r="AJ169" s="9">
        <f>SUM(IFERROR(VLOOKUP($C:$C,Structure!$A:$AJ,AJ$1,0)*$D169,0),IFERROR(VLOOKUP($E:$E,Structure!$A:$AJ,AJ$1,0)*$F169,0),IFERROR(VLOOKUP($G:$G,Structure!$A:$AJ,AJ$1,0)*$H169,0))</f>
        <v>0</v>
      </c>
      <c r="AK169" s="9">
        <f>SUM(IFERROR(VLOOKUP($C:$C,Structure!$A:$AJ,AK$1,0)*$D169,0),IFERROR(VLOOKUP($E:$E,Structure!$A:$AJ,AK$1,0)*$F169,0),IFERROR(VLOOKUP($G:$G,Structure!$A:$AJ,AK$1,0)*$H169,0))</f>
        <v>0</v>
      </c>
      <c r="AL169" s="9">
        <f>SUM(IFERROR(VLOOKUP($C:$C,Structure!$A:$AJ,AL$1,0)*$D169,0),IFERROR(VLOOKUP($E:$E,Structure!$A:$AJ,AL$1,0)*$F169,0),IFERROR(VLOOKUP($G:$G,Structure!$A:$AJ,AL$1,0)*$H169,0))</f>
        <v>0</v>
      </c>
      <c r="AM169" s="9">
        <f>SUM(IFERROR(VLOOKUP($C:$C,Structure!$A:$AJ,AM$1,0)*$D169,0),IFERROR(VLOOKUP($E:$E,Structure!$A:$AJ,AM$1,0)*$F169,0),IFERROR(VLOOKUP($G:$G,Structure!$A:$AJ,AM$1,0)*$H169,0))</f>
        <v>0</v>
      </c>
      <c r="AN169" s="9">
        <f>SUM(IFERROR(VLOOKUP($C:$C,Structure!$A:$AJ,AN$1,0)*$D169,0),IFERROR(VLOOKUP($E:$E,Structure!$A:$AJ,AN$1,0)*$F169,0),IFERROR(VLOOKUP($G:$G,Structure!$A:$AJ,AN$1,0)*$H169,0))</f>
        <v>0</v>
      </c>
      <c r="AO169" s="9">
        <f>SUM(IFERROR(VLOOKUP($C:$C,Structure!$A:$AJ,AO$1,0)*$D169,0),IFERROR(VLOOKUP($E:$E,Structure!$A:$AJ,AO$1,0)*$F169,0),IFERROR(VLOOKUP($G:$G,Structure!$A:$AJ,AO$1,0)*$H169,0))</f>
        <v>0</v>
      </c>
      <c r="AP169" s="9">
        <f>SUM(IFERROR(VLOOKUP($C:$C,Structure!$A:$AJ,AP$1,0)*$D169,0),IFERROR(VLOOKUP($E:$E,Structure!$A:$AJ,AP$1,0)*$F169,0),IFERROR(VLOOKUP($G:$G,Structure!$A:$AJ,AP$1,0)*$H169,0))</f>
        <v>0</v>
      </c>
      <c r="AQ169" s="9">
        <f>SUM(IFERROR(VLOOKUP($C:$C,Structure!$A:$AJ,AQ$1,0)*$D169,0),IFERROR(VLOOKUP($E:$E,Structure!$A:$AJ,AQ$1,0)*$F169,0),IFERROR(VLOOKUP($G:$G,Structure!$A:$AJ,AQ$1,0)*$H169,0))</f>
        <v>0</v>
      </c>
      <c r="AR169" s="21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4">
        <f t="shared" si="197"/>
        <v>0</v>
      </c>
      <c r="CE169" s="4">
        <f t="shared" si="198"/>
        <v>-84</v>
      </c>
      <c r="CF169" s="4">
        <f t="shared" si="199"/>
        <v>4</v>
      </c>
      <c r="CG169" s="4">
        <f t="shared" si="200"/>
        <v>14</v>
      </c>
      <c r="CH169" s="4">
        <f t="shared" si="201"/>
        <v>-7</v>
      </c>
      <c r="CI169" s="4">
        <f t="shared" si="202"/>
        <v>127</v>
      </c>
      <c r="CJ169" s="4">
        <f t="shared" si="203"/>
        <v>-141</v>
      </c>
      <c r="CK169" s="4">
        <f t="shared" si="204"/>
        <v>95</v>
      </c>
      <c r="CL169" s="4">
        <f t="shared" si="205"/>
        <v>0</v>
      </c>
      <c r="CM169" s="4">
        <f t="shared" si="206"/>
        <v>6</v>
      </c>
      <c r="CN169" s="4">
        <f t="shared" si="207"/>
        <v>-28</v>
      </c>
      <c r="CO169" s="4">
        <f t="shared" si="208"/>
        <v>0</v>
      </c>
      <c r="CP169" s="4">
        <f t="shared" si="209"/>
        <v>69</v>
      </c>
      <c r="CQ169" s="4">
        <f t="shared" si="210"/>
        <v>-398</v>
      </c>
      <c r="CR169" s="4">
        <f t="shared" si="211"/>
        <v>15</v>
      </c>
      <c r="CS169" s="4">
        <f t="shared" si="212"/>
        <v>-24</v>
      </c>
      <c r="CT169" s="4">
        <f t="shared" si="213"/>
        <v>0</v>
      </c>
      <c r="CU169" s="4">
        <f t="shared" si="214"/>
        <v>0</v>
      </c>
      <c r="CV169" s="4">
        <f t="shared" si="215"/>
        <v>0</v>
      </c>
      <c r="CW169" s="4">
        <f t="shared" si="216"/>
        <v>0</v>
      </c>
      <c r="CX169" s="4">
        <f t="shared" si="217"/>
        <v>-389</v>
      </c>
      <c r="CY169" s="4">
        <f t="shared" si="218"/>
        <v>0</v>
      </c>
      <c r="CZ169" s="4">
        <f t="shared" si="219"/>
        <v>0</v>
      </c>
      <c r="DA169" s="4">
        <f t="shared" si="220"/>
        <v>0</v>
      </c>
      <c r="DB169" s="4">
        <f t="shared" si="221"/>
        <v>0</v>
      </c>
      <c r="DC169" s="4">
        <f t="shared" si="222"/>
        <v>0</v>
      </c>
      <c r="DD169" s="4">
        <f t="shared" si="223"/>
        <v>0</v>
      </c>
      <c r="DE169" s="4">
        <f t="shared" si="224"/>
        <v>0</v>
      </c>
      <c r="DF169" s="4">
        <f t="shared" si="225"/>
        <v>0</v>
      </c>
      <c r="DG169" s="4">
        <f t="shared" si="226"/>
        <v>0</v>
      </c>
      <c r="DH169" s="4">
        <f t="shared" si="227"/>
        <v>0</v>
      </c>
      <c r="DI169" s="4">
        <f t="shared" si="228"/>
        <v>0</v>
      </c>
      <c r="DJ169" s="4">
        <f t="shared" si="229"/>
        <v>0</v>
      </c>
      <c r="DK169" s="4">
        <f t="shared" si="230"/>
        <v>0</v>
      </c>
      <c r="DL169" s="4">
        <f t="shared" si="231"/>
        <v>0</v>
      </c>
    </row>
    <row r="170" spans="1:116" x14ac:dyDescent="0.25">
      <c r="A170" s="5">
        <v>46186</v>
      </c>
      <c r="B170" s="6">
        <v>0.79166666707169497</v>
      </c>
      <c r="C170" s="3"/>
      <c r="D170" s="3"/>
      <c r="E170" s="3" t="s">
        <v>30</v>
      </c>
      <c r="F170" s="3">
        <v>8</v>
      </c>
      <c r="G170" s="3"/>
      <c r="H170" s="9"/>
      <c r="I170" s="9">
        <f>SUM(IFERROR(VLOOKUP($C:$C,Structure!$A:$AJ,I$1,0)*$D170,0),IFERROR(VLOOKUP($E:$E,Structure!$A:$AJ,I$1,0)*$F170,0),IFERROR(VLOOKUP($G:$G,Structure!$A:$AJ,I$1,0)*$H170,0))</f>
        <v>0</v>
      </c>
      <c r="J170" s="9">
        <f>SUM(IFERROR(VLOOKUP($C:$C,Structure!$A:$AJ,J$1,0)*$D170,0),IFERROR(VLOOKUP($E:$E,Structure!$A:$AJ,J$1,0)*$F170,0),IFERROR(VLOOKUP($G:$G,Structure!$A:$AJ,J$1,0)*$H170,0))</f>
        <v>0</v>
      </c>
      <c r="K170" s="9">
        <f>SUM(IFERROR(VLOOKUP($C:$C,Structure!$A:$AJ,K$1,0)*$D170,0),IFERROR(VLOOKUP($E:$E,Structure!$A:$AJ,K$1,0)*$F170,0),IFERROR(VLOOKUP($G:$G,Structure!$A:$AJ,K$1,0)*$H170,0))</f>
        <v>0</v>
      </c>
      <c r="L170" s="9">
        <f>SUM(IFERROR(VLOOKUP($C:$C,Structure!$A:$AJ,L$1,0)*$D170,0),IFERROR(VLOOKUP($E:$E,Structure!$A:$AJ,L$1,0)*$F170,0),IFERROR(VLOOKUP($G:$G,Structure!$A:$AJ,L$1,0)*$H170,0))</f>
        <v>0</v>
      </c>
      <c r="M170" s="9">
        <f>SUM(IFERROR(VLOOKUP($C:$C,Structure!$A:$AJ,M$1,0)*$D170,0),IFERROR(VLOOKUP($E:$E,Structure!$A:$AJ,M$1,0)*$F170,0),IFERROR(VLOOKUP($G:$G,Structure!$A:$AJ,M$1,0)*$H170,0))</f>
        <v>0</v>
      </c>
      <c r="N170" s="9">
        <f>SUM(IFERROR(VLOOKUP($C:$C,Structure!$A:$AJ,N$1,0)*$D170,0),IFERROR(VLOOKUP($E:$E,Structure!$A:$AJ,N$1,0)*$F170,0),IFERROR(VLOOKUP($G:$G,Structure!$A:$AJ,N$1,0)*$H170,0))</f>
        <v>0</v>
      </c>
      <c r="O170" s="9">
        <f>SUM(IFERROR(VLOOKUP($C:$C,Structure!$A:$AJ,O$1,0)*$D170,0),IFERROR(VLOOKUP($E:$E,Structure!$A:$AJ,O$1,0)*$F170,0),IFERROR(VLOOKUP($G:$G,Structure!$A:$AJ,O$1,0)*$H170,0))</f>
        <v>0</v>
      </c>
      <c r="P170" s="9">
        <f>SUM(IFERROR(VLOOKUP($C:$C,Structure!$A:$AJ,P$1,0)*$D170,0),IFERROR(VLOOKUP($E:$E,Structure!$A:$AJ,P$1,0)*$F170,0),IFERROR(VLOOKUP($G:$G,Structure!$A:$AJ,P$1,0)*$H170,0))</f>
        <v>0</v>
      </c>
      <c r="Q170" s="9">
        <f>SUM(IFERROR(VLOOKUP($C:$C,Structure!$A:$AJ,Q$1,0)*$D170,0),IFERROR(VLOOKUP($E:$E,Structure!$A:$AJ,Q$1,0)*$F170,0),IFERROR(VLOOKUP($G:$G,Structure!$A:$AJ,Q$1,0)*$H170,0))</f>
        <v>0</v>
      </c>
      <c r="R170" s="9">
        <f>SUM(IFERROR(VLOOKUP($C:$C,Structure!$A:$AJ,R$1,0)*$D170,0),IFERROR(VLOOKUP($E:$E,Structure!$A:$AJ,R$1,0)*$F170,0),IFERROR(VLOOKUP($G:$G,Structure!$A:$AJ,R$1,0)*$H170,0))</f>
        <v>0</v>
      </c>
      <c r="S170" s="9">
        <f>SUM(IFERROR(VLOOKUP($C:$C,Structure!$A:$AJ,S$1,0)*$D170,0),IFERROR(VLOOKUP($E:$E,Structure!$A:$AJ,S$1,0)*$F170,0),IFERROR(VLOOKUP($G:$G,Structure!$A:$AJ,S$1,0)*$H170,0))</f>
        <v>0</v>
      </c>
      <c r="T170" s="9">
        <f>SUM(IFERROR(VLOOKUP($C:$C,Structure!$A:$AJ,T$1,0)*$D170,0),IFERROR(VLOOKUP($E:$E,Structure!$A:$AJ,T$1,0)*$F170,0),IFERROR(VLOOKUP($G:$G,Structure!$A:$AJ,T$1,0)*$H170,0))</f>
        <v>0</v>
      </c>
      <c r="U170" s="9">
        <f>SUM(IFERROR(VLOOKUP($C:$C,Structure!$A:$AJ,U$1,0)*$D170,0),IFERROR(VLOOKUP($E:$E,Structure!$A:$AJ,U$1,0)*$F170,0),IFERROR(VLOOKUP($G:$G,Structure!$A:$AJ,U$1,0)*$H170,0))</f>
        <v>0</v>
      </c>
      <c r="V170" s="9">
        <f>SUM(IFERROR(VLOOKUP($C:$C,Structure!$A:$AJ,V$1,0)*$D170,0),IFERROR(VLOOKUP($E:$E,Structure!$A:$AJ,V$1,0)*$F170,0),IFERROR(VLOOKUP($G:$G,Structure!$A:$AJ,V$1,0)*$H170,0))</f>
        <v>8</v>
      </c>
      <c r="W170" s="9">
        <f>SUM(IFERROR(VLOOKUP($C:$C,Structure!$A:$AJ,W$1,0)*$D170,0),IFERROR(VLOOKUP($E:$E,Structure!$A:$AJ,W$1,0)*$F170,0),IFERROR(VLOOKUP($G:$G,Structure!$A:$AJ,W$1,0)*$H170,0))</f>
        <v>0</v>
      </c>
      <c r="X170" s="9">
        <f>SUM(IFERROR(VLOOKUP($C:$C,Structure!$A:$AJ,X$1,0)*$D170,0),IFERROR(VLOOKUP($E:$E,Structure!$A:$AJ,X$1,0)*$F170,0),IFERROR(VLOOKUP($G:$G,Structure!$A:$AJ,X$1,0)*$H170,0))</f>
        <v>0</v>
      </c>
      <c r="Y170" s="9">
        <f>SUM(IFERROR(VLOOKUP($C:$C,Structure!$A:$AJ,Y$1,0)*$D170,0),IFERROR(VLOOKUP($E:$E,Structure!$A:$AJ,Y$1,0)*$F170,0),IFERROR(VLOOKUP($G:$G,Structure!$A:$AJ,Y$1,0)*$H170,0))</f>
        <v>0</v>
      </c>
      <c r="Z170" s="9">
        <f>SUM(IFERROR(VLOOKUP($C:$C,Structure!$A:$AJ,Z$1,0)*$D170,0),IFERROR(VLOOKUP($E:$E,Structure!$A:$AJ,Z$1,0)*$F170,0),IFERROR(VLOOKUP($G:$G,Structure!$A:$AJ,Z$1,0)*$H170,0))</f>
        <v>0</v>
      </c>
      <c r="AA170" s="9">
        <f>SUM(IFERROR(VLOOKUP($C:$C,Structure!$A:$AJ,AA$1,0)*$D170,0),IFERROR(VLOOKUP($E:$E,Structure!$A:$AJ,AA$1,0)*$F170,0),IFERROR(VLOOKUP($G:$G,Structure!$A:$AJ,AA$1,0)*$H170,0))</f>
        <v>0</v>
      </c>
      <c r="AB170" s="9">
        <f>SUM(IFERROR(VLOOKUP($C:$C,Structure!$A:$AJ,AB$1,0)*$D170,0),IFERROR(VLOOKUP($E:$E,Structure!$A:$AJ,AB$1,0)*$F170,0),IFERROR(VLOOKUP($G:$G,Structure!$A:$AJ,AB$1,0)*$H170,0))</f>
        <v>0</v>
      </c>
      <c r="AC170" s="9">
        <f>SUM(IFERROR(VLOOKUP($C:$C,Structure!$A:$AJ,AC$1,0)*$D170,0),IFERROR(VLOOKUP($E:$E,Structure!$A:$AJ,AC$1,0)*$F170,0),IFERROR(VLOOKUP($G:$G,Structure!$A:$AJ,AC$1,0)*$H170,0))</f>
        <v>8</v>
      </c>
      <c r="AD170" s="9">
        <f>SUM(IFERROR(VLOOKUP($C:$C,Structure!$A:$AJ,AD$1,0)*$D170,0),IFERROR(VLOOKUP($E:$E,Structure!$A:$AJ,AD$1,0)*$F170,0),IFERROR(VLOOKUP($G:$G,Structure!$A:$AJ,AD$1,0)*$H170,0))</f>
        <v>0</v>
      </c>
      <c r="AE170" s="9">
        <f>SUM(IFERROR(VLOOKUP($C:$C,Structure!$A:$AJ,AE$1,0)*$D170,0),IFERROR(VLOOKUP($E:$E,Structure!$A:$AJ,AE$1,0)*$F170,0),IFERROR(VLOOKUP($G:$G,Structure!$A:$AJ,AE$1,0)*$H170,0))</f>
        <v>0</v>
      </c>
      <c r="AF170" s="9">
        <f>SUM(IFERROR(VLOOKUP($C:$C,Structure!$A:$AJ,AF$1,0)*$D170,0),IFERROR(VLOOKUP($E:$E,Structure!$A:$AJ,AF$1,0)*$F170,0),IFERROR(VLOOKUP($G:$G,Structure!$A:$AJ,AF$1,0)*$H170,0))</f>
        <v>0</v>
      </c>
      <c r="AG170" s="9">
        <f>SUM(IFERROR(VLOOKUP($C:$C,Structure!$A:$AJ,AG$1,0)*$D170,0),IFERROR(VLOOKUP($E:$E,Structure!$A:$AJ,AG$1,0)*$F170,0),IFERROR(VLOOKUP($G:$G,Structure!$A:$AJ,AG$1,0)*$H170,0))</f>
        <v>0</v>
      </c>
      <c r="AH170" s="9">
        <f>SUM(IFERROR(VLOOKUP($C:$C,Structure!$A:$AJ,AH$1,0)*$D170,0),IFERROR(VLOOKUP($E:$E,Structure!$A:$AJ,AH$1,0)*$F170,0),IFERROR(VLOOKUP($G:$G,Structure!$A:$AJ,AH$1,0)*$H170,0))</f>
        <v>0</v>
      </c>
      <c r="AI170" s="9">
        <f>SUM(IFERROR(VLOOKUP($C:$C,Structure!$A:$AJ,AI$1,0)*$D170,0),IFERROR(VLOOKUP($E:$E,Structure!$A:$AJ,AI$1,0)*$F170,0),IFERROR(VLOOKUP($G:$G,Structure!$A:$AJ,AI$1,0)*$H170,0))</f>
        <v>0</v>
      </c>
      <c r="AJ170" s="9">
        <f>SUM(IFERROR(VLOOKUP($C:$C,Structure!$A:$AJ,AJ$1,0)*$D170,0),IFERROR(VLOOKUP($E:$E,Structure!$A:$AJ,AJ$1,0)*$F170,0),IFERROR(VLOOKUP($G:$G,Structure!$A:$AJ,AJ$1,0)*$H170,0))</f>
        <v>0</v>
      </c>
      <c r="AK170" s="9">
        <f>SUM(IFERROR(VLOOKUP($C:$C,Structure!$A:$AJ,AK$1,0)*$D170,0),IFERROR(VLOOKUP($E:$E,Structure!$A:$AJ,AK$1,0)*$F170,0),IFERROR(VLOOKUP($G:$G,Structure!$A:$AJ,AK$1,0)*$H170,0))</f>
        <v>0</v>
      </c>
      <c r="AL170" s="9">
        <f>SUM(IFERROR(VLOOKUP($C:$C,Structure!$A:$AJ,AL$1,0)*$D170,0),IFERROR(VLOOKUP($E:$E,Structure!$A:$AJ,AL$1,0)*$F170,0),IFERROR(VLOOKUP($G:$G,Structure!$A:$AJ,AL$1,0)*$H170,0))</f>
        <v>0</v>
      </c>
      <c r="AM170" s="9">
        <f>SUM(IFERROR(VLOOKUP($C:$C,Structure!$A:$AJ,AM$1,0)*$D170,0),IFERROR(VLOOKUP($E:$E,Structure!$A:$AJ,AM$1,0)*$F170,0),IFERROR(VLOOKUP($G:$G,Structure!$A:$AJ,AM$1,0)*$H170,0))</f>
        <v>0</v>
      </c>
      <c r="AN170" s="9">
        <f>SUM(IFERROR(VLOOKUP($C:$C,Structure!$A:$AJ,AN$1,0)*$D170,0),IFERROR(VLOOKUP($E:$E,Structure!$A:$AJ,AN$1,0)*$F170,0),IFERROR(VLOOKUP($G:$G,Structure!$A:$AJ,AN$1,0)*$H170,0))</f>
        <v>0</v>
      </c>
      <c r="AO170" s="9">
        <f>SUM(IFERROR(VLOOKUP($C:$C,Structure!$A:$AJ,AO$1,0)*$D170,0),IFERROR(VLOOKUP($E:$E,Structure!$A:$AJ,AO$1,0)*$F170,0),IFERROR(VLOOKUP($G:$G,Structure!$A:$AJ,AO$1,0)*$H170,0))</f>
        <v>0</v>
      </c>
      <c r="AP170" s="9">
        <f>SUM(IFERROR(VLOOKUP($C:$C,Structure!$A:$AJ,AP$1,0)*$D170,0),IFERROR(VLOOKUP($E:$E,Structure!$A:$AJ,AP$1,0)*$F170,0),IFERROR(VLOOKUP($G:$G,Structure!$A:$AJ,AP$1,0)*$H170,0))</f>
        <v>0</v>
      </c>
      <c r="AQ170" s="9">
        <f>SUM(IFERROR(VLOOKUP($C:$C,Structure!$A:$AJ,AQ$1,0)*$D170,0),IFERROR(VLOOKUP($E:$E,Structure!$A:$AJ,AQ$1,0)*$F170,0),IFERROR(VLOOKUP($G:$G,Structure!$A:$AJ,AQ$1,0)*$H170,0))</f>
        <v>0</v>
      </c>
      <c r="AR170" s="21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4">
        <f t="shared" si="197"/>
        <v>0</v>
      </c>
      <c r="CE170" s="4">
        <f t="shared" si="198"/>
        <v>-84</v>
      </c>
      <c r="CF170" s="4">
        <f t="shared" si="199"/>
        <v>4</v>
      </c>
      <c r="CG170" s="4">
        <f t="shared" si="200"/>
        <v>14</v>
      </c>
      <c r="CH170" s="4">
        <f t="shared" si="201"/>
        <v>-7</v>
      </c>
      <c r="CI170" s="4">
        <f t="shared" si="202"/>
        <v>127</v>
      </c>
      <c r="CJ170" s="4">
        <f t="shared" si="203"/>
        <v>-141</v>
      </c>
      <c r="CK170" s="4">
        <f t="shared" si="204"/>
        <v>95</v>
      </c>
      <c r="CL170" s="4">
        <f t="shared" si="205"/>
        <v>0</v>
      </c>
      <c r="CM170" s="4">
        <f t="shared" si="206"/>
        <v>6</v>
      </c>
      <c r="CN170" s="4">
        <f t="shared" si="207"/>
        <v>-28</v>
      </c>
      <c r="CO170" s="4">
        <f t="shared" si="208"/>
        <v>0</v>
      </c>
      <c r="CP170" s="4">
        <f t="shared" si="209"/>
        <v>69</v>
      </c>
      <c r="CQ170" s="4">
        <f t="shared" si="210"/>
        <v>-406</v>
      </c>
      <c r="CR170" s="4">
        <f t="shared" si="211"/>
        <v>15</v>
      </c>
      <c r="CS170" s="4">
        <f t="shared" si="212"/>
        <v>-24</v>
      </c>
      <c r="CT170" s="4">
        <f t="shared" si="213"/>
        <v>0</v>
      </c>
      <c r="CU170" s="4">
        <f t="shared" si="214"/>
        <v>0</v>
      </c>
      <c r="CV170" s="4">
        <f t="shared" si="215"/>
        <v>0</v>
      </c>
      <c r="CW170" s="4">
        <f t="shared" si="216"/>
        <v>0</v>
      </c>
      <c r="CX170" s="4">
        <f t="shared" si="217"/>
        <v>-397</v>
      </c>
      <c r="CY170" s="4">
        <f t="shared" si="218"/>
        <v>0</v>
      </c>
      <c r="CZ170" s="4">
        <f t="shared" si="219"/>
        <v>0</v>
      </c>
      <c r="DA170" s="4">
        <f t="shared" si="220"/>
        <v>0</v>
      </c>
      <c r="DB170" s="4">
        <f t="shared" si="221"/>
        <v>0</v>
      </c>
      <c r="DC170" s="4">
        <f t="shared" si="222"/>
        <v>0</v>
      </c>
      <c r="DD170" s="4">
        <f t="shared" si="223"/>
        <v>0</v>
      </c>
      <c r="DE170" s="4">
        <f t="shared" si="224"/>
        <v>0</v>
      </c>
      <c r="DF170" s="4">
        <f t="shared" si="225"/>
        <v>0</v>
      </c>
      <c r="DG170" s="4">
        <f t="shared" si="226"/>
        <v>0</v>
      </c>
      <c r="DH170" s="4">
        <f t="shared" si="227"/>
        <v>0</v>
      </c>
      <c r="DI170" s="4">
        <f t="shared" si="228"/>
        <v>0</v>
      </c>
      <c r="DJ170" s="4">
        <f t="shared" si="229"/>
        <v>0</v>
      </c>
      <c r="DK170" s="4">
        <f t="shared" si="230"/>
        <v>0</v>
      </c>
      <c r="DL170" s="4">
        <f t="shared" si="231"/>
        <v>0</v>
      </c>
    </row>
    <row r="171" spans="1:116" x14ac:dyDescent="0.25">
      <c r="A171" s="5">
        <v>46186</v>
      </c>
      <c r="B171" s="6">
        <v>0.81250000040745363</v>
      </c>
      <c r="C171" s="3"/>
      <c r="D171" s="3"/>
      <c r="E171" s="3" t="s">
        <v>30</v>
      </c>
      <c r="F171" s="3">
        <v>8</v>
      </c>
      <c r="G171" s="3"/>
      <c r="H171" s="9"/>
      <c r="I171" s="9">
        <f>SUM(IFERROR(VLOOKUP($C:$C,Structure!$A:$AJ,I$1,0)*$D171,0),IFERROR(VLOOKUP($E:$E,Structure!$A:$AJ,I$1,0)*$F171,0),IFERROR(VLOOKUP($G:$G,Structure!$A:$AJ,I$1,0)*$H171,0))</f>
        <v>0</v>
      </c>
      <c r="J171" s="9">
        <f>SUM(IFERROR(VLOOKUP($C:$C,Structure!$A:$AJ,J$1,0)*$D171,0),IFERROR(VLOOKUP($E:$E,Structure!$A:$AJ,J$1,0)*$F171,0),IFERROR(VLOOKUP($G:$G,Structure!$A:$AJ,J$1,0)*$H171,0))</f>
        <v>0</v>
      </c>
      <c r="K171" s="9">
        <f>SUM(IFERROR(VLOOKUP($C:$C,Structure!$A:$AJ,K$1,0)*$D171,0),IFERROR(VLOOKUP($E:$E,Structure!$A:$AJ,K$1,0)*$F171,0),IFERROR(VLOOKUP($G:$G,Structure!$A:$AJ,K$1,0)*$H171,0))</f>
        <v>0</v>
      </c>
      <c r="L171" s="9">
        <f>SUM(IFERROR(VLOOKUP($C:$C,Structure!$A:$AJ,L$1,0)*$D171,0),IFERROR(VLOOKUP($E:$E,Structure!$A:$AJ,L$1,0)*$F171,0),IFERROR(VLOOKUP($G:$G,Structure!$A:$AJ,L$1,0)*$H171,0))</f>
        <v>0</v>
      </c>
      <c r="M171" s="9">
        <f>SUM(IFERROR(VLOOKUP($C:$C,Structure!$A:$AJ,M$1,0)*$D171,0),IFERROR(VLOOKUP($E:$E,Structure!$A:$AJ,M$1,0)*$F171,0),IFERROR(VLOOKUP($G:$G,Structure!$A:$AJ,M$1,0)*$H171,0))</f>
        <v>0</v>
      </c>
      <c r="N171" s="9">
        <f>SUM(IFERROR(VLOOKUP($C:$C,Structure!$A:$AJ,N$1,0)*$D171,0),IFERROR(VLOOKUP($E:$E,Structure!$A:$AJ,N$1,0)*$F171,0),IFERROR(VLOOKUP($G:$G,Structure!$A:$AJ,N$1,0)*$H171,0))</f>
        <v>0</v>
      </c>
      <c r="O171" s="9">
        <f>SUM(IFERROR(VLOOKUP($C:$C,Structure!$A:$AJ,O$1,0)*$D171,0),IFERROR(VLOOKUP($E:$E,Structure!$A:$AJ,O$1,0)*$F171,0),IFERROR(VLOOKUP($G:$G,Structure!$A:$AJ,O$1,0)*$H171,0))</f>
        <v>0</v>
      </c>
      <c r="P171" s="9">
        <f>SUM(IFERROR(VLOOKUP($C:$C,Structure!$A:$AJ,P$1,0)*$D171,0),IFERROR(VLOOKUP($E:$E,Structure!$A:$AJ,P$1,0)*$F171,0),IFERROR(VLOOKUP($G:$G,Structure!$A:$AJ,P$1,0)*$H171,0))</f>
        <v>0</v>
      </c>
      <c r="Q171" s="9">
        <f>SUM(IFERROR(VLOOKUP($C:$C,Structure!$A:$AJ,Q$1,0)*$D171,0),IFERROR(VLOOKUP($E:$E,Structure!$A:$AJ,Q$1,0)*$F171,0),IFERROR(VLOOKUP($G:$G,Structure!$A:$AJ,Q$1,0)*$H171,0))</f>
        <v>0</v>
      </c>
      <c r="R171" s="9">
        <f>SUM(IFERROR(VLOOKUP($C:$C,Structure!$A:$AJ,R$1,0)*$D171,0),IFERROR(VLOOKUP($E:$E,Structure!$A:$AJ,R$1,0)*$F171,0),IFERROR(VLOOKUP($G:$G,Structure!$A:$AJ,R$1,0)*$H171,0))</f>
        <v>0</v>
      </c>
      <c r="S171" s="9">
        <f>SUM(IFERROR(VLOOKUP($C:$C,Structure!$A:$AJ,S$1,0)*$D171,0),IFERROR(VLOOKUP($E:$E,Structure!$A:$AJ,S$1,0)*$F171,0),IFERROR(VLOOKUP($G:$G,Structure!$A:$AJ,S$1,0)*$H171,0))</f>
        <v>0</v>
      </c>
      <c r="T171" s="9">
        <f>SUM(IFERROR(VLOOKUP($C:$C,Structure!$A:$AJ,T$1,0)*$D171,0),IFERROR(VLOOKUP($E:$E,Structure!$A:$AJ,T$1,0)*$F171,0),IFERROR(VLOOKUP($G:$G,Structure!$A:$AJ,T$1,0)*$H171,0))</f>
        <v>0</v>
      </c>
      <c r="U171" s="9">
        <f>SUM(IFERROR(VLOOKUP($C:$C,Structure!$A:$AJ,U$1,0)*$D171,0),IFERROR(VLOOKUP($E:$E,Structure!$A:$AJ,U$1,0)*$F171,0),IFERROR(VLOOKUP($G:$G,Structure!$A:$AJ,U$1,0)*$H171,0))</f>
        <v>0</v>
      </c>
      <c r="V171" s="9">
        <f>SUM(IFERROR(VLOOKUP($C:$C,Structure!$A:$AJ,V$1,0)*$D171,0),IFERROR(VLOOKUP($E:$E,Structure!$A:$AJ,V$1,0)*$F171,0),IFERROR(VLOOKUP($G:$G,Structure!$A:$AJ,V$1,0)*$H171,0))</f>
        <v>8</v>
      </c>
      <c r="W171" s="9">
        <f>SUM(IFERROR(VLOOKUP($C:$C,Structure!$A:$AJ,W$1,0)*$D171,0),IFERROR(VLOOKUP($E:$E,Structure!$A:$AJ,W$1,0)*$F171,0),IFERROR(VLOOKUP($G:$G,Structure!$A:$AJ,W$1,0)*$H171,0))</f>
        <v>0</v>
      </c>
      <c r="X171" s="9">
        <f>SUM(IFERROR(VLOOKUP($C:$C,Structure!$A:$AJ,X$1,0)*$D171,0),IFERROR(VLOOKUP($E:$E,Structure!$A:$AJ,X$1,0)*$F171,0),IFERROR(VLOOKUP($G:$G,Structure!$A:$AJ,X$1,0)*$H171,0))</f>
        <v>0</v>
      </c>
      <c r="Y171" s="9">
        <f>SUM(IFERROR(VLOOKUP($C:$C,Structure!$A:$AJ,Y$1,0)*$D171,0),IFERROR(VLOOKUP($E:$E,Structure!$A:$AJ,Y$1,0)*$F171,0),IFERROR(VLOOKUP($G:$G,Structure!$A:$AJ,Y$1,0)*$H171,0))</f>
        <v>0</v>
      </c>
      <c r="Z171" s="9">
        <f>SUM(IFERROR(VLOOKUP($C:$C,Structure!$A:$AJ,Z$1,0)*$D171,0),IFERROR(VLOOKUP($E:$E,Structure!$A:$AJ,Z$1,0)*$F171,0),IFERROR(VLOOKUP($G:$G,Structure!$A:$AJ,Z$1,0)*$H171,0))</f>
        <v>0</v>
      </c>
      <c r="AA171" s="9">
        <f>SUM(IFERROR(VLOOKUP($C:$C,Structure!$A:$AJ,AA$1,0)*$D171,0),IFERROR(VLOOKUP($E:$E,Structure!$A:$AJ,AA$1,0)*$F171,0),IFERROR(VLOOKUP($G:$G,Structure!$A:$AJ,AA$1,0)*$H171,0))</f>
        <v>0</v>
      </c>
      <c r="AB171" s="9">
        <f>SUM(IFERROR(VLOOKUP($C:$C,Structure!$A:$AJ,AB$1,0)*$D171,0),IFERROR(VLOOKUP($E:$E,Structure!$A:$AJ,AB$1,0)*$F171,0),IFERROR(VLOOKUP($G:$G,Structure!$A:$AJ,AB$1,0)*$H171,0))</f>
        <v>0</v>
      </c>
      <c r="AC171" s="9">
        <f>SUM(IFERROR(VLOOKUP($C:$C,Structure!$A:$AJ,AC$1,0)*$D171,0),IFERROR(VLOOKUP($E:$E,Structure!$A:$AJ,AC$1,0)*$F171,0),IFERROR(VLOOKUP($G:$G,Structure!$A:$AJ,AC$1,0)*$H171,0))</f>
        <v>8</v>
      </c>
      <c r="AD171" s="9">
        <f>SUM(IFERROR(VLOOKUP($C:$C,Structure!$A:$AJ,AD$1,0)*$D171,0),IFERROR(VLOOKUP($E:$E,Structure!$A:$AJ,AD$1,0)*$F171,0),IFERROR(VLOOKUP($G:$G,Structure!$A:$AJ,AD$1,0)*$H171,0))</f>
        <v>0</v>
      </c>
      <c r="AE171" s="9">
        <f>SUM(IFERROR(VLOOKUP($C:$C,Structure!$A:$AJ,AE$1,0)*$D171,0),IFERROR(VLOOKUP($E:$E,Structure!$A:$AJ,AE$1,0)*$F171,0),IFERROR(VLOOKUP($G:$G,Structure!$A:$AJ,AE$1,0)*$H171,0))</f>
        <v>0</v>
      </c>
      <c r="AF171" s="9">
        <f>SUM(IFERROR(VLOOKUP($C:$C,Structure!$A:$AJ,AF$1,0)*$D171,0),IFERROR(VLOOKUP($E:$E,Structure!$A:$AJ,AF$1,0)*$F171,0),IFERROR(VLOOKUP($G:$G,Structure!$A:$AJ,AF$1,0)*$H171,0))</f>
        <v>0</v>
      </c>
      <c r="AG171" s="9">
        <f>SUM(IFERROR(VLOOKUP($C:$C,Structure!$A:$AJ,AG$1,0)*$D171,0),IFERROR(VLOOKUP($E:$E,Structure!$A:$AJ,AG$1,0)*$F171,0),IFERROR(VLOOKUP($G:$G,Structure!$A:$AJ,AG$1,0)*$H171,0))</f>
        <v>0</v>
      </c>
      <c r="AH171" s="9">
        <f>SUM(IFERROR(VLOOKUP($C:$C,Structure!$A:$AJ,AH$1,0)*$D171,0),IFERROR(VLOOKUP($E:$E,Structure!$A:$AJ,AH$1,0)*$F171,0),IFERROR(VLOOKUP($G:$G,Structure!$A:$AJ,AH$1,0)*$H171,0))</f>
        <v>0</v>
      </c>
      <c r="AI171" s="9">
        <f>SUM(IFERROR(VLOOKUP($C:$C,Structure!$A:$AJ,AI$1,0)*$D171,0),IFERROR(VLOOKUP($E:$E,Structure!$A:$AJ,AI$1,0)*$F171,0),IFERROR(VLOOKUP($G:$G,Structure!$A:$AJ,AI$1,0)*$H171,0))</f>
        <v>0</v>
      </c>
      <c r="AJ171" s="9">
        <f>SUM(IFERROR(VLOOKUP($C:$C,Structure!$A:$AJ,AJ$1,0)*$D171,0),IFERROR(VLOOKUP($E:$E,Structure!$A:$AJ,AJ$1,0)*$F171,0),IFERROR(VLOOKUP($G:$G,Structure!$A:$AJ,AJ$1,0)*$H171,0))</f>
        <v>0</v>
      </c>
      <c r="AK171" s="9">
        <f>SUM(IFERROR(VLOOKUP($C:$C,Structure!$A:$AJ,AK$1,0)*$D171,0),IFERROR(VLOOKUP($E:$E,Structure!$A:$AJ,AK$1,0)*$F171,0),IFERROR(VLOOKUP($G:$G,Structure!$A:$AJ,AK$1,0)*$H171,0))</f>
        <v>0</v>
      </c>
      <c r="AL171" s="9">
        <f>SUM(IFERROR(VLOOKUP($C:$C,Structure!$A:$AJ,AL$1,0)*$D171,0),IFERROR(VLOOKUP($E:$E,Structure!$A:$AJ,AL$1,0)*$F171,0),IFERROR(VLOOKUP($G:$G,Structure!$A:$AJ,AL$1,0)*$H171,0))</f>
        <v>0</v>
      </c>
      <c r="AM171" s="9">
        <f>SUM(IFERROR(VLOOKUP($C:$C,Structure!$A:$AJ,AM$1,0)*$D171,0),IFERROR(VLOOKUP($E:$E,Structure!$A:$AJ,AM$1,0)*$F171,0),IFERROR(VLOOKUP($G:$G,Structure!$A:$AJ,AM$1,0)*$H171,0))</f>
        <v>0</v>
      </c>
      <c r="AN171" s="9">
        <f>SUM(IFERROR(VLOOKUP($C:$C,Structure!$A:$AJ,AN$1,0)*$D171,0),IFERROR(VLOOKUP($E:$E,Structure!$A:$AJ,AN$1,0)*$F171,0),IFERROR(VLOOKUP($G:$G,Structure!$A:$AJ,AN$1,0)*$H171,0))</f>
        <v>0</v>
      </c>
      <c r="AO171" s="9">
        <f>SUM(IFERROR(VLOOKUP($C:$C,Structure!$A:$AJ,AO$1,0)*$D171,0),IFERROR(VLOOKUP($E:$E,Structure!$A:$AJ,AO$1,0)*$F171,0),IFERROR(VLOOKUP($G:$G,Structure!$A:$AJ,AO$1,0)*$H171,0))</f>
        <v>0</v>
      </c>
      <c r="AP171" s="9">
        <f>SUM(IFERROR(VLOOKUP($C:$C,Structure!$A:$AJ,AP$1,0)*$D171,0),IFERROR(VLOOKUP($E:$E,Structure!$A:$AJ,AP$1,0)*$F171,0),IFERROR(VLOOKUP($G:$G,Structure!$A:$AJ,AP$1,0)*$H171,0))</f>
        <v>0</v>
      </c>
      <c r="AQ171" s="9">
        <f>SUM(IFERROR(VLOOKUP($C:$C,Structure!$A:$AJ,AQ$1,0)*$D171,0),IFERROR(VLOOKUP($E:$E,Structure!$A:$AJ,AQ$1,0)*$F171,0),IFERROR(VLOOKUP($G:$G,Structure!$A:$AJ,AQ$1,0)*$H171,0))</f>
        <v>0</v>
      </c>
      <c r="AR171" s="21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4">
        <f t="shared" si="197"/>
        <v>0</v>
      </c>
      <c r="CE171" s="4">
        <f t="shared" si="198"/>
        <v>-84</v>
      </c>
      <c r="CF171" s="4">
        <f t="shared" si="199"/>
        <v>4</v>
      </c>
      <c r="CG171" s="4">
        <f t="shared" si="200"/>
        <v>14</v>
      </c>
      <c r="CH171" s="4">
        <f t="shared" si="201"/>
        <v>-7</v>
      </c>
      <c r="CI171" s="4">
        <f t="shared" si="202"/>
        <v>127</v>
      </c>
      <c r="CJ171" s="4">
        <f t="shared" si="203"/>
        <v>-141</v>
      </c>
      <c r="CK171" s="4">
        <f t="shared" si="204"/>
        <v>95</v>
      </c>
      <c r="CL171" s="4">
        <f t="shared" si="205"/>
        <v>0</v>
      </c>
      <c r="CM171" s="4">
        <f t="shared" si="206"/>
        <v>6</v>
      </c>
      <c r="CN171" s="4">
        <f t="shared" si="207"/>
        <v>-28</v>
      </c>
      <c r="CO171" s="4">
        <f t="shared" si="208"/>
        <v>0</v>
      </c>
      <c r="CP171" s="4">
        <f t="shared" si="209"/>
        <v>69</v>
      </c>
      <c r="CQ171" s="4">
        <f t="shared" si="210"/>
        <v>-414</v>
      </c>
      <c r="CR171" s="4">
        <f t="shared" si="211"/>
        <v>15</v>
      </c>
      <c r="CS171" s="4">
        <f t="shared" si="212"/>
        <v>-24</v>
      </c>
      <c r="CT171" s="4">
        <f t="shared" si="213"/>
        <v>0</v>
      </c>
      <c r="CU171" s="4">
        <f t="shared" si="214"/>
        <v>0</v>
      </c>
      <c r="CV171" s="4">
        <f t="shared" si="215"/>
        <v>0</v>
      </c>
      <c r="CW171" s="4">
        <f t="shared" si="216"/>
        <v>0</v>
      </c>
      <c r="CX171" s="4">
        <f t="shared" si="217"/>
        <v>-405</v>
      </c>
      <c r="CY171" s="4">
        <f t="shared" si="218"/>
        <v>0</v>
      </c>
      <c r="CZ171" s="4">
        <f t="shared" si="219"/>
        <v>0</v>
      </c>
      <c r="DA171" s="4">
        <f t="shared" si="220"/>
        <v>0</v>
      </c>
      <c r="DB171" s="4">
        <f t="shared" si="221"/>
        <v>0</v>
      </c>
      <c r="DC171" s="4">
        <f t="shared" si="222"/>
        <v>0</v>
      </c>
      <c r="DD171" s="4">
        <f t="shared" si="223"/>
        <v>0</v>
      </c>
      <c r="DE171" s="4">
        <f t="shared" si="224"/>
        <v>0</v>
      </c>
      <c r="DF171" s="4">
        <f t="shared" si="225"/>
        <v>0</v>
      </c>
      <c r="DG171" s="4">
        <f t="shared" si="226"/>
        <v>0</v>
      </c>
      <c r="DH171" s="4">
        <f t="shared" si="227"/>
        <v>0</v>
      </c>
      <c r="DI171" s="4">
        <f t="shared" si="228"/>
        <v>0</v>
      </c>
      <c r="DJ171" s="4">
        <f t="shared" si="229"/>
        <v>0</v>
      </c>
      <c r="DK171" s="4">
        <f t="shared" si="230"/>
        <v>0</v>
      </c>
      <c r="DL171" s="4">
        <f t="shared" si="231"/>
        <v>0</v>
      </c>
    </row>
    <row r="172" spans="1:116" x14ac:dyDescent="0.25">
      <c r="A172" s="5">
        <v>46186</v>
      </c>
      <c r="B172" s="6">
        <v>0.83333333374321228</v>
      </c>
      <c r="C172" s="3"/>
      <c r="D172" s="3"/>
      <c r="E172" s="3" t="s">
        <v>30</v>
      </c>
      <c r="F172" s="3">
        <v>8</v>
      </c>
      <c r="G172" s="3"/>
      <c r="H172" s="9"/>
      <c r="I172" s="9">
        <f>SUM(IFERROR(VLOOKUP($C:$C,Structure!$A:$AJ,I$1,0)*$D172,0),IFERROR(VLOOKUP($E:$E,Structure!$A:$AJ,I$1,0)*$F172,0),IFERROR(VLOOKUP($G:$G,Structure!$A:$AJ,I$1,0)*$H172,0))</f>
        <v>0</v>
      </c>
      <c r="J172" s="9">
        <f>SUM(IFERROR(VLOOKUP($C:$C,Structure!$A:$AJ,J$1,0)*$D172,0),IFERROR(VLOOKUP($E:$E,Structure!$A:$AJ,J$1,0)*$F172,0),IFERROR(VLOOKUP($G:$G,Structure!$A:$AJ,J$1,0)*$H172,0))</f>
        <v>0</v>
      </c>
      <c r="K172" s="9">
        <f>SUM(IFERROR(VLOOKUP($C:$C,Structure!$A:$AJ,K$1,0)*$D172,0),IFERROR(VLOOKUP($E:$E,Structure!$A:$AJ,K$1,0)*$F172,0),IFERROR(VLOOKUP($G:$G,Structure!$A:$AJ,K$1,0)*$H172,0))</f>
        <v>0</v>
      </c>
      <c r="L172" s="9">
        <f>SUM(IFERROR(VLOOKUP($C:$C,Structure!$A:$AJ,L$1,0)*$D172,0),IFERROR(VLOOKUP($E:$E,Structure!$A:$AJ,L$1,0)*$F172,0),IFERROR(VLOOKUP($G:$G,Structure!$A:$AJ,L$1,0)*$H172,0))</f>
        <v>0</v>
      </c>
      <c r="M172" s="9">
        <f>SUM(IFERROR(VLOOKUP($C:$C,Structure!$A:$AJ,M$1,0)*$D172,0),IFERROR(VLOOKUP($E:$E,Structure!$A:$AJ,M$1,0)*$F172,0),IFERROR(VLOOKUP($G:$G,Structure!$A:$AJ,M$1,0)*$H172,0))</f>
        <v>0</v>
      </c>
      <c r="N172" s="9">
        <f>SUM(IFERROR(VLOOKUP($C:$C,Structure!$A:$AJ,N$1,0)*$D172,0),IFERROR(VLOOKUP($E:$E,Structure!$A:$AJ,N$1,0)*$F172,0),IFERROR(VLOOKUP($G:$G,Structure!$A:$AJ,N$1,0)*$H172,0))</f>
        <v>0</v>
      </c>
      <c r="O172" s="9">
        <f>SUM(IFERROR(VLOOKUP($C:$C,Structure!$A:$AJ,O$1,0)*$D172,0),IFERROR(VLOOKUP($E:$E,Structure!$A:$AJ,O$1,0)*$F172,0),IFERROR(VLOOKUP($G:$G,Structure!$A:$AJ,O$1,0)*$H172,0))</f>
        <v>0</v>
      </c>
      <c r="P172" s="9">
        <f>SUM(IFERROR(VLOOKUP($C:$C,Structure!$A:$AJ,P$1,0)*$D172,0),IFERROR(VLOOKUP($E:$E,Structure!$A:$AJ,P$1,0)*$F172,0),IFERROR(VLOOKUP($G:$G,Structure!$A:$AJ,P$1,0)*$H172,0))</f>
        <v>0</v>
      </c>
      <c r="Q172" s="9">
        <f>SUM(IFERROR(VLOOKUP($C:$C,Structure!$A:$AJ,Q$1,0)*$D172,0),IFERROR(VLOOKUP($E:$E,Structure!$A:$AJ,Q$1,0)*$F172,0),IFERROR(VLOOKUP($G:$G,Structure!$A:$AJ,Q$1,0)*$H172,0))</f>
        <v>0</v>
      </c>
      <c r="R172" s="9">
        <f>SUM(IFERROR(VLOOKUP($C:$C,Structure!$A:$AJ,R$1,0)*$D172,0),IFERROR(VLOOKUP($E:$E,Structure!$A:$AJ,R$1,0)*$F172,0),IFERROR(VLOOKUP($G:$G,Structure!$A:$AJ,R$1,0)*$H172,0))</f>
        <v>0</v>
      </c>
      <c r="S172" s="9">
        <f>SUM(IFERROR(VLOOKUP($C:$C,Structure!$A:$AJ,S$1,0)*$D172,0),IFERROR(VLOOKUP($E:$E,Structure!$A:$AJ,S$1,0)*$F172,0),IFERROR(VLOOKUP($G:$G,Structure!$A:$AJ,S$1,0)*$H172,0))</f>
        <v>0</v>
      </c>
      <c r="T172" s="9">
        <f>SUM(IFERROR(VLOOKUP($C:$C,Structure!$A:$AJ,T$1,0)*$D172,0),IFERROR(VLOOKUP($E:$E,Structure!$A:$AJ,T$1,0)*$F172,0),IFERROR(VLOOKUP($G:$G,Structure!$A:$AJ,T$1,0)*$H172,0))</f>
        <v>0</v>
      </c>
      <c r="U172" s="9">
        <f>SUM(IFERROR(VLOOKUP($C:$C,Structure!$A:$AJ,U$1,0)*$D172,0),IFERROR(VLOOKUP($E:$E,Structure!$A:$AJ,U$1,0)*$F172,0),IFERROR(VLOOKUP($G:$G,Structure!$A:$AJ,U$1,0)*$H172,0))</f>
        <v>0</v>
      </c>
      <c r="V172" s="9">
        <f>SUM(IFERROR(VLOOKUP($C:$C,Structure!$A:$AJ,V$1,0)*$D172,0),IFERROR(VLOOKUP($E:$E,Structure!$A:$AJ,V$1,0)*$F172,0),IFERROR(VLOOKUP($G:$G,Structure!$A:$AJ,V$1,0)*$H172,0))</f>
        <v>8</v>
      </c>
      <c r="W172" s="9">
        <f>SUM(IFERROR(VLOOKUP($C:$C,Structure!$A:$AJ,W$1,0)*$D172,0),IFERROR(VLOOKUP($E:$E,Structure!$A:$AJ,W$1,0)*$F172,0),IFERROR(VLOOKUP($G:$G,Structure!$A:$AJ,W$1,0)*$H172,0))</f>
        <v>0</v>
      </c>
      <c r="X172" s="9">
        <f>SUM(IFERROR(VLOOKUP($C:$C,Structure!$A:$AJ,X$1,0)*$D172,0),IFERROR(VLOOKUP($E:$E,Structure!$A:$AJ,X$1,0)*$F172,0),IFERROR(VLOOKUP($G:$G,Structure!$A:$AJ,X$1,0)*$H172,0))</f>
        <v>0</v>
      </c>
      <c r="Y172" s="9">
        <f>SUM(IFERROR(VLOOKUP($C:$C,Structure!$A:$AJ,Y$1,0)*$D172,0),IFERROR(VLOOKUP($E:$E,Structure!$A:$AJ,Y$1,0)*$F172,0),IFERROR(VLOOKUP($G:$G,Structure!$A:$AJ,Y$1,0)*$H172,0))</f>
        <v>0</v>
      </c>
      <c r="Z172" s="9">
        <f>SUM(IFERROR(VLOOKUP($C:$C,Structure!$A:$AJ,Z$1,0)*$D172,0),IFERROR(VLOOKUP($E:$E,Structure!$A:$AJ,Z$1,0)*$F172,0),IFERROR(VLOOKUP($G:$G,Structure!$A:$AJ,Z$1,0)*$H172,0))</f>
        <v>0</v>
      </c>
      <c r="AA172" s="9">
        <f>SUM(IFERROR(VLOOKUP($C:$C,Structure!$A:$AJ,AA$1,0)*$D172,0),IFERROR(VLOOKUP($E:$E,Structure!$A:$AJ,AA$1,0)*$F172,0),IFERROR(VLOOKUP($G:$G,Structure!$A:$AJ,AA$1,0)*$H172,0))</f>
        <v>0</v>
      </c>
      <c r="AB172" s="9">
        <f>SUM(IFERROR(VLOOKUP($C:$C,Structure!$A:$AJ,AB$1,0)*$D172,0),IFERROR(VLOOKUP($E:$E,Structure!$A:$AJ,AB$1,0)*$F172,0),IFERROR(VLOOKUP($G:$G,Structure!$A:$AJ,AB$1,0)*$H172,0))</f>
        <v>0</v>
      </c>
      <c r="AC172" s="9">
        <f>SUM(IFERROR(VLOOKUP($C:$C,Structure!$A:$AJ,AC$1,0)*$D172,0),IFERROR(VLOOKUP($E:$E,Structure!$A:$AJ,AC$1,0)*$F172,0),IFERROR(VLOOKUP($G:$G,Structure!$A:$AJ,AC$1,0)*$H172,0))</f>
        <v>8</v>
      </c>
      <c r="AD172" s="9">
        <f>SUM(IFERROR(VLOOKUP($C:$C,Structure!$A:$AJ,AD$1,0)*$D172,0),IFERROR(VLOOKUP($E:$E,Structure!$A:$AJ,AD$1,0)*$F172,0),IFERROR(VLOOKUP($G:$G,Structure!$A:$AJ,AD$1,0)*$H172,0))</f>
        <v>0</v>
      </c>
      <c r="AE172" s="9">
        <f>SUM(IFERROR(VLOOKUP($C:$C,Structure!$A:$AJ,AE$1,0)*$D172,0),IFERROR(VLOOKUP($E:$E,Structure!$A:$AJ,AE$1,0)*$F172,0),IFERROR(VLOOKUP($G:$G,Structure!$A:$AJ,AE$1,0)*$H172,0))</f>
        <v>0</v>
      </c>
      <c r="AF172" s="9">
        <f>SUM(IFERROR(VLOOKUP($C:$C,Structure!$A:$AJ,AF$1,0)*$D172,0),IFERROR(VLOOKUP($E:$E,Structure!$A:$AJ,AF$1,0)*$F172,0),IFERROR(VLOOKUP($G:$G,Structure!$A:$AJ,AF$1,0)*$H172,0))</f>
        <v>0</v>
      </c>
      <c r="AG172" s="9">
        <f>SUM(IFERROR(VLOOKUP($C:$C,Structure!$A:$AJ,AG$1,0)*$D172,0),IFERROR(VLOOKUP($E:$E,Structure!$A:$AJ,AG$1,0)*$F172,0),IFERROR(VLOOKUP($G:$G,Structure!$A:$AJ,AG$1,0)*$H172,0))</f>
        <v>0</v>
      </c>
      <c r="AH172" s="9">
        <f>SUM(IFERROR(VLOOKUP($C:$C,Structure!$A:$AJ,AH$1,0)*$D172,0),IFERROR(VLOOKUP($E:$E,Structure!$A:$AJ,AH$1,0)*$F172,0),IFERROR(VLOOKUP($G:$G,Structure!$A:$AJ,AH$1,0)*$H172,0))</f>
        <v>0</v>
      </c>
      <c r="AI172" s="9">
        <f>SUM(IFERROR(VLOOKUP($C:$C,Structure!$A:$AJ,AI$1,0)*$D172,0),IFERROR(VLOOKUP($E:$E,Structure!$A:$AJ,AI$1,0)*$F172,0),IFERROR(VLOOKUP($G:$G,Structure!$A:$AJ,AI$1,0)*$H172,0))</f>
        <v>0</v>
      </c>
      <c r="AJ172" s="9">
        <f>SUM(IFERROR(VLOOKUP($C:$C,Structure!$A:$AJ,AJ$1,0)*$D172,0),IFERROR(VLOOKUP($E:$E,Structure!$A:$AJ,AJ$1,0)*$F172,0),IFERROR(VLOOKUP($G:$G,Structure!$A:$AJ,AJ$1,0)*$H172,0))</f>
        <v>0</v>
      </c>
      <c r="AK172" s="9">
        <f>SUM(IFERROR(VLOOKUP($C:$C,Structure!$A:$AJ,AK$1,0)*$D172,0),IFERROR(VLOOKUP($E:$E,Structure!$A:$AJ,AK$1,0)*$F172,0),IFERROR(VLOOKUP($G:$G,Structure!$A:$AJ,AK$1,0)*$H172,0))</f>
        <v>0</v>
      </c>
      <c r="AL172" s="9">
        <f>SUM(IFERROR(VLOOKUP($C:$C,Structure!$A:$AJ,AL$1,0)*$D172,0),IFERROR(VLOOKUP($E:$E,Structure!$A:$AJ,AL$1,0)*$F172,0),IFERROR(VLOOKUP($G:$G,Structure!$A:$AJ,AL$1,0)*$H172,0))</f>
        <v>0</v>
      </c>
      <c r="AM172" s="9">
        <f>SUM(IFERROR(VLOOKUP($C:$C,Structure!$A:$AJ,AM$1,0)*$D172,0),IFERROR(VLOOKUP($E:$E,Structure!$A:$AJ,AM$1,0)*$F172,0),IFERROR(VLOOKUP($G:$G,Structure!$A:$AJ,AM$1,0)*$H172,0))</f>
        <v>0</v>
      </c>
      <c r="AN172" s="9">
        <f>SUM(IFERROR(VLOOKUP($C:$C,Structure!$A:$AJ,AN$1,0)*$D172,0),IFERROR(VLOOKUP($E:$E,Structure!$A:$AJ,AN$1,0)*$F172,0),IFERROR(VLOOKUP($G:$G,Structure!$A:$AJ,AN$1,0)*$H172,0))</f>
        <v>0</v>
      </c>
      <c r="AO172" s="9">
        <f>SUM(IFERROR(VLOOKUP($C:$C,Structure!$A:$AJ,AO$1,0)*$D172,0),IFERROR(VLOOKUP($E:$E,Structure!$A:$AJ,AO$1,0)*$F172,0),IFERROR(VLOOKUP($G:$G,Structure!$A:$AJ,AO$1,0)*$H172,0))</f>
        <v>0</v>
      </c>
      <c r="AP172" s="9">
        <f>SUM(IFERROR(VLOOKUP($C:$C,Structure!$A:$AJ,AP$1,0)*$D172,0),IFERROR(VLOOKUP($E:$E,Structure!$A:$AJ,AP$1,0)*$F172,0),IFERROR(VLOOKUP($G:$G,Structure!$A:$AJ,AP$1,0)*$H172,0))</f>
        <v>0</v>
      </c>
      <c r="AQ172" s="9">
        <f>SUM(IFERROR(VLOOKUP($C:$C,Structure!$A:$AJ,AQ$1,0)*$D172,0),IFERROR(VLOOKUP($E:$E,Structure!$A:$AJ,AQ$1,0)*$F172,0),IFERROR(VLOOKUP($G:$G,Structure!$A:$AJ,AQ$1,0)*$H172,0))</f>
        <v>0</v>
      </c>
      <c r="AR172" s="21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4">
        <f t="shared" si="197"/>
        <v>0</v>
      </c>
      <c r="CE172" s="4">
        <f t="shared" si="198"/>
        <v>-84</v>
      </c>
      <c r="CF172" s="4">
        <f t="shared" si="199"/>
        <v>4</v>
      </c>
      <c r="CG172" s="4">
        <f t="shared" si="200"/>
        <v>14</v>
      </c>
      <c r="CH172" s="4">
        <f t="shared" si="201"/>
        <v>-7</v>
      </c>
      <c r="CI172" s="4">
        <f t="shared" si="202"/>
        <v>127</v>
      </c>
      <c r="CJ172" s="4">
        <f t="shared" si="203"/>
        <v>-141</v>
      </c>
      <c r="CK172" s="4">
        <f t="shared" si="204"/>
        <v>95</v>
      </c>
      <c r="CL172" s="4">
        <f t="shared" si="205"/>
        <v>0</v>
      </c>
      <c r="CM172" s="4">
        <f t="shared" si="206"/>
        <v>6</v>
      </c>
      <c r="CN172" s="4">
        <f t="shared" si="207"/>
        <v>-28</v>
      </c>
      <c r="CO172" s="4">
        <f t="shared" si="208"/>
        <v>0</v>
      </c>
      <c r="CP172" s="4">
        <f t="shared" si="209"/>
        <v>69</v>
      </c>
      <c r="CQ172" s="4">
        <f t="shared" si="210"/>
        <v>-422</v>
      </c>
      <c r="CR172" s="4">
        <f t="shared" si="211"/>
        <v>15</v>
      </c>
      <c r="CS172" s="4">
        <f t="shared" si="212"/>
        <v>-24</v>
      </c>
      <c r="CT172" s="4">
        <f t="shared" si="213"/>
        <v>0</v>
      </c>
      <c r="CU172" s="4">
        <f t="shared" si="214"/>
        <v>0</v>
      </c>
      <c r="CV172" s="4">
        <f t="shared" si="215"/>
        <v>0</v>
      </c>
      <c r="CW172" s="4">
        <f t="shared" si="216"/>
        <v>0</v>
      </c>
      <c r="CX172" s="4">
        <f t="shared" si="217"/>
        <v>-413</v>
      </c>
      <c r="CY172" s="4">
        <f t="shared" si="218"/>
        <v>0</v>
      </c>
      <c r="CZ172" s="4">
        <f t="shared" si="219"/>
        <v>0</v>
      </c>
      <c r="DA172" s="4">
        <f t="shared" si="220"/>
        <v>0</v>
      </c>
      <c r="DB172" s="4">
        <f t="shared" si="221"/>
        <v>0</v>
      </c>
      <c r="DC172" s="4">
        <f t="shared" si="222"/>
        <v>0</v>
      </c>
      <c r="DD172" s="4">
        <f t="shared" si="223"/>
        <v>0</v>
      </c>
      <c r="DE172" s="4">
        <f t="shared" si="224"/>
        <v>0</v>
      </c>
      <c r="DF172" s="4">
        <f t="shared" si="225"/>
        <v>0</v>
      </c>
      <c r="DG172" s="4">
        <f t="shared" si="226"/>
        <v>0</v>
      </c>
      <c r="DH172" s="4">
        <f t="shared" si="227"/>
        <v>0</v>
      </c>
      <c r="DI172" s="4">
        <f t="shared" si="228"/>
        <v>0</v>
      </c>
      <c r="DJ172" s="4">
        <f t="shared" si="229"/>
        <v>0</v>
      </c>
      <c r="DK172" s="4">
        <f t="shared" si="230"/>
        <v>0</v>
      </c>
      <c r="DL172" s="4">
        <f t="shared" si="231"/>
        <v>0</v>
      </c>
    </row>
    <row r="173" spans="1:116" x14ac:dyDescent="0.25">
      <c r="A173" s="5">
        <v>46186</v>
      </c>
      <c r="B173" s="6">
        <v>0.85416666707897093</v>
      </c>
      <c r="C173" s="3"/>
      <c r="D173" s="3"/>
      <c r="E173" s="3" t="s">
        <v>30</v>
      </c>
      <c r="F173" s="3">
        <v>8</v>
      </c>
      <c r="G173" s="3"/>
      <c r="H173" s="9"/>
      <c r="I173" s="9">
        <f>SUM(IFERROR(VLOOKUP($C:$C,Structure!$A:$AJ,I$1,0)*$D173,0),IFERROR(VLOOKUP($E:$E,Structure!$A:$AJ,I$1,0)*$F173,0),IFERROR(VLOOKUP($G:$G,Structure!$A:$AJ,I$1,0)*$H173,0))</f>
        <v>0</v>
      </c>
      <c r="J173" s="9">
        <f>SUM(IFERROR(VLOOKUP($C:$C,Structure!$A:$AJ,J$1,0)*$D173,0),IFERROR(VLOOKUP($E:$E,Structure!$A:$AJ,J$1,0)*$F173,0),IFERROR(VLOOKUP($G:$G,Structure!$A:$AJ,J$1,0)*$H173,0))</f>
        <v>0</v>
      </c>
      <c r="K173" s="9">
        <f>SUM(IFERROR(VLOOKUP($C:$C,Structure!$A:$AJ,K$1,0)*$D173,0),IFERROR(VLOOKUP($E:$E,Structure!$A:$AJ,K$1,0)*$F173,0),IFERROR(VLOOKUP($G:$G,Structure!$A:$AJ,K$1,0)*$H173,0))</f>
        <v>0</v>
      </c>
      <c r="L173" s="9">
        <f>SUM(IFERROR(VLOOKUP($C:$C,Structure!$A:$AJ,L$1,0)*$D173,0),IFERROR(VLOOKUP($E:$E,Structure!$A:$AJ,L$1,0)*$F173,0),IFERROR(VLOOKUP($G:$G,Structure!$A:$AJ,L$1,0)*$H173,0))</f>
        <v>0</v>
      </c>
      <c r="M173" s="9">
        <f>SUM(IFERROR(VLOOKUP($C:$C,Structure!$A:$AJ,M$1,0)*$D173,0),IFERROR(VLOOKUP($E:$E,Structure!$A:$AJ,M$1,0)*$F173,0),IFERROR(VLOOKUP($G:$G,Structure!$A:$AJ,M$1,0)*$H173,0))</f>
        <v>0</v>
      </c>
      <c r="N173" s="9">
        <f>SUM(IFERROR(VLOOKUP($C:$C,Structure!$A:$AJ,N$1,0)*$D173,0),IFERROR(VLOOKUP($E:$E,Structure!$A:$AJ,N$1,0)*$F173,0),IFERROR(VLOOKUP($G:$G,Structure!$A:$AJ,N$1,0)*$H173,0))</f>
        <v>0</v>
      </c>
      <c r="O173" s="9">
        <f>SUM(IFERROR(VLOOKUP($C:$C,Structure!$A:$AJ,O$1,0)*$D173,0),IFERROR(VLOOKUP($E:$E,Structure!$A:$AJ,O$1,0)*$F173,0),IFERROR(VLOOKUP($G:$G,Structure!$A:$AJ,O$1,0)*$H173,0))</f>
        <v>0</v>
      </c>
      <c r="P173" s="9">
        <f>SUM(IFERROR(VLOOKUP($C:$C,Structure!$A:$AJ,P$1,0)*$D173,0),IFERROR(VLOOKUP($E:$E,Structure!$A:$AJ,P$1,0)*$F173,0),IFERROR(VLOOKUP($G:$G,Structure!$A:$AJ,P$1,0)*$H173,0))</f>
        <v>0</v>
      </c>
      <c r="Q173" s="9">
        <f>SUM(IFERROR(VLOOKUP($C:$C,Structure!$A:$AJ,Q$1,0)*$D173,0),IFERROR(VLOOKUP($E:$E,Structure!$A:$AJ,Q$1,0)*$F173,0),IFERROR(VLOOKUP($G:$G,Structure!$A:$AJ,Q$1,0)*$H173,0))</f>
        <v>0</v>
      </c>
      <c r="R173" s="9">
        <f>SUM(IFERROR(VLOOKUP($C:$C,Structure!$A:$AJ,R$1,0)*$D173,0),IFERROR(VLOOKUP($E:$E,Structure!$A:$AJ,R$1,0)*$F173,0),IFERROR(VLOOKUP($G:$G,Structure!$A:$AJ,R$1,0)*$H173,0))</f>
        <v>0</v>
      </c>
      <c r="S173" s="9">
        <f>SUM(IFERROR(VLOOKUP($C:$C,Structure!$A:$AJ,S$1,0)*$D173,0),IFERROR(VLOOKUP($E:$E,Structure!$A:$AJ,S$1,0)*$F173,0),IFERROR(VLOOKUP($G:$G,Structure!$A:$AJ,S$1,0)*$H173,0))</f>
        <v>0</v>
      </c>
      <c r="T173" s="9">
        <f>SUM(IFERROR(VLOOKUP($C:$C,Structure!$A:$AJ,T$1,0)*$D173,0),IFERROR(VLOOKUP($E:$E,Structure!$A:$AJ,T$1,0)*$F173,0),IFERROR(VLOOKUP($G:$G,Structure!$A:$AJ,T$1,0)*$H173,0))</f>
        <v>0</v>
      </c>
      <c r="U173" s="9">
        <f>SUM(IFERROR(VLOOKUP($C:$C,Structure!$A:$AJ,U$1,0)*$D173,0),IFERROR(VLOOKUP($E:$E,Structure!$A:$AJ,U$1,0)*$F173,0),IFERROR(VLOOKUP($G:$G,Structure!$A:$AJ,U$1,0)*$H173,0))</f>
        <v>0</v>
      </c>
      <c r="V173" s="9">
        <f>SUM(IFERROR(VLOOKUP($C:$C,Structure!$A:$AJ,V$1,0)*$D173,0),IFERROR(VLOOKUP($E:$E,Structure!$A:$AJ,V$1,0)*$F173,0),IFERROR(VLOOKUP($G:$G,Structure!$A:$AJ,V$1,0)*$H173,0))</f>
        <v>8</v>
      </c>
      <c r="W173" s="9">
        <f>SUM(IFERROR(VLOOKUP($C:$C,Structure!$A:$AJ,W$1,0)*$D173,0),IFERROR(VLOOKUP($E:$E,Structure!$A:$AJ,W$1,0)*$F173,0),IFERROR(VLOOKUP($G:$G,Structure!$A:$AJ,W$1,0)*$H173,0))</f>
        <v>0</v>
      </c>
      <c r="X173" s="9">
        <f>SUM(IFERROR(VLOOKUP($C:$C,Structure!$A:$AJ,X$1,0)*$D173,0),IFERROR(VLOOKUP($E:$E,Structure!$A:$AJ,X$1,0)*$F173,0),IFERROR(VLOOKUP($G:$G,Structure!$A:$AJ,X$1,0)*$H173,0))</f>
        <v>0</v>
      </c>
      <c r="Y173" s="9">
        <f>SUM(IFERROR(VLOOKUP($C:$C,Structure!$A:$AJ,Y$1,0)*$D173,0),IFERROR(VLOOKUP($E:$E,Structure!$A:$AJ,Y$1,0)*$F173,0),IFERROR(VLOOKUP($G:$G,Structure!$A:$AJ,Y$1,0)*$H173,0))</f>
        <v>0</v>
      </c>
      <c r="Z173" s="9">
        <f>SUM(IFERROR(VLOOKUP($C:$C,Structure!$A:$AJ,Z$1,0)*$D173,0),IFERROR(VLOOKUP($E:$E,Structure!$A:$AJ,Z$1,0)*$F173,0),IFERROR(VLOOKUP($G:$G,Structure!$A:$AJ,Z$1,0)*$H173,0))</f>
        <v>0</v>
      </c>
      <c r="AA173" s="9">
        <f>SUM(IFERROR(VLOOKUP($C:$C,Structure!$A:$AJ,AA$1,0)*$D173,0),IFERROR(VLOOKUP($E:$E,Structure!$A:$AJ,AA$1,0)*$F173,0),IFERROR(VLOOKUP($G:$G,Structure!$A:$AJ,AA$1,0)*$H173,0))</f>
        <v>0</v>
      </c>
      <c r="AB173" s="9">
        <f>SUM(IFERROR(VLOOKUP($C:$C,Structure!$A:$AJ,AB$1,0)*$D173,0),IFERROR(VLOOKUP($E:$E,Structure!$A:$AJ,AB$1,0)*$F173,0),IFERROR(VLOOKUP($G:$G,Structure!$A:$AJ,AB$1,0)*$H173,0))</f>
        <v>0</v>
      </c>
      <c r="AC173" s="9">
        <f>SUM(IFERROR(VLOOKUP($C:$C,Structure!$A:$AJ,AC$1,0)*$D173,0),IFERROR(VLOOKUP($E:$E,Structure!$A:$AJ,AC$1,0)*$F173,0),IFERROR(VLOOKUP($G:$G,Structure!$A:$AJ,AC$1,0)*$H173,0))</f>
        <v>8</v>
      </c>
      <c r="AD173" s="9">
        <f>SUM(IFERROR(VLOOKUP($C:$C,Structure!$A:$AJ,AD$1,0)*$D173,0),IFERROR(VLOOKUP($E:$E,Structure!$A:$AJ,AD$1,0)*$F173,0),IFERROR(VLOOKUP($G:$G,Structure!$A:$AJ,AD$1,0)*$H173,0))</f>
        <v>0</v>
      </c>
      <c r="AE173" s="9">
        <f>SUM(IFERROR(VLOOKUP($C:$C,Structure!$A:$AJ,AE$1,0)*$D173,0),IFERROR(VLOOKUP($E:$E,Structure!$A:$AJ,AE$1,0)*$F173,0),IFERROR(VLOOKUP($G:$G,Structure!$A:$AJ,AE$1,0)*$H173,0))</f>
        <v>0</v>
      </c>
      <c r="AF173" s="9">
        <f>SUM(IFERROR(VLOOKUP($C:$C,Structure!$A:$AJ,AF$1,0)*$D173,0),IFERROR(VLOOKUP($E:$E,Structure!$A:$AJ,AF$1,0)*$F173,0),IFERROR(VLOOKUP($G:$G,Structure!$A:$AJ,AF$1,0)*$H173,0))</f>
        <v>0</v>
      </c>
      <c r="AG173" s="9">
        <f>SUM(IFERROR(VLOOKUP($C:$C,Structure!$A:$AJ,AG$1,0)*$D173,0),IFERROR(VLOOKUP($E:$E,Structure!$A:$AJ,AG$1,0)*$F173,0),IFERROR(VLOOKUP($G:$G,Structure!$A:$AJ,AG$1,0)*$H173,0))</f>
        <v>0</v>
      </c>
      <c r="AH173" s="9">
        <f>SUM(IFERROR(VLOOKUP($C:$C,Structure!$A:$AJ,AH$1,0)*$D173,0),IFERROR(VLOOKUP($E:$E,Structure!$A:$AJ,AH$1,0)*$F173,0),IFERROR(VLOOKUP($G:$G,Structure!$A:$AJ,AH$1,0)*$H173,0))</f>
        <v>0</v>
      </c>
      <c r="AI173" s="9">
        <f>SUM(IFERROR(VLOOKUP($C:$C,Structure!$A:$AJ,AI$1,0)*$D173,0),IFERROR(VLOOKUP($E:$E,Structure!$A:$AJ,AI$1,0)*$F173,0),IFERROR(VLOOKUP($G:$G,Structure!$A:$AJ,AI$1,0)*$H173,0))</f>
        <v>0</v>
      </c>
      <c r="AJ173" s="9">
        <f>SUM(IFERROR(VLOOKUP($C:$C,Structure!$A:$AJ,AJ$1,0)*$D173,0),IFERROR(VLOOKUP($E:$E,Structure!$A:$AJ,AJ$1,0)*$F173,0),IFERROR(VLOOKUP($G:$G,Structure!$A:$AJ,AJ$1,0)*$H173,0))</f>
        <v>0</v>
      </c>
      <c r="AK173" s="9">
        <f>SUM(IFERROR(VLOOKUP($C:$C,Structure!$A:$AJ,AK$1,0)*$D173,0),IFERROR(VLOOKUP($E:$E,Structure!$A:$AJ,AK$1,0)*$F173,0),IFERROR(VLOOKUP($G:$G,Structure!$A:$AJ,AK$1,0)*$H173,0))</f>
        <v>0</v>
      </c>
      <c r="AL173" s="9">
        <f>SUM(IFERROR(VLOOKUP($C:$C,Structure!$A:$AJ,AL$1,0)*$D173,0),IFERROR(VLOOKUP($E:$E,Structure!$A:$AJ,AL$1,0)*$F173,0),IFERROR(VLOOKUP($G:$G,Structure!$A:$AJ,AL$1,0)*$H173,0))</f>
        <v>0</v>
      </c>
      <c r="AM173" s="9">
        <f>SUM(IFERROR(VLOOKUP($C:$C,Structure!$A:$AJ,AM$1,0)*$D173,0),IFERROR(VLOOKUP($E:$E,Structure!$A:$AJ,AM$1,0)*$F173,0),IFERROR(VLOOKUP($G:$G,Structure!$A:$AJ,AM$1,0)*$H173,0))</f>
        <v>0</v>
      </c>
      <c r="AN173" s="9">
        <f>SUM(IFERROR(VLOOKUP($C:$C,Structure!$A:$AJ,AN$1,0)*$D173,0),IFERROR(VLOOKUP($E:$E,Structure!$A:$AJ,AN$1,0)*$F173,0),IFERROR(VLOOKUP($G:$G,Structure!$A:$AJ,AN$1,0)*$H173,0))</f>
        <v>0</v>
      </c>
      <c r="AO173" s="9">
        <f>SUM(IFERROR(VLOOKUP($C:$C,Structure!$A:$AJ,AO$1,0)*$D173,0),IFERROR(VLOOKUP($E:$E,Structure!$A:$AJ,AO$1,0)*$F173,0),IFERROR(VLOOKUP($G:$G,Structure!$A:$AJ,AO$1,0)*$H173,0))</f>
        <v>0</v>
      </c>
      <c r="AP173" s="9">
        <f>SUM(IFERROR(VLOOKUP($C:$C,Structure!$A:$AJ,AP$1,0)*$D173,0),IFERROR(VLOOKUP($E:$E,Structure!$A:$AJ,AP$1,0)*$F173,0),IFERROR(VLOOKUP($G:$G,Structure!$A:$AJ,AP$1,0)*$H173,0))</f>
        <v>0</v>
      </c>
      <c r="AQ173" s="9">
        <f>SUM(IFERROR(VLOOKUP($C:$C,Structure!$A:$AJ,AQ$1,0)*$D173,0),IFERROR(VLOOKUP($E:$E,Structure!$A:$AJ,AQ$1,0)*$F173,0),IFERROR(VLOOKUP($G:$G,Structure!$A:$AJ,AQ$1,0)*$H173,0))</f>
        <v>0</v>
      </c>
      <c r="AR173" s="21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4">
        <f t="shared" ref="CD173:CD236" si="232">CD172+AU173-I173</f>
        <v>0</v>
      </c>
      <c r="CE173" s="4">
        <f t="shared" ref="CE173:CE236" si="233">CE172+AV173-J173</f>
        <v>-84</v>
      </c>
      <c r="CF173" s="4">
        <f t="shared" ref="CF173:CF236" si="234">CF172+AW173-K173</f>
        <v>4</v>
      </c>
      <c r="CG173" s="4">
        <f t="shared" ref="CG173:CG236" si="235">CG172+AX173-L173</f>
        <v>14</v>
      </c>
      <c r="CH173" s="4">
        <f t="shared" ref="CH173:CH236" si="236">CH172+AY173-M173</f>
        <v>-7</v>
      </c>
      <c r="CI173" s="4">
        <f t="shared" ref="CI173:CI236" si="237">CI172+AZ173-N173</f>
        <v>127</v>
      </c>
      <c r="CJ173" s="4">
        <f t="shared" ref="CJ173:CJ236" si="238">CJ172+BA173-O173</f>
        <v>-141</v>
      </c>
      <c r="CK173" s="4">
        <f t="shared" ref="CK173:CK236" si="239">CK172+BB173-P173</f>
        <v>95</v>
      </c>
      <c r="CL173" s="4">
        <f t="shared" ref="CL173:CL236" si="240">CL172+BC173-Q173</f>
        <v>0</v>
      </c>
      <c r="CM173" s="4">
        <f t="shared" ref="CM173:CM236" si="241">CM172+BD173-R173</f>
        <v>6</v>
      </c>
      <c r="CN173" s="4">
        <f t="shared" ref="CN173:CN236" si="242">CN172+BE173-S173</f>
        <v>-28</v>
      </c>
      <c r="CO173" s="4">
        <f t="shared" ref="CO173:CO236" si="243">CO172+BF173-T173</f>
        <v>0</v>
      </c>
      <c r="CP173" s="4">
        <f t="shared" ref="CP173:CP236" si="244">CP172+BG173-U173</f>
        <v>69</v>
      </c>
      <c r="CQ173" s="4">
        <f t="shared" ref="CQ173:CQ236" si="245">CQ172+BH173-V173</f>
        <v>-430</v>
      </c>
      <c r="CR173" s="4">
        <f t="shared" ref="CR173:CR236" si="246">CR172+BI173-W173</f>
        <v>15</v>
      </c>
      <c r="CS173" s="4">
        <f t="shared" ref="CS173:CS236" si="247">CS172+BJ173-X173</f>
        <v>-24</v>
      </c>
      <c r="CT173" s="4">
        <f t="shared" ref="CT173:CT236" si="248">CT172+BK173-Y173</f>
        <v>0</v>
      </c>
      <c r="CU173" s="4">
        <f t="shared" ref="CU173:CU236" si="249">CU172+BL173-Z173</f>
        <v>0</v>
      </c>
      <c r="CV173" s="4">
        <f t="shared" ref="CV173:CV236" si="250">CV172+BM173-AA173</f>
        <v>0</v>
      </c>
      <c r="CW173" s="4">
        <f t="shared" ref="CW173:CW236" si="251">CW172+BN173-AB173</f>
        <v>0</v>
      </c>
      <c r="CX173" s="4">
        <f t="shared" ref="CX173:CX236" si="252">CX172+BO173-AC173</f>
        <v>-421</v>
      </c>
      <c r="CY173" s="4">
        <f t="shared" ref="CY173:CY236" si="253">CY172+BP173-AD173</f>
        <v>0</v>
      </c>
      <c r="CZ173" s="4">
        <f t="shared" ref="CZ173:CZ236" si="254">CZ172+BQ173-AE173</f>
        <v>0</v>
      </c>
      <c r="DA173" s="4">
        <f t="shared" ref="DA173:DA236" si="255">DA172+BR173-AF173</f>
        <v>0</v>
      </c>
      <c r="DB173" s="4">
        <f t="shared" ref="DB173:DB236" si="256">DB172+BS173-AG173</f>
        <v>0</v>
      </c>
      <c r="DC173" s="4">
        <f t="shared" ref="DC173:DC236" si="257">DC172+BT173-AH173</f>
        <v>0</v>
      </c>
      <c r="DD173" s="4">
        <f t="shared" ref="DD173:DD236" si="258">DD172+BU173-AI173</f>
        <v>0</v>
      </c>
      <c r="DE173" s="4">
        <f t="shared" ref="DE173:DE236" si="259">DE172+BV173-AJ173</f>
        <v>0</v>
      </c>
      <c r="DF173" s="4">
        <f t="shared" ref="DF173:DF236" si="260">DF172+BW173-AK173</f>
        <v>0</v>
      </c>
      <c r="DG173" s="4">
        <f t="shared" ref="DG173:DG236" si="261">DG172+BX173-AL173</f>
        <v>0</v>
      </c>
      <c r="DH173" s="4">
        <f t="shared" ref="DH173:DH236" si="262">DH172+BY173-AM173</f>
        <v>0</v>
      </c>
      <c r="DI173" s="4">
        <f t="shared" ref="DI173:DI236" si="263">DI172+BZ173-AN173</f>
        <v>0</v>
      </c>
      <c r="DJ173" s="4">
        <f t="shared" ref="DJ173:DJ236" si="264">DJ172+CA173-AO173</f>
        <v>0</v>
      </c>
      <c r="DK173" s="4">
        <f t="shared" ref="DK173:DK236" si="265">DK172+CB173-AP173</f>
        <v>0</v>
      </c>
      <c r="DL173" s="4">
        <f t="shared" ref="DL173:DL236" si="266">DL172+CC173-AQ173</f>
        <v>0</v>
      </c>
    </row>
    <row r="174" spans="1:116" x14ac:dyDescent="0.25">
      <c r="A174" s="5">
        <v>46186</v>
      </c>
      <c r="B174" s="6">
        <v>0.87500000041472958</v>
      </c>
      <c r="C174" s="3"/>
      <c r="D174" s="3"/>
      <c r="E174" s="3" t="s">
        <v>30</v>
      </c>
      <c r="F174" s="3">
        <v>8</v>
      </c>
      <c r="G174" s="3"/>
      <c r="H174" s="9"/>
      <c r="I174" s="9">
        <f>SUM(IFERROR(VLOOKUP($C:$C,Structure!$A:$AJ,I$1,0)*$D174,0),IFERROR(VLOOKUP($E:$E,Structure!$A:$AJ,I$1,0)*$F174,0),IFERROR(VLOOKUP($G:$G,Structure!$A:$AJ,I$1,0)*$H174,0))</f>
        <v>0</v>
      </c>
      <c r="J174" s="9">
        <f>SUM(IFERROR(VLOOKUP($C:$C,Structure!$A:$AJ,J$1,0)*$D174,0),IFERROR(VLOOKUP($E:$E,Structure!$A:$AJ,J$1,0)*$F174,0),IFERROR(VLOOKUP($G:$G,Structure!$A:$AJ,J$1,0)*$H174,0))</f>
        <v>0</v>
      </c>
      <c r="K174" s="9">
        <f>SUM(IFERROR(VLOOKUP($C:$C,Structure!$A:$AJ,K$1,0)*$D174,0),IFERROR(VLOOKUP($E:$E,Structure!$A:$AJ,K$1,0)*$F174,0),IFERROR(VLOOKUP($G:$G,Structure!$A:$AJ,K$1,0)*$H174,0))</f>
        <v>0</v>
      </c>
      <c r="L174" s="9">
        <f>SUM(IFERROR(VLOOKUP($C:$C,Structure!$A:$AJ,L$1,0)*$D174,0),IFERROR(VLOOKUP($E:$E,Structure!$A:$AJ,L$1,0)*$F174,0),IFERROR(VLOOKUP($G:$G,Structure!$A:$AJ,L$1,0)*$H174,0))</f>
        <v>0</v>
      </c>
      <c r="M174" s="9">
        <f>SUM(IFERROR(VLOOKUP($C:$C,Structure!$A:$AJ,M$1,0)*$D174,0),IFERROR(VLOOKUP($E:$E,Structure!$A:$AJ,M$1,0)*$F174,0),IFERROR(VLOOKUP($G:$G,Structure!$A:$AJ,M$1,0)*$H174,0))</f>
        <v>0</v>
      </c>
      <c r="N174" s="9">
        <f>SUM(IFERROR(VLOOKUP($C:$C,Structure!$A:$AJ,N$1,0)*$D174,0),IFERROR(VLOOKUP($E:$E,Structure!$A:$AJ,N$1,0)*$F174,0),IFERROR(VLOOKUP($G:$G,Structure!$A:$AJ,N$1,0)*$H174,0))</f>
        <v>0</v>
      </c>
      <c r="O174" s="9">
        <f>SUM(IFERROR(VLOOKUP($C:$C,Structure!$A:$AJ,O$1,0)*$D174,0),IFERROR(VLOOKUP($E:$E,Structure!$A:$AJ,O$1,0)*$F174,0),IFERROR(VLOOKUP($G:$G,Structure!$A:$AJ,O$1,0)*$H174,0))</f>
        <v>0</v>
      </c>
      <c r="P174" s="9">
        <f>SUM(IFERROR(VLOOKUP($C:$C,Structure!$A:$AJ,P$1,0)*$D174,0),IFERROR(VLOOKUP($E:$E,Structure!$A:$AJ,P$1,0)*$F174,0),IFERROR(VLOOKUP($G:$G,Structure!$A:$AJ,P$1,0)*$H174,0))</f>
        <v>0</v>
      </c>
      <c r="Q174" s="9">
        <f>SUM(IFERROR(VLOOKUP($C:$C,Structure!$A:$AJ,Q$1,0)*$D174,0),IFERROR(VLOOKUP($E:$E,Structure!$A:$AJ,Q$1,0)*$F174,0),IFERROR(VLOOKUP($G:$G,Structure!$A:$AJ,Q$1,0)*$H174,0))</f>
        <v>0</v>
      </c>
      <c r="R174" s="9">
        <f>SUM(IFERROR(VLOOKUP($C:$C,Structure!$A:$AJ,R$1,0)*$D174,0),IFERROR(VLOOKUP($E:$E,Structure!$A:$AJ,R$1,0)*$F174,0),IFERROR(VLOOKUP($G:$G,Structure!$A:$AJ,R$1,0)*$H174,0))</f>
        <v>0</v>
      </c>
      <c r="S174" s="9">
        <f>SUM(IFERROR(VLOOKUP($C:$C,Structure!$A:$AJ,S$1,0)*$D174,0),IFERROR(VLOOKUP($E:$E,Structure!$A:$AJ,S$1,0)*$F174,0),IFERROR(VLOOKUP($G:$G,Structure!$A:$AJ,S$1,0)*$H174,0))</f>
        <v>0</v>
      </c>
      <c r="T174" s="9">
        <f>SUM(IFERROR(VLOOKUP($C:$C,Structure!$A:$AJ,T$1,0)*$D174,0),IFERROR(VLOOKUP($E:$E,Structure!$A:$AJ,T$1,0)*$F174,0),IFERROR(VLOOKUP($G:$G,Structure!$A:$AJ,T$1,0)*$H174,0))</f>
        <v>0</v>
      </c>
      <c r="U174" s="9">
        <f>SUM(IFERROR(VLOOKUP($C:$C,Structure!$A:$AJ,U$1,0)*$D174,0),IFERROR(VLOOKUP($E:$E,Structure!$A:$AJ,U$1,0)*$F174,0),IFERROR(VLOOKUP($G:$G,Structure!$A:$AJ,U$1,0)*$H174,0))</f>
        <v>0</v>
      </c>
      <c r="V174" s="9">
        <f>SUM(IFERROR(VLOOKUP($C:$C,Structure!$A:$AJ,V$1,0)*$D174,0),IFERROR(VLOOKUP($E:$E,Structure!$A:$AJ,V$1,0)*$F174,0),IFERROR(VLOOKUP($G:$G,Structure!$A:$AJ,V$1,0)*$H174,0))</f>
        <v>8</v>
      </c>
      <c r="W174" s="9">
        <f>SUM(IFERROR(VLOOKUP($C:$C,Structure!$A:$AJ,W$1,0)*$D174,0),IFERROR(VLOOKUP($E:$E,Structure!$A:$AJ,W$1,0)*$F174,0),IFERROR(VLOOKUP($G:$G,Structure!$A:$AJ,W$1,0)*$H174,0))</f>
        <v>0</v>
      </c>
      <c r="X174" s="9">
        <f>SUM(IFERROR(VLOOKUP($C:$C,Structure!$A:$AJ,X$1,0)*$D174,0),IFERROR(VLOOKUP($E:$E,Structure!$A:$AJ,X$1,0)*$F174,0),IFERROR(VLOOKUP($G:$G,Structure!$A:$AJ,X$1,0)*$H174,0))</f>
        <v>0</v>
      </c>
      <c r="Y174" s="9">
        <f>SUM(IFERROR(VLOOKUP($C:$C,Structure!$A:$AJ,Y$1,0)*$D174,0),IFERROR(VLOOKUP($E:$E,Structure!$A:$AJ,Y$1,0)*$F174,0),IFERROR(VLOOKUP($G:$G,Structure!$A:$AJ,Y$1,0)*$H174,0))</f>
        <v>0</v>
      </c>
      <c r="Z174" s="9">
        <f>SUM(IFERROR(VLOOKUP($C:$C,Structure!$A:$AJ,Z$1,0)*$D174,0),IFERROR(VLOOKUP($E:$E,Structure!$A:$AJ,Z$1,0)*$F174,0),IFERROR(VLOOKUP($G:$G,Structure!$A:$AJ,Z$1,0)*$H174,0))</f>
        <v>0</v>
      </c>
      <c r="AA174" s="9">
        <f>SUM(IFERROR(VLOOKUP($C:$C,Structure!$A:$AJ,AA$1,0)*$D174,0),IFERROR(VLOOKUP($E:$E,Structure!$A:$AJ,AA$1,0)*$F174,0),IFERROR(VLOOKUP($G:$G,Structure!$A:$AJ,AA$1,0)*$H174,0))</f>
        <v>0</v>
      </c>
      <c r="AB174" s="9">
        <f>SUM(IFERROR(VLOOKUP($C:$C,Structure!$A:$AJ,AB$1,0)*$D174,0),IFERROR(VLOOKUP($E:$E,Structure!$A:$AJ,AB$1,0)*$F174,0),IFERROR(VLOOKUP($G:$G,Structure!$A:$AJ,AB$1,0)*$H174,0))</f>
        <v>0</v>
      </c>
      <c r="AC174" s="9">
        <f>SUM(IFERROR(VLOOKUP($C:$C,Structure!$A:$AJ,AC$1,0)*$D174,0),IFERROR(VLOOKUP($E:$E,Structure!$A:$AJ,AC$1,0)*$F174,0),IFERROR(VLOOKUP($G:$G,Structure!$A:$AJ,AC$1,0)*$H174,0))</f>
        <v>8</v>
      </c>
      <c r="AD174" s="9">
        <f>SUM(IFERROR(VLOOKUP($C:$C,Structure!$A:$AJ,AD$1,0)*$D174,0),IFERROR(VLOOKUP($E:$E,Structure!$A:$AJ,AD$1,0)*$F174,0),IFERROR(VLOOKUP($G:$G,Structure!$A:$AJ,AD$1,0)*$H174,0))</f>
        <v>0</v>
      </c>
      <c r="AE174" s="9">
        <f>SUM(IFERROR(VLOOKUP($C:$C,Structure!$A:$AJ,AE$1,0)*$D174,0),IFERROR(VLOOKUP($E:$E,Structure!$A:$AJ,AE$1,0)*$F174,0),IFERROR(VLOOKUP($G:$G,Structure!$A:$AJ,AE$1,0)*$H174,0))</f>
        <v>0</v>
      </c>
      <c r="AF174" s="9">
        <f>SUM(IFERROR(VLOOKUP($C:$C,Structure!$A:$AJ,AF$1,0)*$D174,0),IFERROR(VLOOKUP($E:$E,Structure!$A:$AJ,AF$1,0)*$F174,0),IFERROR(VLOOKUP($G:$G,Structure!$A:$AJ,AF$1,0)*$H174,0))</f>
        <v>0</v>
      </c>
      <c r="AG174" s="9">
        <f>SUM(IFERROR(VLOOKUP($C:$C,Structure!$A:$AJ,AG$1,0)*$D174,0),IFERROR(VLOOKUP($E:$E,Structure!$A:$AJ,AG$1,0)*$F174,0),IFERROR(VLOOKUP($G:$G,Structure!$A:$AJ,AG$1,0)*$H174,0))</f>
        <v>0</v>
      </c>
      <c r="AH174" s="9">
        <f>SUM(IFERROR(VLOOKUP($C:$C,Structure!$A:$AJ,AH$1,0)*$D174,0),IFERROR(VLOOKUP($E:$E,Structure!$A:$AJ,AH$1,0)*$F174,0),IFERROR(VLOOKUP($G:$G,Structure!$A:$AJ,AH$1,0)*$H174,0))</f>
        <v>0</v>
      </c>
      <c r="AI174" s="9">
        <f>SUM(IFERROR(VLOOKUP($C:$C,Structure!$A:$AJ,AI$1,0)*$D174,0),IFERROR(VLOOKUP($E:$E,Structure!$A:$AJ,AI$1,0)*$F174,0),IFERROR(VLOOKUP($G:$G,Structure!$A:$AJ,AI$1,0)*$H174,0))</f>
        <v>0</v>
      </c>
      <c r="AJ174" s="9">
        <f>SUM(IFERROR(VLOOKUP($C:$C,Structure!$A:$AJ,AJ$1,0)*$D174,0),IFERROR(VLOOKUP($E:$E,Structure!$A:$AJ,AJ$1,0)*$F174,0),IFERROR(VLOOKUP($G:$G,Structure!$A:$AJ,AJ$1,0)*$H174,0))</f>
        <v>0</v>
      </c>
      <c r="AK174" s="9">
        <f>SUM(IFERROR(VLOOKUP($C:$C,Structure!$A:$AJ,AK$1,0)*$D174,0),IFERROR(VLOOKUP($E:$E,Structure!$A:$AJ,AK$1,0)*$F174,0),IFERROR(VLOOKUP($G:$G,Structure!$A:$AJ,AK$1,0)*$H174,0))</f>
        <v>0</v>
      </c>
      <c r="AL174" s="9">
        <f>SUM(IFERROR(VLOOKUP($C:$C,Structure!$A:$AJ,AL$1,0)*$D174,0),IFERROR(VLOOKUP($E:$E,Structure!$A:$AJ,AL$1,0)*$F174,0),IFERROR(VLOOKUP($G:$G,Structure!$A:$AJ,AL$1,0)*$H174,0))</f>
        <v>0</v>
      </c>
      <c r="AM174" s="9">
        <f>SUM(IFERROR(VLOOKUP($C:$C,Structure!$A:$AJ,AM$1,0)*$D174,0),IFERROR(VLOOKUP($E:$E,Structure!$A:$AJ,AM$1,0)*$F174,0),IFERROR(VLOOKUP($G:$G,Structure!$A:$AJ,AM$1,0)*$H174,0))</f>
        <v>0</v>
      </c>
      <c r="AN174" s="9">
        <f>SUM(IFERROR(VLOOKUP($C:$C,Structure!$A:$AJ,AN$1,0)*$D174,0),IFERROR(VLOOKUP($E:$E,Structure!$A:$AJ,AN$1,0)*$F174,0),IFERROR(VLOOKUP($G:$G,Structure!$A:$AJ,AN$1,0)*$H174,0))</f>
        <v>0</v>
      </c>
      <c r="AO174" s="9">
        <f>SUM(IFERROR(VLOOKUP($C:$C,Structure!$A:$AJ,AO$1,0)*$D174,0),IFERROR(VLOOKUP($E:$E,Structure!$A:$AJ,AO$1,0)*$F174,0),IFERROR(VLOOKUP($G:$G,Structure!$A:$AJ,AO$1,0)*$H174,0))</f>
        <v>0</v>
      </c>
      <c r="AP174" s="9">
        <f>SUM(IFERROR(VLOOKUP($C:$C,Structure!$A:$AJ,AP$1,0)*$D174,0),IFERROR(VLOOKUP($E:$E,Structure!$A:$AJ,AP$1,0)*$F174,0),IFERROR(VLOOKUP($G:$G,Structure!$A:$AJ,AP$1,0)*$H174,0))</f>
        <v>0</v>
      </c>
      <c r="AQ174" s="9">
        <f>SUM(IFERROR(VLOOKUP($C:$C,Structure!$A:$AJ,AQ$1,0)*$D174,0),IFERROR(VLOOKUP($E:$E,Structure!$A:$AJ,AQ$1,0)*$F174,0),IFERROR(VLOOKUP($G:$G,Structure!$A:$AJ,AQ$1,0)*$H174,0))</f>
        <v>0</v>
      </c>
      <c r="AR174" s="21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4">
        <f t="shared" si="232"/>
        <v>0</v>
      </c>
      <c r="CE174" s="4">
        <f t="shared" si="233"/>
        <v>-84</v>
      </c>
      <c r="CF174" s="4">
        <f t="shared" si="234"/>
        <v>4</v>
      </c>
      <c r="CG174" s="4">
        <f t="shared" si="235"/>
        <v>14</v>
      </c>
      <c r="CH174" s="4">
        <f t="shared" si="236"/>
        <v>-7</v>
      </c>
      <c r="CI174" s="4">
        <f t="shared" si="237"/>
        <v>127</v>
      </c>
      <c r="CJ174" s="4">
        <f t="shared" si="238"/>
        <v>-141</v>
      </c>
      <c r="CK174" s="4">
        <f t="shared" si="239"/>
        <v>95</v>
      </c>
      <c r="CL174" s="4">
        <f t="shared" si="240"/>
        <v>0</v>
      </c>
      <c r="CM174" s="4">
        <f t="shared" si="241"/>
        <v>6</v>
      </c>
      <c r="CN174" s="4">
        <f t="shared" si="242"/>
        <v>-28</v>
      </c>
      <c r="CO174" s="4">
        <f t="shared" si="243"/>
        <v>0</v>
      </c>
      <c r="CP174" s="4">
        <f t="shared" si="244"/>
        <v>69</v>
      </c>
      <c r="CQ174" s="4">
        <f t="shared" si="245"/>
        <v>-438</v>
      </c>
      <c r="CR174" s="4">
        <f t="shared" si="246"/>
        <v>15</v>
      </c>
      <c r="CS174" s="4">
        <f t="shared" si="247"/>
        <v>-24</v>
      </c>
      <c r="CT174" s="4">
        <f t="shared" si="248"/>
        <v>0</v>
      </c>
      <c r="CU174" s="4">
        <f t="shared" si="249"/>
        <v>0</v>
      </c>
      <c r="CV174" s="4">
        <f t="shared" si="250"/>
        <v>0</v>
      </c>
      <c r="CW174" s="4">
        <f t="shared" si="251"/>
        <v>0</v>
      </c>
      <c r="CX174" s="4">
        <f t="shared" si="252"/>
        <v>-429</v>
      </c>
      <c r="CY174" s="4">
        <f t="shared" si="253"/>
        <v>0</v>
      </c>
      <c r="CZ174" s="4">
        <f t="shared" si="254"/>
        <v>0</v>
      </c>
      <c r="DA174" s="4">
        <f t="shared" si="255"/>
        <v>0</v>
      </c>
      <c r="DB174" s="4">
        <f t="shared" si="256"/>
        <v>0</v>
      </c>
      <c r="DC174" s="4">
        <f t="shared" si="257"/>
        <v>0</v>
      </c>
      <c r="DD174" s="4">
        <f t="shared" si="258"/>
        <v>0</v>
      </c>
      <c r="DE174" s="4">
        <f t="shared" si="259"/>
        <v>0</v>
      </c>
      <c r="DF174" s="4">
        <f t="shared" si="260"/>
        <v>0</v>
      </c>
      <c r="DG174" s="4">
        <f t="shared" si="261"/>
        <v>0</v>
      </c>
      <c r="DH174" s="4">
        <f t="shared" si="262"/>
        <v>0</v>
      </c>
      <c r="DI174" s="4">
        <f t="shared" si="263"/>
        <v>0</v>
      </c>
      <c r="DJ174" s="4">
        <f t="shared" si="264"/>
        <v>0</v>
      </c>
      <c r="DK174" s="4">
        <f t="shared" si="265"/>
        <v>0</v>
      </c>
      <c r="DL174" s="4">
        <f t="shared" si="266"/>
        <v>0</v>
      </c>
    </row>
    <row r="175" spans="1:116" x14ac:dyDescent="0.25">
      <c r="A175" s="5">
        <v>46186</v>
      </c>
      <c r="B175" s="6">
        <v>0.89583333375048824</v>
      </c>
      <c r="C175" s="3"/>
      <c r="D175" s="3"/>
      <c r="E175" s="3" t="s">
        <v>30</v>
      </c>
      <c r="F175" s="3">
        <v>8</v>
      </c>
      <c r="G175" s="3"/>
      <c r="H175" s="9"/>
      <c r="I175" s="9">
        <f>SUM(IFERROR(VLOOKUP($C:$C,Structure!$A:$AJ,I$1,0)*$D175,0),IFERROR(VLOOKUP($E:$E,Structure!$A:$AJ,I$1,0)*$F175,0),IFERROR(VLOOKUP($G:$G,Structure!$A:$AJ,I$1,0)*$H175,0))</f>
        <v>0</v>
      </c>
      <c r="J175" s="9">
        <f>SUM(IFERROR(VLOOKUP($C:$C,Structure!$A:$AJ,J$1,0)*$D175,0),IFERROR(VLOOKUP($E:$E,Structure!$A:$AJ,J$1,0)*$F175,0),IFERROR(VLOOKUP($G:$G,Structure!$A:$AJ,J$1,0)*$H175,0))</f>
        <v>0</v>
      </c>
      <c r="K175" s="9">
        <f>SUM(IFERROR(VLOOKUP($C:$C,Structure!$A:$AJ,K$1,0)*$D175,0),IFERROR(VLOOKUP($E:$E,Structure!$A:$AJ,K$1,0)*$F175,0),IFERROR(VLOOKUP($G:$G,Structure!$A:$AJ,K$1,0)*$H175,0))</f>
        <v>0</v>
      </c>
      <c r="L175" s="9">
        <f>SUM(IFERROR(VLOOKUP($C:$C,Structure!$A:$AJ,L$1,0)*$D175,0),IFERROR(VLOOKUP($E:$E,Structure!$A:$AJ,L$1,0)*$F175,0),IFERROR(VLOOKUP($G:$G,Structure!$A:$AJ,L$1,0)*$H175,0))</f>
        <v>0</v>
      </c>
      <c r="M175" s="9">
        <f>SUM(IFERROR(VLOOKUP($C:$C,Structure!$A:$AJ,M$1,0)*$D175,0),IFERROR(VLOOKUP($E:$E,Structure!$A:$AJ,M$1,0)*$F175,0),IFERROR(VLOOKUP($G:$G,Structure!$A:$AJ,M$1,0)*$H175,0))</f>
        <v>0</v>
      </c>
      <c r="N175" s="9">
        <f>SUM(IFERROR(VLOOKUP($C:$C,Structure!$A:$AJ,N$1,0)*$D175,0),IFERROR(VLOOKUP($E:$E,Structure!$A:$AJ,N$1,0)*$F175,0),IFERROR(VLOOKUP($G:$G,Structure!$A:$AJ,N$1,0)*$H175,0))</f>
        <v>0</v>
      </c>
      <c r="O175" s="9">
        <f>SUM(IFERROR(VLOOKUP($C:$C,Structure!$A:$AJ,O$1,0)*$D175,0),IFERROR(VLOOKUP($E:$E,Structure!$A:$AJ,O$1,0)*$F175,0),IFERROR(VLOOKUP($G:$G,Structure!$A:$AJ,O$1,0)*$H175,0))</f>
        <v>0</v>
      </c>
      <c r="P175" s="9">
        <f>SUM(IFERROR(VLOOKUP($C:$C,Structure!$A:$AJ,P$1,0)*$D175,0),IFERROR(VLOOKUP($E:$E,Structure!$A:$AJ,P$1,0)*$F175,0),IFERROR(VLOOKUP($G:$G,Structure!$A:$AJ,P$1,0)*$H175,0))</f>
        <v>0</v>
      </c>
      <c r="Q175" s="9">
        <f>SUM(IFERROR(VLOOKUP($C:$C,Structure!$A:$AJ,Q$1,0)*$D175,0),IFERROR(VLOOKUP($E:$E,Structure!$A:$AJ,Q$1,0)*$F175,0),IFERROR(VLOOKUP($G:$G,Structure!$A:$AJ,Q$1,0)*$H175,0))</f>
        <v>0</v>
      </c>
      <c r="R175" s="9">
        <f>SUM(IFERROR(VLOOKUP($C:$C,Structure!$A:$AJ,R$1,0)*$D175,0),IFERROR(VLOOKUP($E:$E,Structure!$A:$AJ,R$1,0)*$F175,0),IFERROR(VLOOKUP($G:$G,Structure!$A:$AJ,R$1,0)*$H175,0))</f>
        <v>0</v>
      </c>
      <c r="S175" s="9">
        <f>SUM(IFERROR(VLOOKUP($C:$C,Structure!$A:$AJ,S$1,0)*$D175,0),IFERROR(VLOOKUP($E:$E,Structure!$A:$AJ,S$1,0)*$F175,0),IFERROR(VLOOKUP($G:$G,Structure!$A:$AJ,S$1,0)*$H175,0))</f>
        <v>0</v>
      </c>
      <c r="T175" s="9">
        <f>SUM(IFERROR(VLOOKUP($C:$C,Structure!$A:$AJ,T$1,0)*$D175,0),IFERROR(VLOOKUP($E:$E,Structure!$A:$AJ,T$1,0)*$F175,0),IFERROR(VLOOKUP($G:$G,Structure!$A:$AJ,T$1,0)*$H175,0))</f>
        <v>0</v>
      </c>
      <c r="U175" s="9">
        <f>SUM(IFERROR(VLOOKUP($C:$C,Structure!$A:$AJ,U$1,0)*$D175,0),IFERROR(VLOOKUP($E:$E,Structure!$A:$AJ,U$1,0)*$F175,0),IFERROR(VLOOKUP($G:$G,Structure!$A:$AJ,U$1,0)*$H175,0))</f>
        <v>0</v>
      </c>
      <c r="V175" s="9">
        <f>SUM(IFERROR(VLOOKUP($C:$C,Structure!$A:$AJ,V$1,0)*$D175,0),IFERROR(VLOOKUP($E:$E,Structure!$A:$AJ,V$1,0)*$F175,0),IFERROR(VLOOKUP($G:$G,Structure!$A:$AJ,V$1,0)*$H175,0))</f>
        <v>8</v>
      </c>
      <c r="W175" s="9">
        <f>SUM(IFERROR(VLOOKUP($C:$C,Structure!$A:$AJ,W$1,0)*$D175,0),IFERROR(VLOOKUP($E:$E,Structure!$A:$AJ,W$1,0)*$F175,0),IFERROR(VLOOKUP($G:$G,Structure!$A:$AJ,W$1,0)*$H175,0))</f>
        <v>0</v>
      </c>
      <c r="X175" s="9">
        <f>SUM(IFERROR(VLOOKUP($C:$C,Structure!$A:$AJ,X$1,0)*$D175,0),IFERROR(VLOOKUP($E:$E,Structure!$A:$AJ,X$1,0)*$F175,0),IFERROR(VLOOKUP($G:$G,Structure!$A:$AJ,X$1,0)*$H175,0))</f>
        <v>0</v>
      </c>
      <c r="Y175" s="9">
        <f>SUM(IFERROR(VLOOKUP($C:$C,Structure!$A:$AJ,Y$1,0)*$D175,0),IFERROR(VLOOKUP($E:$E,Structure!$A:$AJ,Y$1,0)*$F175,0),IFERROR(VLOOKUP($G:$G,Structure!$A:$AJ,Y$1,0)*$H175,0))</f>
        <v>0</v>
      </c>
      <c r="Z175" s="9">
        <f>SUM(IFERROR(VLOOKUP($C:$C,Structure!$A:$AJ,Z$1,0)*$D175,0),IFERROR(VLOOKUP($E:$E,Structure!$A:$AJ,Z$1,0)*$F175,0),IFERROR(VLOOKUP($G:$G,Structure!$A:$AJ,Z$1,0)*$H175,0))</f>
        <v>0</v>
      </c>
      <c r="AA175" s="9">
        <f>SUM(IFERROR(VLOOKUP($C:$C,Structure!$A:$AJ,AA$1,0)*$D175,0),IFERROR(VLOOKUP($E:$E,Structure!$A:$AJ,AA$1,0)*$F175,0),IFERROR(VLOOKUP($G:$G,Structure!$A:$AJ,AA$1,0)*$H175,0))</f>
        <v>0</v>
      </c>
      <c r="AB175" s="9">
        <f>SUM(IFERROR(VLOOKUP($C:$C,Structure!$A:$AJ,AB$1,0)*$D175,0),IFERROR(VLOOKUP($E:$E,Structure!$A:$AJ,AB$1,0)*$F175,0),IFERROR(VLOOKUP($G:$G,Structure!$A:$AJ,AB$1,0)*$H175,0))</f>
        <v>0</v>
      </c>
      <c r="AC175" s="9">
        <f>SUM(IFERROR(VLOOKUP($C:$C,Structure!$A:$AJ,AC$1,0)*$D175,0),IFERROR(VLOOKUP($E:$E,Structure!$A:$AJ,AC$1,0)*$F175,0),IFERROR(VLOOKUP($G:$G,Structure!$A:$AJ,AC$1,0)*$H175,0))</f>
        <v>8</v>
      </c>
      <c r="AD175" s="9">
        <f>SUM(IFERROR(VLOOKUP($C:$C,Structure!$A:$AJ,AD$1,0)*$D175,0),IFERROR(VLOOKUP($E:$E,Structure!$A:$AJ,AD$1,0)*$F175,0),IFERROR(VLOOKUP($G:$G,Structure!$A:$AJ,AD$1,0)*$H175,0))</f>
        <v>0</v>
      </c>
      <c r="AE175" s="9">
        <f>SUM(IFERROR(VLOOKUP($C:$C,Structure!$A:$AJ,AE$1,0)*$D175,0),IFERROR(VLOOKUP($E:$E,Structure!$A:$AJ,AE$1,0)*$F175,0),IFERROR(VLOOKUP($G:$G,Structure!$A:$AJ,AE$1,0)*$H175,0))</f>
        <v>0</v>
      </c>
      <c r="AF175" s="9">
        <f>SUM(IFERROR(VLOOKUP($C:$C,Structure!$A:$AJ,AF$1,0)*$D175,0),IFERROR(VLOOKUP($E:$E,Structure!$A:$AJ,AF$1,0)*$F175,0),IFERROR(VLOOKUP($G:$G,Structure!$A:$AJ,AF$1,0)*$H175,0))</f>
        <v>0</v>
      </c>
      <c r="AG175" s="9">
        <f>SUM(IFERROR(VLOOKUP($C:$C,Structure!$A:$AJ,AG$1,0)*$D175,0),IFERROR(VLOOKUP($E:$E,Structure!$A:$AJ,AG$1,0)*$F175,0),IFERROR(VLOOKUP($G:$G,Structure!$A:$AJ,AG$1,0)*$H175,0))</f>
        <v>0</v>
      </c>
      <c r="AH175" s="9">
        <f>SUM(IFERROR(VLOOKUP($C:$C,Structure!$A:$AJ,AH$1,0)*$D175,0),IFERROR(VLOOKUP($E:$E,Structure!$A:$AJ,AH$1,0)*$F175,0),IFERROR(VLOOKUP($G:$G,Structure!$A:$AJ,AH$1,0)*$H175,0))</f>
        <v>0</v>
      </c>
      <c r="AI175" s="9">
        <f>SUM(IFERROR(VLOOKUP($C:$C,Structure!$A:$AJ,AI$1,0)*$D175,0),IFERROR(VLOOKUP($E:$E,Structure!$A:$AJ,AI$1,0)*$F175,0),IFERROR(VLOOKUP($G:$G,Structure!$A:$AJ,AI$1,0)*$H175,0))</f>
        <v>0</v>
      </c>
      <c r="AJ175" s="9">
        <f>SUM(IFERROR(VLOOKUP($C:$C,Structure!$A:$AJ,AJ$1,0)*$D175,0),IFERROR(VLOOKUP($E:$E,Structure!$A:$AJ,AJ$1,0)*$F175,0),IFERROR(VLOOKUP($G:$G,Structure!$A:$AJ,AJ$1,0)*$H175,0))</f>
        <v>0</v>
      </c>
      <c r="AK175" s="9">
        <f>SUM(IFERROR(VLOOKUP($C:$C,Structure!$A:$AJ,AK$1,0)*$D175,0),IFERROR(VLOOKUP($E:$E,Structure!$A:$AJ,AK$1,0)*$F175,0),IFERROR(VLOOKUP($G:$G,Structure!$A:$AJ,AK$1,0)*$H175,0))</f>
        <v>0</v>
      </c>
      <c r="AL175" s="9">
        <f>SUM(IFERROR(VLOOKUP($C:$C,Structure!$A:$AJ,AL$1,0)*$D175,0),IFERROR(VLOOKUP($E:$E,Structure!$A:$AJ,AL$1,0)*$F175,0),IFERROR(VLOOKUP($G:$G,Structure!$A:$AJ,AL$1,0)*$H175,0))</f>
        <v>0</v>
      </c>
      <c r="AM175" s="9">
        <f>SUM(IFERROR(VLOOKUP($C:$C,Structure!$A:$AJ,AM$1,0)*$D175,0),IFERROR(VLOOKUP($E:$E,Structure!$A:$AJ,AM$1,0)*$F175,0),IFERROR(VLOOKUP($G:$G,Structure!$A:$AJ,AM$1,0)*$H175,0))</f>
        <v>0</v>
      </c>
      <c r="AN175" s="9">
        <f>SUM(IFERROR(VLOOKUP($C:$C,Structure!$A:$AJ,AN$1,0)*$D175,0),IFERROR(VLOOKUP($E:$E,Structure!$A:$AJ,AN$1,0)*$F175,0),IFERROR(VLOOKUP($G:$G,Structure!$A:$AJ,AN$1,0)*$H175,0))</f>
        <v>0</v>
      </c>
      <c r="AO175" s="9">
        <f>SUM(IFERROR(VLOOKUP($C:$C,Structure!$A:$AJ,AO$1,0)*$D175,0),IFERROR(VLOOKUP($E:$E,Structure!$A:$AJ,AO$1,0)*$F175,0),IFERROR(VLOOKUP($G:$G,Structure!$A:$AJ,AO$1,0)*$H175,0))</f>
        <v>0</v>
      </c>
      <c r="AP175" s="9">
        <f>SUM(IFERROR(VLOOKUP($C:$C,Structure!$A:$AJ,AP$1,0)*$D175,0),IFERROR(VLOOKUP($E:$E,Structure!$A:$AJ,AP$1,0)*$F175,0),IFERROR(VLOOKUP($G:$G,Structure!$A:$AJ,AP$1,0)*$H175,0))</f>
        <v>0</v>
      </c>
      <c r="AQ175" s="9">
        <f>SUM(IFERROR(VLOOKUP($C:$C,Structure!$A:$AJ,AQ$1,0)*$D175,0),IFERROR(VLOOKUP($E:$E,Structure!$A:$AJ,AQ$1,0)*$F175,0),IFERROR(VLOOKUP($G:$G,Structure!$A:$AJ,AQ$1,0)*$H175,0))</f>
        <v>0</v>
      </c>
      <c r="AR175" s="21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4">
        <f t="shared" si="232"/>
        <v>0</v>
      </c>
      <c r="CE175" s="4">
        <f t="shared" si="233"/>
        <v>-84</v>
      </c>
      <c r="CF175" s="4">
        <f t="shared" si="234"/>
        <v>4</v>
      </c>
      <c r="CG175" s="4">
        <f t="shared" si="235"/>
        <v>14</v>
      </c>
      <c r="CH175" s="4">
        <f t="shared" si="236"/>
        <v>-7</v>
      </c>
      <c r="CI175" s="4">
        <f t="shared" si="237"/>
        <v>127</v>
      </c>
      <c r="CJ175" s="4">
        <f t="shared" si="238"/>
        <v>-141</v>
      </c>
      <c r="CK175" s="4">
        <f t="shared" si="239"/>
        <v>95</v>
      </c>
      <c r="CL175" s="4">
        <f t="shared" si="240"/>
        <v>0</v>
      </c>
      <c r="CM175" s="4">
        <f t="shared" si="241"/>
        <v>6</v>
      </c>
      <c r="CN175" s="4">
        <f t="shared" si="242"/>
        <v>-28</v>
      </c>
      <c r="CO175" s="4">
        <f t="shared" si="243"/>
        <v>0</v>
      </c>
      <c r="CP175" s="4">
        <f t="shared" si="244"/>
        <v>69</v>
      </c>
      <c r="CQ175" s="4">
        <f t="shared" si="245"/>
        <v>-446</v>
      </c>
      <c r="CR175" s="4">
        <f t="shared" si="246"/>
        <v>15</v>
      </c>
      <c r="CS175" s="4">
        <f t="shared" si="247"/>
        <v>-24</v>
      </c>
      <c r="CT175" s="4">
        <f t="shared" si="248"/>
        <v>0</v>
      </c>
      <c r="CU175" s="4">
        <f t="shared" si="249"/>
        <v>0</v>
      </c>
      <c r="CV175" s="4">
        <f t="shared" si="250"/>
        <v>0</v>
      </c>
      <c r="CW175" s="4">
        <f t="shared" si="251"/>
        <v>0</v>
      </c>
      <c r="CX175" s="4">
        <f t="shared" si="252"/>
        <v>-437</v>
      </c>
      <c r="CY175" s="4">
        <f t="shared" si="253"/>
        <v>0</v>
      </c>
      <c r="CZ175" s="4">
        <f t="shared" si="254"/>
        <v>0</v>
      </c>
      <c r="DA175" s="4">
        <f t="shared" si="255"/>
        <v>0</v>
      </c>
      <c r="DB175" s="4">
        <f t="shared" si="256"/>
        <v>0</v>
      </c>
      <c r="DC175" s="4">
        <f t="shared" si="257"/>
        <v>0</v>
      </c>
      <c r="DD175" s="4">
        <f t="shared" si="258"/>
        <v>0</v>
      </c>
      <c r="DE175" s="4">
        <f t="shared" si="259"/>
        <v>0</v>
      </c>
      <c r="DF175" s="4">
        <f t="shared" si="260"/>
        <v>0</v>
      </c>
      <c r="DG175" s="4">
        <f t="shared" si="261"/>
        <v>0</v>
      </c>
      <c r="DH175" s="4">
        <f t="shared" si="262"/>
        <v>0</v>
      </c>
      <c r="DI175" s="4">
        <f t="shared" si="263"/>
        <v>0</v>
      </c>
      <c r="DJ175" s="4">
        <f t="shared" si="264"/>
        <v>0</v>
      </c>
      <c r="DK175" s="4">
        <f t="shared" si="265"/>
        <v>0</v>
      </c>
      <c r="DL175" s="4">
        <f t="shared" si="266"/>
        <v>0</v>
      </c>
    </row>
    <row r="176" spans="1:116" x14ac:dyDescent="0.25">
      <c r="A176" s="5">
        <v>46186</v>
      </c>
      <c r="B176" s="6">
        <v>0.91666666708624689</v>
      </c>
      <c r="C176" s="3"/>
      <c r="D176" s="3"/>
      <c r="E176" s="3" t="s">
        <v>30</v>
      </c>
      <c r="F176" s="3">
        <v>8</v>
      </c>
      <c r="G176" s="3"/>
      <c r="H176" s="9"/>
      <c r="I176" s="9">
        <f>SUM(IFERROR(VLOOKUP($C:$C,Structure!$A:$AJ,I$1,0)*$D176,0),IFERROR(VLOOKUP($E:$E,Structure!$A:$AJ,I$1,0)*$F176,0),IFERROR(VLOOKUP($G:$G,Structure!$A:$AJ,I$1,0)*$H176,0))</f>
        <v>0</v>
      </c>
      <c r="J176" s="9">
        <f>SUM(IFERROR(VLOOKUP($C:$C,Structure!$A:$AJ,J$1,0)*$D176,0),IFERROR(VLOOKUP($E:$E,Structure!$A:$AJ,J$1,0)*$F176,0),IFERROR(VLOOKUP($G:$G,Structure!$A:$AJ,J$1,0)*$H176,0))</f>
        <v>0</v>
      </c>
      <c r="K176" s="9">
        <f>SUM(IFERROR(VLOOKUP($C:$C,Structure!$A:$AJ,K$1,0)*$D176,0),IFERROR(VLOOKUP($E:$E,Structure!$A:$AJ,K$1,0)*$F176,0),IFERROR(VLOOKUP($G:$G,Structure!$A:$AJ,K$1,0)*$H176,0))</f>
        <v>0</v>
      </c>
      <c r="L176" s="9">
        <f>SUM(IFERROR(VLOOKUP($C:$C,Structure!$A:$AJ,L$1,0)*$D176,0),IFERROR(VLOOKUP($E:$E,Structure!$A:$AJ,L$1,0)*$F176,0),IFERROR(VLOOKUP($G:$G,Structure!$A:$AJ,L$1,0)*$H176,0))</f>
        <v>0</v>
      </c>
      <c r="M176" s="9">
        <f>SUM(IFERROR(VLOOKUP($C:$C,Structure!$A:$AJ,M$1,0)*$D176,0),IFERROR(VLOOKUP($E:$E,Structure!$A:$AJ,M$1,0)*$F176,0),IFERROR(VLOOKUP($G:$G,Structure!$A:$AJ,M$1,0)*$H176,0))</f>
        <v>0</v>
      </c>
      <c r="N176" s="9">
        <f>SUM(IFERROR(VLOOKUP($C:$C,Structure!$A:$AJ,N$1,0)*$D176,0),IFERROR(VLOOKUP($E:$E,Structure!$A:$AJ,N$1,0)*$F176,0),IFERROR(VLOOKUP($G:$G,Structure!$A:$AJ,N$1,0)*$H176,0))</f>
        <v>0</v>
      </c>
      <c r="O176" s="9">
        <f>SUM(IFERROR(VLOOKUP($C:$C,Structure!$A:$AJ,O$1,0)*$D176,0),IFERROR(VLOOKUP($E:$E,Structure!$A:$AJ,O$1,0)*$F176,0),IFERROR(VLOOKUP($G:$G,Structure!$A:$AJ,O$1,0)*$H176,0))</f>
        <v>0</v>
      </c>
      <c r="P176" s="9">
        <f>SUM(IFERROR(VLOOKUP($C:$C,Structure!$A:$AJ,P$1,0)*$D176,0),IFERROR(VLOOKUP($E:$E,Structure!$A:$AJ,P$1,0)*$F176,0),IFERROR(VLOOKUP($G:$G,Structure!$A:$AJ,P$1,0)*$H176,0))</f>
        <v>0</v>
      </c>
      <c r="Q176" s="9">
        <f>SUM(IFERROR(VLOOKUP($C:$C,Structure!$A:$AJ,Q$1,0)*$D176,0),IFERROR(VLOOKUP($E:$E,Structure!$A:$AJ,Q$1,0)*$F176,0),IFERROR(VLOOKUP($G:$G,Structure!$A:$AJ,Q$1,0)*$H176,0))</f>
        <v>0</v>
      </c>
      <c r="R176" s="9">
        <f>SUM(IFERROR(VLOOKUP($C:$C,Structure!$A:$AJ,R$1,0)*$D176,0),IFERROR(VLOOKUP($E:$E,Structure!$A:$AJ,R$1,0)*$F176,0),IFERROR(VLOOKUP($G:$G,Structure!$A:$AJ,R$1,0)*$H176,0))</f>
        <v>0</v>
      </c>
      <c r="S176" s="9">
        <f>SUM(IFERROR(VLOOKUP($C:$C,Structure!$A:$AJ,S$1,0)*$D176,0),IFERROR(VLOOKUP($E:$E,Structure!$A:$AJ,S$1,0)*$F176,0),IFERROR(VLOOKUP($G:$G,Structure!$A:$AJ,S$1,0)*$H176,0))</f>
        <v>0</v>
      </c>
      <c r="T176" s="9">
        <f>SUM(IFERROR(VLOOKUP($C:$C,Structure!$A:$AJ,T$1,0)*$D176,0),IFERROR(VLOOKUP($E:$E,Structure!$A:$AJ,T$1,0)*$F176,0),IFERROR(VLOOKUP($G:$G,Structure!$A:$AJ,T$1,0)*$H176,0))</f>
        <v>0</v>
      </c>
      <c r="U176" s="9">
        <f>SUM(IFERROR(VLOOKUP($C:$C,Structure!$A:$AJ,U$1,0)*$D176,0),IFERROR(VLOOKUP($E:$E,Structure!$A:$AJ,U$1,0)*$F176,0),IFERROR(VLOOKUP($G:$G,Structure!$A:$AJ,U$1,0)*$H176,0))</f>
        <v>0</v>
      </c>
      <c r="V176" s="9">
        <f>SUM(IFERROR(VLOOKUP($C:$C,Structure!$A:$AJ,V$1,0)*$D176,0),IFERROR(VLOOKUP($E:$E,Structure!$A:$AJ,V$1,0)*$F176,0),IFERROR(VLOOKUP($G:$G,Structure!$A:$AJ,V$1,0)*$H176,0))</f>
        <v>8</v>
      </c>
      <c r="W176" s="9">
        <f>SUM(IFERROR(VLOOKUP($C:$C,Structure!$A:$AJ,W$1,0)*$D176,0),IFERROR(VLOOKUP($E:$E,Structure!$A:$AJ,W$1,0)*$F176,0),IFERROR(VLOOKUP($G:$G,Structure!$A:$AJ,W$1,0)*$H176,0))</f>
        <v>0</v>
      </c>
      <c r="X176" s="9">
        <f>SUM(IFERROR(VLOOKUP($C:$C,Structure!$A:$AJ,X$1,0)*$D176,0),IFERROR(VLOOKUP($E:$E,Structure!$A:$AJ,X$1,0)*$F176,0),IFERROR(VLOOKUP($G:$G,Structure!$A:$AJ,X$1,0)*$H176,0))</f>
        <v>0</v>
      </c>
      <c r="Y176" s="9">
        <f>SUM(IFERROR(VLOOKUP($C:$C,Structure!$A:$AJ,Y$1,0)*$D176,0),IFERROR(VLOOKUP($E:$E,Structure!$A:$AJ,Y$1,0)*$F176,0),IFERROR(VLOOKUP($G:$G,Structure!$A:$AJ,Y$1,0)*$H176,0))</f>
        <v>0</v>
      </c>
      <c r="Z176" s="9">
        <f>SUM(IFERROR(VLOOKUP($C:$C,Structure!$A:$AJ,Z$1,0)*$D176,0),IFERROR(VLOOKUP($E:$E,Structure!$A:$AJ,Z$1,0)*$F176,0),IFERROR(VLOOKUP($G:$G,Structure!$A:$AJ,Z$1,0)*$H176,0))</f>
        <v>0</v>
      </c>
      <c r="AA176" s="9">
        <f>SUM(IFERROR(VLOOKUP($C:$C,Structure!$A:$AJ,AA$1,0)*$D176,0),IFERROR(VLOOKUP($E:$E,Structure!$A:$AJ,AA$1,0)*$F176,0),IFERROR(VLOOKUP($G:$G,Structure!$A:$AJ,AA$1,0)*$H176,0))</f>
        <v>0</v>
      </c>
      <c r="AB176" s="9">
        <f>SUM(IFERROR(VLOOKUP($C:$C,Structure!$A:$AJ,AB$1,0)*$D176,0),IFERROR(VLOOKUP($E:$E,Structure!$A:$AJ,AB$1,0)*$F176,0),IFERROR(VLOOKUP($G:$G,Structure!$A:$AJ,AB$1,0)*$H176,0))</f>
        <v>0</v>
      </c>
      <c r="AC176" s="9">
        <f>SUM(IFERROR(VLOOKUP($C:$C,Structure!$A:$AJ,AC$1,0)*$D176,0),IFERROR(VLOOKUP($E:$E,Structure!$A:$AJ,AC$1,0)*$F176,0),IFERROR(VLOOKUP($G:$G,Structure!$A:$AJ,AC$1,0)*$H176,0))</f>
        <v>8</v>
      </c>
      <c r="AD176" s="9">
        <f>SUM(IFERROR(VLOOKUP($C:$C,Structure!$A:$AJ,AD$1,0)*$D176,0),IFERROR(VLOOKUP($E:$E,Structure!$A:$AJ,AD$1,0)*$F176,0),IFERROR(VLOOKUP($G:$G,Structure!$A:$AJ,AD$1,0)*$H176,0))</f>
        <v>0</v>
      </c>
      <c r="AE176" s="9">
        <f>SUM(IFERROR(VLOOKUP($C:$C,Structure!$A:$AJ,AE$1,0)*$D176,0),IFERROR(VLOOKUP($E:$E,Structure!$A:$AJ,AE$1,0)*$F176,0),IFERROR(VLOOKUP($G:$G,Structure!$A:$AJ,AE$1,0)*$H176,0))</f>
        <v>0</v>
      </c>
      <c r="AF176" s="9">
        <f>SUM(IFERROR(VLOOKUP($C:$C,Structure!$A:$AJ,AF$1,0)*$D176,0),IFERROR(VLOOKUP($E:$E,Structure!$A:$AJ,AF$1,0)*$F176,0),IFERROR(VLOOKUP($G:$G,Structure!$A:$AJ,AF$1,0)*$H176,0))</f>
        <v>0</v>
      </c>
      <c r="AG176" s="9">
        <f>SUM(IFERROR(VLOOKUP($C:$C,Structure!$A:$AJ,AG$1,0)*$D176,0),IFERROR(VLOOKUP($E:$E,Structure!$A:$AJ,AG$1,0)*$F176,0),IFERROR(VLOOKUP($G:$G,Structure!$A:$AJ,AG$1,0)*$H176,0))</f>
        <v>0</v>
      </c>
      <c r="AH176" s="9">
        <f>SUM(IFERROR(VLOOKUP($C:$C,Structure!$A:$AJ,AH$1,0)*$D176,0),IFERROR(VLOOKUP($E:$E,Structure!$A:$AJ,AH$1,0)*$F176,0),IFERROR(VLOOKUP($G:$G,Structure!$A:$AJ,AH$1,0)*$H176,0))</f>
        <v>0</v>
      </c>
      <c r="AI176" s="9">
        <f>SUM(IFERROR(VLOOKUP($C:$C,Structure!$A:$AJ,AI$1,0)*$D176,0),IFERROR(VLOOKUP($E:$E,Structure!$A:$AJ,AI$1,0)*$F176,0),IFERROR(VLOOKUP($G:$G,Structure!$A:$AJ,AI$1,0)*$H176,0))</f>
        <v>0</v>
      </c>
      <c r="AJ176" s="9">
        <f>SUM(IFERROR(VLOOKUP($C:$C,Structure!$A:$AJ,AJ$1,0)*$D176,0),IFERROR(VLOOKUP($E:$E,Structure!$A:$AJ,AJ$1,0)*$F176,0),IFERROR(VLOOKUP($G:$G,Structure!$A:$AJ,AJ$1,0)*$H176,0))</f>
        <v>0</v>
      </c>
      <c r="AK176" s="9">
        <f>SUM(IFERROR(VLOOKUP($C:$C,Structure!$A:$AJ,AK$1,0)*$D176,0),IFERROR(VLOOKUP($E:$E,Structure!$A:$AJ,AK$1,0)*$F176,0),IFERROR(VLOOKUP($G:$G,Structure!$A:$AJ,AK$1,0)*$H176,0))</f>
        <v>0</v>
      </c>
      <c r="AL176" s="9">
        <f>SUM(IFERROR(VLOOKUP($C:$C,Structure!$A:$AJ,AL$1,0)*$D176,0),IFERROR(VLOOKUP($E:$E,Structure!$A:$AJ,AL$1,0)*$F176,0),IFERROR(VLOOKUP($G:$G,Structure!$A:$AJ,AL$1,0)*$H176,0))</f>
        <v>0</v>
      </c>
      <c r="AM176" s="9">
        <f>SUM(IFERROR(VLOOKUP($C:$C,Structure!$A:$AJ,AM$1,0)*$D176,0),IFERROR(VLOOKUP($E:$E,Structure!$A:$AJ,AM$1,0)*$F176,0),IFERROR(VLOOKUP($G:$G,Structure!$A:$AJ,AM$1,0)*$H176,0))</f>
        <v>0</v>
      </c>
      <c r="AN176" s="9">
        <f>SUM(IFERROR(VLOOKUP($C:$C,Structure!$A:$AJ,AN$1,0)*$D176,0),IFERROR(VLOOKUP($E:$E,Structure!$A:$AJ,AN$1,0)*$F176,0),IFERROR(VLOOKUP($G:$G,Structure!$A:$AJ,AN$1,0)*$H176,0))</f>
        <v>0</v>
      </c>
      <c r="AO176" s="9">
        <f>SUM(IFERROR(VLOOKUP($C:$C,Structure!$A:$AJ,AO$1,0)*$D176,0),IFERROR(VLOOKUP($E:$E,Structure!$A:$AJ,AO$1,0)*$F176,0),IFERROR(VLOOKUP($G:$G,Structure!$A:$AJ,AO$1,0)*$H176,0))</f>
        <v>0</v>
      </c>
      <c r="AP176" s="9">
        <f>SUM(IFERROR(VLOOKUP($C:$C,Structure!$A:$AJ,AP$1,0)*$D176,0),IFERROR(VLOOKUP($E:$E,Structure!$A:$AJ,AP$1,0)*$F176,0),IFERROR(VLOOKUP($G:$G,Structure!$A:$AJ,AP$1,0)*$H176,0))</f>
        <v>0</v>
      </c>
      <c r="AQ176" s="9">
        <f>SUM(IFERROR(VLOOKUP($C:$C,Structure!$A:$AJ,AQ$1,0)*$D176,0),IFERROR(VLOOKUP($E:$E,Structure!$A:$AJ,AQ$1,0)*$F176,0),IFERROR(VLOOKUP($G:$G,Structure!$A:$AJ,AQ$1,0)*$H176,0))</f>
        <v>0</v>
      </c>
      <c r="AR176" s="21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4">
        <f t="shared" si="232"/>
        <v>0</v>
      </c>
      <c r="CE176" s="4">
        <f t="shared" si="233"/>
        <v>-84</v>
      </c>
      <c r="CF176" s="4">
        <f t="shared" si="234"/>
        <v>4</v>
      </c>
      <c r="CG176" s="4">
        <f t="shared" si="235"/>
        <v>14</v>
      </c>
      <c r="CH176" s="4">
        <f t="shared" si="236"/>
        <v>-7</v>
      </c>
      <c r="CI176" s="4">
        <f t="shared" si="237"/>
        <v>127</v>
      </c>
      <c r="CJ176" s="4">
        <f t="shared" si="238"/>
        <v>-141</v>
      </c>
      <c r="CK176" s="4">
        <f t="shared" si="239"/>
        <v>95</v>
      </c>
      <c r="CL176" s="4">
        <f t="shared" si="240"/>
        <v>0</v>
      </c>
      <c r="CM176" s="4">
        <f t="shared" si="241"/>
        <v>6</v>
      </c>
      <c r="CN176" s="4">
        <f t="shared" si="242"/>
        <v>-28</v>
      </c>
      <c r="CO176" s="4">
        <f t="shared" si="243"/>
        <v>0</v>
      </c>
      <c r="CP176" s="4">
        <f t="shared" si="244"/>
        <v>69</v>
      </c>
      <c r="CQ176" s="4">
        <f t="shared" si="245"/>
        <v>-454</v>
      </c>
      <c r="CR176" s="4">
        <f t="shared" si="246"/>
        <v>15</v>
      </c>
      <c r="CS176" s="4">
        <f t="shared" si="247"/>
        <v>-24</v>
      </c>
      <c r="CT176" s="4">
        <f t="shared" si="248"/>
        <v>0</v>
      </c>
      <c r="CU176" s="4">
        <f t="shared" si="249"/>
        <v>0</v>
      </c>
      <c r="CV176" s="4">
        <f t="shared" si="250"/>
        <v>0</v>
      </c>
      <c r="CW176" s="4">
        <f t="shared" si="251"/>
        <v>0</v>
      </c>
      <c r="CX176" s="4">
        <f t="shared" si="252"/>
        <v>-445</v>
      </c>
      <c r="CY176" s="4">
        <f t="shared" si="253"/>
        <v>0</v>
      </c>
      <c r="CZ176" s="4">
        <f t="shared" si="254"/>
        <v>0</v>
      </c>
      <c r="DA176" s="4">
        <f t="shared" si="255"/>
        <v>0</v>
      </c>
      <c r="DB176" s="4">
        <f t="shared" si="256"/>
        <v>0</v>
      </c>
      <c r="DC176" s="4">
        <f t="shared" si="257"/>
        <v>0</v>
      </c>
      <c r="DD176" s="4">
        <f t="shared" si="258"/>
        <v>0</v>
      </c>
      <c r="DE176" s="4">
        <f t="shared" si="259"/>
        <v>0</v>
      </c>
      <c r="DF176" s="4">
        <f t="shared" si="260"/>
        <v>0</v>
      </c>
      <c r="DG176" s="4">
        <f t="shared" si="261"/>
        <v>0</v>
      </c>
      <c r="DH176" s="4">
        <f t="shared" si="262"/>
        <v>0</v>
      </c>
      <c r="DI176" s="4">
        <f t="shared" si="263"/>
        <v>0</v>
      </c>
      <c r="DJ176" s="4">
        <f t="shared" si="264"/>
        <v>0</v>
      </c>
      <c r="DK176" s="4">
        <f t="shared" si="265"/>
        <v>0</v>
      </c>
      <c r="DL176" s="4">
        <f t="shared" si="266"/>
        <v>0</v>
      </c>
    </row>
    <row r="177" spans="1:116" x14ac:dyDescent="0.25">
      <c r="A177" s="5">
        <v>46186</v>
      </c>
      <c r="B177" s="6">
        <v>0.93750000042200554</v>
      </c>
      <c r="C177" s="3"/>
      <c r="D177" s="3"/>
      <c r="E177" s="3" t="s">
        <v>30</v>
      </c>
      <c r="F177" s="3">
        <v>8</v>
      </c>
      <c r="G177" s="3"/>
      <c r="H177" s="9"/>
      <c r="I177" s="9">
        <f>SUM(IFERROR(VLOOKUP($C:$C,Structure!$A:$AJ,I$1,0)*$D177,0),IFERROR(VLOOKUP($E:$E,Structure!$A:$AJ,I$1,0)*$F177,0),IFERROR(VLOOKUP($G:$G,Structure!$A:$AJ,I$1,0)*$H177,0))</f>
        <v>0</v>
      </c>
      <c r="J177" s="9">
        <f>SUM(IFERROR(VLOOKUP($C:$C,Structure!$A:$AJ,J$1,0)*$D177,0),IFERROR(VLOOKUP($E:$E,Structure!$A:$AJ,J$1,0)*$F177,0),IFERROR(VLOOKUP($G:$G,Structure!$A:$AJ,J$1,0)*$H177,0))</f>
        <v>0</v>
      </c>
      <c r="K177" s="9">
        <f>SUM(IFERROR(VLOOKUP($C:$C,Structure!$A:$AJ,K$1,0)*$D177,0),IFERROR(VLOOKUP($E:$E,Structure!$A:$AJ,K$1,0)*$F177,0),IFERROR(VLOOKUP($G:$G,Structure!$A:$AJ,K$1,0)*$H177,0))</f>
        <v>0</v>
      </c>
      <c r="L177" s="9">
        <f>SUM(IFERROR(VLOOKUP($C:$C,Structure!$A:$AJ,L$1,0)*$D177,0),IFERROR(VLOOKUP($E:$E,Structure!$A:$AJ,L$1,0)*$F177,0),IFERROR(VLOOKUP($G:$G,Structure!$A:$AJ,L$1,0)*$H177,0))</f>
        <v>0</v>
      </c>
      <c r="M177" s="9">
        <f>SUM(IFERROR(VLOOKUP($C:$C,Structure!$A:$AJ,M$1,0)*$D177,0),IFERROR(VLOOKUP($E:$E,Structure!$A:$AJ,M$1,0)*$F177,0),IFERROR(VLOOKUP($G:$G,Structure!$A:$AJ,M$1,0)*$H177,0))</f>
        <v>0</v>
      </c>
      <c r="N177" s="9">
        <f>SUM(IFERROR(VLOOKUP($C:$C,Structure!$A:$AJ,N$1,0)*$D177,0),IFERROR(VLOOKUP($E:$E,Structure!$A:$AJ,N$1,0)*$F177,0),IFERROR(VLOOKUP($G:$G,Structure!$A:$AJ,N$1,0)*$H177,0))</f>
        <v>0</v>
      </c>
      <c r="O177" s="9">
        <f>SUM(IFERROR(VLOOKUP($C:$C,Structure!$A:$AJ,O$1,0)*$D177,0),IFERROR(VLOOKUP($E:$E,Structure!$A:$AJ,O$1,0)*$F177,0),IFERROR(VLOOKUP($G:$G,Structure!$A:$AJ,O$1,0)*$H177,0))</f>
        <v>0</v>
      </c>
      <c r="P177" s="9">
        <f>SUM(IFERROR(VLOOKUP($C:$C,Structure!$A:$AJ,P$1,0)*$D177,0),IFERROR(VLOOKUP($E:$E,Structure!$A:$AJ,P$1,0)*$F177,0),IFERROR(VLOOKUP($G:$G,Structure!$A:$AJ,P$1,0)*$H177,0))</f>
        <v>0</v>
      </c>
      <c r="Q177" s="9">
        <f>SUM(IFERROR(VLOOKUP($C:$C,Structure!$A:$AJ,Q$1,0)*$D177,0),IFERROR(VLOOKUP($E:$E,Structure!$A:$AJ,Q$1,0)*$F177,0),IFERROR(VLOOKUP($G:$G,Structure!$A:$AJ,Q$1,0)*$H177,0))</f>
        <v>0</v>
      </c>
      <c r="R177" s="9">
        <f>SUM(IFERROR(VLOOKUP($C:$C,Structure!$A:$AJ,R$1,0)*$D177,0),IFERROR(VLOOKUP($E:$E,Structure!$A:$AJ,R$1,0)*$F177,0),IFERROR(VLOOKUP($G:$G,Structure!$A:$AJ,R$1,0)*$H177,0))</f>
        <v>0</v>
      </c>
      <c r="S177" s="9">
        <f>SUM(IFERROR(VLOOKUP($C:$C,Structure!$A:$AJ,S$1,0)*$D177,0),IFERROR(VLOOKUP($E:$E,Structure!$A:$AJ,S$1,0)*$F177,0),IFERROR(VLOOKUP($G:$G,Structure!$A:$AJ,S$1,0)*$H177,0))</f>
        <v>0</v>
      </c>
      <c r="T177" s="9">
        <f>SUM(IFERROR(VLOOKUP($C:$C,Structure!$A:$AJ,T$1,0)*$D177,0),IFERROR(VLOOKUP($E:$E,Structure!$A:$AJ,T$1,0)*$F177,0),IFERROR(VLOOKUP($G:$G,Structure!$A:$AJ,T$1,0)*$H177,0))</f>
        <v>0</v>
      </c>
      <c r="U177" s="9">
        <f>SUM(IFERROR(VLOOKUP($C:$C,Structure!$A:$AJ,U$1,0)*$D177,0),IFERROR(VLOOKUP($E:$E,Structure!$A:$AJ,U$1,0)*$F177,0),IFERROR(VLOOKUP($G:$G,Structure!$A:$AJ,U$1,0)*$H177,0))</f>
        <v>0</v>
      </c>
      <c r="V177" s="9">
        <f>SUM(IFERROR(VLOOKUP($C:$C,Structure!$A:$AJ,V$1,0)*$D177,0),IFERROR(VLOOKUP($E:$E,Structure!$A:$AJ,V$1,0)*$F177,0),IFERROR(VLOOKUP($G:$G,Structure!$A:$AJ,V$1,0)*$H177,0))</f>
        <v>8</v>
      </c>
      <c r="W177" s="9">
        <f>SUM(IFERROR(VLOOKUP($C:$C,Structure!$A:$AJ,W$1,0)*$D177,0),IFERROR(VLOOKUP($E:$E,Structure!$A:$AJ,W$1,0)*$F177,0),IFERROR(VLOOKUP($G:$G,Structure!$A:$AJ,W$1,0)*$H177,0))</f>
        <v>0</v>
      </c>
      <c r="X177" s="9">
        <f>SUM(IFERROR(VLOOKUP($C:$C,Structure!$A:$AJ,X$1,0)*$D177,0),IFERROR(VLOOKUP($E:$E,Structure!$A:$AJ,X$1,0)*$F177,0),IFERROR(VLOOKUP($G:$G,Structure!$A:$AJ,X$1,0)*$H177,0))</f>
        <v>0</v>
      </c>
      <c r="Y177" s="9">
        <f>SUM(IFERROR(VLOOKUP($C:$C,Structure!$A:$AJ,Y$1,0)*$D177,0),IFERROR(VLOOKUP($E:$E,Structure!$A:$AJ,Y$1,0)*$F177,0),IFERROR(VLOOKUP($G:$G,Structure!$A:$AJ,Y$1,0)*$H177,0))</f>
        <v>0</v>
      </c>
      <c r="Z177" s="9">
        <f>SUM(IFERROR(VLOOKUP($C:$C,Structure!$A:$AJ,Z$1,0)*$D177,0),IFERROR(VLOOKUP($E:$E,Structure!$A:$AJ,Z$1,0)*$F177,0),IFERROR(VLOOKUP($G:$G,Structure!$A:$AJ,Z$1,0)*$H177,0))</f>
        <v>0</v>
      </c>
      <c r="AA177" s="9">
        <f>SUM(IFERROR(VLOOKUP($C:$C,Structure!$A:$AJ,AA$1,0)*$D177,0),IFERROR(VLOOKUP($E:$E,Structure!$A:$AJ,AA$1,0)*$F177,0),IFERROR(VLOOKUP($G:$G,Structure!$A:$AJ,AA$1,0)*$H177,0))</f>
        <v>0</v>
      </c>
      <c r="AB177" s="9">
        <f>SUM(IFERROR(VLOOKUP($C:$C,Structure!$A:$AJ,AB$1,0)*$D177,0),IFERROR(VLOOKUP($E:$E,Structure!$A:$AJ,AB$1,0)*$F177,0),IFERROR(VLOOKUP($G:$G,Structure!$A:$AJ,AB$1,0)*$H177,0))</f>
        <v>0</v>
      </c>
      <c r="AC177" s="9">
        <f>SUM(IFERROR(VLOOKUP($C:$C,Structure!$A:$AJ,AC$1,0)*$D177,0),IFERROR(VLOOKUP($E:$E,Structure!$A:$AJ,AC$1,0)*$F177,0),IFERROR(VLOOKUP($G:$G,Structure!$A:$AJ,AC$1,0)*$H177,0))</f>
        <v>8</v>
      </c>
      <c r="AD177" s="9">
        <f>SUM(IFERROR(VLOOKUP($C:$C,Structure!$A:$AJ,AD$1,0)*$D177,0),IFERROR(VLOOKUP($E:$E,Structure!$A:$AJ,AD$1,0)*$F177,0),IFERROR(VLOOKUP($G:$G,Structure!$A:$AJ,AD$1,0)*$H177,0))</f>
        <v>0</v>
      </c>
      <c r="AE177" s="9">
        <f>SUM(IFERROR(VLOOKUP($C:$C,Structure!$A:$AJ,AE$1,0)*$D177,0),IFERROR(VLOOKUP($E:$E,Structure!$A:$AJ,AE$1,0)*$F177,0),IFERROR(VLOOKUP($G:$G,Structure!$A:$AJ,AE$1,0)*$H177,0))</f>
        <v>0</v>
      </c>
      <c r="AF177" s="9">
        <f>SUM(IFERROR(VLOOKUP($C:$C,Structure!$A:$AJ,AF$1,0)*$D177,0),IFERROR(VLOOKUP($E:$E,Structure!$A:$AJ,AF$1,0)*$F177,0),IFERROR(VLOOKUP($G:$G,Structure!$A:$AJ,AF$1,0)*$H177,0))</f>
        <v>0</v>
      </c>
      <c r="AG177" s="9">
        <f>SUM(IFERROR(VLOOKUP($C:$C,Structure!$A:$AJ,AG$1,0)*$D177,0),IFERROR(VLOOKUP($E:$E,Structure!$A:$AJ,AG$1,0)*$F177,0),IFERROR(VLOOKUP($G:$G,Structure!$A:$AJ,AG$1,0)*$H177,0))</f>
        <v>0</v>
      </c>
      <c r="AH177" s="9">
        <f>SUM(IFERROR(VLOOKUP($C:$C,Structure!$A:$AJ,AH$1,0)*$D177,0),IFERROR(VLOOKUP($E:$E,Structure!$A:$AJ,AH$1,0)*$F177,0),IFERROR(VLOOKUP($G:$G,Structure!$A:$AJ,AH$1,0)*$H177,0))</f>
        <v>0</v>
      </c>
      <c r="AI177" s="9">
        <f>SUM(IFERROR(VLOOKUP($C:$C,Structure!$A:$AJ,AI$1,0)*$D177,0),IFERROR(VLOOKUP($E:$E,Structure!$A:$AJ,AI$1,0)*$F177,0),IFERROR(VLOOKUP($G:$G,Structure!$A:$AJ,AI$1,0)*$H177,0))</f>
        <v>0</v>
      </c>
      <c r="AJ177" s="9">
        <f>SUM(IFERROR(VLOOKUP($C:$C,Structure!$A:$AJ,AJ$1,0)*$D177,0),IFERROR(VLOOKUP($E:$E,Structure!$A:$AJ,AJ$1,0)*$F177,0),IFERROR(VLOOKUP($G:$G,Structure!$A:$AJ,AJ$1,0)*$H177,0))</f>
        <v>0</v>
      </c>
      <c r="AK177" s="9">
        <f>SUM(IFERROR(VLOOKUP($C:$C,Structure!$A:$AJ,AK$1,0)*$D177,0),IFERROR(VLOOKUP($E:$E,Structure!$A:$AJ,AK$1,0)*$F177,0),IFERROR(VLOOKUP($G:$G,Structure!$A:$AJ,AK$1,0)*$H177,0))</f>
        <v>0</v>
      </c>
      <c r="AL177" s="9">
        <f>SUM(IFERROR(VLOOKUP($C:$C,Structure!$A:$AJ,AL$1,0)*$D177,0),IFERROR(VLOOKUP($E:$E,Structure!$A:$AJ,AL$1,0)*$F177,0),IFERROR(VLOOKUP($G:$G,Structure!$A:$AJ,AL$1,0)*$H177,0))</f>
        <v>0</v>
      </c>
      <c r="AM177" s="9">
        <f>SUM(IFERROR(VLOOKUP($C:$C,Structure!$A:$AJ,AM$1,0)*$D177,0),IFERROR(VLOOKUP($E:$E,Structure!$A:$AJ,AM$1,0)*$F177,0),IFERROR(VLOOKUP($G:$G,Structure!$A:$AJ,AM$1,0)*$H177,0))</f>
        <v>0</v>
      </c>
      <c r="AN177" s="9">
        <f>SUM(IFERROR(VLOOKUP($C:$C,Structure!$A:$AJ,AN$1,0)*$D177,0),IFERROR(VLOOKUP($E:$E,Structure!$A:$AJ,AN$1,0)*$F177,0),IFERROR(VLOOKUP($G:$G,Structure!$A:$AJ,AN$1,0)*$H177,0))</f>
        <v>0</v>
      </c>
      <c r="AO177" s="9">
        <f>SUM(IFERROR(VLOOKUP($C:$C,Structure!$A:$AJ,AO$1,0)*$D177,0),IFERROR(VLOOKUP($E:$E,Structure!$A:$AJ,AO$1,0)*$F177,0),IFERROR(VLOOKUP($G:$G,Structure!$A:$AJ,AO$1,0)*$H177,0))</f>
        <v>0</v>
      </c>
      <c r="AP177" s="9">
        <f>SUM(IFERROR(VLOOKUP($C:$C,Structure!$A:$AJ,AP$1,0)*$D177,0),IFERROR(VLOOKUP($E:$E,Structure!$A:$AJ,AP$1,0)*$F177,0),IFERROR(VLOOKUP($G:$G,Structure!$A:$AJ,AP$1,0)*$H177,0))</f>
        <v>0</v>
      </c>
      <c r="AQ177" s="9">
        <f>SUM(IFERROR(VLOOKUP($C:$C,Structure!$A:$AJ,AQ$1,0)*$D177,0),IFERROR(VLOOKUP($E:$E,Structure!$A:$AJ,AQ$1,0)*$F177,0),IFERROR(VLOOKUP($G:$G,Structure!$A:$AJ,AQ$1,0)*$H177,0))</f>
        <v>0</v>
      </c>
      <c r="AR177" s="21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4">
        <f t="shared" si="232"/>
        <v>0</v>
      </c>
      <c r="CE177" s="4">
        <f t="shared" si="233"/>
        <v>-84</v>
      </c>
      <c r="CF177" s="4">
        <f t="shared" si="234"/>
        <v>4</v>
      </c>
      <c r="CG177" s="4">
        <f t="shared" si="235"/>
        <v>14</v>
      </c>
      <c r="CH177" s="4">
        <f t="shared" si="236"/>
        <v>-7</v>
      </c>
      <c r="CI177" s="4">
        <f t="shared" si="237"/>
        <v>127</v>
      </c>
      <c r="CJ177" s="4">
        <f t="shared" si="238"/>
        <v>-141</v>
      </c>
      <c r="CK177" s="4">
        <f t="shared" si="239"/>
        <v>95</v>
      </c>
      <c r="CL177" s="4">
        <f t="shared" si="240"/>
        <v>0</v>
      </c>
      <c r="CM177" s="4">
        <f t="shared" si="241"/>
        <v>6</v>
      </c>
      <c r="CN177" s="4">
        <f t="shared" si="242"/>
        <v>-28</v>
      </c>
      <c r="CO177" s="4">
        <f t="shared" si="243"/>
        <v>0</v>
      </c>
      <c r="CP177" s="4">
        <f t="shared" si="244"/>
        <v>69</v>
      </c>
      <c r="CQ177" s="4">
        <f t="shared" si="245"/>
        <v>-462</v>
      </c>
      <c r="CR177" s="4">
        <f t="shared" si="246"/>
        <v>15</v>
      </c>
      <c r="CS177" s="4">
        <f t="shared" si="247"/>
        <v>-24</v>
      </c>
      <c r="CT177" s="4">
        <f t="shared" si="248"/>
        <v>0</v>
      </c>
      <c r="CU177" s="4">
        <f t="shared" si="249"/>
        <v>0</v>
      </c>
      <c r="CV177" s="4">
        <f t="shared" si="250"/>
        <v>0</v>
      </c>
      <c r="CW177" s="4">
        <f t="shared" si="251"/>
        <v>0</v>
      </c>
      <c r="CX177" s="4">
        <f t="shared" si="252"/>
        <v>-453</v>
      </c>
      <c r="CY177" s="4">
        <f t="shared" si="253"/>
        <v>0</v>
      </c>
      <c r="CZ177" s="4">
        <f t="shared" si="254"/>
        <v>0</v>
      </c>
      <c r="DA177" s="4">
        <f t="shared" si="255"/>
        <v>0</v>
      </c>
      <c r="DB177" s="4">
        <f t="shared" si="256"/>
        <v>0</v>
      </c>
      <c r="DC177" s="4">
        <f t="shared" si="257"/>
        <v>0</v>
      </c>
      <c r="DD177" s="4">
        <f t="shared" si="258"/>
        <v>0</v>
      </c>
      <c r="DE177" s="4">
        <f t="shared" si="259"/>
        <v>0</v>
      </c>
      <c r="DF177" s="4">
        <f t="shared" si="260"/>
        <v>0</v>
      </c>
      <c r="DG177" s="4">
        <f t="shared" si="261"/>
        <v>0</v>
      </c>
      <c r="DH177" s="4">
        <f t="shared" si="262"/>
        <v>0</v>
      </c>
      <c r="DI177" s="4">
        <f t="shared" si="263"/>
        <v>0</v>
      </c>
      <c r="DJ177" s="4">
        <f t="shared" si="264"/>
        <v>0</v>
      </c>
      <c r="DK177" s="4">
        <f t="shared" si="265"/>
        <v>0</v>
      </c>
      <c r="DL177" s="4">
        <f t="shared" si="266"/>
        <v>0</v>
      </c>
    </row>
    <row r="178" spans="1:116" x14ac:dyDescent="0.25">
      <c r="A178" s="5">
        <v>46186</v>
      </c>
      <c r="B178" s="6">
        <v>0.95833333375776419</v>
      </c>
      <c r="C178" s="3"/>
      <c r="D178" s="3"/>
      <c r="E178" s="3" t="s">
        <v>30</v>
      </c>
      <c r="F178" s="3">
        <v>8</v>
      </c>
      <c r="G178" s="3"/>
      <c r="H178" s="9"/>
      <c r="I178" s="9">
        <f>SUM(IFERROR(VLOOKUP($C:$C,Structure!$A:$AJ,I$1,0)*$D178,0),IFERROR(VLOOKUP($E:$E,Structure!$A:$AJ,I$1,0)*$F178,0),IFERROR(VLOOKUP($G:$G,Structure!$A:$AJ,I$1,0)*$H178,0))</f>
        <v>0</v>
      </c>
      <c r="J178" s="9">
        <f>SUM(IFERROR(VLOOKUP($C:$C,Structure!$A:$AJ,J$1,0)*$D178,0),IFERROR(VLOOKUP($E:$E,Structure!$A:$AJ,J$1,0)*$F178,0),IFERROR(VLOOKUP($G:$G,Structure!$A:$AJ,J$1,0)*$H178,0))</f>
        <v>0</v>
      </c>
      <c r="K178" s="9">
        <f>SUM(IFERROR(VLOOKUP($C:$C,Structure!$A:$AJ,K$1,0)*$D178,0),IFERROR(VLOOKUP($E:$E,Structure!$A:$AJ,K$1,0)*$F178,0),IFERROR(VLOOKUP($G:$G,Structure!$A:$AJ,K$1,0)*$H178,0))</f>
        <v>0</v>
      </c>
      <c r="L178" s="9">
        <f>SUM(IFERROR(VLOOKUP($C:$C,Structure!$A:$AJ,L$1,0)*$D178,0),IFERROR(VLOOKUP($E:$E,Structure!$A:$AJ,L$1,0)*$F178,0),IFERROR(VLOOKUP($G:$G,Structure!$A:$AJ,L$1,0)*$H178,0))</f>
        <v>0</v>
      </c>
      <c r="M178" s="9">
        <f>SUM(IFERROR(VLOOKUP($C:$C,Structure!$A:$AJ,M$1,0)*$D178,0),IFERROR(VLOOKUP($E:$E,Structure!$A:$AJ,M$1,0)*$F178,0),IFERROR(VLOOKUP($G:$G,Structure!$A:$AJ,M$1,0)*$H178,0))</f>
        <v>0</v>
      </c>
      <c r="N178" s="9">
        <f>SUM(IFERROR(VLOOKUP($C:$C,Structure!$A:$AJ,N$1,0)*$D178,0),IFERROR(VLOOKUP($E:$E,Structure!$A:$AJ,N$1,0)*$F178,0),IFERROR(VLOOKUP($G:$G,Structure!$A:$AJ,N$1,0)*$H178,0))</f>
        <v>0</v>
      </c>
      <c r="O178" s="9">
        <f>SUM(IFERROR(VLOOKUP($C:$C,Structure!$A:$AJ,O$1,0)*$D178,0),IFERROR(VLOOKUP($E:$E,Structure!$A:$AJ,O$1,0)*$F178,0),IFERROR(VLOOKUP($G:$G,Structure!$A:$AJ,O$1,0)*$H178,0))</f>
        <v>0</v>
      </c>
      <c r="P178" s="9">
        <f>SUM(IFERROR(VLOOKUP($C:$C,Structure!$A:$AJ,P$1,0)*$D178,0),IFERROR(VLOOKUP($E:$E,Structure!$A:$AJ,P$1,0)*$F178,0),IFERROR(VLOOKUP($G:$G,Structure!$A:$AJ,P$1,0)*$H178,0))</f>
        <v>0</v>
      </c>
      <c r="Q178" s="9">
        <f>SUM(IFERROR(VLOOKUP($C:$C,Structure!$A:$AJ,Q$1,0)*$D178,0),IFERROR(VLOOKUP($E:$E,Structure!$A:$AJ,Q$1,0)*$F178,0),IFERROR(VLOOKUP($G:$G,Structure!$A:$AJ,Q$1,0)*$H178,0))</f>
        <v>0</v>
      </c>
      <c r="R178" s="9">
        <f>SUM(IFERROR(VLOOKUP($C:$C,Structure!$A:$AJ,R$1,0)*$D178,0),IFERROR(VLOOKUP($E:$E,Structure!$A:$AJ,R$1,0)*$F178,0),IFERROR(VLOOKUP($G:$G,Structure!$A:$AJ,R$1,0)*$H178,0))</f>
        <v>0</v>
      </c>
      <c r="S178" s="9">
        <f>SUM(IFERROR(VLOOKUP($C:$C,Structure!$A:$AJ,S$1,0)*$D178,0),IFERROR(VLOOKUP($E:$E,Structure!$A:$AJ,S$1,0)*$F178,0),IFERROR(VLOOKUP($G:$G,Structure!$A:$AJ,S$1,0)*$H178,0))</f>
        <v>0</v>
      </c>
      <c r="T178" s="9">
        <f>SUM(IFERROR(VLOOKUP($C:$C,Structure!$A:$AJ,T$1,0)*$D178,0),IFERROR(VLOOKUP($E:$E,Structure!$A:$AJ,T$1,0)*$F178,0),IFERROR(VLOOKUP($G:$G,Structure!$A:$AJ,T$1,0)*$H178,0))</f>
        <v>0</v>
      </c>
      <c r="U178" s="9">
        <f>SUM(IFERROR(VLOOKUP($C:$C,Structure!$A:$AJ,U$1,0)*$D178,0),IFERROR(VLOOKUP($E:$E,Structure!$A:$AJ,U$1,0)*$F178,0),IFERROR(VLOOKUP($G:$G,Structure!$A:$AJ,U$1,0)*$H178,0))</f>
        <v>0</v>
      </c>
      <c r="V178" s="9">
        <f>SUM(IFERROR(VLOOKUP($C:$C,Structure!$A:$AJ,V$1,0)*$D178,0),IFERROR(VLOOKUP($E:$E,Structure!$A:$AJ,V$1,0)*$F178,0),IFERROR(VLOOKUP($G:$G,Structure!$A:$AJ,V$1,0)*$H178,0))</f>
        <v>8</v>
      </c>
      <c r="W178" s="9">
        <f>SUM(IFERROR(VLOOKUP($C:$C,Structure!$A:$AJ,W$1,0)*$D178,0),IFERROR(VLOOKUP($E:$E,Structure!$A:$AJ,W$1,0)*$F178,0),IFERROR(VLOOKUP($G:$G,Structure!$A:$AJ,W$1,0)*$H178,0))</f>
        <v>0</v>
      </c>
      <c r="X178" s="9">
        <f>SUM(IFERROR(VLOOKUP($C:$C,Structure!$A:$AJ,X$1,0)*$D178,0),IFERROR(VLOOKUP($E:$E,Structure!$A:$AJ,X$1,0)*$F178,0),IFERROR(VLOOKUP($G:$G,Structure!$A:$AJ,X$1,0)*$H178,0))</f>
        <v>0</v>
      </c>
      <c r="Y178" s="9">
        <f>SUM(IFERROR(VLOOKUP($C:$C,Structure!$A:$AJ,Y$1,0)*$D178,0),IFERROR(VLOOKUP($E:$E,Structure!$A:$AJ,Y$1,0)*$F178,0),IFERROR(VLOOKUP($G:$G,Structure!$A:$AJ,Y$1,0)*$H178,0))</f>
        <v>0</v>
      </c>
      <c r="Z178" s="9">
        <f>SUM(IFERROR(VLOOKUP($C:$C,Structure!$A:$AJ,Z$1,0)*$D178,0),IFERROR(VLOOKUP($E:$E,Structure!$A:$AJ,Z$1,0)*$F178,0),IFERROR(VLOOKUP($G:$G,Structure!$A:$AJ,Z$1,0)*$H178,0))</f>
        <v>0</v>
      </c>
      <c r="AA178" s="9">
        <f>SUM(IFERROR(VLOOKUP($C:$C,Structure!$A:$AJ,AA$1,0)*$D178,0),IFERROR(VLOOKUP($E:$E,Structure!$A:$AJ,AA$1,0)*$F178,0),IFERROR(VLOOKUP($G:$G,Structure!$A:$AJ,AA$1,0)*$H178,0))</f>
        <v>0</v>
      </c>
      <c r="AB178" s="9">
        <f>SUM(IFERROR(VLOOKUP($C:$C,Structure!$A:$AJ,AB$1,0)*$D178,0),IFERROR(VLOOKUP($E:$E,Structure!$A:$AJ,AB$1,0)*$F178,0),IFERROR(VLOOKUP($G:$G,Structure!$A:$AJ,AB$1,0)*$H178,0))</f>
        <v>0</v>
      </c>
      <c r="AC178" s="9">
        <f>SUM(IFERROR(VLOOKUP($C:$C,Structure!$A:$AJ,AC$1,0)*$D178,0),IFERROR(VLOOKUP($E:$E,Structure!$A:$AJ,AC$1,0)*$F178,0),IFERROR(VLOOKUP($G:$G,Structure!$A:$AJ,AC$1,0)*$H178,0))</f>
        <v>8</v>
      </c>
      <c r="AD178" s="9">
        <f>SUM(IFERROR(VLOOKUP($C:$C,Structure!$A:$AJ,AD$1,0)*$D178,0),IFERROR(VLOOKUP($E:$E,Structure!$A:$AJ,AD$1,0)*$F178,0),IFERROR(VLOOKUP($G:$G,Structure!$A:$AJ,AD$1,0)*$H178,0))</f>
        <v>0</v>
      </c>
      <c r="AE178" s="9">
        <f>SUM(IFERROR(VLOOKUP($C:$C,Structure!$A:$AJ,AE$1,0)*$D178,0),IFERROR(VLOOKUP($E:$E,Structure!$A:$AJ,AE$1,0)*$F178,0),IFERROR(VLOOKUP($G:$G,Structure!$A:$AJ,AE$1,0)*$H178,0))</f>
        <v>0</v>
      </c>
      <c r="AF178" s="9">
        <f>SUM(IFERROR(VLOOKUP($C:$C,Structure!$A:$AJ,AF$1,0)*$D178,0),IFERROR(VLOOKUP($E:$E,Structure!$A:$AJ,AF$1,0)*$F178,0),IFERROR(VLOOKUP($G:$G,Structure!$A:$AJ,AF$1,0)*$H178,0))</f>
        <v>0</v>
      </c>
      <c r="AG178" s="9">
        <f>SUM(IFERROR(VLOOKUP($C:$C,Structure!$A:$AJ,AG$1,0)*$D178,0),IFERROR(VLOOKUP($E:$E,Structure!$A:$AJ,AG$1,0)*$F178,0),IFERROR(VLOOKUP($G:$G,Structure!$A:$AJ,AG$1,0)*$H178,0))</f>
        <v>0</v>
      </c>
      <c r="AH178" s="9">
        <f>SUM(IFERROR(VLOOKUP($C:$C,Structure!$A:$AJ,AH$1,0)*$D178,0),IFERROR(VLOOKUP($E:$E,Structure!$A:$AJ,AH$1,0)*$F178,0),IFERROR(VLOOKUP($G:$G,Structure!$A:$AJ,AH$1,0)*$H178,0))</f>
        <v>0</v>
      </c>
      <c r="AI178" s="9">
        <f>SUM(IFERROR(VLOOKUP($C:$C,Structure!$A:$AJ,AI$1,0)*$D178,0),IFERROR(VLOOKUP($E:$E,Structure!$A:$AJ,AI$1,0)*$F178,0),IFERROR(VLOOKUP($G:$G,Structure!$A:$AJ,AI$1,0)*$H178,0))</f>
        <v>0</v>
      </c>
      <c r="AJ178" s="9">
        <f>SUM(IFERROR(VLOOKUP($C:$C,Structure!$A:$AJ,AJ$1,0)*$D178,0),IFERROR(VLOOKUP($E:$E,Structure!$A:$AJ,AJ$1,0)*$F178,0),IFERROR(VLOOKUP($G:$G,Structure!$A:$AJ,AJ$1,0)*$H178,0))</f>
        <v>0</v>
      </c>
      <c r="AK178" s="9">
        <f>SUM(IFERROR(VLOOKUP($C:$C,Structure!$A:$AJ,AK$1,0)*$D178,0),IFERROR(VLOOKUP($E:$E,Structure!$A:$AJ,AK$1,0)*$F178,0),IFERROR(VLOOKUP($G:$G,Structure!$A:$AJ,AK$1,0)*$H178,0))</f>
        <v>0</v>
      </c>
      <c r="AL178" s="9">
        <f>SUM(IFERROR(VLOOKUP($C:$C,Structure!$A:$AJ,AL$1,0)*$D178,0),IFERROR(VLOOKUP($E:$E,Structure!$A:$AJ,AL$1,0)*$F178,0),IFERROR(VLOOKUP($G:$G,Structure!$A:$AJ,AL$1,0)*$H178,0))</f>
        <v>0</v>
      </c>
      <c r="AM178" s="9">
        <f>SUM(IFERROR(VLOOKUP($C:$C,Structure!$A:$AJ,AM$1,0)*$D178,0),IFERROR(VLOOKUP($E:$E,Structure!$A:$AJ,AM$1,0)*$F178,0),IFERROR(VLOOKUP($G:$G,Structure!$A:$AJ,AM$1,0)*$H178,0))</f>
        <v>0</v>
      </c>
      <c r="AN178" s="9">
        <f>SUM(IFERROR(VLOOKUP($C:$C,Structure!$A:$AJ,AN$1,0)*$D178,0),IFERROR(VLOOKUP($E:$E,Structure!$A:$AJ,AN$1,0)*$F178,0),IFERROR(VLOOKUP($G:$G,Structure!$A:$AJ,AN$1,0)*$H178,0))</f>
        <v>0</v>
      </c>
      <c r="AO178" s="9">
        <f>SUM(IFERROR(VLOOKUP($C:$C,Structure!$A:$AJ,AO$1,0)*$D178,0),IFERROR(VLOOKUP($E:$E,Structure!$A:$AJ,AO$1,0)*$F178,0),IFERROR(VLOOKUP($G:$G,Structure!$A:$AJ,AO$1,0)*$H178,0))</f>
        <v>0</v>
      </c>
      <c r="AP178" s="9">
        <f>SUM(IFERROR(VLOOKUP($C:$C,Structure!$A:$AJ,AP$1,0)*$D178,0),IFERROR(VLOOKUP($E:$E,Structure!$A:$AJ,AP$1,0)*$F178,0),IFERROR(VLOOKUP($G:$G,Structure!$A:$AJ,AP$1,0)*$H178,0))</f>
        <v>0</v>
      </c>
      <c r="AQ178" s="9">
        <f>SUM(IFERROR(VLOOKUP($C:$C,Structure!$A:$AJ,AQ$1,0)*$D178,0),IFERROR(VLOOKUP($E:$E,Structure!$A:$AJ,AQ$1,0)*$F178,0),IFERROR(VLOOKUP($G:$G,Structure!$A:$AJ,AQ$1,0)*$H178,0))</f>
        <v>0</v>
      </c>
      <c r="AR178" s="21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4">
        <f t="shared" si="232"/>
        <v>0</v>
      </c>
      <c r="CE178" s="4">
        <f t="shared" si="233"/>
        <v>-84</v>
      </c>
      <c r="CF178" s="4">
        <f t="shared" si="234"/>
        <v>4</v>
      </c>
      <c r="CG178" s="4">
        <f t="shared" si="235"/>
        <v>14</v>
      </c>
      <c r="CH178" s="4">
        <f t="shared" si="236"/>
        <v>-7</v>
      </c>
      <c r="CI178" s="4">
        <f t="shared" si="237"/>
        <v>127</v>
      </c>
      <c r="CJ178" s="4">
        <f t="shared" si="238"/>
        <v>-141</v>
      </c>
      <c r="CK178" s="4">
        <f t="shared" si="239"/>
        <v>95</v>
      </c>
      <c r="CL178" s="4">
        <f t="shared" si="240"/>
        <v>0</v>
      </c>
      <c r="CM178" s="4">
        <f t="shared" si="241"/>
        <v>6</v>
      </c>
      <c r="CN178" s="4">
        <f t="shared" si="242"/>
        <v>-28</v>
      </c>
      <c r="CO178" s="4">
        <f t="shared" si="243"/>
        <v>0</v>
      </c>
      <c r="CP178" s="4">
        <f t="shared" si="244"/>
        <v>69</v>
      </c>
      <c r="CQ178" s="4">
        <f t="shared" si="245"/>
        <v>-470</v>
      </c>
      <c r="CR178" s="4">
        <f t="shared" si="246"/>
        <v>15</v>
      </c>
      <c r="CS178" s="4">
        <f t="shared" si="247"/>
        <v>-24</v>
      </c>
      <c r="CT178" s="4">
        <f t="shared" si="248"/>
        <v>0</v>
      </c>
      <c r="CU178" s="4">
        <f t="shared" si="249"/>
        <v>0</v>
      </c>
      <c r="CV178" s="4">
        <f t="shared" si="250"/>
        <v>0</v>
      </c>
      <c r="CW178" s="4">
        <f t="shared" si="251"/>
        <v>0</v>
      </c>
      <c r="CX178" s="4">
        <f t="shared" si="252"/>
        <v>-461</v>
      </c>
      <c r="CY178" s="4">
        <f t="shared" si="253"/>
        <v>0</v>
      </c>
      <c r="CZ178" s="4">
        <f t="shared" si="254"/>
        <v>0</v>
      </c>
      <c r="DA178" s="4">
        <f t="shared" si="255"/>
        <v>0</v>
      </c>
      <c r="DB178" s="4">
        <f t="shared" si="256"/>
        <v>0</v>
      </c>
      <c r="DC178" s="4">
        <f t="shared" si="257"/>
        <v>0</v>
      </c>
      <c r="DD178" s="4">
        <f t="shared" si="258"/>
        <v>0</v>
      </c>
      <c r="DE178" s="4">
        <f t="shared" si="259"/>
        <v>0</v>
      </c>
      <c r="DF178" s="4">
        <f t="shared" si="260"/>
        <v>0</v>
      </c>
      <c r="DG178" s="4">
        <f t="shared" si="261"/>
        <v>0</v>
      </c>
      <c r="DH178" s="4">
        <f t="shared" si="262"/>
        <v>0</v>
      </c>
      <c r="DI178" s="4">
        <f t="shared" si="263"/>
        <v>0</v>
      </c>
      <c r="DJ178" s="4">
        <f t="shared" si="264"/>
        <v>0</v>
      </c>
      <c r="DK178" s="4">
        <f t="shared" si="265"/>
        <v>0</v>
      </c>
      <c r="DL178" s="4">
        <f t="shared" si="266"/>
        <v>0</v>
      </c>
    </row>
    <row r="179" spans="1:116" x14ac:dyDescent="0.25">
      <c r="A179" s="5">
        <v>46186</v>
      </c>
      <c r="B179" s="6">
        <v>0.97916666709352285</v>
      </c>
      <c r="C179" s="3"/>
      <c r="D179" s="3"/>
      <c r="E179" s="3" t="s">
        <v>30</v>
      </c>
      <c r="F179" s="3">
        <v>8</v>
      </c>
      <c r="G179" s="3"/>
      <c r="H179" s="9"/>
      <c r="I179" s="9">
        <f>SUM(IFERROR(VLOOKUP($C:$C,Structure!$A:$AJ,I$1,0)*$D179,0),IFERROR(VLOOKUP($E:$E,Structure!$A:$AJ,I$1,0)*$F179,0),IFERROR(VLOOKUP($G:$G,Structure!$A:$AJ,I$1,0)*$H179,0))</f>
        <v>0</v>
      </c>
      <c r="J179" s="9">
        <f>SUM(IFERROR(VLOOKUP($C:$C,Structure!$A:$AJ,J$1,0)*$D179,0),IFERROR(VLOOKUP($E:$E,Structure!$A:$AJ,J$1,0)*$F179,0),IFERROR(VLOOKUP($G:$G,Structure!$A:$AJ,J$1,0)*$H179,0))</f>
        <v>0</v>
      </c>
      <c r="K179" s="9">
        <f>SUM(IFERROR(VLOOKUP($C:$C,Structure!$A:$AJ,K$1,0)*$D179,0),IFERROR(VLOOKUP($E:$E,Structure!$A:$AJ,K$1,0)*$F179,0),IFERROR(VLOOKUP($G:$G,Structure!$A:$AJ,K$1,0)*$H179,0))</f>
        <v>0</v>
      </c>
      <c r="L179" s="9">
        <f>SUM(IFERROR(VLOOKUP($C:$C,Structure!$A:$AJ,L$1,0)*$D179,0),IFERROR(VLOOKUP($E:$E,Structure!$A:$AJ,L$1,0)*$F179,0),IFERROR(VLOOKUP($G:$G,Structure!$A:$AJ,L$1,0)*$H179,0))</f>
        <v>0</v>
      </c>
      <c r="M179" s="9">
        <f>SUM(IFERROR(VLOOKUP($C:$C,Structure!$A:$AJ,M$1,0)*$D179,0),IFERROR(VLOOKUP($E:$E,Structure!$A:$AJ,M$1,0)*$F179,0),IFERROR(VLOOKUP($G:$G,Structure!$A:$AJ,M$1,0)*$H179,0))</f>
        <v>0</v>
      </c>
      <c r="N179" s="9">
        <f>SUM(IFERROR(VLOOKUP($C:$C,Structure!$A:$AJ,N$1,0)*$D179,0),IFERROR(VLOOKUP($E:$E,Structure!$A:$AJ,N$1,0)*$F179,0),IFERROR(VLOOKUP($G:$G,Structure!$A:$AJ,N$1,0)*$H179,0))</f>
        <v>0</v>
      </c>
      <c r="O179" s="9">
        <f>SUM(IFERROR(VLOOKUP($C:$C,Structure!$A:$AJ,O$1,0)*$D179,0),IFERROR(VLOOKUP($E:$E,Structure!$A:$AJ,O$1,0)*$F179,0),IFERROR(VLOOKUP($G:$G,Structure!$A:$AJ,O$1,0)*$H179,0))</f>
        <v>0</v>
      </c>
      <c r="P179" s="9">
        <f>SUM(IFERROR(VLOOKUP($C:$C,Structure!$A:$AJ,P$1,0)*$D179,0),IFERROR(VLOOKUP($E:$E,Structure!$A:$AJ,P$1,0)*$F179,0),IFERROR(VLOOKUP($G:$G,Structure!$A:$AJ,P$1,0)*$H179,0))</f>
        <v>0</v>
      </c>
      <c r="Q179" s="9">
        <f>SUM(IFERROR(VLOOKUP($C:$C,Structure!$A:$AJ,Q$1,0)*$D179,0),IFERROR(VLOOKUP($E:$E,Structure!$A:$AJ,Q$1,0)*$F179,0),IFERROR(VLOOKUP($G:$G,Structure!$A:$AJ,Q$1,0)*$H179,0))</f>
        <v>0</v>
      </c>
      <c r="R179" s="9">
        <f>SUM(IFERROR(VLOOKUP($C:$C,Structure!$A:$AJ,R$1,0)*$D179,0),IFERROR(VLOOKUP($E:$E,Structure!$A:$AJ,R$1,0)*$F179,0),IFERROR(VLOOKUP($G:$G,Structure!$A:$AJ,R$1,0)*$H179,0))</f>
        <v>0</v>
      </c>
      <c r="S179" s="9">
        <f>SUM(IFERROR(VLOOKUP($C:$C,Structure!$A:$AJ,S$1,0)*$D179,0),IFERROR(VLOOKUP($E:$E,Structure!$A:$AJ,S$1,0)*$F179,0),IFERROR(VLOOKUP($G:$G,Structure!$A:$AJ,S$1,0)*$H179,0))</f>
        <v>0</v>
      </c>
      <c r="T179" s="9">
        <f>SUM(IFERROR(VLOOKUP($C:$C,Structure!$A:$AJ,T$1,0)*$D179,0),IFERROR(VLOOKUP($E:$E,Structure!$A:$AJ,T$1,0)*$F179,0),IFERROR(VLOOKUP($G:$G,Structure!$A:$AJ,T$1,0)*$H179,0))</f>
        <v>0</v>
      </c>
      <c r="U179" s="9">
        <f>SUM(IFERROR(VLOOKUP($C:$C,Structure!$A:$AJ,U$1,0)*$D179,0),IFERROR(VLOOKUP($E:$E,Structure!$A:$AJ,U$1,0)*$F179,0),IFERROR(VLOOKUP($G:$G,Structure!$A:$AJ,U$1,0)*$H179,0))</f>
        <v>0</v>
      </c>
      <c r="V179" s="9">
        <f>SUM(IFERROR(VLOOKUP($C:$C,Structure!$A:$AJ,V$1,0)*$D179,0),IFERROR(VLOOKUP($E:$E,Structure!$A:$AJ,V$1,0)*$F179,0),IFERROR(VLOOKUP($G:$G,Structure!$A:$AJ,V$1,0)*$H179,0))</f>
        <v>8</v>
      </c>
      <c r="W179" s="9">
        <f>SUM(IFERROR(VLOOKUP($C:$C,Structure!$A:$AJ,W$1,0)*$D179,0),IFERROR(VLOOKUP($E:$E,Structure!$A:$AJ,W$1,0)*$F179,0),IFERROR(VLOOKUP($G:$G,Structure!$A:$AJ,W$1,0)*$H179,0))</f>
        <v>0</v>
      </c>
      <c r="X179" s="9">
        <f>SUM(IFERROR(VLOOKUP($C:$C,Structure!$A:$AJ,X$1,0)*$D179,0),IFERROR(VLOOKUP($E:$E,Structure!$A:$AJ,X$1,0)*$F179,0),IFERROR(VLOOKUP($G:$G,Structure!$A:$AJ,X$1,0)*$H179,0))</f>
        <v>0</v>
      </c>
      <c r="Y179" s="9">
        <f>SUM(IFERROR(VLOOKUP($C:$C,Structure!$A:$AJ,Y$1,0)*$D179,0),IFERROR(VLOOKUP($E:$E,Structure!$A:$AJ,Y$1,0)*$F179,0),IFERROR(VLOOKUP($G:$G,Structure!$A:$AJ,Y$1,0)*$H179,0))</f>
        <v>0</v>
      </c>
      <c r="Z179" s="9">
        <f>SUM(IFERROR(VLOOKUP($C:$C,Structure!$A:$AJ,Z$1,0)*$D179,0),IFERROR(VLOOKUP($E:$E,Structure!$A:$AJ,Z$1,0)*$F179,0),IFERROR(VLOOKUP($G:$G,Structure!$A:$AJ,Z$1,0)*$H179,0))</f>
        <v>0</v>
      </c>
      <c r="AA179" s="9">
        <f>SUM(IFERROR(VLOOKUP($C:$C,Structure!$A:$AJ,AA$1,0)*$D179,0),IFERROR(VLOOKUP($E:$E,Structure!$A:$AJ,AA$1,0)*$F179,0),IFERROR(VLOOKUP($G:$G,Structure!$A:$AJ,AA$1,0)*$H179,0))</f>
        <v>0</v>
      </c>
      <c r="AB179" s="9">
        <f>SUM(IFERROR(VLOOKUP($C:$C,Structure!$A:$AJ,AB$1,0)*$D179,0),IFERROR(VLOOKUP($E:$E,Structure!$A:$AJ,AB$1,0)*$F179,0),IFERROR(VLOOKUP($G:$G,Structure!$A:$AJ,AB$1,0)*$H179,0))</f>
        <v>0</v>
      </c>
      <c r="AC179" s="9">
        <f>SUM(IFERROR(VLOOKUP($C:$C,Structure!$A:$AJ,AC$1,0)*$D179,0),IFERROR(VLOOKUP($E:$E,Structure!$A:$AJ,AC$1,0)*$F179,0),IFERROR(VLOOKUP($G:$G,Structure!$A:$AJ,AC$1,0)*$H179,0))</f>
        <v>8</v>
      </c>
      <c r="AD179" s="9">
        <f>SUM(IFERROR(VLOOKUP($C:$C,Structure!$A:$AJ,AD$1,0)*$D179,0),IFERROR(VLOOKUP($E:$E,Structure!$A:$AJ,AD$1,0)*$F179,0),IFERROR(VLOOKUP($G:$G,Structure!$A:$AJ,AD$1,0)*$H179,0))</f>
        <v>0</v>
      </c>
      <c r="AE179" s="9">
        <f>SUM(IFERROR(VLOOKUP($C:$C,Structure!$A:$AJ,AE$1,0)*$D179,0),IFERROR(VLOOKUP($E:$E,Structure!$A:$AJ,AE$1,0)*$F179,0),IFERROR(VLOOKUP($G:$G,Structure!$A:$AJ,AE$1,0)*$H179,0))</f>
        <v>0</v>
      </c>
      <c r="AF179" s="9">
        <f>SUM(IFERROR(VLOOKUP($C:$C,Structure!$A:$AJ,AF$1,0)*$D179,0),IFERROR(VLOOKUP($E:$E,Structure!$A:$AJ,AF$1,0)*$F179,0),IFERROR(VLOOKUP($G:$G,Structure!$A:$AJ,AF$1,0)*$H179,0))</f>
        <v>0</v>
      </c>
      <c r="AG179" s="9">
        <f>SUM(IFERROR(VLOOKUP($C:$C,Structure!$A:$AJ,AG$1,0)*$D179,0),IFERROR(VLOOKUP($E:$E,Structure!$A:$AJ,AG$1,0)*$F179,0),IFERROR(VLOOKUP($G:$G,Structure!$A:$AJ,AG$1,0)*$H179,0))</f>
        <v>0</v>
      </c>
      <c r="AH179" s="9">
        <f>SUM(IFERROR(VLOOKUP($C:$C,Structure!$A:$AJ,AH$1,0)*$D179,0),IFERROR(VLOOKUP($E:$E,Structure!$A:$AJ,AH$1,0)*$F179,0),IFERROR(VLOOKUP($G:$G,Structure!$A:$AJ,AH$1,0)*$H179,0))</f>
        <v>0</v>
      </c>
      <c r="AI179" s="9">
        <f>SUM(IFERROR(VLOOKUP($C:$C,Structure!$A:$AJ,AI$1,0)*$D179,0),IFERROR(VLOOKUP($E:$E,Structure!$A:$AJ,AI$1,0)*$F179,0),IFERROR(VLOOKUP($G:$G,Structure!$A:$AJ,AI$1,0)*$H179,0))</f>
        <v>0</v>
      </c>
      <c r="AJ179" s="9">
        <f>SUM(IFERROR(VLOOKUP($C:$C,Structure!$A:$AJ,AJ$1,0)*$D179,0),IFERROR(VLOOKUP($E:$E,Structure!$A:$AJ,AJ$1,0)*$F179,0),IFERROR(VLOOKUP($G:$G,Structure!$A:$AJ,AJ$1,0)*$H179,0))</f>
        <v>0</v>
      </c>
      <c r="AK179" s="9">
        <f>SUM(IFERROR(VLOOKUP($C:$C,Structure!$A:$AJ,AK$1,0)*$D179,0),IFERROR(VLOOKUP($E:$E,Structure!$A:$AJ,AK$1,0)*$F179,0),IFERROR(VLOOKUP($G:$G,Structure!$A:$AJ,AK$1,0)*$H179,0))</f>
        <v>0</v>
      </c>
      <c r="AL179" s="9">
        <f>SUM(IFERROR(VLOOKUP($C:$C,Structure!$A:$AJ,AL$1,0)*$D179,0),IFERROR(VLOOKUP($E:$E,Structure!$A:$AJ,AL$1,0)*$F179,0),IFERROR(VLOOKUP($G:$G,Structure!$A:$AJ,AL$1,0)*$H179,0))</f>
        <v>0</v>
      </c>
      <c r="AM179" s="9">
        <f>SUM(IFERROR(VLOOKUP($C:$C,Structure!$A:$AJ,AM$1,0)*$D179,0),IFERROR(VLOOKUP($E:$E,Structure!$A:$AJ,AM$1,0)*$F179,0),IFERROR(VLOOKUP($G:$G,Structure!$A:$AJ,AM$1,0)*$H179,0))</f>
        <v>0</v>
      </c>
      <c r="AN179" s="9">
        <f>SUM(IFERROR(VLOOKUP($C:$C,Structure!$A:$AJ,AN$1,0)*$D179,0),IFERROR(VLOOKUP($E:$E,Structure!$A:$AJ,AN$1,0)*$F179,0),IFERROR(VLOOKUP($G:$G,Structure!$A:$AJ,AN$1,0)*$H179,0))</f>
        <v>0</v>
      </c>
      <c r="AO179" s="9">
        <f>SUM(IFERROR(VLOOKUP($C:$C,Structure!$A:$AJ,AO$1,0)*$D179,0),IFERROR(VLOOKUP($E:$E,Structure!$A:$AJ,AO$1,0)*$F179,0),IFERROR(VLOOKUP($G:$G,Structure!$A:$AJ,AO$1,0)*$H179,0))</f>
        <v>0</v>
      </c>
      <c r="AP179" s="9">
        <f>SUM(IFERROR(VLOOKUP($C:$C,Structure!$A:$AJ,AP$1,0)*$D179,0),IFERROR(VLOOKUP($E:$E,Structure!$A:$AJ,AP$1,0)*$F179,0),IFERROR(VLOOKUP($G:$G,Structure!$A:$AJ,AP$1,0)*$H179,0))</f>
        <v>0</v>
      </c>
      <c r="AQ179" s="9">
        <f>SUM(IFERROR(VLOOKUP($C:$C,Structure!$A:$AJ,AQ$1,0)*$D179,0),IFERROR(VLOOKUP($E:$E,Structure!$A:$AJ,AQ$1,0)*$F179,0),IFERROR(VLOOKUP($G:$G,Structure!$A:$AJ,AQ$1,0)*$H179,0))</f>
        <v>0</v>
      </c>
      <c r="AR179" s="21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4">
        <f t="shared" si="232"/>
        <v>0</v>
      </c>
      <c r="CE179" s="4">
        <f t="shared" si="233"/>
        <v>-84</v>
      </c>
      <c r="CF179" s="4">
        <f t="shared" si="234"/>
        <v>4</v>
      </c>
      <c r="CG179" s="4">
        <f t="shared" si="235"/>
        <v>14</v>
      </c>
      <c r="CH179" s="4">
        <f t="shared" si="236"/>
        <v>-7</v>
      </c>
      <c r="CI179" s="4">
        <f t="shared" si="237"/>
        <v>127</v>
      </c>
      <c r="CJ179" s="4">
        <f t="shared" si="238"/>
        <v>-141</v>
      </c>
      <c r="CK179" s="4">
        <f t="shared" si="239"/>
        <v>95</v>
      </c>
      <c r="CL179" s="4">
        <f t="shared" si="240"/>
        <v>0</v>
      </c>
      <c r="CM179" s="4">
        <f t="shared" si="241"/>
        <v>6</v>
      </c>
      <c r="CN179" s="4">
        <f t="shared" si="242"/>
        <v>-28</v>
      </c>
      <c r="CO179" s="4">
        <f t="shared" si="243"/>
        <v>0</v>
      </c>
      <c r="CP179" s="4">
        <f t="shared" si="244"/>
        <v>69</v>
      </c>
      <c r="CQ179" s="4">
        <f t="shared" si="245"/>
        <v>-478</v>
      </c>
      <c r="CR179" s="4">
        <f t="shared" si="246"/>
        <v>15</v>
      </c>
      <c r="CS179" s="4">
        <f t="shared" si="247"/>
        <v>-24</v>
      </c>
      <c r="CT179" s="4">
        <f t="shared" si="248"/>
        <v>0</v>
      </c>
      <c r="CU179" s="4">
        <f t="shared" si="249"/>
        <v>0</v>
      </c>
      <c r="CV179" s="4">
        <f t="shared" si="250"/>
        <v>0</v>
      </c>
      <c r="CW179" s="4">
        <f t="shared" si="251"/>
        <v>0</v>
      </c>
      <c r="CX179" s="4">
        <f t="shared" si="252"/>
        <v>-469</v>
      </c>
      <c r="CY179" s="4">
        <f t="shared" si="253"/>
        <v>0</v>
      </c>
      <c r="CZ179" s="4">
        <f t="shared" si="254"/>
        <v>0</v>
      </c>
      <c r="DA179" s="4">
        <f t="shared" si="255"/>
        <v>0</v>
      </c>
      <c r="DB179" s="4">
        <f t="shared" si="256"/>
        <v>0</v>
      </c>
      <c r="DC179" s="4">
        <f t="shared" si="257"/>
        <v>0</v>
      </c>
      <c r="DD179" s="4">
        <f t="shared" si="258"/>
        <v>0</v>
      </c>
      <c r="DE179" s="4">
        <f t="shared" si="259"/>
        <v>0</v>
      </c>
      <c r="DF179" s="4">
        <f t="shared" si="260"/>
        <v>0</v>
      </c>
      <c r="DG179" s="4">
        <f t="shared" si="261"/>
        <v>0</v>
      </c>
      <c r="DH179" s="4">
        <f t="shared" si="262"/>
        <v>0</v>
      </c>
      <c r="DI179" s="4">
        <f t="shared" si="263"/>
        <v>0</v>
      </c>
      <c r="DJ179" s="4">
        <f t="shared" si="264"/>
        <v>0</v>
      </c>
      <c r="DK179" s="4">
        <f t="shared" si="265"/>
        <v>0</v>
      </c>
      <c r="DL179" s="4">
        <f t="shared" si="266"/>
        <v>0</v>
      </c>
    </row>
    <row r="180" spans="1:116" x14ac:dyDescent="0.25">
      <c r="A180" s="5">
        <v>46187</v>
      </c>
      <c r="B180" s="6">
        <v>4.2928149923682213E-10</v>
      </c>
      <c r="C180" s="3"/>
      <c r="D180" s="3"/>
      <c r="E180" s="3" t="s">
        <v>30</v>
      </c>
      <c r="F180" s="3">
        <v>8</v>
      </c>
      <c r="G180" s="3"/>
      <c r="H180" s="9"/>
      <c r="I180" s="9">
        <f>SUM(IFERROR(VLOOKUP($C:$C,Structure!$A:$AJ,I$1,0)*$D180,0),IFERROR(VLOOKUP($E:$E,Structure!$A:$AJ,I$1,0)*$F180,0),IFERROR(VLOOKUP($G:$G,Structure!$A:$AJ,I$1,0)*$H180,0))</f>
        <v>0</v>
      </c>
      <c r="J180" s="9">
        <f>SUM(IFERROR(VLOOKUP($C:$C,Structure!$A:$AJ,J$1,0)*$D180,0),IFERROR(VLOOKUP($E:$E,Structure!$A:$AJ,J$1,0)*$F180,0),IFERROR(VLOOKUP($G:$G,Structure!$A:$AJ,J$1,0)*$H180,0))</f>
        <v>0</v>
      </c>
      <c r="K180" s="9">
        <f>SUM(IFERROR(VLOOKUP($C:$C,Structure!$A:$AJ,K$1,0)*$D180,0),IFERROR(VLOOKUP($E:$E,Structure!$A:$AJ,K$1,0)*$F180,0),IFERROR(VLOOKUP($G:$G,Structure!$A:$AJ,K$1,0)*$H180,0))</f>
        <v>0</v>
      </c>
      <c r="L180" s="9">
        <f>SUM(IFERROR(VLOOKUP($C:$C,Structure!$A:$AJ,L$1,0)*$D180,0),IFERROR(VLOOKUP($E:$E,Structure!$A:$AJ,L$1,0)*$F180,0),IFERROR(VLOOKUP($G:$G,Structure!$A:$AJ,L$1,0)*$H180,0))</f>
        <v>0</v>
      </c>
      <c r="M180" s="9">
        <f>SUM(IFERROR(VLOOKUP($C:$C,Structure!$A:$AJ,M$1,0)*$D180,0),IFERROR(VLOOKUP($E:$E,Structure!$A:$AJ,M$1,0)*$F180,0),IFERROR(VLOOKUP($G:$G,Structure!$A:$AJ,M$1,0)*$H180,0))</f>
        <v>0</v>
      </c>
      <c r="N180" s="9">
        <f>SUM(IFERROR(VLOOKUP($C:$C,Structure!$A:$AJ,N$1,0)*$D180,0),IFERROR(VLOOKUP($E:$E,Structure!$A:$AJ,N$1,0)*$F180,0),IFERROR(VLOOKUP($G:$G,Structure!$A:$AJ,N$1,0)*$H180,0))</f>
        <v>0</v>
      </c>
      <c r="O180" s="9">
        <f>SUM(IFERROR(VLOOKUP($C:$C,Structure!$A:$AJ,O$1,0)*$D180,0),IFERROR(VLOOKUP($E:$E,Structure!$A:$AJ,O$1,0)*$F180,0),IFERROR(VLOOKUP($G:$G,Structure!$A:$AJ,O$1,0)*$H180,0))</f>
        <v>0</v>
      </c>
      <c r="P180" s="9">
        <f>SUM(IFERROR(VLOOKUP($C:$C,Structure!$A:$AJ,P$1,0)*$D180,0),IFERROR(VLOOKUP($E:$E,Structure!$A:$AJ,P$1,0)*$F180,0),IFERROR(VLOOKUP($G:$G,Structure!$A:$AJ,P$1,0)*$H180,0))</f>
        <v>0</v>
      </c>
      <c r="Q180" s="9">
        <f>SUM(IFERROR(VLOOKUP($C:$C,Structure!$A:$AJ,Q$1,0)*$D180,0),IFERROR(VLOOKUP($E:$E,Structure!$A:$AJ,Q$1,0)*$F180,0),IFERROR(VLOOKUP($G:$G,Structure!$A:$AJ,Q$1,0)*$H180,0))</f>
        <v>0</v>
      </c>
      <c r="R180" s="9">
        <f>SUM(IFERROR(VLOOKUP($C:$C,Structure!$A:$AJ,R$1,0)*$D180,0),IFERROR(VLOOKUP($E:$E,Structure!$A:$AJ,R$1,0)*$F180,0),IFERROR(VLOOKUP($G:$G,Structure!$A:$AJ,R$1,0)*$H180,0))</f>
        <v>0</v>
      </c>
      <c r="S180" s="9">
        <f>SUM(IFERROR(VLOOKUP($C:$C,Structure!$A:$AJ,S$1,0)*$D180,0),IFERROR(VLOOKUP($E:$E,Structure!$A:$AJ,S$1,0)*$F180,0),IFERROR(VLOOKUP($G:$G,Structure!$A:$AJ,S$1,0)*$H180,0))</f>
        <v>0</v>
      </c>
      <c r="T180" s="9">
        <f>SUM(IFERROR(VLOOKUP($C:$C,Structure!$A:$AJ,T$1,0)*$D180,0),IFERROR(VLOOKUP($E:$E,Structure!$A:$AJ,T$1,0)*$F180,0),IFERROR(VLOOKUP($G:$G,Structure!$A:$AJ,T$1,0)*$H180,0))</f>
        <v>0</v>
      </c>
      <c r="U180" s="9">
        <f>SUM(IFERROR(VLOOKUP($C:$C,Structure!$A:$AJ,U$1,0)*$D180,0),IFERROR(VLOOKUP($E:$E,Structure!$A:$AJ,U$1,0)*$F180,0),IFERROR(VLOOKUP($G:$G,Structure!$A:$AJ,U$1,0)*$H180,0))</f>
        <v>0</v>
      </c>
      <c r="V180" s="9">
        <f>SUM(IFERROR(VLOOKUP($C:$C,Structure!$A:$AJ,V$1,0)*$D180,0),IFERROR(VLOOKUP($E:$E,Structure!$A:$AJ,V$1,0)*$F180,0),IFERROR(VLOOKUP($G:$G,Structure!$A:$AJ,V$1,0)*$H180,0))</f>
        <v>8</v>
      </c>
      <c r="W180" s="9">
        <f>SUM(IFERROR(VLOOKUP($C:$C,Structure!$A:$AJ,W$1,0)*$D180,0),IFERROR(VLOOKUP($E:$E,Structure!$A:$AJ,W$1,0)*$F180,0),IFERROR(VLOOKUP($G:$G,Structure!$A:$AJ,W$1,0)*$H180,0))</f>
        <v>0</v>
      </c>
      <c r="X180" s="9">
        <f>SUM(IFERROR(VLOOKUP($C:$C,Structure!$A:$AJ,X$1,0)*$D180,0),IFERROR(VLOOKUP($E:$E,Structure!$A:$AJ,X$1,0)*$F180,0),IFERROR(VLOOKUP($G:$G,Structure!$A:$AJ,X$1,0)*$H180,0))</f>
        <v>0</v>
      </c>
      <c r="Y180" s="9">
        <f>SUM(IFERROR(VLOOKUP($C:$C,Structure!$A:$AJ,Y$1,0)*$D180,0),IFERROR(VLOOKUP($E:$E,Structure!$A:$AJ,Y$1,0)*$F180,0),IFERROR(VLOOKUP($G:$G,Structure!$A:$AJ,Y$1,0)*$H180,0))</f>
        <v>0</v>
      </c>
      <c r="Z180" s="9">
        <f>SUM(IFERROR(VLOOKUP($C:$C,Structure!$A:$AJ,Z$1,0)*$D180,0),IFERROR(VLOOKUP($E:$E,Structure!$A:$AJ,Z$1,0)*$F180,0),IFERROR(VLOOKUP($G:$G,Structure!$A:$AJ,Z$1,0)*$H180,0))</f>
        <v>0</v>
      </c>
      <c r="AA180" s="9">
        <f>SUM(IFERROR(VLOOKUP($C:$C,Structure!$A:$AJ,AA$1,0)*$D180,0),IFERROR(VLOOKUP($E:$E,Structure!$A:$AJ,AA$1,0)*$F180,0),IFERROR(VLOOKUP($G:$G,Structure!$A:$AJ,AA$1,0)*$H180,0))</f>
        <v>0</v>
      </c>
      <c r="AB180" s="9">
        <f>SUM(IFERROR(VLOOKUP($C:$C,Structure!$A:$AJ,AB$1,0)*$D180,0),IFERROR(VLOOKUP($E:$E,Structure!$A:$AJ,AB$1,0)*$F180,0),IFERROR(VLOOKUP($G:$G,Structure!$A:$AJ,AB$1,0)*$H180,0))</f>
        <v>0</v>
      </c>
      <c r="AC180" s="9">
        <f>SUM(IFERROR(VLOOKUP($C:$C,Structure!$A:$AJ,AC$1,0)*$D180,0),IFERROR(VLOOKUP($E:$E,Structure!$A:$AJ,AC$1,0)*$F180,0),IFERROR(VLOOKUP($G:$G,Structure!$A:$AJ,AC$1,0)*$H180,0))</f>
        <v>8</v>
      </c>
      <c r="AD180" s="9">
        <f>SUM(IFERROR(VLOOKUP($C:$C,Structure!$A:$AJ,AD$1,0)*$D180,0),IFERROR(VLOOKUP($E:$E,Structure!$A:$AJ,AD$1,0)*$F180,0),IFERROR(VLOOKUP($G:$G,Structure!$A:$AJ,AD$1,0)*$H180,0))</f>
        <v>0</v>
      </c>
      <c r="AE180" s="9">
        <f>SUM(IFERROR(VLOOKUP($C:$C,Structure!$A:$AJ,AE$1,0)*$D180,0),IFERROR(VLOOKUP($E:$E,Structure!$A:$AJ,AE$1,0)*$F180,0),IFERROR(VLOOKUP($G:$G,Structure!$A:$AJ,AE$1,0)*$H180,0))</f>
        <v>0</v>
      </c>
      <c r="AF180" s="9">
        <f>SUM(IFERROR(VLOOKUP($C:$C,Structure!$A:$AJ,AF$1,0)*$D180,0),IFERROR(VLOOKUP($E:$E,Structure!$A:$AJ,AF$1,0)*$F180,0),IFERROR(VLOOKUP($G:$G,Structure!$A:$AJ,AF$1,0)*$H180,0))</f>
        <v>0</v>
      </c>
      <c r="AG180" s="9">
        <f>SUM(IFERROR(VLOOKUP($C:$C,Structure!$A:$AJ,AG$1,0)*$D180,0),IFERROR(VLOOKUP($E:$E,Structure!$A:$AJ,AG$1,0)*$F180,0),IFERROR(VLOOKUP($G:$G,Structure!$A:$AJ,AG$1,0)*$H180,0))</f>
        <v>0</v>
      </c>
      <c r="AH180" s="9">
        <f>SUM(IFERROR(VLOOKUP($C:$C,Structure!$A:$AJ,AH$1,0)*$D180,0),IFERROR(VLOOKUP($E:$E,Structure!$A:$AJ,AH$1,0)*$F180,0),IFERROR(VLOOKUP($G:$G,Structure!$A:$AJ,AH$1,0)*$H180,0))</f>
        <v>0</v>
      </c>
      <c r="AI180" s="9">
        <f>SUM(IFERROR(VLOOKUP($C:$C,Structure!$A:$AJ,AI$1,0)*$D180,0),IFERROR(VLOOKUP($E:$E,Structure!$A:$AJ,AI$1,0)*$F180,0),IFERROR(VLOOKUP($G:$G,Structure!$A:$AJ,AI$1,0)*$H180,0))</f>
        <v>0</v>
      </c>
      <c r="AJ180" s="9">
        <f>SUM(IFERROR(VLOOKUP($C:$C,Structure!$A:$AJ,AJ$1,0)*$D180,0),IFERROR(VLOOKUP($E:$E,Structure!$A:$AJ,AJ$1,0)*$F180,0),IFERROR(VLOOKUP($G:$G,Structure!$A:$AJ,AJ$1,0)*$H180,0))</f>
        <v>0</v>
      </c>
      <c r="AK180" s="9">
        <f>SUM(IFERROR(VLOOKUP($C:$C,Structure!$A:$AJ,AK$1,0)*$D180,0),IFERROR(VLOOKUP($E:$E,Structure!$A:$AJ,AK$1,0)*$F180,0),IFERROR(VLOOKUP($G:$G,Structure!$A:$AJ,AK$1,0)*$H180,0))</f>
        <v>0</v>
      </c>
      <c r="AL180" s="9">
        <f>SUM(IFERROR(VLOOKUP($C:$C,Structure!$A:$AJ,AL$1,0)*$D180,0),IFERROR(VLOOKUP($E:$E,Structure!$A:$AJ,AL$1,0)*$F180,0),IFERROR(VLOOKUP($G:$G,Structure!$A:$AJ,AL$1,0)*$H180,0))</f>
        <v>0</v>
      </c>
      <c r="AM180" s="9">
        <f>SUM(IFERROR(VLOOKUP($C:$C,Structure!$A:$AJ,AM$1,0)*$D180,0),IFERROR(VLOOKUP($E:$E,Structure!$A:$AJ,AM$1,0)*$F180,0),IFERROR(VLOOKUP($G:$G,Structure!$A:$AJ,AM$1,0)*$H180,0))</f>
        <v>0</v>
      </c>
      <c r="AN180" s="9">
        <f>SUM(IFERROR(VLOOKUP($C:$C,Structure!$A:$AJ,AN$1,0)*$D180,0),IFERROR(VLOOKUP($E:$E,Structure!$A:$AJ,AN$1,0)*$F180,0),IFERROR(VLOOKUP($G:$G,Structure!$A:$AJ,AN$1,0)*$H180,0))</f>
        <v>0</v>
      </c>
      <c r="AO180" s="9">
        <f>SUM(IFERROR(VLOOKUP($C:$C,Structure!$A:$AJ,AO$1,0)*$D180,0),IFERROR(VLOOKUP($E:$E,Structure!$A:$AJ,AO$1,0)*$F180,0),IFERROR(VLOOKUP($G:$G,Structure!$A:$AJ,AO$1,0)*$H180,0))</f>
        <v>0</v>
      </c>
      <c r="AP180" s="9">
        <f>SUM(IFERROR(VLOOKUP($C:$C,Structure!$A:$AJ,AP$1,0)*$D180,0),IFERROR(VLOOKUP($E:$E,Structure!$A:$AJ,AP$1,0)*$F180,0),IFERROR(VLOOKUP($G:$G,Structure!$A:$AJ,AP$1,0)*$H180,0))</f>
        <v>0</v>
      </c>
      <c r="AQ180" s="9">
        <f>SUM(IFERROR(VLOOKUP($C:$C,Structure!$A:$AJ,AQ$1,0)*$D180,0),IFERROR(VLOOKUP($E:$E,Structure!$A:$AJ,AQ$1,0)*$F180,0),IFERROR(VLOOKUP($G:$G,Structure!$A:$AJ,AQ$1,0)*$H180,0))</f>
        <v>0</v>
      </c>
      <c r="AR180" s="21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4">
        <f t="shared" si="232"/>
        <v>0</v>
      </c>
      <c r="CE180" s="4">
        <f t="shared" si="233"/>
        <v>-84</v>
      </c>
      <c r="CF180" s="4">
        <f t="shared" si="234"/>
        <v>4</v>
      </c>
      <c r="CG180" s="4">
        <f t="shared" si="235"/>
        <v>14</v>
      </c>
      <c r="CH180" s="4">
        <f t="shared" si="236"/>
        <v>-7</v>
      </c>
      <c r="CI180" s="4">
        <f t="shared" si="237"/>
        <v>127</v>
      </c>
      <c r="CJ180" s="4">
        <f t="shared" si="238"/>
        <v>-141</v>
      </c>
      <c r="CK180" s="4">
        <f t="shared" si="239"/>
        <v>95</v>
      </c>
      <c r="CL180" s="4">
        <f t="shared" si="240"/>
        <v>0</v>
      </c>
      <c r="CM180" s="4">
        <f t="shared" si="241"/>
        <v>6</v>
      </c>
      <c r="CN180" s="4">
        <f t="shared" si="242"/>
        <v>-28</v>
      </c>
      <c r="CO180" s="4">
        <f t="shared" si="243"/>
        <v>0</v>
      </c>
      <c r="CP180" s="4">
        <f t="shared" si="244"/>
        <v>69</v>
      </c>
      <c r="CQ180" s="4">
        <f t="shared" si="245"/>
        <v>-486</v>
      </c>
      <c r="CR180" s="4">
        <f t="shared" si="246"/>
        <v>15</v>
      </c>
      <c r="CS180" s="4">
        <f t="shared" si="247"/>
        <v>-24</v>
      </c>
      <c r="CT180" s="4">
        <f t="shared" si="248"/>
        <v>0</v>
      </c>
      <c r="CU180" s="4">
        <f t="shared" si="249"/>
        <v>0</v>
      </c>
      <c r="CV180" s="4">
        <f t="shared" si="250"/>
        <v>0</v>
      </c>
      <c r="CW180" s="4">
        <f t="shared" si="251"/>
        <v>0</v>
      </c>
      <c r="CX180" s="4">
        <f t="shared" si="252"/>
        <v>-477</v>
      </c>
      <c r="CY180" s="4">
        <f t="shared" si="253"/>
        <v>0</v>
      </c>
      <c r="CZ180" s="4">
        <f t="shared" si="254"/>
        <v>0</v>
      </c>
      <c r="DA180" s="4">
        <f t="shared" si="255"/>
        <v>0</v>
      </c>
      <c r="DB180" s="4">
        <f t="shared" si="256"/>
        <v>0</v>
      </c>
      <c r="DC180" s="4">
        <f t="shared" si="257"/>
        <v>0</v>
      </c>
      <c r="DD180" s="4">
        <f t="shared" si="258"/>
        <v>0</v>
      </c>
      <c r="DE180" s="4">
        <f t="shared" si="259"/>
        <v>0</v>
      </c>
      <c r="DF180" s="4">
        <f t="shared" si="260"/>
        <v>0</v>
      </c>
      <c r="DG180" s="4">
        <f t="shared" si="261"/>
        <v>0</v>
      </c>
      <c r="DH180" s="4">
        <f t="shared" si="262"/>
        <v>0</v>
      </c>
      <c r="DI180" s="4">
        <f t="shared" si="263"/>
        <v>0</v>
      </c>
      <c r="DJ180" s="4">
        <f t="shared" si="264"/>
        <v>0</v>
      </c>
      <c r="DK180" s="4">
        <f t="shared" si="265"/>
        <v>0</v>
      </c>
      <c r="DL180" s="4">
        <f t="shared" si="266"/>
        <v>0</v>
      </c>
    </row>
    <row r="181" spans="1:116" x14ac:dyDescent="0.25">
      <c r="A181" s="5">
        <v>46187</v>
      </c>
      <c r="B181" s="6">
        <v>2.0833333765040152E-2</v>
      </c>
      <c r="C181" s="3"/>
      <c r="D181" s="3"/>
      <c r="E181" s="3" t="s">
        <v>30</v>
      </c>
      <c r="F181" s="3">
        <v>8</v>
      </c>
      <c r="G181" s="3"/>
      <c r="H181" s="9"/>
      <c r="I181" s="9">
        <f>SUM(IFERROR(VLOOKUP($C:$C,Structure!$A:$AJ,I$1,0)*$D181,0),IFERROR(VLOOKUP($E:$E,Structure!$A:$AJ,I$1,0)*$F181,0),IFERROR(VLOOKUP($G:$G,Structure!$A:$AJ,I$1,0)*$H181,0))</f>
        <v>0</v>
      </c>
      <c r="J181" s="9">
        <f>SUM(IFERROR(VLOOKUP($C:$C,Structure!$A:$AJ,J$1,0)*$D181,0),IFERROR(VLOOKUP($E:$E,Structure!$A:$AJ,J$1,0)*$F181,0),IFERROR(VLOOKUP($G:$G,Structure!$A:$AJ,J$1,0)*$H181,0))</f>
        <v>0</v>
      </c>
      <c r="K181" s="9">
        <f>SUM(IFERROR(VLOOKUP($C:$C,Structure!$A:$AJ,K$1,0)*$D181,0),IFERROR(VLOOKUP($E:$E,Structure!$A:$AJ,K$1,0)*$F181,0),IFERROR(VLOOKUP($G:$G,Structure!$A:$AJ,K$1,0)*$H181,0))</f>
        <v>0</v>
      </c>
      <c r="L181" s="9">
        <f>SUM(IFERROR(VLOOKUP($C:$C,Structure!$A:$AJ,L$1,0)*$D181,0),IFERROR(VLOOKUP($E:$E,Structure!$A:$AJ,L$1,0)*$F181,0),IFERROR(VLOOKUP($G:$G,Structure!$A:$AJ,L$1,0)*$H181,0))</f>
        <v>0</v>
      </c>
      <c r="M181" s="9">
        <f>SUM(IFERROR(VLOOKUP($C:$C,Structure!$A:$AJ,M$1,0)*$D181,0),IFERROR(VLOOKUP($E:$E,Structure!$A:$AJ,M$1,0)*$F181,0),IFERROR(VLOOKUP($G:$G,Structure!$A:$AJ,M$1,0)*$H181,0))</f>
        <v>0</v>
      </c>
      <c r="N181" s="9">
        <f>SUM(IFERROR(VLOOKUP($C:$C,Structure!$A:$AJ,N$1,0)*$D181,0),IFERROR(VLOOKUP($E:$E,Structure!$A:$AJ,N$1,0)*$F181,0),IFERROR(VLOOKUP($G:$G,Structure!$A:$AJ,N$1,0)*$H181,0))</f>
        <v>0</v>
      </c>
      <c r="O181" s="9">
        <f>SUM(IFERROR(VLOOKUP($C:$C,Structure!$A:$AJ,O$1,0)*$D181,0),IFERROR(VLOOKUP($E:$E,Structure!$A:$AJ,O$1,0)*$F181,0),IFERROR(VLOOKUP($G:$G,Structure!$A:$AJ,O$1,0)*$H181,0))</f>
        <v>0</v>
      </c>
      <c r="P181" s="9">
        <f>SUM(IFERROR(VLOOKUP($C:$C,Structure!$A:$AJ,P$1,0)*$D181,0),IFERROR(VLOOKUP($E:$E,Structure!$A:$AJ,P$1,0)*$F181,0),IFERROR(VLOOKUP($G:$G,Structure!$A:$AJ,P$1,0)*$H181,0))</f>
        <v>0</v>
      </c>
      <c r="Q181" s="9">
        <f>SUM(IFERROR(VLOOKUP($C:$C,Structure!$A:$AJ,Q$1,0)*$D181,0),IFERROR(VLOOKUP($E:$E,Structure!$A:$AJ,Q$1,0)*$F181,0),IFERROR(VLOOKUP($G:$G,Structure!$A:$AJ,Q$1,0)*$H181,0))</f>
        <v>0</v>
      </c>
      <c r="R181" s="9">
        <f>SUM(IFERROR(VLOOKUP($C:$C,Structure!$A:$AJ,R$1,0)*$D181,0),IFERROR(VLOOKUP($E:$E,Structure!$A:$AJ,R$1,0)*$F181,0),IFERROR(VLOOKUP($G:$G,Structure!$A:$AJ,R$1,0)*$H181,0))</f>
        <v>0</v>
      </c>
      <c r="S181" s="9">
        <f>SUM(IFERROR(VLOOKUP($C:$C,Structure!$A:$AJ,S$1,0)*$D181,0),IFERROR(VLOOKUP($E:$E,Structure!$A:$AJ,S$1,0)*$F181,0),IFERROR(VLOOKUP($G:$G,Structure!$A:$AJ,S$1,0)*$H181,0))</f>
        <v>0</v>
      </c>
      <c r="T181" s="9">
        <f>SUM(IFERROR(VLOOKUP($C:$C,Structure!$A:$AJ,T$1,0)*$D181,0),IFERROR(VLOOKUP($E:$E,Structure!$A:$AJ,T$1,0)*$F181,0),IFERROR(VLOOKUP($G:$G,Structure!$A:$AJ,T$1,0)*$H181,0))</f>
        <v>0</v>
      </c>
      <c r="U181" s="9">
        <f>SUM(IFERROR(VLOOKUP($C:$C,Structure!$A:$AJ,U$1,0)*$D181,0),IFERROR(VLOOKUP($E:$E,Structure!$A:$AJ,U$1,0)*$F181,0),IFERROR(VLOOKUP($G:$G,Structure!$A:$AJ,U$1,0)*$H181,0))</f>
        <v>0</v>
      </c>
      <c r="V181" s="9">
        <f>SUM(IFERROR(VLOOKUP($C:$C,Structure!$A:$AJ,V$1,0)*$D181,0),IFERROR(VLOOKUP($E:$E,Structure!$A:$AJ,V$1,0)*$F181,0),IFERROR(VLOOKUP($G:$G,Structure!$A:$AJ,V$1,0)*$H181,0))</f>
        <v>8</v>
      </c>
      <c r="W181" s="9">
        <f>SUM(IFERROR(VLOOKUP($C:$C,Structure!$A:$AJ,W$1,0)*$D181,0),IFERROR(VLOOKUP($E:$E,Structure!$A:$AJ,W$1,0)*$F181,0),IFERROR(VLOOKUP($G:$G,Structure!$A:$AJ,W$1,0)*$H181,0))</f>
        <v>0</v>
      </c>
      <c r="X181" s="9">
        <f>SUM(IFERROR(VLOOKUP($C:$C,Structure!$A:$AJ,X$1,0)*$D181,0),IFERROR(VLOOKUP($E:$E,Structure!$A:$AJ,X$1,0)*$F181,0),IFERROR(VLOOKUP($G:$G,Structure!$A:$AJ,X$1,0)*$H181,0))</f>
        <v>0</v>
      </c>
      <c r="Y181" s="9">
        <f>SUM(IFERROR(VLOOKUP($C:$C,Structure!$A:$AJ,Y$1,0)*$D181,0),IFERROR(VLOOKUP($E:$E,Structure!$A:$AJ,Y$1,0)*$F181,0),IFERROR(VLOOKUP($G:$G,Structure!$A:$AJ,Y$1,0)*$H181,0))</f>
        <v>0</v>
      </c>
      <c r="Z181" s="9">
        <f>SUM(IFERROR(VLOOKUP($C:$C,Structure!$A:$AJ,Z$1,0)*$D181,0),IFERROR(VLOOKUP($E:$E,Structure!$A:$AJ,Z$1,0)*$F181,0),IFERROR(VLOOKUP($G:$G,Structure!$A:$AJ,Z$1,0)*$H181,0))</f>
        <v>0</v>
      </c>
      <c r="AA181" s="9">
        <f>SUM(IFERROR(VLOOKUP($C:$C,Structure!$A:$AJ,AA$1,0)*$D181,0),IFERROR(VLOOKUP($E:$E,Structure!$A:$AJ,AA$1,0)*$F181,0),IFERROR(VLOOKUP($G:$G,Structure!$A:$AJ,AA$1,0)*$H181,0))</f>
        <v>0</v>
      </c>
      <c r="AB181" s="9">
        <f>SUM(IFERROR(VLOOKUP($C:$C,Structure!$A:$AJ,AB$1,0)*$D181,0),IFERROR(VLOOKUP($E:$E,Structure!$A:$AJ,AB$1,0)*$F181,0),IFERROR(VLOOKUP($G:$G,Structure!$A:$AJ,AB$1,0)*$H181,0))</f>
        <v>0</v>
      </c>
      <c r="AC181" s="9">
        <f>SUM(IFERROR(VLOOKUP($C:$C,Structure!$A:$AJ,AC$1,0)*$D181,0),IFERROR(VLOOKUP($E:$E,Structure!$A:$AJ,AC$1,0)*$F181,0),IFERROR(VLOOKUP($G:$G,Structure!$A:$AJ,AC$1,0)*$H181,0))</f>
        <v>8</v>
      </c>
      <c r="AD181" s="9">
        <f>SUM(IFERROR(VLOOKUP($C:$C,Structure!$A:$AJ,AD$1,0)*$D181,0),IFERROR(VLOOKUP($E:$E,Structure!$A:$AJ,AD$1,0)*$F181,0),IFERROR(VLOOKUP($G:$G,Structure!$A:$AJ,AD$1,0)*$H181,0))</f>
        <v>0</v>
      </c>
      <c r="AE181" s="9">
        <f>SUM(IFERROR(VLOOKUP($C:$C,Structure!$A:$AJ,AE$1,0)*$D181,0),IFERROR(VLOOKUP($E:$E,Structure!$A:$AJ,AE$1,0)*$F181,0),IFERROR(VLOOKUP($G:$G,Structure!$A:$AJ,AE$1,0)*$H181,0))</f>
        <v>0</v>
      </c>
      <c r="AF181" s="9">
        <f>SUM(IFERROR(VLOOKUP($C:$C,Structure!$A:$AJ,AF$1,0)*$D181,0),IFERROR(VLOOKUP($E:$E,Structure!$A:$AJ,AF$1,0)*$F181,0),IFERROR(VLOOKUP($G:$G,Structure!$A:$AJ,AF$1,0)*$H181,0))</f>
        <v>0</v>
      </c>
      <c r="AG181" s="9">
        <f>SUM(IFERROR(VLOOKUP($C:$C,Structure!$A:$AJ,AG$1,0)*$D181,0),IFERROR(VLOOKUP($E:$E,Structure!$A:$AJ,AG$1,0)*$F181,0),IFERROR(VLOOKUP($G:$G,Structure!$A:$AJ,AG$1,0)*$H181,0))</f>
        <v>0</v>
      </c>
      <c r="AH181" s="9">
        <f>SUM(IFERROR(VLOOKUP($C:$C,Structure!$A:$AJ,AH$1,0)*$D181,0),IFERROR(VLOOKUP($E:$E,Structure!$A:$AJ,AH$1,0)*$F181,0),IFERROR(VLOOKUP($G:$G,Structure!$A:$AJ,AH$1,0)*$H181,0))</f>
        <v>0</v>
      </c>
      <c r="AI181" s="9">
        <f>SUM(IFERROR(VLOOKUP($C:$C,Structure!$A:$AJ,AI$1,0)*$D181,0),IFERROR(VLOOKUP($E:$E,Structure!$A:$AJ,AI$1,0)*$F181,0),IFERROR(VLOOKUP($G:$G,Structure!$A:$AJ,AI$1,0)*$H181,0))</f>
        <v>0</v>
      </c>
      <c r="AJ181" s="9">
        <f>SUM(IFERROR(VLOOKUP($C:$C,Structure!$A:$AJ,AJ$1,0)*$D181,0),IFERROR(VLOOKUP($E:$E,Structure!$A:$AJ,AJ$1,0)*$F181,0),IFERROR(VLOOKUP($G:$G,Structure!$A:$AJ,AJ$1,0)*$H181,0))</f>
        <v>0</v>
      </c>
      <c r="AK181" s="9">
        <f>SUM(IFERROR(VLOOKUP($C:$C,Structure!$A:$AJ,AK$1,0)*$D181,0),IFERROR(VLOOKUP($E:$E,Structure!$A:$AJ,AK$1,0)*$F181,0),IFERROR(VLOOKUP($G:$G,Structure!$A:$AJ,AK$1,0)*$H181,0))</f>
        <v>0</v>
      </c>
      <c r="AL181" s="9">
        <f>SUM(IFERROR(VLOOKUP($C:$C,Structure!$A:$AJ,AL$1,0)*$D181,0),IFERROR(VLOOKUP($E:$E,Structure!$A:$AJ,AL$1,0)*$F181,0),IFERROR(VLOOKUP($G:$G,Structure!$A:$AJ,AL$1,0)*$H181,0))</f>
        <v>0</v>
      </c>
      <c r="AM181" s="9">
        <f>SUM(IFERROR(VLOOKUP($C:$C,Structure!$A:$AJ,AM$1,0)*$D181,0),IFERROR(VLOOKUP($E:$E,Structure!$A:$AJ,AM$1,0)*$F181,0),IFERROR(VLOOKUP($G:$G,Structure!$A:$AJ,AM$1,0)*$H181,0))</f>
        <v>0</v>
      </c>
      <c r="AN181" s="9">
        <f>SUM(IFERROR(VLOOKUP($C:$C,Structure!$A:$AJ,AN$1,0)*$D181,0),IFERROR(VLOOKUP($E:$E,Structure!$A:$AJ,AN$1,0)*$F181,0),IFERROR(VLOOKUP($G:$G,Structure!$A:$AJ,AN$1,0)*$H181,0))</f>
        <v>0</v>
      </c>
      <c r="AO181" s="9">
        <f>SUM(IFERROR(VLOOKUP($C:$C,Structure!$A:$AJ,AO$1,0)*$D181,0),IFERROR(VLOOKUP($E:$E,Structure!$A:$AJ,AO$1,0)*$F181,0),IFERROR(VLOOKUP($G:$G,Structure!$A:$AJ,AO$1,0)*$H181,0))</f>
        <v>0</v>
      </c>
      <c r="AP181" s="9">
        <f>SUM(IFERROR(VLOOKUP($C:$C,Structure!$A:$AJ,AP$1,0)*$D181,0),IFERROR(VLOOKUP($E:$E,Structure!$A:$AJ,AP$1,0)*$F181,0),IFERROR(VLOOKUP($G:$G,Structure!$A:$AJ,AP$1,0)*$H181,0))</f>
        <v>0</v>
      </c>
      <c r="AQ181" s="9">
        <f>SUM(IFERROR(VLOOKUP($C:$C,Structure!$A:$AJ,AQ$1,0)*$D181,0),IFERROR(VLOOKUP($E:$E,Structure!$A:$AJ,AQ$1,0)*$F181,0),IFERROR(VLOOKUP($G:$G,Structure!$A:$AJ,AQ$1,0)*$H181,0))</f>
        <v>0</v>
      </c>
      <c r="AR181" s="21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4">
        <f t="shared" si="232"/>
        <v>0</v>
      </c>
      <c r="CE181" s="4">
        <f t="shared" si="233"/>
        <v>-84</v>
      </c>
      <c r="CF181" s="4">
        <f t="shared" si="234"/>
        <v>4</v>
      </c>
      <c r="CG181" s="4">
        <f t="shared" si="235"/>
        <v>14</v>
      </c>
      <c r="CH181" s="4">
        <f t="shared" si="236"/>
        <v>-7</v>
      </c>
      <c r="CI181" s="4">
        <f t="shared" si="237"/>
        <v>127</v>
      </c>
      <c r="CJ181" s="4">
        <f t="shared" si="238"/>
        <v>-141</v>
      </c>
      <c r="CK181" s="4">
        <f t="shared" si="239"/>
        <v>95</v>
      </c>
      <c r="CL181" s="4">
        <f t="shared" si="240"/>
        <v>0</v>
      </c>
      <c r="CM181" s="4">
        <f t="shared" si="241"/>
        <v>6</v>
      </c>
      <c r="CN181" s="4">
        <f t="shared" si="242"/>
        <v>-28</v>
      </c>
      <c r="CO181" s="4">
        <f t="shared" si="243"/>
        <v>0</v>
      </c>
      <c r="CP181" s="4">
        <f t="shared" si="244"/>
        <v>69</v>
      </c>
      <c r="CQ181" s="4">
        <f t="shared" si="245"/>
        <v>-494</v>
      </c>
      <c r="CR181" s="4">
        <f t="shared" si="246"/>
        <v>15</v>
      </c>
      <c r="CS181" s="4">
        <f t="shared" si="247"/>
        <v>-24</v>
      </c>
      <c r="CT181" s="4">
        <f t="shared" si="248"/>
        <v>0</v>
      </c>
      <c r="CU181" s="4">
        <f t="shared" si="249"/>
        <v>0</v>
      </c>
      <c r="CV181" s="4">
        <f t="shared" si="250"/>
        <v>0</v>
      </c>
      <c r="CW181" s="4">
        <f t="shared" si="251"/>
        <v>0</v>
      </c>
      <c r="CX181" s="4">
        <f t="shared" si="252"/>
        <v>-485</v>
      </c>
      <c r="CY181" s="4">
        <f t="shared" si="253"/>
        <v>0</v>
      </c>
      <c r="CZ181" s="4">
        <f t="shared" si="254"/>
        <v>0</v>
      </c>
      <c r="DA181" s="4">
        <f t="shared" si="255"/>
        <v>0</v>
      </c>
      <c r="DB181" s="4">
        <f t="shared" si="256"/>
        <v>0</v>
      </c>
      <c r="DC181" s="4">
        <f t="shared" si="257"/>
        <v>0</v>
      </c>
      <c r="DD181" s="4">
        <f t="shared" si="258"/>
        <v>0</v>
      </c>
      <c r="DE181" s="4">
        <f t="shared" si="259"/>
        <v>0</v>
      </c>
      <c r="DF181" s="4">
        <f t="shared" si="260"/>
        <v>0</v>
      </c>
      <c r="DG181" s="4">
        <f t="shared" si="261"/>
        <v>0</v>
      </c>
      <c r="DH181" s="4">
        <f t="shared" si="262"/>
        <v>0</v>
      </c>
      <c r="DI181" s="4">
        <f t="shared" si="263"/>
        <v>0</v>
      </c>
      <c r="DJ181" s="4">
        <f t="shared" si="264"/>
        <v>0</v>
      </c>
      <c r="DK181" s="4">
        <f t="shared" si="265"/>
        <v>0</v>
      </c>
      <c r="DL181" s="4">
        <f t="shared" si="266"/>
        <v>0</v>
      </c>
    </row>
    <row r="182" spans="1:116" x14ac:dyDescent="0.25">
      <c r="A182" s="5">
        <v>46187</v>
      </c>
      <c r="B182" s="6">
        <v>4.1666667100798804E-2</v>
      </c>
      <c r="C182" s="3"/>
      <c r="D182" s="3"/>
      <c r="E182" s="3" t="s">
        <v>30</v>
      </c>
      <c r="F182" s="3">
        <v>8</v>
      </c>
      <c r="G182" s="3"/>
      <c r="H182" s="9"/>
      <c r="I182" s="9">
        <f>SUM(IFERROR(VLOOKUP($C:$C,Structure!$A:$AJ,I$1,0)*$D182,0),IFERROR(VLOOKUP($E:$E,Structure!$A:$AJ,I$1,0)*$F182,0),IFERROR(VLOOKUP($G:$G,Structure!$A:$AJ,I$1,0)*$H182,0))</f>
        <v>0</v>
      </c>
      <c r="J182" s="9">
        <f>SUM(IFERROR(VLOOKUP($C:$C,Structure!$A:$AJ,J$1,0)*$D182,0),IFERROR(VLOOKUP($E:$E,Structure!$A:$AJ,J$1,0)*$F182,0),IFERROR(VLOOKUP($G:$G,Structure!$A:$AJ,J$1,0)*$H182,0))</f>
        <v>0</v>
      </c>
      <c r="K182" s="9">
        <f>SUM(IFERROR(VLOOKUP($C:$C,Structure!$A:$AJ,K$1,0)*$D182,0),IFERROR(VLOOKUP($E:$E,Structure!$A:$AJ,K$1,0)*$F182,0),IFERROR(VLOOKUP($G:$G,Structure!$A:$AJ,K$1,0)*$H182,0))</f>
        <v>0</v>
      </c>
      <c r="L182" s="9">
        <f>SUM(IFERROR(VLOOKUP($C:$C,Structure!$A:$AJ,L$1,0)*$D182,0),IFERROR(VLOOKUP($E:$E,Structure!$A:$AJ,L$1,0)*$F182,0),IFERROR(VLOOKUP($G:$G,Structure!$A:$AJ,L$1,0)*$H182,0))</f>
        <v>0</v>
      </c>
      <c r="M182" s="9">
        <f>SUM(IFERROR(VLOOKUP($C:$C,Structure!$A:$AJ,M$1,0)*$D182,0),IFERROR(VLOOKUP($E:$E,Structure!$A:$AJ,M$1,0)*$F182,0),IFERROR(VLOOKUP($G:$G,Structure!$A:$AJ,M$1,0)*$H182,0))</f>
        <v>0</v>
      </c>
      <c r="N182" s="9">
        <f>SUM(IFERROR(VLOOKUP($C:$C,Structure!$A:$AJ,N$1,0)*$D182,0),IFERROR(VLOOKUP($E:$E,Structure!$A:$AJ,N$1,0)*$F182,0),IFERROR(VLOOKUP($G:$G,Structure!$A:$AJ,N$1,0)*$H182,0))</f>
        <v>0</v>
      </c>
      <c r="O182" s="9">
        <f>SUM(IFERROR(VLOOKUP($C:$C,Structure!$A:$AJ,O$1,0)*$D182,0),IFERROR(VLOOKUP($E:$E,Structure!$A:$AJ,O$1,0)*$F182,0),IFERROR(VLOOKUP($G:$G,Structure!$A:$AJ,O$1,0)*$H182,0))</f>
        <v>0</v>
      </c>
      <c r="P182" s="9">
        <f>SUM(IFERROR(VLOOKUP($C:$C,Structure!$A:$AJ,P$1,0)*$D182,0),IFERROR(VLOOKUP($E:$E,Structure!$A:$AJ,P$1,0)*$F182,0),IFERROR(VLOOKUP($G:$G,Structure!$A:$AJ,P$1,0)*$H182,0))</f>
        <v>0</v>
      </c>
      <c r="Q182" s="9">
        <f>SUM(IFERROR(VLOOKUP($C:$C,Structure!$A:$AJ,Q$1,0)*$D182,0),IFERROR(VLOOKUP($E:$E,Structure!$A:$AJ,Q$1,0)*$F182,0),IFERROR(VLOOKUP($G:$G,Structure!$A:$AJ,Q$1,0)*$H182,0))</f>
        <v>0</v>
      </c>
      <c r="R182" s="9">
        <f>SUM(IFERROR(VLOOKUP($C:$C,Structure!$A:$AJ,R$1,0)*$D182,0),IFERROR(VLOOKUP($E:$E,Structure!$A:$AJ,R$1,0)*$F182,0),IFERROR(VLOOKUP($G:$G,Structure!$A:$AJ,R$1,0)*$H182,0))</f>
        <v>0</v>
      </c>
      <c r="S182" s="9">
        <f>SUM(IFERROR(VLOOKUP($C:$C,Structure!$A:$AJ,S$1,0)*$D182,0),IFERROR(VLOOKUP($E:$E,Structure!$A:$AJ,S$1,0)*$F182,0),IFERROR(VLOOKUP($G:$G,Structure!$A:$AJ,S$1,0)*$H182,0))</f>
        <v>0</v>
      </c>
      <c r="T182" s="9">
        <f>SUM(IFERROR(VLOOKUP($C:$C,Structure!$A:$AJ,T$1,0)*$D182,0),IFERROR(VLOOKUP($E:$E,Structure!$A:$AJ,T$1,0)*$F182,0),IFERROR(VLOOKUP($G:$G,Structure!$A:$AJ,T$1,0)*$H182,0))</f>
        <v>0</v>
      </c>
      <c r="U182" s="9">
        <f>SUM(IFERROR(VLOOKUP($C:$C,Structure!$A:$AJ,U$1,0)*$D182,0),IFERROR(VLOOKUP($E:$E,Structure!$A:$AJ,U$1,0)*$F182,0),IFERROR(VLOOKUP($G:$G,Structure!$A:$AJ,U$1,0)*$H182,0))</f>
        <v>0</v>
      </c>
      <c r="V182" s="9">
        <f>SUM(IFERROR(VLOOKUP($C:$C,Structure!$A:$AJ,V$1,0)*$D182,0),IFERROR(VLOOKUP($E:$E,Structure!$A:$AJ,V$1,0)*$F182,0),IFERROR(VLOOKUP($G:$G,Structure!$A:$AJ,V$1,0)*$H182,0))</f>
        <v>8</v>
      </c>
      <c r="W182" s="9">
        <f>SUM(IFERROR(VLOOKUP($C:$C,Structure!$A:$AJ,W$1,0)*$D182,0),IFERROR(VLOOKUP($E:$E,Structure!$A:$AJ,W$1,0)*$F182,0),IFERROR(VLOOKUP($G:$G,Structure!$A:$AJ,W$1,0)*$H182,0))</f>
        <v>0</v>
      </c>
      <c r="X182" s="9">
        <f>SUM(IFERROR(VLOOKUP($C:$C,Structure!$A:$AJ,X$1,0)*$D182,0),IFERROR(VLOOKUP($E:$E,Structure!$A:$AJ,X$1,0)*$F182,0),IFERROR(VLOOKUP($G:$G,Structure!$A:$AJ,X$1,0)*$H182,0))</f>
        <v>0</v>
      </c>
      <c r="Y182" s="9">
        <f>SUM(IFERROR(VLOOKUP($C:$C,Structure!$A:$AJ,Y$1,0)*$D182,0),IFERROR(VLOOKUP($E:$E,Structure!$A:$AJ,Y$1,0)*$F182,0),IFERROR(VLOOKUP($G:$G,Structure!$A:$AJ,Y$1,0)*$H182,0))</f>
        <v>0</v>
      </c>
      <c r="Z182" s="9">
        <f>SUM(IFERROR(VLOOKUP($C:$C,Structure!$A:$AJ,Z$1,0)*$D182,0),IFERROR(VLOOKUP($E:$E,Structure!$A:$AJ,Z$1,0)*$F182,0),IFERROR(VLOOKUP($G:$G,Structure!$A:$AJ,Z$1,0)*$H182,0))</f>
        <v>0</v>
      </c>
      <c r="AA182" s="9">
        <f>SUM(IFERROR(VLOOKUP($C:$C,Structure!$A:$AJ,AA$1,0)*$D182,0),IFERROR(VLOOKUP($E:$E,Structure!$A:$AJ,AA$1,0)*$F182,0),IFERROR(VLOOKUP($G:$G,Structure!$A:$AJ,AA$1,0)*$H182,0))</f>
        <v>0</v>
      </c>
      <c r="AB182" s="9">
        <f>SUM(IFERROR(VLOOKUP($C:$C,Structure!$A:$AJ,AB$1,0)*$D182,0),IFERROR(VLOOKUP($E:$E,Structure!$A:$AJ,AB$1,0)*$F182,0),IFERROR(VLOOKUP($G:$G,Structure!$A:$AJ,AB$1,0)*$H182,0))</f>
        <v>0</v>
      </c>
      <c r="AC182" s="9">
        <f>SUM(IFERROR(VLOOKUP($C:$C,Structure!$A:$AJ,AC$1,0)*$D182,0),IFERROR(VLOOKUP($E:$E,Structure!$A:$AJ,AC$1,0)*$F182,0),IFERROR(VLOOKUP($G:$G,Structure!$A:$AJ,AC$1,0)*$H182,0))</f>
        <v>8</v>
      </c>
      <c r="AD182" s="9">
        <f>SUM(IFERROR(VLOOKUP($C:$C,Structure!$A:$AJ,AD$1,0)*$D182,0),IFERROR(VLOOKUP($E:$E,Structure!$A:$AJ,AD$1,0)*$F182,0),IFERROR(VLOOKUP($G:$G,Structure!$A:$AJ,AD$1,0)*$H182,0))</f>
        <v>0</v>
      </c>
      <c r="AE182" s="9">
        <f>SUM(IFERROR(VLOOKUP($C:$C,Structure!$A:$AJ,AE$1,0)*$D182,0),IFERROR(VLOOKUP($E:$E,Structure!$A:$AJ,AE$1,0)*$F182,0),IFERROR(VLOOKUP($G:$G,Structure!$A:$AJ,AE$1,0)*$H182,0))</f>
        <v>0</v>
      </c>
      <c r="AF182" s="9">
        <f>SUM(IFERROR(VLOOKUP($C:$C,Structure!$A:$AJ,AF$1,0)*$D182,0),IFERROR(VLOOKUP($E:$E,Structure!$A:$AJ,AF$1,0)*$F182,0),IFERROR(VLOOKUP($G:$G,Structure!$A:$AJ,AF$1,0)*$H182,0))</f>
        <v>0</v>
      </c>
      <c r="AG182" s="9">
        <f>SUM(IFERROR(VLOOKUP($C:$C,Structure!$A:$AJ,AG$1,0)*$D182,0),IFERROR(VLOOKUP($E:$E,Structure!$A:$AJ,AG$1,0)*$F182,0),IFERROR(VLOOKUP($G:$G,Structure!$A:$AJ,AG$1,0)*$H182,0))</f>
        <v>0</v>
      </c>
      <c r="AH182" s="9">
        <f>SUM(IFERROR(VLOOKUP($C:$C,Structure!$A:$AJ,AH$1,0)*$D182,0),IFERROR(VLOOKUP($E:$E,Structure!$A:$AJ,AH$1,0)*$F182,0),IFERROR(VLOOKUP($G:$G,Structure!$A:$AJ,AH$1,0)*$H182,0))</f>
        <v>0</v>
      </c>
      <c r="AI182" s="9">
        <f>SUM(IFERROR(VLOOKUP($C:$C,Structure!$A:$AJ,AI$1,0)*$D182,0),IFERROR(VLOOKUP($E:$E,Structure!$A:$AJ,AI$1,0)*$F182,0),IFERROR(VLOOKUP($G:$G,Structure!$A:$AJ,AI$1,0)*$H182,0))</f>
        <v>0</v>
      </c>
      <c r="AJ182" s="9">
        <f>SUM(IFERROR(VLOOKUP($C:$C,Structure!$A:$AJ,AJ$1,0)*$D182,0),IFERROR(VLOOKUP($E:$E,Structure!$A:$AJ,AJ$1,0)*$F182,0),IFERROR(VLOOKUP($G:$G,Structure!$A:$AJ,AJ$1,0)*$H182,0))</f>
        <v>0</v>
      </c>
      <c r="AK182" s="9">
        <f>SUM(IFERROR(VLOOKUP($C:$C,Structure!$A:$AJ,AK$1,0)*$D182,0),IFERROR(VLOOKUP($E:$E,Structure!$A:$AJ,AK$1,0)*$F182,0),IFERROR(VLOOKUP($G:$G,Structure!$A:$AJ,AK$1,0)*$H182,0))</f>
        <v>0</v>
      </c>
      <c r="AL182" s="9">
        <f>SUM(IFERROR(VLOOKUP($C:$C,Structure!$A:$AJ,AL$1,0)*$D182,0),IFERROR(VLOOKUP($E:$E,Structure!$A:$AJ,AL$1,0)*$F182,0),IFERROR(VLOOKUP($G:$G,Structure!$A:$AJ,AL$1,0)*$H182,0))</f>
        <v>0</v>
      </c>
      <c r="AM182" s="9">
        <f>SUM(IFERROR(VLOOKUP($C:$C,Structure!$A:$AJ,AM$1,0)*$D182,0),IFERROR(VLOOKUP($E:$E,Structure!$A:$AJ,AM$1,0)*$F182,0),IFERROR(VLOOKUP($G:$G,Structure!$A:$AJ,AM$1,0)*$H182,0))</f>
        <v>0</v>
      </c>
      <c r="AN182" s="9">
        <f>SUM(IFERROR(VLOOKUP($C:$C,Structure!$A:$AJ,AN$1,0)*$D182,0),IFERROR(VLOOKUP($E:$E,Structure!$A:$AJ,AN$1,0)*$F182,0),IFERROR(VLOOKUP($G:$G,Structure!$A:$AJ,AN$1,0)*$H182,0))</f>
        <v>0</v>
      </c>
      <c r="AO182" s="9">
        <f>SUM(IFERROR(VLOOKUP($C:$C,Structure!$A:$AJ,AO$1,0)*$D182,0),IFERROR(VLOOKUP($E:$E,Structure!$A:$AJ,AO$1,0)*$F182,0),IFERROR(VLOOKUP($G:$G,Structure!$A:$AJ,AO$1,0)*$H182,0))</f>
        <v>0</v>
      </c>
      <c r="AP182" s="9">
        <f>SUM(IFERROR(VLOOKUP($C:$C,Structure!$A:$AJ,AP$1,0)*$D182,0),IFERROR(VLOOKUP($E:$E,Structure!$A:$AJ,AP$1,0)*$F182,0),IFERROR(VLOOKUP($G:$G,Structure!$A:$AJ,AP$1,0)*$H182,0))</f>
        <v>0</v>
      </c>
      <c r="AQ182" s="9">
        <f>SUM(IFERROR(VLOOKUP($C:$C,Structure!$A:$AJ,AQ$1,0)*$D182,0),IFERROR(VLOOKUP($E:$E,Structure!$A:$AJ,AQ$1,0)*$F182,0),IFERROR(VLOOKUP($G:$G,Structure!$A:$AJ,AQ$1,0)*$H182,0))</f>
        <v>0</v>
      </c>
      <c r="AR182" s="21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4">
        <f t="shared" si="232"/>
        <v>0</v>
      </c>
      <c r="CE182" s="4">
        <f t="shared" si="233"/>
        <v>-84</v>
      </c>
      <c r="CF182" s="4">
        <f t="shared" si="234"/>
        <v>4</v>
      </c>
      <c r="CG182" s="4">
        <f t="shared" si="235"/>
        <v>14</v>
      </c>
      <c r="CH182" s="4">
        <f t="shared" si="236"/>
        <v>-7</v>
      </c>
      <c r="CI182" s="4">
        <f t="shared" si="237"/>
        <v>127</v>
      </c>
      <c r="CJ182" s="4">
        <f t="shared" si="238"/>
        <v>-141</v>
      </c>
      <c r="CK182" s="4">
        <f t="shared" si="239"/>
        <v>95</v>
      </c>
      <c r="CL182" s="4">
        <f t="shared" si="240"/>
        <v>0</v>
      </c>
      <c r="CM182" s="4">
        <f t="shared" si="241"/>
        <v>6</v>
      </c>
      <c r="CN182" s="4">
        <f t="shared" si="242"/>
        <v>-28</v>
      </c>
      <c r="CO182" s="4">
        <f t="shared" si="243"/>
        <v>0</v>
      </c>
      <c r="CP182" s="4">
        <f t="shared" si="244"/>
        <v>69</v>
      </c>
      <c r="CQ182" s="4">
        <f t="shared" si="245"/>
        <v>-502</v>
      </c>
      <c r="CR182" s="4">
        <f t="shared" si="246"/>
        <v>15</v>
      </c>
      <c r="CS182" s="4">
        <f t="shared" si="247"/>
        <v>-24</v>
      </c>
      <c r="CT182" s="4">
        <f t="shared" si="248"/>
        <v>0</v>
      </c>
      <c r="CU182" s="4">
        <f t="shared" si="249"/>
        <v>0</v>
      </c>
      <c r="CV182" s="4">
        <f t="shared" si="250"/>
        <v>0</v>
      </c>
      <c r="CW182" s="4">
        <f t="shared" si="251"/>
        <v>0</v>
      </c>
      <c r="CX182" s="4">
        <f t="shared" si="252"/>
        <v>-493</v>
      </c>
      <c r="CY182" s="4">
        <f t="shared" si="253"/>
        <v>0</v>
      </c>
      <c r="CZ182" s="4">
        <f t="shared" si="254"/>
        <v>0</v>
      </c>
      <c r="DA182" s="4">
        <f t="shared" si="255"/>
        <v>0</v>
      </c>
      <c r="DB182" s="4">
        <f t="shared" si="256"/>
        <v>0</v>
      </c>
      <c r="DC182" s="4">
        <f t="shared" si="257"/>
        <v>0</v>
      </c>
      <c r="DD182" s="4">
        <f t="shared" si="258"/>
        <v>0</v>
      </c>
      <c r="DE182" s="4">
        <f t="shared" si="259"/>
        <v>0</v>
      </c>
      <c r="DF182" s="4">
        <f t="shared" si="260"/>
        <v>0</v>
      </c>
      <c r="DG182" s="4">
        <f t="shared" si="261"/>
        <v>0</v>
      </c>
      <c r="DH182" s="4">
        <f t="shared" si="262"/>
        <v>0</v>
      </c>
      <c r="DI182" s="4">
        <f t="shared" si="263"/>
        <v>0</v>
      </c>
      <c r="DJ182" s="4">
        <f t="shared" si="264"/>
        <v>0</v>
      </c>
      <c r="DK182" s="4">
        <f t="shared" si="265"/>
        <v>0</v>
      </c>
      <c r="DL182" s="4">
        <f t="shared" si="266"/>
        <v>0</v>
      </c>
    </row>
    <row r="183" spans="1:116" x14ac:dyDescent="0.25">
      <c r="A183" s="5">
        <v>46187</v>
      </c>
      <c r="B183" s="6">
        <v>6.2500000436557457E-2</v>
      </c>
      <c r="C183" s="3"/>
      <c r="D183" s="3"/>
      <c r="E183" s="3" t="s">
        <v>30</v>
      </c>
      <c r="F183" s="3">
        <v>8</v>
      </c>
      <c r="G183" s="3"/>
      <c r="H183" s="9"/>
      <c r="I183" s="9">
        <f>SUM(IFERROR(VLOOKUP($C:$C,Structure!$A:$AJ,I$1,0)*$D183,0),IFERROR(VLOOKUP($E:$E,Structure!$A:$AJ,I$1,0)*$F183,0),IFERROR(VLOOKUP($G:$G,Structure!$A:$AJ,I$1,0)*$H183,0))</f>
        <v>0</v>
      </c>
      <c r="J183" s="9">
        <f>SUM(IFERROR(VLOOKUP($C:$C,Structure!$A:$AJ,J$1,0)*$D183,0),IFERROR(VLOOKUP($E:$E,Structure!$A:$AJ,J$1,0)*$F183,0),IFERROR(VLOOKUP($G:$G,Structure!$A:$AJ,J$1,0)*$H183,0))</f>
        <v>0</v>
      </c>
      <c r="K183" s="9">
        <f>SUM(IFERROR(VLOOKUP($C:$C,Structure!$A:$AJ,K$1,0)*$D183,0),IFERROR(VLOOKUP($E:$E,Structure!$A:$AJ,K$1,0)*$F183,0),IFERROR(VLOOKUP($G:$G,Structure!$A:$AJ,K$1,0)*$H183,0))</f>
        <v>0</v>
      </c>
      <c r="L183" s="9">
        <f>SUM(IFERROR(VLOOKUP($C:$C,Structure!$A:$AJ,L$1,0)*$D183,0),IFERROR(VLOOKUP($E:$E,Structure!$A:$AJ,L$1,0)*$F183,0),IFERROR(VLOOKUP($G:$G,Structure!$A:$AJ,L$1,0)*$H183,0))</f>
        <v>0</v>
      </c>
      <c r="M183" s="9">
        <f>SUM(IFERROR(VLOOKUP($C:$C,Structure!$A:$AJ,M$1,0)*$D183,0),IFERROR(VLOOKUP($E:$E,Structure!$A:$AJ,M$1,0)*$F183,0),IFERROR(VLOOKUP($G:$G,Structure!$A:$AJ,M$1,0)*$H183,0))</f>
        <v>0</v>
      </c>
      <c r="N183" s="9">
        <f>SUM(IFERROR(VLOOKUP($C:$C,Structure!$A:$AJ,N$1,0)*$D183,0),IFERROR(VLOOKUP($E:$E,Structure!$A:$AJ,N$1,0)*$F183,0),IFERROR(VLOOKUP($G:$G,Structure!$A:$AJ,N$1,0)*$H183,0))</f>
        <v>0</v>
      </c>
      <c r="O183" s="9">
        <f>SUM(IFERROR(VLOOKUP($C:$C,Structure!$A:$AJ,O$1,0)*$D183,0),IFERROR(VLOOKUP($E:$E,Structure!$A:$AJ,O$1,0)*$F183,0),IFERROR(VLOOKUP($G:$G,Structure!$A:$AJ,O$1,0)*$H183,0))</f>
        <v>0</v>
      </c>
      <c r="P183" s="9">
        <f>SUM(IFERROR(VLOOKUP($C:$C,Structure!$A:$AJ,P$1,0)*$D183,0),IFERROR(VLOOKUP($E:$E,Structure!$A:$AJ,P$1,0)*$F183,0),IFERROR(VLOOKUP($G:$G,Structure!$A:$AJ,P$1,0)*$H183,0))</f>
        <v>0</v>
      </c>
      <c r="Q183" s="9">
        <f>SUM(IFERROR(VLOOKUP($C:$C,Structure!$A:$AJ,Q$1,0)*$D183,0),IFERROR(VLOOKUP($E:$E,Structure!$A:$AJ,Q$1,0)*$F183,0),IFERROR(VLOOKUP($G:$G,Structure!$A:$AJ,Q$1,0)*$H183,0))</f>
        <v>0</v>
      </c>
      <c r="R183" s="9">
        <f>SUM(IFERROR(VLOOKUP($C:$C,Structure!$A:$AJ,R$1,0)*$D183,0),IFERROR(VLOOKUP($E:$E,Structure!$A:$AJ,R$1,0)*$F183,0),IFERROR(VLOOKUP($G:$G,Structure!$A:$AJ,R$1,0)*$H183,0))</f>
        <v>0</v>
      </c>
      <c r="S183" s="9">
        <f>SUM(IFERROR(VLOOKUP($C:$C,Structure!$A:$AJ,S$1,0)*$D183,0),IFERROR(VLOOKUP($E:$E,Structure!$A:$AJ,S$1,0)*$F183,0),IFERROR(VLOOKUP($G:$G,Structure!$A:$AJ,S$1,0)*$H183,0))</f>
        <v>0</v>
      </c>
      <c r="T183" s="9">
        <f>SUM(IFERROR(VLOOKUP($C:$C,Structure!$A:$AJ,T$1,0)*$D183,0),IFERROR(VLOOKUP($E:$E,Structure!$A:$AJ,T$1,0)*$F183,0),IFERROR(VLOOKUP($G:$G,Structure!$A:$AJ,T$1,0)*$H183,0))</f>
        <v>0</v>
      </c>
      <c r="U183" s="9">
        <f>SUM(IFERROR(VLOOKUP($C:$C,Structure!$A:$AJ,U$1,0)*$D183,0),IFERROR(VLOOKUP($E:$E,Structure!$A:$AJ,U$1,0)*$F183,0),IFERROR(VLOOKUP($G:$G,Structure!$A:$AJ,U$1,0)*$H183,0))</f>
        <v>0</v>
      </c>
      <c r="V183" s="9">
        <f>SUM(IFERROR(VLOOKUP($C:$C,Structure!$A:$AJ,V$1,0)*$D183,0),IFERROR(VLOOKUP($E:$E,Structure!$A:$AJ,V$1,0)*$F183,0),IFERROR(VLOOKUP($G:$G,Structure!$A:$AJ,V$1,0)*$H183,0))</f>
        <v>8</v>
      </c>
      <c r="W183" s="9">
        <f>SUM(IFERROR(VLOOKUP($C:$C,Structure!$A:$AJ,W$1,0)*$D183,0),IFERROR(VLOOKUP($E:$E,Structure!$A:$AJ,W$1,0)*$F183,0),IFERROR(VLOOKUP($G:$G,Structure!$A:$AJ,W$1,0)*$H183,0))</f>
        <v>0</v>
      </c>
      <c r="X183" s="9">
        <f>SUM(IFERROR(VLOOKUP($C:$C,Structure!$A:$AJ,X$1,0)*$D183,0),IFERROR(VLOOKUP($E:$E,Structure!$A:$AJ,X$1,0)*$F183,0),IFERROR(VLOOKUP($G:$G,Structure!$A:$AJ,X$1,0)*$H183,0))</f>
        <v>0</v>
      </c>
      <c r="Y183" s="9">
        <f>SUM(IFERROR(VLOOKUP($C:$C,Structure!$A:$AJ,Y$1,0)*$D183,0),IFERROR(VLOOKUP($E:$E,Structure!$A:$AJ,Y$1,0)*$F183,0),IFERROR(VLOOKUP($G:$G,Structure!$A:$AJ,Y$1,0)*$H183,0))</f>
        <v>0</v>
      </c>
      <c r="Z183" s="9">
        <f>SUM(IFERROR(VLOOKUP($C:$C,Structure!$A:$AJ,Z$1,0)*$D183,0),IFERROR(VLOOKUP($E:$E,Structure!$A:$AJ,Z$1,0)*$F183,0),IFERROR(VLOOKUP($G:$G,Structure!$A:$AJ,Z$1,0)*$H183,0))</f>
        <v>0</v>
      </c>
      <c r="AA183" s="9">
        <f>SUM(IFERROR(VLOOKUP($C:$C,Structure!$A:$AJ,AA$1,0)*$D183,0),IFERROR(VLOOKUP($E:$E,Structure!$A:$AJ,AA$1,0)*$F183,0),IFERROR(VLOOKUP($G:$G,Structure!$A:$AJ,AA$1,0)*$H183,0))</f>
        <v>0</v>
      </c>
      <c r="AB183" s="9">
        <f>SUM(IFERROR(VLOOKUP($C:$C,Structure!$A:$AJ,AB$1,0)*$D183,0),IFERROR(VLOOKUP($E:$E,Structure!$A:$AJ,AB$1,0)*$F183,0),IFERROR(VLOOKUP($G:$G,Structure!$A:$AJ,AB$1,0)*$H183,0))</f>
        <v>0</v>
      </c>
      <c r="AC183" s="9">
        <f>SUM(IFERROR(VLOOKUP($C:$C,Structure!$A:$AJ,AC$1,0)*$D183,0),IFERROR(VLOOKUP($E:$E,Structure!$A:$AJ,AC$1,0)*$F183,0),IFERROR(VLOOKUP($G:$G,Structure!$A:$AJ,AC$1,0)*$H183,0))</f>
        <v>8</v>
      </c>
      <c r="AD183" s="9">
        <f>SUM(IFERROR(VLOOKUP($C:$C,Structure!$A:$AJ,AD$1,0)*$D183,0),IFERROR(VLOOKUP($E:$E,Structure!$A:$AJ,AD$1,0)*$F183,0),IFERROR(VLOOKUP($G:$G,Structure!$A:$AJ,AD$1,0)*$H183,0))</f>
        <v>0</v>
      </c>
      <c r="AE183" s="9">
        <f>SUM(IFERROR(VLOOKUP($C:$C,Structure!$A:$AJ,AE$1,0)*$D183,0),IFERROR(VLOOKUP($E:$E,Structure!$A:$AJ,AE$1,0)*$F183,0),IFERROR(VLOOKUP($G:$G,Structure!$A:$AJ,AE$1,0)*$H183,0))</f>
        <v>0</v>
      </c>
      <c r="AF183" s="9">
        <f>SUM(IFERROR(VLOOKUP($C:$C,Structure!$A:$AJ,AF$1,0)*$D183,0),IFERROR(VLOOKUP($E:$E,Structure!$A:$AJ,AF$1,0)*$F183,0),IFERROR(VLOOKUP($G:$G,Structure!$A:$AJ,AF$1,0)*$H183,0))</f>
        <v>0</v>
      </c>
      <c r="AG183" s="9">
        <f>SUM(IFERROR(VLOOKUP($C:$C,Structure!$A:$AJ,AG$1,0)*$D183,0),IFERROR(VLOOKUP($E:$E,Structure!$A:$AJ,AG$1,0)*$F183,0),IFERROR(VLOOKUP($G:$G,Structure!$A:$AJ,AG$1,0)*$H183,0))</f>
        <v>0</v>
      </c>
      <c r="AH183" s="9">
        <f>SUM(IFERROR(VLOOKUP($C:$C,Structure!$A:$AJ,AH$1,0)*$D183,0),IFERROR(VLOOKUP($E:$E,Structure!$A:$AJ,AH$1,0)*$F183,0),IFERROR(VLOOKUP($G:$G,Structure!$A:$AJ,AH$1,0)*$H183,0))</f>
        <v>0</v>
      </c>
      <c r="AI183" s="9">
        <f>SUM(IFERROR(VLOOKUP($C:$C,Structure!$A:$AJ,AI$1,0)*$D183,0),IFERROR(VLOOKUP($E:$E,Structure!$A:$AJ,AI$1,0)*$F183,0),IFERROR(VLOOKUP($G:$G,Structure!$A:$AJ,AI$1,0)*$H183,0))</f>
        <v>0</v>
      </c>
      <c r="AJ183" s="9">
        <f>SUM(IFERROR(VLOOKUP($C:$C,Structure!$A:$AJ,AJ$1,0)*$D183,0),IFERROR(VLOOKUP($E:$E,Structure!$A:$AJ,AJ$1,0)*$F183,0),IFERROR(VLOOKUP($G:$G,Structure!$A:$AJ,AJ$1,0)*$H183,0))</f>
        <v>0</v>
      </c>
      <c r="AK183" s="9">
        <f>SUM(IFERROR(VLOOKUP($C:$C,Structure!$A:$AJ,AK$1,0)*$D183,0),IFERROR(VLOOKUP($E:$E,Structure!$A:$AJ,AK$1,0)*$F183,0),IFERROR(VLOOKUP($G:$G,Structure!$A:$AJ,AK$1,0)*$H183,0))</f>
        <v>0</v>
      </c>
      <c r="AL183" s="9">
        <f>SUM(IFERROR(VLOOKUP($C:$C,Structure!$A:$AJ,AL$1,0)*$D183,0),IFERROR(VLOOKUP($E:$E,Structure!$A:$AJ,AL$1,0)*$F183,0),IFERROR(VLOOKUP($G:$G,Structure!$A:$AJ,AL$1,0)*$H183,0))</f>
        <v>0</v>
      </c>
      <c r="AM183" s="9">
        <f>SUM(IFERROR(VLOOKUP($C:$C,Structure!$A:$AJ,AM$1,0)*$D183,0),IFERROR(VLOOKUP($E:$E,Structure!$A:$AJ,AM$1,0)*$F183,0),IFERROR(VLOOKUP($G:$G,Structure!$A:$AJ,AM$1,0)*$H183,0))</f>
        <v>0</v>
      </c>
      <c r="AN183" s="9">
        <f>SUM(IFERROR(VLOOKUP($C:$C,Structure!$A:$AJ,AN$1,0)*$D183,0),IFERROR(VLOOKUP($E:$E,Structure!$A:$AJ,AN$1,0)*$F183,0),IFERROR(VLOOKUP($G:$G,Structure!$A:$AJ,AN$1,0)*$H183,0))</f>
        <v>0</v>
      </c>
      <c r="AO183" s="9">
        <f>SUM(IFERROR(VLOOKUP($C:$C,Structure!$A:$AJ,AO$1,0)*$D183,0),IFERROR(VLOOKUP($E:$E,Structure!$A:$AJ,AO$1,0)*$F183,0),IFERROR(VLOOKUP($G:$G,Structure!$A:$AJ,AO$1,0)*$H183,0))</f>
        <v>0</v>
      </c>
      <c r="AP183" s="9">
        <f>SUM(IFERROR(VLOOKUP($C:$C,Structure!$A:$AJ,AP$1,0)*$D183,0),IFERROR(VLOOKUP($E:$E,Structure!$A:$AJ,AP$1,0)*$F183,0),IFERROR(VLOOKUP($G:$G,Structure!$A:$AJ,AP$1,0)*$H183,0))</f>
        <v>0</v>
      </c>
      <c r="AQ183" s="9">
        <f>SUM(IFERROR(VLOOKUP($C:$C,Structure!$A:$AJ,AQ$1,0)*$D183,0),IFERROR(VLOOKUP($E:$E,Structure!$A:$AJ,AQ$1,0)*$F183,0),IFERROR(VLOOKUP($G:$G,Structure!$A:$AJ,AQ$1,0)*$H183,0))</f>
        <v>0</v>
      </c>
      <c r="AR183" s="21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4">
        <f t="shared" si="232"/>
        <v>0</v>
      </c>
      <c r="CE183" s="4">
        <f t="shared" si="233"/>
        <v>-84</v>
      </c>
      <c r="CF183" s="4">
        <f t="shared" si="234"/>
        <v>4</v>
      </c>
      <c r="CG183" s="4">
        <f t="shared" si="235"/>
        <v>14</v>
      </c>
      <c r="CH183" s="4">
        <f t="shared" si="236"/>
        <v>-7</v>
      </c>
      <c r="CI183" s="4">
        <f t="shared" si="237"/>
        <v>127</v>
      </c>
      <c r="CJ183" s="4">
        <f t="shared" si="238"/>
        <v>-141</v>
      </c>
      <c r="CK183" s="4">
        <f t="shared" si="239"/>
        <v>95</v>
      </c>
      <c r="CL183" s="4">
        <f t="shared" si="240"/>
        <v>0</v>
      </c>
      <c r="CM183" s="4">
        <f t="shared" si="241"/>
        <v>6</v>
      </c>
      <c r="CN183" s="4">
        <f t="shared" si="242"/>
        <v>-28</v>
      </c>
      <c r="CO183" s="4">
        <f t="shared" si="243"/>
        <v>0</v>
      </c>
      <c r="CP183" s="4">
        <f t="shared" si="244"/>
        <v>69</v>
      </c>
      <c r="CQ183" s="4">
        <f t="shared" si="245"/>
        <v>-510</v>
      </c>
      <c r="CR183" s="4">
        <f t="shared" si="246"/>
        <v>15</v>
      </c>
      <c r="CS183" s="4">
        <f t="shared" si="247"/>
        <v>-24</v>
      </c>
      <c r="CT183" s="4">
        <f t="shared" si="248"/>
        <v>0</v>
      </c>
      <c r="CU183" s="4">
        <f t="shared" si="249"/>
        <v>0</v>
      </c>
      <c r="CV183" s="4">
        <f t="shared" si="250"/>
        <v>0</v>
      </c>
      <c r="CW183" s="4">
        <f t="shared" si="251"/>
        <v>0</v>
      </c>
      <c r="CX183" s="4">
        <f t="shared" si="252"/>
        <v>-501</v>
      </c>
      <c r="CY183" s="4">
        <f t="shared" si="253"/>
        <v>0</v>
      </c>
      <c r="CZ183" s="4">
        <f t="shared" si="254"/>
        <v>0</v>
      </c>
      <c r="DA183" s="4">
        <f t="shared" si="255"/>
        <v>0</v>
      </c>
      <c r="DB183" s="4">
        <f t="shared" si="256"/>
        <v>0</v>
      </c>
      <c r="DC183" s="4">
        <f t="shared" si="257"/>
        <v>0</v>
      </c>
      <c r="DD183" s="4">
        <f t="shared" si="258"/>
        <v>0</v>
      </c>
      <c r="DE183" s="4">
        <f t="shared" si="259"/>
        <v>0</v>
      </c>
      <c r="DF183" s="4">
        <f t="shared" si="260"/>
        <v>0</v>
      </c>
      <c r="DG183" s="4">
        <f t="shared" si="261"/>
        <v>0</v>
      </c>
      <c r="DH183" s="4">
        <f t="shared" si="262"/>
        <v>0</v>
      </c>
      <c r="DI183" s="4">
        <f t="shared" si="263"/>
        <v>0</v>
      </c>
      <c r="DJ183" s="4">
        <f t="shared" si="264"/>
        <v>0</v>
      </c>
      <c r="DK183" s="4">
        <f t="shared" si="265"/>
        <v>0</v>
      </c>
      <c r="DL183" s="4">
        <f t="shared" si="266"/>
        <v>0</v>
      </c>
    </row>
    <row r="184" spans="1:116" x14ac:dyDescent="0.25">
      <c r="A184" s="5">
        <v>46187</v>
      </c>
      <c r="B184" s="6">
        <v>8.3333333772316109E-2</v>
      </c>
      <c r="C184" s="3"/>
      <c r="D184" s="3"/>
      <c r="E184" s="3" t="s">
        <v>30</v>
      </c>
      <c r="F184" s="3">
        <v>8</v>
      </c>
      <c r="G184" s="3"/>
      <c r="H184" s="9"/>
      <c r="I184" s="9">
        <f>SUM(IFERROR(VLOOKUP($C:$C,Structure!$A:$AJ,I$1,0)*$D184,0),IFERROR(VLOOKUP($E:$E,Structure!$A:$AJ,I$1,0)*$F184,0),IFERROR(VLOOKUP($G:$G,Structure!$A:$AJ,I$1,0)*$H184,0))</f>
        <v>0</v>
      </c>
      <c r="J184" s="9">
        <f>SUM(IFERROR(VLOOKUP($C:$C,Structure!$A:$AJ,J$1,0)*$D184,0),IFERROR(VLOOKUP($E:$E,Structure!$A:$AJ,J$1,0)*$F184,0),IFERROR(VLOOKUP($G:$G,Structure!$A:$AJ,J$1,0)*$H184,0))</f>
        <v>0</v>
      </c>
      <c r="K184" s="9">
        <f>SUM(IFERROR(VLOOKUP($C:$C,Structure!$A:$AJ,K$1,0)*$D184,0),IFERROR(VLOOKUP($E:$E,Structure!$A:$AJ,K$1,0)*$F184,0),IFERROR(VLOOKUP($G:$G,Structure!$A:$AJ,K$1,0)*$H184,0))</f>
        <v>0</v>
      </c>
      <c r="L184" s="9">
        <f>SUM(IFERROR(VLOOKUP($C:$C,Structure!$A:$AJ,L$1,0)*$D184,0),IFERROR(VLOOKUP($E:$E,Structure!$A:$AJ,L$1,0)*$F184,0),IFERROR(VLOOKUP($G:$G,Structure!$A:$AJ,L$1,0)*$H184,0))</f>
        <v>0</v>
      </c>
      <c r="M184" s="9">
        <f>SUM(IFERROR(VLOOKUP($C:$C,Structure!$A:$AJ,M$1,0)*$D184,0),IFERROR(VLOOKUP($E:$E,Structure!$A:$AJ,M$1,0)*$F184,0),IFERROR(VLOOKUP($G:$G,Structure!$A:$AJ,M$1,0)*$H184,0))</f>
        <v>0</v>
      </c>
      <c r="N184" s="9">
        <f>SUM(IFERROR(VLOOKUP($C:$C,Structure!$A:$AJ,N$1,0)*$D184,0),IFERROR(VLOOKUP($E:$E,Structure!$A:$AJ,N$1,0)*$F184,0),IFERROR(VLOOKUP($G:$G,Structure!$A:$AJ,N$1,0)*$H184,0))</f>
        <v>0</v>
      </c>
      <c r="O184" s="9">
        <f>SUM(IFERROR(VLOOKUP($C:$C,Structure!$A:$AJ,O$1,0)*$D184,0),IFERROR(VLOOKUP($E:$E,Structure!$A:$AJ,O$1,0)*$F184,0),IFERROR(VLOOKUP($G:$G,Structure!$A:$AJ,O$1,0)*$H184,0))</f>
        <v>0</v>
      </c>
      <c r="P184" s="9">
        <f>SUM(IFERROR(VLOOKUP($C:$C,Structure!$A:$AJ,P$1,0)*$D184,0),IFERROR(VLOOKUP($E:$E,Structure!$A:$AJ,P$1,0)*$F184,0),IFERROR(VLOOKUP($G:$G,Structure!$A:$AJ,P$1,0)*$H184,0))</f>
        <v>0</v>
      </c>
      <c r="Q184" s="9">
        <f>SUM(IFERROR(VLOOKUP($C:$C,Structure!$A:$AJ,Q$1,0)*$D184,0),IFERROR(VLOOKUP($E:$E,Structure!$A:$AJ,Q$1,0)*$F184,0),IFERROR(VLOOKUP($G:$G,Structure!$A:$AJ,Q$1,0)*$H184,0))</f>
        <v>0</v>
      </c>
      <c r="R184" s="9">
        <f>SUM(IFERROR(VLOOKUP($C:$C,Structure!$A:$AJ,R$1,0)*$D184,0),IFERROR(VLOOKUP($E:$E,Structure!$A:$AJ,R$1,0)*$F184,0),IFERROR(VLOOKUP($G:$G,Structure!$A:$AJ,R$1,0)*$H184,0))</f>
        <v>0</v>
      </c>
      <c r="S184" s="9">
        <f>SUM(IFERROR(VLOOKUP($C:$C,Structure!$A:$AJ,S$1,0)*$D184,0),IFERROR(VLOOKUP($E:$E,Structure!$A:$AJ,S$1,0)*$F184,0),IFERROR(VLOOKUP($G:$G,Structure!$A:$AJ,S$1,0)*$H184,0))</f>
        <v>0</v>
      </c>
      <c r="T184" s="9">
        <f>SUM(IFERROR(VLOOKUP($C:$C,Structure!$A:$AJ,T$1,0)*$D184,0),IFERROR(VLOOKUP($E:$E,Structure!$A:$AJ,T$1,0)*$F184,0),IFERROR(VLOOKUP($G:$G,Structure!$A:$AJ,T$1,0)*$H184,0))</f>
        <v>0</v>
      </c>
      <c r="U184" s="9">
        <f>SUM(IFERROR(VLOOKUP($C:$C,Structure!$A:$AJ,U$1,0)*$D184,0),IFERROR(VLOOKUP($E:$E,Structure!$A:$AJ,U$1,0)*$F184,0),IFERROR(VLOOKUP($G:$G,Structure!$A:$AJ,U$1,0)*$H184,0))</f>
        <v>0</v>
      </c>
      <c r="V184" s="9">
        <f>SUM(IFERROR(VLOOKUP($C:$C,Structure!$A:$AJ,V$1,0)*$D184,0),IFERROR(VLOOKUP($E:$E,Structure!$A:$AJ,V$1,0)*$F184,0),IFERROR(VLOOKUP($G:$G,Structure!$A:$AJ,V$1,0)*$H184,0))</f>
        <v>8</v>
      </c>
      <c r="W184" s="9">
        <f>SUM(IFERROR(VLOOKUP($C:$C,Structure!$A:$AJ,W$1,0)*$D184,0),IFERROR(VLOOKUP($E:$E,Structure!$A:$AJ,W$1,0)*$F184,0),IFERROR(VLOOKUP($G:$G,Structure!$A:$AJ,W$1,0)*$H184,0))</f>
        <v>0</v>
      </c>
      <c r="X184" s="9">
        <f>SUM(IFERROR(VLOOKUP($C:$C,Structure!$A:$AJ,X$1,0)*$D184,0),IFERROR(VLOOKUP($E:$E,Structure!$A:$AJ,X$1,0)*$F184,0),IFERROR(VLOOKUP($G:$G,Structure!$A:$AJ,X$1,0)*$H184,0))</f>
        <v>0</v>
      </c>
      <c r="Y184" s="9">
        <f>SUM(IFERROR(VLOOKUP($C:$C,Structure!$A:$AJ,Y$1,0)*$D184,0),IFERROR(VLOOKUP($E:$E,Structure!$A:$AJ,Y$1,0)*$F184,0),IFERROR(VLOOKUP($G:$G,Structure!$A:$AJ,Y$1,0)*$H184,0))</f>
        <v>0</v>
      </c>
      <c r="Z184" s="9">
        <f>SUM(IFERROR(VLOOKUP($C:$C,Structure!$A:$AJ,Z$1,0)*$D184,0),IFERROR(VLOOKUP($E:$E,Structure!$A:$AJ,Z$1,0)*$F184,0),IFERROR(VLOOKUP($G:$G,Structure!$A:$AJ,Z$1,0)*$H184,0))</f>
        <v>0</v>
      </c>
      <c r="AA184" s="9">
        <f>SUM(IFERROR(VLOOKUP($C:$C,Structure!$A:$AJ,AA$1,0)*$D184,0),IFERROR(VLOOKUP($E:$E,Structure!$A:$AJ,AA$1,0)*$F184,0),IFERROR(VLOOKUP($G:$G,Structure!$A:$AJ,AA$1,0)*$H184,0))</f>
        <v>0</v>
      </c>
      <c r="AB184" s="9">
        <f>SUM(IFERROR(VLOOKUP($C:$C,Structure!$A:$AJ,AB$1,0)*$D184,0),IFERROR(VLOOKUP($E:$E,Structure!$A:$AJ,AB$1,0)*$F184,0),IFERROR(VLOOKUP($G:$G,Structure!$A:$AJ,AB$1,0)*$H184,0))</f>
        <v>0</v>
      </c>
      <c r="AC184" s="9">
        <f>SUM(IFERROR(VLOOKUP($C:$C,Structure!$A:$AJ,AC$1,0)*$D184,0),IFERROR(VLOOKUP($E:$E,Structure!$A:$AJ,AC$1,0)*$F184,0),IFERROR(VLOOKUP($G:$G,Structure!$A:$AJ,AC$1,0)*$H184,0))</f>
        <v>8</v>
      </c>
      <c r="AD184" s="9">
        <f>SUM(IFERROR(VLOOKUP($C:$C,Structure!$A:$AJ,AD$1,0)*$D184,0),IFERROR(VLOOKUP($E:$E,Structure!$A:$AJ,AD$1,0)*$F184,0),IFERROR(VLOOKUP($G:$G,Structure!$A:$AJ,AD$1,0)*$H184,0))</f>
        <v>0</v>
      </c>
      <c r="AE184" s="9">
        <f>SUM(IFERROR(VLOOKUP($C:$C,Structure!$A:$AJ,AE$1,0)*$D184,0),IFERROR(VLOOKUP($E:$E,Structure!$A:$AJ,AE$1,0)*$F184,0),IFERROR(VLOOKUP($G:$G,Structure!$A:$AJ,AE$1,0)*$H184,0))</f>
        <v>0</v>
      </c>
      <c r="AF184" s="9">
        <f>SUM(IFERROR(VLOOKUP($C:$C,Structure!$A:$AJ,AF$1,0)*$D184,0),IFERROR(VLOOKUP($E:$E,Structure!$A:$AJ,AF$1,0)*$F184,0),IFERROR(VLOOKUP($G:$G,Structure!$A:$AJ,AF$1,0)*$H184,0))</f>
        <v>0</v>
      </c>
      <c r="AG184" s="9">
        <f>SUM(IFERROR(VLOOKUP($C:$C,Structure!$A:$AJ,AG$1,0)*$D184,0),IFERROR(VLOOKUP($E:$E,Structure!$A:$AJ,AG$1,0)*$F184,0),IFERROR(VLOOKUP($G:$G,Structure!$A:$AJ,AG$1,0)*$H184,0))</f>
        <v>0</v>
      </c>
      <c r="AH184" s="9">
        <f>SUM(IFERROR(VLOOKUP($C:$C,Structure!$A:$AJ,AH$1,0)*$D184,0),IFERROR(VLOOKUP($E:$E,Structure!$A:$AJ,AH$1,0)*$F184,0),IFERROR(VLOOKUP($G:$G,Structure!$A:$AJ,AH$1,0)*$H184,0))</f>
        <v>0</v>
      </c>
      <c r="AI184" s="9">
        <f>SUM(IFERROR(VLOOKUP($C:$C,Structure!$A:$AJ,AI$1,0)*$D184,0),IFERROR(VLOOKUP($E:$E,Structure!$A:$AJ,AI$1,0)*$F184,0),IFERROR(VLOOKUP($G:$G,Structure!$A:$AJ,AI$1,0)*$H184,0))</f>
        <v>0</v>
      </c>
      <c r="AJ184" s="9">
        <f>SUM(IFERROR(VLOOKUP($C:$C,Structure!$A:$AJ,AJ$1,0)*$D184,0),IFERROR(VLOOKUP($E:$E,Structure!$A:$AJ,AJ$1,0)*$F184,0),IFERROR(VLOOKUP($G:$G,Structure!$A:$AJ,AJ$1,0)*$H184,0))</f>
        <v>0</v>
      </c>
      <c r="AK184" s="9">
        <f>SUM(IFERROR(VLOOKUP($C:$C,Structure!$A:$AJ,AK$1,0)*$D184,0),IFERROR(VLOOKUP($E:$E,Structure!$A:$AJ,AK$1,0)*$F184,0),IFERROR(VLOOKUP($G:$G,Structure!$A:$AJ,AK$1,0)*$H184,0))</f>
        <v>0</v>
      </c>
      <c r="AL184" s="9">
        <f>SUM(IFERROR(VLOOKUP($C:$C,Structure!$A:$AJ,AL$1,0)*$D184,0),IFERROR(VLOOKUP($E:$E,Structure!$A:$AJ,AL$1,0)*$F184,0),IFERROR(VLOOKUP($G:$G,Structure!$A:$AJ,AL$1,0)*$H184,0))</f>
        <v>0</v>
      </c>
      <c r="AM184" s="9">
        <f>SUM(IFERROR(VLOOKUP($C:$C,Structure!$A:$AJ,AM$1,0)*$D184,0),IFERROR(VLOOKUP($E:$E,Structure!$A:$AJ,AM$1,0)*$F184,0),IFERROR(VLOOKUP($G:$G,Structure!$A:$AJ,AM$1,0)*$H184,0))</f>
        <v>0</v>
      </c>
      <c r="AN184" s="9">
        <f>SUM(IFERROR(VLOOKUP($C:$C,Structure!$A:$AJ,AN$1,0)*$D184,0),IFERROR(VLOOKUP($E:$E,Structure!$A:$AJ,AN$1,0)*$F184,0),IFERROR(VLOOKUP($G:$G,Structure!$A:$AJ,AN$1,0)*$H184,0))</f>
        <v>0</v>
      </c>
      <c r="AO184" s="9">
        <f>SUM(IFERROR(VLOOKUP($C:$C,Structure!$A:$AJ,AO$1,0)*$D184,0),IFERROR(VLOOKUP($E:$E,Structure!$A:$AJ,AO$1,0)*$F184,0),IFERROR(VLOOKUP($G:$G,Structure!$A:$AJ,AO$1,0)*$H184,0))</f>
        <v>0</v>
      </c>
      <c r="AP184" s="9">
        <f>SUM(IFERROR(VLOOKUP($C:$C,Structure!$A:$AJ,AP$1,0)*$D184,0),IFERROR(VLOOKUP($E:$E,Structure!$A:$AJ,AP$1,0)*$F184,0),IFERROR(VLOOKUP($G:$G,Structure!$A:$AJ,AP$1,0)*$H184,0))</f>
        <v>0</v>
      </c>
      <c r="AQ184" s="9">
        <f>SUM(IFERROR(VLOOKUP($C:$C,Structure!$A:$AJ,AQ$1,0)*$D184,0),IFERROR(VLOOKUP($E:$E,Structure!$A:$AJ,AQ$1,0)*$F184,0),IFERROR(VLOOKUP($G:$G,Structure!$A:$AJ,AQ$1,0)*$H184,0))</f>
        <v>0</v>
      </c>
      <c r="AR184" s="21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4">
        <f t="shared" si="232"/>
        <v>0</v>
      </c>
      <c r="CE184" s="4">
        <f t="shared" si="233"/>
        <v>-84</v>
      </c>
      <c r="CF184" s="4">
        <f t="shared" si="234"/>
        <v>4</v>
      </c>
      <c r="CG184" s="4">
        <f t="shared" si="235"/>
        <v>14</v>
      </c>
      <c r="CH184" s="4">
        <f t="shared" si="236"/>
        <v>-7</v>
      </c>
      <c r="CI184" s="4">
        <f t="shared" si="237"/>
        <v>127</v>
      </c>
      <c r="CJ184" s="4">
        <f t="shared" si="238"/>
        <v>-141</v>
      </c>
      <c r="CK184" s="4">
        <f t="shared" si="239"/>
        <v>95</v>
      </c>
      <c r="CL184" s="4">
        <f t="shared" si="240"/>
        <v>0</v>
      </c>
      <c r="CM184" s="4">
        <f t="shared" si="241"/>
        <v>6</v>
      </c>
      <c r="CN184" s="4">
        <f t="shared" si="242"/>
        <v>-28</v>
      </c>
      <c r="CO184" s="4">
        <f t="shared" si="243"/>
        <v>0</v>
      </c>
      <c r="CP184" s="4">
        <f t="shared" si="244"/>
        <v>69</v>
      </c>
      <c r="CQ184" s="4">
        <f t="shared" si="245"/>
        <v>-518</v>
      </c>
      <c r="CR184" s="4">
        <f t="shared" si="246"/>
        <v>15</v>
      </c>
      <c r="CS184" s="4">
        <f t="shared" si="247"/>
        <v>-24</v>
      </c>
      <c r="CT184" s="4">
        <f t="shared" si="248"/>
        <v>0</v>
      </c>
      <c r="CU184" s="4">
        <f t="shared" si="249"/>
        <v>0</v>
      </c>
      <c r="CV184" s="4">
        <f t="shared" si="250"/>
        <v>0</v>
      </c>
      <c r="CW184" s="4">
        <f t="shared" si="251"/>
        <v>0</v>
      </c>
      <c r="CX184" s="4">
        <f t="shared" si="252"/>
        <v>-509</v>
      </c>
      <c r="CY184" s="4">
        <f t="shared" si="253"/>
        <v>0</v>
      </c>
      <c r="CZ184" s="4">
        <f t="shared" si="254"/>
        <v>0</v>
      </c>
      <c r="DA184" s="4">
        <f t="shared" si="255"/>
        <v>0</v>
      </c>
      <c r="DB184" s="4">
        <f t="shared" si="256"/>
        <v>0</v>
      </c>
      <c r="DC184" s="4">
        <f t="shared" si="257"/>
        <v>0</v>
      </c>
      <c r="DD184" s="4">
        <f t="shared" si="258"/>
        <v>0</v>
      </c>
      <c r="DE184" s="4">
        <f t="shared" si="259"/>
        <v>0</v>
      </c>
      <c r="DF184" s="4">
        <f t="shared" si="260"/>
        <v>0</v>
      </c>
      <c r="DG184" s="4">
        <f t="shared" si="261"/>
        <v>0</v>
      </c>
      <c r="DH184" s="4">
        <f t="shared" si="262"/>
        <v>0</v>
      </c>
      <c r="DI184" s="4">
        <f t="shared" si="263"/>
        <v>0</v>
      </c>
      <c r="DJ184" s="4">
        <f t="shared" si="264"/>
        <v>0</v>
      </c>
      <c r="DK184" s="4">
        <f t="shared" si="265"/>
        <v>0</v>
      </c>
      <c r="DL184" s="4">
        <f t="shared" si="266"/>
        <v>0</v>
      </c>
    </row>
    <row r="185" spans="1:116" x14ac:dyDescent="0.25">
      <c r="A185" s="5">
        <v>46187</v>
      </c>
      <c r="B185" s="6">
        <v>0.10416666710807476</v>
      </c>
      <c r="C185" s="3"/>
      <c r="D185" s="3"/>
      <c r="E185" s="3" t="s">
        <v>30</v>
      </c>
      <c r="F185" s="3">
        <v>8</v>
      </c>
      <c r="G185" s="3"/>
      <c r="H185" s="9"/>
      <c r="I185" s="9">
        <f>SUM(IFERROR(VLOOKUP($C:$C,Structure!$A:$AJ,I$1,0)*$D185,0),IFERROR(VLOOKUP($E:$E,Structure!$A:$AJ,I$1,0)*$F185,0),IFERROR(VLOOKUP($G:$G,Structure!$A:$AJ,I$1,0)*$H185,0))</f>
        <v>0</v>
      </c>
      <c r="J185" s="9">
        <f>SUM(IFERROR(VLOOKUP($C:$C,Structure!$A:$AJ,J$1,0)*$D185,0),IFERROR(VLOOKUP($E:$E,Structure!$A:$AJ,J$1,0)*$F185,0),IFERROR(VLOOKUP($G:$G,Structure!$A:$AJ,J$1,0)*$H185,0))</f>
        <v>0</v>
      </c>
      <c r="K185" s="9">
        <f>SUM(IFERROR(VLOOKUP($C:$C,Structure!$A:$AJ,K$1,0)*$D185,0),IFERROR(VLOOKUP($E:$E,Structure!$A:$AJ,K$1,0)*$F185,0),IFERROR(VLOOKUP($G:$G,Structure!$A:$AJ,K$1,0)*$H185,0))</f>
        <v>0</v>
      </c>
      <c r="L185" s="9">
        <f>SUM(IFERROR(VLOOKUP($C:$C,Structure!$A:$AJ,L$1,0)*$D185,0),IFERROR(VLOOKUP($E:$E,Structure!$A:$AJ,L$1,0)*$F185,0),IFERROR(VLOOKUP($G:$G,Structure!$A:$AJ,L$1,0)*$H185,0))</f>
        <v>0</v>
      </c>
      <c r="M185" s="9">
        <f>SUM(IFERROR(VLOOKUP($C:$C,Structure!$A:$AJ,M$1,0)*$D185,0),IFERROR(VLOOKUP($E:$E,Structure!$A:$AJ,M$1,0)*$F185,0),IFERROR(VLOOKUP($G:$G,Structure!$A:$AJ,M$1,0)*$H185,0))</f>
        <v>0</v>
      </c>
      <c r="N185" s="9">
        <f>SUM(IFERROR(VLOOKUP($C:$C,Structure!$A:$AJ,N$1,0)*$D185,0),IFERROR(VLOOKUP($E:$E,Structure!$A:$AJ,N$1,0)*$F185,0),IFERROR(VLOOKUP($G:$G,Structure!$A:$AJ,N$1,0)*$H185,0))</f>
        <v>0</v>
      </c>
      <c r="O185" s="9">
        <f>SUM(IFERROR(VLOOKUP($C:$C,Structure!$A:$AJ,O$1,0)*$D185,0),IFERROR(VLOOKUP($E:$E,Structure!$A:$AJ,O$1,0)*$F185,0),IFERROR(VLOOKUP($G:$G,Structure!$A:$AJ,O$1,0)*$H185,0))</f>
        <v>0</v>
      </c>
      <c r="P185" s="9">
        <f>SUM(IFERROR(VLOOKUP($C:$C,Structure!$A:$AJ,P$1,0)*$D185,0),IFERROR(VLOOKUP($E:$E,Structure!$A:$AJ,P$1,0)*$F185,0),IFERROR(VLOOKUP($G:$G,Structure!$A:$AJ,P$1,0)*$H185,0))</f>
        <v>0</v>
      </c>
      <c r="Q185" s="9">
        <f>SUM(IFERROR(VLOOKUP($C:$C,Structure!$A:$AJ,Q$1,0)*$D185,0),IFERROR(VLOOKUP($E:$E,Structure!$A:$AJ,Q$1,0)*$F185,0),IFERROR(VLOOKUP($G:$G,Structure!$A:$AJ,Q$1,0)*$H185,0))</f>
        <v>0</v>
      </c>
      <c r="R185" s="9">
        <f>SUM(IFERROR(VLOOKUP($C:$C,Structure!$A:$AJ,R$1,0)*$D185,0),IFERROR(VLOOKUP($E:$E,Structure!$A:$AJ,R$1,0)*$F185,0),IFERROR(VLOOKUP($G:$G,Structure!$A:$AJ,R$1,0)*$H185,0))</f>
        <v>0</v>
      </c>
      <c r="S185" s="9">
        <f>SUM(IFERROR(VLOOKUP($C:$C,Structure!$A:$AJ,S$1,0)*$D185,0),IFERROR(VLOOKUP($E:$E,Structure!$A:$AJ,S$1,0)*$F185,0),IFERROR(VLOOKUP($G:$G,Structure!$A:$AJ,S$1,0)*$H185,0))</f>
        <v>0</v>
      </c>
      <c r="T185" s="9">
        <f>SUM(IFERROR(VLOOKUP($C:$C,Structure!$A:$AJ,T$1,0)*$D185,0),IFERROR(VLOOKUP($E:$E,Structure!$A:$AJ,T$1,0)*$F185,0),IFERROR(VLOOKUP($G:$G,Structure!$A:$AJ,T$1,0)*$H185,0))</f>
        <v>0</v>
      </c>
      <c r="U185" s="9">
        <f>SUM(IFERROR(VLOOKUP($C:$C,Structure!$A:$AJ,U$1,0)*$D185,0),IFERROR(VLOOKUP($E:$E,Structure!$A:$AJ,U$1,0)*$F185,0),IFERROR(VLOOKUP($G:$G,Structure!$A:$AJ,U$1,0)*$H185,0))</f>
        <v>0</v>
      </c>
      <c r="V185" s="9">
        <f>SUM(IFERROR(VLOOKUP($C:$C,Structure!$A:$AJ,V$1,0)*$D185,0),IFERROR(VLOOKUP($E:$E,Structure!$A:$AJ,V$1,0)*$F185,0),IFERROR(VLOOKUP($G:$G,Structure!$A:$AJ,V$1,0)*$H185,0))</f>
        <v>8</v>
      </c>
      <c r="W185" s="9">
        <f>SUM(IFERROR(VLOOKUP($C:$C,Structure!$A:$AJ,W$1,0)*$D185,0),IFERROR(VLOOKUP($E:$E,Structure!$A:$AJ,W$1,0)*$F185,0),IFERROR(VLOOKUP($G:$G,Structure!$A:$AJ,W$1,0)*$H185,0))</f>
        <v>0</v>
      </c>
      <c r="X185" s="9">
        <f>SUM(IFERROR(VLOOKUP($C:$C,Structure!$A:$AJ,X$1,0)*$D185,0),IFERROR(VLOOKUP($E:$E,Structure!$A:$AJ,X$1,0)*$F185,0),IFERROR(VLOOKUP($G:$G,Structure!$A:$AJ,X$1,0)*$H185,0))</f>
        <v>0</v>
      </c>
      <c r="Y185" s="9">
        <f>SUM(IFERROR(VLOOKUP($C:$C,Structure!$A:$AJ,Y$1,0)*$D185,0),IFERROR(VLOOKUP($E:$E,Structure!$A:$AJ,Y$1,0)*$F185,0),IFERROR(VLOOKUP($G:$G,Structure!$A:$AJ,Y$1,0)*$H185,0))</f>
        <v>0</v>
      </c>
      <c r="Z185" s="9">
        <f>SUM(IFERROR(VLOOKUP($C:$C,Structure!$A:$AJ,Z$1,0)*$D185,0),IFERROR(VLOOKUP($E:$E,Structure!$A:$AJ,Z$1,0)*$F185,0),IFERROR(VLOOKUP($G:$G,Structure!$A:$AJ,Z$1,0)*$H185,0))</f>
        <v>0</v>
      </c>
      <c r="AA185" s="9">
        <f>SUM(IFERROR(VLOOKUP($C:$C,Structure!$A:$AJ,AA$1,0)*$D185,0),IFERROR(VLOOKUP($E:$E,Structure!$A:$AJ,AA$1,0)*$F185,0),IFERROR(VLOOKUP($G:$G,Structure!$A:$AJ,AA$1,0)*$H185,0))</f>
        <v>0</v>
      </c>
      <c r="AB185" s="9">
        <f>SUM(IFERROR(VLOOKUP($C:$C,Structure!$A:$AJ,AB$1,0)*$D185,0),IFERROR(VLOOKUP($E:$E,Structure!$A:$AJ,AB$1,0)*$F185,0),IFERROR(VLOOKUP($G:$G,Structure!$A:$AJ,AB$1,0)*$H185,0))</f>
        <v>0</v>
      </c>
      <c r="AC185" s="9">
        <f>SUM(IFERROR(VLOOKUP($C:$C,Structure!$A:$AJ,AC$1,0)*$D185,0),IFERROR(VLOOKUP($E:$E,Structure!$A:$AJ,AC$1,0)*$F185,0),IFERROR(VLOOKUP($G:$G,Structure!$A:$AJ,AC$1,0)*$H185,0))</f>
        <v>8</v>
      </c>
      <c r="AD185" s="9">
        <f>SUM(IFERROR(VLOOKUP($C:$C,Structure!$A:$AJ,AD$1,0)*$D185,0),IFERROR(VLOOKUP($E:$E,Structure!$A:$AJ,AD$1,0)*$F185,0),IFERROR(VLOOKUP($G:$G,Structure!$A:$AJ,AD$1,0)*$H185,0))</f>
        <v>0</v>
      </c>
      <c r="AE185" s="9">
        <f>SUM(IFERROR(VLOOKUP($C:$C,Structure!$A:$AJ,AE$1,0)*$D185,0),IFERROR(VLOOKUP($E:$E,Structure!$A:$AJ,AE$1,0)*$F185,0),IFERROR(VLOOKUP($G:$G,Structure!$A:$AJ,AE$1,0)*$H185,0))</f>
        <v>0</v>
      </c>
      <c r="AF185" s="9">
        <f>SUM(IFERROR(VLOOKUP($C:$C,Structure!$A:$AJ,AF$1,0)*$D185,0),IFERROR(VLOOKUP($E:$E,Structure!$A:$AJ,AF$1,0)*$F185,0),IFERROR(VLOOKUP($G:$G,Structure!$A:$AJ,AF$1,0)*$H185,0))</f>
        <v>0</v>
      </c>
      <c r="AG185" s="9">
        <f>SUM(IFERROR(VLOOKUP($C:$C,Structure!$A:$AJ,AG$1,0)*$D185,0),IFERROR(VLOOKUP($E:$E,Structure!$A:$AJ,AG$1,0)*$F185,0),IFERROR(VLOOKUP($G:$G,Structure!$A:$AJ,AG$1,0)*$H185,0))</f>
        <v>0</v>
      </c>
      <c r="AH185" s="9">
        <f>SUM(IFERROR(VLOOKUP($C:$C,Structure!$A:$AJ,AH$1,0)*$D185,0),IFERROR(VLOOKUP($E:$E,Structure!$A:$AJ,AH$1,0)*$F185,0),IFERROR(VLOOKUP($G:$G,Structure!$A:$AJ,AH$1,0)*$H185,0))</f>
        <v>0</v>
      </c>
      <c r="AI185" s="9">
        <f>SUM(IFERROR(VLOOKUP($C:$C,Structure!$A:$AJ,AI$1,0)*$D185,0),IFERROR(VLOOKUP($E:$E,Structure!$A:$AJ,AI$1,0)*$F185,0),IFERROR(VLOOKUP($G:$G,Structure!$A:$AJ,AI$1,0)*$H185,0))</f>
        <v>0</v>
      </c>
      <c r="AJ185" s="9">
        <f>SUM(IFERROR(VLOOKUP($C:$C,Structure!$A:$AJ,AJ$1,0)*$D185,0),IFERROR(VLOOKUP($E:$E,Structure!$A:$AJ,AJ$1,0)*$F185,0),IFERROR(VLOOKUP($G:$G,Structure!$A:$AJ,AJ$1,0)*$H185,0))</f>
        <v>0</v>
      </c>
      <c r="AK185" s="9">
        <f>SUM(IFERROR(VLOOKUP($C:$C,Structure!$A:$AJ,AK$1,0)*$D185,0),IFERROR(VLOOKUP($E:$E,Structure!$A:$AJ,AK$1,0)*$F185,0),IFERROR(VLOOKUP($G:$G,Structure!$A:$AJ,AK$1,0)*$H185,0))</f>
        <v>0</v>
      </c>
      <c r="AL185" s="9">
        <f>SUM(IFERROR(VLOOKUP($C:$C,Structure!$A:$AJ,AL$1,0)*$D185,0),IFERROR(VLOOKUP($E:$E,Structure!$A:$AJ,AL$1,0)*$F185,0),IFERROR(VLOOKUP($G:$G,Structure!$A:$AJ,AL$1,0)*$H185,0))</f>
        <v>0</v>
      </c>
      <c r="AM185" s="9">
        <f>SUM(IFERROR(VLOOKUP($C:$C,Structure!$A:$AJ,AM$1,0)*$D185,0),IFERROR(VLOOKUP($E:$E,Structure!$A:$AJ,AM$1,0)*$F185,0),IFERROR(VLOOKUP($G:$G,Structure!$A:$AJ,AM$1,0)*$H185,0))</f>
        <v>0</v>
      </c>
      <c r="AN185" s="9">
        <f>SUM(IFERROR(VLOOKUP($C:$C,Structure!$A:$AJ,AN$1,0)*$D185,0),IFERROR(VLOOKUP($E:$E,Structure!$A:$AJ,AN$1,0)*$F185,0),IFERROR(VLOOKUP($G:$G,Structure!$A:$AJ,AN$1,0)*$H185,0))</f>
        <v>0</v>
      </c>
      <c r="AO185" s="9">
        <f>SUM(IFERROR(VLOOKUP($C:$C,Structure!$A:$AJ,AO$1,0)*$D185,0),IFERROR(VLOOKUP($E:$E,Structure!$A:$AJ,AO$1,0)*$F185,0),IFERROR(VLOOKUP($G:$G,Structure!$A:$AJ,AO$1,0)*$H185,0))</f>
        <v>0</v>
      </c>
      <c r="AP185" s="9">
        <f>SUM(IFERROR(VLOOKUP($C:$C,Structure!$A:$AJ,AP$1,0)*$D185,0),IFERROR(VLOOKUP($E:$E,Structure!$A:$AJ,AP$1,0)*$F185,0),IFERROR(VLOOKUP($G:$G,Structure!$A:$AJ,AP$1,0)*$H185,0))</f>
        <v>0</v>
      </c>
      <c r="AQ185" s="9">
        <f>SUM(IFERROR(VLOOKUP($C:$C,Structure!$A:$AJ,AQ$1,0)*$D185,0),IFERROR(VLOOKUP($E:$E,Structure!$A:$AJ,AQ$1,0)*$F185,0),IFERROR(VLOOKUP($G:$G,Structure!$A:$AJ,AQ$1,0)*$H185,0))</f>
        <v>0</v>
      </c>
      <c r="AR185" s="21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4">
        <f t="shared" si="232"/>
        <v>0</v>
      </c>
      <c r="CE185" s="4">
        <f t="shared" si="233"/>
        <v>-84</v>
      </c>
      <c r="CF185" s="4">
        <f t="shared" si="234"/>
        <v>4</v>
      </c>
      <c r="CG185" s="4">
        <f t="shared" si="235"/>
        <v>14</v>
      </c>
      <c r="CH185" s="4">
        <f t="shared" si="236"/>
        <v>-7</v>
      </c>
      <c r="CI185" s="4">
        <f t="shared" si="237"/>
        <v>127</v>
      </c>
      <c r="CJ185" s="4">
        <f t="shared" si="238"/>
        <v>-141</v>
      </c>
      <c r="CK185" s="4">
        <f t="shared" si="239"/>
        <v>95</v>
      </c>
      <c r="CL185" s="4">
        <f t="shared" si="240"/>
        <v>0</v>
      </c>
      <c r="CM185" s="4">
        <f t="shared" si="241"/>
        <v>6</v>
      </c>
      <c r="CN185" s="4">
        <f t="shared" si="242"/>
        <v>-28</v>
      </c>
      <c r="CO185" s="4">
        <f t="shared" si="243"/>
        <v>0</v>
      </c>
      <c r="CP185" s="4">
        <f t="shared" si="244"/>
        <v>69</v>
      </c>
      <c r="CQ185" s="4">
        <f t="shared" si="245"/>
        <v>-526</v>
      </c>
      <c r="CR185" s="4">
        <f t="shared" si="246"/>
        <v>15</v>
      </c>
      <c r="CS185" s="4">
        <f t="shared" si="247"/>
        <v>-24</v>
      </c>
      <c r="CT185" s="4">
        <f t="shared" si="248"/>
        <v>0</v>
      </c>
      <c r="CU185" s="4">
        <f t="shared" si="249"/>
        <v>0</v>
      </c>
      <c r="CV185" s="4">
        <f t="shared" si="250"/>
        <v>0</v>
      </c>
      <c r="CW185" s="4">
        <f t="shared" si="251"/>
        <v>0</v>
      </c>
      <c r="CX185" s="4">
        <f t="shared" si="252"/>
        <v>-517</v>
      </c>
      <c r="CY185" s="4">
        <f t="shared" si="253"/>
        <v>0</v>
      </c>
      <c r="CZ185" s="4">
        <f t="shared" si="254"/>
        <v>0</v>
      </c>
      <c r="DA185" s="4">
        <f t="shared" si="255"/>
        <v>0</v>
      </c>
      <c r="DB185" s="4">
        <f t="shared" si="256"/>
        <v>0</v>
      </c>
      <c r="DC185" s="4">
        <f t="shared" si="257"/>
        <v>0</v>
      </c>
      <c r="DD185" s="4">
        <f t="shared" si="258"/>
        <v>0</v>
      </c>
      <c r="DE185" s="4">
        <f t="shared" si="259"/>
        <v>0</v>
      </c>
      <c r="DF185" s="4">
        <f t="shared" si="260"/>
        <v>0</v>
      </c>
      <c r="DG185" s="4">
        <f t="shared" si="261"/>
        <v>0</v>
      </c>
      <c r="DH185" s="4">
        <f t="shared" si="262"/>
        <v>0</v>
      </c>
      <c r="DI185" s="4">
        <f t="shared" si="263"/>
        <v>0</v>
      </c>
      <c r="DJ185" s="4">
        <f t="shared" si="264"/>
        <v>0</v>
      </c>
      <c r="DK185" s="4">
        <f t="shared" si="265"/>
        <v>0</v>
      </c>
      <c r="DL185" s="4">
        <f t="shared" si="266"/>
        <v>0</v>
      </c>
    </row>
    <row r="186" spans="1:116" x14ac:dyDescent="0.25">
      <c r="A186" s="5">
        <v>46187</v>
      </c>
      <c r="B186" s="6">
        <v>0.12500000044383341</v>
      </c>
      <c r="C186" s="3"/>
      <c r="D186" s="3"/>
      <c r="E186" s="3" t="s">
        <v>30</v>
      </c>
      <c r="F186" s="3">
        <v>8</v>
      </c>
      <c r="G186" s="3"/>
      <c r="H186" s="9"/>
      <c r="I186" s="9">
        <f>SUM(IFERROR(VLOOKUP($C:$C,Structure!$A:$AJ,I$1,0)*$D186,0),IFERROR(VLOOKUP($E:$E,Structure!$A:$AJ,I$1,0)*$F186,0),IFERROR(VLOOKUP($G:$G,Structure!$A:$AJ,I$1,0)*$H186,0))</f>
        <v>0</v>
      </c>
      <c r="J186" s="9">
        <f>SUM(IFERROR(VLOOKUP($C:$C,Structure!$A:$AJ,J$1,0)*$D186,0),IFERROR(VLOOKUP($E:$E,Structure!$A:$AJ,J$1,0)*$F186,0),IFERROR(VLOOKUP($G:$G,Structure!$A:$AJ,J$1,0)*$H186,0))</f>
        <v>0</v>
      </c>
      <c r="K186" s="9">
        <f>SUM(IFERROR(VLOOKUP($C:$C,Structure!$A:$AJ,K$1,0)*$D186,0),IFERROR(VLOOKUP($E:$E,Structure!$A:$AJ,K$1,0)*$F186,0),IFERROR(VLOOKUP($G:$G,Structure!$A:$AJ,K$1,0)*$H186,0))</f>
        <v>0</v>
      </c>
      <c r="L186" s="9">
        <f>SUM(IFERROR(VLOOKUP($C:$C,Structure!$A:$AJ,L$1,0)*$D186,0),IFERROR(VLOOKUP($E:$E,Structure!$A:$AJ,L$1,0)*$F186,0),IFERROR(VLOOKUP($G:$G,Structure!$A:$AJ,L$1,0)*$H186,0))</f>
        <v>0</v>
      </c>
      <c r="M186" s="9">
        <f>SUM(IFERROR(VLOOKUP($C:$C,Structure!$A:$AJ,M$1,0)*$D186,0),IFERROR(VLOOKUP($E:$E,Structure!$A:$AJ,M$1,0)*$F186,0),IFERROR(VLOOKUP($G:$G,Structure!$A:$AJ,M$1,0)*$H186,0))</f>
        <v>0</v>
      </c>
      <c r="N186" s="9">
        <f>SUM(IFERROR(VLOOKUP($C:$C,Structure!$A:$AJ,N$1,0)*$D186,0),IFERROR(VLOOKUP($E:$E,Structure!$A:$AJ,N$1,0)*$F186,0),IFERROR(VLOOKUP($G:$G,Structure!$A:$AJ,N$1,0)*$H186,0))</f>
        <v>0</v>
      </c>
      <c r="O186" s="9">
        <f>SUM(IFERROR(VLOOKUP($C:$C,Structure!$A:$AJ,O$1,0)*$D186,0),IFERROR(VLOOKUP($E:$E,Structure!$A:$AJ,O$1,0)*$F186,0),IFERROR(VLOOKUP($G:$G,Structure!$A:$AJ,O$1,0)*$H186,0))</f>
        <v>0</v>
      </c>
      <c r="P186" s="9">
        <f>SUM(IFERROR(VLOOKUP($C:$C,Structure!$A:$AJ,P$1,0)*$D186,0),IFERROR(VLOOKUP($E:$E,Structure!$A:$AJ,P$1,0)*$F186,0),IFERROR(VLOOKUP($G:$G,Structure!$A:$AJ,P$1,0)*$H186,0))</f>
        <v>0</v>
      </c>
      <c r="Q186" s="9">
        <f>SUM(IFERROR(VLOOKUP($C:$C,Structure!$A:$AJ,Q$1,0)*$D186,0),IFERROR(VLOOKUP($E:$E,Structure!$A:$AJ,Q$1,0)*$F186,0),IFERROR(VLOOKUP($G:$G,Structure!$A:$AJ,Q$1,0)*$H186,0))</f>
        <v>0</v>
      </c>
      <c r="R186" s="9">
        <f>SUM(IFERROR(VLOOKUP($C:$C,Structure!$A:$AJ,R$1,0)*$D186,0),IFERROR(VLOOKUP($E:$E,Structure!$A:$AJ,R$1,0)*$F186,0),IFERROR(VLOOKUP($G:$G,Structure!$A:$AJ,R$1,0)*$H186,0))</f>
        <v>0</v>
      </c>
      <c r="S186" s="9">
        <f>SUM(IFERROR(VLOOKUP($C:$C,Structure!$A:$AJ,S$1,0)*$D186,0),IFERROR(VLOOKUP($E:$E,Structure!$A:$AJ,S$1,0)*$F186,0),IFERROR(VLOOKUP($G:$G,Structure!$A:$AJ,S$1,0)*$H186,0))</f>
        <v>0</v>
      </c>
      <c r="T186" s="9">
        <f>SUM(IFERROR(VLOOKUP($C:$C,Structure!$A:$AJ,T$1,0)*$D186,0),IFERROR(VLOOKUP($E:$E,Structure!$A:$AJ,T$1,0)*$F186,0),IFERROR(VLOOKUP($G:$G,Structure!$A:$AJ,T$1,0)*$H186,0))</f>
        <v>0</v>
      </c>
      <c r="U186" s="9">
        <f>SUM(IFERROR(VLOOKUP($C:$C,Structure!$A:$AJ,U$1,0)*$D186,0),IFERROR(VLOOKUP($E:$E,Structure!$A:$AJ,U$1,0)*$F186,0),IFERROR(VLOOKUP($G:$G,Structure!$A:$AJ,U$1,0)*$H186,0))</f>
        <v>0</v>
      </c>
      <c r="V186" s="9">
        <f>SUM(IFERROR(VLOOKUP($C:$C,Structure!$A:$AJ,V$1,0)*$D186,0),IFERROR(VLOOKUP($E:$E,Structure!$A:$AJ,V$1,0)*$F186,0),IFERROR(VLOOKUP($G:$G,Structure!$A:$AJ,V$1,0)*$H186,0))</f>
        <v>8</v>
      </c>
      <c r="W186" s="9">
        <f>SUM(IFERROR(VLOOKUP($C:$C,Structure!$A:$AJ,W$1,0)*$D186,0),IFERROR(VLOOKUP($E:$E,Structure!$A:$AJ,W$1,0)*$F186,0),IFERROR(VLOOKUP($G:$G,Structure!$A:$AJ,W$1,0)*$H186,0))</f>
        <v>0</v>
      </c>
      <c r="X186" s="9">
        <f>SUM(IFERROR(VLOOKUP($C:$C,Structure!$A:$AJ,X$1,0)*$D186,0),IFERROR(VLOOKUP($E:$E,Structure!$A:$AJ,X$1,0)*$F186,0),IFERROR(VLOOKUP($G:$G,Structure!$A:$AJ,X$1,0)*$H186,0))</f>
        <v>0</v>
      </c>
      <c r="Y186" s="9">
        <f>SUM(IFERROR(VLOOKUP($C:$C,Structure!$A:$AJ,Y$1,0)*$D186,0),IFERROR(VLOOKUP($E:$E,Structure!$A:$AJ,Y$1,0)*$F186,0),IFERROR(VLOOKUP($G:$G,Structure!$A:$AJ,Y$1,0)*$H186,0))</f>
        <v>0</v>
      </c>
      <c r="Z186" s="9">
        <f>SUM(IFERROR(VLOOKUP($C:$C,Structure!$A:$AJ,Z$1,0)*$D186,0),IFERROR(VLOOKUP($E:$E,Structure!$A:$AJ,Z$1,0)*$F186,0),IFERROR(VLOOKUP($G:$G,Structure!$A:$AJ,Z$1,0)*$H186,0))</f>
        <v>0</v>
      </c>
      <c r="AA186" s="9">
        <f>SUM(IFERROR(VLOOKUP($C:$C,Structure!$A:$AJ,AA$1,0)*$D186,0),IFERROR(VLOOKUP($E:$E,Structure!$A:$AJ,AA$1,0)*$F186,0),IFERROR(VLOOKUP($G:$G,Structure!$A:$AJ,AA$1,0)*$H186,0))</f>
        <v>0</v>
      </c>
      <c r="AB186" s="9">
        <f>SUM(IFERROR(VLOOKUP($C:$C,Structure!$A:$AJ,AB$1,0)*$D186,0),IFERROR(VLOOKUP($E:$E,Structure!$A:$AJ,AB$1,0)*$F186,0),IFERROR(VLOOKUP($G:$G,Structure!$A:$AJ,AB$1,0)*$H186,0))</f>
        <v>0</v>
      </c>
      <c r="AC186" s="9">
        <f>SUM(IFERROR(VLOOKUP($C:$C,Structure!$A:$AJ,AC$1,0)*$D186,0),IFERROR(VLOOKUP($E:$E,Structure!$A:$AJ,AC$1,0)*$F186,0),IFERROR(VLOOKUP($G:$G,Structure!$A:$AJ,AC$1,0)*$H186,0))</f>
        <v>8</v>
      </c>
      <c r="AD186" s="9">
        <f>SUM(IFERROR(VLOOKUP($C:$C,Structure!$A:$AJ,AD$1,0)*$D186,0),IFERROR(VLOOKUP($E:$E,Structure!$A:$AJ,AD$1,0)*$F186,0),IFERROR(VLOOKUP($G:$G,Structure!$A:$AJ,AD$1,0)*$H186,0))</f>
        <v>0</v>
      </c>
      <c r="AE186" s="9">
        <f>SUM(IFERROR(VLOOKUP($C:$C,Structure!$A:$AJ,AE$1,0)*$D186,0),IFERROR(VLOOKUP($E:$E,Structure!$A:$AJ,AE$1,0)*$F186,0),IFERROR(VLOOKUP($G:$G,Structure!$A:$AJ,AE$1,0)*$H186,0))</f>
        <v>0</v>
      </c>
      <c r="AF186" s="9">
        <f>SUM(IFERROR(VLOOKUP($C:$C,Structure!$A:$AJ,AF$1,0)*$D186,0),IFERROR(VLOOKUP($E:$E,Structure!$A:$AJ,AF$1,0)*$F186,0),IFERROR(VLOOKUP($G:$G,Structure!$A:$AJ,AF$1,0)*$H186,0))</f>
        <v>0</v>
      </c>
      <c r="AG186" s="9">
        <f>SUM(IFERROR(VLOOKUP($C:$C,Structure!$A:$AJ,AG$1,0)*$D186,0),IFERROR(VLOOKUP($E:$E,Structure!$A:$AJ,AG$1,0)*$F186,0),IFERROR(VLOOKUP($G:$G,Structure!$A:$AJ,AG$1,0)*$H186,0))</f>
        <v>0</v>
      </c>
      <c r="AH186" s="9">
        <f>SUM(IFERROR(VLOOKUP($C:$C,Structure!$A:$AJ,AH$1,0)*$D186,0),IFERROR(VLOOKUP($E:$E,Structure!$A:$AJ,AH$1,0)*$F186,0),IFERROR(VLOOKUP($G:$G,Structure!$A:$AJ,AH$1,0)*$H186,0))</f>
        <v>0</v>
      </c>
      <c r="AI186" s="9">
        <f>SUM(IFERROR(VLOOKUP($C:$C,Structure!$A:$AJ,AI$1,0)*$D186,0),IFERROR(VLOOKUP($E:$E,Structure!$A:$AJ,AI$1,0)*$F186,0),IFERROR(VLOOKUP($G:$G,Structure!$A:$AJ,AI$1,0)*$H186,0))</f>
        <v>0</v>
      </c>
      <c r="AJ186" s="9">
        <f>SUM(IFERROR(VLOOKUP($C:$C,Structure!$A:$AJ,AJ$1,0)*$D186,0),IFERROR(VLOOKUP($E:$E,Structure!$A:$AJ,AJ$1,0)*$F186,0),IFERROR(VLOOKUP($G:$G,Structure!$A:$AJ,AJ$1,0)*$H186,0))</f>
        <v>0</v>
      </c>
      <c r="AK186" s="9">
        <f>SUM(IFERROR(VLOOKUP($C:$C,Structure!$A:$AJ,AK$1,0)*$D186,0),IFERROR(VLOOKUP($E:$E,Structure!$A:$AJ,AK$1,0)*$F186,0),IFERROR(VLOOKUP($G:$G,Structure!$A:$AJ,AK$1,0)*$H186,0))</f>
        <v>0</v>
      </c>
      <c r="AL186" s="9">
        <f>SUM(IFERROR(VLOOKUP($C:$C,Structure!$A:$AJ,AL$1,0)*$D186,0),IFERROR(VLOOKUP($E:$E,Structure!$A:$AJ,AL$1,0)*$F186,0),IFERROR(VLOOKUP($G:$G,Structure!$A:$AJ,AL$1,0)*$H186,0))</f>
        <v>0</v>
      </c>
      <c r="AM186" s="9">
        <f>SUM(IFERROR(VLOOKUP($C:$C,Structure!$A:$AJ,AM$1,0)*$D186,0),IFERROR(VLOOKUP($E:$E,Structure!$A:$AJ,AM$1,0)*$F186,0),IFERROR(VLOOKUP($G:$G,Structure!$A:$AJ,AM$1,0)*$H186,0))</f>
        <v>0</v>
      </c>
      <c r="AN186" s="9">
        <f>SUM(IFERROR(VLOOKUP($C:$C,Structure!$A:$AJ,AN$1,0)*$D186,0),IFERROR(VLOOKUP($E:$E,Structure!$A:$AJ,AN$1,0)*$F186,0),IFERROR(VLOOKUP($G:$G,Structure!$A:$AJ,AN$1,0)*$H186,0))</f>
        <v>0</v>
      </c>
      <c r="AO186" s="9">
        <f>SUM(IFERROR(VLOOKUP($C:$C,Structure!$A:$AJ,AO$1,0)*$D186,0),IFERROR(VLOOKUP($E:$E,Structure!$A:$AJ,AO$1,0)*$F186,0),IFERROR(VLOOKUP($G:$G,Structure!$A:$AJ,AO$1,0)*$H186,0))</f>
        <v>0</v>
      </c>
      <c r="AP186" s="9">
        <f>SUM(IFERROR(VLOOKUP($C:$C,Structure!$A:$AJ,AP$1,0)*$D186,0),IFERROR(VLOOKUP($E:$E,Structure!$A:$AJ,AP$1,0)*$F186,0),IFERROR(VLOOKUP($G:$G,Structure!$A:$AJ,AP$1,0)*$H186,0))</f>
        <v>0</v>
      </c>
      <c r="AQ186" s="9">
        <f>SUM(IFERROR(VLOOKUP($C:$C,Structure!$A:$AJ,AQ$1,0)*$D186,0),IFERROR(VLOOKUP($E:$E,Structure!$A:$AJ,AQ$1,0)*$F186,0),IFERROR(VLOOKUP($G:$G,Structure!$A:$AJ,AQ$1,0)*$H186,0))</f>
        <v>0</v>
      </c>
      <c r="AR186" s="21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4">
        <f t="shared" si="232"/>
        <v>0</v>
      </c>
      <c r="CE186" s="4">
        <f t="shared" si="233"/>
        <v>-84</v>
      </c>
      <c r="CF186" s="4">
        <f t="shared" si="234"/>
        <v>4</v>
      </c>
      <c r="CG186" s="4">
        <f t="shared" si="235"/>
        <v>14</v>
      </c>
      <c r="CH186" s="4">
        <f t="shared" si="236"/>
        <v>-7</v>
      </c>
      <c r="CI186" s="4">
        <f t="shared" si="237"/>
        <v>127</v>
      </c>
      <c r="CJ186" s="4">
        <f t="shared" si="238"/>
        <v>-141</v>
      </c>
      <c r="CK186" s="4">
        <f t="shared" si="239"/>
        <v>95</v>
      </c>
      <c r="CL186" s="4">
        <f t="shared" si="240"/>
        <v>0</v>
      </c>
      <c r="CM186" s="4">
        <f t="shared" si="241"/>
        <v>6</v>
      </c>
      <c r="CN186" s="4">
        <f t="shared" si="242"/>
        <v>-28</v>
      </c>
      <c r="CO186" s="4">
        <f t="shared" si="243"/>
        <v>0</v>
      </c>
      <c r="CP186" s="4">
        <f t="shared" si="244"/>
        <v>69</v>
      </c>
      <c r="CQ186" s="4">
        <f t="shared" si="245"/>
        <v>-534</v>
      </c>
      <c r="CR186" s="4">
        <f t="shared" si="246"/>
        <v>15</v>
      </c>
      <c r="CS186" s="4">
        <f t="shared" si="247"/>
        <v>-24</v>
      </c>
      <c r="CT186" s="4">
        <f t="shared" si="248"/>
        <v>0</v>
      </c>
      <c r="CU186" s="4">
        <f t="shared" si="249"/>
        <v>0</v>
      </c>
      <c r="CV186" s="4">
        <f t="shared" si="250"/>
        <v>0</v>
      </c>
      <c r="CW186" s="4">
        <f t="shared" si="251"/>
        <v>0</v>
      </c>
      <c r="CX186" s="4">
        <f t="shared" si="252"/>
        <v>-525</v>
      </c>
      <c r="CY186" s="4">
        <f t="shared" si="253"/>
        <v>0</v>
      </c>
      <c r="CZ186" s="4">
        <f t="shared" si="254"/>
        <v>0</v>
      </c>
      <c r="DA186" s="4">
        <f t="shared" si="255"/>
        <v>0</v>
      </c>
      <c r="DB186" s="4">
        <f t="shared" si="256"/>
        <v>0</v>
      </c>
      <c r="DC186" s="4">
        <f t="shared" si="257"/>
        <v>0</v>
      </c>
      <c r="DD186" s="4">
        <f t="shared" si="258"/>
        <v>0</v>
      </c>
      <c r="DE186" s="4">
        <f t="shared" si="259"/>
        <v>0</v>
      </c>
      <c r="DF186" s="4">
        <f t="shared" si="260"/>
        <v>0</v>
      </c>
      <c r="DG186" s="4">
        <f t="shared" si="261"/>
        <v>0</v>
      </c>
      <c r="DH186" s="4">
        <f t="shared" si="262"/>
        <v>0</v>
      </c>
      <c r="DI186" s="4">
        <f t="shared" si="263"/>
        <v>0</v>
      </c>
      <c r="DJ186" s="4">
        <f t="shared" si="264"/>
        <v>0</v>
      </c>
      <c r="DK186" s="4">
        <f t="shared" si="265"/>
        <v>0</v>
      </c>
      <c r="DL186" s="4">
        <f t="shared" si="266"/>
        <v>0</v>
      </c>
    </row>
    <row r="187" spans="1:116" x14ac:dyDescent="0.25">
      <c r="A187" s="5">
        <v>46187</v>
      </c>
      <c r="B187" s="6">
        <v>0.14583333377959207</v>
      </c>
      <c r="C187" s="3"/>
      <c r="D187" s="3"/>
      <c r="E187" s="3" t="s">
        <v>30</v>
      </c>
      <c r="F187" s="3">
        <v>8</v>
      </c>
      <c r="G187" s="3"/>
      <c r="H187" s="9"/>
      <c r="I187" s="9">
        <f>SUM(IFERROR(VLOOKUP($C:$C,Structure!$A:$AJ,I$1,0)*$D187,0),IFERROR(VLOOKUP($E:$E,Structure!$A:$AJ,I$1,0)*$F187,0),IFERROR(VLOOKUP($G:$G,Structure!$A:$AJ,I$1,0)*$H187,0))</f>
        <v>0</v>
      </c>
      <c r="J187" s="9">
        <f>SUM(IFERROR(VLOOKUP($C:$C,Structure!$A:$AJ,J$1,0)*$D187,0),IFERROR(VLOOKUP($E:$E,Structure!$A:$AJ,J$1,0)*$F187,0),IFERROR(VLOOKUP($G:$G,Structure!$A:$AJ,J$1,0)*$H187,0))</f>
        <v>0</v>
      </c>
      <c r="K187" s="9">
        <f>SUM(IFERROR(VLOOKUP($C:$C,Structure!$A:$AJ,K$1,0)*$D187,0),IFERROR(VLOOKUP($E:$E,Structure!$A:$AJ,K$1,0)*$F187,0),IFERROR(VLOOKUP($G:$G,Structure!$A:$AJ,K$1,0)*$H187,0))</f>
        <v>0</v>
      </c>
      <c r="L187" s="9">
        <f>SUM(IFERROR(VLOOKUP($C:$C,Structure!$A:$AJ,L$1,0)*$D187,0),IFERROR(VLOOKUP($E:$E,Structure!$A:$AJ,L$1,0)*$F187,0),IFERROR(VLOOKUP($G:$G,Structure!$A:$AJ,L$1,0)*$H187,0))</f>
        <v>0</v>
      </c>
      <c r="M187" s="9">
        <f>SUM(IFERROR(VLOOKUP($C:$C,Structure!$A:$AJ,M$1,0)*$D187,0),IFERROR(VLOOKUP($E:$E,Structure!$A:$AJ,M$1,0)*$F187,0),IFERROR(VLOOKUP($G:$G,Structure!$A:$AJ,M$1,0)*$H187,0))</f>
        <v>0</v>
      </c>
      <c r="N187" s="9">
        <f>SUM(IFERROR(VLOOKUP($C:$C,Structure!$A:$AJ,N$1,0)*$D187,0),IFERROR(VLOOKUP($E:$E,Structure!$A:$AJ,N$1,0)*$F187,0),IFERROR(VLOOKUP($G:$G,Structure!$A:$AJ,N$1,0)*$H187,0))</f>
        <v>0</v>
      </c>
      <c r="O187" s="9">
        <f>SUM(IFERROR(VLOOKUP($C:$C,Structure!$A:$AJ,O$1,0)*$D187,0),IFERROR(VLOOKUP($E:$E,Structure!$A:$AJ,O$1,0)*$F187,0),IFERROR(VLOOKUP($G:$G,Structure!$A:$AJ,O$1,0)*$H187,0))</f>
        <v>0</v>
      </c>
      <c r="P187" s="9">
        <f>SUM(IFERROR(VLOOKUP($C:$C,Structure!$A:$AJ,P$1,0)*$D187,0),IFERROR(VLOOKUP($E:$E,Structure!$A:$AJ,P$1,0)*$F187,0),IFERROR(VLOOKUP($G:$G,Structure!$A:$AJ,P$1,0)*$H187,0))</f>
        <v>0</v>
      </c>
      <c r="Q187" s="9">
        <f>SUM(IFERROR(VLOOKUP($C:$C,Structure!$A:$AJ,Q$1,0)*$D187,0),IFERROR(VLOOKUP($E:$E,Structure!$A:$AJ,Q$1,0)*$F187,0),IFERROR(VLOOKUP($G:$G,Structure!$A:$AJ,Q$1,0)*$H187,0))</f>
        <v>0</v>
      </c>
      <c r="R187" s="9">
        <f>SUM(IFERROR(VLOOKUP($C:$C,Structure!$A:$AJ,R$1,0)*$D187,0),IFERROR(VLOOKUP($E:$E,Structure!$A:$AJ,R$1,0)*$F187,0),IFERROR(VLOOKUP($G:$G,Structure!$A:$AJ,R$1,0)*$H187,0))</f>
        <v>0</v>
      </c>
      <c r="S187" s="9">
        <f>SUM(IFERROR(VLOOKUP($C:$C,Structure!$A:$AJ,S$1,0)*$D187,0),IFERROR(VLOOKUP($E:$E,Structure!$A:$AJ,S$1,0)*$F187,0),IFERROR(VLOOKUP($G:$G,Structure!$A:$AJ,S$1,0)*$H187,0))</f>
        <v>0</v>
      </c>
      <c r="T187" s="9">
        <f>SUM(IFERROR(VLOOKUP($C:$C,Structure!$A:$AJ,T$1,0)*$D187,0),IFERROR(VLOOKUP($E:$E,Structure!$A:$AJ,T$1,0)*$F187,0),IFERROR(VLOOKUP($G:$G,Structure!$A:$AJ,T$1,0)*$H187,0))</f>
        <v>0</v>
      </c>
      <c r="U187" s="9">
        <f>SUM(IFERROR(VLOOKUP($C:$C,Structure!$A:$AJ,U$1,0)*$D187,0),IFERROR(VLOOKUP($E:$E,Structure!$A:$AJ,U$1,0)*$F187,0),IFERROR(VLOOKUP($G:$G,Structure!$A:$AJ,U$1,0)*$H187,0))</f>
        <v>0</v>
      </c>
      <c r="V187" s="9">
        <f>SUM(IFERROR(VLOOKUP($C:$C,Structure!$A:$AJ,V$1,0)*$D187,0),IFERROR(VLOOKUP($E:$E,Structure!$A:$AJ,V$1,0)*$F187,0),IFERROR(VLOOKUP($G:$G,Structure!$A:$AJ,V$1,0)*$H187,0))</f>
        <v>8</v>
      </c>
      <c r="W187" s="9">
        <f>SUM(IFERROR(VLOOKUP($C:$C,Structure!$A:$AJ,W$1,0)*$D187,0),IFERROR(VLOOKUP($E:$E,Structure!$A:$AJ,W$1,0)*$F187,0),IFERROR(VLOOKUP($G:$G,Structure!$A:$AJ,W$1,0)*$H187,0))</f>
        <v>0</v>
      </c>
      <c r="X187" s="9">
        <f>SUM(IFERROR(VLOOKUP($C:$C,Structure!$A:$AJ,X$1,0)*$D187,0),IFERROR(VLOOKUP($E:$E,Structure!$A:$AJ,X$1,0)*$F187,0),IFERROR(VLOOKUP($G:$G,Structure!$A:$AJ,X$1,0)*$H187,0))</f>
        <v>0</v>
      </c>
      <c r="Y187" s="9">
        <f>SUM(IFERROR(VLOOKUP($C:$C,Structure!$A:$AJ,Y$1,0)*$D187,0),IFERROR(VLOOKUP($E:$E,Structure!$A:$AJ,Y$1,0)*$F187,0),IFERROR(VLOOKUP($G:$G,Structure!$A:$AJ,Y$1,0)*$H187,0))</f>
        <v>0</v>
      </c>
      <c r="Z187" s="9">
        <f>SUM(IFERROR(VLOOKUP($C:$C,Structure!$A:$AJ,Z$1,0)*$D187,0),IFERROR(VLOOKUP($E:$E,Structure!$A:$AJ,Z$1,0)*$F187,0),IFERROR(VLOOKUP($G:$G,Structure!$A:$AJ,Z$1,0)*$H187,0))</f>
        <v>0</v>
      </c>
      <c r="AA187" s="9">
        <f>SUM(IFERROR(VLOOKUP($C:$C,Structure!$A:$AJ,AA$1,0)*$D187,0),IFERROR(VLOOKUP($E:$E,Structure!$A:$AJ,AA$1,0)*$F187,0),IFERROR(VLOOKUP($G:$G,Structure!$A:$AJ,AA$1,0)*$H187,0))</f>
        <v>0</v>
      </c>
      <c r="AB187" s="9">
        <f>SUM(IFERROR(VLOOKUP($C:$C,Structure!$A:$AJ,AB$1,0)*$D187,0),IFERROR(VLOOKUP($E:$E,Structure!$A:$AJ,AB$1,0)*$F187,0),IFERROR(VLOOKUP($G:$G,Structure!$A:$AJ,AB$1,0)*$H187,0))</f>
        <v>0</v>
      </c>
      <c r="AC187" s="9">
        <f>SUM(IFERROR(VLOOKUP($C:$C,Structure!$A:$AJ,AC$1,0)*$D187,0),IFERROR(VLOOKUP($E:$E,Structure!$A:$AJ,AC$1,0)*$F187,0),IFERROR(VLOOKUP($G:$G,Structure!$A:$AJ,AC$1,0)*$H187,0))</f>
        <v>8</v>
      </c>
      <c r="AD187" s="9">
        <f>SUM(IFERROR(VLOOKUP($C:$C,Structure!$A:$AJ,AD$1,0)*$D187,0),IFERROR(VLOOKUP($E:$E,Structure!$A:$AJ,AD$1,0)*$F187,0),IFERROR(VLOOKUP($G:$G,Structure!$A:$AJ,AD$1,0)*$H187,0))</f>
        <v>0</v>
      </c>
      <c r="AE187" s="9">
        <f>SUM(IFERROR(VLOOKUP($C:$C,Structure!$A:$AJ,AE$1,0)*$D187,0),IFERROR(VLOOKUP($E:$E,Structure!$A:$AJ,AE$1,0)*$F187,0),IFERROR(VLOOKUP($G:$G,Structure!$A:$AJ,AE$1,0)*$H187,0))</f>
        <v>0</v>
      </c>
      <c r="AF187" s="9">
        <f>SUM(IFERROR(VLOOKUP($C:$C,Structure!$A:$AJ,AF$1,0)*$D187,0),IFERROR(VLOOKUP($E:$E,Structure!$A:$AJ,AF$1,0)*$F187,0),IFERROR(VLOOKUP($G:$G,Structure!$A:$AJ,AF$1,0)*$H187,0))</f>
        <v>0</v>
      </c>
      <c r="AG187" s="9">
        <f>SUM(IFERROR(VLOOKUP($C:$C,Structure!$A:$AJ,AG$1,0)*$D187,0),IFERROR(VLOOKUP($E:$E,Structure!$A:$AJ,AG$1,0)*$F187,0),IFERROR(VLOOKUP($G:$G,Structure!$A:$AJ,AG$1,0)*$H187,0))</f>
        <v>0</v>
      </c>
      <c r="AH187" s="9">
        <f>SUM(IFERROR(VLOOKUP($C:$C,Structure!$A:$AJ,AH$1,0)*$D187,0),IFERROR(VLOOKUP($E:$E,Structure!$A:$AJ,AH$1,0)*$F187,0),IFERROR(VLOOKUP($G:$G,Structure!$A:$AJ,AH$1,0)*$H187,0))</f>
        <v>0</v>
      </c>
      <c r="AI187" s="9">
        <f>SUM(IFERROR(VLOOKUP($C:$C,Structure!$A:$AJ,AI$1,0)*$D187,0),IFERROR(VLOOKUP($E:$E,Structure!$A:$AJ,AI$1,0)*$F187,0),IFERROR(VLOOKUP($G:$G,Structure!$A:$AJ,AI$1,0)*$H187,0))</f>
        <v>0</v>
      </c>
      <c r="AJ187" s="9">
        <f>SUM(IFERROR(VLOOKUP($C:$C,Structure!$A:$AJ,AJ$1,0)*$D187,0),IFERROR(VLOOKUP($E:$E,Structure!$A:$AJ,AJ$1,0)*$F187,0),IFERROR(VLOOKUP($G:$G,Structure!$A:$AJ,AJ$1,0)*$H187,0))</f>
        <v>0</v>
      </c>
      <c r="AK187" s="9">
        <f>SUM(IFERROR(VLOOKUP($C:$C,Structure!$A:$AJ,AK$1,0)*$D187,0),IFERROR(VLOOKUP($E:$E,Structure!$A:$AJ,AK$1,0)*$F187,0),IFERROR(VLOOKUP($G:$G,Structure!$A:$AJ,AK$1,0)*$H187,0))</f>
        <v>0</v>
      </c>
      <c r="AL187" s="9">
        <f>SUM(IFERROR(VLOOKUP($C:$C,Structure!$A:$AJ,AL$1,0)*$D187,0),IFERROR(VLOOKUP($E:$E,Structure!$A:$AJ,AL$1,0)*$F187,0),IFERROR(VLOOKUP($G:$G,Structure!$A:$AJ,AL$1,0)*$H187,0))</f>
        <v>0</v>
      </c>
      <c r="AM187" s="9">
        <f>SUM(IFERROR(VLOOKUP($C:$C,Structure!$A:$AJ,AM$1,0)*$D187,0),IFERROR(VLOOKUP($E:$E,Structure!$A:$AJ,AM$1,0)*$F187,0),IFERROR(VLOOKUP($G:$G,Structure!$A:$AJ,AM$1,0)*$H187,0))</f>
        <v>0</v>
      </c>
      <c r="AN187" s="9">
        <f>SUM(IFERROR(VLOOKUP($C:$C,Structure!$A:$AJ,AN$1,0)*$D187,0),IFERROR(VLOOKUP($E:$E,Structure!$A:$AJ,AN$1,0)*$F187,0),IFERROR(VLOOKUP($G:$G,Structure!$A:$AJ,AN$1,0)*$H187,0))</f>
        <v>0</v>
      </c>
      <c r="AO187" s="9">
        <f>SUM(IFERROR(VLOOKUP($C:$C,Structure!$A:$AJ,AO$1,0)*$D187,0),IFERROR(VLOOKUP($E:$E,Structure!$A:$AJ,AO$1,0)*$F187,0),IFERROR(VLOOKUP($G:$G,Structure!$A:$AJ,AO$1,0)*$H187,0))</f>
        <v>0</v>
      </c>
      <c r="AP187" s="9">
        <f>SUM(IFERROR(VLOOKUP($C:$C,Structure!$A:$AJ,AP$1,0)*$D187,0),IFERROR(VLOOKUP($E:$E,Structure!$A:$AJ,AP$1,0)*$F187,0),IFERROR(VLOOKUP($G:$G,Structure!$A:$AJ,AP$1,0)*$H187,0))</f>
        <v>0</v>
      </c>
      <c r="AQ187" s="9">
        <f>SUM(IFERROR(VLOOKUP($C:$C,Structure!$A:$AJ,AQ$1,0)*$D187,0),IFERROR(VLOOKUP($E:$E,Structure!$A:$AJ,AQ$1,0)*$F187,0),IFERROR(VLOOKUP($G:$G,Structure!$A:$AJ,AQ$1,0)*$H187,0))</f>
        <v>0</v>
      </c>
      <c r="AR187" s="21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4">
        <f t="shared" si="232"/>
        <v>0</v>
      </c>
      <c r="CE187" s="4">
        <f t="shared" si="233"/>
        <v>-84</v>
      </c>
      <c r="CF187" s="4">
        <f t="shared" si="234"/>
        <v>4</v>
      </c>
      <c r="CG187" s="4">
        <f t="shared" si="235"/>
        <v>14</v>
      </c>
      <c r="CH187" s="4">
        <f t="shared" si="236"/>
        <v>-7</v>
      </c>
      <c r="CI187" s="4">
        <f t="shared" si="237"/>
        <v>127</v>
      </c>
      <c r="CJ187" s="4">
        <f t="shared" si="238"/>
        <v>-141</v>
      </c>
      <c r="CK187" s="4">
        <f t="shared" si="239"/>
        <v>95</v>
      </c>
      <c r="CL187" s="4">
        <f t="shared" si="240"/>
        <v>0</v>
      </c>
      <c r="CM187" s="4">
        <f t="shared" si="241"/>
        <v>6</v>
      </c>
      <c r="CN187" s="4">
        <f t="shared" si="242"/>
        <v>-28</v>
      </c>
      <c r="CO187" s="4">
        <f t="shared" si="243"/>
        <v>0</v>
      </c>
      <c r="CP187" s="4">
        <f t="shared" si="244"/>
        <v>69</v>
      </c>
      <c r="CQ187" s="4">
        <f t="shared" si="245"/>
        <v>-542</v>
      </c>
      <c r="CR187" s="4">
        <f t="shared" si="246"/>
        <v>15</v>
      </c>
      <c r="CS187" s="4">
        <f t="shared" si="247"/>
        <v>-24</v>
      </c>
      <c r="CT187" s="4">
        <f t="shared" si="248"/>
        <v>0</v>
      </c>
      <c r="CU187" s="4">
        <f t="shared" si="249"/>
        <v>0</v>
      </c>
      <c r="CV187" s="4">
        <f t="shared" si="250"/>
        <v>0</v>
      </c>
      <c r="CW187" s="4">
        <f t="shared" si="251"/>
        <v>0</v>
      </c>
      <c r="CX187" s="4">
        <f t="shared" si="252"/>
        <v>-533</v>
      </c>
      <c r="CY187" s="4">
        <f t="shared" si="253"/>
        <v>0</v>
      </c>
      <c r="CZ187" s="4">
        <f t="shared" si="254"/>
        <v>0</v>
      </c>
      <c r="DA187" s="4">
        <f t="shared" si="255"/>
        <v>0</v>
      </c>
      <c r="DB187" s="4">
        <f t="shared" si="256"/>
        <v>0</v>
      </c>
      <c r="DC187" s="4">
        <f t="shared" si="257"/>
        <v>0</v>
      </c>
      <c r="DD187" s="4">
        <f t="shared" si="258"/>
        <v>0</v>
      </c>
      <c r="DE187" s="4">
        <f t="shared" si="259"/>
        <v>0</v>
      </c>
      <c r="DF187" s="4">
        <f t="shared" si="260"/>
        <v>0</v>
      </c>
      <c r="DG187" s="4">
        <f t="shared" si="261"/>
        <v>0</v>
      </c>
      <c r="DH187" s="4">
        <f t="shared" si="262"/>
        <v>0</v>
      </c>
      <c r="DI187" s="4">
        <f t="shared" si="263"/>
        <v>0</v>
      </c>
      <c r="DJ187" s="4">
        <f t="shared" si="264"/>
        <v>0</v>
      </c>
      <c r="DK187" s="4">
        <f t="shared" si="265"/>
        <v>0</v>
      </c>
      <c r="DL187" s="4">
        <f t="shared" si="266"/>
        <v>0</v>
      </c>
    </row>
    <row r="188" spans="1:116" x14ac:dyDescent="0.25">
      <c r="A188" s="5">
        <v>46187</v>
      </c>
      <c r="B188" s="6">
        <v>0.16666666711535072</v>
      </c>
      <c r="C188" s="3"/>
      <c r="D188" s="3"/>
      <c r="E188" s="3" t="s">
        <v>30</v>
      </c>
      <c r="F188" s="3">
        <v>8</v>
      </c>
      <c r="G188" s="3"/>
      <c r="H188" s="9"/>
      <c r="I188" s="9">
        <f>SUM(IFERROR(VLOOKUP($C:$C,Structure!$A:$AJ,I$1,0)*$D188,0),IFERROR(VLOOKUP($E:$E,Structure!$A:$AJ,I$1,0)*$F188,0),IFERROR(VLOOKUP($G:$G,Structure!$A:$AJ,I$1,0)*$H188,0))</f>
        <v>0</v>
      </c>
      <c r="J188" s="9">
        <f>SUM(IFERROR(VLOOKUP($C:$C,Structure!$A:$AJ,J$1,0)*$D188,0),IFERROR(VLOOKUP($E:$E,Structure!$A:$AJ,J$1,0)*$F188,0),IFERROR(VLOOKUP($G:$G,Structure!$A:$AJ,J$1,0)*$H188,0))</f>
        <v>0</v>
      </c>
      <c r="K188" s="9">
        <f>SUM(IFERROR(VLOOKUP($C:$C,Structure!$A:$AJ,K$1,0)*$D188,0),IFERROR(VLOOKUP($E:$E,Structure!$A:$AJ,K$1,0)*$F188,0),IFERROR(VLOOKUP($G:$G,Structure!$A:$AJ,K$1,0)*$H188,0))</f>
        <v>0</v>
      </c>
      <c r="L188" s="9">
        <f>SUM(IFERROR(VLOOKUP($C:$C,Structure!$A:$AJ,L$1,0)*$D188,0),IFERROR(VLOOKUP($E:$E,Structure!$A:$AJ,L$1,0)*$F188,0),IFERROR(VLOOKUP($G:$G,Structure!$A:$AJ,L$1,0)*$H188,0))</f>
        <v>0</v>
      </c>
      <c r="M188" s="9">
        <f>SUM(IFERROR(VLOOKUP($C:$C,Structure!$A:$AJ,M$1,0)*$D188,0),IFERROR(VLOOKUP($E:$E,Structure!$A:$AJ,M$1,0)*$F188,0),IFERROR(VLOOKUP($G:$G,Structure!$A:$AJ,M$1,0)*$H188,0))</f>
        <v>0</v>
      </c>
      <c r="N188" s="9">
        <f>SUM(IFERROR(VLOOKUP($C:$C,Structure!$A:$AJ,N$1,0)*$D188,0),IFERROR(VLOOKUP($E:$E,Structure!$A:$AJ,N$1,0)*$F188,0),IFERROR(VLOOKUP($G:$G,Structure!$A:$AJ,N$1,0)*$H188,0))</f>
        <v>0</v>
      </c>
      <c r="O188" s="9">
        <f>SUM(IFERROR(VLOOKUP($C:$C,Structure!$A:$AJ,O$1,0)*$D188,0),IFERROR(VLOOKUP($E:$E,Structure!$A:$AJ,O$1,0)*$F188,0),IFERROR(VLOOKUP($G:$G,Structure!$A:$AJ,O$1,0)*$H188,0))</f>
        <v>0</v>
      </c>
      <c r="P188" s="9">
        <f>SUM(IFERROR(VLOOKUP($C:$C,Structure!$A:$AJ,P$1,0)*$D188,0),IFERROR(VLOOKUP($E:$E,Structure!$A:$AJ,P$1,0)*$F188,0),IFERROR(VLOOKUP($G:$G,Structure!$A:$AJ,P$1,0)*$H188,0))</f>
        <v>0</v>
      </c>
      <c r="Q188" s="9">
        <f>SUM(IFERROR(VLOOKUP($C:$C,Structure!$A:$AJ,Q$1,0)*$D188,0),IFERROR(VLOOKUP($E:$E,Structure!$A:$AJ,Q$1,0)*$F188,0),IFERROR(VLOOKUP($G:$G,Structure!$A:$AJ,Q$1,0)*$H188,0))</f>
        <v>0</v>
      </c>
      <c r="R188" s="9">
        <f>SUM(IFERROR(VLOOKUP($C:$C,Structure!$A:$AJ,R$1,0)*$D188,0),IFERROR(VLOOKUP($E:$E,Structure!$A:$AJ,R$1,0)*$F188,0),IFERROR(VLOOKUP($G:$G,Structure!$A:$AJ,R$1,0)*$H188,0))</f>
        <v>0</v>
      </c>
      <c r="S188" s="9">
        <f>SUM(IFERROR(VLOOKUP($C:$C,Structure!$A:$AJ,S$1,0)*$D188,0),IFERROR(VLOOKUP($E:$E,Structure!$A:$AJ,S$1,0)*$F188,0),IFERROR(VLOOKUP($G:$G,Structure!$A:$AJ,S$1,0)*$H188,0))</f>
        <v>0</v>
      </c>
      <c r="T188" s="9">
        <f>SUM(IFERROR(VLOOKUP($C:$C,Structure!$A:$AJ,T$1,0)*$D188,0),IFERROR(VLOOKUP($E:$E,Structure!$A:$AJ,T$1,0)*$F188,0),IFERROR(VLOOKUP($G:$G,Structure!$A:$AJ,T$1,0)*$H188,0))</f>
        <v>0</v>
      </c>
      <c r="U188" s="9">
        <f>SUM(IFERROR(VLOOKUP($C:$C,Structure!$A:$AJ,U$1,0)*$D188,0),IFERROR(VLOOKUP($E:$E,Structure!$A:$AJ,U$1,0)*$F188,0),IFERROR(VLOOKUP($G:$G,Structure!$A:$AJ,U$1,0)*$H188,0))</f>
        <v>0</v>
      </c>
      <c r="V188" s="9">
        <f>SUM(IFERROR(VLOOKUP($C:$C,Structure!$A:$AJ,V$1,0)*$D188,0),IFERROR(VLOOKUP($E:$E,Structure!$A:$AJ,V$1,0)*$F188,0),IFERROR(VLOOKUP($G:$G,Structure!$A:$AJ,V$1,0)*$H188,0))</f>
        <v>8</v>
      </c>
      <c r="W188" s="9">
        <f>SUM(IFERROR(VLOOKUP($C:$C,Structure!$A:$AJ,W$1,0)*$D188,0),IFERROR(VLOOKUP($E:$E,Structure!$A:$AJ,W$1,0)*$F188,0),IFERROR(VLOOKUP($G:$G,Structure!$A:$AJ,W$1,0)*$H188,0))</f>
        <v>0</v>
      </c>
      <c r="X188" s="9">
        <f>SUM(IFERROR(VLOOKUP($C:$C,Structure!$A:$AJ,X$1,0)*$D188,0),IFERROR(VLOOKUP($E:$E,Structure!$A:$AJ,X$1,0)*$F188,0),IFERROR(VLOOKUP($G:$G,Structure!$A:$AJ,X$1,0)*$H188,0))</f>
        <v>0</v>
      </c>
      <c r="Y188" s="9">
        <f>SUM(IFERROR(VLOOKUP($C:$C,Structure!$A:$AJ,Y$1,0)*$D188,0),IFERROR(VLOOKUP($E:$E,Structure!$A:$AJ,Y$1,0)*$F188,0),IFERROR(VLOOKUP($G:$G,Structure!$A:$AJ,Y$1,0)*$H188,0))</f>
        <v>0</v>
      </c>
      <c r="Z188" s="9">
        <f>SUM(IFERROR(VLOOKUP($C:$C,Structure!$A:$AJ,Z$1,0)*$D188,0),IFERROR(VLOOKUP($E:$E,Structure!$A:$AJ,Z$1,0)*$F188,0),IFERROR(VLOOKUP($G:$G,Structure!$A:$AJ,Z$1,0)*$H188,0))</f>
        <v>0</v>
      </c>
      <c r="AA188" s="9">
        <f>SUM(IFERROR(VLOOKUP($C:$C,Structure!$A:$AJ,AA$1,0)*$D188,0),IFERROR(VLOOKUP($E:$E,Structure!$A:$AJ,AA$1,0)*$F188,0),IFERROR(VLOOKUP($G:$G,Structure!$A:$AJ,AA$1,0)*$H188,0))</f>
        <v>0</v>
      </c>
      <c r="AB188" s="9">
        <f>SUM(IFERROR(VLOOKUP($C:$C,Structure!$A:$AJ,AB$1,0)*$D188,0),IFERROR(VLOOKUP($E:$E,Structure!$A:$AJ,AB$1,0)*$F188,0),IFERROR(VLOOKUP($G:$G,Structure!$A:$AJ,AB$1,0)*$H188,0))</f>
        <v>0</v>
      </c>
      <c r="AC188" s="9">
        <f>SUM(IFERROR(VLOOKUP($C:$C,Structure!$A:$AJ,AC$1,0)*$D188,0),IFERROR(VLOOKUP($E:$E,Structure!$A:$AJ,AC$1,0)*$F188,0),IFERROR(VLOOKUP($G:$G,Structure!$A:$AJ,AC$1,0)*$H188,0))</f>
        <v>8</v>
      </c>
      <c r="AD188" s="9">
        <f>SUM(IFERROR(VLOOKUP($C:$C,Structure!$A:$AJ,AD$1,0)*$D188,0),IFERROR(VLOOKUP($E:$E,Structure!$A:$AJ,AD$1,0)*$F188,0),IFERROR(VLOOKUP($G:$G,Structure!$A:$AJ,AD$1,0)*$H188,0))</f>
        <v>0</v>
      </c>
      <c r="AE188" s="9">
        <f>SUM(IFERROR(VLOOKUP($C:$C,Structure!$A:$AJ,AE$1,0)*$D188,0),IFERROR(VLOOKUP($E:$E,Structure!$A:$AJ,AE$1,0)*$F188,0),IFERROR(VLOOKUP($G:$G,Structure!$A:$AJ,AE$1,0)*$H188,0))</f>
        <v>0</v>
      </c>
      <c r="AF188" s="9">
        <f>SUM(IFERROR(VLOOKUP($C:$C,Structure!$A:$AJ,AF$1,0)*$D188,0),IFERROR(VLOOKUP($E:$E,Structure!$A:$AJ,AF$1,0)*$F188,0),IFERROR(VLOOKUP($G:$G,Structure!$A:$AJ,AF$1,0)*$H188,0))</f>
        <v>0</v>
      </c>
      <c r="AG188" s="9">
        <f>SUM(IFERROR(VLOOKUP($C:$C,Structure!$A:$AJ,AG$1,0)*$D188,0),IFERROR(VLOOKUP($E:$E,Structure!$A:$AJ,AG$1,0)*$F188,0),IFERROR(VLOOKUP($G:$G,Structure!$A:$AJ,AG$1,0)*$H188,0))</f>
        <v>0</v>
      </c>
      <c r="AH188" s="9">
        <f>SUM(IFERROR(VLOOKUP($C:$C,Structure!$A:$AJ,AH$1,0)*$D188,0),IFERROR(VLOOKUP($E:$E,Structure!$A:$AJ,AH$1,0)*$F188,0),IFERROR(VLOOKUP($G:$G,Structure!$A:$AJ,AH$1,0)*$H188,0))</f>
        <v>0</v>
      </c>
      <c r="AI188" s="9">
        <f>SUM(IFERROR(VLOOKUP($C:$C,Structure!$A:$AJ,AI$1,0)*$D188,0),IFERROR(VLOOKUP($E:$E,Structure!$A:$AJ,AI$1,0)*$F188,0),IFERROR(VLOOKUP($G:$G,Structure!$A:$AJ,AI$1,0)*$H188,0))</f>
        <v>0</v>
      </c>
      <c r="AJ188" s="9">
        <f>SUM(IFERROR(VLOOKUP($C:$C,Structure!$A:$AJ,AJ$1,0)*$D188,0),IFERROR(VLOOKUP($E:$E,Structure!$A:$AJ,AJ$1,0)*$F188,0),IFERROR(VLOOKUP($G:$G,Structure!$A:$AJ,AJ$1,0)*$H188,0))</f>
        <v>0</v>
      </c>
      <c r="AK188" s="9">
        <f>SUM(IFERROR(VLOOKUP($C:$C,Structure!$A:$AJ,AK$1,0)*$D188,0),IFERROR(VLOOKUP($E:$E,Structure!$A:$AJ,AK$1,0)*$F188,0),IFERROR(VLOOKUP($G:$G,Structure!$A:$AJ,AK$1,0)*$H188,0))</f>
        <v>0</v>
      </c>
      <c r="AL188" s="9">
        <f>SUM(IFERROR(VLOOKUP($C:$C,Structure!$A:$AJ,AL$1,0)*$D188,0),IFERROR(VLOOKUP($E:$E,Structure!$A:$AJ,AL$1,0)*$F188,0),IFERROR(VLOOKUP($G:$G,Structure!$A:$AJ,AL$1,0)*$H188,0))</f>
        <v>0</v>
      </c>
      <c r="AM188" s="9">
        <f>SUM(IFERROR(VLOOKUP($C:$C,Structure!$A:$AJ,AM$1,0)*$D188,0),IFERROR(VLOOKUP($E:$E,Structure!$A:$AJ,AM$1,0)*$F188,0),IFERROR(VLOOKUP($G:$G,Structure!$A:$AJ,AM$1,0)*$H188,0))</f>
        <v>0</v>
      </c>
      <c r="AN188" s="9">
        <f>SUM(IFERROR(VLOOKUP($C:$C,Structure!$A:$AJ,AN$1,0)*$D188,0),IFERROR(VLOOKUP($E:$E,Structure!$A:$AJ,AN$1,0)*$F188,0),IFERROR(VLOOKUP($G:$G,Structure!$A:$AJ,AN$1,0)*$H188,0))</f>
        <v>0</v>
      </c>
      <c r="AO188" s="9">
        <f>SUM(IFERROR(VLOOKUP($C:$C,Structure!$A:$AJ,AO$1,0)*$D188,0),IFERROR(VLOOKUP($E:$E,Structure!$A:$AJ,AO$1,0)*$F188,0),IFERROR(VLOOKUP($G:$G,Structure!$A:$AJ,AO$1,0)*$H188,0))</f>
        <v>0</v>
      </c>
      <c r="AP188" s="9">
        <f>SUM(IFERROR(VLOOKUP($C:$C,Structure!$A:$AJ,AP$1,0)*$D188,0),IFERROR(VLOOKUP($E:$E,Structure!$A:$AJ,AP$1,0)*$F188,0),IFERROR(VLOOKUP($G:$G,Structure!$A:$AJ,AP$1,0)*$H188,0))</f>
        <v>0</v>
      </c>
      <c r="AQ188" s="9">
        <f>SUM(IFERROR(VLOOKUP($C:$C,Structure!$A:$AJ,AQ$1,0)*$D188,0),IFERROR(VLOOKUP($E:$E,Structure!$A:$AJ,AQ$1,0)*$F188,0),IFERROR(VLOOKUP($G:$G,Structure!$A:$AJ,AQ$1,0)*$H188,0))</f>
        <v>0</v>
      </c>
      <c r="AR188" s="21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4">
        <f t="shared" si="232"/>
        <v>0</v>
      </c>
      <c r="CE188" s="4">
        <f t="shared" si="233"/>
        <v>-84</v>
      </c>
      <c r="CF188" s="4">
        <f t="shared" si="234"/>
        <v>4</v>
      </c>
      <c r="CG188" s="4">
        <f t="shared" si="235"/>
        <v>14</v>
      </c>
      <c r="CH188" s="4">
        <f t="shared" si="236"/>
        <v>-7</v>
      </c>
      <c r="CI188" s="4">
        <f t="shared" si="237"/>
        <v>127</v>
      </c>
      <c r="CJ188" s="4">
        <f t="shared" si="238"/>
        <v>-141</v>
      </c>
      <c r="CK188" s="4">
        <f t="shared" si="239"/>
        <v>95</v>
      </c>
      <c r="CL188" s="4">
        <f t="shared" si="240"/>
        <v>0</v>
      </c>
      <c r="CM188" s="4">
        <f t="shared" si="241"/>
        <v>6</v>
      </c>
      <c r="CN188" s="4">
        <f t="shared" si="242"/>
        <v>-28</v>
      </c>
      <c r="CO188" s="4">
        <f t="shared" si="243"/>
        <v>0</v>
      </c>
      <c r="CP188" s="4">
        <f t="shared" si="244"/>
        <v>69</v>
      </c>
      <c r="CQ188" s="4">
        <f t="shared" si="245"/>
        <v>-550</v>
      </c>
      <c r="CR188" s="4">
        <f t="shared" si="246"/>
        <v>15</v>
      </c>
      <c r="CS188" s="4">
        <f t="shared" si="247"/>
        <v>-24</v>
      </c>
      <c r="CT188" s="4">
        <f t="shared" si="248"/>
        <v>0</v>
      </c>
      <c r="CU188" s="4">
        <f t="shared" si="249"/>
        <v>0</v>
      </c>
      <c r="CV188" s="4">
        <f t="shared" si="250"/>
        <v>0</v>
      </c>
      <c r="CW188" s="4">
        <f t="shared" si="251"/>
        <v>0</v>
      </c>
      <c r="CX188" s="4">
        <f t="shared" si="252"/>
        <v>-541</v>
      </c>
      <c r="CY188" s="4">
        <f t="shared" si="253"/>
        <v>0</v>
      </c>
      <c r="CZ188" s="4">
        <f t="shared" si="254"/>
        <v>0</v>
      </c>
      <c r="DA188" s="4">
        <f t="shared" si="255"/>
        <v>0</v>
      </c>
      <c r="DB188" s="4">
        <f t="shared" si="256"/>
        <v>0</v>
      </c>
      <c r="DC188" s="4">
        <f t="shared" si="257"/>
        <v>0</v>
      </c>
      <c r="DD188" s="4">
        <f t="shared" si="258"/>
        <v>0</v>
      </c>
      <c r="DE188" s="4">
        <f t="shared" si="259"/>
        <v>0</v>
      </c>
      <c r="DF188" s="4">
        <f t="shared" si="260"/>
        <v>0</v>
      </c>
      <c r="DG188" s="4">
        <f t="shared" si="261"/>
        <v>0</v>
      </c>
      <c r="DH188" s="4">
        <f t="shared" si="262"/>
        <v>0</v>
      </c>
      <c r="DI188" s="4">
        <f t="shared" si="263"/>
        <v>0</v>
      </c>
      <c r="DJ188" s="4">
        <f t="shared" si="264"/>
        <v>0</v>
      </c>
      <c r="DK188" s="4">
        <f t="shared" si="265"/>
        <v>0</v>
      </c>
      <c r="DL188" s="4">
        <f t="shared" si="266"/>
        <v>0</v>
      </c>
    </row>
    <row r="189" spans="1:116" x14ac:dyDescent="0.25">
      <c r="A189" s="5">
        <v>46187</v>
      </c>
      <c r="B189" s="6">
        <v>0.18750000045110937</v>
      </c>
      <c r="C189" s="3"/>
      <c r="D189" s="3"/>
      <c r="E189" s="3" t="s">
        <v>34</v>
      </c>
      <c r="F189" s="3">
        <v>2</v>
      </c>
      <c r="G189" s="3"/>
      <c r="H189" s="9"/>
      <c r="I189" s="9">
        <f>SUM(IFERROR(VLOOKUP($C:$C,Structure!$A:$AJ,I$1,0)*$D189,0),IFERROR(VLOOKUP($E:$E,Structure!$A:$AJ,I$1,0)*$F189,0),IFERROR(VLOOKUP($G:$G,Structure!$A:$AJ,I$1,0)*$H189,0))</f>
        <v>0</v>
      </c>
      <c r="J189" s="9">
        <f>SUM(IFERROR(VLOOKUP($C:$C,Structure!$A:$AJ,J$1,0)*$D189,0),IFERROR(VLOOKUP($E:$E,Structure!$A:$AJ,J$1,0)*$F189,0),IFERROR(VLOOKUP($G:$G,Structure!$A:$AJ,J$1,0)*$H189,0))</f>
        <v>0</v>
      </c>
      <c r="K189" s="9">
        <f>SUM(IFERROR(VLOOKUP($C:$C,Structure!$A:$AJ,K$1,0)*$D189,0),IFERROR(VLOOKUP($E:$E,Structure!$A:$AJ,K$1,0)*$F189,0),IFERROR(VLOOKUP($G:$G,Structure!$A:$AJ,K$1,0)*$H189,0))</f>
        <v>0</v>
      </c>
      <c r="L189" s="9">
        <f>SUM(IFERROR(VLOOKUP($C:$C,Structure!$A:$AJ,L$1,0)*$D189,0),IFERROR(VLOOKUP($E:$E,Structure!$A:$AJ,L$1,0)*$F189,0),IFERROR(VLOOKUP($G:$G,Structure!$A:$AJ,L$1,0)*$H189,0))</f>
        <v>0</v>
      </c>
      <c r="M189" s="9">
        <f>SUM(IFERROR(VLOOKUP($C:$C,Structure!$A:$AJ,M$1,0)*$D189,0),IFERROR(VLOOKUP($E:$E,Structure!$A:$AJ,M$1,0)*$F189,0),IFERROR(VLOOKUP($G:$G,Structure!$A:$AJ,M$1,0)*$H189,0))</f>
        <v>0</v>
      </c>
      <c r="N189" s="9">
        <f>SUM(IFERROR(VLOOKUP($C:$C,Structure!$A:$AJ,N$1,0)*$D189,0),IFERROR(VLOOKUP($E:$E,Structure!$A:$AJ,N$1,0)*$F189,0),IFERROR(VLOOKUP($G:$G,Structure!$A:$AJ,N$1,0)*$H189,0))</f>
        <v>0</v>
      </c>
      <c r="O189" s="9">
        <f>SUM(IFERROR(VLOOKUP($C:$C,Structure!$A:$AJ,O$1,0)*$D189,0),IFERROR(VLOOKUP($E:$E,Structure!$A:$AJ,O$1,0)*$F189,0),IFERROR(VLOOKUP($G:$G,Structure!$A:$AJ,O$1,0)*$H189,0))</f>
        <v>0</v>
      </c>
      <c r="P189" s="9">
        <f>SUM(IFERROR(VLOOKUP($C:$C,Structure!$A:$AJ,P$1,0)*$D189,0),IFERROR(VLOOKUP($E:$E,Structure!$A:$AJ,P$1,0)*$F189,0),IFERROR(VLOOKUP($G:$G,Structure!$A:$AJ,P$1,0)*$H189,0))</f>
        <v>0</v>
      </c>
      <c r="Q189" s="9">
        <f>SUM(IFERROR(VLOOKUP($C:$C,Structure!$A:$AJ,Q$1,0)*$D189,0),IFERROR(VLOOKUP($E:$E,Structure!$A:$AJ,Q$1,0)*$F189,0),IFERROR(VLOOKUP($G:$G,Structure!$A:$AJ,Q$1,0)*$H189,0))</f>
        <v>0</v>
      </c>
      <c r="R189" s="9">
        <f>SUM(IFERROR(VLOOKUP($C:$C,Structure!$A:$AJ,R$1,0)*$D189,0),IFERROR(VLOOKUP($E:$E,Structure!$A:$AJ,R$1,0)*$F189,0),IFERROR(VLOOKUP($G:$G,Structure!$A:$AJ,R$1,0)*$H189,0))</f>
        <v>0</v>
      </c>
      <c r="S189" s="9">
        <f>SUM(IFERROR(VLOOKUP($C:$C,Structure!$A:$AJ,S$1,0)*$D189,0),IFERROR(VLOOKUP($E:$E,Structure!$A:$AJ,S$1,0)*$F189,0),IFERROR(VLOOKUP($G:$G,Structure!$A:$AJ,S$1,0)*$H189,0))</f>
        <v>0</v>
      </c>
      <c r="T189" s="9">
        <f>SUM(IFERROR(VLOOKUP($C:$C,Structure!$A:$AJ,T$1,0)*$D189,0),IFERROR(VLOOKUP($E:$E,Structure!$A:$AJ,T$1,0)*$F189,0),IFERROR(VLOOKUP($G:$G,Structure!$A:$AJ,T$1,0)*$H189,0))</f>
        <v>0</v>
      </c>
      <c r="U189" s="9">
        <f>SUM(IFERROR(VLOOKUP($C:$C,Structure!$A:$AJ,U$1,0)*$D189,0),IFERROR(VLOOKUP($E:$E,Structure!$A:$AJ,U$1,0)*$F189,0),IFERROR(VLOOKUP($G:$G,Structure!$A:$AJ,U$1,0)*$H189,0))</f>
        <v>2</v>
      </c>
      <c r="V189" s="9">
        <f>SUM(IFERROR(VLOOKUP($C:$C,Structure!$A:$AJ,V$1,0)*$D189,0),IFERROR(VLOOKUP($E:$E,Structure!$A:$AJ,V$1,0)*$F189,0),IFERROR(VLOOKUP($G:$G,Structure!$A:$AJ,V$1,0)*$H189,0))</f>
        <v>0</v>
      </c>
      <c r="W189" s="9">
        <f>SUM(IFERROR(VLOOKUP($C:$C,Structure!$A:$AJ,W$1,0)*$D189,0),IFERROR(VLOOKUP($E:$E,Structure!$A:$AJ,W$1,0)*$F189,0),IFERROR(VLOOKUP($G:$G,Structure!$A:$AJ,W$1,0)*$H189,0))</f>
        <v>0</v>
      </c>
      <c r="X189" s="9">
        <f>SUM(IFERROR(VLOOKUP($C:$C,Structure!$A:$AJ,X$1,0)*$D189,0),IFERROR(VLOOKUP($E:$E,Structure!$A:$AJ,X$1,0)*$F189,0),IFERROR(VLOOKUP($G:$G,Structure!$A:$AJ,X$1,0)*$H189,0))</f>
        <v>0</v>
      </c>
      <c r="Y189" s="9">
        <f>SUM(IFERROR(VLOOKUP($C:$C,Structure!$A:$AJ,Y$1,0)*$D189,0),IFERROR(VLOOKUP($E:$E,Structure!$A:$AJ,Y$1,0)*$F189,0),IFERROR(VLOOKUP($G:$G,Structure!$A:$AJ,Y$1,0)*$H189,0))</f>
        <v>0</v>
      </c>
      <c r="Z189" s="9">
        <f>SUM(IFERROR(VLOOKUP($C:$C,Structure!$A:$AJ,Z$1,0)*$D189,0),IFERROR(VLOOKUP($E:$E,Structure!$A:$AJ,Z$1,0)*$F189,0),IFERROR(VLOOKUP($G:$G,Structure!$A:$AJ,Z$1,0)*$H189,0))</f>
        <v>0</v>
      </c>
      <c r="AA189" s="9">
        <f>SUM(IFERROR(VLOOKUP($C:$C,Structure!$A:$AJ,AA$1,0)*$D189,0),IFERROR(VLOOKUP($E:$E,Structure!$A:$AJ,AA$1,0)*$F189,0),IFERROR(VLOOKUP($G:$G,Structure!$A:$AJ,AA$1,0)*$H189,0))</f>
        <v>0</v>
      </c>
      <c r="AB189" s="9">
        <f>SUM(IFERROR(VLOOKUP($C:$C,Structure!$A:$AJ,AB$1,0)*$D189,0),IFERROR(VLOOKUP($E:$E,Structure!$A:$AJ,AB$1,0)*$F189,0),IFERROR(VLOOKUP($G:$G,Structure!$A:$AJ,AB$1,0)*$H189,0))</f>
        <v>0</v>
      </c>
      <c r="AC189" s="9">
        <f>SUM(IFERROR(VLOOKUP($C:$C,Structure!$A:$AJ,AC$1,0)*$D189,0),IFERROR(VLOOKUP($E:$E,Structure!$A:$AJ,AC$1,0)*$F189,0),IFERROR(VLOOKUP($G:$G,Structure!$A:$AJ,AC$1,0)*$H189,0))</f>
        <v>2</v>
      </c>
      <c r="AD189" s="9">
        <f>SUM(IFERROR(VLOOKUP($C:$C,Structure!$A:$AJ,AD$1,0)*$D189,0),IFERROR(VLOOKUP($E:$E,Structure!$A:$AJ,AD$1,0)*$F189,0),IFERROR(VLOOKUP($G:$G,Structure!$A:$AJ,AD$1,0)*$H189,0))</f>
        <v>0</v>
      </c>
      <c r="AE189" s="9">
        <f>SUM(IFERROR(VLOOKUP($C:$C,Structure!$A:$AJ,AE$1,0)*$D189,0),IFERROR(VLOOKUP($E:$E,Structure!$A:$AJ,AE$1,0)*$F189,0),IFERROR(VLOOKUP($G:$G,Structure!$A:$AJ,AE$1,0)*$H189,0))</f>
        <v>0</v>
      </c>
      <c r="AF189" s="9">
        <f>SUM(IFERROR(VLOOKUP($C:$C,Structure!$A:$AJ,AF$1,0)*$D189,0),IFERROR(VLOOKUP($E:$E,Structure!$A:$AJ,AF$1,0)*$F189,0),IFERROR(VLOOKUP($G:$G,Structure!$A:$AJ,AF$1,0)*$H189,0))</f>
        <v>0</v>
      </c>
      <c r="AG189" s="9">
        <f>SUM(IFERROR(VLOOKUP($C:$C,Structure!$A:$AJ,AG$1,0)*$D189,0),IFERROR(VLOOKUP($E:$E,Structure!$A:$AJ,AG$1,0)*$F189,0),IFERROR(VLOOKUP($G:$G,Structure!$A:$AJ,AG$1,0)*$H189,0))</f>
        <v>0</v>
      </c>
      <c r="AH189" s="9">
        <f>SUM(IFERROR(VLOOKUP($C:$C,Structure!$A:$AJ,AH$1,0)*$D189,0),IFERROR(VLOOKUP($E:$E,Structure!$A:$AJ,AH$1,0)*$F189,0),IFERROR(VLOOKUP($G:$G,Structure!$A:$AJ,AH$1,0)*$H189,0))</f>
        <v>0</v>
      </c>
      <c r="AI189" s="9">
        <f>SUM(IFERROR(VLOOKUP($C:$C,Structure!$A:$AJ,AI$1,0)*$D189,0),IFERROR(VLOOKUP($E:$E,Structure!$A:$AJ,AI$1,0)*$F189,0),IFERROR(VLOOKUP($G:$G,Structure!$A:$AJ,AI$1,0)*$H189,0))</f>
        <v>0</v>
      </c>
      <c r="AJ189" s="9">
        <f>SUM(IFERROR(VLOOKUP($C:$C,Structure!$A:$AJ,AJ$1,0)*$D189,0),IFERROR(VLOOKUP($E:$E,Structure!$A:$AJ,AJ$1,0)*$F189,0),IFERROR(VLOOKUP($G:$G,Structure!$A:$AJ,AJ$1,0)*$H189,0))</f>
        <v>0</v>
      </c>
      <c r="AK189" s="9">
        <f>SUM(IFERROR(VLOOKUP($C:$C,Structure!$A:$AJ,AK$1,0)*$D189,0),IFERROR(VLOOKUP($E:$E,Structure!$A:$AJ,AK$1,0)*$F189,0),IFERROR(VLOOKUP($G:$G,Structure!$A:$AJ,AK$1,0)*$H189,0))</f>
        <v>0</v>
      </c>
      <c r="AL189" s="9">
        <f>SUM(IFERROR(VLOOKUP($C:$C,Structure!$A:$AJ,AL$1,0)*$D189,0),IFERROR(VLOOKUP($E:$E,Structure!$A:$AJ,AL$1,0)*$F189,0),IFERROR(VLOOKUP($G:$G,Structure!$A:$AJ,AL$1,0)*$H189,0))</f>
        <v>0</v>
      </c>
      <c r="AM189" s="9">
        <f>SUM(IFERROR(VLOOKUP($C:$C,Structure!$A:$AJ,AM$1,0)*$D189,0),IFERROR(VLOOKUP($E:$E,Structure!$A:$AJ,AM$1,0)*$F189,0),IFERROR(VLOOKUP($G:$G,Structure!$A:$AJ,AM$1,0)*$H189,0))</f>
        <v>0</v>
      </c>
      <c r="AN189" s="9">
        <f>SUM(IFERROR(VLOOKUP($C:$C,Structure!$A:$AJ,AN$1,0)*$D189,0),IFERROR(VLOOKUP($E:$E,Structure!$A:$AJ,AN$1,0)*$F189,0),IFERROR(VLOOKUP($G:$G,Structure!$A:$AJ,AN$1,0)*$H189,0))</f>
        <v>0</v>
      </c>
      <c r="AO189" s="9">
        <f>SUM(IFERROR(VLOOKUP($C:$C,Structure!$A:$AJ,AO$1,0)*$D189,0),IFERROR(VLOOKUP($E:$E,Structure!$A:$AJ,AO$1,0)*$F189,0),IFERROR(VLOOKUP($G:$G,Structure!$A:$AJ,AO$1,0)*$H189,0))</f>
        <v>0</v>
      </c>
      <c r="AP189" s="9">
        <f>SUM(IFERROR(VLOOKUP($C:$C,Structure!$A:$AJ,AP$1,0)*$D189,0),IFERROR(VLOOKUP($E:$E,Structure!$A:$AJ,AP$1,0)*$F189,0),IFERROR(VLOOKUP($G:$G,Structure!$A:$AJ,AP$1,0)*$H189,0))</f>
        <v>0</v>
      </c>
      <c r="AQ189" s="9">
        <f>SUM(IFERROR(VLOOKUP($C:$C,Structure!$A:$AJ,AQ$1,0)*$D189,0),IFERROR(VLOOKUP($E:$E,Structure!$A:$AJ,AQ$1,0)*$F189,0),IFERROR(VLOOKUP($G:$G,Structure!$A:$AJ,AQ$1,0)*$H189,0))</f>
        <v>0</v>
      </c>
      <c r="AR189" s="21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4">
        <f t="shared" si="232"/>
        <v>0</v>
      </c>
      <c r="CE189" s="4">
        <f t="shared" si="233"/>
        <v>-84</v>
      </c>
      <c r="CF189" s="4">
        <f t="shared" si="234"/>
        <v>4</v>
      </c>
      <c r="CG189" s="4">
        <f t="shared" si="235"/>
        <v>14</v>
      </c>
      <c r="CH189" s="4">
        <f t="shared" si="236"/>
        <v>-7</v>
      </c>
      <c r="CI189" s="4">
        <f t="shared" si="237"/>
        <v>127</v>
      </c>
      <c r="CJ189" s="4">
        <f t="shared" si="238"/>
        <v>-141</v>
      </c>
      <c r="CK189" s="4">
        <f t="shared" si="239"/>
        <v>95</v>
      </c>
      <c r="CL189" s="4">
        <f t="shared" si="240"/>
        <v>0</v>
      </c>
      <c r="CM189" s="4">
        <f t="shared" si="241"/>
        <v>6</v>
      </c>
      <c r="CN189" s="4">
        <f t="shared" si="242"/>
        <v>-28</v>
      </c>
      <c r="CO189" s="4">
        <f t="shared" si="243"/>
        <v>0</v>
      </c>
      <c r="CP189" s="4">
        <f t="shared" si="244"/>
        <v>67</v>
      </c>
      <c r="CQ189" s="4">
        <f t="shared" si="245"/>
        <v>-550</v>
      </c>
      <c r="CR189" s="4">
        <f t="shared" si="246"/>
        <v>15</v>
      </c>
      <c r="CS189" s="4">
        <f t="shared" si="247"/>
        <v>-24</v>
      </c>
      <c r="CT189" s="4">
        <f t="shared" si="248"/>
        <v>0</v>
      </c>
      <c r="CU189" s="4">
        <f t="shared" si="249"/>
        <v>0</v>
      </c>
      <c r="CV189" s="4">
        <f t="shared" si="250"/>
        <v>0</v>
      </c>
      <c r="CW189" s="4">
        <f t="shared" si="251"/>
        <v>0</v>
      </c>
      <c r="CX189" s="4">
        <f t="shared" si="252"/>
        <v>-543</v>
      </c>
      <c r="CY189" s="4">
        <f t="shared" si="253"/>
        <v>0</v>
      </c>
      <c r="CZ189" s="4">
        <f t="shared" si="254"/>
        <v>0</v>
      </c>
      <c r="DA189" s="4">
        <f t="shared" si="255"/>
        <v>0</v>
      </c>
      <c r="DB189" s="4">
        <f t="shared" si="256"/>
        <v>0</v>
      </c>
      <c r="DC189" s="4">
        <f t="shared" si="257"/>
        <v>0</v>
      </c>
      <c r="DD189" s="4">
        <f t="shared" si="258"/>
        <v>0</v>
      </c>
      <c r="DE189" s="4">
        <f t="shared" si="259"/>
        <v>0</v>
      </c>
      <c r="DF189" s="4">
        <f t="shared" si="260"/>
        <v>0</v>
      </c>
      <c r="DG189" s="4">
        <f t="shared" si="261"/>
        <v>0</v>
      </c>
      <c r="DH189" s="4">
        <f t="shared" si="262"/>
        <v>0</v>
      </c>
      <c r="DI189" s="4">
        <f t="shared" si="263"/>
        <v>0</v>
      </c>
      <c r="DJ189" s="4">
        <f t="shared" si="264"/>
        <v>0</v>
      </c>
      <c r="DK189" s="4">
        <f t="shared" si="265"/>
        <v>0</v>
      </c>
      <c r="DL189" s="4">
        <f t="shared" si="266"/>
        <v>0</v>
      </c>
    </row>
    <row r="190" spans="1:116" x14ac:dyDescent="0.25">
      <c r="A190" s="5">
        <v>46187</v>
      </c>
      <c r="B190" s="6">
        <v>0.20833333378686802</v>
      </c>
      <c r="C190" s="3"/>
      <c r="D190" s="3"/>
      <c r="E190" s="3" t="s">
        <v>38</v>
      </c>
      <c r="F190" s="3">
        <v>8</v>
      </c>
      <c r="G190" s="3"/>
      <c r="H190" s="9"/>
      <c r="I190" s="9">
        <f>SUM(IFERROR(VLOOKUP($C:$C,Structure!$A:$AJ,I$1,0)*$D190,0),IFERROR(VLOOKUP($E:$E,Structure!$A:$AJ,I$1,0)*$F190,0),IFERROR(VLOOKUP($G:$G,Structure!$A:$AJ,I$1,0)*$H190,0))</f>
        <v>0</v>
      </c>
      <c r="J190" s="9">
        <f>SUM(IFERROR(VLOOKUP($C:$C,Structure!$A:$AJ,J$1,0)*$D190,0),IFERROR(VLOOKUP($E:$E,Structure!$A:$AJ,J$1,0)*$F190,0),IFERROR(VLOOKUP($G:$G,Structure!$A:$AJ,J$1,0)*$H190,0))</f>
        <v>8</v>
      </c>
      <c r="K190" s="9">
        <f>SUM(IFERROR(VLOOKUP($C:$C,Structure!$A:$AJ,K$1,0)*$D190,0),IFERROR(VLOOKUP($E:$E,Structure!$A:$AJ,K$1,0)*$F190,0),IFERROR(VLOOKUP($G:$G,Structure!$A:$AJ,K$1,0)*$H190,0))</f>
        <v>0</v>
      </c>
      <c r="L190" s="9">
        <f>SUM(IFERROR(VLOOKUP($C:$C,Structure!$A:$AJ,L$1,0)*$D190,0),IFERROR(VLOOKUP($E:$E,Structure!$A:$AJ,L$1,0)*$F190,0),IFERROR(VLOOKUP($G:$G,Structure!$A:$AJ,L$1,0)*$H190,0))</f>
        <v>0</v>
      </c>
      <c r="M190" s="9">
        <f>SUM(IFERROR(VLOOKUP($C:$C,Structure!$A:$AJ,M$1,0)*$D190,0),IFERROR(VLOOKUP($E:$E,Structure!$A:$AJ,M$1,0)*$F190,0),IFERROR(VLOOKUP($G:$G,Structure!$A:$AJ,M$1,0)*$H190,0))</f>
        <v>0</v>
      </c>
      <c r="N190" s="9">
        <f>SUM(IFERROR(VLOOKUP($C:$C,Structure!$A:$AJ,N$1,0)*$D190,0),IFERROR(VLOOKUP($E:$E,Structure!$A:$AJ,N$1,0)*$F190,0),IFERROR(VLOOKUP($G:$G,Structure!$A:$AJ,N$1,0)*$H190,0))</f>
        <v>0</v>
      </c>
      <c r="O190" s="9">
        <f>SUM(IFERROR(VLOOKUP($C:$C,Structure!$A:$AJ,O$1,0)*$D190,0),IFERROR(VLOOKUP($E:$E,Structure!$A:$AJ,O$1,0)*$F190,0),IFERROR(VLOOKUP($G:$G,Structure!$A:$AJ,O$1,0)*$H190,0))</f>
        <v>0</v>
      </c>
      <c r="P190" s="9">
        <f>SUM(IFERROR(VLOOKUP($C:$C,Structure!$A:$AJ,P$1,0)*$D190,0),IFERROR(VLOOKUP($E:$E,Structure!$A:$AJ,P$1,0)*$F190,0),IFERROR(VLOOKUP($G:$G,Structure!$A:$AJ,P$1,0)*$H190,0))</f>
        <v>8</v>
      </c>
      <c r="Q190" s="9">
        <f>SUM(IFERROR(VLOOKUP($C:$C,Structure!$A:$AJ,Q$1,0)*$D190,0),IFERROR(VLOOKUP($E:$E,Structure!$A:$AJ,Q$1,0)*$F190,0),IFERROR(VLOOKUP($G:$G,Structure!$A:$AJ,Q$1,0)*$H190,0))</f>
        <v>0</v>
      </c>
      <c r="R190" s="9">
        <f>SUM(IFERROR(VLOOKUP($C:$C,Structure!$A:$AJ,R$1,0)*$D190,0),IFERROR(VLOOKUP($E:$E,Structure!$A:$AJ,R$1,0)*$F190,0),IFERROR(VLOOKUP($G:$G,Structure!$A:$AJ,R$1,0)*$H190,0))</f>
        <v>0</v>
      </c>
      <c r="S190" s="9">
        <f>SUM(IFERROR(VLOOKUP($C:$C,Structure!$A:$AJ,S$1,0)*$D190,0),IFERROR(VLOOKUP($E:$E,Structure!$A:$AJ,S$1,0)*$F190,0),IFERROR(VLOOKUP($G:$G,Structure!$A:$AJ,S$1,0)*$H190,0))</f>
        <v>0</v>
      </c>
      <c r="T190" s="9">
        <f>SUM(IFERROR(VLOOKUP($C:$C,Structure!$A:$AJ,T$1,0)*$D190,0),IFERROR(VLOOKUP($E:$E,Structure!$A:$AJ,T$1,0)*$F190,0),IFERROR(VLOOKUP($G:$G,Structure!$A:$AJ,T$1,0)*$H190,0))</f>
        <v>0</v>
      </c>
      <c r="U190" s="9">
        <f>SUM(IFERROR(VLOOKUP($C:$C,Structure!$A:$AJ,U$1,0)*$D190,0),IFERROR(VLOOKUP($E:$E,Structure!$A:$AJ,U$1,0)*$F190,0),IFERROR(VLOOKUP($G:$G,Structure!$A:$AJ,U$1,0)*$H190,0))</f>
        <v>0</v>
      </c>
      <c r="V190" s="9">
        <f>SUM(IFERROR(VLOOKUP($C:$C,Structure!$A:$AJ,V$1,0)*$D190,0),IFERROR(VLOOKUP($E:$E,Structure!$A:$AJ,V$1,0)*$F190,0),IFERROR(VLOOKUP($G:$G,Structure!$A:$AJ,V$1,0)*$H190,0))</f>
        <v>0</v>
      </c>
      <c r="W190" s="9">
        <f>SUM(IFERROR(VLOOKUP($C:$C,Structure!$A:$AJ,W$1,0)*$D190,0),IFERROR(VLOOKUP($E:$E,Structure!$A:$AJ,W$1,0)*$F190,0),IFERROR(VLOOKUP($G:$G,Structure!$A:$AJ,W$1,0)*$H190,0))</f>
        <v>0</v>
      </c>
      <c r="X190" s="9">
        <f>SUM(IFERROR(VLOOKUP($C:$C,Structure!$A:$AJ,X$1,0)*$D190,0),IFERROR(VLOOKUP($E:$E,Structure!$A:$AJ,X$1,0)*$F190,0),IFERROR(VLOOKUP($G:$G,Structure!$A:$AJ,X$1,0)*$H190,0))</f>
        <v>0</v>
      </c>
      <c r="Y190" s="9">
        <f>SUM(IFERROR(VLOOKUP($C:$C,Structure!$A:$AJ,Y$1,0)*$D190,0),IFERROR(VLOOKUP($E:$E,Structure!$A:$AJ,Y$1,0)*$F190,0),IFERROR(VLOOKUP($G:$G,Structure!$A:$AJ,Y$1,0)*$H190,0))</f>
        <v>0</v>
      </c>
      <c r="Z190" s="9">
        <f>SUM(IFERROR(VLOOKUP($C:$C,Structure!$A:$AJ,Z$1,0)*$D190,0),IFERROR(VLOOKUP($E:$E,Structure!$A:$AJ,Z$1,0)*$F190,0),IFERROR(VLOOKUP($G:$G,Structure!$A:$AJ,Z$1,0)*$H190,0))</f>
        <v>0</v>
      </c>
      <c r="AA190" s="9">
        <f>SUM(IFERROR(VLOOKUP($C:$C,Structure!$A:$AJ,AA$1,0)*$D190,0),IFERROR(VLOOKUP($E:$E,Structure!$A:$AJ,AA$1,0)*$F190,0),IFERROR(VLOOKUP($G:$G,Structure!$A:$AJ,AA$1,0)*$H190,0))</f>
        <v>0</v>
      </c>
      <c r="AB190" s="9">
        <f>SUM(IFERROR(VLOOKUP($C:$C,Structure!$A:$AJ,AB$1,0)*$D190,0),IFERROR(VLOOKUP($E:$E,Structure!$A:$AJ,AB$1,0)*$F190,0),IFERROR(VLOOKUP($G:$G,Structure!$A:$AJ,AB$1,0)*$H190,0))</f>
        <v>0</v>
      </c>
      <c r="AC190" s="9">
        <f>SUM(IFERROR(VLOOKUP($C:$C,Structure!$A:$AJ,AC$1,0)*$D190,0),IFERROR(VLOOKUP($E:$E,Structure!$A:$AJ,AC$1,0)*$F190,0),IFERROR(VLOOKUP($G:$G,Structure!$A:$AJ,AC$1,0)*$H190,0))</f>
        <v>0</v>
      </c>
      <c r="AD190" s="9">
        <f>SUM(IFERROR(VLOOKUP($C:$C,Structure!$A:$AJ,AD$1,0)*$D190,0),IFERROR(VLOOKUP($E:$E,Structure!$A:$AJ,AD$1,0)*$F190,0),IFERROR(VLOOKUP($G:$G,Structure!$A:$AJ,AD$1,0)*$H190,0))</f>
        <v>0</v>
      </c>
      <c r="AE190" s="9">
        <f>SUM(IFERROR(VLOOKUP($C:$C,Structure!$A:$AJ,AE$1,0)*$D190,0),IFERROR(VLOOKUP($E:$E,Structure!$A:$AJ,AE$1,0)*$F190,0),IFERROR(VLOOKUP($G:$G,Structure!$A:$AJ,AE$1,0)*$H190,0))</f>
        <v>0</v>
      </c>
      <c r="AF190" s="9">
        <f>SUM(IFERROR(VLOOKUP($C:$C,Structure!$A:$AJ,AF$1,0)*$D190,0),IFERROR(VLOOKUP($E:$E,Structure!$A:$AJ,AF$1,0)*$F190,0),IFERROR(VLOOKUP($G:$G,Structure!$A:$AJ,AF$1,0)*$H190,0))</f>
        <v>0</v>
      </c>
      <c r="AG190" s="9">
        <f>SUM(IFERROR(VLOOKUP($C:$C,Structure!$A:$AJ,AG$1,0)*$D190,0),IFERROR(VLOOKUP($E:$E,Structure!$A:$AJ,AG$1,0)*$F190,0),IFERROR(VLOOKUP($G:$G,Structure!$A:$AJ,AG$1,0)*$H190,0))</f>
        <v>0</v>
      </c>
      <c r="AH190" s="9">
        <f>SUM(IFERROR(VLOOKUP($C:$C,Structure!$A:$AJ,AH$1,0)*$D190,0),IFERROR(VLOOKUP($E:$E,Structure!$A:$AJ,AH$1,0)*$F190,0),IFERROR(VLOOKUP($G:$G,Structure!$A:$AJ,AH$1,0)*$H190,0))</f>
        <v>0</v>
      </c>
      <c r="AI190" s="9">
        <f>SUM(IFERROR(VLOOKUP($C:$C,Structure!$A:$AJ,AI$1,0)*$D190,0),IFERROR(VLOOKUP($E:$E,Structure!$A:$AJ,AI$1,0)*$F190,0),IFERROR(VLOOKUP($G:$G,Structure!$A:$AJ,AI$1,0)*$H190,0))</f>
        <v>0</v>
      </c>
      <c r="AJ190" s="9">
        <f>SUM(IFERROR(VLOOKUP($C:$C,Structure!$A:$AJ,AJ$1,0)*$D190,0),IFERROR(VLOOKUP($E:$E,Structure!$A:$AJ,AJ$1,0)*$F190,0),IFERROR(VLOOKUP($G:$G,Structure!$A:$AJ,AJ$1,0)*$H190,0))</f>
        <v>0</v>
      </c>
      <c r="AK190" s="9">
        <f>SUM(IFERROR(VLOOKUP($C:$C,Structure!$A:$AJ,AK$1,0)*$D190,0),IFERROR(VLOOKUP($E:$E,Structure!$A:$AJ,AK$1,0)*$F190,0),IFERROR(VLOOKUP($G:$G,Structure!$A:$AJ,AK$1,0)*$H190,0))</f>
        <v>0</v>
      </c>
      <c r="AL190" s="9">
        <f>SUM(IFERROR(VLOOKUP($C:$C,Structure!$A:$AJ,AL$1,0)*$D190,0),IFERROR(VLOOKUP($E:$E,Structure!$A:$AJ,AL$1,0)*$F190,0),IFERROR(VLOOKUP($G:$G,Structure!$A:$AJ,AL$1,0)*$H190,0))</f>
        <v>0</v>
      </c>
      <c r="AM190" s="9">
        <f>SUM(IFERROR(VLOOKUP($C:$C,Structure!$A:$AJ,AM$1,0)*$D190,0),IFERROR(VLOOKUP($E:$E,Structure!$A:$AJ,AM$1,0)*$F190,0),IFERROR(VLOOKUP($G:$G,Structure!$A:$AJ,AM$1,0)*$H190,0))</f>
        <v>0</v>
      </c>
      <c r="AN190" s="9">
        <f>SUM(IFERROR(VLOOKUP($C:$C,Structure!$A:$AJ,AN$1,0)*$D190,0),IFERROR(VLOOKUP($E:$E,Structure!$A:$AJ,AN$1,0)*$F190,0),IFERROR(VLOOKUP($G:$G,Structure!$A:$AJ,AN$1,0)*$H190,0))</f>
        <v>0</v>
      </c>
      <c r="AO190" s="9">
        <f>SUM(IFERROR(VLOOKUP($C:$C,Structure!$A:$AJ,AO$1,0)*$D190,0),IFERROR(VLOOKUP($E:$E,Structure!$A:$AJ,AO$1,0)*$F190,0),IFERROR(VLOOKUP($G:$G,Structure!$A:$AJ,AO$1,0)*$H190,0))</f>
        <v>0</v>
      </c>
      <c r="AP190" s="9">
        <f>SUM(IFERROR(VLOOKUP($C:$C,Structure!$A:$AJ,AP$1,0)*$D190,0),IFERROR(VLOOKUP($E:$E,Structure!$A:$AJ,AP$1,0)*$F190,0),IFERROR(VLOOKUP($G:$G,Structure!$A:$AJ,AP$1,0)*$H190,0))</f>
        <v>0</v>
      </c>
      <c r="AQ190" s="9">
        <f>SUM(IFERROR(VLOOKUP($C:$C,Structure!$A:$AJ,AQ$1,0)*$D190,0),IFERROR(VLOOKUP($E:$E,Structure!$A:$AJ,AQ$1,0)*$F190,0),IFERROR(VLOOKUP($G:$G,Structure!$A:$AJ,AQ$1,0)*$H190,0))</f>
        <v>0</v>
      </c>
      <c r="AR190" s="21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4">
        <f t="shared" si="232"/>
        <v>0</v>
      </c>
      <c r="CE190" s="4">
        <f t="shared" si="233"/>
        <v>-92</v>
      </c>
      <c r="CF190" s="4">
        <f t="shared" si="234"/>
        <v>4</v>
      </c>
      <c r="CG190" s="4">
        <f t="shared" si="235"/>
        <v>14</v>
      </c>
      <c r="CH190" s="4">
        <f t="shared" si="236"/>
        <v>-7</v>
      </c>
      <c r="CI190" s="4">
        <f t="shared" si="237"/>
        <v>127</v>
      </c>
      <c r="CJ190" s="4">
        <f t="shared" si="238"/>
        <v>-141</v>
      </c>
      <c r="CK190" s="4">
        <f t="shared" si="239"/>
        <v>87</v>
      </c>
      <c r="CL190" s="4">
        <f t="shared" si="240"/>
        <v>0</v>
      </c>
      <c r="CM190" s="4">
        <f t="shared" si="241"/>
        <v>6</v>
      </c>
      <c r="CN190" s="4">
        <f t="shared" si="242"/>
        <v>-28</v>
      </c>
      <c r="CO190" s="4">
        <f t="shared" si="243"/>
        <v>0</v>
      </c>
      <c r="CP190" s="4">
        <f t="shared" si="244"/>
        <v>67</v>
      </c>
      <c r="CQ190" s="4">
        <f t="shared" si="245"/>
        <v>-550</v>
      </c>
      <c r="CR190" s="4">
        <f t="shared" si="246"/>
        <v>15</v>
      </c>
      <c r="CS190" s="4">
        <f t="shared" si="247"/>
        <v>-24</v>
      </c>
      <c r="CT190" s="4">
        <f t="shared" si="248"/>
        <v>0</v>
      </c>
      <c r="CU190" s="4">
        <f t="shared" si="249"/>
        <v>0</v>
      </c>
      <c r="CV190" s="4">
        <f t="shared" si="250"/>
        <v>0</v>
      </c>
      <c r="CW190" s="4">
        <f t="shared" si="251"/>
        <v>0</v>
      </c>
      <c r="CX190" s="4">
        <f t="shared" si="252"/>
        <v>-543</v>
      </c>
      <c r="CY190" s="4">
        <f t="shared" si="253"/>
        <v>0</v>
      </c>
      <c r="CZ190" s="4">
        <f t="shared" si="254"/>
        <v>0</v>
      </c>
      <c r="DA190" s="4">
        <f t="shared" si="255"/>
        <v>0</v>
      </c>
      <c r="DB190" s="4">
        <f t="shared" si="256"/>
        <v>0</v>
      </c>
      <c r="DC190" s="4">
        <f t="shared" si="257"/>
        <v>0</v>
      </c>
      <c r="DD190" s="4">
        <f t="shared" si="258"/>
        <v>0</v>
      </c>
      <c r="DE190" s="4">
        <f t="shared" si="259"/>
        <v>0</v>
      </c>
      <c r="DF190" s="4">
        <f t="shared" si="260"/>
        <v>0</v>
      </c>
      <c r="DG190" s="4">
        <f t="shared" si="261"/>
        <v>0</v>
      </c>
      <c r="DH190" s="4">
        <f t="shared" si="262"/>
        <v>0</v>
      </c>
      <c r="DI190" s="4">
        <f t="shared" si="263"/>
        <v>0</v>
      </c>
      <c r="DJ190" s="4">
        <f t="shared" si="264"/>
        <v>0</v>
      </c>
      <c r="DK190" s="4">
        <f t="shared" si="265"/>
        <v>0</v>
      </c>
      <c r="DL190" s="4">
        <f t="shared" si="266"/>
        <v>0</v>
      </c>
    </row>
    <row r="191" spans="1:116" x14ac:dyDescent="0.25">
      <c r="A191" s="5">
        <v>46187</v>
      </c>
      <c r="B191" s="6">
        <v>0.22916666712262668</v>
      </c>
      <c r="C191" s="3"/>
      <c r="D191" s="3"/>
      <c r="E191" s="3" t="s">
        <v>38</v>
      </c>
      <c r="F191" s="3">
        <v>8</v>
      </c>
      <c r="G191" s="3"/>
      <c r="H191" s="9"/>
      <c r="I191" s="9">
        <f>SUM(IFERROR(VLOOKUP($C:$C,Structure!$A:$AJ,I$1,0)*$D191,0),IFERROR(VLOOKUP($E:$E,Structure!$A:$AJ,I$1,0)*$F191,0),IFERROR(VLOOKUP($G:$G,Structure!$A:$AJ,I$1,0)*$H191,0))</f>
        <v>0</v>
      </c>
      <c r="J191" s="9">
        <f>SUM(IFERROR(VLOOKUP($C:$C,Structure!$A:$AJ,J$1,0)*$D191,0),IFERROR(VLOOKUP($E:$E,Structure!$A:$AJ,J$1,0)*$F191,0),IFERROR(VLOOKUP($G:$G,Structure!$A:$AJ,J$1,0)*$H191,0))</f>
        <v>8</v>
      </c>
      <c r="K191" s="9">
        <f>SUM(IFERROR(VLOOKUP($C:$C,Structure!$A:$AJ,K$1,0)*$D191,0),IFERROR(VLOOKUP($E:$E,Structure!$A:$AJ,K$1,0)*$F191,0),IFERROR(VLOOKUP($G:$G,Structure!$A:$AJ,K$1,0)*$H191,0))</f>
        <v>0</v>
      </c>
      <c r="L191" s="9">
        <f>SUM(IFERROR(VLOOKUP($C:$C,Structure!$A:$AJ,L$1,0)*$D191,0),IFERROR(VLOOKUP($E:$E,Structure!$A:$AJ,L$1,0)*$F191,0),IFERROR(VLOOKUP($G:$G,Structure!$A:$AJ,L$1,0)*$H191,0))</f>
        <v>0</v>
      </c>
      <c r="M191" s="9">
        <f>SUM(IFERROR(VLOOKUP($C:$C,Structure!$A:$AJ,M$1,0)*$D191,0),IFERROR(VLOOKUP($E:$E,Structure!$A:$AJ,M$1,0)*$F191,0),IFERROR(VLOOKUP($G:$G,Structure!$A:$AJ,M$1,0)*$H191,0))</f>
        <v>0</v>
      </c>
      <c r="N191" s="9">
        <f>SUM(IFERROR(VLOOKUP($C:$C,Structure!$A:$AJ,N$1,0)*$D191,0),IFERROR(VLOOKUP($E:$E,Structure!$A:$AJ,N$1,0)*$F191,0),IFERROR(VLOOKUP($G:$G,Structure!$A:$AJ,N$1,0)*$H191,0))</f>
        <v>0</v>
      </c>
      <c r="O191" s="9">
        <f>SUM(IFERROR(VLOOKUP($C:$C,Structure!$A:$AJ,O$1,0)*$D191,0),IFERROR(VLOOKUP($E:$E,Structure!$A:$AJ,O$1,0)*$F191,0),IFERROR(VLOOKUP($G:$G,Structure!$A:$AJ,O$1,0)*$H191,0))</f>
        <v>0</v>
      </c>
      <c r="P191" s="9">
        <f>SUM(IFERROR(VLOOKUP($C:$C,Structure!$A:$AJ,P$1,0)*$D191,0),IFERROR(VLOOKUP($E:$E,Structure!$A:$AJ,P$1,0)*$F191,0),IFERROR(VLOOKUP($G:$G,Structure!$A:$AJ,P$1,0)*$H191,0))</f>
        <v>8</v>
      </c>
      <c r="Q191" s="9">
        <f>SUM(IFERROR(VLOOKUP($C:$C,Structure!$A:$AJ,Q$1,0)*$D191,0),IFERROR(VLOOKUP($E:$E,Structure!$A:$AJ,Q$1,0)*$F191,0),IFERROR(VLOOKUP($G:$G,Structure!$A:$AJ,Q$1,0)*$H191,0))</f>
        <v>0</v>
      </c>
      <c r="R191" s="9">
        <f>SUM(IFERROR(VLOOKUP($C:$C,Structure!$A:$AJ,R$1,0)*$D191,0),IFERROR(VLOOKUP($E:$E,Structure!$A:$AJ,R$1,0)*$F191,0),IFERROR(VLOOKUP($G:$G,Structure!$A:$AJ,R$1,0)*$H191,0))</f>
        <v>0</v>
      </c>
      <c r="S191" s="9">
        <f>SUM(IFERROR(VLOOKUP($C:$C,Structure!$A:$AJ,S$1,0)*$D191,0),IFERROR(VLOOKUP($E:$E,Structure!$A:$AJ,S$1,0)*$F191,0),IFERROR(VLOOKUP($G:$G,Structure!$A:$AJ,S$1,0)*$H191,0))</f>
        <v>0</v>
      </c>
      <c r="T191" s="9">
        <f>SUM(IFERROR(VLOOKUP($C:$C,Structure!$A:$AJ,T$1,0)*$D191,0),IFERROR(VLOOKUP($E:$E,Structure!$A:$AJ,T$1,0)*$F191,0),IFERROR(VLOOKUP($G:$G,Structure!$A:$AJ,T$1,0)*$H191,0))</f>
        <v>0</v>
      </c>
      <c r="U191" s="9">
        <f>SUM(IFERROR(VLOOKUP($C:$C,Structure!$A:$AJ,U$1,0)*$D191,0),IFERROR(VLOOKUP($E:$E,Structure!$A:$AJ,U$1,0)*$F191,0),IFERROR(VLOOKUP($G:$G,Structure!$A:$AJ,U$1,0)*$H191,0))</f>
        <v>0</v>
      </c>
      <c r="V191" s="9">
        <f>SUM(IFERROR(VLOOKUP($C:$C,Structure!$A:$AJ,V$1,0)*$D191,0),IFERROR(VLOOKUP($E:$E,Structure!$A:$AJ,V$1,0)*$F191,0),IFERROR(VLOOKUP($G:$G,Structure!$A:$AJ,V$1,0)*$H191,0))</f>
        <v>0</v>
      </c>
      <c r="W191" s="9">
        <f>SUM(IFERROR(VLOOKUP($C:$C,Structure!$A:$AJ,W$1,0)*$D191,0),IFERROR(VLOOKUP($E:$E,Structure!$A:$AJ,W$1,0)*$F191,0),IFERROR(VLOOKUP($G:$G,Structure!$A:$AJ,W$1,0)*$H191,0))</f>
        <v>0</v>
      </c>
      <c r="X191" s="9">
        <f>SUM(IFERROR(VLOOKUP($C:$C,Structure!$A:$AJ,X$1,0)*$D191,0),IFERROR(VLOOKUP($E:$E,Structure!$A:$AJ,X$1,0)*$F191,0),IFERROR(VLOOKUP($G:$G,Structure!$A:$AJ,X$1,0)*$H191,0))</f>
        <v>0</v>
      </c>
      <c r="Y191" s="9">
        <f>SUM(IFERROR(VLOOKUP($C:$C,Structure!$A:$AJ,Y$1,0)*$D191,0),IFERROR(VLOOKUP($E:$E,Structure!$A:$AJ,Y$1,0)*$F191,0),IFERROR(VLOOKUP($G:$G,Structure!$A:$AJ,Y$1,0)*$H191,0))</f>
        <v>0</v>
      </c>
      <c r="Z191" s="9">
        <f>SUM(IFERROR(VLOOKUP($C:$C,Structure!$A:$AJ,Z$1,0)*$D191,0),IFERROR(VLOOKUP($E:$E,Structure!$A:$AJ,Z$1,0)*$F191,0),IFERROR(VLOOKUP($G:$G,Structure!$A:$AJ,Z$1,0)*$H191,0))</f>
        <v>0</v>
      </c>
      <c r="AA191" s="9">
        <f>SUM(IFERROR(VLOOKUP($C:$C,Structure!$A:$AJ,AA$1,0)*$D191,0),IFERROR(VLOOKUP($E:$E,Structure!$A:$AJ,AA$1,0)*$F191,0),IFERROR(VLOOKUP($G:$G,Structure!$A:$AJ,AA$1,0)*$H191,0))</f>
        <v>0</v>
      </c>
      <c r="AB191" s="9">
        <f>SUM(IFERROR(VLOOKUP($C:$C,Structure!$A:$AJ,AB$1,0)*$D191,0),IFERROR(VLOOKUP($E:$E,Structure!$A:$AJ,AB$1,0)*$F191,0),IFERROR(VLOOKUP($G:$G,Structure!$A:$AJ,AB$1,0)*$H191,0))</f>
        <v>0</v>
      </c>
      <c r="AC191" s="9">
        <f>SUM(IFERROR(VLOOKUP($C:$C,Structure!$A:$AJ,AC$1,0)*$D191,0),IFERROR(VLOOKUP($E:$E,Structure!$A:$AJ,AC$1,0)*$F191,0),IFERROR(VLOOKUP($G:$G,Structure!$A:$AJ,AC$1,0)*$H191,0))</f>
        <v>0</v>
      </c>
      <c r="AD191" s="9">
        <f>SUM(IFERROR(VLOOKUP($C:$C,Structure!$A:$AJ,AD$1,0)*$D191,0),IFERROR(VLOOKUP($E:$E,Structure!$A:$AJ,AD$1,0)*$F191,0),IFERROR(VLOOKUP($G:$G,Structure!$A:$AJ,AD$1,0)*$H191,0))</f>
        <v>0</v>
      </c>
      <c r="AE191" s="9">
        <f>SUM(IFERROR(VLOOKUP($C:$C,Structure!$A:$AJ,AE$1,0)*$D191,0),IFERROR(VLOOKUP($E:$E,Structure!$A:$AJ,AE$1,0)*$F191,0),IFERROR(VLOOKUP($G:$G,Structure!$A:$AJ,AE$1,0)*$H191,0))</f>
        <v>0</v>
      </c>
      <c r="AF191" s="9">
        <f>SUM(IFERROR(VLOOKUP($C:$C,Structure!$A:$AJ,AF$1,0)*$D191,0),IFERROR(VLOOKUP($E:$E,Structure!$A:$AJ,AF$1,0)*$F191,0),IFERROR(VLOOKUP($G:$G,Structure!$A:$AJ,AF$1,0)*$H191,0))</f>
        <v>0</v>
      </c>
      <c r="AG191" s="9">
        <f>SUM(IFERROR(VLOOKUP($C:$C,Structure!$A:$AJ,AG$1,0)*$D191,0),IFERROR(VLOOKUP($E:$E,Structure!$A:$AJ,AG$1,0)*$F191,0),IFERROR(VLOOKUP($G:$G,Structure!$A:$AJ,AG$1,0)*$H191,0))</f>
        <v>0</v>
      </c>
      <c r="AH191" s="9">
        <f>SUM(IFERROR(VLOOKUP($C:$C,Structure!$A:$AJ,AH$1,0)*$D191,0),IFERROR(VLOOKUP($E:$E,Structure!$A:$AJ,AH$1,0)*$F191,0),IFERROR(VLOOKUP($G:$G,Structure!$A:$AJ,AH$1,0)*$H191,0))</f>
        <v>0</v>
      </c>
      <c r="AI191" s="9">
        <f>SUM(IFERROR(VLOOKUP($C:$C,Structure!$A:$AJ,AI$1,0)*$D191,0),IFERROR(VLOOKUP($E:$E,Structure!$A:$AJ,AI$1,0)*$F191,0),IFERROR(VLOOKUP($G:$G,Structure!$A:$AJ,AI$1,0)*$H191,0))</f>
        <v>0</v>
      </c>
      <c r="AJ191" s="9">
        <f>SUM(IFERROR(VLOOKUP($C:$C,Structure!$A:$AJ,AJ$1,0)*$D191,0),IFERROR(VLOOKUP($E:$E,Structure!$A:$AJ,AJ$1,0)*$F191,0),IFERROR(VLOOKUP($G:$G,Structure!$A:$AJ,AJ$1,0)*$H191,0))</f>
        <v>0</v>
      </c>
      <c r="AK191" s="9">
        <f>SUM(IFERROR(VLOOKUP($C:$C,Structure!$A:$AJ,AK$1,0)*$D191,0),IFERROR(VLOOKUP($E:$E,Structure!$A:$AJ,AK$1,0)*$F191,0),IFERROR(VLOOKUP($G:$G,Structure!$A:$AJ,AK$1,0)*$H191,0))</f>
        <v>0</v>
      </c>
      <c r="AL191" s="9">
        <f>SUM(IFERROR(VLOOKUP($C:$C,Structure!$A:$AJ,AL$1,0)*$D191,0),IFERROR(VLOOKUP($E:$E,Structure!$A:$AJ,AL$1,0)*$F191,0),IFERROR(VLOOKUP($G:$G,Structure!$A:$AJ,AL$1,0)*$H191,0))</f>
        <v>0</v>
      </c>
      <c r="AM191" s="9">
        <f>SUM(IFERROR(VLOOKUP($C:$C,Structure!$A:$AJ,AM$1,0)*$D191,0),IFERROR(VLOOKUP($E:$E,Structure!$A:$AJ,AM$1,0)*$F191,0),IFERROR(VLOOKUP($G:$G,Structure!$A:$AJ,AM$1,0)*$H191,0))</f>
        <v>0</v>
      </c>
      <c r="AN191" s="9">
        <f>SUM(IFERROR(VLOOKUP($C:$C,Structure!$A:$AJ,AN$1,0)*$D191,0),IFERROR(VLOOKUP($E:$E,Structure!$A:$AJ,AN$1,0)*$F191,0),IFERROR(VLOOKUP($G:$G,Structure!$A:$AJ,AN$1,0)*$H191,0))</f>
        <v>0</v>
      </c>
      <c r="AO191" s="9">
        <f>SUM(IFERROR(VLOOKUP($C:$C,Structure!$A:$AJ,AO$1,0)*$D191,0),IFERROR(VLOOKUP($E:$E,Structure!$A:$AJ,AO$1,0)*$F191,0),IFERROR(VLOOKUP($G:$G,Structure!$A:$AJ,AO$1,0)*$H191,0))</f>
        <v>0</v>
      </c>
      <c r="AP191" s="9">
        <f>SUM(IFERROR(VLOOKUP($C:$C,Structure!$A:$AJ,AP$1,0)*$D191,0),IFERROR(VLOOKUP($E:$E,Structure!$A:$AJ,AP$1,0)*$F191,0),IFERROR(VLOOKUP($G:$G,Structure!$A:$AJ,AP$1,0)*$H191,0))</f>
        <v>0</v>
      </c>
      <c r="AQ191" s="9">
        <f>SUM(IFERROR(VLOOKUP($C:$C,Structure!$A:$AJ,AQ$1,0)*$D191,0),IFERROR(VLOOKUP($E:$E,Structure!$A:$AJ,AQ$1,0)*$F191,0),IFERROR(VLOOKUP($G:$G,Structure!$A:$AJ,AQ$1,0)*$H191,0))</f>
        <v>0</v>
      </c>
      <c r="AR191" s="21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4">
        <f t="shared" si="232"/>
        <v>0</v>
      </c>
      <c r="CE191" s="4">
        <f t="shared" si="233"/>
        <v>-100</v>
      </c>
      <c r="CF191" s="4">
        <f t="shared" si="234"/>
        <v>4</v>
      </c>
      <c r="CG191" s="4">
        <f t="shared" si="235"/>
        <v>14</v>
      </c>
      <c r="CH191" s="4">
        <f t="shared" si="236"/>
        <v>-7</v>
      </c>
      <c r="CI191" s="4">
        <f t="shared" si="237"/>
        <v>127</v>
      </c>
      <c r="CJ191" s="4">
        <f t="shared" si="238"/>
        <v>-141</v>
      </c>
      <c r="CK191" s="4">
        <f t="shared" si="239"/>
        <v>79</v>
      </c>
      <c r="CL191" s="4">
        <f t="shared" si="240"/>
        <v>0</v>
      </c>
      <c r="CM191" s="4">
        <f t="shared" si="241"/>
        <v>6</v>
      </c>
      <c r="CN191" s="4">
        <f t="shared" si="242"/>
        <v>-28</v>
      </c>
      <c r="CO191" s="4">
        <f t="shared" si="243"/>
        <v>0</v>
      </c>
      <c r="CP191" s="4">
        <f t="shared" si="244"/>
        <v>67</v>
      </c>
      <c r="CQ191" s="4">
        <f t="shared" si="245"/>
        <v>-550</v>
      </c>
      <c r="CR191" s="4">
        <f t="shared" si="246"/>
        <v>15</v>
      </c>
      <c r="CS191" s="4">
        <f t="shared" si="247"/>
        <v>-24</v>
      </c>
      <c r="CT191" s="4">
        <f t="shared" si="248"/>
        <v>0</v>
      </c>
      <c r="CU191" s="4">
        <f t="shared" si="249"/>
        <v>0</v>
      </c>
      <c r="CV191" s="4">
        <f t="shared" si="250"/>
        <v>0</v>
      </c>
      <c r="CW191" s="4">
        <f t="shared" si="251"/>
        <v>0</v>
      </c>
      <c r="CX191" s="4">
        <f t="shared" si="252"/>
        <v>-543</v>
      </c>
      <c r="CY191" s="4">
        <f t="shared" si="253"/>
        <v>0</v>
      </c>
      <c r="CZ191" s="4">
        <f t="shared" si="254"/>
        <v>0</v>
      </c>
      <c r="DA191" s="4">
        <f t="shared" si="255"/>
        <v>0</v>
      </c>
      <c r="DB191" s="4">
        <f t="shared" si="256"/>
        <v>0</v>
      </c>
      <c r="DC191" s="4">
        <f t="shared" si="257"/>
        <v>0</v>
      </c>
      <c r="DD191" s="4">
        <f t="shared" si="258"/>
        <v>0</v>
      </c>
      <c r="DE191" s="4">
        <f t="shared" si="259"/>
        <v>0</v>
      </c>
      <c r="DF191" s="4">
        <f t="shared" si="260"/>
        <v>0</v>
      </c>
      <c r="DG191" s="4">
        <f t="shared" si="261"/>
        <v>0</v>
      </c>
      <c r="DH191" s="4">
        <f t="shared" si="262"/>
        <v>0</v>
      </c>
      <c r="DI191" s="4">
        <f t="shared" si="263"/>
        <v>0</v>
      </c>
      <c r="DJ191" s="4">
        <f t="shared" si="264"/>
        <v>0</v>
      </c>
      <c r="DK191" s="4">
        <f t="shared" si="265"/>
        <v>0</v>
      </c>
      <c r="DL191" s="4">
        <f t="shared" si="266"/>
        <v>0</v>
      </c>
    </row>
    <row r="192" spans="1:116" x14ac:dyDescent="0.25">
      <c r="A192" s="5">
        <v>46187</v>
      </c>
      <c r="B192" s="6">
        <v>0.25000000045838533</v>
      </c>
      <c r="C192" s="3"/>
      <c r="D192" s="3"/>
      <c r="E192" s="3" t="s">
        <v>38</v>
      </c>
      <c r="F192" s="3">
        <v>8</v>
      </c>
      <c r="G192" s="3"/>
      <c r="H192" s="9"/>
      <c r="I192" s="9">
        <f>SUM(IFERROR(VLOOKUP($C:$C,Structure!$A:$AJ,I$1,0)*$D192,0),IFERROR(VLOOKUP($E:$E,Structure!$A:$AJ,I$1,0)*$F192,0),IFERROR(VLOOKUP($G:$G,Structure!$A:$AJ,I$1,0)*$H192,0))</f>
        <v>0</v>
      </c>
      <c r="J192" s="9">
        <f>SUM(IFERROR(VLOOKUP($C:$C,Structure!$A:$AJ,J$1,0)*$D192,0),IFERROR(VLOOKUP($E:$E,Structure!$A:$AJ,J$1,0)*$F192,0),IFERROR(VLOOKUP($G:$G,Structure!$A:$AJ,J$1,0)*$H192,0))</f>
        <v>8</v>
      </c>
      <c r="K192" s="9">
        <f>SUM(IFERROR(VLOOKUP($C:$C,Structure!$A:$AJ,K$1,0)*$D192,0),IFERROR(VLOOKUP($E:$E,Structure!$A:$AJ,K$1,0)*$F192,0),IFERROR(VLOOKUP($G:$G,Structure!$A:$AJ,K$1,0)*$H192,0))</f>
        <v>0</v>
      </c>
      <c r="L192" s="9">
        <f>SUM(IFERROR(VLOOKUP($C:$C,Structure!$A:$AJ,L$1,0)*$D192,0),IFERROR(VLOOKUP($E:$E,Structure!$A:$AJ,L$1,0)*$F192,0),IFERROR(VLOOKUP($G:$G,Structure!$A:$AJ,L$1,0)*$H192,0))</f>
        <v>0</v>
      </c>
      <c r="M192" s="9">
        <f>SUM(IFERROR(VLOOKUP($C:$C,Structure!$A:$AJ,M$1,0)*$D192,0),IFERROR(VLOOKUP($E:$E,Structure!$A:$AJ,M$1,0)*$F192,0),IFERROR(VLOOKUP($G:$G,Structure!$A:$AJ,M$1,0)*$H192,0))</f>
        <v>0</v>
      </c>
      <c r="N192" s="9">
        <f>SUM(IFERROR(VLOOKUP($C:$C,Structure!$A:$AJ,N$1,0)*$D192,0),IFERROR(VLOOKUP($E:$E,Structure!$A:$AJ,N$1,0)*$F192,0),IFERROR(VLOOKUP($G:$G,Structure!$A:$AJ,N$1,0)*$H192,0))</f>
        <v>0</v>
      </c>
      <c r="O192" s="9">
        <f>SUM(IFERROR(VLOOKUP($C:$C,Structure!$A:$AJ,O$1,0)*$D192,0),IFERROR(VLOOKUP($E:$E,Structure!$A:$AJ,O$1,0)*$F192,0),IFERROR(VLOOKUP($G:$G,Structure!$A:$AJ,O$1,0)*$H192,0))</f>
        <v>0</v>
      </c>
      <c r="P192" s="9">
        <f>SUM(IFERROR(VLOOKUP($C:$C,Structure!$A:$AJ,P$1,0)*$D192,0),IFERROR(VLOOKUP($E:$E,Structure!$A:$AJ,P$1,0)*$F192,0),IFERROR(VLOOKUP($G:$G,Structure!$A:$AJ,P$1,0)*$H192,0))</f>
        <v>8</v>
      </c>
      <c r="Q192" s="9">
        <f>SUM(IFERROR(VLOOKUP($C:$C,Structure!$A:$AJ,Q$1,0)*$D192,0),IFERROR(VLOOKUP($E:$E,Structure!$A:$AJ,Q$1,0)*$F192,0),IFERROR(VLOOKUP($G:$G,Structure!$A:$AJ,Q$1,0)*$H192,0))</f>
        <v>0</v>
      </c>
      <c r="R192" s="9">
        <f>SUM(IFERROR(VLOOKUP($C:$C,Structure!$A:$AJ,R$1,0)*$D192,0),IFERROR(VLOOKUP($E:$E,Structure!$A:$AJ,R$1,0)*$F192,0),IFERROR(VLOOKUP($G:$G,Structure!$A:$AJ,R$1,0)*$H192,0))</f>
        <v>0</v>
      </c>
      <c r="S192" s="9">
        <f>SUM(IFERROR(VLOOKUP($C:$C,Structure!$A:$AJ,S$1,0)*$D192,0),IFERROR(VLOOKUP($E:$E,Structure!$A:$AJ,S$1,0)*$F192,0),IFERROR(VLOOKUP($G:$G,Structure!$A:$AJ,S$1,0)*$H192,0))</f>
        <v>0</v>
      </c>
      <c r="T192" s="9">
        <f>SUM(IFERROR(VLOOKUP($C:$C,Structure!$A:$AJ,T$1,0)*$D192,0),IFERROR(VLOOKUP($E:$E,Structure!$A:$AJ,T$1,0)*$F192,0),IFERROR(VLOOKUP($G:$G,Structure!$A:$AJ,T$1,0)*$H192,0))</f>
        <v>0</v>
      </c>
      <c r="U192" s="9">
        <f>SUM(IFERROR(VLOOKUP($C:$C,Structure!$A:$AJ,U$1,0)*$D192,0),IFERROR(VLOOKUP($E:$E,Structure!$A:$AJ,U$1,0)*$F192,0),IFERROR(VLOOKUP($G:$G,Structure!$A:$AJ,U$1,0)*$H192,0))</f>
        <v>0</v>
      </c>
      <c r="V192" s="9">
        <f>SUM(IFERROR(VLOOKUP($C:$C,Structure!$A:$AJ,V$1,0)*$D192,0),IFERROR(VLOOKUP($E:$E,Structure!$A:$AJ,V$1,0)*$F192,0),IFERROR(VLOOKUP($G:$G,Structure!$A:$AJ,V$1,0)*$H192,0))</f>
        <v>0</v>
      </c>
      <c r="W192" s="9">
        <f>SUM(IFERROR(VLOOKUP($C:$C,Structure!$A:$AJ,W$1,0)*$D192,0),IFERROR(VLOOKUP($E:$E,Structure!$A:$AJ,W$1,0)*$F192,0),IFERROR(VLOOKUP($G:$G,Structure!$A:$AJ,W$1,0)*$H192,0))</f>
        <v>0</v>
      </c>
      <c r="X192" s="9">
        <f>SUM(IFERROR(VLOOKUP($C:$C,Structure!$A:$AJ,X$1,0)*$D192,0),IFERROR(VLOOKUP($E:$E,Structure!$A:$AJ,X$1,0)*$F192,0),IFERROR(VLOOKUP($G:$G,Structure!$A:$AJ,X$1,0)*$H192,0))</f>
        <v>0</v>
      </c>
      <c r="Y192" s="9">
        <f>SUM(IFERROR(VLOOKUP($C:$C,Structure!$A:$AJ,Y$1,0)*$D192,0),IFERROR(VLOOKUP($E:$E,Structure!$A:$AJ,Y$1,0)*$F192,0),IFERROR(VLOOKUP($G:$G,Structure!$A:$AJ,Y$1,0)*$H192,0))</f>
        <v>0</v>
      </c>
      <c r="Z192" s="9">
        <f>SUM(IFERROR(VLOOKUP($C:$C,Structure!$A:$AJ,Z$1,0)*$D192,0),IFERROR(VLOOKUP($E:$E,Structure!$A:$AJ,Z$1,0)*$F192,0),IFERROR(VLOOKUP($G:$G,Structure!$A:$AJ,Z$1,0)*$H192,0))</f>
        <v>0</v>
      </c>
      <c r="AA192" s="9">
        <f>SUM(IFERROR(VLOOKUP($C:$C,Structure!$A:$AJ,AA$1,0)*$D192,0),IFERROR(VLOOKUP($E:$E,Structure!$A:$AJ,AA$1,0)*$F192,0),IFERROR(VLOOKUP($G:$G,Structure!$A:$AJ,AA$1,0)*$H192,0))</f>
        <v>0</v>
      </c>
      <c r="AB192" s="9">
        <f>SUM(IFERROR(VLOOKUP($C:$C,Structure!$A:$AJ,AB$1,0)*$D192,0),IFERROR(VLOOKUP($E:$E,Structure!$A:$AJ,AB$1,0)*$F192,0),IFERROR(VLOOKUP($G:$G,Structure!$A:$AJ,AB$1,0)*$H192,0))</f>
        <v>0</v>
      </c>
      <c r="AC192" s="9">
        <f>SUM(IFERROR(VLOOKUP($C:$C,Structure!$A:$AJ,AC$1,0)*$D192,0),IFERROR(VLOOKUP($E:$E,Structure!$A:$AJ,AC$1,0)*$F192,0),IFERROR(VLOOKUP($G:$G,Structure!$A:$AJ,AC$1,0)*$H192,0))</f>
        <v>0</v>
      </c>
      <c r="AD192" s="9">
        <f>SUM(IFERROR(VLOOKUP($C:$C,Structure!$A:$AJ,AD$1,0)*$D192,0),IFERROR(VLOOKUP($E:$E,Structure!$A:$AJ,AD$1,0)*$F192,0),IFERROR(VLOOKUP($G:$G,Structure!$A:$AJ,AD$1,0)*$H192,0))</f>
        <v>0</v>
      </c>
      <c r="AE192" s="9">
        <f>SUM(IFERROR(VLOOKUP($C:$C,Structure!$A:$AJ,AE$1,0)*$D192,0),IFERROR(VLOOKUP($E:$E,Structure!$A:$AJ,AE$1,0)*$F192,0),IFERROR(VLOOKUP($G:$G,Structure!$A:$AJ,AE$1,0)*$H192,0))</f>
        <v>0</v>
      </c>
      <c r="AF192" s="9">
        <f>SUM(IFERROR(VLOOKUP($C:$C,Structure!$A:$AJ,AF$1,0)*$D192,0),IFERROR(VLOOKUP($E:$E,Structure!$A:$AJ,AF$1,0)*$F192,0),IFERROR(VLOOKUP($G:$G,Structure!$A:$AJ,AF$1,0)*$H192,0))</f>
        <v>0</v>
      </c>
      <c r="AG192" s="9">
        <f>SUM(IFERROR(VLOOKUP($C:$C,Structure!$A:$AJ,AG$1,0)*$D192,0),IFERROR(VLOOKUP($E:$E,Structure!$A:$AJ,AG$1,0)*$F192,0),IFERROR(VLOOKUP($G:$G,Structure!$A:$AJ,AG$1,0)*$H192,0))</f>
        <v>0</v>
      </c>
      <c r="AH192" s="9">
        <f>SUM(IFERROR(VLOOKUP($C:$C,Structure!$A:$AJ,AH$1,0)*$D192,0),IFERROR(VLOOKUP($E:$E,Structure!$A:$AJ,AH$1,0)*$F192,0),IFERROR(VLOOKUP($G:$G,Structure!$A:$AJ,AH$1,0)*$H192,0))</f>
        <v>0</v>
      </c>
      <c r="AI192" s="9">
        <f>SUM(IFERROR(VLOOKUP($C:$C,Structure!$A:$AJ,AI$1,0)*$D192,0),IFERROR(VLOOKUP($E:$E,Structure!$A:$AJ,AI$1,0)*$F192,0),IFERROR(VLOOKUP($G:$G,Structure!$A:$AJ,AI$1,0)*$H192,0))</f>
        <v>0</v>
      </c>
      <c r="AJ192" s="9">
        <f>SUM(IFERROR(VLOOKUP($C:$C,Structure!$A:$AJ,AJ$1,0)*$D192,0),IFERROR(VLOOKUP($E:$E,Structure!$A:$AJ,AJ$1,0)*$F192,0),IFERROR(VLOOKUP($G:$G,Structure!$A:$AJ,AJ$1,0)*$H192,0))</f>
        <v>0</v>
      </c>
      <c r="AK192" s="9">
        <f>SUM(IFERROR(VLOOKUP($C:$C,Structure!$A:$AJ,AK$1,0)*$D192,0),IFERROR(VLOOKUP($E:$E,Structure!$A:$AJ,AK$1,0)*$F192,0),IFERROR(VLOOKUP($G:$G,Structure!$A:$AJ,AK$1,0)*$H192,0))</f>
        <v>0</v>
      </c>
      <c r="AL192" s="9">
        <f>SUM(IFERROR(VLOOKUP($C:$C,Structure!$A:$AJ,AL$1,0)*$D192,0),IFERROR(VLOOKUP($E:$E,Structure!$A:$AJ,AL$1,0)*$F192,0),IFERROR(VLOOKUP($G:$G,Structure!$A:$AJ,AL$1,0)*$H192,0))</f>
        <v>0</v>
      </c>
      <c r="AM192" s="9">
        <f>SUM(IFERROR(VLOOKUP($C:$C,Structure!$A:$AJ,AM$1,0)*$D192,0),IFERROR(VLOOKUP($E:$E,Structure!$A:$AJ,AM$1,0)*$F192,0),IFERROR(VLOOKUP($G:$G,Structure!$A:$AJ,AM$1,0)*$H192,0))</f>
        <v>0</v>
      </c>
      <c r="AN192" s="9">
        <f>SUM(IFERROR(VLOOKUP($C:$C,Structure!$A:$AJ,AN$1,0)*$D192,0),IFERROR(VLOOKUP($E:$E,Structure!$A:$AJ,AN$1,0)*$F192,0),IFERROR(VLOOKUP($G:$G,Structure!$A:$AJ,AN$1,0)*$H192,0))</f>
        <v>0</v>
      </c>
      <c r="AO192" s="9">
        <f>SUM(IFERROR(VLOOKUP($C:$C,Structure!$A:$AJ,AO$1,0)*$D192,0),IFERROR(VLOOKUP($E:$E,Structure!$A:$AJ,AO$1,0)*$F192,0),IFERROR(VLOOKUP($G:$G,Structure!$A:$AJ,AO$1,0)*$H192,0))</f>
        <v>0</v>
      </c>
      <c r="AP192" s="9">
        <f>SUM(IFERROR(VLOOKUP($C:$C,Structure!$A:$AJ,AP$1,0)*$D192,0),IFERROR(VLOOKUP($E:$E,Structure!$A:$AJ,AP$1,0)*$F192,0),IFERROR(VLOOKUP($G:$G,Structure!$A:$AJ,AP$1,0)*$H192,0))</f>
        <v>0</v>
      </c>
      <c r="AQ192" s="9">
        <f>SUM(IFERROR(VLOOKUP($C:$C,Structure!$A:$AJ,AQ$1,0)*$D192,0),IFERROR(VLOOKUP($E:$E,Structure!$A:$AJ,AQ$1,0)*$F192,0),IFERROR(VLOOKUP($G:$G,Structure!$A:$AJ,AQ$1,0)*$H192,0))</f>
        <v>0</v>
      </c>
      <c r="AR192" s="21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4">
        <f t="shared" si="232"/>
        <v>0</v>
      </c>
      <c r="CE192" s="4">
        <f t="shared" si="233"/>
        <v>-108</v>
      </c>
      <c r="CF192" s="4">
        <f t="shared" si="234"/>
        <v>4</v>
      </c>
      <c r="CG192" s="4">
        <f t="shared" si="235"/>
        <v>14</v>
      </c>
      <c r="CH192" s="4">
        <f t="shared" si="236"/>
        <v>-7</v>
      </c>
      <c r="CI192" s="4">
        <f t="shared" si="237"/>
        <v>127</v>
      </c>
      <c r="CJ192" s="4">
        <f t="shared" si="238"/>
        <v>-141</v>
      </c>
      <c r="CK192" s="4">
        <f t="shared" si="239"/>
        <v>71</v>
      </c>
      <c r="CL192" s="4">
        <f t="shared" si="240"/>
        <v>0</v>
      </c>
      <c r="CM192" s="4">
        <f t="shared" si="241"/>
        <v>6</v>
      </c>
      <c r="CN192" s="4">
        <f t="shared" si="242"/>
        <v>-28</v>
      </c>
      <c r="CO192" s="4">
        <f t="shared" si="243"/>
        <v>0</v>
      </c>
      <c r="CP192" s="4">
        <f t="shared" si="244"/>
        <v>67</v>
      </c>
      <c r="CQ192" s="4">
        <f t="shared" si="245"/>
        <v>-550</v>
      </c>
      <c r="CR192" s="4">
        <f t="shared" si="246"/>
        <v>15</v>
      </c>
      <c r="CS192" s="4">
        <f t="shared" si="247"/>
        <v>-24</v>
      </c>
      <c r="CT192" s="4">
        <f t="shared" si="248"/>
        <v>0</v>
      </c>
      <c r="CU192" s="4">
        <f t="shared" si="249"/>
        <v>0</v>
      </c>
      <c r="CV192" s="4">
        <f t="shared" si="250"/>
        <v>0</v>
      </c>
      <c r="CW192" s="4">
        <f t="shared" si="251"/>
        <v>0</v>
      </c>
      <c r="CX192" s="4">
        <f t="shared" si="252"/>
        <v>-543</v>
      </c>
      <c r="CY192" s="4">
        <f t="shared" si="253"/>
        <v>0</v>
      </c>
      <c r="CZ192" s="4">
        <f t="shared" si="254"/>
        <v>0</v>
      </c>
      <c r="DA192" s="4">
        <f t="shared" si="255"/>
        <v>0</v>
      </c>
      <c r="DB192" s="4">
        <f t="shared" si="256"/>
        <v>0</v>
      </c>
      <c r="DC192" s="4">
        <f t="shared" si="257"/>
        <v>0</v>
      </c>
      <c r="DD192" s="4">
        <f t="shared" si="258"/>
        <v>0</v>
      </c>
      <c r="DE192" s="4">
        <f t="shared" si="259"/>
        <v>0</v>
      </c>
      <c r="DF192" s="4">
        <f t="shared" si="260"/>
        <v>0</v>
      </c>
      <c r="DG192" s="4">
        <f t="shared" si="261"/>
        <v>0</v>
      </c>
      <c r="DH192" s="4">
        <f t="shared" si="262"/>
        <v>0</v>
      </c>
      <c r="DI192" s="4">
        <f t="shared" si="263"/>
        <v>0</v>
      </c>
      <c r="DJ192" s="4">
        <f t="shared" si="264"/>
        <v>0</v>
      </c>
      <c r="DK192" s="4">
        <f t="shared" si="265"/>
        <v>0</v>
      </c>
      <c r="DL192" s="4">
        <f t="shared" si="266"/>
        <v>0</v>
      </c>
    </row>
    <row r="193" spans="1:116" x14ac:dyDescent="0.25">
      <c r="A193" s="5">
        <v>46187</v>
      </c>
      <c r="B193" s="6">
        <v>0.27083333379414398</v>
      </c>
      <c r="C193" s="3"/>
      <c r="D193" s="3"/>
      <c r="E193" s="3" t="s">
        <v>38</v>
      </c>
      <c r="F193" s="3">
        <v>8</v>
      </c>
      <c r="G193" s="3"/>
      <c r="H193" s="9"/>
      <c r="I193" s="9">
        <f>SUM(IFERROR(VLOOKUP($C:$C,Structure!$A:$AJ,I$1,0)*$D193,0),IFERROR(VLOOKUP($E:$E,Structure!$A:$AJ,I$1,0)*$F193,0),IFERROR(VLOOKUP($G:$G,Structure!$A:$AJ,I$1,0)*$H193,0))</f>
        <v>0</v>
      </c>
      <c r="J193" s="9">
        <f>SUM(IFERROR(VLOOKUP($C:$C,Structure!$A:$AJ,J$1,0)*$D193,0),IFERROR(VLOOKUP($E:$E,Structure!$A:$AJ,J$1,0)*$F193,0),IFERROR(VLOOKUP($G:$G,Structure!$A:$AJ,J$1,0)*$H193,0))</f>
        <v>8</v>
      </c>
      <c r="K193" s="9">
        <f>SUM(IFERROR(VLOOKUP($C:$C,Structure!$A:$AJ,K$1,0)*$D193,0),IFERROR(VLOOKUP($E:$E,Structure!$A:$AJ,K$1,0)*$F193,0),IFERROR(VLOOKUP($G:$G,Structure!$A:$AJ,K$1,0)*$H193,0))</f>
        <v>0</v>
      </c>
      <c r="L193" s="9">
        <f>SUM(IFERROR(VLOOKUP($C:$C,Structure!$A:$AJ,L$1,0)*$D193,0),IFERROR(VLOOKUP($E:$E,Structure!$A:$AJ,L$1,0)*$F193,0),IFERROR(VLOOKUP($G:$G,Structure!$A:$AJ,L$1,0)*$H193,0))</f>
        <v>0</v>
      </c>
      <c r="M193" s="9">
        <f>SUM(IFERROR(VLOOKUP($C:$C,Structure!$A:$AJ,M$1,0)*$D193,0),IFERROR(VLOOKUP($E:$E,Structure!$A:$AJ,M$1,0)*$F193,0),IFERROR(VLOOKUP($G:$G,Structure!$A:$AJ,M$1,0)*$H193,0))</f>
        <v>0</v>
      </c>
      <c r="N193" s="9">
        <f>SUM(IFERROR(VLOOKUP($C:$C,Structure!$A:$AJ,N$1,0)*$D193,0),IFERROR(VLOOKUP($E:$E,Structure!$A:$AJ,N$1,0)*$F193,0),IFERROR(VLOOKUP($G:$G,Structure!$A:$AJ,N$1,0)*$H193,0))</f>
        <v>0</v>
      </c>
      <c r="O193" s="9">
        <f>SUM(IFERROR(VLOOKUP($C:$C,Structure!$A:$AJ,O$1,0)*$D193,0),IFERROR(VLOOKUP($E:$E,Structure!$A:$AJ,O$1,0)*$F193,0),IFERROR(VLOOKUP($G:$G,Structure!$A:$AJ,O$1,0)*$H193,0))</f>
        <v>0</v>
      </c>
      <c r="P193" s="9">
        <f>SUM(IFERROR(VLOOKUP($C:$C,Structure!$A:$AJ,P$1,0)*$D193,0),IFERROR(VLOOKUP($E:$E,Structure!$A:$AJ,P$1,0)*$F193,0),IFERROR(VLOOKUP($G:$G,Structure!$A:$AJ,P$1,0)*$H193,0))</f>
        <v>8</v>
      </c>
      <c r="Q193" s="9">
        <f>SUM(IFERROR(VLOOKUP($C:$C,Structure!$A:$AJ,Q$1,0)*$D193,0),IFERROR(VLOOKUP($E:$E,Structure!$A:$AJ,Q$1,0)*$F193,0),IFERROR(VLOOKUP($G:$G,Structure!$A:$AJ,Q$1,0)*$H193,0))</f>
        <v>0</v>
      </c>
      <c r="R193" s="9">
        <f>SUM(IFERROR(VLOOKUP($C:$C,Structure!$A:$AJ,R$1,0)*$D193,0),IFERROR(VLOOKUP($E:$E,Structure!$A:$AJ,R$1,0)*$F193,0),IFERROR(VLOOKUP($G:$G,Structure!$A:$AJ,R$1,0)*$H193,0))</f>
        <v>0</v>
      </c>
      <c r="S193" s="9">
        <f>SUM(IFERROR(VLOOKUP($C:$C,Structure!$A:$AJ,S$1,0)*$D193,0),IFERROR(VLOOKUP($E:$E,Structure!$A:$AJ,S$1,0)*$F193,0),IFERROR(VLOOKUP($G:$G,Structure!$A:$AJ,S$1,0)*$H193,0))</f>
        <v>0</v>
      </c>
      <c r="T193" s="9">
        <f>SUM(IFERROR(VLOOKUP($C:$C,Structure!$A:$AJ,T$1,0)*$D193,0),IFERROR(VLOOKUP($E:$E,Structure!$A:$AJ,T$1,0)*$F193,0),IFERROR(VLOOKUP($G:$G,Structure!$A:$AJ,T$1,0)*$H193,0))</f>
        <v>0</v>
      </c>
      <c r="U193" s="9">
        <f>SUM(IFERROR(VLOOKUP($C:$C,Structure!$A:$AJ,U$1,0)*$D193,0),IFERROR(VLOOKUP($E:$E,Structure!$A:$AJ,U$1,0)*$F193,0),IFERROR(VLOOKUP($G:$G,Structure!$A:$AJ,U$1,0)*$H193,0))</f>
        <v>0</v>
      </c>
      <c r="V193" s="9">
        <f>SUM(IFERROR(VLOOKUP($C:$C,Structure!$A:$AJ,V$1,0)*$D193,0),IFERROR(VLOOKUP($E:$E,Structure!$A:$AJ,V$1,0)*$F193,0),IFERROR(VLOOKUP($G:$G,Structure!$A:$AJ,V$1,0)*$H193,0))</f>
        <v>0</v>
      </c>
      <c r="W193" s="9">
        <f>SUM(IFERROR(VLOOKUP($C:$C,Structure!$A:$AJ,W$1,0)*$D193,0),IFERROR(VLOOKUP($E:$E,Structure!$A:$AJ,W$1,0)*$F193,0),IFERROR(VLOOKUP($G:$G,Structure!$A:$AJ,W$1,0)*$H193,0))</f>
        <v>0</v>
      </c>
      <c r="X193" s="9">
        <f>SUM(IFERROR(VLOOKUP($C:$C,Structure!$A:$AJ,X$1,0)*$D193,0),IFERROR(VLOOKUP($E:$E,Structure!$A:$AJ,X$1,0)*$F193,0),IFERROR(VLOOKUP($G:$G,Structure!$A:$AJ,X$1,0)*$H193,0))</f>
        <v>0</v>
      </c>
      <c r="Y193" s="9">
        <f>SUM(IFERROR(VLOOKUP($C:$C,Structure!$A:$AJ,Y$1,0)*$D193,0),IFERROR(VLOOKUP($E:$E,Structure!$A:$AJ,Y$1,0)*$F193,0),IFERROR(VLOOKUP($G:$G,Structure!$A:$AJ,Y$1,0)*$H193,0))</f>
        <v>0</v>
      </c>
      <c r="Z193" s="9">
        <f>SUM(IFERROR(VLOOKUP($C:$C,Structure!$A:$AJ,Z$1,0)*$D193,0),IFERROR(VLOOKUP($E:$E,Structure!$A:$AJ,Z$1,0)*$F193,0),IFERROR(VLOOKUP($G:$G,Structure!$A:$AJ,Z$1,0)*$H193,0))</f>
        <v>0</v>
      </c>
      <c r="AA193" s="9">
        <f>SUM(IFERROR(VLOOKUP($C:$C,Structure!$A:$AJ,AA$1,0)*$D193,0),IFERROR(VLOOKUP($E:$E,Structure!$A:$AJ,AA$1,0)*$F193,0),IFERROR(VLOOKUP($G:$G,Structure!$A:$AJ,AA$1,0)*$H193,0))</f>
        <v>0</v>
      </c>
      <c r="AB193" s="9">
        <f>SUM(IFERROR(VLOOKUP($C:$C,Structure!$A:$AJ,AB$1,0)*$D193,0),IFERROR(VLOOKUP($E:$E,Structure!$A:$AJ,AB$1,0)*$F193,0),IFERROR(VLOOKUP($G:$G,Structure!$A:$AJ,AB$1,0)*$H193,0))</f>
        <v>0</v>
      </c>
      <c r="AC193" s="9">
        <f>SUM(IFERROR(VLOOKUP($C:$C,Structure!$A:$AJ,AC$1,0)*$D193,0),IFERROR(VLOOKUP($E:$E,Structure!$A:$AJ,AC$1,0)*$F193,0),IFERROR(VLOOKUP($G:$G,Structure!$A:$AJ,AC$1,0)*$H193,0))</f>
        <v>0</v>
      </c>
      <c r="AD193" s="9">
        <f>SUM(IFERROR(VLOOKUP($C:$C,Structure!$A:$AJ,AD$1,0)*$D193,0),IFERROR(VLOOKUP($E:$E,Structure!$A:$AJ,AD$1,0)*$F193,0),IFERROR(VLOOKUP($G:$G,Structure!$A:$AJ,AD$1,0)*$H193,0))</f>
        <v>0</v>
      </c>
      <c r="AE193" s="9">
        <f>SUM(IFERROR(VLOOKUP($C:$C,Structure!$A:$AJ,AE$1,0)*$D193,0),IFERROR(VLOOKUP($E:$E,Structure!$A:$AJ,AE$1,0)*$F193,0),IFERROR(VLOOKUP($G:$G,Structure!$A:$AJ,AE$1,0)*$H193,0))</f>
        <v>0</v>
      </c>
      <c r="AF193" s="9">
        <f>SUM(IFERROR(VLOOKUP($C:$C,Structure!$A:$AJ,AF$1,0)*$D193,0),IFERROR(VLOOKUP($E:$E,Structure!$A:$AJ,AF$1,0)*$F193,0),IFERROR(VLOOKUP($G:$G,Structure!$A:$AJ,AF$1,0)*$H193,0))</f>
        <v>0</v>
      </c>
      <c r="AG193" s="9">
        <f>SUM(IFERROR(VLOOKUP($C:$C,Structure!$A:$AJ,AG$1,0)*$D193,0),IFERROR(VLOOKUP($E:$E,Structure!$A:$AJ,AG$1,0)*$F193,0),IFERROR(VLOOKUP($G:$G,Structure!$A:$AJ,AG$1,0)*$H193,0))</f>
        <v>0</v>
      </c>
      <c r="AH193" s="9">
        <f>SUM(IFERROR(VLOOKUP($C:$C,Structure!$A:$AJ,AH$1,0)*$D193,0),IFERROR(VLOOKUP($E:$E,Structure!$A:$AJ,AH$1,0)*$F193,0),IFERROR(VLOOKUP($G:$G,Structure!$A:$AJ,AH$1,0)*$H193,0))</f>
        <v>0</v>
      </c>
      <c r="AI193" s="9">
        <f>SUM(IFERROR(VLOOKUP($C:$C,Structure!$A:$AJ,AI$1,0)*$D193,0),IFERROR(VLOOKUP($E:$E,Structure!$A:$AJ,AI$1,0)*$F193,0),IFERROR(VLOOKUP($G:$G,Structure!$A:$AJ,AI$1,0)*$H193,0))</f>
        <v>0</v>
      </c>
      <c r="AJ193" s="9">
        <f>SUM(IFERROR(VLOOKUP($C:$C,Structure!$A:$AJ,AJ$1,0)*$D193,0),IFERROR(VLOOKUP($E:$E,Structure!$A:$AJ,AJ$1,0)*$F193,0),IFERROR(VLOOKUP($G:$G,Structure!$A:$AJ,AJ$1,0)*$H193,0))</f>
        <v>0</v>
      </c>
      <c r="AK193" s="9">
        <f>SUM(IFERROR(VLOOKUP($C:$C,Structure!$A:$AJ,AK$1,0)*$D193,0),IFERROR(VLOOKUP($E:$E,Structure!$A:$AJ,AK$1,0)*$F193,0),IFERROR(VLOOKUP($G:$G,Structure!$A:$AJ,AK$1,0)*$H193,0))</f>
        <v>0</v>
      </c>
      <c r="AL193" s="9">
        <f>SUM(IFERROR(VLOOKUP($C:$C,Structure!$A:$AJ,AL$1,0)*$D193,0),IFERROR(VLOOKUP($E:$E,Structure!$A:$AJ,AL$1,0)*$F193,0),IFERROR(VLOOKUP($G:$G,Structure!$A:$AJ,AL$1,0)*$H193,0))</f>
        <v>0</v>
      </c>
      <c r="AM193" s="9">
        <f>SUM(IFERROR(VLOOKUP($C:$C,Structure!$A:$AJ,AM$1,0)*$D193,0),IFERROR(VLOOKUP($E:$E,Structure!$A:$AJ,AM$1,0)*$F193,0),IFERROR(VLOOKUP($G:$G,Structure!$A:$AJ,AM$1,0)*$H193,0))</f>
        <v>0</v>
      </c>
      <c r="AN193" s="9">
        <f>SUM(IFERROR(VLOOKUP($C:$C,Structure!$A:$AJ,AN$1,0)*$D193,0),IFERROR(VLOOKUP($E:$E,Structure!$A:$AJ,AN$1,0)*$F193,0),IFERROR(VLOOKUP($G:$G,Structure!$A:$AJ,AN$1,0)*$H193,0))</f>
        <v>0</v>
      </c>
      <c r="AO193" s="9">
        <f>SUM(IFERROR(VLOOKUP($C:$C,Structure!$A:$AJ,AO$1,0)*$D193,0),IFERROR(VLOOKUP($E:$E,Structure!$A:$AJ,AO$1,0)*$F193,0),IFERROR(VLOOKUP($G:$G,Structure!$A:$AJ,AO$1,0)*$H193,0))</f>
        <v>0</v>
      </c>
      <c r="AP193" s="9">
        <f>SUM(IFERROR(VLOOKUP($C:$C,Structure!$A:$AJ,AP$1,0)*$D193,0),IFERROR(VLOOKUP($E:$E,Structure!$A:$AJ,AP$1,0)*$F193,0),IFERROR(VLOOKUP($G:$G,Structure!$A:$AJ,AP$1,0)*$H193,0))</f>
        <v>0</v>
      </c>
      <c r="AQ193" s="9">
        <f>SUM(IFERROR(VLOOKUP($C:$C,Structure!$A:$AJ,AQ$1,0)*$D193,0),IFERROR(VLOOKUP($E:$E,Structure!$A:$AJ,AQ$1,0)*$F193,0),IFERROR(VLOOKUP($G:$G,Structure!$A:$AJ,AQ$1,0)*$H193,0))</f>
        <v>0</v>
      </c>
      <c r="AR193" s="21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4">
        <f t="shared" si="232"/>
        <v>0</v>
      </c>
      <c r="CE193" s="4">
        <f t="shared" si="233"/>
        <v>-116</v>
      </c>
      <c r="CF193" s="4">
        <f t="shared" si="234"/>
        <v>4</v>
      </c>
      <c r="CG193" s="4">
        <f t="shared" si="235"/>
        <v>14</v>
      </c>
      <c r="CH193" s="4">
        <f t="shared" si="236"/>
        <v>-7</v>
      </c>
      <c r="CI193" s="4">
        <f t="shared" si="237"/>
        <v>127</v>
      </c>
      <c r="CJ193" s="4">
        <f t="shared" si="238"/>
        <v>-141</v>
      </c>
      <c r="CK193" s="4">
        <f t="shared" si="239"/>
        <v>63</v>
      </c>
      <c r="CL193" s="4">
        <f t="shared" si="240"/>
        <v>0</v>
      </c>
      <c r="CM193" s="4">
        <f t="shared" si="241"/>
        <v>6</v>
      </c>
      <c r="CN193" s="4">
        <f t="shared" si="242"/>
        <v>-28</v>
      </c>
      <c r="CO193" s="4">
        <f t="shared" si="243"/>
        <v>0</v>
      </c>
      <c r="CP193" s="4">
        <f t="shared" si="244"/>
        <v>67</v>
      </c>
      <c r="CQ193" s="4">
        <f t="shared" si="245"/>
        <v>-550</v>
      </c>
      <c r="CR193" s="4">
        <f t="shared" si="246"/>
        <v>15</v>
      </c>
      <c r="CS193" s="4">
        <f t="shared" si="247"/>
        <v>-24</v>
      </c>
      <c r="CT193" s="4">
        <f t="shared" si="248"/>
        <v>0</v>
      </c>
      <c r="CU193" s="4">
        <f t="shared" si="249"/>
        <v>0</v>
      </c>
      <c r="CV193" s="4">
        <f t="shared" si="250"/>
        <v>0</v>
      </c>
      <c r="CW193" s="4">
        <f t="shared" si="251"/>
        <v>0</v>
      </c>
      <c r="CX193" s="4">
        <f t="shared" si="252"/>
        <v>-543</v>
      </c>
      <c r="CY193" s="4">
        <f t="shared" si="253"/>
        <v>0</v>
      </c>
      <c r="CZ193" s="4">
        <f t="shared" si="254"/>
        <v>0</v>
      </c>
      <c r="DA193" s="4">
        <f t="shared" si="255"/>
        <v>0</v>
      </c>
      <c r="DB193" s="4">
        <f t="shared" si="256"/>
        <v>0</v>
      </c>
      <c r="DC193" s="4">
        <f t="shared" si="257"/>
        <v>0</v>
      </c>
      <c r="DD193" s="4">
        <f t="shared" si="258"/>
        <v>0</v>
      </c>
      <c r="DE193" s="4">
        <f t="shared" si="259"/>
        <v>0</v>
      </c>
      <c r="DF193" s="4">
        <f t="shared" si="260"/>
        <v>0</v>
      </c>
      <c r="DG193" s="4">
        <f t="shared" si="261"/>
        <v>0</v>
      </c>
      <c r="DH193" s="4">
        <f t="shared" si="262"/>
        <v>0</v>
      </c>
      <c r="DI193" s="4">
        <f t="shared" si="263"/>
        <v>0</v>
      </c>
      <c r="DJ193" s="4">
        <f t="shared" si="264"/>
        <v>0</v>
      </c>
      <c r="DK193" s="4">
        <f t="shared" si="265"/>
        <v>0</v>
      </c>
      <c r="DL193" s="4">
        <f t="shared" si="266"/>
        <v>0</v>
      </c>
    </row>
    <row r="194" spans="1:116" x14ac:dyDescent="0.25">
      <c r="A194" s="5">
        <v>46187</v>
      </c>
      <c r="B194" s="6">
        <v>0.29166666712990263</v>
      </c>
      <c r="C194" s="3"/>
      <c r="D194" s="3"/>
      <c r="E194" s="3" t="s">
        <v>38</v>
      </c>
      <c r="F194" s="3">
        <v>8</v>
      </c>
      <c r="G194" s="3"/>
      <c r="H194" s="9"/>
      <c r="I194" s="9">
        <f>SUM(IFERROR(VLOOKUP($C:$C,Structure!$A:$AJ,I$1,0)*$D194,0),IFERROR(VLOOKUP($E:$E,Structure!$A:$AJ,I$1,0)*$F194,0),IFERROR(VLOOKUP($G:$G,Structure!$A:$AJ,I$1,0)*$H194,0))</f>
        <v>0</v>
      </c>
      <c r="J194" s="9">
        <f>SUM(IFERROR(VLOOKUP($C:$C,Structure!$A:$AJ,J$1,0)*$D194,0),IFERROR(VLOOKUP($E:$E,Structure!$A:$AJ,J$1,0)*$F194,0),IFERROR(VLOOKUP($G:$G,Structure!$A:$AJ,J$1,0)*$H194,0))</f>
        <v>8</v>
      </c>
      <c r="K194" s="9">
        <f>SUM(IFERROR(VLOOKUP($C:$C,Structure!$A:$AJ,K$1,0)*$D194,0),IFERROR(VLOOKUP($E:$E,Structure!$A:$AJ,K$1,0)*$F194,0),IFERROR(VLOOKUP($G:$G,Structure!$A:$AJ,K$1,0)*$H194,0))</f>
        <v>0</v>
      </c>
      <c r="L194" s="9">
        <f>SUM(IFERROR(VLOOKUP($C:$C,Structure!$A:$AJ,L$1,0)*$D194,0),IFERROR(VLOOKUP($E:$E,Structure!$A:$AJ,L$1,0)*$F194,0),IFERROR(VLOOKUP($G:$G,Structure!$A:$AJ,L$1,0)*$H194,0))</f>
        <v>0</v>
      </c>
      <c r="M194" s="9">
        <f>SUM(IFERROR(VLOOKUP($C:$C,Structure!$A:$AJ,M$1,0)*$D194,0),IFERROR(VLOOKUP($E:$E,Structure!$A:$AJ,M$1,0)*$F194,0),IFERROR(VLOOKUP($G:$G,Structure!$A:$AJ,M$1,0)*$H194,0))</f>
        <v>0</v>
      </c>
      <c r="N194" s="9">
        <f>SUM(IFERROR(VLOOKUP($C:$C,Structure!$A:$AJ,N$1,0)*$D194,0),IFERROR(VLOOKUP($E:$E,Structure!$A:$AJ,N$1,0)*$F194,0),IFERROR(VLOOKUP($G:$G,Structure!$A:$AJ,N$1,0)*$H194,0))</f>
        <v>0</v>
      </c>
      <c r="O194" s="9">
        <f>SUM(IFERROR(VLOOKUP($C:$C,Structure!$A:$AJ,O$1,0)*$D194,0),IFERROR(VLOOKUP($E:$E,Structure!$A:$AJ,O$1,0)*$F194,0),IFERROR(VLOOKUP($G:$G,Structure!$A:$AJ,O$1,0)*$H194,0))</f>
        <v>0</v>
      </c>
      <c r="P194" s="9">
        <f>SUM(IFERROR(VLOOKUP($C:$C,Structure!$A:$AJ,P$1,0)*$D194,0),IFERROR(VLOOKUP($E:$E,Structure!$A:$AJ,P$1,0)*$F194,0),IFERROR(VLOOKUP($G:$G,Structure!$A:$AJ,P$1,0)*$H194,0))</f>
        <v>8</v>
      </c>
      <c r="Q194" s="9">
        <f>SUM(IFERROR(VLOOKUP($C:$C,Structure!$A:$AJ,Q$1,0)*$D194,0),IFERROR(VLOOKUP($E:$E,Structure!$A:$AJ,Q$1,0)*$F194,0),IFERROR(VLOOKUP($G:$G,Structure!$A:$AJ,Q$1,0)*$H194,0))</f>
        <v>0</v>
      </c>
      <c r="R194" s="9">
        <f>SUM(IFERROR(VLOOKUP($C:$C,Structure!$A:$AJ,R$1,0)*$D194,0),IFERROR(VLOOKUP($E:$E,Structure!$A:$AJ,R$1,0)*$F194,0),IFERROR(VLOOKUP($G:$G,Structure!$A:$AJ,R$1,0)*$H194,0))</f>
        <v>0</v>
      </c>
      <c r="S194" s="9">
        <f>SUM(IFERROR(VLOOKUP($C:$C,Structure!$A:$AJ,S$1,0)*$D194,0),IFERROR(VLOOKUP($E:$E,Structure!$A:$AJ,S$1,0)*$F194,0),IFERROR(VLOOKUP($G:$G,Structure!$A:$AJ,S$1,0)*$H194,0))</f>
        <v>0</v>
      </c>
      <c r="T194" s="9">
        <f>SUM(IFERROR(VLOOKUP($C:$C,Structure!$A:$AJ,T$1,0)*$D194,0),IFERROR(VLOOKUP($E:$E,Structure!$A:$AJ,T$1,0)*$F194,0),IFERROR(VLOOKUP($G:$G,Structure!$A:$AJ,T$1,0)*$H194,0))</f>
        <v>0</v>
      </c>
      <c r="U194" s="9">
        <f>SUM(IFERROR(VLOOKUP($C:$C,Structure!$A:$AJ,U$1,0)*$D194,0),IFERROR(VLOOKUP($E:$E,Structure!$A:$AJ,U$1,0)*$F194,0),IFERROR(VLOOKUP($G:$G,Structure!$A:$AJ,U$1,0)*$H194,0))</f>
        <v>0</v>
      </c>
      <c r="V194" s="9">
        <f>SUM(IFERROR(VLOOKUP($C:$C,Structure!$A:$AJ,V$1,0)*$D194,0),IFERROR(VLOOKUP($E:$E,Structure!$A:$AJ,V$1,0)*$F194,0),IFERROR(VLOOKUP($G:$G,Structure!$A:$AJ,V$1,0)*$H194,0))</f>
        <v>0</v>
      </c>
      <c r="W194" s="9">
        <f>SUM(IFERROR(VLOOKUP($C:$C,Structure!$A:$AJ,W$1,0)*$D194,0),IFERROR(VLOOKUP($E:$E,Structure!$A:$AJ,W$1,0)*$F194,0),IFERROR(VLOOKUP($G:$G,Structure!$A:$AJ,W$1,0)*$H194,0))</f>
        <v>0</v>
      </c>
      <c r="X194" s="9">
        <f>SUM(IFERROR(VLOOKUP($C:$C,Structure!$A:$AJ,X$1,0)*$D194,0),IFERROR(VLOOKUP($E:$E,Structure!$A:$AJ,X$1,0)*$F194,0),IFERROR(VLOOKUP($G:$G,Structure!$A:$AJ,X$1,0)*$H194,0))</f>
        <v>0</v>
      </c>
      <c r="Y194" s="9">
        <f>SUM(IFERROR(VLOOKUP($C:$C,Structure!$A:$AJ,Y$1,0)*$D194,0),IFERROR(VLOOKUP($E:$E,Structure!$A:$AJ,Y$1,0)*$F194,0),IFERROR(VLOOKUP($G:$G,Structure!$A:$AJ,Y$1,0)*$H194,0))</f>
        <v>0</v>
      </c>
      <c r="Z194" s="9">
        <f>SUM(IFERROR(VLOOKUP($C:$C,Structure!$A:$AJ,Z$1,0)*$D194,0),IFERROR(VLOOKUP($E:$E,Structure!$A:$AJ,Z$1,0)*$F194,0),IFERROR(VLOOKUP($G:$G,Structure!$A:$AJ,Z$1,0)*$H194,0))</f>
        <v>0</v>
      </c>
      <c r="AA194" s="9">
        <f>SUM(IFERROR(VLOOKUP($C:$C,Structure!$A:$AJ,AA$1,0)*$D194,0),IFERROR(VLOOKUP($E:$E,Structure!$A:$AJ,AA$1,0)*$F194,0),IFERROR(VLOOKUP($G:$G,Structure!$A:$AJ,AA$1,0)*$H194,0))</f>
        <v>0</v>
      </c>
      <c r="AB194" s="9">
        <f>SUM(IFERROR(VLOOKUP($C:$C,Structure!$A:$AJ,AB$1,0)*$D194,0),IFERROR(VLOOKUP($E:$E,Structure!$A:$AJ,AB$1,0)*$F194,0),IFERROR(VLOOKUP($G:$G,Structure!$A:$AJ,AB$1,0)*$H194,0))</f>
        <v>0</v>
      </c>
      <c r="AC194" s="9">
        <f>SUM(IFERROR(VLOOKUP($C:$C,Structure!$A:$AJ,AC$1,0)*$D194,0),IFERROR(VLOOKUP($E:$E,Structure!$A:$AJ,AC$1,0)*$F194,0),IFERROR(VLOOKUP($G:$G,Structure!$A:$AJ,AC$1,0)*$H194,0))</f>
        <v>0</v>
      </c>
      <c r="AD194" s="9">
        <f>SUM(IFERROR(VLOOKUP($C:$C,Structure!$A:$AJ,AD$1,0)*$D194,0),IFERROR(VLOOKUP($E:$E,Structure!$A:$AJ,AD$1,0)*$F194,0),IFERROR(VLOOKUP($G:$G,Structure!$A:$AJ,AD$1,0)*$H194,0))</f>
        <v>0</v>
      </c>
      <c r="AE194" s="9">
        <f>SUM(IFERROR(VLOOKUP($C:$C,Structure!$A:$AJ,AE$1,0)*$D194,0),IFERROR(VLOOKUP($E:$E,Structure!$A:$AJ,AE$1,0)*$F194,0),IFERROR(VLOOKUP($G:$G,Structure!$A:$AJ,AE$1,0)*$H194,0))</f>
        <v>0</v>
      </c>
      <c r="AF194" s="9">
        <f>SUM(IFERROR(VLOOKUP($C:$C,Structure!$A:$AJ,AF$1,0)*$D194,0),IFERROR(VLOOKUP($E:$E,Structure!$A:$AJ,AF$1,0)*$F194,0),IFERROR(VLOOKUP($G:$G,Structure!$A:$AJ,AF$1,0)*$H194,0))</f>
        <v>0</v>
      </c>
      <c r="AG194" s="9">
        <f>SUM(IFERROR(VLOOKUP($C:$C,Structure!$A:$AJ,AG$1,0)*$D194,0),IFERROR(VLOOKUP($E:$E,Structure!$A:$AJ,AG$1,0)*$F194,0),IFERROR(VLOOKUP($G:$G,Structure!$A:$AJ,AG$1,0)*$H194,0))</f>
        <v>0</v>
      </c>
      <c r="AH194" s="9">
        <f>SUM(IFERROR(VLOOKUP($C:$C,Structure!$A:$AJ,AH$1,0)*$D194,0),IFERROR(VLOOKUP($E:$E,Structure!$A:$AJ,AH$1,0)*$F194,0),IFERROR(VLOOKUP($G:$G,Structure!$A:$AJ,AH$1,0)*$H194,0))</f>
        <v>0</v>
      </c>
      <c r="AI194" s="9">
        <f>SUM(IFERROR(VLOOKUP($C:$C,Structure!$A:$AJ,AI$1,0)*$D194,0),IFERROR(VLOOKUP($E:$E,Structure!$A:$AJ,AI$1,0)*$F194,0),IFERROR(VLOOKUP($G:$G,Structure!$A:$AJ,AI$1,0)*$H194,0))</f>
        <v>0</v>
      </c>
      <c r="AJ194" s="9">
        <f>SUM(IFERROR(VLOOKUP($C:$C,Structure!$A:$AJ,AJ$1,0)*$D194,0),IFERROR(VLOOKUP($E:$E,Structure!$A:$AJ,AJ$1,0)*$F194,0),IFERROR(VLOOKUP($G:$G,Structure!$A:$AJ,AJ$1,0)*$H194,0))</f>
        <v>0</v>
      </c>
      <c r="AK194" s="9">
        <f>SUM(IFERROR(VLOOKUP($C:$C,Structure!$A:$AJ,AK$1,0)*$D194,0),IFERROR(VLOOKUP($E:$E,Structure!$A:$AJ,AK$1,0)*$F194,0),IFERROR(VLOOKUP($G:$G,Structure!$A:$AJ,AK$1,0)*$H194,0))</f>
        <v>0</v>
      </c>
      <c r="AL194" s="9">
        <f>SUM(IFERROR(VLOOKUP($C:$C,Structure!$A:$AJ,AL$1,0)*$D194,0),IFERROR(VLOOKUP($E:$E,Structure!$A:$AJ,AL$1,0)*$F194,0),IFERROR(VLOOKUP($G:$G,Structure!$A:$AJ,AL$1,0)*$H194,0))</f>
        <v>0</v>
      </c>
      <c r="AM194" s="9">
        <f>SUM(IFERROR(VLOOKUP($C:$C,Structure!$A:$AJ,AM$1,0)*$D194,0),IFERROR(VLOOKUP($E:$E,Structure!$A:$AJ,AM$1,0)*$F194,0),IFERROR(VLOOKUP($G:$G,Structure!$A:$AJ,AM$1,0)*$H194,0))</f>
        <v>0</v>
      </c>
      <c r="AN194" s="9">
        <f>SUM(IFERROR(VLOOKUP($C:$C,Structure!$A:$AJ,AN$1,0)*$D194,0),IFERROR(VLOOKUP($E:$E,Structure!$A:$AJ,AN$1,0)*$F194,0),IFERROR(VLOOKUP($G:$G,Structure!$A:$AJ,AN$1,0)*$H194,0))</f>
        <v>0</v>
      </c>
      <c r="AO194" s="9">
        <f>SUM(IFERROR(VLOOKUP($C:$C,Structure!$A:$AJ,AO$1,0)*$D194,0),IFERROR(VLOOKUP($E:$E,Structure!$A:$AJ,AO$1,0)*$F194,0),IFERROR(VLOOKUP($G:$G,Structure!$A:$AJ,AO$1,0)*$H194,0))</f>
        <v>0</v>
      </c>
      <c r="AP194" s="9">
        <f>SUM(IFERROR(VLOOKUP($C:$C,Structure!$A:$AJ,AP$1,0)*$D194,0),IFERROR(VLOOKUP($E:$E,Structure!$A:$AJ,AP$1,0)*$F194,0),IFERROR(VLOOKUP($G:$G,Structure!$A:$AJ,AP$1,0)*$H194,0))</f>
        <v>0</v>
      </c>
      <c r="AQ194" s="9">
        <f>SUM(IFERROR(VLOOKUP($C:$C,Structure!$A:$AJ,AQ$1,0)*$D194,0),IFERROR(VLOOKUP($E:$E,Structure!$A:$AJ,AQ$1,0)*$F194,0),IFERROR(VLOOKUP($G:$G,Structure!$A:$AJ,AQ$1,0)*$H194,0))</f>
        <v>0</v>
      </c>
      <c r="AR194" s="21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4">
        <f t="shared" si="232"/>
        <v>0</v>
      </c>
      <c r="CE194" s="4">
        <f t="shared" si="233"/>
        <v>-124</v>
      </c>
      <c r="CF194" s="4">
        <f t="shared" si="234"/>
        <v>4</v>
      </c>
      <c r="CG194" s="4">
        <f t="shared" si="235"/>
        <v>14</v>
      </c>
      <c r="CH194" s="4">
        <f t="shared" si="236"/>
        <v>-7</v>
      </c>
      <c r="CI194" s="4">
        <f t="shared" si="237"/>
        <v>127</v>
      </c>
      <c r="CJ194" s="4">
        <f t="shared" si="238"/>
        <v>-141</v>
      </c>
      <c r="CK194" s="4">
        <f t="shared" si="239"/>
        <v>55</v>
      </c>
      <c r="CL194" s="4">
        <f t="shared" si="240"/>
        <v>0</v>
      </c>
      <c r="CM194" s="4">
        <f t="shared" si="241"/>
        <v>6</v>
      </c>
      <c r="CN194" s="4">
        <f t="shared" si="242"/>
        <v>-28</v>
      </c>
      <c r="CO194" s="4">
        <f t="shared" si="243"/>
        <v>0</v>
      </c>
      <c r="CP194" s="4">
        <f t="shared" si="244"/>
        <v>67</v>
      </c>
      <c r="CQ194" s="4">
        <f t="shared" si="245"/>
        <v>-550</v>
      </c>
      <c r="CR194" s="4">
        <f t="shared" si="246"/>
        <v>15</v>
      </c>
      <c r="CS194" s="4">
        <f t="shared" si="247"/>
        <v>-24</v>
      </c>
      <c r="CT194" s="4">
        <f t="shared" si="248"/>
        <v>0</v>
      </c>
      <c r="CU194" s="4">
        <f t="shared" si="249"/>
        <v>0</v>
      </c>
      <c r="CV194" s="4">
        <f t="shared" si="250"/>
        <v>0</v>
      </c>
      <c r="CW194" s="4">
        <f t="shared" si="251"/>
        <v>0</v>
      </c>
      <c r="CX194" s="4">
        <f t="shared" si="252"/>
        <v>-543</v>
      </c>
      <c r="CY194" s="4">
        <f t="shared" si="253"/>
        <v>0</v>
      </c>
      <c r="CZ194" s="4">
        <f t="shared" si="254"/>
        <v>0</v>
      </c>
      <c r="DA194" s="4">
        <f t="shared" si="255"/>
        <v>0</v>
      </c>
      <c r="DB194" s="4">
        <f t="shared" si="256"/>
        <v>0</v>
      </c>
      <c r="DC194" s="4">
        <f t="shared" si="257"/>
        <v>0</v>
      </c>
      <c r="DD194" s="4">
        <f t="shared" si="258"/>
        <v>0</v>
      </c>
      <c r="DE194" s="4">
        <f t="shared" si="259"/>
        <v>0</v>
      </c>
      <c r="DF194" s="4">
        <f t="shared" si="260"/>
        <v>0</v>
      </c>
      <c r="DG194" s="4">
        <f t="shared" si="261"/>
        <v>0</v>
      </c>
      <c r="DH194" s="4">
        <f t="shared" si="262"/>
        <v>0</v>
      </c>
      <c r="DI194" s="4">
        <f t="shared" si="263"/>
        <v>0</v>
      </c>
      <c r="DJ194" s="4">
        <f t="shared" si="264"/>
        <v>0</v>
      </c>
      <c r="DK194" s="4">
        <f t="shared" si="265"/>
        <v>0</v>
      </c>
      <c r="DL194" s="4">
        <f t="shared" si="266"/>
        <v>0</v>
      </c>
    </row>
    <row r="195" spans="1:116" x14ac:dyDescent="0.25">
      <c r="A195" s="5">
        <v>46187</v>
      </c>
      <c r="B195" s="6">
        <v>0.31250000046566129</v>
      </c>
      <c r="C195" s="3"/>
      <c r="D195" s="3"/>
      <c r="E195" s="3" t="s">
        <v>38</v>
      </c>
      <c r="F195" s="3">
        <v>8</v>
      </c>
      <c r="G195" s="3"/>
      <c r="H195" s="9"/>
      <c r="I195" s="9">
        <f>SUM(IFERROR(VLOOKUP($C:$C,Structure!$A:$AJ,I$1,0)*$D195,0),IFERROR(VLOOKUP($E:$E,Structure!$A:$AJ,I$1,0)*$F195,0),IFERROR(VLOOKUP($G:$G,Structure!$A:$AJ,I$1,0)*$H195,0))</f>
        <v>0</v>
      </c>
      <c r="J195" s="9">
        <f>SUM(IFERROR(VLOOKUP($C:$C,Structure!$A:$AJ,J$1,0)*$D195,0),IFERROR(VLOOKUP($E:$E,Structure!$A:$AJ,J$1,0)*$F195,0),IFERROR(VLOOKUP($G:$G,Structure!$A:$AJ,J$1,0)*$H195,0))</f>
        <v>8</v>
      </c>
      <c r="K195" s="9">
        <f>SUM(IFERROR(VLOOKUP($C:$C,Structure!$A:$AJ,K$1,0)*$D195,0),IFERROR(VLOOKUP($E:$E,Structure!$A:$AJ,K$1,0)*$F195,0),IFERROR(VLOOKUP($G:$G,Structure!$A:$AJ,K$1,0)*$H195,0))</f>
        <v>0</v>
      </c>
      <c r="L195" s="9">
        <f>SUM(IFERROR(VLOOKUP($C:$C,Structure!$A:$AJ,L$1,0)*$D195,0),IFERROR(VLOOKUP($E:$E,Structure!$A:$AJ,L$1,0)*$F195,0),IFERROR(VLOOKUP($G:$G,Structure!$A:$AJ,L$1,0)*$H195,0))</f>
        <v>0</v>
      </c>
      <c r="M195" s="9">
        <f>SUM(IFERROR(VLOOKUP($C:$C,Structure!$A:$AJ,M$1,0)*$D195,0),IFERROR(VLOOKUP($E:$E,Structure!$A:$AJ,M$1,0)*$F195,0),IFERROR(VLOOKUP($G:$G,Structure!$A:$AJ,M$1,0)*$H195,0))</f>
        <v>0</v>
      </c>
      <c r="N195" s="9">
        <f>SUM(IFERROR(VLOOKUP($C:$C,Structure!$A:$AJ,N$1,0)*$D195,0),IFERROR(VLOOKUP($E:$E,Structure!$A:$AJ,N$1,0)*$F195,0),IFERROR(VLOOKUP($G:$G,Structure!$A:$AJ,N$1,0)*$H195,0))</f>
        <v>0</v>
      </c>
      <c r="O195" s="9">
        <f>SUM(IFERROR(VLOOKUP($C:$C,Structure!$A:$AJ,O$1,0)*$D195,0),IFERROR(VLOOKUP($E:$E,Structure!$A:$AJ,O$1,0)*$F195,0),IFERROR(VLOOKUP($G:$G,Structure!$A:$AJ,O$1,0)*$H195,0))</f>
        <v>0</v>
      </c>
      <c r="P195" s="9">
        <f>SUM(IFERROR(VLOOKUP($C:$C,Structure!$A:$AJ,P$1,0)*$D195,0),IFERROR(VLOOKUP($E:$E,Structure!$A:$AJ,P$1,0)*$F195,0),IFERROR(VLOOKUP($G:$G,Structure!$A:$AJ,P$1,0)*$H195,0))</f>
        <v>8</v>
      </c>
      <c r="Q195" s="9">
        <f>SUM(IFERROR(VLOOKUP($C:$C,Structure!$A:$AJ,Q$1,0)*$D195,0),IFERROR(VLOOKUP($E:$E,Structure!$A:$AJ,Q$1,0)*$F195,0),IFERROR(VLOOKUP($G:$G,Structure!$A:$AJ,Q$1,0)*$H195,0))</f>
        <v>0</v>
      </c>
      <c r="R195" s="9">
        <f>SUM(IFERROR(VLOOKUP($C:$C,Structure!$A:$AJ,R$1,0)*$D195,0),IFERROR(VLOOKUP($E:$E,Structure!$A:$AJ,R$1,0)*$F195,0),IFERROR(VLOOKUP($G:$G,Structure!$A:$AJ,R$1,0)*$H195,0))</f>
        <v>0</v>
      </c>
      <c r="S195" s="9">
        <f>SUM(IFERROR(VLOOKUP($C:$C,Structure!$A:$AJ,S$1,0)*$D195,0),IFERROR(VLOOKUP($E:$E,Structure!$A:$AJ,S$1,0)*$F195,0),IFERROR(VLOOKUP($G:$G,Structure!$A:$AJ,S$1,0)*$H195,0))</f>
        <v>0</v>
      </c>
      <c r="T195" s="9">
        <f>SUM(IFERROR(VLOOKUP($C:$C,Structure!$A:$AJ,T$1,0)*$D195,0),IFERROR(VLOOKUP($E:$E,Structure!$A:$AJ,T$1,0)*$F195,0),IFERROR(VLOOKUP($G:$G,Structure!$A:$AJ,T$1,0)*$H195,0))</f>
        <v>0</v>
      </c>
      <c r="U195" s="9">
        <f>SUM(IFERROR(VLOOKUP($C:$C,Structure!$A:$AJ,U$1,0)*$D195,0),IFERROR(VLOOKUP($E:$E,Structure!$A:$AJ,U$1,0)*$F195,0),IFERROR(VLOOKUP($G:$G,Structure!$A:$AJ,U$1,0)*$H195,0))</f>
        <v>0</v>
      </c>
      <c r="V195" s="9">
        <f>SUM(IFERROR(VLOOKUP($C:$C,Structure!$A:$AJ,V$1,0)*$D195,0),IFERROR(VLOOKUP($E:$E,Structure!$A:$AJ,V$1,0)*$F195,0),IFERROR(VLOOKUP($G:$G,Structure!$A:$AJ,V$1,0)*$H195,0))</f>
        <v>0</v>
      </c>
      <c r="W195" s="9">
        <f>SUM(IFERROR(VLOOKUP($C:$C,Structure!$A:$AJ,W$1,0)*$D195,0),IFERROR(VLOOKUP($E:$E,Structure!$A:$AJ,W$1,0)*$F195,0),IFERROR(VLOOKUP($G:$G,Structure!$A:$AJ,W$1,0)*$H195,0))</f>
        <v>0</v>
      </c>
      <c r="X195" s="9">
        <f>SUM(IFERROR(VLOOKUP($C:$C,Structure!$A:$AJ,X$1,0)*$D195,0),IFERROR(VLOOKUP($E:$E,Structure!$A:$AJ,X$1,0)*$F195,0),IFERROR(VLOOKUP($G:$G,Structure!$A:$AJ,X$1,0)*$H195,0))</f>
        <v>0</v>
      </c>
      <c r="Y195" s="9">
        <f>SUM(IFERROR(VLOOKUP($C:$C,Structure!$A:$AJ,Y$1,0)*$D195,0),IFERROR(VLOOKUP($E:$E,Structure!$A:$AJ,Y$1,0)*$F195,0),IFERROR(VLOOKUP($G:$G,Structure!$A:$AJ,Y$1,0)*$H195,0))</f>
        <v>0</v>
      </c>
      <c r="Z195" s="9">
        <f>SUM(IFERROR(VLOOKUP($C:$C,Structure!$A:$AJ,Z$1,0)*$D195,0),IFERROR(VLOOKUP($E:$E,Structure!$A:$AJ,Z$1,0)*$F195,0),IFERROR(VLOOKUP($G:$G,Structure!$A:$AJ,Z$1,0)*$H195,0))</f>
        <v>0</v>
      </c>
      <c r="AA195" s="9">
        <f>SUM(IFERROR(VLOOKUP($C:$C,Structure!$A:$AJ,AA$1,0)*$D195,0),IFERROR(VLOOKUP($E:$E,Structure!$A:$AJ,AA$1,0)*$F195,0),IFERROR(VLOOKUP($G:$G,Structure!$A:$AJ,AA$1,0)*$H195,0))</f>
        <v>0</v>
      </c>
      <c r="AB195" s="9">
        <f>SUM(IFERROR(VLOOKUP($C:$C,Structure!$A:$AJ,AB$1,0)*$D195,0),IFERROR(VLOOKUP($E:$E,Structure!$A:$AJ,AB$1,0)*$F195,0),IFERROR(VLOOKUP($G:$G,Structure!$A:$AJ,AB$1,0)*$H195,0))</f>
        <v>0</v>
      </c>
      <c r="AC195" s="9">
        <f>SUM(IFERROR(VLOOKUP($C:$C,Structure!$A:$AJ,AC$1,0)*$D195,0),IFERROR(VLOOKUP($E:$E,Structure!$A:$AJ,AC$1,0)*$F195,0),IFERROR(VLOOKUP($G:$G,Structure!$A:$AJ,AC$1,0)*$H195,0))</f>
        <v>0</v>
      </c>
      <c r="AD195" s="9">
        <f>SUM(IFERROR(VLOOKUP($C:$C,Structure!$A:$AJ,AD$1,0)*$D195,0),IFERROR(VLOOKUP($E:$E,Structure!$A:$AJ,AD$1,0)*$F195,0),IFERROR(VLOOKUP($G:$G,Structure!$A:$AJ,AD$1,0)*$H195,0))</f>
        <v>0</v>
      </c>
      <c r="AE195" s="9">
        <f>SUM(IFERROR(VLOOKUP($C:$C,Structure!$A:$AJ,AE$1,0)*$D195,0),IFERROR(VLOOKUP($E:$E,Structure!$A:$AJ,AE$1,0)*$F195,0),IFERROR(VLOOKUP($G:$G,Structure!$A:$AJ,AE$1,0)*$H195,0))</f>
        <v>0</v>
      </c>
      <c r="AF195" s="9">
        <f>SUM(IFERROR(VLOOKUP($C:$C,Structure!$A:$AJ,AF$1,0)*$D195,0),IFERROR(VLOOKUP($E:$E,Structure!$A:$AJ,AF$1,0)*$F195,0),IFERROR(VLOOKUP($G:$G,Structure!$A:$AJ,AF$1,0)*$H195,0))</f>
        <v>0</v>
      </c>
      <c r="AG195" s="9">
        <f>SUM(IFERROR(VLOOKUP($C:$C,Structure!$A:$AJ,AG$1,0)*$D195,0),IFERROR(VLOOKUP($E:$E,Structure!$A:$AJ,AG$1,0)*$F195,0),IFERROR(VLOOKUP($G:$G,Structure!$A:$AJ,AG$1,0)*$H195,0))</f>
        <v>0</v>
      </c>
      <c r="AH195" s="9">
        <f>SUM(IFERROR(VLOOKUP($C:$C,Structure!$A:$AJ,AH$1,0)*$D195,0),IFERROR(VLOOKUP($E:$E,Structure!$A:$AJ,AH$1,0)*$F195,0),IFERROR(VLOOKUP($G:$G,Structure!$A:$AJ,AH$1,0)*$H195,0))</f>
        <v>0</v>
      </c>
      <c r="AI195" s="9">
        <f>SUM(IFERROR(VLOOKUP($C:$C,Structure!$A:$AJ,AI$1,0)*$D195,0),IFERROR(VLOOKUP($E:$E,Structure!$A:$AJ,AI$1,0)*$F195,0),IFERROR(VLOOKUP($G:$G,Structure!$A:$AJ,AI$1,0)*$H195,0))</f>
        <v>0</v>
      </c>
      <c r="AJ195" s="9">
        <f>SUM(IFERROR(VLOOKUP($C:$C,Structure!$A:$AJ,AJ$1,0)*$D195,0),IFERROR(VLOOKUP($E:$E,Structure!$A:$AJ,AJ$1,0)*$F195,0),IFERROR(VLOOKUP($G:$G,Structure!$A:$AJ,AJ$1,0)*$H195,0))</f>
        <v>0</v>
      </c>
      <c r="AK195" s="9">
        <f>SUM(IFERROR(VLOOKUP($C:$C,Structure!$A:$AJ,AK$1,0)*$D195,0),IFERROR(VLOOKUP($E:$E,Structure!$A:$AJ,AK$1,0)*$F195,0),IFERROR(VLOOKUP($G:$G,Structure!$A:$AJ,AK$1,0)*$H195,0))</f>
        <v>0</v>
      </c>
      <c r="AL195" s="9">
        <f>SUM(IFERROR(VLOOKUP($C:$C,Structure!$A:$AJ,AL$1,0)*$D195,0),IFERROR(VLOOKUP($E:$E,Structure!$A:$AJ,AL$1,0)*$F195,0),IFERROR(VLOOKUP($G:$G,Structure!$A:$AJ,AL$1,0)*$H195,0))</f>
        <v>0</v>
      </c>
      <c r="AM195" s="9">
        <f>SUM(IFERROR(VLOOKUP($C:$C,Structure!$A:$AJ,AM$1,0)*$D195,0),IFERROR(VLOOKUP($E:$E,Structure!$A:$AJ,AM$1,0)*$F195,0),IFERROR(VLOOKUP($G:$G,Structure!$A:$AJ,AM$1,0)*$H195,0))</f>
        <v>0</v>
      </c>
      <c r="AN195" s="9">
        <f>SUM(IFERROR(VLOOKUP($C:$C,Structure!$A:$AJ,AN$1,0)*$D195,0),IFERROR(VLOOKUP($E:$E,Structure!$A:$AJ,AN$1,0)*$F195,0),IFERROR(VLOOKUP($G:$G,Structure!$A:$AJ,AN$1,0)*$H195,0))</f>
        <v>0</v>
      </c>
      <c r="AO195" s="9">
        <f>SUM(IFERROR(VLOOKUP($C:$C,Structure!$A:$AJ,AO$1,0)*$D195,0),IFERROR(VLOOKUP($E:$E,Structure!$A:$AJ,AO$1,0)*$F195,0),IFERROR(VLOOKUP($G:$G,Structure!$A:$AJ,AO$1,0)*$H195,0))</f>
        <v>0</v>
      </c>
      <c r="AP195" s="9">
        <f>SUM(IFERROR(VLOOKUP($C:$C,Structure!$A:$AJ,AP$1,0)*$D195,0),IFERROR(VLOOKUP($E:$E,Structure!$A:$AJ,AP$1,0)*$F195,0),IFERROR(VLOOKUP($G:$G,Structure!$A:$AJ,AP$1,0)*$H195,0))</f>
        <v>0</v>
      </c>
      <c r="AQ195" s="9">
        <f>SUM(IFERROR(VLOOKUP($C:$C,Structure!$A:$AJ,AQ$1,0)*$D195,0),IFERROR(VLOOKUP($E:$E,Structure!$A:$AJ,AQ$1,0)*$F195,0),IFERROR(VLOOKUP($G:$G,Structure!$A:$AJ,AQ$1,0)*$H195,0))</f>
        <v>0</v>
      </c>
      <c r="AR195" s="21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4">
        <f t="shared" si="232"/>
        <v>0</v>
      </c>
      <c r="CE195" s="4">
        <f t="shared" si="233"/>
        <v>-132</v>
      </c>
      <c r="CF195" s="4">
        <f t="shared" si="234"/>
        <v>4</v>
      </c>
      <c r="CG195" s="4">
        <f t="shared" si="235"/>
        <v>14</v>
      </c>
      <c r="CH195" s="4">
        <f t="shared" si="236"/>
        <v>-7</v>
      </c>
      <c r="CI195" s="4">
        <f t="shared" si="237"/>
        <v>127</v>
      </c>
      <c r="CJ195" s="4">
        <f t="shared" si="238"/>
        <v>-141</v>
      </c>
      <c r="CK195" s="4">
        <f t="shared" si="239"/>
        <v>47</v>
      </c>
      <c r="CL195" s="4">
        <f t="shared" si="240"/>
        <v>0</v>
      </c>
      <c r="CM195" s="4">
        <f t="shared" si="241"/>
        <v>6</v>
      </c>
      <c r="CN195" s="4">
        <f t="shared" si="242"/>
        <v>-28</v>
      </c>
      <c r="CO195" s="4">
        <f t="shared" si="243"/>
        <v>0</v>
      </c>
      <c r="CP195" s="4">
        <f t="shared" si="244"/>
        <v>67</v>
      </c>
      <c r="CQ195" s="4">
        <f t="shared" si="245"/>
        <v>-550</v>
      </c>
      <c r="CR195" s="4">
        <f t="shared" si="246"/>
        <v>15</v>
      </c>
      <c r="CS195" s="4">
        <f t="shared" si="247"/>
        <v>-24</v>
      </c>
      <c r="CT195" s="4">
        <f t="shared" si="248"/>
        <v>0</v>
      </c>
      <c r="CU195" s="4">
        <f t="shared" si="249"/>
        <v>0</v>
      </c>
      <c r="CV195" s="4">
        <f t="shared" si="250"/>
        <v>0</v>
      </c>
      <c r="CW195" s="4">
        <f t="shared" si="251"/>
        <v>0</v>
      </c>
      <c r="CX195" s="4">
        <f t="shared" si="252"/>
        <v>-543</v>
      </c>
      <c r="CY195" s="4">
        <f t="shared" si="253"/>
        <v>0</v>
      </c>
      <c r="CZ195" s="4">
        <f t="shared" si="254"/>
        <v>0</v>
      </c>
      <c r="DA195" s="4">
        <f t="shared" si="255"/>
        <v>0</v>
      </c>
      <c r="DB195" s="4">
        <f t="shared" si="256"/>
        <v>0</v>
      </c>
      <c r="DC195" s="4">
        <f t="shared" si="257"/>
        <v>0</v>
      </c>
      <c r="DD195" s="4">
        <f t="shared" si="258"/>
        <v>0</v>
      </c>
      <c r="DE195" s="4">
        <f t="shared" si="259"/>
        <v>0</v>
      </c>
      <c r="DF195" s="4">
        <f t="shared" si="260"/>
        <v>0</v>
      </c>
      <c r="DG195" s="4">
        <f t="shared" si="261"/>
        <v>0</v>
      </c>
      <c r="DH195" s="4">
        <f t="shared" si="262"/>
        <v>0</v>
      </c>
      <c r="DI195" s="4">
        <f t="shared" si="263"/>
        <v>0</v>
      </c>
      <c r="DJ195" s="4">
        <f t="shared" si="264"/>
        <v>0</v>
      </c>
      <c r="DK195" s="4">
        <f t="shared" si="265"/>
        <v>0</v>
      </c>
      <c r="DL195" s="4">
        <f t="shared" si="266"/>
        <v>0</v>
      </c>
    </row>
    <row r="196" spans="1:116" x14ac:dyDescent="0.25">
      <c r="A196" s="5">
        <v>46187</v>
      </c>
      <c r="B196" s="6">
        <v>0.33333333380141994</v>
      </c>
      <c r="C196" s="3"/>
      <c r="D196" s="3"/>
      <c r="E196" s="3" t="s">
        <v>38</v>
      </c>
      <c r="F196" s="3">
        <v>8</v>
      </c>
      <c r="G196" s="3"/>
      <c r="H196" s="9"/>
      <c r="I196" s="9">
        <f>SUM(IFERROR(VLOOKUP($C:$C,Structure!$A:$AJ,I$1,0)*$D196,0),IFERROR(VLOOKUP($E:$E,Structure!$A:$AJ,I$1,0)*$F196,0),IFERROR(VLOOKUP($G:$G,Structure!$A:$AJ,I$1,0)*$H196,0))</f>
        <v>0</v>
      </c>
      <c r="J196" s="9">
        <f>SUM(IFERROR(VLOOKUP($C:$C,Structure!$A:$AJ,J$1,0)*$D196,0),IFERROR(VLOOKUP($E:$E,Structure!$A:$AJ,J$1,0)*$F196,0),IFERROR(VLOOKUP($G:$G,Structure!$A:$AJ,J$1,0)*$H196,0))</f>
        <v>8</v>
      </c>
      <c r="K196" s="9">
        <f>SUM(IFERROR(VLOOKUP($C:$C,Structure!$A:$AJ,K$1,0)*$D196,0),IFERROR(VLOOKUP($E:$E,Structure!$A:$AJ,K$1,0)*$F196,0),IFERROR(VLOOKUP($G:$G,Structure!$A:$AJ,K$1,0)*$H196,0))</f>
        <v>0</v>
      </c>
      <c r="L196" s="9">
        <f>SUM(IFERROR(VLOOKUP($C:$C,Structure!$A:$AJ,L$1,0)*$D196,0),IFERROR(VLOOKUP($E:$E,Structure!$A:$AJ,L$1,0)*$F196,0),IFERROR(VLOOKUP($G:$G,Structure!$A:$AJ,L$1,0)*$H196,0))</f>
        <v>0</v>
      </c>
      <c r="M196" s="9">
        <f>SUM(IFERROR(VLOOKUP($C:$C,Structure!$A:$AJ,M$1,0)*$D196,0),IFERROR(VLOOKUP($E:$E,Structure!$A:$AJ,M$1,0)*$F196,0),IFERROR(VLOOKUP($G:$G,Structure!$A:$AJ,M$1,0)*$H196,0))</f>
        <v>0</v>
      </c>
      <c r="N196" s="9">
        <f>SUM(IFERROR(VLOOKUP($C:$C,Structure!$A:$AJ,N$1,0)*$D196,0),IFERROR(VLOOKUP($E:$E,Structure!$A:$AJ,N$1,0)*$F196,0),IFERROR(VLOOKUP($G:$G,Structure!$A:$AJ,N$1,0)*$H196,0))</f>
        <v>0</v>
      </c>
      <c r="O196" s="9">
        <f>SUM(IFERROR(VLOOKUP($C:$C,Structure!$A:$AJ,O$1,0)*$D196,0),IFERROR(VLOOKUP($E:$E,Structure!$A:$AJ,O$1,0)*$F196,0),IFERROR(VLOOKUP($G:$G,Structure!$A:$AJ,O$1,0)*$H196,0))</f>
        <v>0</v>
      </c>
      <c r="P196" s="9">
        <f>SUM(IFERROR(VLOOKUP($C:$C,Structure!$A:$AJ,P$1,0)*$D196,0),IFERROR(VLOOKUP($E:$E,Structure!$A:$AJ,P$1,0)*$F196,0),IFERROR(VLOOKUP($G:$G,Structure!$A:$AJ,P$1,0)*$H196,0))</f>
        <v>8</v>
      </c>
      <c r="Q196" s="9">
        <f>SUM(IFERROR(VLOOKUP($C:$C,Structure!$A:$AJ,Q$1,0)*$D196,0),IFERROR(VLOOKUP($E:$E,Structure!$A:$AJ,Q$1,0)*$F196,0),IFERROR(VLOOKUP($G:$G,Structure!$A:$AJ,Q$1,0)*$H196,0))</f>
        <v>0</v>
      </c>
      <c r="R196" s="9">
        <f>SUM(IFERROR(VLOOKUP($C:$C,Structure!$A:$AJ,R$1,0)*$D196,0),IFERROR(VLOOKUP($E:$E,Structure!$A:$AJ,R$1,0)*$F196,0),IFERROR(VLOOKUP($G:$G,Structure!$A:$AJ,R$1,0)*$H196,0))</f>
        <v>0</v>
      </c>
      <c r="S196" s="9">
        <f>SUM(IFERROR(VLOOKUP($C:$C,Structure!$A:$AJ,S$1,0)*$D196,0),IFERROR(VLOOKUP($E:$E,Structure!$A:$AJ,S$1,0)*$F196,0),IFERROR(VLOOKUP($G:$G,Structure!$A:$AJ,S$1,0)*$H196,0))</f>
        <v>0</v>
      </c>
      <c r="T196" s="9">
        <f>SUM(IFERROR(VLOOKUP($C:$C,Structure!$A:$AJ,T$1,0)*$D196,0),IFERROR(VLOOKUP($E:$E,Structure!$A:$AJ,T$1,0)*$F196,0),IFERROR(VLOOKUP($G:$G,Structure!$A:$AJ,T$1,0)*$H196,0))</f>
        <v>0</v>
      </c>
      <c r="U196" s="9">
        <f>SUM(IFERROR(VLOOKUP($C:$C,Structure!$A:$AJ,U$1,0)*$D196,0),IFERROR(VLOOKUP($E:$E,Structure!$A:$AJ,U$1,0)*$F196,0),IFERROR(VLOOKUP($G:$G,Structure!$A:$AJ,U$1,0)*$H196,0))</f>
        <v>0</v>
      </c>
      <c r="V196" s="9">
        <f>SUM(IFERROR(VLOOKUP($C:$C,Structure!$A:$AJ,V$1,0)*$D196,0),IFERROR(VLOOKUP($E:$E,Structure!$A:$AJ,V$1,0)*$F196,0),IFERROR(VLOOKUP($G:$G,Structure!$A:$AJ,V$1,0)*$H196,0))</f>
        <v>0</v>
      </c>
      <c r="W196" s="9">
        <f>SUM(IFERROR(VLOOKUP($C:$C,Structure!$A:$AJ,W$1,0)*$D196,0),IFERROR(VLOOKUP($E:$E,Structure!$A:$AJ,W$1,0)*$F196,0),IFERROR(VLOOKUP($G:$G,Structure!$A:$AJ,W$1,0)*$H196,0))</f>
        <v>0</v>
      </c>
      <c r="X196" s="9">
        <f>SUM(IFERROR(VLOOKUP($C:$C,Structure!$A:$AJ,X$1,0)*$D196,0),IFERROR(VLOOKUP($E:$E,Structure!$A:$AJ,X$1,0)*$F196,0),IFERROR(VLOOKUP($G:$G,Structure!$A:$AJ,X$1,0)*$H196,0))</f>
        <v>0</v>
      </c>
      <c r="Y196" s="9">
        <f>SUM(IFERROR(VLOOKUP($C:$C,Structure!$A:$AJ,Y$1,0)*$D196,0),IFERROR(VLOOKUP($E:$E,Structure!$A:$AJ,Y$1,0)*$F196,0),IFERROR(VLOOKUP($G:$G,Structure!$A:$AJ,Y$1,0)*$H196,0))</f>
        <v>0</v>
      </c>
      <c r="Z196" s="9">
        <f>SUM(IFERROR(VLOOKUP($C:$C,Structure!$A:$AJ,Z$1,0)*$D196,0),IFERROR(VLOOKUP($E:$E,Structure!$A:$AJ,Z$1,0)*$F196,0),IFERROR(VLOOKUP($G:$G,Structure!$A:$AJ,Z$1,0)*$H196,0))</f>
        <v>0</v>
      </c>
      <c r="AA196" s="9">
        <f>SUM(IFERROR(VLOOKUP($C:$C,Structure!$A:$AJ,AA$1,0)*$D196,0),IFERROR(VLOOKUP($E:$E,Structure!$A:$AJ,AA$1,0)*$F196,0),IFERROR(VLOOKUP($G:$G,Structure!$A:$AJ,AA$1,0)*$H196,0))</f>
        <v>0</v>
      </c>
      <c r="AB196" s="9">
        <f>SUM(IFERROR(VLOOKUP($C:$C,Structure!$A:$AJ,AB$1,0)*$D196,0),IFERROR(VLOOKUP($E:$E,Structure!$A:$AJ,AB$1,0)*$F196,0),IFERROR(VLOOKUP($G:$G,Structure!$A:$AJ,AB$1,0)*$H196,0))</f>
        <v>0</v>
      </c>
      <c r="AC196" s="9">
        <f>SUM(IFERROR(VLOOKUP($C:$C,Structure!$A:$AJ,AC$1,0)*$D196,0),IFERROR(VLOOKUP($E:$E,Structure!$A:$AJ,AC$1,0)*$F196,0),IFERROR(VLOOKUP($G:$G,Structure!$A:$AJ,AC$1,0)*$H196,0))</f>
        <v>0</v>
      </c>
      <c r="AD196" s="9">
        <f>SUM(IFERROR(VLOOKUP($C:$C,Structure!$A:$AJ,AD$1,0)*$D196,0),IFERROR(VLOOKUP($E:$E,Structure!$A:$AJ,AD$1,0)*$F196,0),IFERROR(VLOOKUP($G:$G,Structure!$A:$AJ,AD$1,0)*$H196,0))</f>
        <v>0</v>
      </c>
      <c r="AE196" s="9">
        <f>SUM(IFERROR(VLOOKUP($C:$C,Structure!$A:$AJ,AE$1,0)*$D196,0),IFERROR(VLOOKUP($E:$E,Structure!$A:$AJ,AE$1,0)*$F196,0),IFERROR(VLOOKUP($G:$G,Structure!$A:$AJ,AE$1,0)*$H196,0))</f>
        <v>0</v>
      </c>
      <c r="AF196" s="9">
        <f>SUM(IFERROR(VLOOKUP($C:$C,Structure!$A:$AJ,AF$1,0)*$D196,0),IFERROR(VLOOKUP($E:$E,Structure!$A:$AJ,AF$1,0)*$F196,0),IFERROR(VLOOKUP($G:$G,Structure!$A:$AJ,AF$1,0)*$H196,0))</f>
        <v>0</v>
      </c>
      <c r="AG196" s="9">
        <f>SUM(IFERROR(VLOOKUP($C:$C,Structure!$A:$AJ,AG$1,0)*$D196,0),IFERROR(VLOOKUP($E:$E,Structure!$A:$AJ,AG$1,0)*$F196,0),IFERROR(VLOOKUP($G:$G,Structure!$A:$AJ,AG$1,0)*$H196,0))</f>
        <v>0</v>
      </c>
      <c r="AH196" s="9">
        <f>SUM(IFERROR(VLOOKUP($C:$C,Structure!$A:$AJ,AH$1,0)*$D196,0),IFERROR(VLOOKUP($E:$E,Structure!$A:$AJ,AH$1,0)*$F196,0),IFERROR(VLOOKUP($G:$G,Structure!$A:$AJ,AH$1,0)*$H196,0))</f>
        <v>0</v>
      </c>
      <c r="AI196" s="9">
        <f>SUM(IFERROR(VLOOKUP($C:$C,Structure!$A:$AJ,AI$1,0)*$D196,0),IFERROR(VLOOKUP($E:$E,Structure!$A:$AJ,AI$1,0)*$F196,0),IFERROR(VLOOKUP($G:$G,Structure!$A:$AJ,AI$1,0)*$H196,0))</f>
        <v>0</v>
      </c>
      <c r="AJ196" s="9">
        <f>SUM(IFERROR(VLOOKUP($C:$C,Structure!$A:$AJ,AJ$1,0)*$D196,0),IFERROR(VLOOKUP($E:$E,Structure!$A:$AJ,AJ$1,0)*$F196,0),IFERROR(VLOOKUP($G:$G,Structure!$A:$AJ,AJ$1,0)*$H196,0))</f>
        <v>0</v>
      </c>
      <c r="AK196" s="9">
        <f>SUM(IFERROR(VLOOKUP($C:$C,Structure!$A:$AJ,AK$1,0)*$D196,0),IFERROR(VLOOKUP($E:$E,Structure!$A:$AJ,AK$1,0)*$F196,0),IFERROR(VLOOKUP($G:$G,Structure!$A:$AJ,AK$1,0)*$H196,0))</f>
        <v>0</v>
      </c>
      <c r="AL196" s="9">
        <f>SUM(IFERROR(VLOOKUP($C:$C,Structure!$A:$AJ,AL$1,0)*$D196,0),IFERROR(VLOOKUP($E:$E,Structure!$A:$AJ,AL$1,0)*$F196,0),IFERROR(VLOOKUP($G:$G,Structure!$A:$AJ,AL$1,0)*$H196,0))</f>
        <v>0</v>
      </c>
      <c r="AM196" s="9">
        <f>SUM(IFERROR(VLOOKUP($C:$C,Structure!$A:$AJ,AM$1,0)*$D196,0),IFERROR(VLOOKUP($E:$E,Structure!$A:$AJ,AM$1,0)*$F196,0),IFERROR(VLOOKUP($G:$G,Structure!$A:$AJ,AM$1,0)*$H196,0))</f>
        <v>0</v>
      </c>
      <c r="AN196" s="9">
        <f>SUM(IFERROR(VLOOKUP($C:$C,Structure!$A:$AJ,AN$1,0)*$D196,0),IFERROR(VLOOKUP($E:$E,Structure!$A:$AJ,AN$1,0)*$F196,0),IFERROR(VLOOKUP($G:$G,Structure!$A:$AJ,AN$1,0)*$H196,0))</f>
        <v>0</v>
      </c>
      <c r="AO196" s="9">
        <f>SUM(IFERROR(VLOOKUP($C:$C,Structure!$A:$AJ,AO$1,0)*$D196,0),IFERROR(VLOOKUP($E:$E,Structure!$A:$AJ,AO$1,0)*$F196,0),IFERROR(VLOOKUP($G:$G,Structure!$A:$AJ,AO$1,0)*$H196,0))</f>
        <v>0</v>
      </c>
      <c r="AP196" s="9">
        <f>SUM(IFERROR(VLOOKUP($C:$C,Structure!$A:$AJ,AP$1,0)*$D196,0),IFERROR(VLOOKUP($E:$E,Structure!$A:$AJ,AP$1,0)*$F196,0),IFERROR(VLOOKUP($G:$G,Structure!$A:$AJ,AP$1,0)*$H196,0))</f>
        <v>0</v>
      </c>
      <c r="AQ196" s="9">
        <f>SUM(IFERROR(VLOOKUP($C:$C,Structure!$A:$AJ,AQ$1,0)*$D196,0),IFERROR(VLOOKUP($E:$E,Structure!$A:$AJ,AQ$1,0)*$F196,0),IFERROR(VLOOKUP($G:$G,Structure!$A:$AJ,AQ$1,0)*$H196,0))</f>
        <v>0</v>
      </c>
      <c r="AR196" s="21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4">
        <f t="shared" si="232"/>
        <v>0</v>
      </c>
      <c r="CE196" s="4">
        <f t="shared" si="233"/>
        <v>-140</v>
      </c>
      <c r="CF196" s="4">
        <f t="shared" si="234"/>
        <v>4</v>
      </c>
      <c r="CG196" s="4">
        <f t="shared" si="235"/>
        <v>14</v>
      </c>
      <c r="CH196" s="4">
        <f t="shared" si="236"/>
        <v>-7</v>
      </c>
      <c r="CI196" s="4">
        <f t="shared" si="237"/>
        <v>127</v>
      </c>
      <c r="CJ196" s="4">
        <f t="shared" si="238"/>
        <v>-141</v>
      </c>
      <c r="CK196" s="4">
        <f t="shared" si="239"/>
        <v>39</v>
      </c>
      <c r="CL196" s="4">
        <f t="shared" si="240"/>
        <v>0</v>
      </c>
      <c r="CM196" s="4">
        <f t="shared" si="241"/>
        <v>6</v>
      </c>
      <c r="CN196" s="4">
        <f t="shared" si="242"/>
        <v>-28</v>
      </c>
      <c r="CO196" s="4">
        <f t="shared" si="243"/>
        <v>0</v>
      </c>
      <c r="CP196" s="4">
        <f t="shared" si="244"/>
        <v>67</v>
      </c>
      <c r="CQ196" s="4">
        <f t="shared" si="245"/>
        <v>-550</v>
      </c>
      <c r="CR196" s="4">
        <f t="shared" si="246"/>
        <v>15</v>
      </c>
      <c r="CS196" s="4">
        <f t="shared" si="247"/>
        <v>-24</v>
      </c>
      <c r="CT196" s="4">
        <f t="shared" si="248"/>
        <v>0</v>
      </c>
      <c r="CU196" s="4">
        <f t="shared" si="249"/>
        <v>0</v>
      </c>
      <c r="CV196" s="4">
        <f t="shared" si="250"/>
        <v>0</v>
      </c>
      <c r="CW196" s="4">
        <f t="shared" si="251"/>
        <v>0</v>
      </c>
      <c r="CX196" s="4">
        <f t="shared" si="252"/>
        <v>-543</v>
      </c>
      <c r="CY196" s="4">
        <f t="shared" si="253"/>
        <v>0</v>
      </c>
      <c r="CZ196" s="4">
        <f t="shared" si="254"/>
        <v>0</v>
      </c>
      <c r="DA196" s="4">
        <f t="shared" si="255"/>
        <v>0</v>
      </c>
      <c r="DB196" s="4">
        <f t="shared" si="256"/>
        <v>0</v>
      </c>
      <c r="DC196" s="4">
        <f t="shared" si="257"/>
        <v>0</v>
      </c>
      <c r="DD196" s="4">
        <f t="shared" si="258"/>
        <v>0</v>
      </c>
      <c r="DE196" s="4">
        <f t="shared" si="259"/>
        <v>0</v>
      </c>
      <c r="DF196" s="4">
        <f t="shared" si="260"/>
        <v>0</v>
      </c>
      <c r="DG196" s="4">
        <f t="shared" si="261"/>
        <v>0</v>
      </c>
      <c r="DH196" s="4">
        <f t="shared" si="262"/>
        <v>0</v>
      </c>
      <c r="DI196" s="4">
        <f t="shared" si="263"/>
        <v>0</v>
      </c>
      <c r="DJ196" s="4">
        <f t="shared" si="264"/>
        <v>0</v>
      </c>
      <c r="DK196" s="4">
        <f t="shared" si="265"/>
        <v>0</v>
      </c>
      <c r="DL196" s="4">
        <f t="shared" si="266"/>
        <v>0</v>
      </c>
    </row>
    <row r="197" spans="1:116" x14ac:dyDescent="0.25">
      <c r="A197" s="5">
        <v>46187</v>
      </c>
      <c r="B197" s="6">
        <v>0.35416666713717859</v>
      </c>
      <c r="C197" s="3"/>
      <c r="D197" s="3"/>
      <c r="E197" s="3" t="s">
        <v>38</v>
      </c>
      <c r="F197" s="3">
        <v>8</v>
      </c>
      <c r="G197" s="3"/>
      <c r="H197" s="9"/>
      <c r="I197" s="9">
        <f>SUM(IFERROR(VLOOKUP($C:$C,Structure!$A:$AJ,I$1,0)*$D197,0),IFERROR(VLOOKUP($E:$E,Structure!$A:$AJ,I$1,0)*$F197,0),IFERROR(VLOOKUP($G:$G,Structure!$A:$AJ,I$1,0)*$H197,0))</f>
        <v>0</v>
      </c>
      <c r="J197" s="9">
        <f>SUM(IFERROR(VLOOKUP($C:$C,Structure!$A:$AJ,J$1,0)*$D197,0),IFERROR(VLOOKUP($E:$E,Structure!$A:$AJ,J$1,0)*$F197,0),IFERROR(VLOOKUP($G:$G,Structure!$A:$AJ,J$1,0)*$H197,0))</f>
        <v>8</v>
      </c>
      <c r="K197" s="9">
        <f>SUM(IFERROR(VLOOKUP($C:$C,Structure!$A:$AJ,K$1,0)*$D197,0),IFERROR(VLOOKUP($E:$E,Structure!$A:$AJ,K$1,0)*$F197,0),IFERROR(VLOOKUP($G:$G,Structure!$A:$AJ,K$1,0)*$H197,0))</f>
        <v>0</v>
      </c>
      <c r="L197" s="9">
        <f>SUM(IFERROR(VLOOKUP($C:$C,Structure!$A:$AJ,L$1,0)*$D197,0),IFERROR(VLOOKUP($E:$E,Structure!$A:$AJ,L$1,0)*$F197,0),IFERROR(VLOOKUP($G:$G,Structure!$A:$AJ,L$1,0)*$H197,0))</f>
        <v>0</v>
      </c>
      <c r="M197" s="9">
        <f>SUM(IFERROR(VLOOKUP($C:$C,Structure!$A:$AJ,M$1,0)*$D197,0),IFERROR(VLOOKUP($E:$E,Structure!$A:$AJ,M$1,0)*$F197,0),IFERROR(VLOOKUP($G:$G,Structure!$A:$AJ,M$1,0)*$H197,0))</f>
        <v>0</v>
      </c>
      <c r="N197" s="9">
        <f>SUM(IFERROR(VLOOKUP($C:$C,Structure!$A:$AJ,N$1,0)*$D197,0),IFERROR(VLOOKUP($E:$E,Structure!$A:$AJ,N$1,0)*$F197,0),IFERROR(VLOOKUP($G:$G,Structure!$A:$AJ,N$1,0)*$H197,0))</f>
        <v>0</v>
      </c>
      <c r="O197" s="9">
        <f>SUM(IFERROR(VLOOKUP($C:$C,Structure!$A:$AJ,O$1,0)*$D197,0),IFERROR(VLOOKUP($E:$E,Structure!$A:$AJ,O$1,0)*$F197,0),IFERROR(VLOOKUP($G:$G,Structure!$A:$AJ,O$1,0)*$H197,0))</f>
        <v>0</v>
      </c>
      <c r="P197" s="9">
        <f>SUM(IFERROR(VLOOKUP($C:$C,Structure!$A:$AJ,P$1,0)*$D197,0),IFERROR(VLOOKUP($E:$E,Structure!$A:$AJ,P$1,0)*$F197,0),IFERROR(VLOOKUP($G:$G,Structure!$A:$AJ,P$1,0)*$H197,0))</f>
        <v>8</v>
      </c>
      <c r="Q197" s="9">
        <f>SUM(IFERROR(VLOOKUP($C:$C,Structure!$A:$AJ,Q$1,0)*$D197,0),IFERROR(VLOOKUP($E:$E,Structure!$A:$AJ,Q$1,0)*$F197,0),IFERROR(VLOOKUP($G:$G,Structure!$A:$AJ,Q$1,0)*$H197,0))</f>
        <v>0</v>
      </c>
      <c r="R197" s="9">
        <f>SUM(IFERROR(VLOOKUP($C:$C,Structure!$A:$AJ,R$1,0)*$D197,0),IFERROR(VLOOKUP($E:$E,Structure!$A:$AJ,R$1,0)*$F197,0),IFERROR(VLOOKUP($G:$G,Structure!$A:$AJ,R$1,0)*$H197,0))</f>
        <v>0</v>
      </c>
      <c r="S197" s="9">
        <f>SUM(IFERROR(VLOOKUP($C:$C,Structure!$A:$AJ,S$1,0)*$D197,0),IFERROR(VLOOKUP($E:$E,Structure!$A:$AJ,S$1,0)*$F197,0),IFERROR(VLOOKUP($G:$G,Structure!$A:$AJ,S$1,0)*$H197,0))</f>
        <v>0</v>
      </c>
      <c r="T197" s="9">
        <f>SUM(IFERROR(VLOOKUP($C:$C,Structure!$A:$AJ,T$1,0)*$D197,0),IFERROR(VLOOKUP($E:$E,Structure!$A:$AJ,T$1,0)*$F197,0),IFERROR(VLOOKUP($G:$G,Structure!$A:$AJ,T$1,0)*$H197,0))</f>
        <v>0</v>
      </c>
      <c r="U197" s="9">
        <f>SUM(IFERROR(VLOOKUP($C:$C,Structure!$A:$AJ,U$1,0)*$D197,0),IFERROR(VLOOKUP($E:$E,Structure!$A:$AJ,U$1,0)*$F197,0),IFERROR(VLOOKUP($G:$G,Structure!$A:$AJ,U$1,0)*$H197,0))</f>
        <v>0</v>
      </c>
      <c r="V197" s="9">
        <f>SUM(IFERROR(VLOOKUP($C:$C,Structure!$A:$AJ,V$1,0)*$D197,0),IFERROR(VLOOKUP($E:$E,Structure!$A:$AJ,V$1,0)*$F197,0),IFERROR(VLOOKUP($G:$G,Structure!$A:$AJ,V$1,0)*$H197,0))</f>
        <v>0</v>
      </c>
      <c r="W197" s="9">
        <f>SUM(IFERROR(VLOOKUP($C:$C,Structure!$A:$AJ,W$1,0)*$D197,0),IFERROR(VLOOKUP($E:$E,Structure!$A:$AJ,W$1,0)*$F197,0),IFERROR(VLOOKUP($G:$G,Structure!$A:$AJ,W$1,0)*$H197,0))</f>
        <v>0</v>
      </c>
      <c r="X197" s="9">
        <f>SUM(IFERROR(VLOOKUP($C:$C,Structure!$A:$AJ,X$1,0)*$D197,0),IFERROR(VLOOKUP($E:$E,Structure!$A:$AJ,X$1,0)*$F197,0),IFERROR(VLOOKUP($G:$G,Structure!$A:$AJ,X$1,0)*$H197,0))</f>
        <v>0</v>
      </c>
      <c r="Y197" s="9">
        <f>SUM(IFERROR(VLOOKUP($C:$C,Structure!$A:$AJ,Y$1,0)*$D197,0),IFERROR(VLOOKUP($E:$E,Structure!$A:$AJ,Y$1,0)*$F197,0),IFERROR(VLOOKUP($G:$G,Structure!$A:$AJ,Y$1,0)*$H197,0))</f>
        <v>0</v>
      </c>
      <c r="Z197" s="9">
        <f>SUM(IFERROR(VLOOKUP($C:$C,Structure!$A:$AJ,Z$1,0)*$D197,0),IFERROR(VLOOKUP($E:$E,Structure!$A:$AJ,Z$1,0)*$F197,0),IFERROR(VLOOKUP($G:$G,Structure!$A:$AJ,Z$1,0)*$H197,0))</f>
        <v>0</v>
      </c>
      <c r="AA197" s="9">
        <f>SUM(IFERROR(VLOOKUP($C:$C,Structure!$A:$AJ,AA$1,0)*$D197,0),IFERROR(VLOOKUP($E:$E,Structure!$A:$AJ,AA$1,0)*$F197,0),IFERROR(VLOOKUP($G:$G,Structure!$A:$AJ,AA$1,0)*$H197,0))</f>
        <v>0</v>
      </c>
      <c r="AB197" s="9">
        <f>SUM(IFERROR(VLOOKUP($C:$C,Structure!$A:$AJ,AB$1,0)*$D197,0),IFERROR(VLOOKUP($E:$E,Structure!$A:$AJ,AB$1,0)*$F197,0),IFERROR(VLOOKUP($G:$G,Structure!$A:$AJ,AB$1,0)*$H197,0))</f>
        <v>0</v>
      </c>
      <c r="AC197" s="9">
        <f>SUM(IFERROR(VLOOKUP($C:$C,Structure!$A:$AJ,AC$1,0)*$D197,0),IFERROR(VLOOKUP($E:$E,Structure!$A:$AJ,AC$1,0)*$F197,0),IFERROR(VLOOKUP($G:$G,Structure!$A:$AJ,AC$1,0)*$H197,0))</f>
        <v>0</v>
      </c>
      <c r="AD197" s="9">
        <f>SUM(IFERROR(VLOOKUP($C:$C,Structure!$A:$AJ,AD$1,0)*$D197,0),IFERROR(VLOOKUP($E:$E,Structure!$A:$AJ,AD$1,0)*$F197,0),IFERROR(VLOOKUP($G:$G,Structure!$A:$AJ,AD$1,0)*$H197,0))</f>
        <v>0</v>
      </c>
      <c r="AE197" s="9">
        <f>SUM(IFERROR(VLOOKUP($C:$C,Structure!$A:$AJ,AE$1,0)*$D197,0),IFERROR(VLOOKUP($E:$E,Structure!$A:$AJ,AE$1,0)*$F197,0),IFERROR(VLOOKUP($G:$G,Structure!$A:$AJ,AE$1,0)*$H197,0))</f>
        <v>0</v>
      </c>
      <c r="AF197" s="9">
        <f>SUM(IFERROR(VLOOKUP($C:$C,Structure!$A:$AJ,AF$1,0)*$D197,0),IFERROR(VLOOKUP($E:$E,Structure!$A:$AJ,AF$1,0)*$F197,0),IFERROR(VLOOKUP($G:$G,Structure!$A:$AJ,AF$1,0)*$H197,0))</f>
        <v>0</v>
      </c>
      <c r="AG197" s="9">
        <f>SUM(IFERROR(VLOOKUP($C:$C,Structure!$A:$AJ,AG$1,0)*$D197,0),IFERROR(VLOOKUP($E:$E,Structure!$A:$AJ,AG$1,0)*$F197,0),IFERROR(VLOOKUP($G:$G,Structure!$A:$AJ,AG$1,0)*$H197,0))</f>
        <v>0</v>
      </c>
      <c r="AH197" s="9">
        <f>SUM(IFERROR(VLOOKUP($C:$C,Structure!$A:$AJ,AH$1,0)*$D197,0),IFERROR(VLOOKUP($E:$E,Structure!$A:$AJ,AH$1,0)*$F197,0),IFERROR(VLOOKUP($G:$G,Structure!$A:$AJ,AH$1,0)*$H197,0))</f>
        <v>0</v>
      </c>
      <c r="AI197" s="9">
        <f>SUM(IFERROR(VLOOKUP($C:$C,Structure!$A:$AJ,AI$1,0)*$D197,0),IFERROR(VLOOKUP($E:$E,Structure!$A:$AJ,AI$1,0)*$F197,0),IFERROR(VLOOKUP($G:$G,Structure!$A:$AJ,AI$1,0)*$H197,0))</f>
        <v>0</v>
      </c>
      <c r="AJ197" s="9">
        <f>SUM(IFERROR(VLOOKUP($C:$C,Structure!$A:$AJ,AJ$1,0)*$D197,0),IFERROR(VLOOKUP($E:$E,Structure!$A:$AJ,AJ$1,0)*$F197,0),IFERROR(VLOOKUP($G:$G,Structure!$A:$AJ,AJ$1,0)*$H197,0))</f>
        <v>0</v>
      </c>
      <c r="AK197" s="9">
        <f>SUM(IFERROR(VLOOKUP($C:$C,Structure!$A:$AJ,AK$1,0)*$D197,0),IFERROR(VLOOKUP($E:$E,Structure!$A:$AJ,AK$1,0)*$F197,0),IFERROR(VLOOKUP($G:$G,Structure!$A:$AJ,AK$1,0)*$H197,0))</f>
        <v>0</v>
      </c>
      <c r="AL197" s="9">
        <f>SUM(IFERROR(VLOOKUP($C:$C,Structure!$A:$AJ,AL$1,0)*$D197,0),IFERROR(VLOOKUP($E:$E,Structure!$A:$AJ,AL$1,0)*$F197,0),IFERROR(VLOOKUP($G:$G,Structure!$A:$AJ,AL$1,0)*$H197,0))</f>
        <v>0</v>
      </c>
      <c r="AM197" s="9">
        <f>SUM(IFERROR(VLOOKUP($C:$C,Structure!$A:$AJ,AM$1,0)*$D197,0),IFERROR(VLOOKUP($E:$E,Structure!$A:$AJ,AM$1,0)*$F197,0),IFERROR(VLOOKUP($G:$G,Structure!$A:$AJ,AM$1,0)*$H197,0))</f>
        <v>0</v>
      </c>
      <c r="AN197" s="9">
        <f>SUM(IFERROR(VLOOKUP($C:$C,Structure!$A:$AJ,AN$1,0)*$D197,0),IFERROR(VLOOKUP($E:$E,Structure!$A:$AJ,AN$1,0)*$F197,0),IFERROR(VLOOKUP($G:$G,Structure!$A:$AJ,AN$1,0)*$H197,0))</f>
        <v>0</v>
      </c>
      <c r="AO197" s="9">
        <f>SUM(IFERROR(VLOOKUP($C:$C,Structure!$A:$AJ,AO$1,0)*$D197,0),IFERROR(VLOOKUP($E:$E,Structure!$A:$AJ,AO$1,0)*$F197,0),IFERROR(VLOOKUP($G:$G,Structure!$A:$AJ,AO$1,0)*$H197,0))</f>
        <v>0</v>
      </c>
      <c r="AP197" s="9">
        <f>SUM(IFERROR(VLOOKUP($C:$C,Structure!$A:$AJ,AP$1,0)*$D197,0),IFERROR(VLOOKUP($E:$E,Structure!$A:$AJ,AP$1,0)*$F197,0),IFERROR(VLOOKUP($G:$G,Structure!$A:$AJ,AP$1,0)*$H197,0))</f>
        <v>0</v>
      </c>
      <c r="AQ197" s="9">
        <f>SUM(IFERROR(VLOOKUP($C:$C,Structure!$A:$AJ,AQ$1,0)*$D197,0),IFERROR(VLOOKUP($E:$E,Structure!$A:$AJ,AQ$1,0)*$F197,0),IFERROR(VLOOKUP($G:$G,Structure!$A:$AJ,AQ$1,0)*$H197,0))</f>
        <v>0</v>
      </c>
      <c r="AR197" s="21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4">
        <f t="shared" si="232"/>
        <v>0</v>
      </c>
      <c r="CE197" s="4">
        <f t="shared" si="233"/>
        <v>-148</v>
      </c>
      <c r="CF197" s="4">
        <f t="shared" si="234"/>
        <v>4</v>
      </c>
      <c r="CG197" s="4">
        <f t="shared" si="235"/>
        <v>14</v>
      </c>
      <c r="CH197" s="4">
        <f t="shared" si="236"/>
        <v>-7</v>
      </c>
      <c r="CI197" s="4">
        <f t="shared" si="237"/>
        <v>127</v>
      </c>
      <c r="CJ197" s="4">
        <f t="shared" si="238"/>
        <v>-141</v>
      </c>
      <c r="CK197" s="4">
        <f t="shared" si="239"/>
        <v>31</v>
      </c>
      <c r="CL197" s="4">
        <f t="shared" si="240"/>
        <v>0</v>
      </c>
      <c r="CM197" s="4">
        <f t="shared" si="241"/>
        <v>6</v>
      </c>
      <c r="CN197" s="4">
        <f t="shared" si="242"/>
        <v>-28</v>
      </c>
      <c r="CO197" s="4">
        <f t="shared" si="243"/>
        <v>0</v>
      </c>
      <c r="CP197" s="4">
        <f t="shared" si="244"/>
        <v>67</v>
      </c>
      <c r="CQ197" s="4">
        <f t="shared" si="245"/>
        <v>-550</v>
      </c>
      <c r="CR197" s="4">
        <f t="shared" si="246"/>
        <v>15</v>
      </c>
      <c r="CS197" s="4">
        <f t="shared" si="247"/>
        <v>-24</v>
      </c>
      <c r="CT197" s="4">
        <f t="shared" si="248"/>
        <v>0</v>
      </c>
      <c r="CU197" s="4">
        <f t="shared" si="249"/>
        <v>0</v>
      </c>
      <c r="CV197" s="4">
        <f t="shared" si="250"/>
        <v>0</v>
      </c>
      <c r="CW197" s="4">
        <f t="shared" si="251"/>
        <v>0</v>
      </c>
      <c r="CX197" s="4">
        <f t="shared" si="252"/>
        <v>-543</v>
      </c>
      <c r="CY197" s="4">
        <f t="shared" si="253"/>
        <v>0</v>
      </c>
      <c r="CZ197" s="4">
        <f t="shared" si="254"/>
        <v>0</v>
      </c>
      <c r="DA197" s="4">
        <f t="shared" si="255"/>
        <v>0</v>
      </c>
      <c r="DB197" s="4">
        <f t="shared" si="256"/>
        <v>0</v>
      </c>
      <c r="DC197" s="4">
        <f t="shared" si="257"/>
        <v>0</v>
      </c>
      <c r="DD197" s="4">
        <f t="shared" si="258"/>
        <v>0</v>
      </c>
      <c r="DE197" s="4">
        <f t="shared" si="259"/>
        <v>0</v>
      </c>
      <c r="DF197" s="4">
        <f t="shared" si="260"/>
        <v>0</v>
      </c>
      <c r="DG197" s="4">
        <f t="shared" si="261"/>
        <v>0</v>
      </c>
      <c r="DH197" s="4">
        <f t="shared" si="262"/>
        <v>0</v>
      </c>
      <c r="DI197" s="4">
        <f t="shared" si="263"/>
        <v>0</v>
      </c>
      <c r="DJ197" s="4">
        <f t="shared" si="264"/>
        <v>0</v>
      </c>
      <c r="DK197" s="4">
        <f t="shared" si="265"/>
        <v>0</v>
      </c>
      <c r="DL197" s="4">
        <f t="shared" si="266"/>
        <v>0</v>
      </c>
    </row>
    <row r="198" spans="1:116" x14ac:dyDescent="0.25">
      <c r="A198" s="5">
        <v>46187</v>
      </c>
      <c r="B198" s="6">
        <v>0.37500000047293724</v>
      </c>
      <c r="C198" s="3"/>
      <c r="D198" s="3"/>
      <c r="E198" s="3" t="s">
        <v>38</v>
      </c>
      <c r="F198" s="3">
        <v>8</v>
      </c>
      <c r="G198" s="3"/>
      <c r="H198" s="9"/>
      <c r="I198" s="9">
        <f>SUM(IFERROR(VLOOKUP($C:$C,Structure!$A:$AJ,I$1,0)*$D198,0),IFERROR(VLOOKUP($E:$E,Structure!$A:$AJ,I$1,0)*$F198,0),IFERROR(VLOOKUP($G:$G,Structure!$A:$AJ,I$1,0)*$H198,0))</f>
        <v>0</v>
      </c>
      <c r="J198" s="9">
        <f>SUM(IFERROR(VLOOKUP($C:$C,Structure!$A:$AJ,J$1,0)*$D198,0),IFERROR(VLOOKUP($E:$E,Structure!$A:$AJ,J$1,0)*$F198,0),IFERROR(VLOOKUP($G:$G,Structure!$A:$AJ,J$1,0)*$H198,0))</f>
        <v>8</v>
      </c>
      <c r="K198" s="9">
        <f>SUM(IFERROR(VLOOKUP($C:$C,Structure!$A:$AJ,K$1,0)*$D198,0),IFERROR(VLOOKUP($E:$E,Structure!$A:$AJ,K$1,0)*$F198,0),IFERROR(VLOOKUP($G:$G,Structure!$A:$AJ,K$1,0)*$H198,0))</f>
        <v>0</v>
      </c>
      <c r="L198" s="9">
        <f>SUM(IFERROR(VLOOKUP($C:$C,Structure!$A:$AJ,L$1,0)*$D198,0),IFERROR(VLOOKUP($E:$E,Structure!$A:$AJ,L$1,0)*$F198,0),IFERROR(VLOOKUP($G:$G,Structure!$A:$AJ,L$1,0)*$H198,0))</f>
        <v>0</v>
      </c>
      <c r="M198" s="9">
        <f>SUM(IFERROR(VLOOKUP($C:$C,Structure!$A:$AJ,M$1,0)*$D198,0),IFERROR(VLOOKUP($E:$E,Structure!$A:$AJ,M$1,0)*$F198,0),IFERROR(VLOOKUP($G:$G,Structure!$A:$AJ,M$1,0)*$H198,0))</f>
        <v>0</v>
      </c>
      <c r="N198" s="9">
        <f>SUM(IFERROR(VLOOKUP($C:$C,Structure!$A:$AJ,N$1,0)*$D198,0),IFERROR(VLOOKUP($E:$E,Structure!$A:$AJ,N$1,0)*$F198,0),IFERROR(VLOOKUP($G:$G,Structure!$A:$AJ,N$1,0)*$H198,0))</f>
        <v>0</v>
      </c>
      <c r="O198" s="9">
        <f>SUM(IFERROR(VLOOKUP($C:$C,Structure!$A:$AJ,O$1,0)*$D198,0),IFERROR(VLOOKUP($E:$E,Structure!$A:$AJ,O$1,0)*$F198,0),IFERROR(VLOOKUP($G:$G,Structure!$A:$AJ,O$1,0)*$H198,0))</f>
        <v>0</v>
      </c>
      <c r="P198" s="9">
        <f>SUM(IFERROR(VLOOKUP($C:$C,Structure!$A:$AJ,P$1,0)*$D198,0),IFERROR(VLOOKUP($E:$E,Structure!$A:$AJ,P$1,0)*$F198,0),IFERROR(VLOOKUP($G:$G,Structure!$A:$AJ,P$1,0)*$H198,0))</f>
        <v>8</v>
      </c>
      <c r="Q198" s="9">
        <f>SUM(IFERROR(VLOOKUP($C:$C,Structure!$A:$AJ,Q$1,0)*$D198,0),IFERROR(VLOOKUP($E:$E,Structure!$A:$AJ,Q$1,0)*$F198,0),IFERROR(VLOOKUP($G:$G,Structure!$A:$AJ,Q$1,0)*$H198,0))</f>
        <v>0</v>
      </c>
      <c r="R198" s="9">
        <f>SUM(IFERROR(VLOOKUP($C:$C,Structure!$A:$AJ,R$1,0)*$D198,0),IFERROR(VLOOKUP($E:$E,Structure!$A:$AJ,R$1,0)*$F198,0),IFERROR(VLOOKUP($G:$G,Structure!$A:$AJ,R$1,0)*$H198,0))</f>
        <v>0</v>
      </c>
      <c r="S198" s="9">
        <f>SUM(IFERROR(VLOOKUP($C:$C,Structure!$A:$AJ,S$1,0)*$D198,0),IFERROR(VLOOKUP($E:$E,Structure!$A:$AJ,S$1,0)*$F198,0),IFERROR(VLOOKUP($G:$G,Structure!$A:$AJ,S$1,0)*$H198,0))</f>
        <v>0</v>
      </c>
      <c r="T198" s="9">
        <f>SUM(IFERROR(VLOOKUP($C:$C,Structure!$A:$AJ,T$1,0)*$D198,0),IFERROR(VLOOKUP($E:$E,Structure!$A:$AJ,T$1,0)*$F198,0),IFERROR(VLOOKUP($G:$G,Structure!$A:$AJ,T$1,0)*$H198,0))</f>
        <v>0</v>
      </c>
      <c r="U198" s="9">
        <f>SUM(IFERROR(VLOOKUP($C:$C,Structure!$A:$AJ,U$1,0)*$D198,0),IFERROR(VLOOKUP($E:$E,Structure!$A:$AJ,U$1,0)*$F198,0),IFERROR(VLOOKUP($G:$G,Structure!$A:$AJ,U$1,0)*$H198,0))</f>
        <v>0</v>
      </c>
      <c r="V198" s="9">
        <f>SUM(IFERROR(VLOOKUP($C:$C,Structure!$A:$AJ,V$1,0)*$D198,0),IFERROR(VLOOKUP($E:$E,Structure!$A:$AJ,V$1,0)*$F198,0),IFERROR(VLOOKUP($G:$G,Structure!$A:$AJ,V$1,0)*$H198,0))</f>
        <v>0</v>
      </c>
      <c r="W198" s="9">
        <f>SUM(IFERROR(VLOOKUP($C:$C,Structure!$A:$AJ,W$1,0)*$D198,0),IFERROR(VLOOKUP($E:$E,Structure!$A:$AJ,W$1,0)*$F198,0),IFERROR(VLOOKUP($G:$G,Structure!$A:$AJ,W$1,0)*$H198,0))</f>
        <v>0</v>
      </c>
      <c r="X198" s="9">
        <f>SUM(IFERROR(VLOOKUP($C:$C,Structure!$A:$AJ,X$1,0)*$D198,0),IFERROR(VLOOKUP($E:$E,Structure!$A:$AJ,X$1,0)*$F198,0),IFERROR(VLOOKUP($G:$G,Structure!$A:$AJ,X$1,0)*$H198,0))</f>
        <v>0</v>
      </c>
      <c r="Y198" s="9">
        <f>SUM(IFERROR(VLOOKUP($C:$C,Structure!$A:$AJ,Y$1,0)*$D198,0),IFERROR(VLOOKUP($E:$E,Structure!$A:$AJ,Y$1,0)*$F198,0),IFERROR(VLOOKUP($G:$G,Structure!$A:$AJ,Y$1,0)*$H198,0))</f>
        <v>0</v>
      </c>
      <c r="Z198" s="9">
        <f>SUM(IFERROR(VLOOKUP($C:$C,Structure!$A:$AJ,Z$1,0)*$D198,0),IFERROR(VLOOKUP($E:$E,Structure!$A:$AJ,Z$1,0)*$F198,0),IFERROR(VLOOKUP($G:$G,Structure!$A:$AJ,Z$1,0)*$H198,0))</f>
        <v>0</v>
      </c>
      <c r="AA198" s="9">
        <f>SUM(IFERROR(VLOOKUP($C:$C,Structure!$A:$AJ,AA$1,0)*$D198,0),IFERROR(VLOOKUP($E:$E,Structure!$A:$AJ,AA$1,0)*$F198,0),IFERROR(VLOOKUP($G:$G,Structure!$A:$AJ,AA$1,0)*$H198,0))</f>
        <v>0</v>
      </c>
      <c r="AB198" s="9">
        <f>SUM(IFERROR(VLOOKUP($C:$C,Structure!$A:$AJ,AB$1,0)*$D198,0),IFERROR(VLOOKUP($E:$E,Structure!$A:$AJ,AB$1,0)*$F198,0),IFERROR(VLOOKUP($G:$G,Structure!$A:$AJ,AB$1,0)*$H198,0))</f>
        <v>0</v>
      </c>
      <c r="AC198" s="9">
        <f>SUM(IFERROR(VLOOKUP($C:$C,Structure!$A:$AJ,AC$1,0)*$D198,0),IFERROR(VLOOKUP($E:$E,Structure!$A:$AJ,AC$1,0)*$F198,0),IFERROR(VLOOKUP($G:$G,Structure!$A:$AJ,AC$1,0)*$H198,0))</f>
        <v>0</v>
      </c>
      <c r="AD198" s="9">
        <f>SUM(IFERROR(VLOOKUP($C:$C,Structure!$A:$AJ,AD$1,0)*$D198,0),IFERROR(VLOOKUP($E:$E,Structure!$A:$AJ,AD$1,0)*$F198,0),IFERROR(VLOOKUP($G:$G,Structure!$A:$AJ,AD$1,0)*$H198,0))</f>
        <v>0</v>
      </c>
      <c r="AE198" s="9">
        <f>SUM(IFERROR(VLOOKUP($C:$C,Structure!$A:$AJ,AE$1,0)*$D198,0),IFERROR(VLOOKUP($E:$E,Structure!$A:$AJ,AE$1,0)*$F198,0),IFERROR(VLOOKUP($G:$G,Structure!$A:$AJ,AE$1,0)*$H198,0))</f>
        <v>0</v>
      </c>
      <c r="AF198" s="9">
        <f>SUM(IFERROR(VLOOKUP($C:$C,Structure!$A:$AJ,AF$1,0)*$D198,0),IFERROR(VLOOKUP($E:$E,Structure!$A:$AJ,AF$1,0)*$F198,0),IFERROR(VLOOKUP($G:$G,Structure!$A:$AJ,AF$1,0)*$H198,0))</f>
        <v>0</v>
      </c>
      <c r="AG198" s="9">
        <f>SUM(IFERROR(VLOOKUP($C:$C,Structure!$A:$AJ,AG$1,0)*$D198,0),IFERROR(VLOOKUP($E:$E,Structure!$A:$AJ,AG$1,0)*$F198,0),IFERROR(VLOOKUP($G:$G,Structure!$A:$AJ,AG$1,0)*$H198,0))</f>
        <v>0</v>
      </c>
      <c r="AH198" s="9">
        <f>SUM(IFERROR(VLOOKUP($C:$C,Structure!$A:$AJ,AH$1,0)*$D198,0),IFERROR(VLOOKUP($E:$E,Structure!$A:$AJ,AH$1,0)*$F198,0),IFERROR(VLOOKUP($G:$G,Structure!$A:$AJ,AH$1,0)*$H198,0))</f>
        <v>0</v>
      </c>
      <c r="AI198" s="9">
        <f>SUM(IFERROR(VLOOKUP($C:$C,Structure!$A:$AJ,AI$1,0)*$D198,0),IFERROR(VLOOKUP($E:$E,Structure!$A:$AJ,AI$1,0)*$F198,0),IFERROR(VLOOKUP($G:$G,Structure!$A:$AJ,AI$1,0)*$H198,0))</f>
        <v>0</v>
      </c>
      <c r="AJ198" s="9">
        <f>SUM(IFERROR(VLOOKUP($C:$C,Structure!$A:$AJ,AJ$1,0)*$D198,0),IFERROR(VLOOKUP($E:$E,Structure!$A:$AJ,AJ$1,0)*$F198,0),IFERROR(VLOOKUP($G:$G,Structure!$A:$AJ,AJ$1,0)*$H198,0))</f>
        <v>0</v>
      </c>
      <c r="AK198" s="9">
        <f>SUM(IFERROR(VLOOKUP($C:$C,Structure!$A:$AJ,AK$1,0)*$D198,0),IFERROR(VLOOKUP($E:$E,Structure!$A:$AJ,AK$1,0)*$F198,0),IFERROR(VLOOKUP($G:$G,Structure!$A:$AJ,AK$1,0)*$H198,0))</f>
        <v>0</v>
      </c>
      <c r="AL198" s="9">
        <f>SUM(IFERROR(VLOOKUP($C:$C,Structure!$A:$AJ,AL$1,0)*$D198,0),IFERROR(VLOOKUP($E:$E,Structure!$A:$AJ,AL$1,0)*$F198,0),IFERROR(VLOOKUP($G:$G,Structure!$A:$AJ,AL$1,0)*$H198,0))</f>
        <v>0</v>
      </c>
      <c r="AM198" s="9">
        <f>SUM(IFERROR(VLOOKUP($C:$C,Structure!$A:$AJ,AM$1,0)*$D198,0),IFERROR(VLOOKUP($E:$E,Structure!$A:$AJ,AM$1,0)*$F198,0),IFERROR(VLOOKUP($G:$G,Structure!$A:$AJ,AM$1,0)*$H198,0))</f>
        <v>0</v>
      </c>
      <c r="AN198" s="9">
        <f>SUM(IFERROR(VLOOKUP($C:$C,Structure!$A:$AJ,AN$1,0)*$D198,0),IFERROR(VLOOKUP($E:$E,Structure!$A:$AJ,AN$1,0)*$F198,0),IFERROR(VLOOKUP($G:$G,Structure!$A:$AJ,AN$1,0)*$H198,0))</f>
        <v>0</v>
      </c>
      <c r="AO198" s="9">
        <f>SUM(IFERROR(VLOOKUP($C:$C,Structure!$A:$AJ,AO$1,0)*$D198,0),IFERROR(VLOOKUP($E:$E,Structure!$A:$AJ,AO$1,0)*$F198,0),IFERROR(VLOOKUP($G:$G,Structure!$A:$AJ,AO$1,0)*$H198,0))</f>
        <v>0</v>
      </c>
      <c r="AP198" s="9">
        <f>SUM(IFERROR(VLOOKUP($C:$C,Structure!$A:$AJ,AP$1,0)*$D198,0),IFERROR(VLOOKUP($E:$E,Structure!$A:$AJ,AP$1,0)*$F198,0),IFERROR(VLOOKUP($G:$G,Structure!$A:$AJ,AP$1,0)*$H198,0))</f>
        <v>0</v>
      </c>
      <c r="AQ198" s="9">
        <f>SUM(IFERROR(VLOOKUP($C:$C,Structure!$A:$AJ,AQ$1,0)*$D198,0),IFERROR(VLOOKUP($E:$E,Structure!$A:$AJ,AQ$1,0)*$F198,0),IFERROR(VLOOKUP($G:$G,Structure!$A:$AJ,AQ$1,0)*$H198,0))</f>
        <v>0</v>
      </c>
      <c r="AR198" s="21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4">
        <f t="shared" si="232"/>
        <v>0</v>
      </c>
      <c r="CE198" s="4">
        <f t="shared" si="233"/>
        <v>-156</v>
      </c>
      <c r="CF198" s="4">
        <f t="shared" si="234"/>
        <v>4</v>
      </c>
      <c r="CG198" s="4">
        <f t="shared" si="235"/>
        <v>14</v>
      </c>
      <c r="CH198" s="4">
        <f t="shared" si="236"/>
        <v>-7</v>
      </c>
      <c r="CI198" s="4">
        <f t="shared" si="237"/>
        <v>127</v>
      </c>
      <c r="CJ198" s="4">
        <f t="shared" si="238"/>
        <v>-141</v>
      </c>
      <c r="CK198" s="4">
        <f t="shared" si="239"/>
        <v>23</v>
      </c>
      <c r="CL198" s="4">
        <f t="shared" si="240"/>
        <v>0</v>
      </c>
      <c r="CM198" s="4">
        <f t="shared" si="241"/>
        <v>6</v>
      </c>
      <c r="CN198" s="4">
        <f t="shared" si="242"/>
        <v>-28</v>
      </c>
      <c r="CO198" s="4">
        <f t="shared" si="243"/>
        <v>0</v>
      </c>
      <c r="CP198" s="4">
        <f t="shared" si="244"/>
        <v>67</v>
      </c>
      <c r="CQ198" s="4">
        <f t="shared" si="245"/>
        <v>-550</v>
      </c>
      <c r="CR198" s="4">
        <f t="shared" si="246"/>
        <v>15</v>
      </c>
      <c r="CS198" s="4">
        <f t="shared" si="247"/>
        <v>-24</v>
      </c>
      <c r="CT198" s="4">
        <f t="shared" si="248"/>
        <v>0</v>
      </c>
      <c r="CU198" s="4">
        <f t="shared" si="249"/>
        <v>0</v>
      </c>
      <c r="CV198" s="4">
        <f t="shared" si="250"/>
        <v>0</v>
      </c>
      <c r="CW198" s="4">
        <f t="shared" si="251"/>
        <v>0</v>
      </c>
      <c r="CX198" s="4">
        <f t="shared" si="252"/>
        <v>-543</v>
      </c>
      <c r="CY198" s="4">
        <f t="shared" si="253"/>
        <v>0</v>
      </c>
      <c r="CZ198" s="4">
        <f t="shared" si="254"/>
        <v>0</v>
      </c>
      <c r="DA198" s="4">
        <f t="shared" si="255"/>
        <v>0</v>
      </c>
      <c r="DB198" s="4">
        <f t="shared" si="256"/>
        <v>0</v>
      </c>
      <c r="DC198" s="4">
        <f t="shared" si="257"/>
        <v>0</v>
      </c>
      <c r="DD198" s="4">
        <f t="shared" si="258"/>
        <v>0</v>
      </c>
      <c r="DE198" s="4">
        <f t="shared" si="259"/>
        <v>0</v>
      </c>
      <c r="DF198" s="4">
        <f t="shared" si="260"/>
        <v>0</v>
      </c>
      <c r="DG198" s="4">
        <f t="shared" si="261"/>
        <v>0</v>
      </c>
      <c r="DH198" s="4">
        <f t="shared" si="262"/>
        <v>0</v>
      </c>
      <c r="DI198" s="4">
        <f t="shared" si="263"/>
        <v>0</v>
      </c>
      <c r="DJ198" s="4">
        <f t="shared" si="264"/>
        <v>0</v>
      </c>
      <c r="DK198" s="4">
        <f t="shared" si="265"/>
        <v>0</v>
      </c>
      <c r="DL198" s="4">
        <f t="shared" si="266"/>
        <v>0</v>
      </c>
    </row>
    <row r="199" spans="1:116" x14ac:dyDescent="0.25">
      <c r="A199" s="5">
        <v>46187</v>
      </c>
      <c r="B199" s="6">
        <v>0.3958333338086959</v>
      </c>
      <c r="C199" s="3"/>
      <c r="D199" s="3"/>
      <c r="E199" s="3" t="s">
        <v>38</v>
      </c>
      <c r="F199" s="3">
        <v>8</v>
      </c>
      <c r="G199" s="3"/>
      <c r="H199" s="9"/>
      <c r="I199" s="9">
        <f>SUM(IFERROR(VLOOKUP($C:$C,Structure!$A:$AJ,I$1,0)*$D199,0),IFERROR(VLOOKUP($E:$E,Structure!$A:$AJ,I$1,0)*$F199,0),IFERROR(VLOOKUP($G:$G,Structure!$A:$AJ,I$1,0)*$H199,0))</f>
        <v>0</v>
      </c>
      <c r="J199" s="9">
        <f>SUM(IFERROR(VLOOKUP($C:$C,Structure!$A:$AJ,J$1,0)*$D199,0),IFERROR(VLOOKUP($E:$E,Structure!$A:$AJ,J$1,0)*$F199,0),IFERROR(VLOOKUP($G:$G,Structure!$A:$AJ,J$1,0)*$H199,0))</f>
        <v>8</v>
      </c>
      <c r="K199" s="9">
        <f>SUM(IFERROR(VLOOKUP($C:$C,Structure!$A:$AJ,K$1,0)*$D199,0),IFERROR(VLOOKUP($E:$E,Structure!$A:$AJ,K$1,0)*$F199,0),IFERROR(VLOOKUP($G:$G,Structure!$A:$AJ,K$1,0)*$H199,0))</f>
        <v>0</v>
      </c>
      <c r="L199" s="9">
        <f>SUM(IFERROR(VLOOKUP($C:$C,Structure!$A:$AJ,L$1,0)*$D199,0),IFERROR(VLOOKUP($E:$E,Structure!$A:$AJ,L$1,0)*$F199,0),IFERROR(VLOOKUP($G:$G,Structure!$A:$AJ,L$1,0)*$H199,0))</f>
        <v>0</v>
      </c>
      <c r="M199" s="9">
        <f>SUM(IFERROR(VLOOKUP($C:$C,Structure!$A:$AJ,M$1,0)*$D199,0),IFERROR(VLOOKUP($E:$E,Structure!$A:$AJ,M$1,0)*$F199,0),IFERROR(VLOOKUP($G:$G,Structure!$A:$AJ,M$1,0)*$H199,0))</f>
        <v>0</v>
      </c>
      <c r="N199" s="9">
        <f>SUM(IFERROR(VLOOKUP($C:$C,Structure!$A:$AJ,N$1,0)*$D199,0),IFERROR(VLOOKUP($E:$E,Structure!$A:$AJ,N$1,0)*$F199,0),IFERROR(VLOOKUP($G:$G,Structure!$A:$AJ,N$1,0)*$H199,0))</f>
        <v>0</v>
      </c>
      <c r="O199" s="9">
        <f>SUM(IFERROR(VLOOKUP($C:$C,Structure!$A:$AJ,O$1,0)*$D199,0),IFERROR(VLOOKUP($E:$E,Structure!$A:$AJ,O$1,0)*$F199,0),IFERROR(VLOOKUP($G:$G,Structure!$A:$AJ,O$1,0)*$H199,0))</f>
        <v>0</v>
      </c>
      <c r="P199" s="9">
        <f>SUM(IFERROR(VLOOKUP($C:$C,Structure!$A:$AJ,P$1,0)*$D199,0),IFERROR(VLOOKUP($E:$E,Structure!$A:$AJ,P$1,0)*$F199,0),IFERROR(VLOOKUP($G:$G,Structure!$A:$AJ,P$1,0)*$H199,0))</f>
        <v>8</v>
      </c>
      <c r="Q199" s="9">
        <f>SUM(IFERROR(VLOOKUP($C:$C,Structure!$A:$AJ,Q$1,0)*$D199,0),IFERROR(VLOOKUP($E:$E,Structure!$A:$AJ,Q$1,0)*$F199,0),IFERROR(VLOOKUP($G:$G,Structure!$A:$AJ,Q$1,0)*$H199,0))</f>
        <v>0</v>
      </c>
      <c r="R199" s="9">
        <f>SUM(IFERROR(VLOOKUP($C:$C,Structure!$A:$AJ,R$1,0)*$D199,0),IFERROR(VLOOKUP($E:$E,Structure!$A:$AJ,R$1,0)*$F199,0),IFERROR(VLOOKUP($G:$G,Structure!$A:$AJ,R$1,0)*$H199,0))</f>
        <v>0</v>
      </c>
      <c r="S199" s="9">
        <f>SUM(IFERROR(VLOOKUP($C:$C,Structure!$A:$AJ,S$1,0)*$D199,0),IFERROR(VLOOKUP($E:$E,Structure!$A:$AJ,S$1,0)*$F199,0),IFERROR(VLOOKUP($G:$G,Structure!$A:$AJ,S$1,0)*$H199,0))</f>
        <v>0</v>
      </c>
      <c r="T199" s="9">
        <f>SUM(IFERROR(VLOOKUP($C:$C,Structure!$A:$AJ,T$1,0)*$D199,0),IFERROR(VLOOKUP($E:$E,Structure!$A:$AJ,T$1,0)*$F199,0),IFERROR(VLOOKUP($G:$G,Structure!$A:$AJ,T$1,0)*$H199,0))</f>
        <v>0</v>
      </c>
      <c r="U199" s="9">
        <f>SUM(IFERROR(VLOOKUP($C:$C,Structure!$A:$AJ,U$1,0)*$D199,0),IFERROR(VLOOKUP($E:$E,Structure!$A:$AJ,U$1,0)*$F199,0),IFERROR(VLOOKUP($G:$G,Structure!$A:$AJ,U$1,0)*$H199,0))</f>
        <v>0</v>
      </c>
      <c r="V199" s="9">
        <f>SUM(IFERROR(VLOOKUP($C:$C,Structure!$A:$AJ,V$1,0)*$D199,0),IFERROR(VLOOKUP($E:$E,Structure!$A:$AJ,V$1,0)*$F199,0),IFERROR(VLOOKUP($G:$G,Structure!$A:$AJ,V$1,0)*$H199,0))</f>
        <v>0</v>
      </c>
      <c r="W199" s="9">
        <f>SUM(IFERROR(VLOOKUP($C:$C,Structure!$A:$AJ,W$1,0)*$D199,0),IFERROR(VLOOKUP($E:$E,Structure!$A:$AJ,W$1,0)*$F199,0),IFERROR(VLOOKUP($G:$G,Structure!$A:$AJ,W$1,0)*$H199,0))</f>
        <v>0</v>
      </c>
      <c r="X199" s="9">
        <f>SUM(IFERROR(VLOOKUP($C:$C,Structure!$A:$AJ,X$1,0)*$D199,0),IFERROR(VLOOKUP($E:$E,Structure!$A:$AJ,X$1,0)*$F199,0),IFERROR(VLOOKUP($G:$G,Structure!$A:$AJ,X$1,0)*$H199,0))</f>
        <v>0</v>
      </c>
      <c r="Y199" s="9">
        <f>SUM(IFERROR(VLOOKUP($C:$C,Structure!$A:$AJ,Y$1,0)*$D199,0),IFERROR(VLOOKUP($E:$E,Structure!$A:$AJ,Y$1,0)*$F199,0),IFERROR(VLOOKUP($G:$G,Structure!$A:$AJ,Y$1,0)*$H199,0))</f>
        <v>0</v>
      </c>
      <c r="Z199" s="9">
        <f>SUM(IFERROR(VLOOKUP($C:$C,Structure!$A:$AJ,Z$1,0)*$D199,0),IFERROR(VLOOKUP($E:$E,Structure!$A:$AJ,Z$1,0)*$F199,0),IFERROR(VLOOKUP($G:$G,Structure!$A:$AJ,Z$1,0)*$H199,0))</f>
        <v>0</v>
      </c>
      <c r="AA199" s="9">
        <f>SUM(IFERROR(VLOOKUP($C:$C,Structure!$A:$AJ,AA$1,0)*$D199,0),IFERROR(VLOOKUP($E:$E,Structure!$A:$AJ,AA$1,0)*$F199,0),IFERROR(VLOOKUP($G:$G,Structure!$A:$AJ,AA$1,0)*$H199,0))</f>
        <v>0</v>
      </c>
      <c r="AB199" s="9">
        <f>SUM(IFERROR(VLOOKUP($C:$C,Structure!$A:$AJ,AB$1,0)*$D199,0),IFERROR(VLOOKUP($E:$E,Structure!$A:$AJ,AB$1,0)*$F199,0),IFERROR(VLOOKUP($G:$G,Structure!$A:$AJ,AB$1,0)*$H199,0))</f>
        <v>0</v>
      </c>
      <c r="AC199" s="9">
        <f>SUM(IFERROR(VLOOKUP($C:$C,Structure!$A:$AJ,AC$1,0)*$D199,0),IFERROR(VLOOKUP($E:$E,Structure!$A:$AJ,AC$1,0)*$F199,0),IFERROR(VLOOKUP($G:$G,Structure!$A:$AJ,AC$1,0)*$H199,0))</f>
        <v>0</v>
      </c>
      <c r="AD199" s="9">
        <f>SUM(IFERROR(VLOOKUP($C:$C,Structure!$A:$AJ,AD$1,0)*$D199,0),IFERROR(VLOOKUP($E:$E,Structure!$A:$AJ,AD$1,0)*$F199,0),IFERROR(VLOOKUP($G:$G,Structure!$A:$AJ,AD$1,0)*$H199,0))</f>
        <v>0</v>
      </c>
      <c r="AE199" s="9">
        <f>SUM(IFERROR(VLOOKUP($C:$C,Structure!$A:$AJ,AE$1,0)*$D199,0),IFERROR(VLOOKUP($E:$E,Structure!$A:$AJ,AE$1,0)*$F199,0),IFERROR(VLOOKUP($G:$G,Structure!$A:$AJ,AE$1,0)*$H199,0))</f>
        <v>0</v>
      </c>
      <c r="AF199" s="9">
        <f>SUM(IFERROR(VLOOKUP($C:$C,Structure!$A:$AJ,AF$1,0)*$D199,0),IFERROR(VLOOKUP($E:$E,Structure!$A:$AJ,AF$1,0)*$F199,0),IFERROR(VLOOKUP($G:$G,Structure!$A:$AJ,AF$1,0)*$H199,0))</f>
        <v>0</v>
      </c>
      <c r="AG199" s="9">
        <f>SUM(IFERROR(VLOOKUP($C:$C,Structure!$A:$AJ,AG$1,0)*$D199,0),IFERROR(VLOOKUP($E:$E,Structure!$A:$AJ,AG$1,0)*$F199,0),IFERROR(VLOOKUP($G:$G,Structure!$A:$AJ,AG$1,0)*$H199,0))</f>
        <v>0</v>
      </c>
      <c r="AH199" s="9">
        <f>SUM(IFERROR(VLOOKUP($C:$C,Structure!$A:$AJ,AH$1,0)*$D199,0),IFERROR(VLOOKUP($E:$E,Structure!$A:$AJ,AH$1,0)*$F199,0),IFERROR(VLOOKUP($G:$G,Structure!$A:$AJ,AH$1,0)*$H199,0))</f>
        <v>0</v>
      </c>
      <c r="AI199" s="9">
        <f>SUM(IFERROR(VLOOKUP($C:$C,Structure!$A:$AJ,AI$1,0)*$D199,0),IFERROR(VLOOKUP($E:$E,Structure!$A:$AJ,AI$1,0)*$F199,0),IFERROR(VLOOKUP($G:$G,Structure!$A:$AJ,AI$1,0)*$H199,0))</f>
        <v>0</v>
      </c>
      <c r="AJ199" s="9">
        <f>SUM(IFERROR(VLOOKUP($C:$C,Structure!$A:$AJ,AJ$1,0)*$D199,0),IFERROR(VLOOKUP($E:$E,Structure!$A:$AJ,AJ$1,0)*$F199,0),IFERROR(VLOOKUP($G:$G,Structure!$A:$AJ,AJ$1,0)*$H199,0))</f>
        <v>0</v>
      </c>
      <c r="AK199" s="9">
        <f>SUM(IFERROR(VLOOKUP($C:$C,Structure!$A:$AJ,AK$1,0)*$D199,0),IFERROR(VLOOKUP($E:$E,Structure!$A:$AJ,AK$1,0)*$F199,0),IFERROR(VLOOKUP($G:$G,Structure!$A:$AJ,AK$1,0)*$H199,0))</f>
        <v>0</v>
      </c>
      <c r="AL199" s="9">
        <f>SUM(IFERROR(VLOOKUP($C:$C,Structure!$A:$AJ,AL$1,0)*$D199,0),IFERROR(VLOOKUP($E:$E,Structure!$A:$AJ,AL$1,0)*$F199,0),IFERROR(VLOOKUP($G:$G,Structure!$A:$AJ,AL$1,0)*$H199,0))</f>
        <v>0</v>
      </c>
      <c r="AM199" s="9">
        <f>SUM(IFERROR(VLOOKUP($C:$C,Structure!$A:$AJ,AM$1,0)*$D199,0),IFERROR(VLOOKUP($E:$E,Structure!$A:$AJ,AM$1,0)*$F199,0),IFERROR(VLOOKUP($G:$G,Structure!$A:$AJ,AM$1,0)*$H199,0))</f>
        <v>0</v>
      </c>
      <c r="AN199" s="9">
        <f>SUM(IFERROR(VLOOKUP($C:$C,Structure!$A:$AJ,AN$1,0)*$D199,0),IFERROR(VLOOKUP($E:$E,Structure!$A:$AJ,AN$1,0)*$F199,0),IFERROR(VLOOKUP($G:$G,Structure!$A:$AJ,AN$1,0)*$H199,0))</f>
        <v>0</v>
      </c>
      <c r="AO199" s="9">
        <f>SUM(IFERROR(VLOOKUP($C:$C,Structure!$A:$AJ,AO$1,0)*$D199,0),IFERROR(VLOOKUP($E:$E,Structure!$A:$AJ,AO$1,0)*$F199,0),IFERROR(VLOOKUP($G:$G,Structure!$A:$AJ,AO$1,0)*$H199,0))</f>
        <v>0</v>
      </c>
      <c r="AP199" s="9">
        <f>SUM(IFERROR(VLOOKUP($C:$C,Structure!$A:$AJ,AP$1,0)*$D199,0),IFERROR(VLOOKUP($E:$E,Structure!$A:$AJ,AP$1,0)*$F199,0),IFERROR(VLOOKUP($G:$G,Structure!$A:$AJ,AP$1,0)*$H199,0))</f>
        <v>0</v>
      </c>
      <c r="AQ199" s="9">
        <f>SUM(IFERROR(VLOOKUP($C:$C,Structure!$A:$AJ,AQ$1,0)*$D199,0),IFERROR(VLOOKUP($E:$E,Structure!$A:$AJ,AQ$1,0)*$F199,0),IFERROR(VLOOKUP($G:$G,Structure!$A:$AJ,AQ$1,0)*$H199,0))</f>
        <v>0</v>
      </c>
      <c r="AR199" s="21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4">
        <f t="shared" si="232"/>
        <v>0</v>
      </c>
      <c r="CE199" s="4">
        <f t="shared" si="233"/>
        <v>-164</v>
      </c>
      <c r="CF199" s="4">
        <f t="shared" si="234"/>
        <v>4</v>
      </c>
      <c r="CG199" s="4">
        <f t="shared" si="235"/>
        <v>14</v>
      </c>
      <c r="CH199" s="4">
        <f t="shared" si="236"/>
        <v>-7</v>
      </c>
      <c r="CI199" s="4">
        <f t="shared" si="237"/>
        <v>127</v>
      </c>
      <c r="CJ199" s="4">
        <f t="shared" si="238"/>
        <v>-141</v>
      </c>
      <c r="CK199" s="4">
        <f t="shared" si="239"/>
        <v>15</v>
      </c>
      <c r="CL199" s="4">
        <f t="shared" si="240"/>
        <v>0</v>
      </c>
      <c r="CM199" s="4">
        <f t="shared" si="241"/>
        <v>6</v>
      </c>
      <c r="CN199" s="4">
        <f t="shared" si="242"/>
        <v>-28</v>
      </c>
      <c r="CO199" s="4">
        <f t="shared" si="243"/>
        <v>0</v>
      </c>
      <c r="CP199" s="4">
        <f t="shared" si="244"/>
        <v>67</v>
      </c>
      <c r="CQ199" s="4">
        <f t="shared" si="245"/>
        <v>-550</v>
      </c>
      <c r="CR199" s="4">
        <f t="shared" si="246"/>
        <v>15</v>
      </c>
      <c r="CS199" s="4">
        <f t="shared" si="247"/>
        <v>-24</v>
      </c>
      <c r="CT199" s="4">
        <f t="shared" si="248"/>
        <v>0</v>
      </c>
      <c r="CU199" s="4">
        <f t="shared" si="249"/>
        <v>0</v>
      </c>
      <c r="CV199" s="4">
        <f t="shared" si="250"/>
        <v>0</v>
      </c>
      <c r="CW199" s="4">
        <f t="shared" si="251"/>
        <v>0</v>
      </c>
      <c r="CX199" s="4">
        <f t="shared" si="252"/>
        <v>-543</v>
      </c>
      <c r="CY199" s="4">
        <f t="shared" si="253"/>
        <v>0</v>
      </c>
      <c r="CZ199" s="4">
        <f t="shared" si="254"/>
        <v>0</v>
      </c>
      <c r="DA199" s="4">
        <f t="shared" si="255"/>
        <v>0</v>
      </c>
      <c r="DB199" s="4">
        <f t="shared" si="256"/>
        <v>0</v>
      </c>
      <c r="DC199" s="4">
        <f t="shared" si="257"/>
        <v>0</v>
      </c>
      <c r="DD199" s="4">
        <f t="shared" si="258"/>
        <v>0</v>
      </c>
      <c r="DE199" s="4">
        <f t="shared" si="259"/>
        <v>0</v>
      </c>
      <c r="DF199" s="4">
        <f t="shared" si="260"/>
        <v>0</v>
      </c>
      <c r="DG199" s="4">
        <f t="shared" si="261"/>
        <v>0</v>
      </c>
      <c r="DH199" s="4">
        <f t="shared" si="262"/>
        <v>0</v>
      </c>
      <c r="DI199" s="4">
        <f t="shared" si="263"/>
        <v>0</v>
      </c>
      <c r="DJ199" s="4">
        <f t="shared" si="264"/>
        <v>0</v>
      </c>
      <c r="DK199" s="4">
        <f t="shared" si="265"/>
        <v>0</v>
      </c>
      <c r="DL199" s="4">
        <f t="shared" si="266"/>
        <v>0</v>
      </c>
    </row>
    <row r="200" spans="1:116" x14ac:dyDescent="0.25">
      <c r="A200" s="5">
        <v>46187</v>
      </c>
      <c r="B200" s="6">
        <v>0.41666666714445455</v>
      </c>
      <c r="C200" s="3"/>
      <c r="D200" s="3"/>
      <c r="E200" s="3" t="s">
        <v>38</v>
      </c>
      <c r="F200" s="3">
        <v>8</v>
      </c>
      <c r="G200" s="3"/>
      <c r="H200" s="9"/>
      <c r="I200" s="9">
        <f>SUM(IFERROR(VLOOKUP($C:$C,Structure!$A:$AJ,I$1,0)*$D200,0),IFERROR(VLOOKUP($E:$E,Structure!$A:$AJ,I$1,0)*$F200,0),IFERROR(VLOOKUP($G:$G,Structure!$A:$AJ,I$1,0)*$H200,0))</f>
        <v>0</v>
      </c>
      <c r="J200" s="9">
        <f>SUM(IFERROR(VLOOKUP($C:$C,Structure!$A:$AJ,J$1,0)*$D200,0),IFERROR(VLOOKUP($E:$E,Structure!$A:$AJ,J$1,0)*$F200,0),IFERROR(VLOOKUP($G:$G,Structure!$A:$AJ,J$1,0)*$H200,0))</f>
        <v>8</v>
      </c>
      <c r="K200" s="9">
        <f>SUM(IFERROR(VLOOKUP($C:$C,Structure!$A:$AJ,K$1,0)*$D200,0),IFERROR(VLOOKUP($E:$E,Structure!$A:$AJ,K$1,0)*$F200,0),IFERROR(VLOOKUP($G:$G,Structure!$A:$AJ,K$1,0)*$H200,0))</f>
        <v>0</v>
      </c>
      <c r="L200" s="9">
        <f>SUM(IFERROR(VLOOKUP($C:$C,Structure!$A:$AJ,L$1,0)*$D200,0),IFERROR(VLOOKUP($E:$E,Structure!$A:$AJ,L$1,0)*$F200,0),IFERROR(VLOOKUP($G:$G,Structure!$A:$AJ,L$1,0)*$H200,0))</f>
        <v>0</v>
      </c>
      <c r="M200" s="9">
        <f>SUM(IFERROR(VLOOKUP($C:$C,Structure!$A:$AJ,M$1,0)*$D200,0),IFERROR(VLOOKUP($E:$E,Structure!$A:$AJ,M$1,0)*$F200,0),IFERROR(VLOOKUP($G:$G,Structure!$A:$AJ,M$1,0)*$H200,0))</f>
        <v>0</v>
      </c>
      <c r="N200" s="9">
        <f>SUM(IFERROR(VLOOKUP($C:$C,Structure!$A:$AJ,N$1,0)*$D200,0),IFERROR(VLOOKUP($E:$E,Structure!$A:$AJ,N$1,0)*$F200,0),IFERROR(VLOOKUP($G:$G,Structure!$A:$AJ,N$1,0)*$H200,0))</f>
        <v>0</v>
      </c>
      <c r="O200" s="9">
        <f>SUM(IFERROR(VLOOKUP($C:$C,Structure!$A:$AJ,O$1,0)*$D200,0),IFERROR(VLOOKUP($E:$E,Structure!$A:$AJ,O$1,0)*$F200,0),IFERROR(VLOOKUP($G:$G,Structure!$A:$AJ,O$1,0)*$H200,0))</f>
        <v>0</v>
      </c>
      <c r="P200" s="9">
        <f>SUM(IFERROR(VLOOKUP($C:$C,Structure!$A:$AJ,P$1,0)*$D200,0),IFERROR(VLOOKUP($E:$E,Structure!$A:$AJ,P$1,0)*$F200,0),IFERROR(VLOOKUP($G:$G,Structure!$A:$AJ,P$1,0)*$H200,0))</f>
        <v>8</v>
      </c>
      <c r="Q200" s="9">
        <f>SUM(IFERROR(VLOOKUP($C:$C,Structure!$A:$AJ,Q$1,0)*$D200,0),IFERROR(VLOOKUP($E:$E,Structure!$A:$AJ,Q$1,0)*$F200,0),IFERROR(VLOOKUP($G:$G,Structure!$A:$AJ,Q$1,0)*$H200,0))</f>
        <v>0</v>
      </c>
      <c r="R200" s="9">
        <f>SUM(IFERROR(VLOOKUP($C:$C,Structure!$A:$AJ,R$1,0)*$D200,0),IFERROR(VLOOKUP($E:$E,Structure!$A:$AJ,R$1,0)*$F200,0),IFERROR(VLOOKUP($G:$G,Structure!$A:$AJ,R$1,0)*$H200,0))</f>
        <v>0</v>
      </c>
      <c r="S200" s="9">
        <f>SUM(IFERROR(VLOOKUP($C:$C,Structure!$A:$AJ,S$1,0)*$D200,0),IFERROR(VLOOKUP($E:$E,Structure!$A:$AJ,S$1,0)*$F200,0),IFERROR(VLOOKUP($G:$G,Structure!$A:$AJ,S$1,0)*$H200,0))</f>
        <v>0</v>
      </c>
      <c r="T200" s="9">
        <f>SUM(IFERROR(VLOOKUP($C:$C,Structure!$A:$AJ,T$1,0)*$D200,0),IFERROR(VLOOKUP($E:$E,Structure!$A:$AJ,T$1,0)*$F200,0),IFERROR(VLOOKUP($G:$G,Structure!$A:$AJ,T$1,0)*$H200,0))</f>
        <v>0</v>
      </c>
      <c r="U200" s="9">
        <f>SUM(IFERROR(VLOOKUP($C:$C,Structure!$A:$AJ,U$1,0)*$D200,0),IFERROR(VLOOKUP($E:$E,Structure!$A:$AJ,U$1,0)*$F200,0),IFERROR(VLOOKUP($G:$G,Structure!$A:$AJ,U$1,0)*$H200,0))</f>
        <v>0</v>
      </c>
      <c r="V200" s="9">
        <f>SUM(IFERROR(VLOOKUP($C:$C,Structure!$A:$AJ,V$1,0)*$D200,0),IFERROR(VLOOKUP($E:$E,Structure!$A:$AJ,V$1,0)*$F200,0),IFERROR(VLOOKUP($G:$G,Structure!$A:$AJ,V$1,0)*$H200,0))</f>
        <v>0</v>
      </c>
      <c r="W200" s="9">
        <f>SUM(IFERROR(VLOOKUP($C:$C,Structure!$A:$AJ,W$1,0)*$D200,0),IFERROR(VLOOKUP($E:$E,Structure!$A:$AJ,W$1,0)*$F200,0),IFERROR(VLOOKUP($G:$G,Structure!$A:$AJ,W$1,0)*$H200,0))</f>
        <v>0</v>
      </c>
      <c r="X200" s="9">
        <f>SUM(IFERROR(VLOOKUP($C:$C,Structure!$A:$AJ,X$1,0)*$D200,0),IFERROR(VLOOKUP($E:$E,Structure!$A:$AJ,X$1,0)*$F200,0),IFERROR(VLOOKUP($G:$G,Structure!$A:$AJ,X$1,0)*$H200,0))</f>
        <v>0</v>
      </c>
      <c r="Y200" s="9">
        <f>SUM(IFERROR(VLOOKUP($C:$C,Structure!$A:$AJ,Y$1,0)*$D200,0),IFERROR(VLOOKUP($E:$E,Structure!$A:$AJ,Y$1,0)*$F200,0),IFERROR(VLOOKUP($G:$G,Structure!$A:$AJ,Y$1,0)*$H200,0))</f>
        <v>0</v>
      </c>
      <c r="Z200" s="9">
        <f>SUM(IFERROR(VLOOKUP($C:$C,Structure!$A:$AJ,Z$1,0)*$D200,0),IFERROR(VLOOKUP($E:$E,Structure!$A:$AJ,Z$1,0)*$F200,0),IFERROR(VLOOKUP($G:$G,Structure!$A:$AJ,Z$1,0)*$H200,0))</f>
        <v>0</v>
      </c>
      <c r="AA200" s="9">
        <f>SUM(IFERROR(VLOOKUP($C:$C,Structure!$A:$AJ,AA$1,0)*$D200,0),IFERROR(VLOOKUP($E:$E,Structure!$A:$AJ,AA$1,0)*$F200,0),IFERROR(VLOOKUP($G:$G,Structure!$A:$AJ,AA$1,0)*$H200,0))</f>
        <v>0</v>
      </c>
      <c r="AB200" s="9">
        <f>SUM(IFERROR(VLOOKUP($C:$C,Structure!$A:$AJ,AB$1,0)*$D200,0),IFERROR(VLOOKUP($E:$E,Structure!$A:$AJ,AB$1,0)*$F200,0),IFERROR(VLOOKUP($G:$G,Structure!$A:$AJ,AB$1,0)*$H200,0))</f>
        <v>0</v>
      </c>
      <c r="AC200" s="9">
        <f>SUM(IFERROR(VLOOKUP($C:$C,Structure!$A:$AJ,AC$1,0)*$D200,0),IFERROR(VLOOKUP($E:$E,Structure!$A:$AJ,AC$1,0)*$F200,0),IFERROR(VLOOKUP($G:$G,Structure!$A:$AJ,AC$1,0)*$H200,0))</f>
        <v>0</v>
      </c>
      <c r="AD200" s="9">
        <f>SUM(IFERROR(VLOOKUP($C:$C,Structure!$A:$AJ,AD$1,0)*$D200,0),IFERROR(VLOOKUP($E:$E,Structure!$A:$AJ,AD$1,0)*$F200,0),IFERROR(VLOOKUP($G:$G,Structure!$A:$AJ,AD$1,0)*$H200,0))</f>
        <v>0</v>
      </c>
      <c r="AE200" s="9">
        <f>SUM(IFERROR(VLOOKUP($C:$C,Structure!$A:$AJ,AE$1,0)*$D200,0),IFERROR(VLOOKUP($E:$E,Structure!$A:$AJ,AE$1,0)*$F200,0),IFERROR(VLOOKUP($G:$G,Structure!$A:$AJ,AE$1,0)*$H200,0))</f>
        <v>0</v>
      </c>
      <c r="AF200" s="9">
        <f>SUM(IFERROR(VLOOKUP($C:$C,Structure!$A:$AJ,AF$1,0)*$D200,0),IFERROR(VLOOKUP($E:$E,Structure!$A:$AJ,AF$1,0)*$F200,0),IFERROR(VLOOKUP($G:$G,Structure!$A:$AJ,AF$1,0)*$H200,0))</f>
        <v>0</v>
      </c>
      <c r="AG200" s="9">
        <f>SUM(IFERROR(VLOOKUP($C:$C,Structure!$A:$AJ,AG$1,0)*$D200,0),IFERROR(VLOOKUP($E:$E,Structure!$A:$AJ,AG$1,0)*$F200,0),IFERROR(VLOOKUP($G:$G,Structure!$A:$AJ,AG$1,0)*$H200,0))</f>
        <v>0</v>
      </c>
      <c r="AH200" s="9">
        <f>SUM(IFERROR(VLOOKUP($C:$C,Structure!$A:$AJ,AH$1,0)*$D200,0),IFERROR(VLOOKUP($E:$E,Structure!$A:$AJ,AH$1,0)*$F200,0),IFERROR(VLOOKUP($G:$G,Structure!$A:$AJ,AH$1,0)*$H200,0))</f>
        <v>0</v>
      </c>
      <c r="AI200" s="9">
        <f>SUM(IFERROR(VLOOKUP($C:$C,Structure!$A:$AJ,AI$1,0)*$D200,0),IFERROR(VLOOKUP($E:$E,Structure!$A:$AJ,AI$1,0)*$F200,0),IFERROR(VLOOKUP($G:$G,Structure!$A:$AJ,AI$1,0)*$H200,0))</f>
        <v>0</v>
      </c>
      <c r="AJ200" s="9">
        <f>SUM(IFERROR(VLOOKUP($C:$C,Structure!$A:$AJ,AJ$1,0)*$D200,0),IFERROR(VLOOKUP($E:$E,Structure!$A:$AJ,AJ$1,0)*$F200,0),IFERROR(VLOOKUP($G:$G,Structure!$A:$AJ,AJ$1,0)*$H200,0))</f>
        <v>0</v>
      </c>
      <c r="AK200" s="9">
        <f>SUM(IFERROR(VLOOKUP($C:$C,Structure!$A:$AJ,AK$1,0)*$D200,0),IFERROR(VLOOKUP($E:$E,Structure!$A:$AJ,AK$1,0)*$F200,0),IFERROR(VLOOKUP($G:$G,Structure!$A:$AJ,AK$1,0)*$H200,0))</f>
        <v>0</v>
      </c>
      <c r="AL200" s="9">
        <f>SUM(IFERROR(VLOOKUP($C:$C,Structure!$A:$AJ,AL$1,0)*$D200,0),IFERROR(VLOOKUP($E:$E,Structure!$A:$AJ,AL$1,0)*$F200,0),IFERROR(VLOOKUP($G:$G,Structure!$A:$AJ,AL$1,0)*$H200,0))</f>
        <v>0</v>
      </c>
      <c r="AM200" s="9">
        <f>SUM(IFERROR(VLOOKUP($C:$C,Structure!$A:$AJ,AM$1,0)*$D200,0),IFERROR(VLOOKUP($E:$E,Structure!$A:$AJ,AM$1,0)*$F200,0),IFERROR(VLOOKUP($G:$G,Structure!$A:$AJ,AM$1,0)*$H200,0))</f>
        <v>0</v>
      </c>
      <c r="AN200" s="9">
        <f>SUM(IFERROR(VLOOKUP($C:$C,Structure!$A:$AJ,AN$1,0)*$D200,0),IFERROR(VLOOKUP($E:$E,Structure!$A:$AJ,AN$1,0)*$F200,0),IFERROR(VLOOKUP($G:$G,Structure!$A:$AJ,AN$1,0)*$H200,0))</f>
        <v>0</v>
      </c>
      <c r="AO200" s="9">
        <f>SUM(IFERROR(VLOOKUP($C:$C,Structure!$A:$AJ,AO$1,0)*$D200,0),IFERROR(VLOOKUP($E:$E,Structure!$A:$AJ,AO$1,0)*$F200,0),IFERROR(VLOOKUP($G:$G,Structure!$A:$AJ,AO$1,0)*$H200,0))</f>
        <v>0</v>
      </c>
      <c r="AP200" s="9">
        <f>SUM(IFERROR(VLOOKUP($C:$C,Structure!$A:$AJ,AP$1,0)*$D200,0),IFERROR(VLOOKUP($E:$E,Structure!$A:$AJ,AP$1,0)*$F200,0),IFERROR(VLOOKUP($G:$G,Structure!$A:$AJ,AP$1,0)*$H200,0))</f>
        <v>0</v>
      </c>
      <c r="AQ200" s="9">
        <f>SUM(IFERROR(VLOOKUP($C:$C,Structure!$A:$AJ,AQ$1,0)*$D200,0),IFERROR(VLOOKUP($E:$E,Structure!$A:$AJ,AQ$1,0)*$F200,0),IFERROR(VLOOKUP($G:$G,Structure!$A:$AJ,AQ$1,0)*$H200,0))</f>
        <v>0</v>
      </c>
      <c r="AR200" s="21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4">
        <f t="shared" si="232"/>
        <v>0</v>
      </c>
      <c r="CE200" s="4">
        <f t="shared" si="233"/>
        <v>-172</v>
      </c>
      <c r="CF200" s="4">
        <f t="shared" si="234"/>
        <v>4</v>
      </c>
      <c r="CG200" s="4">
        <f t="shared" si="235"/>
        <v>14</v>
      </c>
      <c r="CH200" s="4">
        <f t="shared" si="236"/>
        <v>-7</v>
      </c>
      <c r="CI200" s="4">
        <f t="shared" si="237"/>
        <v>127</v>
      </c>
      <c r="CJ200" s="4">
        <f t="shared" si="238"/>
        <v>-141</v>
      </c>
      <c r="CK200" s="4">
        <f t="shared" si="239"/>
        <v>7</v>
      </c>
      <c r="CL200" s="4">
        <f t="shared" si="240"/>
        <v>0</v>
      </c>
      <c r="CM200" s="4">
        <f t="shared" si="241"/>
        <v>6</v>
      </c>
      <c r="CN200" s="4">
        <f t="shared" si="242"/>
        <v>-28</v>
      </c>
      <c r="CO200" s="4">
        <f t="shared" si="243"/>
        <v>0</v>
      </c>
      <c r="CP200" s="4">
        <f t="shared" si="244"/>
        <v>67</v>
      </c>
      <c r="CQ200" s="4">
        <f t="shared" si="245"/>
        <v>-550</v>
      </c>
      <c r="CR200" s="4">
        <f t="shared" si="246"/>
        <v>15</v>
      </c>
      <c r="CS200" s="4">
        <f t="shared" si="247"/>
        <v>-24</v>
      </c>
      <c r="CT200" s="4">
        <f t="shared" si="248"/>
        <v>0</v>
      </c>
      <c r="CU200" s="4">
        <f t="shared" si="249"/>
        <v>0</v>
      </c>
      <c r="CV200" s="4">
        <f t="shared" si="250"/>
        <v>0</v>
      </c>
      <c r="CW200" s="4">
        <f t="shared" si="251"/>
        <v>0</v>
      </c>
      <c r="CX200" s="4">
        <f t="shared" si="252"/>
        <v>-543</v>
      </c>
      <c r="CY200" s="4">
        <f t="shared" si="253"/>
        <v>0</v>
      </c>
      <c r="CZ200" s="4">
        <f t="shared" si="254"/>
        <v>0</v>
      </c>
      <c r="DA200" s="4">
        <f t="shared" si="255"/>
        <v>0</v>
      </c>
      <c r="DB200" s="4">
        <f t="shared" si="256"/>
        <v>0</v>
      </c>
      <c r="DC200" s="4">
        <f t="shared" si="257"/>
        <v>0</v>
      </c>
      <c r="DD200" s="4">
        <f t="shared" si="258"/>
        <v>0</v>
      </c>
      <c r="DE200" s="4">
        <f t="shared" si="259"/>
        <v>0</v>
      </c>
      <c r="DF200" s="4">
        <f t="shared" si="260"/>
        <v>0</v>
      </c>
      <c r="DG200" s="4">
        <f t="shared" si="261"/>
        <v>0</v>
      </c>
      <c r="DH200" s="4">
        <f t="shared" si="262"/>
        <v>0</v>
      </c>
      <c r="DI200" s="4">
        <f t="shared" si="263"/>
        <v>0</v>
      </c>
      <c r="DJ200" s="4">
        <f t="shared" si="264"/>
        <v>0</v>
      </c>
      <c r="DK200" s="4">
        <f t="shared" si="265"/>
        <v>0</v>
      </c>
      <c r="DL200" s="4">
        <f t="shared" si="266"/>
        <v>0</v>
      </c>
    </row>
    <row r="201" spans="1:116" x14ac:dyDescent="0.25">
      <c r="A201" s="5">
        <v>46187</v>
      </c>
      <c r="B201" s="6">
        <v>0.4375000004802132</v>
      </c>
      <c r="C201" s="3"/>
      <c r="D201" s="3"/>
      <c r="E201" s="3" t="s">
        <v>38</v>
      </c>
      <c r="F201" s="3">
        <v>8</v>
      </c>
      <c r="G201" s="3"/>
      <c r="H201" s="9"/>
      <c r="I201" s="9">
        <f>SUM(IFERROR(VLOOKUP($C:$C,Structure!$A:$AJ,I$1,0)*$D201,0),IFERROR(VLOOKUP($E:$E,Structure!$A:$AJ,I$1,0)*$F201,0),IFERROR(VLOOKUP($G:$G,Structure!$A:$AJ,I$1,0)*$H201,0))</f>
        <v>0</v>
      </c>
      <c r="J201" s="9">
        <f>SUM(IFERROR(VLOOKUP($C:$C,Structure!$A:$AJ,J$1,0)*$D201,0),IFERROR(VLOOKUP($E:$E,Structure!$A:$AJ,J$1,0)*$F201,0),IFERROR(VLOOKUP($G:$G,Structure!$A:$AJ,J$1,0)*$H201,0))</f>
        <v>8</v>
      </c>
      <c r="K201" s="9">
        <f>SUM(IFERROR(VLOOKUP($C:$C,Structure!$A:$AJ,K$1,0)*$D201,0),IFERROR(VLOOKUP($E:$E,Structure!$A:$AJ,K$1,0)*$F201,0),IFERROR(VLOOKUP($G:$G,Structure!$A:$AJ,K$1,0)*$H201,0))</f>
        <v>0</v>
      </c>
      <c r="L201" s="9">
        <f>SUM(IFERROR(VLOOKUP($C:$C,Structure!$A:$AJ,L$1,0)*$D201,0),IFERROR(VLOOKUP($E:$E,Structure!$A:$AJ,L$1,0)*$F201,0),IFERROR(VLOOKUP($G:$G,Structure!$A:$AJ,L$1,0)*$H201,0))</f>
        <v>0</v>
      </c>
      <c r="M201" s="9">
        <f>SUM(IFERROR(VLOOKUP($C:$C,Structure!$A:$AJ,M$1,0)*$D201,0),IFERROR(VLOOKUP($E:$E,Structure!$A:$AJ,M$1,0)*$F201,0),IFERROR(VLOOKUP($G:$G,Structure!$A:$AJ,M$1,0)*$H201,0))</f>
        <v>0</v>
      </c>
      <c r="N201" s="9">
        <f>SUM(IFERROR(VLOOKUP($C:$C,Structure!$A:$AJ,N$1,0)*$D201,0),IFERROR(VLOOKUP($E:$E,Structure!$A:$AJ,N$1,0)*$F201,0),IFERROR(VLOOKUP($G:$G,Structure!$A:$AJ,N$1,0)*$H201,0))</f>
        <v>0</v>
      </c>
      <c r="O201" s="9">
        <f>SUM(IFERROR(VLOOKUP($C:$C,Structure!$A:$AJ,O$1,0)*$D201,0),IFERROR(VLOOKUP($E:$E,Structure!$A:$AJ,O$1,0)*$F201,0),IFERROR(VLOOKUP($G:$G,Structure!$A:$AJ,O$1,0)*$H201,0))</f>
        <v>0</v>
      </c>
      <c r="P201" s="9">
        <f>SUM(IFERROR(VLOOKUP($C:$C,Structure!$A:$AJ,P$1,0)*$D201,0),IFERROR(VLOOKUP($E:$E,Structure!$A:$AJ,P$1,0)*$F201,0),IFERROR(VLOOKUP($G:$G,Structure!$A:$AJ,P$1,0)*$H201,0))</f>
        <v>8</v>
      </c>
      <c r="Q201" s="9">
        <f>SUM(IFERROR(VLOOKUP($C:$C,Structure!$A:$AJ,Q$1,0)*$D201,0),IFERROR(VLOOKUP($E:$E,Structure!$A:$AJ,Q$1,0)*$F201,0),IFERROR(VLOOKUP($G:$G,Structure!$A:$AJ,Q$1,0)*$H201,0))</f>
        <v>0</v>
      </c>
      <c r="R201" s="9">
        <f>SUM(IFERROR(VLOOKUP($C:$C,Structure!$A:$AJ,R$1,0)*$D201,0),IFERROR(VLOOKUP($E:$E,Structure!$A:$AJ,R$1,0)*$F201,0),IFERROR(VLOOKUP($G:$G,Structure!$A:$AJ,R$1,0)*$H201,0))</f>
        <v>0</v>
      </c>
      <c r="S201" s="9">
        <f>SUM(IFERROR(VLOOKUP($C:$C,Structure!$A:$AJ,S$1,0)*$D201,0),IFERROR(VLOOKUP($E:$E,Structure!$A:$AJ,S$1,0)*$F201,0),IFERROR(VLOOKUP($G:$G,Structure!$A:$AJ,S$1,0)*$H201,0))</f>
        <v>0</v>
      </c>
      <c r="T201" s="9">
        <f>SUM(IFERROR(VLOOKUP($C:$C,Structure!$A:$AJ,T$1,0)*$D201,0),IFERROR(VLOOKUP($E:$E,Structure!$A:$AJ,T$1,0)*$F201,0),IFERROR(VLOOKUP($G:$G,Structure!$A:$AJ,T$1,0)*$H201,0))</f>
        <v>0</v>
      </c>
      <c r="U201" s="9">
        <f>SUM(IFERROR(VLOOKUP($C:$C,Structure!$A:$AJ,U$1,0)*$D201,0),IFERROR(VLOOKUP($E:$E,Structure!$A:$AJ,U$1,0)*$F201,0),IFERROR(VLOOKUP($G:$G,Structure!$A:$AJ,U$1,0)*$H201,0))</f>
        <v>0</v>
      </c>
      <c r="V201" s="9">
        <f>SUM(IFERROR(VLOOKUP($C:$C,Structure!$A:$AJ,V$1,0)*$D201,0),IFERROR(VLOOKUP($E:$E,Structure!$A:$AJ,V$1,0)*$F201,0),IFERROR(VLOOKUP($G:$G,Structure!$A:$AJ,V$1,0)*$H201,0))</f>
        <v>0</v>
      </c>
      <c r="W201" s="9">
        <f>SUM(IFERROR(VLOOKUP($C:$C,Structure!$A:$AJ,W$1,0)*$D201,0),IFERROR(VLOOKUP($E:$E,Structure!$A:$AJ,W$1,0)*$F201,0),IFERROR(VLOOKUP($G:$G,Structure!$A:$AJ,W$1,0)*$H201,0))</f>
        <v>0</v>
      </c>
      <c r="X201" s="9">
        <f>SUM(IFERROR(VLOOKUP($C:$C,Structure!$A:$AJ,X$1,0)*$D201,0),IFERROR(VLOOKUP($E:$E,Structure!$A:$AJ,X$1,0)*$F201,0),IFERROR(VLOOKUP($G:$G,Structure!$A:$AJ,X$1,0)*$H201,0))</f>
        <v>0</v>
      </c>
      <c r="Y201" s="9">
        <f>SUM(IFERROR(VLOOKUP($C:$C,Structure!$A:$AJ,Y$1,0)*$D201,0),IFERROR(VLOOKUP($E:$E,Structure!$A:$AJ,Y$1,0)*$F201,0),IFERROR(VLOOKUP($G:$G,Structure!$A:$AJ,Y$1,0)*$H201,0))</f>
        <v>0</v>
      </c>
      <c r="Z201" s="9">
        <f>SUM(IFERROR(VLOOKUP($C:$C,Structure!$A:$AJ,Z$1,0)*$D201,0),IFERROR(VLOOKUP($E:$E,Structure!$A:$AJ,Z$1,0)*$F201,0),IFERROR(VLOOKUP($G:$G,Structure!$A:$AJ,Z$1,0)*$H201,0))</f>
        <v>0</v>
      </c>
      <c r="AA201" s="9">
        <f>SUM(IFERROR(VLOOKUP($C:$C,Structure!$A:$AJ,AA$1,0)*$D201,0),IFERROR(VLOOKUP($E:$E,Structure!$A:$AJ,AA$1,0)*$F201,0),IFERROR(VLOOKUP($G:$G,Structure!$A:$AJ,AA$1,0)*$H201,0))</f>
        <v>0</v>
      </c>
      <c r="AB201" s="9">
        <f>SUM(IFERROR(VLOOKUP($C:$C,Structure!$A:$AJ,AB$1,0)*$D201,0),IFERROR(VLOOKUP($E:$E,Structure!$A:$AJ,AB$1,0)*$F201,0),IFERROR(VLOOKUP($G:$G,Structure!$A:$AJ,AB$1,0)*$H201,0))</f>
        <v>0</v>
      </c>
      <c r="AC201" s="9">
        <f>SUM(IFERROR(VLOOKUP($C:$C,Structure!$A:$AJ,AC$1,0)*$D201,0),IFERROR(VLOOKUP($E:$E,Structure!$A:$AJ,AC$1,0)*$F201,0),IFERROR(VLOOKUP($G:$G,Structure!$A:$AJ,AC$1,0)*$H201,0))</f>
        <v>0</v>
      </c>
      <c r="AD201" s="9">
        <f>SUM(IFERROR(VLOOKUP($C:$C,Structure!$A:$AJ,AD$1,0)*$D201,0),IFERROR(VLOOKUP($E:$E,Structure!$A:$AJ,AD$1,0)*$F201,0),IFERROR(VLOOKUP($G:$G,Structure!$A:$AJ,AD$1,0)*$H201,0))</f>
        <v>0</v>
      </c>
      <c r="AE201" s="9">
        <f>SUM(IFERROR(VLOOKUP($C:$C,Structure!$A:$AJ,AE$1,0)*$D201,0),IFERROR(VLOOKUP($E:$E,Structure!$A:$AJ,AE$1,0)*$F201,0),IFERROR(VLOOKUP($G:$G,Structure!$A:$AJ,AE$1,0)*$H201,0))</f>
        <v>0</v>
      </c>
      <c r="AF201" s="9">
        <f>SUM(IFERROR(VLOOKUP($C:$C,Structure!$A:$AJ,AF$1,0)*$D201,0),IFERROR(VLOOKUP($E:$E,Structure!$A:$AJ,AF$1,0)*$F201,0),IFERROR(VLOOKUP($G:$G,Structure!$A:$AJ,AF$1,0)*$H201,0))</f>
        <v>0</v>
      </c>
      <c r="AG201" s="9">
        <f>SUM(IFERROR(VLOOKUP($C:$C,Structure!$A:$AJ,AG$1,0)*$D201,0),IFERROR(VLOOKUP($E:$E,Structure!$A:$AJ,AG$1,0)*$F201,0),IFERROR(VLOOKUP($G:$G,Structure!$A:$AJ,AG$1,0)*$H201,0))</f>
        <v>0</v>
      </c>
      <c r="AH201" s="9">
        <f>SUM(IFERROR(VLOOKUP($C:$C,Structure!$A:$AJ,AH$1,0)*$D201,0),IFERROR(VLOOKUP($E:$E,Structure!$A:$AJ,AH$1,0)*$F201,0),IFERROR(VLOOKUP($G:$G,Structure!$A:$AJ,AH$1,0)*$H201,0))</f>
        <v>0</v>
      </c>
      <c r="AI201" s="9">
        <f>SUM(IFERROR(VLOOKUP($C:$C,Structure!$A:$AJ,AI$1,0)*$D201,0),IFERROR(VLOOKUP($E:$E,Structure!$A:$AJ,AI$1,0)*$F201,0),IFERROR(VLOOKUP($G:$G,Structure!$A:$AJ,AI$1,0)*$H201,0))</f>
        <v>0</v>
      </c>
      <c r="AJ201" s="9">
        <f>SUM(IFERROR(VLOOKUP($C:$C,Structure!$A:$AJ,AJ$1,0)*$D201,0),IFERROR(VLOOKUP($E:$E,Structure!$A:$AJ,AJ$1,0)*$F201,0),IFERROR(VLOOKUP($G:$G,Structure!$A:$AJ,AJ$1,0)*$H201,0))</f>
        <v>0</v>
      </c>
      <c r="AK201" s="9">
        <f>SUM(IFERROR(VLOOKUP($C:$C,Structure!$A:$AJ,AK$1,0)*$D201,0),IFERROR(VLOOKUP($E:$E,Structure!$A:$AJ,AK$1,0)*$F201,0),IFERROR(VLOOKUP($G:$G,Structure!$A:$AJ,AK$1,0)*$H201,0))</f>
        <v>0</v>
      </c>
      <c r="AL201" s="9">
        <f>SUM(IFERROR(VLOOKUP($C:$C,Structure!$A:$AJ,AL$1,0)*$D201,0),IFERROR(VLOOKUP($E:$E,Structure!$A:$AJ,AL$1,0)*$F201,0),IFERROR(VLOOKUP($G:$G,Structure!$A:$AJ,AL$1,0)*$H201,0))</f>
        <v>0</v>
      </c>
      <c r="AM201" s="9">
        <f>SUM(IFERROR(VLOOKUP($C:$C,Structure!$A:$AJ,AM$1,0)*$D201,0),IFERROR(VLOOKUP($E:$E,Structure!$A:$AJ,AM$1,0)*$F201,0),IFERROR(VLOOKUP($G:$G,Structure!$A:$AJ,AM$1,0)*$H201,0))</f>
        <v>0</v>
      </c>
      <c r="AN201" s="9">
        <f>SUM(IFERROR(VLOOKUP($C:$C,Structure!$A:$AJ,AN$1,0)*$D201,0),IFERROR(VLOOKUP($E:$E,Structure!$A:$AJ,AN$1,0)*$F201,0),IFERROR(VLOOKUP($G:$G,Structure!$A:$AJ,AN$1,0)*$H201,0))</f>
        <v>0</v>
      </c>
      <c r="AO201" s="9">
        <f>SUM(IFERROR(VLOOKUP($C:$C,Structure!$A:$AJ,AO$1,0)*$D201,0),IFERROR(VLOOKUP($E:$E,Structure!$A:$AJ,AO$1,0)*$F201,0),IFERROR(VLOOKUP($G:$G,Structure!$A:$AJ,AO$1,0)*$H201,0))</f>
        <v>0</v>
      </c>
      <c r="AP201" s="9">
        <f>SUM(IFERROR(VLOOKUP($C:$C,Structure!$A:$AJ,AP$1,0)*$D201,0),IFERROR(VLOOKUP($E:$E,Structure!$A:$AJ,AP$1,0)*$F201,0),IFERROR(VLOOKUP($G:$G,Structure!$A:$AJ,AP$1,0)*$H201,0))</f>
        <v>0</v>
      </c>
      <c r="AQ201" s="9">
        <f>SUM(IFERROR(VLOOKUP($C:$C,Structure!$A:$AJ,AQ$1,0)*$D201,0),IFERROR(VLOOKUP($E:$E,Structure!$A:$AJ,AQ$1,0)*$F201,0),IFERROR(VLOOKUP($G:$G,Structure!$A:$AJ,AQ$1,0)*$H201,0))</f>
        <v>0</v>
      </c>
      <c r="AR201" s="21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4">
        <f t="shared" si="232"/>
        <v>0</v>
      </c>
      <c r="CE201" s="4">
        <f t="shared" si="233"/>
        <v>-180</v>
      </c>
      <c r="CF201" s="4">
        <f t="shared" si="234"/>
        <v>4</v>
      </c>
      <c r="CG201" s="4">
        <f t="shared" si="235"/>
        <v>14</v>
      </c>
      <c r="CH201" s="4">
        <f t="shared" si="236"/>
        <v>-7</v>
      </c>
      <c r="CI201" s="4">
        <f t="shared" si="237"/>
        <v>127</v>
      </c>
      <c r="CJ201" s="4">
        <f t="shared" si="238"/>
        <v>-141</v>
      </c>
      <c r="CK201" s="4">
        <f t="shared" si="239"/>
        <v>-1</v>
      </c>
      <c r="CL201" s="4">
        <f t="shared" si="240"/>
        <v>0</v>
      </c>
      <c r="CM201" s="4">
        <f t="shared" si="241"/>
        <v>6</v>
      </c>
      <c r="CN201" s="4">
        <f t="shared" si="242"/>
        <v>-28</v>
      </c>
      <c r="CO201" s="4">
        <f t="shared" si="243"/>
        <v>0</v>
      </c>
      <c r="CP201" s="4">
        <f t="shared" si="244"/>
        <v>67</v>
      </c>
      <c r="CQ201" s="4">
        <f t="shared" si="245"/>
        <v>-550</v>
      </c>
      <c r="CR201" s="4">
        <f t="shared" si="246"/>
        <v>15</v>
      </c>
      <c r="CS201" s="4">
        <f t="shared" si="247"/>
        <v>-24</v>
      </c>
      <c r="CT201" s="4">
        <f t="shared" si="248"/>
        <v>0</v>
      </c>
      <c r="CU201" s="4">
        <f t="shared" si="249"/>
        <v>0</v>
      </c>
      <c r="CV201" s="4">
        <f t="shared" si="250"/>
        <v>0</v>
      </c>
      <c r="CW201" s="4">
        <f t="shared" si="251"/>
        <v>0</v>
      </c>
      <c r="CX201" s="4">
        <f t="shared" si="252"/>
        <v>-543</v>
      </c>
      <c r="CY201" s="4">
        <f t="shared" si="253"/>
        <v>0</v>
      </c>
      <c r="CZ201" s="4">
        <f t="shared" si="254"/>
        <v>0</v>
      </c>
      <c r="DA201" s="4">
        <f t="shared" si="255"/>
        <v>0</v>
      </c>
      <c r="DB201" s="4">
        <f t="shared" si="256"/>
        <v>0</v>
      </c>
      <c r="DC201" s="4">
        <f t="shared" si="257"/>
        <v>0</v>
      </c>
      <c r="DD201" s="4">
        <f t="shared" si="258"/>
        <v>0</v>
      </c>
      <c r="DE201" s="4">
        <f t="shared" si="259"/>
        <v>0</v>
      </c>
      <c r="DF201" s="4">
        <f t="shared" si="260"/>
        <v>0</v>
      </c>
      <c r="DG201" s="4">
        <f t="shared" si="261"/>
        <v>0</v>
      </c>
      <c r="DH201" s="4">
        <f t="shared" si="262"/>
        <v>0</v>
      </c>
      <c r="DI201" s="4">
        <f t="shared" si="263"/>
        <v>0</v>
      </c>
      <c r="DJ201" s="4">
        <f t="shared" si="264"/>
        <v>0</v>
      </c>
      <c r="DK201" s="4">
        <f t="shared" si="265"/>
        <v>0</v>
      </c>
      <c r="DL201" s="4">
        <f t="shared" si="266"/>
        <v>0</v>
      </c>
    </row>
    <row r="202" spans="1:116" x14ac:dyDescent="0.25">
      <c r="A202" s="5">
        <v>46187</v>
      </c>
      <c r="B202" s="6">
        <v>0.45833333381597186</v>
      </c>
      <c r="C202" s="3"/>
      <c r="D202" s="3"/>
      <c r="E202" s="3" t="s">
        <v>47</v>
      </c>
      <c r="F202" s="3">
        <v>3</v>
      </c>
      <c r="G202" s="3"/>
      <c r="H202" s="9"/>
      <c r="I202" s="9">
        <f>SUM(IFERROR(VLOOKUP($C:$C,Structure!$A:$AJ,I$1,0)*$D202,0),IFERROR(VLOOKUP($E:$E,Structure!$A:$AJ,I$1,0)*$F202,0),IFERROR(VLOOKUP($G:$G,Structure!$A:$AJ,I$1,0)*$H202,0))</f>
        <v>0</v>
      </c>
      <c r="J202" s="9">
        <f>SUM(IFERROR(VLOOKUP($C:$C,Structure!$A:$AJ,J$1,0)*$D202,0),IFERROR(VLOOKUP($E:$E,Structure!$A:$AJ,J$1,0)*$F202,0),IFERROR(VLOOKUP($G:$G,Structure!$A:$AJ,J$1,0)*$H202,0))</f>
        <v>0</v>
      </c>
      <c r="K202" s="9">
        <f>SUM(IFERROR(VLOOKUP($C:$C,Structure!$A:$AJ,K$1,0)*$D202,0),IFERROR(VLOOKUP($E:$E,Structure!$A:$AJ,K$1,0)*$F202,0),IFERROR(VLOOKUP($G:$G,Structure!$A:$AJ,K$1,0)*$H202,0))</f>
        <v>0</v>
      </c>
      <c r="L202" s="9">
        <f>SUM(IFERROR(VLOOKUP($C:$C,Structure!$A:$AJ,L$1,0)*$D202,0),IFERROR(VLOOKUP($E:$E,Structure!$A:$AJ,L$1,0)*$F202,0),IFERROR(VLOOKUP($G:$G,Structure!$A:$AJ,L$1,0)*$H202,0))</f>
        <v>3</v>
      </c>
      <c r="M202" s="9">
        <f>SUM(IFERROR(VLOOKUP($C:$C,Structure!$A:$AJ,M$1,0)*$D202,0),IFERROR(VLOOKUP($E:$E,Structure!$A:$AJ,M$1,0)*$F202,0),IFERROR(VLOOKUP($G:$G,Structure!$A:$AJ,M$1,0)*$H202,0))</f>
        <v>0</v>
      </c>
      <c r="N202" s="9">
        <f>SUM(IFERROR(VLOOKUP($C:$C,Structure!$A:$AJ,N$1,0)*$D202,0),IFERROR(VLOOKUP($E:$E,Structure!$A:$AJ,N$1,0)*$F202,0),IFERROR(VLOOKUP($G:$G,Structure!$A:$AJ,N$1,0)*$H202,0))</f>
        <v>0</v>
      </c>
      <c r="O202" s="9">
        <f>SUM(IFERROR(VLOOKUP($C:$C,Structure!$A:$AJ,O$1,0)*$D202,0),IFERROR(VLOOKUP($E:$E,Structure!$A:$AJ,O$1,0)*$F202,0),IFERROR(VLOOKUP($G:$G,Structure!$A:$AJ,O$1,0)*$H202,0))</f>
        <v>0</v>
      </c>
      <c r="P202" s="9">
        <f>SUM(IFERROR(VLOOKUP($C:$C,Structure!$A:$AJ,P$1,0)*$D202,0),IFERROR(VLOOKUP($E:$E,Structure!$A:$AJ,P$1,0)*$F202,0),IFERROR(VLOOKUP($G:$G,Structure!$A:$AJ,P$1,0)*$H202,0))</f>
        <v>0</v>
      </c>
      <c r="Q202" s="9">
        <f>SUM(IFERROR(VLOOKUP($C:$C,Structure!$A:$AJ,Q$1,0)*$D202,0),IFERROR(VLOOKUP($E:$E,Structure!$A:$AJ,Q$1,0)*$F202,0),IFERROR(VLOOKUP($G:$G,Structure!$A:$AJ,Q$1,0)*$H202,0))</f>
        <v>0</v>
      </c>
      <c r="R202" s="9">
        <f>SUM(IFERROR(VLOOKUP($C:$C,Structure!$A:$AJ,R$1,0)*$D202,0),IFERROR(VLOOKUP($E:$E,Structure!$A:$AJ,R$1,0)*$F202,0),IFERROR(VLOOKUP($G:$G,Structure!$A:$AJ,R$1,0)*$H202,0))</f>
        <v>0</v>
      </c>
      <c r="S202" s="9">
        <f>SUM(IFERROR(VLOOKUP($C:$C,Structure!$A:$AJ,S$1,0)*$D202,0),IFERROR(VLOOKUP($E:$E,Structure!$A:$AJ,S$1,0)*$F202,0),IFERROR(VLOOKUP($G:$G,Structure!$A:$AJ,S$1,0)*$H202,0))</f>
        <v>0</v>
      </c>
      <c r="T202" s="9">
        <f>SUM(IFERROR(VLOOKUP($C:$C,Structure!$A:$AJ,T$1,0)*$D202,0),IFERROR(VLOOKUP($E:$E,Structure!$A:$AJ,T$1,0)*$F202,0),IFERROR(VLOOKUP($G:$G,Structure!$A:$AJ,T$1,0)*$H202,0))</f>
        <v>0</v>
      </c>
      <c r="U202" s="9">
        <f>SUM(IFERROR(VLOOKUP($C:$C,Structure!$A:$AJ,U$1,0)*$D202,0),IFERROR(VLOOKUP($E:$E,Structure!$A:$AJ,U$1,0)*$F202,0),IFERROR(VLOOKUP($G:$G,Structure!$A:$AJ,U$1,0)*$H202,0))</f>
        <v>0</v>
      </c>
      <c r="V202" s="9">
        <f>SUM(IFERROR(VLOOKUP($C:$C,Structure!$A:$AJ,V$1,0)*$D202,0),IFERROR(VLOOKUP($E:$E,Structure!$A:$AJ,V$1,0)*$F202,0),IFERROR(VLOOKUP($G:$G,Structure!$A:$AJ,V$1,0)*$H202,0))</f>
        <v>0</v>
      </c>
      <c r="W202" s="9">
        <f>SUM(IFERROR(VLOOKUP($C:$C,Structure!$A:$AJ,W$1,0)*$D202,0),IFERROR(VLOOKUP($E:$E,Structure!$A:$AJ,W$1,0)*$F202,0),IFERROR(VLOOKUP($G:$G,Structure!$A:$AJ,W$1,0)*$H202,0))</f>
        <v>3</v>
      </c>
      <c r="X202" s="9">
        <f>SUM(IFERROR(VLOOKUP($C:$C,Structure!$A:$AJ,X$1,0)*$D202,0),IFERROR(VLOOKUP($E:$E,Structure!$A:$AJ,X$1,0)*$F202,0),IFERROR(VLOOKUP($G:$G,Structure!$A:$AJ,X$1,0)*$H202,0))</f>
        <v>0</v>
      </c>
      <c r="Y202" s="9">
        <f>SUM(IFERROR(VLOOKUP($C:$C,Structure!$A:$AJ,Y$1,0)*$D202,0),IFERROR(VLOOKUP($E:$E,Structure!$A:$AJ,Y$1,0)*$F202,0),IFERROR(VLOOKUP($G:$G,Structure!$A:$AJ,Y$1,0)*$H202,0))</f>
        <v>0</v>
      </c>
      <c r="Z202" s="9">
        <f>SUM(IFERROR(VLOOKUP($C:$C,Structure!$A:$AJ,Z$1,0)*$D202,0),IFERROR(VLOOKUP($E:$E,Structure!$A:$AJ,Z$1,0)*$F202,0),IFERROR(VLOOKUP($G:$G,Structure!$A:$AJ,Z$1,0)*$H202,0))</f>
        <v>0</v>
      </c>
      <c r="AA202" s="9">
        <f>SUM(IFERROR(VLOOKUP($C:$C,Structure!$A:$AJ,AA$1,0)*$D202,0),IFERROR(VLOOKUP($E:$E,Structure!$A:$AJ,AA$1,0)*$F202,0),IFERROR(VLOOKUP($G:$G,Structure!$A:$AJ,AA$1,0)*$H202,0))</f>
        <v>0</v>
      </c>
      <c r="AB202" s="9">
        <f>SUM(IFERROR(VLOOKUP($C:$C,Structure!$A:$AJ,AB$1,0)*$D202,0),IFERROR(VLOOKUP($E:$E,Structure!$A:$AJ,AB$1,0)*$F202,0),IFERROR(VLOOKUP($G:$G,Structure!$A:$AJ,AB$1,0)*$H202,0))</f>
        <v>0</v>
      </c>
      <c r="AC202" s="9">
        <f>SUM(IFERROR(VLOOKUP($C:$C,Structure!$A:$AJ,AC$1,0)*$D202,0),IFERROR(VLOOKUP($E:$E,Structure!$A:$AJ,AC$1,0)*$F202,0),IFERROR(VLOOKUP($G:$G,Structure!$A:$AJ,AC$1,0)*$H202,0))</f>
        <v>0</v>
      </c>
      <c r="AD202" s="9">
        <f>SUM(IFERROR(VLOOKUP($C:$C,Structure!$A:$AJ,AD$1,0)*$D202,0),IFERROR(VLOOKUP($E:$E,Structure!$A:$AJ,AD$1,0)*$F202,0),IFERROR(VLOOKUP($G:$G,Structure!$A:$AJ,AD$1,0)*$H202,0))</f>
        <v>0</v>
      </c>
      <c r="AE202" s="9">
        <f>SUM(IFERROR(VLOOKUP($C:$C,Structure!$A:$AJ,AE$1,0)*$D202,0),IFERROR(VLOOKUP($E:$E,Structure!$A:$AJ,AE$1,0)*$F202,0),IFERROR(VLOOKUP($G:$G,Structure!$A:$AJ,AE$1,0)*$H202,0))</f>
        <v>0</v>
      </c>
      <c r="AF202" s="9">
        <f>SUM(IFERROR(VLOOKUP($C:$C,Structure!$A:$AJ,AF$1,0)*$D202,0),IFERROR(VLOOKUP($E:$E,Structure!$A:$AJ,AF$1,0)*$F202,0),IFERROR(VLOOKUP($G:$G,Structure!$A:$AJ,AF$1,0)*$H202,0))</f>
        <v>0</v>
      </c>
      <c r="AG202" s="9">
        <f>SUM(IFERROR(VLOOKUP($C:$C,Structure!$A:$AJ,AG$1,0)*$D202,0),IFERROR(VLOOKUP($E:$E,Structure!$A:$AJ,AG$1,0)*$F202,0),IFERROR(VLOOKUP($G:$G,Structure!$A:$AJ,AG$1,0)*$H202,0))</f>
        <v>0</v>
      </c>
      <c r="AH202" s="9">
        <f>SUM(IFERROR(VLOOKUP($C:$C,Structure!$A:$AJ,AH$1,0)*$D202,0),IFERROR(VLOOKUP($E:$E,Structure!$A:$AJ,AH$1,0)*$F202,0),IFERROR(VLOOKUP($G:$G,Structure!$A:$AJ,AH$1,0)*$H202,0))</f>
        <v>0</v>
      </c>
      <c r="AI202" s="9">
        <f>SUM(IFERROR(VLOOKUP($C:$C,Structure!$A:$AJ,AI$1,0)*$D202,0),IFERROR(VLOOKUP($E:$E,Structure!$A:$AJ,AI$1,0)*$F202,0),IFERROR(VLOOKUP($G:$G,Structure!$A:$AJ,AI$1,0)*$H202,0))</f>
        <v>0</v>
      </c>
      <c r="AJ202" s="9">
        <f>SUM(IFERROR(VLOOKUP($C:$C,Structure!$A:$AJ,AJ$1,0)*$D202,0),IFERROR(VLOOKUP($E:$E,Structure!$A:$AJ,AJ$1,0)*$F202,0),IFERROR(VLOOKUP($G:$G,Structure!$A:$AJ,AJ$1,0)*$H202,0))</f>
        <v>0</v>
      </c>
      <c r="AK202" s="9">
        <f>SUM(IFERROR(VLOOKUP($C:$C,Structure!$A:$AJ,AK$1,0)*$D202,0),IFERROR(VLOOKUP($E:$E,Structure!$A:$AJ,AK$1,0)*$F202,0),IFERROR(VLOOKUP($G:$G,Structure!$A:$AJ,AK$1,0)*$H202,0))</f>
        <v>0</v>
      </c>
      <c r="AL202" s="9">
        <f>SUM(IFERROR(VLOOKUP($C:$C,Structure!$A:$AJ,AL$1,0)*$D202,0),IFERROR(VLOOKUP($E:$E,Structure!$A:$AJ,AL$1,0)*$F202,0),IFERROR(VLOOKUP($G:$G,Structure!$A:$AJ,AL$1,0)*$H202,0))</f>
        <v>0</v>
      </c>
      <c r="AM202" s="9">
        <f>SUM(IFERROR(VLOOKUP($C:$C,Structure!$A:$AJ,AM$1,0)*$D202,0),IFERROR(VLOOKUP($E:$E,Structure!$A:$AJ,AM$1,0)*$F202,0),IFERROR(VLOOKUP($G:$G,Structure!$A:$AJ,AM$1,0)*$H202,0))</f>
        <v>0</v>
      </c>
      <c r="AN202" s="9">
        <f>SUM(IFERROR(VLOOKUP($C:$C,Structure!$A:$AJ,AN$1,0)*$D202,0),IFERROR(VLOOKUP($E:$E,Structure!$A:$AJ,AN$1,0)*$F202,0),IFERROR(VLOOKUP($G:$G,Structure!$A:$AJ,AN$1,0)*$H202,0))</f>
        <v>0</v>
      </c>
      <c r="AO202" s="9">
        <f>SUM(IFERROR(VLOOKUP($C:$C,Structure!$A:$AJ,AO$1,0)*$D202,0),IFERROR(VLOOKUP($E:$E,Structure!$A:$AJ,AO$1,0)*$F202,0),IFERROR(VLOOKUP($G:$G,Structure!$A:$AJ,AO$1,0)*$H202,0))</f>
        <v>0</v>
      </c>
      <c r="AP202" s="9">
        <f>SUM(IFERROR(VLOOKUP($C:$C,Structure!$A:$AJ,AP$1,0)*$D202,0),IFERROR(VLOOKUP($E:$E,Structure!$A:$AJ,AP$1,0)*$F202,0),IFERROR(VLOOKUP($G:$G,Structure!$A:$AJ,AP$1,0)*$H202,0))</f>
        <v>0</v>
      </c>
      <c r="AQ202" s="9">
        <f>SUM(IFERROR(VLOOKUP($C:$C,Structure!$A:$AJ,AQ$1,0)*$D202,0),IFERROR(VLOOKUP($E:$E,Structure!$A:$AJ,AQ$1,0)*$F202,0),IFERROR(VLOOKUP($G:$G,Structure!$A:$AJ,AQ$1,0)*$H202,0))</f>
        <v>0</v>
      </c>
      <c r="AR202" s="21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4">
        <f t="shared" si="232"/>
        <v>0</v>
      </c>
      <c r="CE202" s="4">
        <f t="shared" si="233"/>
        <v>-180</v>
      </c>
      <c r="CF202" s="4">
        <f t="shared" si="234"/>
        <v>4</v>
      </c>
      <c r="CG202" s="4">
        <f t="shared" si="235"/>
        <v>11</v>
      </c>
      <c r="CH202" s="4">
        <f t="shared" si="236"/>
        <v>-7</v>
      </c>
      <c r="CI202" s="4">
        <f t="shared" si="237"/>
        <v>127</v>
      </c>
      <c r="CJ202" s="4">
        <f t="shared" si="238"/>
        <v>-141</v>
      </c>
      <c r="CK202" s="4">
        <f t="shared" si="239"/>
        <v>-1</v>
      </c>
      <c r="CL202" s="4">
        <f t="shared" si="240"/>
        <v>0</v>
      </c>
      <c r="CM202" s="4">
        <f t="shared" si="241"/>
        <v>6</v>
      </c>
      <c r="CN202" s="4">
        <f t="shared" si="242"/>
        <v>-28</v>
      </c>
      <c r="CO202" s="4">
        <f t="shared" si="243"/>
        <v>0</v>
      </c>
      <c r="CP202" s="4">
        <f t="shared" si="244"/>
        <v>67</v>
      </c>
      <c r="CQ202" s="4">
        <f t="shared" si="245"/>
        <v>-550</v>
      </c>
      <c r="CR202" s="4">
        <f t="shared" si="246"/>
        <v>12</v>
      </c>
      <c r="CS202" s="4">
        <f t="shared" si="247"/>
        <v>-24</v>
      </c>
      <c r="CT202" s="4">
        <f t="shared" si="248"/>
        <v>0</v>
      </c>
      <c r="CU202" s="4">
        <f t="shared" si="249"/>
        <v>0</v>
      </c>
      <c r="CV202" s="4">
        <f t="shared" si="250"/>
        <v>0</v>
      </c>
      <c r="CW202" s="4">
        <f t="shared" si="251"/>
        <v>0</v>
      </c>
      <c r="CX202" s="4">
        <f t="shared" si="252"/>
        <v>-543</v>
      </c>
      <c r="CY202" s="4">
        <f t="shared" si="253"/>
        <v>0</v>
      </c>
      <c r="CZ202" s="4">
        <f t="shared" si="254"/>
        <v>0</v>
      </c>
      <c r="DA202" s="4">
        <f t="shared" si="255"/>
        <v>0</v>
      </c>
      <c r="DB202" s="4">
        <f t="shared" si="256"/>
        <v>0</v>
      </c>
      <c r="DC202" s="4">
        <f t="shared" si="257"/>
        <v>0</v>
      </c>
      <c r="DD202" s="4">
        <f t="shared" si="258"/>
        <v>0</v>
      </c>
      <c r="DE202" s="4">
        <f t="shared" si="259"/>
        <v>0</v>
      </c>
      <c r="DF202" s="4">
        <f t="shared" si="260"/>
        <v>0</v>
      </c>
      <c r="DG202" s="4">
        <f t="shared" si="261"/>
        <v>0</v>
      </c>
      <c r="DH202" s="4">
        <f t="shared" si="262"/>
        <v>0</v>
      </c>
      <c r="DI202" s="4">
        <f t="shared" si="263"/>
        <v>0</v>
      </c>
      <c r="DJ202" s="4">
        <f t="shared" si="264"/>
        <v>0</v>
      </c>
      <c r="DK202" s="4">
        <f t="shared" si="265"/>
        <v>0</v>
      </c>
      <c r="DL202" s="4">
        <f t="shared" si="266"/>
        <v>0</v>
      </c>
    </row>
    <row r="203" spans="1:116" x14ac:dyDescent="0.25">
      <c r="A203" s="5">
        <v>46187</v>
      </c>
      <c r="B203" s="6">
        <v>0.47916666715173051</v>
      </c>
      <c r="C203" s="3"/>
      <c r="D203" s="3"/>
      <c r="E203" s="3" t="s">
        <v>49</v>
      </c>
      <c r="F203" s="3">
        <v>8</v>
      </c>
      <c r="G203" s="3"/>
      <c r="H203" s="9"/>
      <c r="I203" s="9">
        <f>SUM(IFERROR(VLOOKUP($C:$C,Structure!$A:$AJ,I$1,0)*$D203,0),IFERROR(VLOOKUP($E:$E,Structure!$A:$AJ,I$1,0)*$F203,0),IFERROR(VLOOKUP($G:$G,Structure!$A:$AJ,I$1,0)*$H203,0))</f>
        <v>0</v>
      </c>
      <c r="J203" s="9">
        <f>SUM(IFERROR(VLOOKUP($C:$C,Structure!$A:$AJ,J$1,0)*$D203,0),IFERROR(VLOOKUP($E:$E,Structure!$A:$AJ,J$1,0)*$F203,0),IFERROR(VLOOKUP($G:$G,Structure!$A:$AJ,J$1,0)*$H203,0))</f>
        <v>0</v>
      </c>
      <c r="K203" s="9">
        <f>SUM(IFERROR(VLOOKUP($C:$C,Structure!$A:$AJ,K$1,0)*$D203,0),IFERROR(VLOOKUP($E:$E,Structure!$A:$AJ,K$1,0)*$F203,0),IFERROR(VLOOKUP($G:$G,Structure!$A:$AJ,K$1,0)*$H203,0))</f>
        <v>0</v>
      </c>
      <c r="L203" s="9">
        <f>SUM(IFERROR(VLOOKUP($C:$C,Structure!$A:$AJ,L$1,0)*$D203,0),IFERROR(VLOOKUP($E:$E,Structure!$A:$AJ,L$1,0)*$F203,0),IFERROR(VLOOKUP($G:$G,Structure!$A:$AJ,L$1,0)*$H203,0))</f>
        <v>0</v>
      </c>
      <c r="M203" s="9">
        <f>SUM(IFERROR(VLOOKUP($C:$C,Structure!$A:$AJ,M$1,0)*$D203,0),IFERROR(VLOOKUP($E:$E,Structure!$A:$AJ,M$1,0)*$F203,0),IFERROR(VLOOKUP($G:$G,Structure!$A:$AJ,M$1,0)*$H203,0))</f>
        <v>0</v>
      </c>
      <c r="N203" s="9">
        <f>SUM(IFERROR(VLOOKUP($C:$C,Structure!$A:$AJ,N$1,0)*$D203,0),IFERROR(VLOOKUP($E:$E,Structure!$A:$AJ,N$1,0)*$F203,0),IFERROR(VLOOKUP($G:$G,Structure!$A:$AJ,N$1,0)*$H203,0))</f>
        <v>8</v>
      </c>
      <c r="O203" s="9">
        <f>SUM(IFERROR(VLOOKUP($C:$C,Structure!$A:$AJ,O$1,0)*$D203,0),IFERROR(VLOOKUP($E:$E,Structure!$A:$AJ,O$1,0)*$F203,0),IFERROR(VLOOKUP($G:$G,Structure!$A:$AJ,O$1,0)*$H203,0))</f>
        <v>0</v>
      </c>
      <c r="P203" s="9">
        <f>SUM(IFERROR(VLOOKUP($C:$C,Structure!$A:$AJ,P$1,0)*$D203,0),IFERROR(VLOOKUP($E:$E,Structure!$A:$AJ,P$1,0)*$F203,0),IFERROR(VLOOKUP($G:$G,Structure!$A:$AJ,P$1,0)*$H203,0))</f>
        <v>0</v>
      </c>
      <c r="Q203" s="9">
        <f>SUM(IFERROR(VLOOKUP($C:$C,Structure!$A:$AJ,Q$1,0)*$D203,0),IFERROR(VLOOKUP($E:$E,Structure!$A:$AJ,Q$1,0)*$F203,0),IFERROR(VLOOKUP($G:$G,Structure!$A:$AJ,Q$1,0)*$H203,0))</f>
        <v>0</v>
      </c>
      <c r="R203" s="9">
        <f>SUM(IFERROR(VLOOKUP($C:$C,Structure!$A:$AJ,R$1,0)*$D203,0),IFERROR(VLOOKUP($E:$E,Structure!$A:$AJ,R$1,0)*$F203,0),IFERROR(VLOOKUP($G:$G,Structure!$A:$AJ,R$1,0)*$H203,0))</f>
        <v>0</v>
      </c>
      <c r="S203" s="9">
        <f>SUM(IFERROR(VLOOKUP($C:$C,Structure!$A:$AJ,S$1,0)*$D203,0),IFERROR(VLOOKUP($E:$E,Structure!$A:$AJ,S$1,0)*$F203,0),IFERROR(VLOOKUP($G:$G,Structure!$A:$AJ,S$1,0)*$H203,0))</f>
        <v>0</v>
      </c>
      <c r="T203" s="9">
        <f>SUM(IFERROR(VLOOKUP($C:$C,Structure!$A:$AJ,T$1,0)*$D203,0),IFERROR(VLOOKUP($E:$E,Structure!$A:$AJ,T$1,0)*$F203,0),IFERROR(VLOOKUP($G:$G,Structure!$A:$AJ,T$1,0)*$H203,0))</f>
        <v>0</v>
      </c>
      <c r="U203" s="9">
        <f>SUM(IFERROR(VLOOKUP($C:$C,Structure!$A:$AJ,U$1,0)*$D203,0),IFERROR(VLOOKUP($E:$E,Structure!$A:$AJ,U$1,0)*$F203,0),IFERROR(VLOOKUP($G:$G,Structure!$A:$AJ,U$1,0)*$H203,0))</f>
        <v>0</v>
      </c>
      <c r="V203" s="9">
        <f>SUM(IFERROR(VLOOKUP($C:$C,Structure!$A:$AJ,V$1,0)*$D203,0),IFERROR(VLOOKUP($E:$E,Structure!$A:$AJ,V$1,0)*$F203,0),IFERROR(VLOOKUP($G:$G,Structure!$A:$AJ,V$1,0)*$H203,0))</f>
        <v>0</v>
      </c>
      <c r="W203" s="9">
        <f>SUM(IFERROR(VLOOKUP($C:$C,Structure!$A:$AJ,W$1,0)*$D203,0),IFERROR(VLOOKUP($E:$E,Structure!$A:$AJ,W$1,0)*$F203,0),IFERROR(VLOOKUP($G:$G,Structure!$A:$AJ,W$1,0)*$H203,0))</f>
        <v>0</v>
      </c>
      <c r="X203" s="9">
        <f>SUM(IFERROR(VLOOKUP($C:$C,Structure!$A:$AJ,X$1,0)*$D203,0),IFERROR(VLOOKUP($E:$E,Structure!$A:$AJ,X$1,0)*$F203,0),IFERROR(VLOOKUP($G:$G,Structure!$A:$AJ,X$1,0)*$H203,0))</f>
        <v>8</v>
      </c>
      <c r="Y203" s="9">
        <f>SUM(IFERROR(VLOOKUP($C:$C,Structure!$A:$AJ,Y$1,0)*$D203,0),IFERROR(VLOOKUP($E:$E,Structure!$A:$AJ,Y$1,0)*$F203,0),IFERROR(VLOOKUP($G:$G,Structure!$A:$AJ,Y$1,0)*$H203,0))</f>
        <v>0</v>
      </c>
      <c r="Z203" s="9">
        <f>SUM(IFERROR(VLOOKUP($C:$C,Structure!$A:$AJ,Z$1,0)*$D203,0),IFERROR(VLOOKUP($E:$E,Structure!$A:$AJ,Z$1,0)*$F203,0),IFERROR(VLOOKUP($G:$G,Structure!$A:$AJ,Z$1,0)*$H203,0))</f>
        <v>0</v>
      </c>
      <c r="AA203" s="9">
        <f>SUM(IFERROR(VLOOKUP($C:$C,Structure!$A:$AJ,AA$1,0)*$D203,0),IFERROR(VLOOKUP($E:$E,Structure!$A:$AJ,AA$1,0)*$F203,0),IFERROR(VLOOKUP($G:$G,Structure!$A:$AJ,AA$1,0)*$H203,0))</f>
        <v>0</v>
      </c>
      <c r="AB203" s="9">
        <f>SUM(IFERROR(VLOOKUP($C:$C,Structure!$A:$AJ,AB$1,0)*$D203,0),IFERROR(VLOOKUP($E:$E,Structure!$A:$AJ,AB$1,0)*$F203,0),IFERROR(VLOOKUP($G:$G,Structure!$A:$AJ,AB$1,0)*$H203,0))</f>
        <v>0</v>
      </c>
      <c r="AC203" s="9">
        <f>SUM(IFERROR(VLOOKUP($C:$C,Structure!$A:$AJ,AC$1,0)*$D203,0),IFERROR(VLOOKUP($E:$E,Structure!$A:$AJ,AC$1,0)*$F203,0),IFERROR(VLOOKUP($G:$G,Structure!$A:$AJ,AC$1,0)*$H203,0))</f>
        <v>0</v>
      </c>
      <c r="AD203" s="9">
        <f>SUM(IFERROR(VLOOKUP($C:$C,Structure!$A:$AJ,AD$1,0)*$D203,0),IFERROR(VLOOKUP($E:$E,Structure!$A:$AJ,AD$1,0)*$F203,0),IFERROR(VLOOKUP($G:$G,Structure!$A:$AJ,AD$1,0)*$H203,0))</f>
        <v>0</v>
      </c>
      <c r="AE203" s="9">
        <f>SUM(IFERROR(VLOOKUP($C:$C,Structure!$A:$AJ,AE$1,0)*$D203,0),IFERROR(VLOOKUP($E:$E,Structure!$A:$AJ,AE$1,0)*$F203,0),IFERROR(VLOOKUP($G:$G,Structure!$A:$AJ,AE$1,0)*$H203,0))</f>
        <v>0</v>
      </c>
      <c r="AF203" s="9">
        <f>SUM(IFERROR(VLOOKUP($C:$C,Structure!$A:$AJ,AF$1,0)*$D203,0),IFERROR(VLOOKUP($E:$E,Structure!$A:$AJ,AF$1,0)*$F203,0),IFERROR(VLOOKUP($G:$G,Structure!$A:$AJ,AF$1,0)*$H203,0))</f>
        <v>0</v>
      </c>
      <c r="AG203" s="9">
        <f>SUM(IFERROR(VLOOKUP($C:$C,Structure!$A:$AJ,AG$1,0)*$D203,0),IFERROR(VLOOKUP($E:$E,Structure!$A:$AJ,AG$1,0)*$F203,0),IFERROR(VLOOKUP($G:$G,Structure!$A:$AJ,AG$1,0)*$H203,0))</f>
        <v>0</v>
      </c>
      <c r="AH203" s="9">
        <f>SUM(IFERROR(VLOOKUP($C:$C,Structure!$A:$AJ,AH$1,0)*$D203,0),IFERROR(VLOOKUP($E:$E,Structure!$A:$AJ,AH$1,0)*$F203,0),IFERROR(VLOOKUP($G:$G,Structure!$A:$AJ,AH$1,0)*$H203,0))</f>
        <v>0</v>
      </c>
      <c r="AI203" s="9">
        <f>SUM(IFERROR(VLOOKUP($C:$C,Structure!$A:$AJ,AI$1,0)*$D203,0),IFERROR(VLOOKUP($E:$E,Structure!$A:$AJ,AI$1,0)*$F203,0),IFERROR(VLOOKUP($G:$G,Structure!$A:$AJ,AI$1,0)*$H203,0))</f>
        <v>0</v>
      </c>
      <c r="AJ203" s="9">
        <f>SUM(IFERROR(VLOOKUP($C:$C,Structure!$A:$AJ,AJ$1,0)*$D203,0),IFERROR(VLOOKUP($E:$E,Structure!$A:$AJ,AJ$1,0)*$F203,0),IFERROR(VLOOKUP($G:$G,Structure!$A:$AJ,AJ$1,0)*$H203,0))</f>
        <v>0</v>
      </c>
      <c r="AK203" s="9">
        <f>SUM(IFERROR(VLOOKUP($C:$C,Structure!$A:$AJ,AK$1,0)*$D203,0),IFERROR(VLOOKUP($E:$E,Structure!$A:$AJ,AK$1,0)*$F203,0),IFERROR(VLOOKUP($G:$G,Structure!$A:$AJ,AK$1,0)*$H203,0))</f>
        <v>0</v>
      </c>
      <c r="AL203" s="9">
        <f>SUM(IFERROR(VLOOKUP($C:$C,Structure!$A:$AJ,AL$1,0)*$D203,0),IFERROR(VLOOKUP($E:$E,Structure!$A:$AJ,AL$1,0)*$F203,0),IFERROR(VLOOKUP($G:$G,Structure!$A:$AJ,AL$1,0)*$H203,0))</f>
        <v>0</v>
      </c>
      <c r="AM203" s="9">
        <f>SUM(IFERROR(VLOOKUP($C:$C,Structure!$A:$AJ,AM$1,0)*$D203,0),IFERROR(VLOOKUP($E:$E,Structure!$A:$AJ,AM$1,0)*$F203,0),IFERROR(VLOOKUP($G:$G,Structure!$A:$AJ,AM$1,0)*$H203,0))</f>
        <v>0</v>
      </c>
      <c r="AN203" s="9">
        <f>SUM(IFERROR(VLOOKUP($C:$C,Structure!$A:$AJ,AN$1,0)*$D203,0),IFERROR(VLOOKUP($E:$E,Structure!$A:$AJ,AN$1,0)*$F203,0),IFERROR(VLOOKUP($G:$G,Structure!$A:$AJ,AN$1,0)*$H203,0))</f>
        <v>0</v>
      </c>
      <c r="AO203" s="9">
        <f>SUM(IFERROR(VLOOKUP($C:$C,Structure!$A:$AJ,AO$1,0)*$D203,0),IFERROR(VLOOKUP($E:$E,Structure!$A:$AJ,AO$1,0)*$F203,0),IFERROR(VLOOKUP($G:$G,Structure!$A:$AJ,AO$1,0)*$H203,0))</f>
        <v>0</v>
      </c>
      <c r="AP203" s="9">
        <f>SUM(IFERROR(VLOOKUP($C:$C,Structure!$A:$AJ,AP$1,0)*$D203,0),IFERROR(VLOOKUP($E:$E,Structure!$A:$AJ,AP$1,0)*$F203,0),IFERROR(VLOOKUP($G:$G,Structure!$A:$AJ,AP$1,0)*$H203,0))</f>
        <v>0</v>
      </c>
      <c r="AQ203" s="9">
        <f>SUM(IFERROR(VLOOKUP($C:$C,Structure!$A:$AJ,AQ$1,0)*$D203,0),IFERROR(VLOOKUP($E:$E,Structure!$A:$AJ,AQ$1,0)*$F203,0),IFERROR(VLOOKUP($G:$G,Structure!$A:$AJ,AQ$1,0)*$H203,0))</f>
        <v>0</v>
      </c>
      <c r="AR203" s="21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4">
        <f t="shared" si="232"/>
        <v>0</v>
      </c>
      <c r="CE203" s="4">
        <f t="shared" si="233"/>
        <v>-180</v>
      </c>
      <c r="CF203" s="4">
        <f t="shared" si="234"/>
        <v>4</v>
      </c>
      <c r="CG203" s="4">
        <f t="shared" si="235"/>
        <v>11</v>
      </c>
      <c r="CH203" s="4">
        <f t="shared" si="236"/>
        <v>-7</v>
      </c>
      <c r="CI203" s="4">
        <f t="shared" si="237"/>
        <v>119</v>
      </c>
      <c r="CJ203" s="4">
        <f t="shared" si="238"/>
        <v>-141</v>
      </c>
      <c r="CK203" s="4">
        <f t="shared" si="239"/>
        <v>-1</v>
      </c>
      <c r="CL203" s="4">
        <f t="shared" si="240"/>
        <v>0</v>
      </c>
      <c r="CM203" s="4">
        <f t="shared" si="241"/>
        <v>6</v>
      </c>
      <c r="CN203" s="4">
        <f t="shared" si="242"/>
        <v>-28</v>
      </c>
      <c r="CO203" s="4">
        <f t="shared" si="243"/>
        <v>0</v>
      </c>
      <c r="CP203" s="4">
        <f t="shared" si="244"/>
        <v>67</v>
      </c>
      <c r="CQ203" s="4">
        <f t="shared" si="245"/>
        <v>-550</v>
      </c>
      <c r="CR203" s="4">
        <f t="shared" si="246"/>
        <v>12</v>
      </c>
      <c r="CS203" s="4">
        <f t="shared" si="247"/>
        <v>-32</v>
      </c>
      <c r="CT203" s="4">
        <f t="shared" si="248"/>
        <v>0</v>
      </c>
      <c r="CU203" s="4">
        <f t="shared" si="249"/>
        <v>0</v>
      </c>
      <c r="CV203" s="4">
        <f t="shared" si="250"/>
        <v>0</v>
      </c>
      <c r="CW203" s="4">
        <f t="shared" si="251"/>
        <v>0</v>
      </c>
      <c r="CX203" s="4">
        <f t="shared" si="252"/>
        <v>-543</v>
      </c>
      <c r="CY203" s="4">
        <f t="shared" si="253"/>
        <v>0</v>
      </c>
      <c r="CZ203" s="4">
        <f t="shared" si="254"/>
        <v>0</v>
      </c>
      <c r="DA203" s="4">
        <f t="shared" si="255"/>
        <v>0</v>
      </c>
      <c r="DB203" s="4">
        <f t="shared" si="256"/>
        <v>0</v>
      </c>
      <c r="DC203" s="4">
        <f t="shared" si="257"/>
        <v>0</v>
      </c>
      <c r="DD203" s="4">
        <f t="shared" si="258"/>
        <v>0</v>
      </c>
      <c r="DE203" s="4">
        <f t="shared" si="259"/>
        <v>0</v>
      </c>
      <c r="DF203" s="4">
        <f t="shared" si="260"/>
        <v>0</v>
      </c>
      <c r="DG203" s="4">
        <f t="shared" si="261"/>
        <v>0</v>
      </c>
      <c r="DH203" s="4">
        <f t="shared" si="262"/>
        <v>0</v>
      </c>
      <c r="DI203" s="4">
        <f t="shared" si="263"/>
        <v>0</v>
      </c>
      <c r="DJ203" s="4">
        <f t="shared" si="264"/>
        <v>0</v>
      </c>
      <c r="DK203" s="4">
        <f t="shared" si="265"/>
        <v>0</v>
      </c>
      <c r="DL203" s="4">
        <f t="shared" si="266"/>
        <v>0</v>
      </c>
    </row>
    <row r="204" spans="1:116" x14ac:dyDescent="0.25">
      <c r="A204" s="5">
        <v>46187</v>
      </c>
      <c r="B204" s="6">
        <v>0.50000000048748916</v>
      </c>
      <c r="C204" s="3"/>
      <c r="D204" s="3"/>
      <c r="E204" s="3" t="s">
        <v>49</v>
      </c>
      <c r="F204" s="3">
        <v>8</v>
      </c>
      <c r="G204" s="3"/>
      <c r="H204" s="9"/>
      <c r="I204" s="9">
        <f>SUM(IFERROR(VLOOKUP($C:$C,Structure!$A:$AJ,I$1,0)*$D204,0),IFERROR(VLOOKUP($E:$E,Structure!$A:$AJ,I$1,0)*$F204,0),IFERROR(VLOOKUP($G:$G,Structure!$A:$AJ,I$1,0)*$H204,0))</f>
        <v>0</v>
      </c>
      <c r="J204" s="9">
        <f>SUM(IFERROR(VLOOKUP($C:$C,Structure!$A:$AJ,J$1,0)*$D204,0),IFERROR(VLOOKUP($E:$E,Structure!$A:$AJ,J$1,0)*$F204,0),IFERROR(VLOOKUP($G:$G,Structure!$A:$AJ,J$1,0)*$H204,0))</f>
        <v>0</v>
      </c>
      <c r="K204" s="9">
        <f>SUM(IFERROR(VLOOKUP($C:$C,Structure!$A:$AJ,K$1,0)*$D204,0),IFERROR(VLOOKUP($E:$E,Structure!$A:$AJ,K$1,0)*$F204,0),IFERROR(VLOOKUP($G:$G,Structure!$A:$AJ,K$1,0)*$H204,0))</f>
        <v>0</v>
      </c>
      <c r="L204" s="9">
        <f>SUM(IFERROR(VLOOKUP($C:$C,Structure!$A:$AJ,L$1,0)*$D204,0),IFERROR(VLOOKUP($E:$E,Structure!$A:$AJ,L$1,0)*$F204,0),IFERROR(VLOOKUP($G:$G,Structure!$A:$AJ,L$1,0)*$H204,0))</f>
        <v>0</v>
      </c>
      <c r="M204" s="9">
        <f>SUM(IFERROR(VLOOKUP($C:$C,Structure!$A:$AJ,M$1,0)*$D204,0),IFERROR(VLOOKUP($E:$E,Structure!$A:$AJ,M$1,0)*$F204,0),IFERROR(VLOOKUP($G:$G,Structure!$A:$AJ,M$1,0)*$H204,0))</f>
        <v>0</v>
      </c>
      <c r="N204" s="9">
        <f>SUM(IFERROR(VLOOKUP($C:$C,Structure!$A:$AJ,N$1,0)*$D204,0),IFERROR(VLOOKUP($E:$E,Structure!$A:$AJ,N$1,0)*$F204,0),IFERROR(VLOOKUP($G:$G,Structure!$A:$AJ,N$1,0)*$H204,0))</f>
        <v>8</v>
      </c>
      <c r="O204" s="9">
        <f>SUM(IFERROR(VLOOKUP($C:$C,Structure!$A:$AJ,O$1,0)*$D204,0),IFERROR(VLOOKUP($E:$E,Structure!$A:$AJ,O$1,0)*$F204,0),IFERROR(VLOOKUP($G:$G,Structure!$A:$AJ,O$1,0)*$H204,0))</f>
        <v>0</v>
      </c>
      <c r="P204" s="9">
        <f>SUM(IFERROR(VLOOKUP($C:$C,Structure!$A:$AJ,P$1,0)*$D204,0),IFERROR(VLOOKUP($E:$E,Structure!$A:$AJ,P$1,0)*$F204,0),IFERROR(VLOOKUP($G:$G,Structure!$A:$AJ,P$1,0)*$H204,0))</f>
        <v>0</v>
      </c>
      <c r="Q204" s="9">
        <f>SUM(IFERROR(VLOOKUP($C:$C,Structure!$A:$AJ,Q$1,0)*$D204,0),IFERROR(VLOOKUP($E:$E,Structure!$A:$AJ,Q$1,0)*$F204,0),IFERROR(VLOOKUP($G:$G,Structure!$A:$AJ,Q$1,0)*$H204,0))</f>
        <v>0</v>
      </c>
      <c r="R204" s="9">
        <f>SUM(IFERROR(VLOOKUP($C:$C,Structure!$A:$AJ,R$1,0)*$D204,0),IFERROR(VLOOKUP($E:$E,Structure!$A:$AJ,R$1,0)*$F204,0),IFERROR(VLOOKUP($G:$G,Structure!$A:$AJ,R$1,0)*$H204,0))</f>
        <v>0</v>
      </c>
      <c r="S204" s="9">
        <f>SUM(IFERROR(VLOOKUP($C:$C,Structure!$A:$AJ,S$1,0)*$D204,0),IFERROR(VLOOKUP($E:$E,Structure!$A:$AJ,S$1,0)*$F204,0),IFERROR(VLOOKUP($G:$G,Structure!$A:$AJ,S$1,0)*$H204,0))</f>
        <v>0</v>
      </c>
      <c r="T204" s="9">
        <f>SUM(IFERROR(VLOOKUP($C:$C,Structure!$A:$AJ,T$1,0)*$D204,0),IFERROR(VLOOKUP($E:$E,Structure!$A:$AJ,T$1,0)*$F204,0),IFERROR(VLOOKUP($G:$G,Structure!$A:$AJ,T$1,0)*$H204,0))</f>
        <v>0</v>
      </c>
      <c r="U204" s="9">
        <f>SUM(IFERROR(VLOOKUP($C:$C,Structure!$A:$AJ,U$1,0)*$D204,0),IFERROR(VLOOKUP($E:$E,Structure!$A:$AJ,U$1,0)*$F204,0),IFERROR(VLOOKUP($G:$G,Structure!$A:$AJ,U$1,0)*$H204,0))</f>
        <v>0</v>
      </c>
      <c r="V204" s="9">
        <f>SUM(IFERROR(VLOOKUP($C:$C,Structure!$A:$AJ,V$1,0)*$D204,0),IFERROR(VLOOKUP($E:$E,Structure!$A:$AJ,V$1,0)*$F204,0),IFERROR(VLOOKUP($G:$G,Structure!$A:$AJ,V$1,0)*$H204,0))</f>
        <v>0</v>
      </c>
      <c r="W204" s="9">
        <f>SUM(IFERROR(VLOOKUP($C:$C,Structure!$A:$AJ,W$1,0)*$D204,0),IFERROR(VLOOKUP($E:$E,Structure!$A:$AJ,W$1,0)*$F204,0),IFERROR(VLOOKUP($G:$G,Structure!$A:$AJ,W$1,0)*$H204,0))</f>
        <v>0</v>
      </c>
      <c r="X204" s="9">
        <f>SUM(IFERROR(VLOOKUP($C:$C,Structure!$A:$AJ,X$1,0)*$D204,0),IFERROR(VLOOKUP($E:$E,Structure!$A:$AJ,X$1,0)*$F204,0),IFERROR(VLOOKUP($G:$G,Structure!$A:$AJ,X$1,0)*$H204,0))</f>
        <v>8</v>
      </c>
      <c r="Y204" s="9">
        <f>SUM(IFERROR(VLOOKUP($C:$C,Structure!$A:$AJ,Y$1,0)*$D204,0),IFERROR(VLOOKUP($E:$E,Structure!$A:$AJ,Y$1,0)*$F204,0),IFERROR(VLOOKUP($G:$G,Structure!$A:$AJ,Y$1,0)*$H204,0))</f>
        <v>0</v>
      </c>
      <c r="Z204" s="9">
        <f>SUM(IFERROR(VLOOKUP($C:$C,Structure!$A:$AJ,Z$1,0)*$D204,0),IFERROR(VLOOKUP($E:$E,Structure!$A:$AJ,Z$1,0)*$F204,0),IFERROR(VLOOKUP($G:$G,Structure!$A:$AJ,Z$1,0)*$H204,0))</f>
        <v>0</v>
      </c>
      <c r="AA204" s="9">
        <f>SUM(IFERROR(VLOOKUP($C:$C,Structure!$A:$AJ,AA$1,0)*$D204,0),IFERROR(VLOOKUP($E:$E,Structure!$A:$AJ,AA$1,0)*$F204,0),IFERROR(VLOOKUP($G:$G,Structure!$A:$AJ,AA$1,0)*$H204,0))</f>
        <v>0</v>
      </c>
      <c r="AB204" s="9">
        <f>SUM(IFERROR(VLOOKUP($C:$C,Structure!$A:$AJ,AB$1,0)*$D204,0),IFERROR(VLOOKUP($E:$E,Structure!$A:$AJ,AB$1,0)*$F204,0),IFERROR(VLOOKUP($G:$G,Structure!$A:$AJ,AB$1,0)*$H204,0))</f>
        <v>0</v>
      </c>
      <c r="AC204" s="9">
        <f>SUM(IFERROR(VLOOKUP($C:$C,Structure!$A:$AJ,AC$1,0)*$D204,0),IFERROR(VLOOKUP($E:$E,Structure!$A:$AJ,AC$1,0)*$F204,0),IFERROR(VLOOKUP($G:$G,Structure!$A:$AJ,AC$1,0)*$H204,0))</f>
        <v>0</v>
      </c>
      <c r="AD204" s="9">
        <f>SUM(IFERROR(VLOOKUP($C:$C,Structure!$A:$AJ,AD$1,0)*$D204,0),IFERROR(VLOOKUP($E:$E,Structure!$A:$AJ,AD$1,0)*$F204,0),IFERROR(VLOOKUP($G:$G,Structure!$A:$AJ,AD$1,0)*$H204,0))</f>
        <v>0</v>
      </c>
      <c r="AE204" s="9">
        <f>SUM(IFERROR(VLOOKUP($C:$C,Structure!$A:$AJ,AE$1,0)*$D204,0),IFERROR(VLOOKUP($E:$E,Structure!$A:$AJ,AE$1,0)*$F204,0),IFERROR(VLOOKUP($G:$G,Structure!$A:$AJ,AE$1,0)*$H204,0))</f>
        <v>0</v>
      </c>
      <c r="AF204" s="9">
        <f>SUM(IFERROR(VLOOKUP($C:$C,Structure!$A:$AJ,AF$1,0)*$D204,0),IFERROR(VLOOKUP($E:$E,Structure!$A:$AJ,AF$1,0)*$F204,0),IFERROR(VLOOKUP($G:$G,Structure!$A:$AJ,AF$1,0)*$H204,0))</f>
        <v>0</v>
      </c>
      <c r="AG204" s="9">
        <f>SUM(IFERROR(VLOOKUP($C:$C,Structure!$A:$AJ,AG$1,0)*$D204,0),IFERROR(VLOOKUP($E:$E,Structure!$A:$AJ,AG$1,0)*$F204,0),IFERROR(VLOOKUP($G:$G,Structure!$A:$AJ,AG$1,0)*$H204,0))</f>
        <v>0</v>
      </c>
      <c r="AH204" s="9">
        <f>SUM(IFERROR(VLOOKUP($C:$C,Structure!$A:$AJ,AH$1,0)*$D204,0),IFERROR(VLOOKUP($E:$E,Structure!$A:$AJ,AH$1,0)*$F204,0),IFERROR(VLOOKUP($G:$G,Structure!$A:$AJ,AH$1,0)*$H204,0))</f>
        <v>0</v>
      </c>
      <c r="AI204" s="9">
        <f>SUM(IFERROR(VLOOKUP($C:$C,Structure!$A:$AJ,AI$1,0)*$D204,0),IFERROR(VLOOKUP($E:$E,Structure!$A:$AJ,AI$1,0)*$F204,0),IFERROR(VLOOKUP($G:$G,Structure!$A:$AJ,AI$1,0)*$H204,0))</f>
        <v>0</v>
      </c>
      <c r="AJ204" s="9">
        <f>SUM(IFERROR(VLOOKUP($C:$C,Structure!$A:$AJ,AJ$1,0)*$D204,0),IFERROR(VLOOKUP($E:$E,Structure!$A:$AJ,AJ$1,0)*$F204,0),IFERROR(VLOOKUP($G:$G,Structure!$A:$AJ,AJ$1,0)*$H204,0))</f>
        <v>0</v>
      </c>
      <c r="AK204" s="9">
        <f>SUM(IFERROR(VLOOKUP($C:$C,Structure!$A:$AJ,AK$1,0)*$D204,0),IFERROR(VLOOKUP($E:$E,Structure!$A:$AJ,AK$1,0)*$F204,0),IFERROR(VLOOKUP($G:$G,Structure!$A:$AJ,AK$1,0)*$H204,0))</f>
        <v>0</v>
      </c>
      <c r="AL204" s="9">
        <f>SUM(IFERROR(VLOOKUP($C:$C,Structure!$A:$AJ,AL$1,0)*$D204,0),IFERROR(VLOOKUP($E:$E,Structure!$A:$AJ,AL$1,0)*$F204,0),IFERROR(VLOOKUP($G:$G,Structure!$A:$AJ,AL$1,0)*$H204,0))</f>
        <v>0</v>
      </c>
      <c r="AM204" s="9">
        <f>SUM(IFERROR(VLOOKUP($C:$C,Structure!$A:$AJ,AM$1,0)*$D204,0),IFERROR(VLOOKUP($E:$E,Structure!$A:$AJ,AM$1,0)*$F204,0),IFERROR(VLOOKUP($G:$G,Structure!$A:$AJ,AM$1,0)*$H204,0))</f>
        <v>0</v>
      </c>
      <c r="AN204" s="9">
        <f>SUM(IFERROR(VLOOKUP($C:$C,Structure!$A:$AJ,AN$1,0)*$D204,0),IFERROR(VLOOKUP($E:$E,Structure!$A:$AJ,AN$1,0)*$F204,0),IFERROR(VLOOKUP($G:$G,Structure!$A:$AJ,AN$1,0)*$H204,0))</f>
        <v>0</v>
      </c>
      <c r="AO204" s="9">
        <f>SUM(IFERROR(VLOOKUP($C:$C,Structure!$A:$AJ,AO$1,0)*$D204,0),IFERROR(VLOOKUP($E:$E,Structure!$A:$AJ,AO$1,0)*$F204,0),IFERROR(VLOOKUP($G:$G,Structure!$A:$AJ,AO$1,0)*$H204,0))</f>
        <v>0</v>
      </c>
      <c r="AP204" s="9">
        <f>SUM(IFERROR(VLOOKUP($C:$C,Structure!$A:$AJ,AP$1,0)*$D204,0),IFERROR(VLOOKUP($E:$E,Structure!$A:$AJ,AP$1,0)*$F204,0),IFERROR(VLOOKUP($G:$G,Structure!$A:$AJ,AP$1,0)*$H204,0))</f>
        <v>0</v>
      </c>
      <c r="AQ204" s="9">
        <f>SUM(IFERROR(VLOOKUP($C:$C,Structure!$A:$AJ,AQ$1,0)*$D204,0),IFERROR(VLOOKUP($E:$E,Structure!$A:$AJ,AQ$1,0)*$F204,0),IFERROR(VLOOKUP($G:$G,Structure!$A:$AJ,AQ$1,0)*$H204,0))</f>
        <v>0</v>
      </c>
      <c r="AR204" s="21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4">
        <f t="shared" si="232"/>
        <v>0</v>
      </c>
      <c r="CE204" s="4">
        <f t="shared" si="233"/>
        <v>-180</v>
      </c>
      <c r="CF204" s="4">
        <f t="shared" si="234"/>
        <v>4</v>
      </c>
      <c r="CG204" s="4">
        <f t="shared" si="235"/>
        <v>11</v>
      </c>
      <c r="CH204" s="4">
        <f t="shared" si="236"/>
        <v>-7</v>
      </c>
      <c r="CI204" s="4">
        <f t="shared" si="237"/>
        <v>111</v>
      </c>
      <c r="CJ204" s="4">
        <f t="shared" si="238"/>
        <v>-141</v>
      </c>
      <c r="CK204" s="4">
        <f t="shared" si="239"/>
        <v>-1</v>
      </c>
      <c r="CL204" s="4">
        <f t="shared" si="240"/>
        <v>0</v>
      </c>
      <c r="CM204" s="4">
        <f t="shared" si="241"/>
        <v>6</v>
      </c>
      <c r="CN204" s="4">
        <f t="shared" si="242"/>
        <v>-28</v>
      </c>
      <c r="CO204" s="4">
        <f t="shared" si="243"/>
        <v>0</v>
      </c>
      <c r="CP204" s="4">
        <f t="shared" si="244"/>
        <v>67</v>
      </c>
      <c r="CQ204" s="4">
        <f t="shared" si="245"/>
        <v>-550</v>
      </c>
      <c r="CR204" s="4">
        <f t="shared" si="246"/>
        <v>12</v>
      </c>
      <c r="CS204" s="4">
        <f t="shared" si="247"/>
        <v>-40</v>
      </c>
      <c r="CT204" s="4">
        <f t="shared" si="248"/>
        <v>0</v>
      </c>
      <c r="CU204" s="4">
        <f t="shared" si="249"/>
        <v>0</v>
      </c>
      <c r="CV204" s="4">
        <f t="shared" si="250"/>
        <v>0</v>
      </c>
      <c r="CW204" s="4">
        <f t="shared" si="251"/>
        <v>0</v>
      </c>
      <c r="CX204" s="4">
        <f t="shared" si="252"/>
        <v>-543</v>
      </c>
      <c r="CY204" s="4">
        <f t="shared" si="253"/>
        <v>0</v>
      </c>
      <c r="CZ204" s="4">
        <f t="shared" si="254"/>
        <v>0</v>
      </c>
      <c r="DA204" s="4">
        <f t="shared" si="255"/>
        <v>0</v>
      </c>
      <c r="DB204" s="4">
        <f t="shared" si="256"/>
        <v>0</v>
      </c>
      <c r="DC204" s="4">
        <f t="shared" si="257"/>
        <v>0</v>
      </c>
      <c r="DD204" s="4">
        <f t="shared" si="258"/>
        <v>0</v>
      </c>
      <c r="DE204" s="4">
        <f t="shared" si="259"/>
        <v>0</v>
      </c>
      <c r="DF204" s="4">
        <f t="shared" si="260"/>
        <v>0</v>
      </c>
      <c r="DG204" s="4">
        <f t="shared" si="261"/>
        <v>0</v>
      </c>
      <c r="DH204" s="4">
        <f t="shared" si="262"/>
        <v>0</v>
      </c>
      <c r="DI204" s="4">
        <f t="shared" si="263"/>
        <v>0</v>
      </c>
      <c r="DJ204" s="4">
        <f t="shared" si="264"/>
        <v>0</v>
      </c>
      <c r="DK204" s="4">
        <f t="shared" si="265"/>
        <v>0</v>
      </c>
      <c r="DL204" s="4">
        <f t="shared" si="266"/>
        <v>0</v>
      </c>
    </row>
    <row r="205" spans="1:116" x14ac:dyDescent="0.25">
      <c r="A205" s="5">
        <v>46187</v>
      </c>
      <c r="B205" s="6">
        <v>0.52083333382324781</v>
      </c>
      <c r="C205" s="3"/>
      <c r="D205" s="3"/>
      <c r="E205" s="3" t="s">
        <v>49</v>
      </c>
      <c r="F205" s="3">
        <v>8</v>
      </c>
      <c r="G205" s="3"/>
      <c r="H205" s="9"/>
      <c r="I205" s="9">
        <f>SUM(IFERROR(VLOOKUP($C:$C,Structure!$A:$AJ,I$1,0)*$D205,0),IFERROR(VLOOKUP($E:$E,Structure!$A:$AJ,I$1,0)*$F205,0),IFERROR(VLOOKUP($G:$G,Structure!$A:$AJ,I$1,0)*$H205,0))</f>
        <v>0</v>
      </c>
      <c r="J205" s="9">
        <f>SUM(IFERROR(VLOOKUP($C:$C,Structure!$A:$AJ,J$1,0)*$D205,0),IFERROR(VLOOKUP($E:$E,Structure!$A:$AJ,J$1,0)*$F205,0),IFERROR(VLOOKUP($G:$G,Structure!$A:$AJ,J$1,0)*$H205,0))</f>
        <v>0</v>
      </c>
      <c r="K205" s="9">
        <f>SUM(IFERROR(VLOOKUP($C:$C,Structure!$A:$AJ,K$1,0)*$D205,0),IFERROR(VLOOKUP($E:$E,Structure!$A:$AJ,K$1,0)*$F205,0),IFERROR(VLOOKUP($G:$G,Structure!$A:$AJ,K$1,0)*$H205,0))</f>
        <v>0</v>
      </c>
      <c r="L205" s="9">
        <f>SUM(IFERROR(VLOOKUP($C:$C,Structure!$A:$AJ,L$1,0)*$D205,0),IFERROR(VLOOKUP($E:$E,Structure!$A:$AJ,L$1,0)*$F205,0),IFERROR(VLOOKUP($G:$G,Structure!$A:$AJ,L$1,0)*$H205,0))</f>
        <v>0</v>
      </c>
      <c r="M205" s="9">
        <f>SUM(IFERROR(VLOOKUP($C:$C,Structure!$A:$AJ,M$1,0)*$D205,0),IFERROR(VLOOKUP($E:$E,Structure!$A:$AJ,M$1,0)*$F205,0),IFERROR(VLOOKUP($G:$G,Structure!$A:$AJ,M$1,0)*$H205,0))</f>
        <v>0</v>
      </c>
      <c r="N205" s="9">
        <f>SUM(IFERROR(VLOOKUP($C:$C,Structure!$A:$AJ,N$1,0)*$D205,0),IFERROR(VLOOKUP($E:$E,Structure!$A:$AJ,N$1,0)*$F205,0),IFERROR(VLOOKUP($G:$G,Structure!$A:$AJ,N$1,0)*$H205,0))</f>
        <v>8</v>
      </c>
      <c r="O205" s="9">
        <f>SUM(IFERROR(VLOOKUP($C:$C,Structure!$A:$AJ,O$1,0)*$D205,0),IFERROR(VLOOKUP($E:$E,Structure!$A:$AJ,O$1,0)*$F205,0),IFERROR(VLOOKUP($G:$G,Structure!$A:$AJ,O$1,0)*$H205,0))</f>
        <v>0</v>
      </c>
      <c r="P205" s="9">
        <f>SUM(IFERROR(VLOOKUP($C:$C,Structure!$A:$AJ,P$1,0)*$D205,0),IFERROR(VLOOKUP($E:$E,Structure!$A:$AJ,P$1,0)*$F205,0),IFERROR(VLOOKUP($G:$G,Structure!$A:$AJ,P$1,0)*$H205,0))</f>
        <v>0</v>
      </c>
      <c r="Q205" s="9">
        <f>SUM(IFERROR(VLOOKUP($C:$C,Structure!$A:$AJ,Q$1,0)*$D205,0),IFERROR(VLOOKUP($E:$E,Structure!$A:$AJ,Q$1,0)*$F205,0),IFERROR(VLOOKUP($G:$G,Structure!$A:$AJ,Q$1,0)*$H205,0))</f>
        <v>0</v>
      </c>
      <c r="R205" s="9">
        <f>SUM(IFERROR(VLOOKUP($C:$C,Structure!$A:$AJ,R$1,0)*$D205,0),IFERROR(VLOOKUP($E:$E,Structure!$A:$AJ,R$1,0)*$F205,0),IFERROR(VLOOKUP($G:$G,Structure!$A:$AJ,R$1,0)*$H205,0))</f>
        <v>0</v>
      </c>
      <c r="S205" s="9">
        <f>SUM(IFERROR(VLOOKUP($C:$C,Structure!$A:$AJ,S$1,0)*$D205,0),IFERROR(VLOOKUP($E:$E,Structure!$A:$AJ,S$1,0)*$F205,0),IFERROR(VLOOKUP($G:$G,Structure!$A:$AJ,S$1,0)*$H205,0))</f>
        <v>0</v>
      </c>
      <c r="T205" s="9">
        <f>SUM(IFERROR(VLOOKUP($C:$C,Structure!$A:$AJ,T$1,0)*$D205,0),IFERROR(VLOOKUP($E:$E,Structure!$A:$AJ,T$1,0)*$F205,0),IFERROR(VLOOKUP($G:$G,Structure!$A:$AJ,T$1,0)*$H205,0))</f>
        <v>0</v>
      </c>
      <c r="U205" s="9">
        <f>SUM(IFERROR(VLOOKUP($C:$C,Structure!$A:$AJ,U$1,0)*$D205,0),IFERROR(VLOOKUP($E:$E,Structure!$A:$AJ,U$1,0)*$F205,0),IFERROR(VLOOKUP($G:$G,Structure!$A:$AJ,U$1,0)*$H205,0))</f>
        <v>0</v>
      </c>
      <c r="V205" s="9">
        <f>SUM(IFERROR(VLOOKUP($C:$C,Structure!$A:$AJ,V$1,0)*$D205,0),IFERROR(VLOOKUP($E:$E,Structure!$A:$AJ,V$1,0)*$F205,0),IFERROR(VLOOKUP($G:$G,Structure!$A:$AJ,V$1,0)*$H205,0))</f>
        <v>0</v>
      </c>
      <c r="W205" s="9">
        <f>SUM(IFERROR(VLOOKUP($C:$C,Structure!$A:$AJ,W$1,0)*$D205,0),IFERROR(VLOOKUP($E:$E,Structure!$A:$AJ,W$1,0)*$F205,0),IFERROR(VLOOKUP($G:$G,Structure!$A:$AJ,W$1,0)*$H205,0))</f>
        <v>0</v>
      </c>
      <c r="X205" s="9">
        <f>SUM(IFERROR(VLOOKUP($C:$C,Structure!$A:$AJ,X$1,0)*$D205,0),IFERROR(VLOOKUP($E:$E,Structure!$A:$AJ,X$1,0)*$F205,0),IFERROR(VLOOKUP($G:$G,Structure!$A:$AJ,X$1,0)*$H205,0))</f>
        <v>8</v>
      </c>
      <c r="Y205" s="9">
        <f>SUM(IFERROR(VLOOKUP($C:$C,Structure!$A:$AJ,Y$1,0)*$D205,0),IFERROR(VLOOKUP($E:$E,Structure!$A:$AJ,Y$1,0)*$F205,0),IFERROR(VLOOKUP($G:$G,Structure!$A:$AJ,Y$1,0)*$H205,0))</f>
        <v>0</v>
      </c>
      <c r="Z205" s="9">
        <f>SUM(IFERROR(VLOOKUP($C:$C,Structure!$A:$AJ,Z$1,0)*$D205,0),IFERROR(VLOOKUP($E:$E,Structure!$A:$AJ,Z$1,0)*$F205,0),IFERROR(VLOOKUP($G:$G,Structure!$A:$AJ,Z$1,0)*$H205,0))</f>
        <v>0</v>
      </c>
      <c r="AA205" s="9">
        <f>SUM(IFERROR(VLOOKUP($C:$C,Structure!$A:$AJ,AA$1,0)*$D205,0),IFERROR(VLOOKUP($E:$E,Structure!$A:$AJ,AA$1,0)*$F205,0),IFERROR(VLOOKUP($G:$G,Structure!$A:$AJ,AA$1,0)*$H205,0))</f>
        <v>0</v>
      </c>
      <c r="AB205" s="9">
        <f>SUM(IFERROR(VLOOKUP($C:$C,Structure!$A:$AJ,AB$1,0)*$D205,0),IFERROR(VLOOKUP($E:$E,Structure!$A:$AJ,AB$1,0)*$F205,0),IFERROR(VLOOKUP($G:$G,Structure!$A:$AJ,AB$1,0)*$H205,0))</f>
        <v>0</v>
      </c>
      <c r="AC205" s="9">
        <f>SUM(IFERROR(VLOOKUP($C:$C,Structure!$A:$AJ,AC$1,0)*$D205,0),IFERROR(VLOOKUP($E:$E,Structure!$A:$AJ,AC$1,0)*$F205,0),IFERROR(VLOOKUP($G:$G,Structure!$A:$AJ,AC$1,0)*$H205,0))</f>
        <v>0</v>
      </c>
      <c r="AD205" s="9">
        <f>SUM(IFERROR(VLOOKUP($C:$C,Structure!$A:$AJ,AD$1,0)*$D205,0),IFERROR(VLOOKUP($E:$E,Structure!$A:$AJ,AD$1,0)*$F205,0),IFERROR(VLOOKUP($G:$G,Structure!$A:$AJ,AD$1,0)*$H205,0))</f>
        <v>0</v>
      </c>
      <c r="AE205" s="9">
        <f>SUM(IFERROR(VLOOKUP($C:$C,Structure!$A:$AJ,AE$1,0)*$D205,0),IFERROR(VLOOKUP($E:$E,Structure!$A:$AJ,AE$1,0)*$F205,0),IFERROR(VLOOKUP($G:$G,Structure!$A:$AJ,AE$1,0)*$H205,0))</f>
        <v>0</v>
      </c>
      <c r="AF205" s="9">
        <f>SUM(IFERROR(VLOOKUP($C:$C,Structure!$A:$AJ,AF$1,0)*$D205,0),IFERROR(VLOOKUP($E:$E,Structure!$A:$AJ,AF$1,0)*$F205,0),IFERROR(VLOOKUP($G:$G,Structure!$A:$AJ,AF$1,0)*$H205,0))</f>
        <v>0</v>
      </c>
      <c r="AG205" s="9">
        <f>SUM(IFERROR(VLOOKUP($C:$C,Structure!$A:$AJ,AG$1,0)*$D205,0),IFERROR(VLOOKUP($E:$E,Structure!$A:$AJ,AG$1,0)*$F205,0),IFERROR(VLOOKUP($G:$G,Structure!$A:$AJ,AG$1,0)*$H205,0))</f>
        <v>0</v>
      </c>
      <c r="AH205" s="9">
        <f>SUM(IFERROR(VLOOKUP($C:$C,Structure!$A:$AJ,AH$1,0)*$D205,0),IFERROR(VLOOKUP($E:$E,Structure!$A:$AJ,AH$1,0)*$F205,0),IFERROR(VLOOKUP($G:$G,Structure!$A:$AJ,AH$1,0)*$H205,0))</f>
        <v>0</v>
      </c>
      <c r="AI205" s="9">
        <f>SUM(IFERROR(VLOOKUP($C:$C,Structure!$A:$AJ,AI$1,0)*$D205,0),IFERROR(VLOOKUP($E:$E,Structure!$A:$AJ,AI$1,0)*$F205,0),IFERROR(VLOOKUP($G:$G,Structure!$A:$AJ,AI$1,0)*$H205,0))</f>
        <v>0</v>
      </c>
      <c r="AJ205" s="9">
        <f>SUM(IFERROR(VLOOKUP($C:$C,Structure!$A:$AJ,AJ$1,0)*$D205,0),IFERROR(VLOOKUP($E:$E,Structure!$A:$AJ,AJ$1,0)*$F205,0),IFERROR(VLOOKUP($G:$G,Structure!$A:$AJ,AJ$1,0)*$H205,0))</f>
        <v>0</v>
      </c>
      <c r="AK205" s="9">
        <f>SUM(IFERROR(VLOOKUP($C:$C,Structure!$A:$AJ,AK$1,0)*$D205,0),IFERROR(VLOOKUP($E:$E,Structure!$A:$AJ,AK$1,0)*$F205,0),IFERROR(VLOOKUP($G:$G,Structure!$A:$AJ,AK$1,0)*$H205,0))</f>
        <v>0</v>
      </c>
      <c r="AL205" s="9">
        <f>SUM(IFERROR(VLOOKUP($C:$C,Structure!$A:$AJ,AL$1,0)*$D205,0),IFERROR(VLOOKUP($E:$E,Structure!$A:$AJ,AL$1,0)*$F205,0),IFERROR(VLOOKUP($G:$G,Structure!$A:$AJ,AL$1,0)*$H205,0))</f>
        <v>0</v>
      </c>
      <c r="AM205" s="9">
        <f>SUM(IFERROR(VLOOKUP($C:$C,Structure!$A:$AJ,AM$1,0)*$D205,0),IFERROR(VLOOKUP($E:$E,Structure!$A:$AJ,AM$1,0)*$F205,0),IFERROR(VLOOKUP($G:$G,Structure!$A:$AJ,AM$1,0)*$H205,0))</f>
        <v>0</v>
      </c>
      <c r="AN205" s="9">
        <f>SUM(IFERROR(VLOOKUP($C:$C,Structure!$A:$AJ,AN$1,0)*$D205,0),IFERROR(VLOOKUP($E:$E,Structure!$A:$AJ,AN$1,0)*$F205,0),IFERROR(VLOOKUP($G:$G,Structure!$A:$AJ,AN$1,0)*$H205,0))</f>
        <v>0</v>
      </c>
      <c r="AO205" s="9">
        <f>SUM(IFERROR(VLOOKUP($C:$C,Structure!$A:$AJ,AO$1,0)*$D205,0),IFERROR(VLOOKUP($E:$E,Structure!$A:$AJ,AO$1,0)*$F205,0),IFERROR(VLOOKUP($G:$G,Structure!$A:$AJ,AO$1,0)*$H205,0))</f>
        <v>0</v>
      </c>
      <c r="AP205" s="9">
        <f>SUM(IFERROR(VLOOKUP($C:$C,Structure!$A:$AJ,AP$1,0)*$D205,0),IFERROR(VLOOKUP($E:$E,Structure!$A:$AJ,AP$1,0)*$F205,0),IFERROR(VLOOKUP($G:$G,Structure!$A:$AJ,AP$1,0)*$H205,0))</f>
        <v>0</v>
      </c>
      <c r="AQ205" s="9">
        <f>SUM(IFERROR(VLOOKUP($C:$C,Structure!$A:$AJ,AQ$1,0)*$D205,0),IFERROR(VLOOKUP($E:$E,Structure!$A:$AJ,AQ$1,0)*$F205,0),IFERROR(VLOOKUP($G:$G,Structure!$A:$AJ,AQ$1,0)*$H205,0))</f>
        <v>0</v>
      </c>
      <c r="AR205" s="21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4">
        <f t="shared" si="232"/>
        <v>0</v>
      </c>
      <c r="CE205" s="4">
        <f t="shared" si="233"/>
        <v>-180</v>
      </c>
      <c r="CF205" s="4">
        <f t="shared" si="234"/>
        <v>4</v>
      </c>
      <c r="CG205" s="4">
        <f t="shared" si="235"/>
        <v>11</v>
      </c>
      <c r="CH205" s="4">
        <f t="shared" si="236"/>
        <v>-7</v>
      </c>
      <c r="CI205" s="4">
        <f t="shared" si="237"/>
        <v>103</v>
      </c>
      <c r="CJ205" s="4">
        <f t="shared" si="238"/>
        <v>-141</v>
      </c>
      <c r="CK205" s="4">
        <f t="shared" si="239"/>
        <v>-1</v>
      </c>
      <c r="CL205" s="4">
        <f t="shared" si="240"/>
        <v>0</v>
      </c>
      <c r="CM205" s="4">
        <f t="shared" si="241"/>
        <v>6</v>
      </c>
      <c r="CN205" s="4">
        <f t="shared" si="242"/>
        <v>-28</v>
      </c>
      <c r="CO205" s="4">
        <f t="shared" si="243"/>
        <v>0</v>
      </c>
      <c r="CP205" s="4">
        <f t="shared" si="244"/>
        <v>67</v>
      </c>
      <c r="CQ205" s="4">
        <f t="shared" si="245"/>
        <v>-550</v>
      </c>
      <c r="CR205" s="4">
        <f t="shared" si="246"/>
        <v>12</v>
      </c>
      <c r="CS205" s="4">
        <f t="shared" si="247"/>
        <v>-48</v>
      </c>
      <c r="CT205" s="4">
        <f t="shared" si="248"/>
        <v>0</v>
      </c>
      <c r="CU205" s="4">
        <f t="shared" si="249"/>
        <v>0</v>
      </c>
      <c r="CV205" s="4">
        <f t="shared" si="250"/>
        <v>0</v>
      </c>
      <c r="CW205" s="4">
        <f t="shared" si="251"/>
        <v>0</v>
      </c>
      <c r="CX205" s="4">
        <f t="shared" si="252"/>
        <v>-543</v>
      </c>
      <c r="CY205" s="4">
        <f t="shared" si="253"/>
        <v>0</v>
      </c>
      <c r="CZ205" s="4">
        <f t="shared" si="254"/>
        <v>0</v>
      </c>
      <c r="DA205" s="4">
        <f t="shared" si="255"/>
        <v>0</v>
      </c>
      <c r="DB205" s="4">
        <f t="shared" si="256"/>
        <v>0</v>
      </c>
      <c r="DC205" s="4">
        <f t="shared" si="257"/>
        <v>0</v>
      </c>
      <c r="DD205" s="4">
        <f t="shared" si="258"/>
        <v>0</v>
      </c>
      <c r="DE205" s="4">
        <f t="shared" si="259"/>
        <v>0</v>
      </c>
      <c r="DF205" s="4">
        <f t="shared" si="260"/>
        <v>0</v>
      </c>
      <c r="DG205" s="4">
        <f t="shared" si="261"/>
        <v>0</v>
      </c>
      <c r="DH205" s="4">
        <f t="shared" si="262"/>
        <v>0</v>
      </c>
      <c r="DI205" s="4">
        <f t="shared" si="263"/>
        <v>0</v>
      </c>
      <c r="DJ205" s="4">
        <f t="shared" si="264"/>
        <v>0</v>
      </c>
      <c r="DK205" s="4">
        <f t="shared" si="265"/>
        <v>0</v>
      </c>
      <c r="DL205" s="4">
        <f t="shared" si="266"/>
        <v>0</v>
      </c>
    </row>
    <row r="206" spans="1:116" x14ac:dyDescent="0.25">
      <c r="A206" s="5">
        <v>46187</v>
      </c>
      <c r="B206" s="6">
        <v>0.54166666715900647</v>
      </c>
      <c r="C206" s="3"/>
      <c r="D206" s="3"/>
      <c r="E206" s="3" t="s">
        <v>57</v>
      </c>
      <c r="F206" s="3">
        <v>8</v>
      </c>
      <c r="G206" s="3"/>
      <c r="H206" s="9"/>
      <c r="I206" s="9">
        <f>SUM(IFERROR(VLOOKUP($C:$C,Structure!$A:$AJ,I$1,0)*$D206,0),IFERROR(VLOOKUP($E:$E,Structure!$A:$AJ,I$1,0)*$F206,0),IFERROR(VLOOKUP($G:$G,Structure!$A:$AJ,I$1,0)*$H206,0))</f>
        <v>0</v>
      </c>
      <c r="J206" s="9">
        <f>SUM(IFERROR(VLOOKUP($C:$C,Structure!$A:$AJ,J$1,0)*$D206,0),IFERROR(VLOOKUP($E:$E,Structure!$A:$AJ,J$1,0)*$F206,0),IFERROR(VLOOKUP($G:$G,Structure!$A:$AJ,J$1,0)*$H206,0))</f>
        <v>0</v>
      </c>
      <c r="K206" s="9">
        <f>SUM(IFERROR(VLOOKUP($C:$C,Structure!$A:$AJ,K$1,0)*$D206,0),IFERROR(VLOOKUP($E:$E,Structure!$A:$AJ,K$1,0)*$F206,0),IFERROR(VLOOKUP($G:$G,Structure!$A:$AJ,K$1,0)*$H206,0))</f>
        <v>0</v>
      </c>
      <c r="L206" s="9">
        <f>SUM(IFERROR(VLOOKUP($C:$C,Structure!$A:$AJ,L$1,0)*$D206,0),IFERROR(VLOOKUP($E:$E,Structure!$A:$AJ,L$1,0)*$F206,0),IFERROR(VLOOKUP($G:$G,Structure!$A:$AJ,L$1,0)*$H206,0))</f>
        <v>0</v>
      </c>
      <c r="M206" s="9">
        <f>SUM(IFERROR(VLOOKUP($C:$C,Structure!$A:$AJ,M$1,0)*$D206,0),IFERROR(VLOOKUP($E:$E,Structure!$A:$AJ,M$1,0)*$F206,0),IFERROR(VLOOKUP($G:$G,Structure!$A:$AJ,M$1,0)*$H206,0))</f>
        <v>0</v>
      </c>
      <c r="N206" s="9">
        <f>SUM(IFERROR(VLOOKUP($C:$C,Structure!$A:$AJ,N$1,0)*$D206,0),IFERROR(VLOOKUP($E:$E,Structure!$A:$AJ,N$1,0)*$F206,0),IFERROR(VLOOKUP($G:$G,Structure!$A:$AJ,N$1,0)*$H206,0))</f>
        <v>0</v>
      </c>
      <c r="O206" s="9">
        <f>SUM(IFERROR(VLOOKUP($C:$C,Structure!$A:$AJ,O$1,0)*$D206,0),IFERROR(VLOOKUP($E:$E,Structure!$A:$AJ,O$1,0)*$F206,0),IFERROR(VLOOKUP($G:$G,Structure!$A:$AJ,O$1,0)*$H206,0))</f>
        <v>8</v>
      </c>
      <c r="P206" s="9">
        <f>SUM(IFERROR(VLOOKUP($C:$C,Structure!$A:$AJ,P$1,0)*$D206,0),IFERROR(VLOOKUP($E:$E,Structure!$A:$AJ,P$1,0)*$F206,0),IFERROR(VLOOKUP($G:$G,Structure!$A:$AJ,P$1,0)*$H206,0))</f>
        <v>0</v>
      </c>
      <c r="Q206" s="9">
        <f>SUM(IFERROR(VLOOKUP($C:$C,Structure!$A:$AJ,Q$1,0)*$D206,0),IFERROR(VLOOKUP($E:$E,Structure!$A:$AJ,Q$1,0)*$F206,0),IFERROR(VLOOKUP($G:$G,Structure!$A:$AJ,Q$1,0)*$H206,0))</f>
        <v>0</v>
      </c>
      <c r="R206" s="9">
        <f>SUM(IFERROR(VLOOKUP($C:$C,Structure!$A:$AJ,R$1,0)*$D206,0),IFERROR(VLOOKUP($E:$E,Structure!$A:$AJ,R$1,0)*$F206,0),IFERROR(VLOOKUP($G:$G,Structure!$A:$AJ,R$1,0)*$H206,0))</f>
        <v>0</v>
      </c>
      <c r="S206" s="9">
        <f>SUM(IFERROR(VLOOKUP($C:$C,Structure!$A:$AJ,S$1,0)*$D206,0),IFERROR(VLOOKUP($E:$E,Structure!$A:$AJ,S$1,0)*$F206,0),IFERROR(VLOOKUP($G:$G,Structure!$A:$AJ,S$1,0)*$H206,0))</f>
        <v>8</v>
      </c>
      <c r="T206" s="9">
        <f>SUM(IFERROR(VLOOKUP($C:$C,Structure!$A:$AJ,T$1,0)*$D206,0),IFERROR(VLOOKUP($E:$E,Structure!$A:$AJ,T$1,0)*$F206,0),IFERROR(VLOOKUP($G:$G,Structure!$A:$AJ,T$1,0)*$H206,0))</f>
        <v>0</v>
      </c>
      <c r="U206" s="9">
        <f>SUM(IFERROR(VLOOKUP($C:$C,Structure!$A:$AJ,U$1,0)*$D206,0),IFERROR(VLOOKUP($E:$E,Structure!$A:$AJ,U$1,0)*$F206,0),IFERROR(VLOOKUP($G:$G,Structure!$A:$AJ,U$1,0)*$H206,0))</f>
        <v>0</v>
      </c>
      <c r="V206" s="9">
        <f>SUM(IFERROR(VLOOKUP($C:$C,Structure!$A:$AJ,V$1,0)*$D206,0),IFERROR(VLOOKUP($E:$E,Structure!$A:$AJ,V$1,0)*$F206,0),IFERROR(VLOOKUP($G:$G,Structure!$A:$AJ,V$1,0)*$H206,0))</f>
        <v>0</v>
      </c>
      <c r="W206" s="9">
        <f>SUM(IFERROR(VLOOKUP($C:$C,Structure!$A:$AJ,W$1,0)*$D206,0),IFERROR(VLOOKUP($E:$E,Structure!$A:$AJ,W$1,0)*$F206,0),IFERROR(VLOOKUP($G:$G,Structure!$A:$AJ,W$1,0)*$H206,0))</f>
        <v>0</v>
      </c>
      <c r="X206" s="9">
        <f>SUM(IFERROR(VLOOKUP($C:$C,Structure!$A:$AJ,X$1,0)*$D206,0),IFERROR(VLOOKUP($E:$E,Structure!$A:$AJ,X$1,0)*$F206,0),IFERROR(VLOOKUP($G:$G,Structure!$A:$AJ,X$1,0)*$H206,0))</f>
        <v>0</v>
      </c>
      <c r="Y206" s="9">
        <f>SUM(IFERROR(VLOOKUP($C:$C,Structure!$A:$AJ,Y$1,0)*$D206,0),IFERROR(VLOOKUP($E:$E,Structure!$A:$AJ,Y$1,0)*$F206,0),IFERROR(VLOOKUP($G:$G,Structure!$A:$AJ,Y$1,0)*$H206,0))</f>
        <v>0</v>
      </c>
      <c r="Z206" s="9">
        <f>SUM(IFERROR(VLOOKUP($C:$C,Structure!$A:$AJ,Z$1,0)*$D206,0),IFERROR(VLOOKUP($E:$E,Structure!$A:$AJ,Z$1,0)*$F206,0),IFERROR(VLOOKUP($G:$G,Structure!$A:$AJ,Z$1,0)*$H206,0))</f>
        <v>0</v>
      </c>
      <c r="AA206" s="9">
        <f>SUM(IFERROR(VLOOKUP($C:$C,Structure!$A:$AJ,AA$1,0)*$D206,0),IFERROR(VLOOKUP($E:$E,Structure!$A:$AJ,AA$1,0)*$F206,0),IFERROR(VLOOKUP($G:$G,Structure!$A:$AJ,AA$1,0)*$H206,0))</f>
        <v>0</v>
      </c>
      <c r="AB206" s="9">
        <f>SUM(IFERROR(VLOOKUP($C:$C,Structure!$A:$AJ,AB$1,0)*$D206,0),IFERROR(VLOOKUP($E:$E,Structure!$A:$AJ,AB$1,0)*$F206,0),IFERROR(VLOOKUP($G:$G,Structure!$A:$AJ,AB$1,0)*$H206,0))</f>
        <v>0</v>
      </c>
      <c r="AC206" s="9">
        <f>SUM(IFERROR(VLOOKUP($C:$C,Structure!$A:$AJ,AC$1,0)*$D206,0),IFERROR(VLOOKUP($E:$E,Structure!$A:$AJ,AC$1,0)*$F206,0),IFERROR(VLOOKUP($G:$G,Structure!$A:$AJ,AC$1,0)*$H206,0))</f>
        <v>0</v>
      </c>
      <c r="AD206" s="9">
        <f>SUM(IFERROR(VLOOKUP($C:$C,Structure!$A:$AJ,AD$1,0)*$D206,0),IFERROR(VLOOKUP($E:$E,Structure!$A:$AJ,AD$1,0)*$F206,0),IFERROR(VLOOKUP($G:$G,Structure!$A:$AJ,AD$1,0)*$H206,0))</f>
        <v>0</v>
      </c>
      <c r="AE206" s="9">
        <f>SUM(IFERROR(VLOOKUP($C:$C,Structure!$A:$AJ,AE$1,0)*$D206,0),IFERROR(VLOOKUP($E:$E,Structure!$A:$AJ,AE$1,0)*$F206,0),IFERROR(VLOOKUP($G:$G,Structure!$A:$AJ,AE$1,0)*$H206,0))</f>
        <v>0</v>
      </c>
      <c r="AF206" s="9">
        <f>SUM(IFERROR(VLOOKUP($C:$C,Structure!$A:$AJ,AF$1,0)*$D206,0),IFERROR(VLOOKUP($E:$E,Structure!$A:$AJ,AF$1,0)*$F206,0),IFERROR(VLOOKUP($G:$G,Structure!$A:$AJ,AF$1,0)*$H206,0))</f>
        <v>0</v>
      </c>
      <c r="AG206" s="9">
        <f>SUM(IFERROR(VLOOKUP($C:$C,Structure!$A:$AJ,AG$1,0)*$D206,0),IFERROR(VLOOKUP($E:$E,Structure!$A:$AJ,AG$1,0)*$F206,0),IFERROR(VLOOKUP($G:$G,Structure!$A:$AJ,AG$1,0)*$H206,0))</f>
        <v>0</v>
      </c>
      <c r="AH206" s="9">
        <f>SUM(IFERROR(VLOOKUP($C:$C,Structure!$A:$AJ,AH$1,0)*$D206,0),IFERROR(VLOOKUP($E:$E,Structure!$A:$AJ,AH$1,0)*$F206,0),IFERROR(VLOOKUP($G:$G,Structure!$A:$AJ,AH$1,0)*$H206,0))</f>
        <v>0</v>
      </c>
      <c r="AI206" s="9">
        <f>SUM(IFERROR(VLOOKUP($C:$C,Structure!$A:$AJ,AI$1,0)*$D206,0),IFERROR(VLOOKUP($E:$E,Structure!$A:$AJ,AI$1,0)*$F206,0),IFERROR(VLOOKUP($G:$G,Structure!$A:$AJ,AI$1,0)*$H206,0))</f>
        <v>0</v>
      </c>
      <c r="AJ206" s="9">
        <f>SUM(IFERROR(VLOOKUP($C:$C,Structure!$A:$AJ,AJ$1,0)*$D206,0),IFERROR(VLOOKUP($E:$E,Structure!$A:$AJ,AJ$1,0)*$F206,0),IFERROR(VLOOKUP($G:$G,Structure!$A:$AJ,AJ$1,0)*$H206,0))</f>
        <v>0</v>
      </c>
      <c r="AK206" s="9">
        <f>SUM(IFERROR(VLOOKUP($C:$C,Structure!$A:$AJ,AK$1,0)*$D206,0),IFERROR(VLOOKUP($E:$E,Structure!$A:$AJ,AK$1,0)*$F206,0),IFERROR(VLOOKUP($G:$G,Structure!$A:$AJ,AK$1,0)*$H206,0))</f>
        <v>0</v>
      </c>
      <c r="AL206" s="9">
        <f>SUM(IFERROR(VLOOKUP($C:$C,Structure!$A:$AJ,AL$1,0)*$D206,0),IFERROR(VLOOKUP($E:$E,Structure!$A:$AJ,AL$1,0)*$F206,0),IFERROR(VLOOKUP($G:$G,Structure!$A:$AJ,AL$1,0)*$H206,0))</f>
        <v>0</v>
      </c>
      <c r="AM206" s="9">
        <f>SUM(IFERROR(VLOOKUP($C:$C,Structure!$A:$AJ,AM$1,0)*$D206,0),IFERROR(VLOOKUP($E:$E,Structure!$A:$AJ,AM$1,0)*$F206,0),IFERROR(VLOOKUP($G:$G,Structure!$A:$AJ,AM$1,0)*$H206,0))</f>
        <v>0</v>
      </c>
      <c r="AN206" s="9">
        <f>SUM(IFERROR(VLOOKUP($C:$C,Structure!$A:$AJ,AN$1,0)*$D206,0),IFERROR(VLOOKUP($E:$E,Structure!$A:$AJ,AN$1,0)*$F206,0),IFERROR(VLOOKUP($G:$G,Structure!$A:$AJ,AN$1,0)*$H206,0))</f>
        <v>0</v>
      </c>
      <c r="AO206" s="9">
        <f>SUM(IFERROR(VLOOKUP($C:$C,Structure!$A:$AJ,AO$1,0)*$D206,0),IFERROR(VLOOKUP($E:$E,Structure!$A:$AJ,AO$1,0)*$F206,0),IFERROR(VLOOKUP($G:$G,Structure!$A:$AJ,AO$1,0)*$H206,0))</f>
        <v>0</v>
      </c>
      <c r="AP206" s="9">
        <f>SUM(IFERROR(VLOOKUP($C:$C,Structure!$A:$AJ,AP$1,0)*$D206,0),IFERROR(VLOOKUP($E:$E,Structure!$A:$AJ,AP$1,0)*$F206,0),IFERROR(VLOOKUP($G:$G,Structure!$A:$AJ,AP$1,0)*$H206,0))</f>
        <v>0</v>
      </c>
      <c r="AQ206" s="9">
        <f>SUM(IFERROR(VLOOKUP($C:$C,Structure!$A:$AJ,AQ$1,0)*$D206,0),IFERROR(VLOOKUP($E:$E,Structure!$A:$AJ,AQ$1,0)*$F206,0),IFERROR(VLOOKUP($G:$G,Structure!$A:$AJ,AQ$1,0)*$H206,0))</f>
        <v>0</v>
      </c>
      <c r="AR206" s="21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4">
        <f t="shared" si="232"/>
        <v>0</v>
      </c>
      <c r="CE206" s="4">
        <f t="shared" si="233"/>
        <v>-180</v>
      </c>
      <c r="CF206" s="4">
        <f t="shared" si="234"/>
        <v>4</v>
      </c>
      <c r="CG206" s="4">
        <f t="shared" si="235"/>
        <v>11</v>
      </c>
      <c r="CH206" s="4">
        <f t="shared" si="236"/>
        <v>-7</v>
      </c>
      <c r="CI206" s="4">
        <f t="shared" si="237"/>
        <v>103</v>
      </c>
      <c r="CJ206" s="4">
        <f t="shared" si="238"/>
        <v>-149</v>
      </c>
      <c r="CK206" s="4">
        <f t="shared" si="239"/>
        <v>-1</v>
      </c>
      <c r="CL206" s="4">
        <f t="shared" si="240"/>
        <v>0</v>
      </c>
      <c r="CM206" s="4">
        <f t="shared" si="241"/>
        <v>6</v>
      </c>
      <c r="CN206" s="4">
        <f t="shared" si="242"/>
        <v>-36</v>
      </c>
      <c r="CO206" s="4">
        <f t="shared" si="243"/>
        <v>0</v>
      </c>
      <c r="CP206" s="4">
        <f t="shared" si="244"/>
        <v>67</v>
      </c>
      <c r="CQ206" s="4">
        <f t="shared" si="245"/>
        <v>-550</v>
      </c>
      <c r="CR206" s="4">
        <f t="shared" si="246"/>
        <v>12</v>
      </c>
      <c r="CS206" s="4">
        <f t="shared" si="247"/>
        <v>-48</v>
      </c>
      <c r="CT206" s="4">
        <f t="shared" si="248"/>
        <v>0</v>
      </c>
      <c r="CU206" s="4">
        <f t="shared" si="249"/>
        <v>0</v>
      </c>
      <c r="CV206" s="4">
        <f t="shared" si="250"/>
        <v>0</v>
      </c>
      <c r="CW206" s="4">
        <f t="shared" si="251"/>
        <v>0</v>
      </c>
      <c r="CX206" s="4">
        <f t="shared" si="252"/>
        <v>-543</v>
      </c>
      <c r="CY206" s="4">
        <f t="shared" si="253"/>
        <v>0</v>
      </c>
      <c r="CZ206" s="4">
        <f t="shared" si="254"/>
        <v>0</v>
      </c>
      <c r="DA206" s="4">
        <f t="shared" si="255"/>
        <v>0</v>
      </c>
      <c r="DB206" s="4">
        <f t="shared" si="256"/>
        <v>0</v>
      </c>
      <c r="DC206" s="4">
        <f t="shared" si="257"/>
        <v>0</v>
      </c>
      <c r="DD206" s="4">
        <f t="shared" si="258"/>
        <v>0</v>
      </c>
      <c r="DE206" s="4">
        <f t="shared" si="259"/>
        <v>0</v>
      </c>
      <c r="DF206" s="4">
        <f t="shared" si="260"/>
        <v>0</v>
      </c>
      <c r="DG206" s="4">
        <f t="shared" si="261"/>
        <v>0</v>
      </c>
      <c r="DH206" s="4">
        <f t="shared" si="262"/>
        <v>0</v>
      </c>
      <c r="DI206" s="4">
        <f t="shared" si="263"/>
        <v>0</v>
      </c>
      <c r="DJ206" s="4">
        <f t="shared" si="264"/>
        <v>0</v>
      </c>
      <c r="DK206" s="4">
        <f t="shared" si="265"/>
        <v>0</v>
      </c>
      <c r="DL206" s="4">
        <f t="shared" si="266"/>
        <v>0</v>
      </c>
    </row>
    <row r="207" spans="1:116" x14ac:dyDescent="0.25">
      <c r="A207" s="5">
        <v>46187</v>
      </c>
      <c r="B207" s="6">
        <v>0.56250000049476512</v>
      </c>
      <c r="C207" s="3"/>
      <c r="D207" s="3"/>
      <c r="E207" s="3" t="s">
        <v>57</v>
      </c>
      <c r="F207" s="3">
        <v>8</v>
      </c>
      <c r="G207" s="3"/>
      <c r="H207" s="9"/>
      <c r="I207" s="9">
        <f>SUM(IFERROR(VLOOKUP($C:$C,Structure!$A:$AJ,I$1,0)*$D207,0),IFERROR(VLOOKUP($E:$E,Structure!$A:$AJ,I$1,0)*$F207,0),IFERROR(VLOOKUP($G:$G,Structure!$A:$AJ,I$1,0)*$H207,0))</f>
        <v>0</v>
      </c>
      <c r="J207" s="9">
        <f>SUM(IFERROR(VLOOKUP($C:$C,Structure!$A:$AJ,J$1,0)*$D207,0),IFERROR(VLOOKUP($E:$E,Structure!$A:$AJ,J$1,0)*$F207,0),IFERROR(VLOOKUP($G:$G,Structure!$A:$AJ,J$1,0)*$H207,0))</f>
        <v>0</v>
      </c>
      <c r="K207" s="9">
        <f>SUM(IFERROR(VLOOKUP($C:$C,Structure!$A:$AJ,K$1,0)*$D207,0),IFERROR(VLOOKUP($E:$E,Structure!$A:$AJ,K$1,0)*$F207,0),IFERROR(VLOOKUP($G:$G,Structure!$A:$AJ,K$1,0)*$H207,0))</f>
        <v>0</v>
      </c>
      <c r="L207" s="9">
        <f>SUM(IFERROR(VLOOKUP($C:$C,Structure!$A:$AJ,L$1,0)*$D207,0),IFERROR(VLOOKUP($E:$E,Structure!$A:$AJ,L$1,0)*$F207,0),IFERROR(VLOOKUP($G:$G,Structure!$A:$AJ,L$1,0)*$H207,0))</f>
        <v>0</v>
      </c>
      <c r="M207" s="9">
        <f>SUM(IFERROR(VLOOKUP($C:$C,Structure!$A:$AJ,M$1,0)*$D207,0),IFERROR(VLOOKUP($E:$E,Structure!$A:$AJ,M$1,0)*$F207,0),IFERROR(VLOOKUP($G:$G,Structure!$A:$AJ,M$1,0)*$H207,0))</f>
        <v>0</v>
      </c>
      <c r="N207" s="9">
        <f>SUM(IFERROR(VLOOKUP($C:$C,Structure!$A:$AJ,N$1,0)*$D207,0),IFERROR(VLOOKUP($E:$E,Structure!$A:$AJ,N$1,0)*$F207,0),IFERROR(VLOOKUP($G:$G,Structure!$A:$AJ,N$1,0)*$H207,0))</f>
        <v>0</v>
      </c>
      <c r="O207" s="9">
        <f>SUM(IFERROR(VLOOKUP($C:$C,Structure!$A:$AJ,O$1,0)*$D207,0),IFERROR(VLOOKUP($E:$E,Structure!$A:$AJ,O$1,0)*$F207,0),IFERROR(VLOOKUP($G:$G,Structure!$A:$AJ,O$1,0)*$H207,0))</f>
        <v>8</v>
      </c>
      <c r="P207" s="9">
        <f>SUM(IFERROR(VLOOKUP($C:$C,Structure!$A:$AJ,P$1,0)*$D207,0),IFERROR(VLOOKUP($E:$E,Structure!$A:$AJ,P$1,0)*$F207,0),IFERROR(VLOOKUP($G:$G,Structure!$A:$AJ,P$1,0)*$H207,0))</f>
        <v>0</v>
      </c>
      <c r="Q207" s="9">
        <f>SUM(IFERROR(VLOOKUP($C:$C,Structure!$A:$AJ,Q$1,0)*$D207,0),IFERROR(VLOOKUP($E:$E,Structure!$A:$AJ,Q$1,0)*$F207,0),IFERROR(VLOOKUP($G:$G,Structure!$A:$AJ,Q$1,0)*$H207,0))</f>
        <v>0</v>
      </c>
      <c r="R207" s="9">
        <f>SUM(IFERROR(VLOOKUP($C:$C,Structure!$A:$AJ,R$1,0)*$D207,0),IFERROR(VLOOKUP($E:$E,Structure!$A:$AJ,R$1,0)*$F207,0),IFERROR(VLOOKUP($G:$G,Structure!$A:$AJ,R$1,0)*$H207,0))</f>
        <v>0</v>
      </c>
      <c r="S207" s="9">
        <f>SUM(IFERROR(VLOOKUP($C:$C,Structure!$A:$AJ,S$1,0)*$D207,0),IFERROR(VLOOKUP($E:$E,Structure!$A:$AJ,S$1,0)*$F207,0),IFERROR(VLOOKUP($G:$G,Structure!$A:$AJ,S$1,0)*$H207,0))</f>
        <v>8</v>
      </c>
      <c r="T207" s="9">
        <f>SUM(IFERROR(VLOOKUP($C:$C,Structure!$A:$AJ,T$1,0)*$D207,0),IFERROR(VLOOKUP($E:$E,Structure!$A:$AJ,T$1,0)*$F207,0),IFERROR(VLOOKUP($G:$G,Structure!$A:$AJ,T$1,0)*$H207,0))</f>
        <v>0</v>
      </c>
      <c r="U207" s="9">
        <f>SUM(IFERROR(VLOOKUP($C:$C,Structure!$A:$AJ,U$1,0)*$D207,0),IFERROR(VLOOKUP($E:$E,Structure!$A:$AJ,U$1,0)*$F207,0),IFERROR(VLOOKUP($G:$G,Structure!$A:$AJ,U$1,0)*$H207,0))</f>
        <v>0</v>
      </c>
      <c r="V207" s="9">
        <f>SUM(IFERROR(VLOOKUP($C:$C,Structure!$A:$AJ,V$1,0)*$D207,0),IFERROR(VLOOKUP($E:$E,Structure!$A:$AJ,V$1,0)*$F207,0),IFERROR(VLOOKUP($G:$G,Structure!$A:$AJ,V$1,0)*$H207,0))</f>
        <v>0</v>
      </c>
      <c r="W207" s="9">
        <f>SUM(IFERROR(VLOOKUP($C:$C,Structure!$A:$AJ,W$1,0)*$D207,0),IFERROR(VLOOKUP($E:$E,Structure!$A:$AJ,W$1,0)*$F207,0),IFERROR(VLOOKUP($G:$G,Structure!$A:$AJ,W$1,0)*$H207,0))</f>
        <v>0</v>
      </c>
      <c r="X207" s="9">
        <f>SUM(IFERROR(VLOOKUP($C:$C,Structure!$A:$AJ,X$1,0)*$D207,0),IFERROR(VLOOKUP($E:$E,Structure!$A:$AJ,X$1,0)*$F207,0),IFERROR(VLOOKUP($G:$G,Structure!$A:$AJ,X$1,0)*$H207,0))</f>
        <v>0</v>
      </c>
      <c r="Y207" s="9">
        <f>SUM(IFERROR(VLOOKUP($C:$C,Structure!$A:$AJ,Y$1,0)*$D207,0),IFERROR(VLOOKUP($E:$E,Structure!$A:$AJ,Y$1,0)*$F207,0),IFERROR(VLOOKUP($G:$G,Structure!$A:$AJ,Y$1,0)*$H207,0))</f>
        <v>0</v>
      </c>
      <c r="Z207" s="9">
        <f>SUM(IFERROR(VLOOKUP($C:$C,Structure!$A:$AJ,Z$1,0)*$D207,0),IFERROR(VLOOKUP($E:$E,Structure!$A:$AJ,Z$1,0)*$F207,0),IFERROR(VLOOKUP($G:$G,Structure!$A:$AJ,Z$1,0)*$H207,0))</f>
        <v>0</v>
      </c>
      <c r="AA207" s="9">
        <f>SUM(IFERROR(VLOOKUP($C:$C,Structure!$A:$AJ,AA$1,0)*$D207,0),IFERROR(VLOOKUP($E:$E,Structure!$A:$AJ,AA$1,0)*$F207,0),IFERROR(VLOOKUP($G:$G,Structure!$A:$AJ,AA$1,0)*$H207,0))</f>
        <v>0</v>
      </c>
      <c r="AB207" s="9">
        <f>SUM(IFERROR(VLOOKUP($C:$C,Structure!$A:$AJ,AB$1,0)*$D207,0),IFERROR(VLOOKUP($E:$E,Structure!$A:$AJ,AB$1,0)*$F207,0),IFERROR(VLOOKUP($G:$G,Structure!$A:$AJ,AB$1,0)*$H207,0))</f>
        <v>0</v>
      </c>
      <c r="AC207" s="9">
        <f>SUM(IFERROR(VLOOKUP($C:$C,Structure!$A:$AJ,AC$1,0)*$D207,0),IFERROR(VLOOKUP($E:$E,Structure!$A:$AJ,AC$1,0)*$F207,0),IFERROR(VLOOKUP($G:$G,Structure!$A:$AJ,AC$1,0)*$H207,0))</f>
        <v>0</v>
      </c>
      <c r="AD207" s="9">
        <f>SUM(IFERROR(VLOOKUP($C:$C,Structure!$A:$AJ,AD$1,0)*$D207,0),IFERROR(VLOOKUP($E:$E,Structure!$A:$AJ,AD$1,0)*$F207,0),IFERROR(VLOOKUP($G:$G,Structure!$A:$AJ,AD$1,0)*$H207,0))</f>
        <v>0</v>
      </c>
      <c r="AE207" s="9">
        <f>SUM(IFERROR(VLOOKUP($C:$C,Structure!$A:$AJ,AE$1,0)*$D207,0),IFERROR(VLOOKUP($E:$E,Structure!$A:$AJ,AE$1,0)*$F207,0),IFERROR(VLOOKUP($G:$G,Structure!$A:$AJ,AE$1,0)*$H207,0))</f>
        <v>0</v>
      </c>
      <c r="AF207" s="9">
        <f>SUM(IFERROR(VLOOKUP($C:$C,Structure!$A:$AJ,AF$1,0)*$D207,0),IFERROR(VLOOKUP($E:$E,Structure!$A:$AJ,AF$1,0)*$F207,0),IFERROR(VLOOKUP($G:$G,Structure!$A:$AJ,AF$1,0)*$H207,0))</f>
        <v>0</v>
      </c>
      <c r="AG207" s="9">
        <f>SUM(IFERROR(VLOOKUP($C:$C,Structure!$A:$AJ,AG$1,0)*$D207,0),IFERROR(VLOOKUP($E:$E,Structure!$A:$AJ,AG$1,0)*$F207,0),IFERROR(VLOOKUP($G:$G,Structure!$A:$AJ,AG$1,0)*$H207,0))</f>
        <v>0</v>
      </c>
      <c r="AH207" s="9">
        <f>SUM(IFERROR(VLOOKUP($C:$C,Structure!$A:$AJ,AH$1,0)*$D207,0),IFERROR(VLOOKUP($E:$E,Structure!$A:$AJ,AH$1,0)*$F207,0),IFERROR(VLOOKUP($G:$G,Structure!$A:$AJ,AH$1,0)*$H207,0))</f>
        <v>0</v>
      </c>
      <c r="AI207" s="9">
        <f>SUM(IFERROR(VLOOKUP($C:$C,Structure!$A:$AJ,AI$1,0)*$D207,0),IFERROR(VLOOKUP($E:$E,Structure!$A:$AJ,AI$1,0)*$F207,0),IFERROR(VLOOKUP($G:$G,Structure!$A:$AJ,AI$1,0)*$H207,0))</f>
        <v>0</v>
      </c>
      <c r="AJ207" s="9">
        <f>SUM(IFERROR(VLOOKUP($C:$C,Structure!$A:$AJ,AJ$1,0)*$D207,0),IFERROR(VLOOKUP($E:$E,Structure!$A:$AJ,AJ$1,0)*$F207,0),IFERROR(VLOOKUP($G:$G,Structure!$A:$AJ,AJ$1,0)*$H207,0))</f>
        <v>0</v>
      </c>
      <c r="AK207" s="9">
        <f>SUM(IFERROR(VLOOKUP($C:$C,Structure!$A:$AJ,AK$1,0)*$D207,0),IFERROR(VLOOKUP($E:$E,Structure!$A:$AJ,AK$1,0)*$F207,0),IFERROR(VLOOKUP($G:$G,Structure!$A:$AJ,AK$1,0)*$H207,0))</f>
        <v>0</v>
      </c>
      <c r="AL207" s="9">
        <f>SUM(IFERROR(VLOOKUP($C:$C,Structure!$A:$AJ,AL$1,0)*$D207,0),IFERROR(VLOOKUP($E:$E,Structure!$A:$AJ,AL$1,0)*$F207,0),IFERROR(VLOOKUP($G:$G,Structure!$A:$AJ,AL$1,0)*$H207,0))</f>
        <v>0</v>
      </c>
      <c r="AM207" s="9">
        <f>SUM(IFERROR(VLOOKUP($C:$C,Structure!$A:$AJ,AM$1,0)*$D207,0),IFERROR(VLOOKUP($E:$E,Structure!$A:$AJ,AM$1,0)*$F207,0),IFERROR(VLOOKUP($G:$G,Structure!$A:$AJ,AM$1,0)*$H207,0))</f>
        <v>0</v>
      </c>
      <c r="AN207" s="9">
        <f>SUM(IFERROR(VLOOKUP($C:$C,Structure!$A:$AJ,AN$1,0)*$D207,0),IFERROR(VLOOKUP($E:$E,Structure!$A:$AJ,AN$1,0)*$F207,0),IFERROR(VLOOKUP($G:$G,Structure!$A:$AJ,AN$1,0)*$H207,0))</f>
        <v>0</v>
      </c>
      <c r="AO207" s="9">
        <f>SUM(IFERROR(VLOOKUP($C:$C,Structure!$A:$AJ,AO$1,0)*$D207,0),IFERROR(VLOOKUP($E:$E,Structure!$A:$AJ,AO$1,0)*$F207,0),IFERROR(VLOOKUP($G:$G,Structure!$A:$AJ,AO$1,0)*$H207,0))</f>
        <v>0</v>
      </c>
      <c r="AP207" s="9">
        <f>SUM(IFERROR(VLOOKUP($C:$C,Structure!$A:$AJ,AP$1,0)*$D207,0),IFERROR(VLOOKUP($E:$E,Structure!$A:$AJ,AP$1,0)*$F207,0),IFERROR(VLOOKUP($G:$G,Structure!$A:$AJ,AP$1,0)*$H207,0))</f>
        <v>0</v>
      </c>
      <c r="AQ207" s="9">
        <f>SUM(IFERROR(VLOOKUP($C:$C,Structure!$A:$AJ,AQ$1,0)*$D207,0),IFERROR(VLOOKUP($E:$E,Structure!$A:$AJ,AQ$1,0)*$F207,0),IFERROR(VLOOKUP($G:$G,Structure!$A:$AJ,AQ$1,0)*$H207,0))</f>
        <v>0</v>
      </c>
      <c r="AR207" s="21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4">
        <f t="shared" si="232"/>
        <v>0</v>
      </c>
      <c r="CE207" s="4">
        <f t="shared" si="233"/>
        <v>-180</v>
      </c>
      <c r="CF207" s="4">
        <f t="shared" si="234"/>
        <v>4</v>
      </c>
      <c r="CG207" s="4">
        <f t="shared" si="235"/>
        <v>11</v>
      </c>
      <c r="CH207" s="4">
        <f t="shared" si="236"/>
        <v>-7</v>
      </c>
      <c r="CI207" s="4">
        <f t="shared" si="237"/>
        <v>103</v>
      </c>
      <c r="CJ207" s="4">
        <f t="shared" si="238"/>
        <v>-157</v>
      </c>
      <c r="CK207" s="4">
        <f t="shared" si="239"/>
        <v>-1</v>
      </c>
      <c r="CL207" s="4">
        <f t="shared" si="240"/>
        <v>0</v>
      </c>
      <c r="CM207" s="4">
        <f t="shared" si="241"/>
        <v>6</v>
      </c>
      <c r="CN207" s="4">
        <f t="shared" si="242"/>
        <v>-44</v>
      </c>
      <c r="CO207" s="4">
        <f t="shared" si="243"/>
        <v>0</v>
      </c>
      <c r="CP207" s="4">
        <f t="shared" si="244"/>
        <v>67</v>
      </c>
      <c r="CQ207" s="4">
        <f t="shared" si="245"/>
        <v>-550</v>
      </c>
      <c r="CR207" s="4">
        <f t="shared" si="246"/>
        <v>12</v>
      </c>
      <c r="CS207" s="4">
        <f t="shared" si="247"/>
        <v>-48</v>
      </c>
      <c r="CT207" s="4">
        <f t="shared" si="248"/>
        <v>0</v>
      </c>
      <c r="CU207" s="4">
        <f t="shared" si="249"/>
        <v>0</v>
      </c>
      <c r="CV207" s="4">
        <f t="shared" si="250"/>
        <v>0</v>
      </c>
      <c r="CW207" s="4">
        <f t="shared" si="251"/>
        <v>0</v>
      </c>
      <c r="CX207" s="4">
        <f t="shared" si="252"/>
        <v>-543</v>
      </c>
      <c r="CY207" s="4">
        <f t="shared" si="253"/>
        <v>0</v>
      </c>
      <c r="CZ207" s="4">
        <f t="shared" si="254"/>
        <v>0</v>
      </c>
      <c r="DA207" s="4">
        <f t="shared" si="255"/>
        <v>0</v>
      </c>
      <c r="DB207" s="4">
        <f t="shared" si="256"/>
        <v>0</v>
      </c>
      <c r="DC207" s="4">
        <f t="shared" si="257"/>
        <v>0</v>
      </c>
      <c r="DD207" s="4">
        <f t="shared" si="258"/>
        <v>0</v>
      </c>
      <c r="DE207" s="4">
        <f t="shared" si="259"/>
        <v>0</v>
      </c>
      <c r="DF207" s="4">
        <f t="shared" si="260"/>
        <v>0</v>
      </c>
      <c r="DG207" s="4">
        <f t="shared" si="261"/>
        <v>0</v>
      </c>
      <c r="DH207" s="4">
        <f t="shared" si="262"/>
        <v>0</v>
      </c>
      <c r="DI207" s="4">
        <f t="shared" si="263"/>
        <v>0</v>
      </c>
      <c r="DJ207" s="4">
        <f t="shared" si="264"/>
        <v>0</v>
      </c>
      <c r="DK207" s="4">
        <f t="shared" si="265"/>
        <v>0</v>
      </c>
      <c r="DL207" s="4">
        <f t="shared" si="266"/>
        <v>0</v>
      </c>
    </row>
    <row r="208" spans="1:116" x14ac:dyDescent="0.25">
      <c r="A208" s="5">
        <v>46187</v>
      </c>
      <c r="B208" s="6">
        <v>0.58333333383052377</v>
      </c>
      <c r="C208" s="3"/>
      <c r="D208" s="3"/>
      <c r="E208" s="3" t="s">
        <v>57</v>
      </c>
      <c r="F208" s="3">
        <v>8</v>
      </c>
      <c r="G208" s="3"/>
      <c r="H208" s="9"/>
      <c r="I208" s="9">
        <f>SUM(IFERROR(VLOOKUP($C:$C,Structure!$A:$AJ,I$1,0)*$D208,0),IFERROR(VLOOKUP($E:$E,Structure!$A:$AJ,I$1,0)*$F208,0),IFERROR(VLOOKUP($G:$G,Structure!$A:$AJ,I$1,0)*$H208,0))</f>
        <v>0</v>
      </c>
      <c r="J208" s="9">
        <f>SUM(IFERROR(VLOOKUP($C:$C,Structure!$A:$AJ,J$1,0)*$D208,0),IFERROR(VLOOKUP($E:$E,Structure!$A:$AJ,J$1,0)*$F208,0),IFERROR(VLOOKUP($G:$G,Structure!$A:$AJ,J$1,0)*$H208,0))</f>
        <v>0</v>
      </c>
      <c r="K208" s="9">
        <f>SUM(IFERROR(VLOOKUP($C:$C,Structure!$A:$AJ,K$1,0)*$D208,0),IFERROR(VLOOKUP($E:$E,Structure!$A:$AJ,K$1,0)*$F208,0),IFERROR(VLOOKUP($G:$G,Structure!$A:$AJ,K$1,0)*$H208,0))</f>
        <v>0</v>
      </c>
      <c r="L208" s="9">
        <f>SUM(IFERROR(VLOOKUP($C:$C,Structure!$A:$AJ,L$1,0)*$D208,0),IFERROR(VLOOKUP($E:$E,Structure!$A:$AJ,L$1,0)*$F208,0),IFERROR(VLOOKUP($G:$G,Structure!$A:$AJ,L$1,0)*$H208,0))</f>
        <v>0</v>
      </c>
      <c r="M208" s="9">
        <f>SUM(IFERROR(VLOOKUP($C:$C,Structure!$A:$AJ,M$1,0)*$D208,0),IFERROR(VLOOKUP($E:$E,Structure!$A:$AJ,M$1,0)*$F208,0),IFERROR(VLOOKUP($G:$G,Structure!$A:$AJ,M$1,0)*$H208,0))</f>
        <v>0</v>
      </c>
      <c r="N208" s="9">
        <f>SUM(IFERROR(VLOOKUP($C:$C,Structure!$A:$AJ,N$1,0)*$D208,0),IFERROR(VLOOKUP($E:$E,Structure!$A:$AJ,N$1,0)*$F208,0),IFERROR(VLOOKUP($G:$G,Structure!$A:$AJ,N$1,0)*$H208,0))</f>
        <v>0</v>
      </c>
      <c r="O208" s="9">
        <f>SUM(IFERROR(VLOOKUP($C:$C,Structure!$A:$AJ,O$1,0)*$D208,0),IFERROR(VLOOKUP($E:$E,Structure!$A:$AJ,O$1,0)*$F208,0),IFERROR(VLOOKUP($G:$G,Structure!$A:$AJ,O$1,0)*$H208,0))</f>
        <v>8</v>
      </c>
      <c r="P208" s="9">
        <f>SUM(IFERROR(VLOOKUP($C:$C,Structure!$A:$AJ,P$1,0)*$D208,0),IFERROR(VLOOKUP($E:$E,Structure!$A:$AJ,P$1,0)*$F208,0),IFERROR(VLOOKUP($G:$G,Structure!$A:$AJ,P$1,0)*$H208,0))</f>
        <v>0</v>
      </c>
      <c r="Q208" s="9">
        <f>SUM(IFERROR(VLOOKUP($C:$C,Structure!$A:$AJ,Q$1,0)*$D208,0),IFERROR(VLOOKUP($E:$E,Structure!$A:$AJ,Q$1,0)*$F208,0),IFERROR(VLOOKUP($G:$G,Structure!$A:$AJ,Q$1,0)*$H208,0))</f>
        <v>0</v>
      </c>
      <c r="R208" s="9">
        <f>SUM(IFERROR(VLOOKUP($C:$C,Structure!$A:$AJ,R$1,0)*$D208,0),IFERROR(VLOOKUP($E:$E,Structure!$A:$AJ,R$1,0)*$F208,0),IFERROR(VLOOKUP($G:$G,Structure!$A:$AJ,R$1,0)*$H208,0))</f>
        <v>0</v>
      </c>
      <c r="S208" s="9">
        <f>SUM(IFERROR(VLOOKUP($C:$C,Structure!$A:$AJ,S$1,0)*$D208,0),IFERROR(VLOOKUP($E:$E,Structure!$A:$AJ,S$1,0)*$F208,0),IFERROR(VLOOKUP($G:$G,Structure!$A:$AJ,S$1,0)*$H208,0))</f>
        <v>8</v>
      </c>
      <c r="T208" s="9">
        <f>SUM(IFERROR(VLOOKUP($C:$C,Structure!$A:$AJ,T$1,0)*$D208,0),IFERROR(VLOOKUP($E:$E,Structure!$A:$AJ,T$1,0)*$F208,0),IFERROR(VLOOKUP($G:$G,Structure!$A:$AJ,T$1,0)*$H208,0))</f>
        <v>0</v>
      </c>
      <c r="U208" s="9">
        <f>SUM(IFERROR(VLOOKUP($C:$C,Structure!$A:$AJ,U$1,0)*$D208,0),IFERROR(VLOOKUP($E:$E,Structure!$A:$AJ,U$1,0)*$F208,0),IFERROR(VLOOKUP($G:$G,Structure!$A:$AJ,U$1,0)*$H208,0))</f>
        <v>0</v>
      </c>
      <c r="V208" s="9">
        <f>SUM(IFERROR(VLOOKUP($C:$C,Structure!$A:$AJ,V$1,0)*$D208,0),IFERROR(VLOOKUP($E:$E,Structure!$A:$AJ,V$1,0)*$F208,0),IFERROR(VLOOKUP($G:$G,Structure!$A:$AJ,V$1,0)*$H208,0))</f>
        <v>0</v>
      </c>
      <c r="W208" s="9">
        <f>SUM(IFERROR(VLOOKUP($C:$C,Structure!$A:$AJ,W$1,0)*$D208,0),IFERROR(VLOOKUP($E:$E,Structure!$A:$AJ,W$1,0)*$F208,0),IFERROR(VLOOKUP($G:$G,Structure!$A:$AJ,W$1,0)*$H208,0))</f>
        <v>0</v>
      </c>
      <c r="X208" s="9">
        <f>SUM(IFERROR(VLOOKUP($C:$C,Structure!$A:$AJ,X$1,0)*$D208,0),IFERROR(VLOOKUP($E:$E,Structure!$A:$AJ,X$1,0)*$F208,0),IFERROR(VLOOKUP($G:$G,Structure!$A:$AJ,X$1,0)*$H208,0))</f>
        <v>0</v>
      </c>
      <c r="Y208" s="9">
        <f>SUM(IFERROR(VLOOKUP($C:$C,Structure!$A:$AJ,Y$1,0)*$D208,0),IFERROR(VLOOKUP($E:$E,Structure!$A:$AJ,Y$1,0)*$F208,0),IFERROR(VLOOKUP($G:$G,Structure!$A:$AJ,Y$1,0)*$H208,0))</f>
        <v>0</v>
      </c>
      <c r="Z208" s="9">
        <f>SUM(IFERROR(VLOOKUP($C:$C,Structure!$A:$AJ,Z$1,0)*$D208,0),IFERROR(VLOOKUP($E:$E,Structure!$A:$AJ,Z$1,0)*$F208,0),IFERROR(VLOOKUP($G:$G,Structure!$A:$AJ,Z$1,0)*$H208,0))</f>
        <v>0</v>
      </c>
      <c r="AA208" s="9">
        <f>SUM(IFERROR(VLOOKUP($C:$C,Structure!$A:$AJ,AA$1,0)*$D208,0),IFERROR(VLOOKUP($E:$E,Structure!$A:$AJ,AA$1,0)*$F208,0),IFERROR(VLOOKUP($G:$G,Structure!$A:$AJ,AA$1,0)*$H208,0))</f>
        <v>0</v>
      </c>
      <c r="AB208" s="9">
        <f>SUM(IFERROR(VLOOKUP($C:$C,Structure!$A:$AJ,AB$1,0)*$D208,0),IFERROR(VLOOKUP($E:$E,Structure!$A:$AJ,AB$1,0)*$F208,0),IFERROR(VLOOKUP($G:$G,Structure!$A:$AJ,AB$1,0)*$H208,0))</f>
        <v>0</v>
      </c>
      <c r="AC208" s="9">
        <f>SUM(IFERROR(VLOOKUP($C:$C,Structure!$A:$AJ,AC$1,0)*$D208,0),IFERROR(VLOOKUP($E:$E,Structure!$A:$AJ,AC$1,0)*$F208,0),IFERROR(VLOOKUP($G:$G,Structure!$A:$AJ,AC$1,0)*$H208,0))</f>
        <v>0</v>
      </c>
      <c r="AD208" s="9">
        <f>SUM(IFERROR(VLOOKUP($C:$C,Structure!$A:$AJ,AD$1,0)*$D208,0),IFERROR(VLOOKUP($E:$E,Structure!$A:$AJ,AD$1,0)*$F208,0),IFERROR(VLOOKUP($G:$G,Structure!$A:$AJ,AD$1,0)*$H208,0))</f>
        <v>0</v>
      </c>
      <c r="AE208" s="9">
        <f>SUM(IFERROR(VLOOKUP($C:$C,Structure!$A:$AJ,AE$1,0)*$D208,0),IFERROR(VLOOKUP($E:$E,Structure!$A:$AJ,AE$1,0)*$F208,0),IFERROR(VLOOKUP($G:$G,Structure!$A:$AJ,AE$1,0)*$H208,0))</f>
        <v>0</v>
      </c>
      <c r="AF208" s="9">
        <f>SUM(IFERROR(VLOOKUP($C:$C,Structure!$A:$AJ,AF$1,0)*$D208,0),IFERROR(VLOOKUP($E:$E,Structure!$A:$AJ,AF$1,0)*$F208,0),IFERROR(VLOOKUP($G:$G,Structure!$A:$AJ,AF$1,0)*$H208,0))</f>
        <v>0</v>
      </c>
      <c r="AG208" s="9">
        <f>SUM(IFERROR(VLOOKUP($C:$C,Structure!$A:$AJ,AG$1,0)*$D208,0),IFERROR(VLOOKUP($E:$E,Structure!$A:$AJ,AG$1,0)*$F208,0),IFERROR(VLOOKUP($G:$G,Structure!$A:$AJ,AG$1,0)*$H208,0))</f>
        <v>0</v>
      </c>
      <c r="AH208" s="9">
        <f>SUM(IFERROR(VLOOKUP($C:$C,Structure!$A:$AJ,AH$1,0)*$D208,0),IFERROR(VLOOKUP($E:$E,Structure!$A:$AJ,AH$1,0)*$F208,0),IFERROR(VLOOKUP($G:$G,Structure!$A:$AJ,AH$1,0)*$H208,0))</f>
        <v>0</v>
      </c>
      <c r="AI208" s="9">
        <f>SUM(IFERROR(VLOOKUP($C:$C,Structure!$A:$AJ,AI$1,0)*$D208,0),IFERROR(VLOOKUP($E:$E,Structure!$A:$AJ,AI$1,0)*$F208,0),IFERROR(VLOOKUP($G:$G,Structure!$A:$AJ,AI$1,0)*$H208,0))</f>
        <v>0</v>
      </c>
      <c r="AJ208" s="9">
        <f>SUM(IFERROR(VLOOKUP($C:$C,Structure!$A:$AJ,AJ$1,0)*$D208,0),IFERROR(VLOOKUP($E:$E,Structure!$A:$AJ,AJ$1,0)*$F208,0),IFERROR(VLOOKUP($G:$G,Structure!$A:$AJ,AJ$1,0)*$H208,0))</f>
        <v>0</v>
      </c>
      <c r="AK208" s="9">
        <f>SUM(IFERROR(VLOOKUP($C:$C,Structure!$A:$AJ,AK$1,0)*$D208,0),IFERROR(VLOOKUP($E:$E,Structure!$A:$AJ,AK$1,0)*$F208,0),IFERROR(VLOOKUP($G:$G,Structure!$A:$AJ,AK$1,0)*$H208,0))</f>
        <v>0</v>
      </c>
      <c r="AL208" s="9">
        <f>SUM(IFERROR(VLOOKUP($C:$C,Structure!$A:$AJ,AL$1,0)*$D208,0),IFERROR(VLOOKUP($E:$E,Structure!$A:$AJ,AL$1,0)*$F208,0),IFERROR(VLOOKUP($G:$G,Structure!$A:$AJ,AL$1,0)*$H208,0))</f>
        <v>0</v>
      </c>
      <c r="AM208" s="9">
        <f>SUM(IFERROR(VLOOKUP($C:$C,Structure!$A:$AJ,AM$1,0)*$D208,0),IFERROR(VLOOKUP($E:$E,Structure!$A:$AJ,AM$1,0)*$F208,0),IFERROR(VLOOKUP($G:$G,Structure!$A:$AJ,AM$1,0)*$H208,0))</f>
        <v>0</v>
      </c>
      <c r="AN208" s="9">
        <f>SUM(IFERROR(VLOOKUP($C:$C,Structure!$A:$AJ,AN$1,0)*$D208,0),IFERROR(VLOOKUP($E:$E,Structure!$A:$AJ,AN$1,0)*$F208,0),IFERROR(VLOOKUP($G:$G,Structure!$A:$AJ,AN$1,0)*$H208,0))</f>
        <v>0</v>
      </c>
      <c r="AO208" s="9">
        <f>SUM(IFERROR(VLOOKUP($C:$C,Structure!$A:$AJ,AO$1,0)*$D208,0),IFERROR(VLOOKUP($E:$E,Structure!$A:$AJ,AO$1,0)*$F208,0),IFERROR(VLOOKUP($G:$G,Structure!$A:$AJ,AO$1,0)*$H208,0))</f>
        <v>0</v>
      </c>
      <c r="AP208" s="9">
        <f>SUM(IFERROR(VLOOKUP($C:$C,Structure!$A:$AJ,AP$1,0)*$D208,0),IFERROR(VLOOKUP($E:$E,Structure!$A:$AJ,AP$1,0)*$F208,0),IFERROR(VLOOKUP($G:$G,Structure!$A:$AJ,AP$1,0)*$H208,0))</f>
        <v>0</v>
      </c>
      <c r="AQ208" s="9">
        <f>SUM(IFERROR(VLOOKUP($C:$C,Structure!$A:$AJ,AQ$1,0)*$D208,0),IFERROR(VLOOKUP($E:$E,Structure!$A:$AJ,AQ$1,0)*$F208,0),IFERROR(VLOOKUP($G:$G,Structure!$A:$AJ,AQ$1,0)*$H208,0))</f>
        <v>0</v>
      </c>
      <c r="AR208" s="21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4">
        <f t="shared" si="232"/>
        <v>0</v>
      </c>
      <c r="CE208" s="4">
        <f t="shared" si="233"/>
        <v>-180</v>
      </c>
      <c r="CF208" s="4">
        <f t="shared" si="234"/>
        <v>4</v>
      </c>
      <c r="CG208" s="4">
        <f t="shared" si="235"/>
        <v>11</v>
      </c>
      <c r="CH208" s="4">
        <f t="shared" si="236"/>
        <v>-7</v>
      </c>
      <c r="CI208" s="4">
        <f t="shared" si="237"/>
        <v>103</v>
      </c>
      <c r="CJ208" s="4">
        <f t="shared" si="238"/>
        <v>-165</v>
      </c>
      <c r="CK208" s="4">
        <f t="shared" si="239"/>
        <v>-1</v>
      </c>
      <c r="CL208" s="4">
        <f t="shared" si="240"/>
        <v>0</v>
      </c>
      <c r="CM208" s="4">
        <f t="shared" si="241"/>
        <v>6</v>
      </c>
      <c r="CN208" s="4">
        <f t="shared" si="242"/>
        <v>-52</v>
      </c>
      <c r="CO208" s="4">
        <f t="shared" si="243"/>
        <v>0</v>
      </c>
      <c r="CP208" s="4">
        <f t="shared" si="244"/>
        <v>67</v>
      </c>
      <c r="CQ208" s="4">
        <f t="shared" si="245"/>
        <v>-550</v>
      </c>
      <c r="CR208" s="4">
        <f t="shared" si="246"/>
        <v>12</v>
      </c>
      <c r="CS208" s="4">
        <f t="shared" si="247"/>
        <v>-48</v>
      </c>
      <c r="CT208" s="4">
        <f t="shared" si="248"/>
        <v>0</v>
      </c>
      <c r="CU208" s="4">
        <f t="shared" si="249"/>
        <v>0</v>
      </c>
      <c r="CV208" s="4">
        <f t="shared" si="250"/>
        <v>0</v>
      </c>
      <c r="CW208" s="4">
        <f t="shared" si="251"/>
        <v>0</v>
      </c>
      <c r="CX208" s="4">
        <f t="shared" si="252"/>
        <v>-543</v>
      </c>
      <c r="CY208" s="4">
        <f t="shared" si="253"/>
        <v>0</v>
      </c>
      <c r="CZ208" s="4">
        <f t="shared" si="254"/>
        <v>0</v>
      </c>
      <c r="DA208" s="4">
        <f t="shared" si="255"/>
        <v>0</v>
      </c>
      <c r="DB208" s="4">
        <f t="shared" si="256"/>
        <v>0</v>
      </c>
      <c r="DC208" s="4">
        <f t="shared" si="257"/>
        <v>0</v>
      </c>
      <c r="DD208" s="4">
        <f t="shared" si="258"/>
        <v>0</v>
      </c>
      <c r="DE208" s="4">
        <f t="shared" si="259"/>
        <v>0</v>
      </c>
      <c r="DF208" s="4">
        <f t="shared" si="260"/>
        <v>0</v>
      </c>
      <c r="DG208" s="4">
        <f t="shared" si="261"/>
        <v>0</v>
      </c>
      <c r="DH208" s="4">
        <f t="shared" si="262"/>
        <v>0</v>
      </c>
      <c r="DI208" s="4">
        <f t="shared" si="263"/>
        <v>0</v>
      </c>
      <c r="DJ208" s="4">
        <f t="shared" si="264"/>
        <v>0</v>
      </c>
      <c r="DK208" s="4">
        <f t="shared" si="265"/>
        <v>0</v>
      </c>
      <c r="DL208" s="4">
        <f t="shared" si="266"/>
        <v>0</v>
      </c>
    </row>
    <row r="209" spans="1:116" x14ac:dyDescent="0.25">
      <c r="A209" s="5">
        <v>46187</v>
      </c>
      <c r="B209" s="6">
        <v>0.60416666716628242</v>
      </c>
      <c r="C209" s="3"/>
      <c r="D209" s="3"/>
      <c r="E209" s="3" t="s">
        <v>57</v>
      </c>
      <c r="F209" s="3">
        <v>8</v>
      </c>
      <c r="G209" s="3"/>
      <c r="H209" s="9"/>
      <c r="I209" s="9">
        <f>SUM(IFERROR(VLOOKUP($C:$C,Structure!$A:$AJ,I$1,0)*$D209,0),IFERROR(VLOOKUP($E:$E,Structure!$A:$AJ,I$1,0)*$F209,0),IFERROR(VLOOKUP($G:$G,Structure!$A:$AJ,I$1,0)*$H209,0))</f>
        <v>0</v>
      </c>
      <c r="J209" s="9">
        <f>SUM(IFERROR(VLOOKUP($C:$C,Structure!$A:$AJ,J$1,0)*$D209,0),IFERROR(VLOOKUP($E:$E,Structure!$A:$AJ,J$1,0)*$F209,0),IFERROR(VLOOKUP($G:$G,Structure!$A:$AJ,J$1,0)*$H209,0))</f>
        <v>0</v>
      </c>
      <c r="K209" s="9">
        <f>SUM(IFERROR(VLOOKUP($C:$C,Structure!$A:$AJ,K$1,0)*$D209,0),IFERROR(VLOOKUP($E:$E,Structure!$A:$AJ,K$1,0)*$F209,0),IFERROR(VLOOKUP($G:$G,Structure!$A:$AJ,K$1,0)*$H209,0))</f>
        <v>0</v>
      </c>
      <c r="L209" s="9">
        <f>SUM(IFERROR(VLOOKUP($C:$C,Structure!$A:$AJ,L$1,0)*$D209,0),IFERROR(VLOOKUP($E:$E,Structure!$A:$AJ,L$1,0)*$F209,0),IFERROR(VLOOKUP($G:$G,Structure!$A:$AJ,L$1,0)*$H209,0))</f>
        <v>0</v>
      </c>
      <c r="M209" s="9">
        <f>SUM(IFERROR(VLOOKUP($C:$C,Structure!$A:$AJ,M$1,0)*$D209,0),IFERROR(VLOOKUP($E:$E,Structure!$A:$AJ,M$1,0)*$F209,0),IFERROR(VLOOKUP($G:$G,Structure!$A:$AJ,M$1,0)*$H209,0))</f>
        <v>0</v>
      </c>
      <c r="N209" s="9">
        <f>SUM(IFERROR(VLOOKUP($C:$C,Structure!$A:$AJ,N$1,0)*$D209,0),IFERROR(VLOOKUP($E:$E,Structure!$A:$AJ,N$1,0)*$F209,0),IFERROR(VLOOKUP($G:$G,Structure!$A:$AJ,N$1,0)*$H209,0))</f>
        <v>0</v>
      </c>
      <c r="O209" s="9">
        <f>SUM(IFERROR(VLOOKUP($C:$C,Structure!$A:$AJ,O$1,0)*$D209,0),IFERROR(VLOOKUP($E:$E,Structure!$A:$AJ,O$1,0)*$F209,0),IFERROR(VLOOKUP($G:$G,Structure!$A:$AJ,O$1,0)*$H209,0))</f>
        <v>8</v>
      </c>
      <c r="P209" s="9">
        <f>SUM(IFERROR(VLOOKUP($C:$C,Structure!$A:$AJ,P$1,0)*$D209,0),IFERROR(VLOOKUP($E:$E,Structure!$A:$AJ,P$1,0)*$F209,0),IFERROR(VLOOKUP($G:$G,Structure!$A:$AJ,P$1,0)*$H209,0))</f>
        <v>0</v>
      </c>
      <c r="Q209" s="9">
        <f>SUM(IFERROR(VLOOKUP($C:$C,Structure!$A:$AJ,Q$1,0)*$D209,0),IFERROR(VLOOKUP($E:$E,Structure!$A:$AJ,Q$1,0)*$F209,0),IFERROR(VLOOKUP($G:$G,Structure!$A:$AJ,Q$1,0)*$H209,0))</f>
        <v>0</v>
      </c>
      <c r="R209" s="9">
        <f>SUM(IFERROR(VLOOKUP($C:$C,Structure!$A:$AJ,R$1,0)*$D209,0),IFERROR(VLOOKUP($E:$E,Structure!$A:$AJ,R$1,0)*$F209,0),IFERROR(VLOOKUP($G:$G,Structure!$A:$AJ,R$1,0)*$H209,0))</f>
        <v>0</v>
      </c>
      <c r="S209" s="9">
        <f>SUM(IFERROR(VLOOKUP($C:$C,Structure!$A:$AJ,S$1,0)*$D209,0),IFERROR(VLOOKUP($E:$E,Structure!$A:$AJ,S$1,0)*$F209,0),IFERROR(VLOOKUP($G:$G,Structure!$A:$AJ,S$1,0)*$H209,0))</f>
        <v>8</v>
      </c>
      <c r="T209" s="9">
        <f>SUM(IFERROR(VLOOKUP($C:$C,Structure!$A:$AJ,T$1,0)*$D209,0),IFERROR(VLOOKUP($E:$E,Structure!$A:$AJ,T$1,0)*$F209,0),IFERROR(VLOOKUP($G:$G,Structure!$A:$AJ,T$1,0)*$H209,0))</f>
        <v>0</v>
      </c>
      <c r="U209" s="9">
        <f>SUM(IFERROR(VLOOKUP($C:$C,Structure!$A:$AJ,U$1,0)*$D209,0),IFERROR(VLOOKUP($E:$E,Structure!$A:$AJ,U$1,0)*$F209,0),IFERROR(VLOOKUP($G:$G,Structure!$A:$AJ,U$1,0)*$H209,0))</f>
        <v>0</v>
      </c>
      <c r="V209" s="9">
        <f>SUM(IFERROR(VLOOKUP($C:$C,Structure!$A:$AJ,V$1,0)*$D209,0),IFERROR(VLOOKUP($E:$E,Structure!$A:$AJ,V$1,0)*$F209,0),IFERROR(VLOOKUP($G:$G,Structure!$A:$AJ,V$1,0)*$H209,0))</f>
        <v>0</v>
      </c>
      <c r="W209" s="9">
        <f>SUM(IFERROR(VLOOKUP($C:$C,Structure!$A:$AJ,W$1,0)*$D209,0),IFERROR(VLOOKUP($E:$E,Structure!$A:$AJ,W$1,0)*$F209,0),IFERROR(VLOOKUP($G:$G,Structure!$A:$AJ,W$1,0)*$H209,0))</f>
        <v>0</v>
      </c>
      <c r="X209" s="9">
        <f>SUM(IFERROR(VLOOKUP($C:$C,Structure!$A:$AJ,X$1,0)*$D209,0),IFERROR(VLOOKUP($E:$E,Structure!$A:$AJ,X$1,0)*$F209,0),IFERROR(VLOOKUP($G:$G,Structure!$A:$AJ,X$1,0)*$H209,0))</f>
        <v>0</v>
      </c>
      <c r="Y209" s="9">
        <f>SUM(IFERROR(VLOOKUP($C:$C,Structure!$A:$AJ,Y$1,0)*$D209,0),IFERROR(VLOOKUP($E:$E,Structure!$A:$AJ,Y$1,0)*$F209,0),IFERROR(VLOOKUP($G:$G,Structure!$A:$AJ,Y$1,0)*$H209,0))</f>
        <v>0</v>
      </c>
      <c r="Z209" s="9">
        <f>SUM(IFERROR(VLOOKUP($C:$C,Structure!$A:$AJ,Z$1,0)*$D209,0),IFERROR(VLOOKUP($E:$E,Structure!$A:$AJ,Z$1,0)*$F209,0),IFERROR(VLOOKUP($G:$G,Structure!$A:$AJ,Z$1,0)*$H209,0))</f>
        <v>0</v>
      </c>
      <c r="AA209" s="9">
        <f>SUM(IFERROR(VLOOKUP($C:$C,Structure!$A:$AJ,AA$1,0)*$D209,0),IFERROR(VLOOKUP($E:$E,Structure!$A:$AJ,AA$1,0)*$F209,0),IFERROR(VLOOKUP($G:$G,Structure!$A:$AJ,AA$1,0)*$H209,0))</f>
        <v>0</v>
      </c>
      <c r="AB209" s="9">
        <f>SUM(IFERROR(VLOOKUP($C:$C,Structure!$A:$AJ,AB$1,0)*$D209,0),IFERROR(VLOOKUP($E:$E,Structure!$A:$AJ,AB$1,0)*$F209,0),IFERROR(VLOOKUP($G:$G,Structure!$A:$AJ,AB$1,0)*$H209,0))</f>
        <v>0</v>
      </c>
      <c r="AC209" s="9">
        <f>SUM(IFERROR(VLOOKUP($C:$C,Structure!$A:$AJ,AC$1,0)*$D209,0),IFERROR(VLOOKUP($E:$E,Structure!$A:$AJ,AC$1,0)*$F209,0),IFERROR(VLOOKUP($G:$G,Structure!$A:$AJ,AC$1,0)*$H209,0))</f>
        <v>0</v>
      </c>
      <c r="AD209" s="9">
        <f>SUM(IFERROR(VLOOKUP($C:$C,Structure!$A:$AJ,AD$1,0)*$D209,0),IFERROR(VLOOKUP($E:$E,Structure!$A:$AJ,AD$1,0)*$F209,0),IFERROR(VLOOKUP($G:$G,Structure!$A:$AJ,AD$1,0)*$H209,0))</f>
        <v>0</v>
      </c>
      <c r="AE209" s="9">
        <f>SUM(IFERROR(VLOOKUP($C:$C,Structure!$A:$AJ,AE$1,0)*$D209,0),IFERROR(VLOOKUP($E:$E,Structure!$A:$AJ,AE$1,0)*$F209,0),IFERROR(VLOOKUP($G:$G,Structure!$A:$AJ,AE$1,0)*$H209,0))</f>
        <v>0</v>
      </c>
      <c r="AF209" s="9">
        <f>SUM(IFERROR(VLOOKUP($C:$C,Structure!$A:$AJ,AF$1,0)*$D209,0),IFERROR(VLOOKUP($E:$E,Structure!$A:$AJ,AF$1,0)*$F209,0),IFERROR(VLOOKUP($G:$G,Structure!$A:$AJ,AF$1,0)*$H209,0))</f>
        <v>0</v>
      </c>
      <c r="AG209" s="9">
        <f>SUM(IFERROR(VLOOKUP($C:$C,Structure!$A:$AJ,AG$1,0)*$D209,0),IFERROR(VLOOKUP($E:$E,Structure!$A:$AJ,AG$1,0)*$F209,0),IFERROR(VLOOKUP($G:$G,Structure!$A:$AJ,AG$1,0)*$H209,0))</f>
        <v>0</v>
      </c>
      <c r="AH209" s="9">
        <f>SUM(IFERROR(VLOOKUP($C:$C,Structure!$A:$AJ,AH$1,0)*$D209,0),IFERROR(VLOOKUP($E:$E,Structure!$A:$AJ,AH$1,0)*$F209,0),IFERROR(VLOOKUP($G:$G,Structure!$A:$AJ,AH$1,0)*$H209,0))</f>
        <v>0</v>
      </c>
      <c r="AI209" s="9">
        <f>SUM(IFERROR(VLOOKUP($C:$C,Structure!$A:$AJ,AI$1,0)*$D209,0),IFERROR(VLOOKUP($E:$E,Structure!$A:$AJ,AI$1,0)*$F209,0),IFERROR(VLOOKUP($G:$G,Structure!$A:$AJ,AI$1,0)*$H209,0))</f>
        <v>0</v>
      </c>
      <c r="AJ209" s="9">
        <f>SUM(IFERROR(VLOOKUP($C:$C,Structure!$A:$AJ,AJ$1,0)*$D209,0),IFERROR(VLOOKUP($E:$E,Structure!$A:$AJ,AJ$1,0)*$F209,0),IFERROR(VLOOKUP($G:$G,Structure!$A:$AJ,AJ$1,0)*$H209,0))</f>
        <v>0</v>
      </c>
      <c r="AK209" s="9">
        <f>SUM(IFERROR(VLOOKUP($C:$C,Structure!$A:$AJ,AK$1,0)*$D209,0),IFERROR(VLOOKUP($E:$E,Structure!$A:$AJ,AK$1,0)*$F209,0),IFERROR(VLOOKUP($G:$G,Structure!$A:$AJ,AK$1,0)*$H209,0))</f>
        <v>0</v>
      </c>
      <c r="AL209" s="9">
        <f>SUM(IFERROR(VLOOKUP($C:$C,Structure!$A:$AJ,AL$1,0)*$D209,0),IFERROR(VLOOKUP($E:$E,Structure!$A:$AJ,AL$1,0)*$F209,0),IFERROR(VLOOKUP($G:$G,Structure!$A:$AJ,AL$1,0)*$H209,0))</f>
        <v>0</v>
      </c>
      <c r="AM209" s="9">
        <f>SUM(IFERROR(VLOOKUP($C:$C,Structure!$A:$AJ,AM$1,0)*$D209,0),IFERROR(VLOOKUP($E:$E,Structure!$A:$AJ,AM$1,0)*$F209,0),IFERROR(VLOOKUP($G:$G,Structure!$A:$AJ,AM$1,0)*$H209,0))</f>
        <v>0</v>
      </c>
      <c r="AN209" s="9">
        <f>SUM(IFERROR(VLOOKUP($C:$C,Structure!$A:$AJ,AN$1,0)*$D209,0),IFERROR(VLOOKUP($E:$E,Structure!$A:$AJ,AN$1,0)*$F209,0),IFERROR(VLOOKUP($G:$G,Structure!$A:$AJ,AN$1,0)*$H209,0))</f>
        <v>0</v>
      </c>
      <c r="AO209" s="9">
        <f>SUM(IFERROR(VLOOKUP($C:$C,Structure!$A:$AJ,AO$1,0)*$D209,0),IFERROR(VLOOKUP($E:$E,Structure!$A:$AJ,AO$1,0)*$F209,0),IFERROR(VLOOKUP($G:$G,Structure!$A:$AJ,AO$1,0)*$H209,0))</f>
        <v>0</v>
      </c>
      <c r="AP209" s="9">
        <f>SUM(IFERROR(VLOOKUP($C:$C,Structure!$A:$AJ,AP$1,0)*$D209,0),IFERROR(VLOOKUP($E:$E,Structure!$A:$AJ,AP$1,0)*$F209,0),IFERROR(VLOOKUP($G:$G,Structure!$A:$AJ,AP$1,0)*$H209,0))</f>
        <v>0</v>
      </c>
      <c r="AQ209" s="9">
        <f>SUM(IFERROR(VLOOKUP($C:$C,Structure!$A:$AJ,AQ$1,0)*$D209,0),IFERROR(VLOOKUP($E:$E,Structure!$A:$AJ,AQ$1,0)*$F209,0),IFERROR(VLOOKUP($G:$G,Structure!$A:$AJ,AQ$1,0)*$H209,0))</f>
        <v>0</v>
      </c>
      <c r="AR209" s="21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4">
        <f t="shared" si="232"/>
        <v>0</v>
      </c>
      <c r="CE209" s="4">
        <f t="shared" si="233"/>
        <v>-180</v>
      </c>
      <c r="CF209" s="4">
        <f t="shared" si="234"/>
        <v>4</v>
      </c>
      <c r="CG209" s="4">
        <f t="shared" si="235"/>
        <v>11</v>
      </c>
      <c r="CH209" s="4">
        <f t="shared" si="236"/>
        <v>-7</v>
      </c>
      <c r="CI209" s="4">
        <f t="shared" si="237"/>
        <v>103</v>
      </c>
      <c r="CJ209" s="4">
        <f t="shared" si="238"/>
        <v>-173</v>
      </c>
      <c r="CK209" s="4">
        <f t="shared" si="239"/>
        <v>-1</v>
      </c>
      <c r="CL209" s="4">
        <f t="shared" si="240"/>
        <v>0</v>
      </c>
      <c r="CM209" s="4">
        <f t="shared" si="241"/>
        <v>6</v>
      </c>
      <c r="CN209" s="4">
        <f t="shared" si="242"/>
        <v>-60</v>
      </c>
      <c r="CO209" s="4">
        <f t="shared" si="243"/>
        <v>0</v>
      </c>
      <c r="CP209" s="4">
        <f t="shared" si="244"/>
        <v>67</v>
      </c>
      <c r="CQ209" s="4">
        <f t="shared" si="245"/>
        <v>-550</v>
      </c>
      <c r="CR209" s="4">
        <f t="shared" si="246"/>
        <v>12</v>
      </c>
      <c r="CS209" s="4">
        <f t="shared" si="247"/>
        <v>-48</v>
      </c>
      <c r="CT209" s="4">
        <f t="shared" si="248"/>
        <v>0</v>
      </c>
      <c r="CU209" s="4">
        <f t="shared" si="249"/>
        <v>0</v>
      </c>
      <c r="CV209" s="4">
        <f t="shared" si="250"/>
        <v>0</v>
      </c>
      <c r="CW209" s="4">
        <f t="shared" si="251"/>
        <v>0</v>
      </c>
      <c r="CX209" s="4">
        <f t="shared" si="252"/>
        <v>-543</v>
      </c>
      <c r="CY209" s="4">
        <f t="shared" si="253"/>
        <v>0</v>
      </c>
      <c r="CZ209" s="4">
        <f t="shared" si="254"/>
        <v>0</v>
      </c>
      <c r="DA209" s="4">
        <f t="shared" si="255"/>
        <v>0</v>
      </c>
      <c r="DB209" s="4">
        <f t="shared" si="256"/>
        <v>0</v>
      </c>
      <c r="DC209" s="4">
        <f t="shared" si="257"/>
        <v>0</v>
      </c>
      <c r="DD209" s="4">
        <f t="shared" si="258"/>
        <v>0</v>
      </c>
      <c r="DE209" s="4">
        <f t="shared" si="259"/>
        <v>0</v>
      </c>
      <c r="DF209" s="4">
        <f t="shared" si="260"/>
        <v>0</v>
      </c>
      <c r="DG209" s="4">
        <f t="shared" si="261"/>
        <v>0</v>
      </c>
      <c r="DH209" s="4">
        <f t="shared" si="262"/>
        <v>0</v>
      </c>
      <c r="DI209" s="4">
        <f t="shared" si="263"/>
        <v>0</v>
      </c>
      <c r="DJ209" s="4">
        <f t="shared" si="264"/>
        <v>0</v>
      </c>
      <c r="DK209" s="4">
        <f t="shared" si="265"/>
        <v>0</v>
      </c>
      <c r="DL209" s="4">
        <f t="shared" si="266"/>
        <v>0</v>
      </c>
    </row>
    <row r="210" spans="1:116" x14ac:dyDescent="0.25">
      <c r="A210" s="5">
        <v>46187</v>
      </c>
      <c r="B210" s="6">
        <v>0.62500000050204108</v>
      </c>
      <c r="C210" s="3"/>
      <c r="D210" s="3"/>
      <c r="E210" s="3" t="s">
        <v>57</v>
      </c>
      <c r="F210" s="3">
        <v>8</v>
      </c>
      <c r="G210" s="3"/>
      <c r="H210" s="9"/>
      <c r="I210" s="9">
        <f>SUM(IFERROR(VLOOKUP($C:$C,Structure!$A:$AJ,I$1,0)*$D210,0),IFERROR(VLOOKUP($E:$E,Structure!$A:$AJ,I$1,0)*$F210,0),IFERROR(VLOOKUP($G:$G,Structure!$A:$AJ,I$1,0)*$H210,0))</f>
        <v>0</v>
      </c>
      <c r="J210" s="9">
        <f>SUM(IFERROR(VLOOKUP($C:$C,Structure!$A:$AJ,J$1,0)*$D210,0),IFERROR(VLOOKUP($E:$E,Structure!$A:$AJ,J$1,0)*$F210,0),IFERROR(VLOOKUP($G:$G,Structure!$A:$AJ,J$1,0)*$H210,0))</f>
        <v>0</v>
      </c>
      <c r="K210" s="9">
        <f>SUM(IFERROR(VLOOKUP($C:$C,Structure!$A:$AJ,K$1,0)*$D210,0),IFERROR(VLOOKUP($E:$E,Structure!$A:$AJ,K$1,0)*$F210,0),IFERROR(VLOOKUP($G:$G,Structure!$A:$AJ,K$1,0)*$H210,0))</f>
        <v>0</v>
      </c>
      <c r="L210" s="9">
        <f>SUM(IFERROR(VLOOKUP($C:$C,Structure!$A:$AJ,L$1,0)*$D210,0),IFERROR(VLOOKUP($E:$E,Structure!$A:$AJ,L$1,0)*$F210,0),IFERROR(VLOOKUP($G:$G,Structure!$A:$AJ,L$1,0)*$H210,0))</f>
        <v>0</v>
      </c>
      <c r="M210" s="9">
        <f>SUM(IFERROR(VLOOKUP($C:$C,Structure!$A:$AJ,M$1,0)*$D210,0),IFERROR(VLOOKUP($E:$E,Structure!$A:$AJ,M$1,0)*$F210,0),IFERROR(VLOOKUP($G:$G,Structure!$A:$AJ,M$1,0)*$H210,0))</f>
        <v>0</v>
      </c>
      <c r="N210" s="9">
        <f>SUM(IFERROR(VLOOKUP($C:$C,Structure!$A:$AJ,N$1,0)*$D210,0),IFERROR(VLOOKUP($E:$E,Structure!$A:$AJ,N$1,0)*$F210,0),IFERROR(VLOOKUP($G:$G,Structure!$A:$AJ,N$1,0)*$H210,0))</f>
        <v>0</v>
      </c>
      <c r="O210" s="9">
        <f>SUM(IFERROR(VLOOKUP($C:$C,Structure!$A:$AJ,O$1,0)*$D210,0),IFERROR(VLOOKUP($E:$E,Structure!$A:$AJ,O$1,0)*$F210,0),IFERROR(VLOOKUP($G:$G,Structure!$A:$AJ,O$1,0)*$H210,0))</f>
        <v>8</v>
      </c>
      <c r="P210" s="9">
        <f>SUM(IFERROR(VLOOKUP($C:$C,Structure!$A:$AJ,P$1,0)*$D210,0),IFERROR(VLOOKUP($E:$E,Structure!$A:$AJ,P$1,0)*$F210,0),IFERROR(VLOOKUP($G:$G,Structure!$A:$AJ,P$1,0)*$H210,0))</f>
        <v>0</v>
      </c>
      <c r="Q210" s="9">
        <f>SUM(IFERROR(VLOOKUP($C:$C,Structure!$A:$AJ,Q$1,0)*$D210,0),IFERROR(VLOOKUP($E:$E,Structure!$A:$AJ,Q$1,0)*$F210,0),IFERROR(VLOOKUP($G:$G,Structure!$A:$AJ,Q$1,0)*$H210,0))</f>
        <v>0</v>
      </c>
      <c r="R210" s="9">
        <f>SUM(IFERROR(VLOOKUP($C:$C,Structure!$A:$AJ,R$1,0)*$D210,0),IFERROR(VLOOKUP($E:$E,Structure!$A:$AJ,R$1,0)*$F210,0),IFERROR(VLOOKUP($G:$G,Structure!$A:$AJ,R$1,0)*$H210,0))</f>
        <v>0</v>
      </c>
      <c r="S210" s="9">
        <f>SUM(IFERROR(VLOOKUP($C:$C,Structure!$A:$AJ,S$1,0)*$D210,0),IFERROR(VLOOKUP($E:$E,Structure!$A:$AJ,S$1,0)*$F210,0),IFERROR(VLOOKUP($G:$G,Structure!$A:$AJ,S$1,0)*$H210,0))</f>
        <v>8</v>
      </c>
      <c r="T210" s="9">
        <f>SUM(IFERROR(VLOOKUP($C:$C,Structure!$A:$AJ,T$1,0)*$D210,0),IFERROR(VLOOKUP($E:$E,Structure!$A:$AJ,T$1,0)*$F210,0),IFERROR(VLOOKUP($G:$G,Structure!$A:$AJ,T$1,0)*$H210,0))</f>
        <v>0</v>
      </c>
      <c r="U210" s="9">
        <f>SUM(IFERROR(VLOOKUP($C:$C,Structure!$A:$AJ,U$1,0)*$D210,0),IFERROR(VLOOKUP($E:$E,Structure!$A:$AJ,U$1,0)*$F210,0),IFERROR(VLOOKUP($G:$G,Structure!$A:$AJ,U$1,0)*$H210,0))</f>
        <v>0</v>
      </c>
      <c r="V210" s="9">
        <f>SUM(IFERROR(VLOOKUP($C:$C,Structure!$A:$AJ,V$1,0)*$D210,0),IFERROR(VLOOKUP($E:$E,Structure!$A:$AJ,V$1,0)*$F210,0),IFERROR(VLOOKUP($G:$G,Structure!$A:$AJ,V$1,0)*$H210,0))</f>
        <v>0</v>
      </c>
      <c r="W210" s="9">
        <f>SUM(IFERROR(VLOOKUP($C:$C,Structure!$A:$AJ,W$1,0)*$D210,0),IFERROR(VLOOKUP($E:$E,Structure!$A:$AJ,W$1,0)*$F210,0),IFERROR(VLOOKUP($G:$G,Structure!$A:$AJ,W$1,0)*$H210,0))</f>
        <v>0</v>
      </c>
      <c r="X210" s="9">
        <f>SUM(IFERROR(VLOOKUP($C:$C,Structure!$A:$AJ,X$1,0)*$D210,0),IFERROR(VLOOKUP($E:$E,Structure!$A:$AJ,X$1,0)*$F210,0),IFERROR(VLOOKUP($G:$G,Structure!$A:$AJ,X$1,0)*$H210,0))</f>
        <v>0</v>
      </c>
      <c r="Y210" s="9">
        <f>SUM(IFERROR(VLOOKUP($C:$C,Structure!$A:$AJ,Y$1,0)*$D210,0),IFERROR(VLOOKUP($E:$E,Structure!$A:$AJ,Y$1,0)*$F210,0),IFERROR(VLOOKUP($G:$G,Structure!$A:$AJ,Y$1,0)*$H210,0))</f>
        <v>0</v>
      </c>
      <c r="Z210" s="9">
        <f>SUM(IFERROR(VLOOKUP($C:$C,Structure!$A:$AJ,Z$1,0)*$D210,0),IFERROR(VLOOKUP($E:$E,Structure!$A:$AJ,Z$1,0)*$F210,0),IFERROR(VLOOKUP($G:$G,Structure!$A:$AJ,Z$1,0)*$H210,0))</f>
        <v>0</v>
      </c>
      <c r="AA210" s="9">
        <f>SUM(IFERROR(VLOOKUP($C:$C,Structure!$A:$AJ,AA$1,0)*$D210,0),IFERROR(VLOOKUP($E:$E,Structure!$A:$AJ,AA$1,0)*$F210,0),IFERROR(VLOOKUP($G:$G,Structure!$A:$AJ,AA$1,0)*$H210,0))</f>
        <v>0</v>
      </c>
      <c r="AB210" s="9">
        <f>SUM(IFERROR(VLOOKUP($C:$C,Structure!$A:$AJ,AB$1,0)*$D210,0),IFERROR(VLOOKUP($E:$E,Structure!$A:$AJ,AB$1,0)*$F210,0),IFERROR(VLOOKUP($G:$G,Structure!$A:$AJ,AB$1,0)*$H210,0))</f>
        <v>0</v>
      </c>
      <c r="AC210" s="9">
        <f>SUM(IFERROR(VLOOKUP($C:$C,Structure!$A:$AJ,AC$1,0)*$D210,0),IFERROR(VLOOKUP($E:$E,Structure!$A:$AJ,AC$1,0)*$F210,0),IFERROR(VLOOKUP($G:$G,Structure!$A:$AJ,AC$1,0)*$H210,0))</f>
        <v>0</v>
      </c>
      <c r="AD210" s="9">
        <f>SUM(IFERROR(VLOOKUP($C:$C,Structure!$A:$AJ,AD$1,0)*$D210,0),IFERROR(VLOOKUP($E:$E,Structure!$A:$AJ,AD$1,0)*$F210,0),IFERROR(VLOOKUP($G:$G,Structure!$A:$AJ,AD$1,0)*$H210,0))</f>
        <v>0</v>
      </c>
      <c r="AE210" s="9">
        <f>SUM(IFERROR(VLOOKUP($C:$C,Structure!$A:$AJ,AE$1,0)*$D210,0),IFERROR(VLOOKUP($E:$E,Structure!$A:$AJ,AE$1,0)*$F210,0),IFERROR(VLOOKUP($G:$G,Structure!$A:$AJ,AE$1,0)*$H210,0))</f>
        <v>0</v>
      </c>
      <c r="AF210" s="9">
        <f>SUM(IFERROR(VLOOKUP($C:$C,Structure!$A:$AJ,AF$1,0)*$D210,0),IFERROR(VLOOKUP($E:$E,Structure!$A:$AJ,AF$1,0)*$F210,0),IFERROR(VLOOKUP($G:$G,Structure!$A:$AJ,AF$1,0)*$H210,0))</f>
        <v>0</v>
      </c>
      <c r="AG210" s="9">
        <f>SUM(IFERROR(VLOOKUP($C:$C,Structure!$A:$AJ,AG$1,0)*$D210,0),IFERROR(VLOOKUP($E:$E,Structure!$A:$AJ,AG$1,0)*$F210,0),IFERROR(VLOOKUP($G:$G,Structure!$A:$AJ,AG$1,0)*$H210,0))</f>
        <v>0</v>
      </c>
      <c r="AH210" s="9">
        <f>SUM(IFERROR(VLOOKUP($C:$C,Structure!$A:$AJ,AH$1,0)*$D210,0),IFERROR(VLOOKUP($E:$E,Structure!$A:$AJ,AH$1,0)*$F210,0),IFERROR(VLOOKUP($G:$G,Structure!$A:$AJ,AH$1,0)*$H210,0))</f>
        <v>0</v>
      </c>
      <c r="AI210" s="9">
        <f>SUM(IFERROR(VLOOKUP($C:$C,Structure!$A:$AJ,AI$1,0)*$D210,0),IFERROR(VLOOKUP($E:$E,Structure!$A:$AJ,AI$1,0)*$F210,0),IFERROR(VLOOKUP($G:$G,Structure!$A:$AJ,AI$1,0)*$H210,0))</f>
        <v>0</v>
      </c>
      <c r="AJ210" s="9">
        <f>SUM(IFERROR(VLOOKUP($C:$C,Structure!$A:$AJ,AJ$1,0)*$D210,0),IFERROR(VLOOKUP($E:$E,Structure!$A:$AJ,AJ$1,0)*$F210,0),IFERROR(VLOOKUP($G:$G,Structure!$A:$AJ,AJ$1,0)*$H210,0))</f>
        <v>0</v>
      </c>
      <c r="AK210" s="9">
        <f>SUM(IFERROR(VLOOKUP($C:$C,Structure!$A:$AJ,AK$1,0)*$D210,0),IFERROR(VLOOKUP($E:$E,Structure!$A:$AJ,AK$1,0)*$F210,0),IFERROR(VLOOKUP($G:$G,Structure!$A:$AJ,AK$1,0)*$H210,0))</f>
        <v>0</v>
      </c>
      <c r="AL210" s="9">
        <f>SUM(IFERROR(VLOOKUP($C:$C,Structure!$A:$AJ,AL$1,0)*$D210,0),IFERROR(VLOOKUP($E:$E,Structure!$A:$AJ,AL$1,0)*$F210,0),IFERROR(VLOOKUP($G:$G,Structure!$A:$AJ,AL$1,0)*$H210,0))</f>
        <v>0</v>
      </c>
      <c r="AM210" s="9">
        <f>SUM(IFERROR(VLOOKUP($C:$C,Structure!$A:$AJ,AM$1,0)*$D210,0),IFERROR(VLOOKUP($E:$E,Structure!$A:$AJ,AM$1,0)*$F210,0),IFERROR(VLOOKUP($G:$G,Structure!$A:$AJ,AM$1,0)*$H210,0))</f>
        <v>0</v>
      </c>
      <c r="AN210" s="9">
        <f>SUM(IFERROR(VLOOKUP($C:$C,Structure!$A:$AJ,AN$1,0)*$D210,0),IFERROR(VLOOKUP($E:$E,Structure!$A:$AJ,AN$1,0)*$F210,0),IFERROR(VLOOKUP($G:$G,Structure!$A:$AJ,AN$1,0)*$H210,0))</f>
        <v>0</v>
      </c>
      <c r="AO210" s="9">
        <f>SUM(IFERROR(VLOOKUP($C:$C,Structure!$A:$AJ,AO$1,0)*$D210,0),IFERROR(VLOOKUP($E:$E,Structure!$A:$AJ,AO$1,0)*$F210,0),IFERROR(VLOOKUP($G:$G,Structure!$A:$AJ,AO$1,0)*$H210,0))</f>
        <v>0</v>
      </c>
      <c r="AP210" s="9">
        <f>SUM(IFERROR(VLOOKUP($C:$C,Structure!$A:$AJ,AP$1,0)*$D210,0),IFERROR(VLOOKUP($E:$E,Structure!$A:$AJ,AP$1,0)*$F210,0),IFERROR(VLOOKUP($G:$G,Structure!$A:$AJ,AP$1,0)*$H210,0))</f>
        <v>0</v>
      </c>
      <c r="AQ210" s="9">
        <f>SUM(IFERROR(VLOOKUP($C:$C,Structure!$A:$AJ,AQ$1,0)*$D210,0),IFERROR(VLOOKUP($E:$E,Structure!$A:$AJ,AQ$1,0)*$F210,0),IFERROR(VLOOKUP($G:$G,Structure!$A:$AJ,AQ$1,0)*$H210,0))</f>
        <v>0</v>
      </c>
      <c r="AR210" s="21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4">
        <f t="shared" si="232"/>
        <v>0</v>
      </c>
      <c r="CE210" s="4">
        <f t="shared" si="233"/>
        <v>-180</v>
      </c>
      <c r="CF210" s="4">
        <f t="shared" si="234"/>
        <v>4</v>
      </c>
      <c r="CG210" s="4">
        <f t="shared" si="235"/>
        <v>11</v>
      </c>
      <c r="CH210" s="4">
        <f t="shared" si="236"/>
        <v>-7</v>
      </c>
      <c r="CI210" s="4">
        <f t="shared" si="237"/>
        <v>103</v>
      </c>
      <c r="CJ210" s="4">
        <f t="shared" si="238"/>
        <v>-181</v>
      </c>
      <c r="CK210" s="4">
        <f t="shared" si="239"/>
        <v>-1</v>
      </c>
      <c r="CL210" s="4">
        <f t="shared" si="240"/>
        <v>0</v>
      </c>
      <c r="CM210" s="4">
        <f t="shared" si="241"/>
        <v>6</v>
      </c>
      <c r="CN210" s="4">
        <f t="shared" si="242"/>
        <v>-68</v>
      </c>
      <c r="CO210" s="4">
        <f t="shared" si="243"/>
        <v>0</v>
      </c>
      <c r="CP210" s="4">
        <f t="shared" si="244"/>
        <v>67</v>
      </c>
      <c r="CQ210" s="4">
        <f t="shared" si="245"/>
        <v>-550</v>
      </c>
      <c r="CR210" s="4">
        <f t="shared" si="246"/>
        <v>12</v>
      </c>
      <c r="CS210" s="4">
        <f t="shared" si="247"/>
        <v>-48</v>
      </c>
      <c r="CT210" s="4">
        <f t="shared" si="248"/>
        <v>0</v>
      </c>
      <c r="CU210" s="4">
        <f t="shared" si="249"/>
        <v>0</v>
      </c>
      <c r="CV210" s="4">
        <f t="shared" si="250"/>
        <v>0</v>
      </c>
      <c r="CW210" s="4">
        <f t="shared" si="251"/>
        <v>0</v>
      </c>
      <c r="CX210" s="4">
        <f t="shared" si="252"/>
        <v>-543</v>
      </c>
      <c r="CY210" s="4">
        <f t="shared" si="253"/>
        <v>0</v>
      </c>
      <c r="CZ210" s="4">
        <f t="shared" si="254"/>
        <v>0</v>
      </c>
      <c r="DA210" s="4">
        <f t="shared" si="255"/>
        <v>0</v>
      </c>
      <c r="DB210" s="4">
        <f t="shared" si="256"/>
        <v>0</v>
      </c>
      <c r="DC210" s="4">
        <f t="shared" si="257"/>
        <v>0</v>
      </c>
      <c r="DD210" s="4">
        <f t="shared" si="258"/>
        <v>0</v>
      </c>
      <c r="DE210" s="4">
        <f t="shared" si="259"/>
        <v>0</v>
      </c>
      <c r="DF210" s="4">
        <f t="shared" si="260"/>
        <v>0</v>
      </c>
      <c r="DG210" s="4">
        <f t="shared" si="261"/>
        <v>0</v>
      </c>
      <c r="DH210" s="4">
        <f t="shared" si="262"/>
        <v>0</v>
      </c>
      <c r="DI210" s="4">
        <f t="shared" si="263"/>
        <v>0</v>
      </c>
      <c r="DJ210" s="4">
        <f t="shared" si="264"/>
        <v>0</v>
      </c>
      <c r="DK210" s="4">
        <f t="shared" si="265"/>
        <v>0</v>
      </c>
      <c r="DL210" s="4">
        <f t="shared" si="266"/>
        <v>0</v>
      </c>
    </row>
    <row r="211" spans="1:116" x14ac:dyDescent="0.25">
      <c r="A211" s="5">
        <v>46187</v>
      </c>
      <c r="B211" s="6">
        <v>0.64583333383779973</v>
      </c>
      <c r="C211" s="3"/>
      <c r="D211" s="3"/>
      <c r="E211" s="3" t="s">
        <v>57</v>
      </c>
      <c r="F211" s="3">
        <v>8</v>
      </c>
      <c r="G211" s="3"/>
      <c r="H211" s="9"/>
      <c r="I211" s="9">
        <f>SUM(IFERROR(VLOOKUP($C:$C,Structure!$A:$AJ,I$1,0)*$D211,0),IFERROR(VLOOKUP($E:$E,Structure!$A:$AJ,I$1,0)*$F211,0),IFERROR(VLOOKUP($G:$G,Structure!$A:$AJ,I$1,0)*$H211,0))</f>
        <v>0</v>
      </c>
      <c r="J211" s="9">
        <f>SUM(IFERROR(VLOOKUP($C:$C,Structure!$A:$AJ,J$1,0)*$D211,0),IFERROR(VLOOKUP($E:$E,Structure!$A:$AJ,J$1,0)*$F211,0),IFERROR(VLOOKUP($G:$G,Structure!$A:$AJ,J$1,0)*$H211,0))</f>
        <v>0</v>
      </c>
      <c r="K211" s="9">
        <f>SUM(IFERROR(VLOOKUP($C:$C,Structure!$A:$AJ,K$1,0)*$D211,0),IFERROR(VLOOKUP($E:$E,Structure!$A:$AJ,K$1,0)*$F211,0),IFERROR(VLOOKUP($G:$G,Structure!$A:$AJ,K$1,0)*$H211,0))</f>
        <v>0</v>
      </c>
      <c r="L211" s="9">
        <f>SUM(IFERROR(VLOOKUP($C:$C,Structure!$A:$AJ,L$1,0)*$D211,0),IFERROR(VLOOKUP($E:$E,Structure!$A:$AJ,L$1,0)*$F211,0),IFERROR(VLOOKUP($G:$G,Structure!$A:$AJ,L$1,0)*$H211,0))</f>
        <v>0</v>
      </c>
      <c r="M211" s="9">
        <f>SUM(IFERROR(VLOOKUP($C:$C,Structure!$A:$AJ,M$1,0)*$D211,0),IFERROR(VLOOKUP($E:$E,Structure!$A:$AJ,M$1,0)*$F211,0),IFERROR(VLOOKUP($G:$G,Structure!$A:$AJ,M$1,0)*$H211,0))</f>
        <v>0</v>
      </c>
      <c r="N211" s="9">
        <f>SUM(IFERROR(VLOOKUP($C:$C,Structure!$A:$AJ,N$1,0)*$D211,0),IFERROR(VLOOKUP($E:$E,Structure!$A:$AJ,N$1,0)*$F211,0),IFERROR(VLOOKUP($G:$G,Structure!$A:$AJ,N$1,0)*$H211,0))</f>
        <v>0</v>
      </c>
      <c r="O211" s="9">
        <f>SUM(IFERROR(VLOOKUP($C:$C,Structure!$A:$AJ,O$1,0)*$D211,0),IFERROR(VLOOKUP($E:$E,Structure!$A:$AJ,O$1,0)*$F211,0),IFERROR(VLOOKUP($G:$G,Structure!$A:$AJ,O$1,0)*$H211,0))</f>
        <v>8</v>
      </c>
      <c r="P211" s="9">
        <f>SUM(IFERROR(VLOOKUP($C:$C,Structure!$A:$AJ,P$1,0)*$D211,0),IFERROR(VLOOKUP($E:$E,Structure!$A:$AJ,P$1,0)*$F211,0),IFERROR(VLOOKUP($G:$G,Structure!$A:$AJ,P$1,0)*$H211,0))</f>
        <v>0</v>
      </c>
      <c r="Q211" s="9">
        <f>SUM(IFERROR(VLOOKUP($C:$C,Structure!$A:$AJ,Q$1,0)*$D211,0),IFERROR(VLOOKUP($E:$E,Structure!$A:$AJ,Q$1,0)*$F211,0),IFERROR(VLOOKUP($G:$G,Structure!$A:$AJ,Q$1,0)*$H211,0))</f>
        <v>0</v>
      </c>
      <c r="R211" s="9">
        <f>SUM(IFERROR(VLOOKUP($C:$C,Structure!$A:$AJ,R$1,0)*$D211,0),IFERROR(VLOOKUP($E:$E,Structure!$A:$AJ,R$1,0)*$F211,0),IFERROR(VLOOKUP($G:$G,Structure!$A:$AJ,R$1,0)*$H211,0))</f>
        <v>0</v>
      </c>
      <c r="S211" s="9">
        <f>SUM(IFERROR(VLOOKUP($C:$C,Structure!$A:$AJ,S$1,0)*$D211,0),IFERROR(VLOOKUP($E:$E,Structure!$A:$AJ,S$1,0)*$F211,0),IFERROR(VLOOKUP($G:$G,Structure!$A:$AJ,S$1,0)*$H211,0))</f>
        <v>8</v>
      </c>
      <c r="T211" s="9">
        <f>SUM(IFERROR(VLOOKUP($C:$C,Structure!$A:$AJ,T$1,0)*$D211,0),IFERROR(VLOOKUP($E:$E,Structure!$A:$AJ,T$1,0)*$F211,0),IFERROR(VLOOKUP($G:$G,Structure!$A:$AJ,T$1,0)*$H211,0))</f>
        <v>0</v>
      </c>
      <c r="U211" s="9">
        <f>SUM(IFERROR(VLOOKUP($C:$C,Structure!$A:$AJ,U$1,0)*$D211,0),IFERROR(VLOOKUP($E:$E,Structure!$A:$AJ,U$1,0)*$F211,0),IFERROR(VLOOKUP($G:$G,Structure!$A:$AJ,U$1,0)*$H211,0))</f>
        <v>0</v>
      </c>
      <c r="V211" s="9">
        <f>SUM(IFERROR(VLOOKUP($C:$C,Structure!$A:$AJ,V$1,0)*$D211,0),IFERROR(VLOOKUP($E:$E,Structure!$A:$AJ,V$1,0)*$F211,0),IFERROR(VLOOKUP($G:$G,Structure!$A:$AJ,V$1,0)*$H211,0))</f>
        <v>0</v>
      </c>
      <c r="W211" s="9">
        <f>SUM(IFERROR(VLOOKUP($C:$C,Structure!$A:$AJ,W$1,0)*$D211,0),IFERROR(VLOOKUP($E:$E,Structure!$A:$AJ,W$1,0)*$F211,0),IFERROR(VLOOKUP($G:$G,Structure!$A:$AJ,W$1,0)*$H211,0))</f>
        <v>0</v>
      </c>
      <c r="X211" s="9">
        <f>SUM(IFERROR(VLOOKUP($C:$C,Structure!$A:$AJ,X$1,0)*$D211,0),IFERROR(VLOOKUP($E:$E,Structure!$A:$AJ,X$1,0)*$F211,0),IFERROR(VLOOKUP($G:$G,Structure!$A:$AJ,X$1,0)*$H211,0))</f>
        <v>0</v>
      </c>
      <c r="Y211" s="9">
        <f>SUM(IFERROR(VLOOKUP($C:$C,Structure!$A:$AJ,Y$1,0)*$D211,0),IFERROR(VLOOKUP($E:$E,Structure!$A:$AJ,Y$1,0)*$F211,0),IFERROR(VLOOKUP($G:$G,Structure!$A:$AJ,Y$1,0)*$H211,0))</f>
        <v>0</v>
      </c>
      <c r="Z211" s="9">
        <f>SUM(IFERROR(VLOOKUP($C:$C,Structure!$A:$AJ,Z$1,0)*$D211,0),IFERROR(VLOOKUP($E:$E,Structure!$A:$AJ,Z$1,0)*$F211,0),IFERROR(VLOOKUP($G:$G,Structure!$A:$AJ,Z$1,0)*$H211,0))</f>
        <v>0</v>
      </c>
      <c r="AA211" s="9">
        <f>SUM(IFERROR(VLOOKUP($C:$C,Structure!$A:$AJ,AA$1,0)*$D211,0),IFERROR(VLOOKUP($E:$E,Structure!$A:$AJ,AA$1,0)*$F211,0),IFERROR(VLOOKUP($G:$G,Structure!$A:$AJ,AA$1,0)*$H211,0))</f>
        <v>0</v>
      </c>
      <c r="AB211" s="9">
        <f>SUM(IFERROR(VLOOKUP($C:$C,Structure!$A:$AJ,AB$1,0)*$D211,0),IFERROR(VLOOKUP($E:$E,Structure!$A:$AJ,AB$1,0)*$F211,0),IFERROR(VLOOKUP($G:$G,Structure!$A:$AJ,AB$1,0)*$H211,0))</f>
        <v>0</v>
      </c>
      <c r="AC211" s="9">
        <f>SUM(IFERROR(VLOOKUP($C:$C,Structure!$A:$AJ,AC$1,0)*$D211,0),IFERROR(VLOOKUP($E:$E,Structure!$A:$AJ,AC$1,0)*$F211,0),IFERROR(VLOOKUP($G:$G,Structure!$A:$AJ,AC$1,0)*$H211,0))</f>
        <v>0</v>
      </c>
      <c r="AD211" s="9">
        <f>SUM(IFERROR(VLOOKUP($C:$C,Structure!$A:$AJ,AD$1,0)*$D211,0),IFERROR(VLOOKUP($E:$E,Structure!$A:$AJ,AD$1,0)*$F211,0),IFERROR(VLOOKUP($G:$G,Structure!$A:$AJ,AD$1,0)*$H211,0))</f>
        <v>0</v>
      </c>
      <c r="AE211" s="9">
        <f>SUM(IFERROR(VLOOKUP($C:$C,Structure!$A:$AJ,AE$1,0)*$D211,0),IFERROR(VLOOKUP($E:$E,Structure!$A:$AJ,AE$1,0)*$F211,0),IFERROR(VLOOKUP($G:$G,Structure!$A:$AJ,AE$1,0)*$H211,0))</f>
        <v>0</v>
      </c>
      <c r="AF211" s="9">
        <f>SUM(IFERROR(VLOOKUP($C:$C,Structure!$A:$AJ,AF$1,0)*$D211,0),IFERROR(VLOOKUP($E:$E,Structure!$A:$AJ,AF$1,0)*$F211,0),IFERROR(VLOOKUP($G:$G,Structure!$A:$AJ,AF$1,0)*$H211,0))</f>
        <v>0</v>
      </c>
      <c r="AG211" s="9">
        <f>SUM(IFERROR(VLOOKUP($C:$C,Structure!$A:$AJ,AG$1,0)*$D211,0),IFERROR(VLOOKUP($E:$E,Structure!$A:$AJ,AG$1,0)*$F211,0),IFERROR(VLOOKUP($G:$G,Structure!$A:$AJ,AG$1,0)*$H211,0))</f>
        <v>0</v>
      </c>
      <c r="AH211" s="9">
        <f>SUM(IFERROR(VLOOKUP($C:$C,Structure!$A:$AJ,AH$1,0)*$D211,0),IFERROR(VLOOKUP($E:$E,Structure!$A:$AJ,AH$1,0)*$F211,0),IFERROR(VLOOKUP($G:$G,Structure!$A:$AJ,AH$1,0)*$H211,0))</f>
        <v>0</v>
      </c>
      <c r="AI211" s="9">
        <f>SUM(IFERROR(VLOOKUP($C:$C,Structure!$A:$AJ,AI$1,0)*$D211,0),IFERROR(VLOOKUP($E:$E,Structure!$A:$AJ,AI$1,0)*$F211,0),IFERROR(VLOOKUP($G:$G,Structure!$A:$AJ,AI$1,0)*$H211,0))</f>
        <v>0</v>
      </c>
      <c r="AJ211" s="9">
        <f>SUM(IFERROR(VLOOKUP($C:$C,Structure!$A:$AJ,AJ$1,0)*$D211,0),IFERROR(VLOOKUP($E:$E,Structure!$A:$AJ,AJ$1,0)*$F211,0),IFERROR(VLOOKUP($G:$G,Structure!$A:$AJ,AJ$1,0)*$H211,0))</f>
        <v>0</v>
      </c>
      <c r="AK211" s="9">
        <f>SUM(IFERROR(VLOOKUP($C:$C,Structure!$A:$AJ,AK$1,0)*$D211,0),IFERROR(VLOOKUP($E:$E,Structure!$A:$AJ,AK$1,0)*$F211,0),IFERROR(VLOOKUP($G:$G,Structure!$A:$AJ,AK$1,0)*$H211,0))</f>
        <v>0</v>
      </c>
      <c r="AL211" s="9">
        <f>SUM(IFERROR(VLOOKUP($C:$C,Structure!$A:$AJ,AL$1,0)*$D211,0),IFERROR(VLOOKUP($E:$E,Structure!$A:$AJ,AL$1,0)*$F211,0),IFERROR(VLOOKUP($G:$G,Structure!$A:$AJ,AL$1,0)*$H211,0))</f>
        <v>0</v>
      </c>
      <c r="AM211" s="9">
        <f>SUM(IFERROR(VLOOKUP($C:$C,Structure!$A:$AJ,AM$1,0)*$D211,0),IFERROR(VLOOKUP($E:$E,Structure!$A:$AJ,AM$1,0)*$F211,0),IFERROR(VLOOKUP($G:$G,Structure!$A:$AJ,AM$1,0)*$H211,0))</f>
        <v>0</v>
      </c>
      <c r="AN211" s="9">
        <f>SUM(IFERROR(VLOOKUP($C:$C,Structure!$A:$AJ,AN$1,0)*$D211,0),IFERROR(VLOOKUP($E:$E,Structure!$A:$AJ,AN$1,0)*$F211,0),IFERROR(VLOOKUP($G:$G,Structure!$A:$AJ,AN$1,0)*$H211,0))</f>
        <v>0</v>
      </c>
      <c r="AO211" s="9">
        <f>SUM(IFERROR(VLOOKUP($C:$C,Structure!$A:$AJ,AO$1,0)*$D211,0),IFERROR(VLOOKUP($E:$E,Structure!$A:$AJ,AO$1,0)*$F211,0),IFERROR(VLOOKUP($G:$G,Structure!$A:$AJ,AO$1,0)*$H211,0))</f>
        <v>0</v>
      </c>
      <c r="AP211" s="9">
        <f>SUM(IFERROR(VLOOKUP($C:$C,Structure!$A:$AJ,AP$1,0)*$D211,0),IFERROR(VLOOKUP($E:$E,Structure!$A:$AJ,AP$1,0)*$F211,0),IFERROR(VLOOKUP($G:$G,Structure!$A:$AJ,AP$1,0)*$H211,0))</f>
        <v>0</v>
      </c>
      <c r="AQ211" s="9">
        <f>SUM(IFERROR(VLOOKUP($C:$C,Structure!$A:$AJ,AQ$1,0)*$D211,0),IFERROR(VLOOKUP($E:$E,Structure!$A:$AJ,AQ$1,0)*$F211,0),IFERROR(VLOOKUP($G:$G,Structure!$A:$AJ,AQ$1,0)*$H211,0))</f>
        <v>0</v>
      </c>
      <c r="AR211" s="21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4">
        <f t="shared" si="232"/>
        <v>0</v>
      </c>
      <c r="CE211" s="4">
        <f t="shared" si="233"/>
        <v>-180</v>
      </c>
      <c r="CF211" s="4">
        <f t="shared" si="234"/>
        <v>4</v>
      </c>
      <c r="CG211" s="4">
        <f t="shared" si="235"/>
        <v>11</v>
      </c>
      <c r="CH211" s="4">
        <f t="shared" si="236"/>
        <v>-7</v>
      </c>
      <c r="CI211" s="4">
        <f t="shared" si="237"/>
        <v>103</v>
      </c>
      <c r="CJ211" s="4">
        <f t="shared" si="238"/>
        <v>-189</v>
      </c>
      <c r="CK211" s="4">
        <f t="shared" si="239"/>
        <v>-1</v>
      </c>
      <c r="CL211" s="4">
        <f t="shared" si="240"/>
        <v>0</v>
      </c>
      <c r="CM211" s="4">
        <f t="shared" si="241"/>
        <v>6</v>
      </c>
      <c r="CN211" s="4">
        <f t="shared" si="242"/>
        <v>-76</v>
      </c>
      <c r="CO211" s="4">
        <f t="shared" si="243"/>
        <v>0</v>
      </c>
      <c r="CP211" s="4">
        <f t="shared" si="244"/>
        <v>67</v>
      </c>
      <c r="CQ211" s="4">
        <f t="shared" si="245"/>
        <v>-550</v>
      </c>
      <c r="CR211" s="4">
        <f t="shared" si="246"/>
        <v>12</v>
      </c>
      <c r="CS211" s="4">
        <f t="shared" si="247"/>
        <v>-48</v>
      </c>
      <c r="CT211" s="4">
        <f t="shared" si="248"/>
        <v>0</v>
      </c>
      <c r="CU211" s="4">
        <f t="shared" si="249"/>
        <v>0</v>
      </c>
      <c r="CV211" s="4">
        <f t="shared" si="250"/>
        <v>0</v>
      </c>
      <c r="CW211" s="4">
        <f t="shared" si="251"/>
        <v>0</v>
      </c>
      <c r="CX211" s="4">
        <f t="shared" si="252"/>
        <v>-543</v>
      </c>
      <c r="CY211" s="4">
        <f t="shared" si="253"/>
        <v>0</v>
      </c>
      <c r="CZ211" s="4">
        <f t="shared" si="254"/>
        <v>0</v>
      </c>
      <c r="DA211" s="4">
        <f t="shared" si="255"/>
        <v>0</v>
      </c>
      <c r="DB211" s="4">
        <f t="shared" si="256"/>
        <v>0</v>
      </c>
      <c r="DC211" s="4">
        <f t="shared" si="257"/>
        <v>0</v>
      </c>
      <c r="DD211" s="4">
        <f t="shared" si="258"/>
        <v>0</v>
      </c>
      <c r="DE211" s="4">
        <f t="shared" si="259"/>
        <v>0</v>
      </c>
      <c r="DF211" s="4">
        <f t="shared" si="260"/>
        <v>0</v>
      </c>
      <c r="DG211" s="4">
        <f t="shared" si="261"/>
        <v>0</v>
      </c>
      <c r="DH211" s="4">
        <f t="shared" si="262"/>
        <v>0</v>
      </c>
      <c r="DI211" s="4">
        <f t="shared" si="263"/>
        <v>0</v>
      </c>
      <c r="DJ211" s="4">
        <f t="shared" si="264"/>
        <v>0</v>
      </c>
      <c r="DK211" s="4">
        <f t="shared" si="265"/>
        <v>0</v>
      </c>
      <c r="DL211" s="4">
        <f t="shared" si="266"/>
        <v>0</v>
      </c>
    </row>
    <row r="212" spans="1:116" x14ac:dyDescent="0.25">
      <c r="A212" s="5">
        <v>46187</v>
      </c>
      <c r="B212" s="6">
        <v>0.66666666717355838</v>
      </c>
      <c r="C212" s="3"/>
      <c r="D212" s="3"/>
      <c r="E212" s="3" t="s">
        <v>57</v>
      </c>
      <c r="F212" s="3">
        <v>8</v>
      </c>
      <c r="G212" s="3"/>
      <c r="H212" s="9"/>
      <c r="I212" s="9">
        <f>SUM(IFERROR(VLOOKUP($C:$C,Structure!$A:$AJ,I$1,0)*$D212,0),IFERROR(VLOOKUP($E:$E,Structure!$A:$AJ,I$1,0)*$F212,0),IFERROR(VLOOKUP($G:$G,Structure!$A:$AJ,I$1,0)*$H212,0))</f>
        <v>0</v>
      </c>
      <c r="J212" s="9">
        <f>SUM(IFERROR(VLOOKUP($C:$C,Structure!$A:$AJ,J$1,0)*$D212,0),IFERROR(VLOOKUP($E:$E,Structure!$A:$AJ,J$1,0)*$F212,0),IFERROR(VLOOKUP($G:$G,Structure!$A:$AJ,J$1,0)*$H212,0))</f>
        <v>0</v>
      </c>
      <c r="K212" s="9">
        <f>SUM(IFERROR(VLOOKUP($C:$C,Structure!$A:$AJ,K$1,0)*$D212,0),IFERROR(VLOOKUP($E:$E,Structure!$A:$AJ,K$1,0)*$F212,0),IFERROR(VLOOKUP($G:$G,Structure!$A:$AJ,K$1,0)*$H212,0))</f>
        <v>0</v>
      </c>
      <c r="L212" s="9">
        <f>SUM(IFERROR(VLOOKUP($C:$C,Structure!$A:$AJ,L$1,0)*$D212,0),IFERROR(VLOOKUP($E:$E,Structure!$A:$AJ,L$1,0)*$F212,0),IFERROR(VLOOKUP($G:$G,Structure!$A:$AJ,L$1,0)*$H212,0))</f>
        <v>0</v>
      </c>
      <c r="M212" s="9">
        <f>SUM(IFERROR(VLOOKUP($C:$C,Structure!$A:$AJ,M$1,0)*$D212,0),IFERROR(VLOOKUP($E:$E,Structure!$A:$AJ,M$1,0)*$F212,0),IFERROR(VLOOKUP($G:$G,Structure!$A:$AJ,M$1,0)*$H212,0))</f>
        <v>0</v>
      </c>
      <c r="N212" s="9">
        <f>SUM(IFERROR(VLOOKUP($C:$C,Structure!$A:$AJ,N$1,0)*$D212,0),IFERROR(VLOOKUP($E:$E,Structure!$A:$AJ,N$1,0)*$F212,0),IFERROR(VLOOKUP($G:$G,Structure!$A:$AJ,N$1,0)*$H212,0))</f>
        <v>0</v>
      </c>
      <c r="O212" s="9">
        <f>SUM(IFERROR(VLOOKUP($C:$C,Structure!$A:$AJ,O$1,0)*$D212,0),IFERROR(VLOOKUP($E:$E,Structure!$A:$AJ,O$1,0)*$F212,0),IFERROR(VLOOKUP($G:$G,Structure!$A:$AJ,O$1,0)*$H212,0))</f>
        <v>8</v>
      </c>
      <c r="P212" s="9">
        <f>SUM(IFERROR(VLOOKUP($C:$C,Structure!$A:$AJ,P$1,0)*$D212,0),IFERROR(VLOOKUP($E:$E,Structure!$A:$AJ,P$1,0)*$F212,0),IFERROR(VLOOKUP($G:$G,Structure!$A:$AJ,P$1,0)*$H212,0))</f>
        <v>0</v>
      </c>
      <c r="Q212" s="9">
        <f>SUM(IFERROR(VLOOKUP($C:$C,Structure!$A:$AJ,Q$1,0)*$D212,0),IFERROR(VLOOKUP($E:$E,Structure!$A:$AJ,Q$1,0)*$F212,0),IFERROR(VLOOKUP($G:$G,Structure!$A:$AJ,Q$1,0)*$H212,0))</f>
        <v>0</v>
      </c>
      <c r="R212" s="9">
        <f>SUM(IFERROR(VLOOKUP($C:$C,Structure!$A:$AJ,R$1,0)*$D212,0),IFERROR(VLOOKUP($E:$E,Structure!$A:$AJ,R$1,0)*$F212,0),IFERROR(VLOOKUP($G:$G,Structure!$A:$AJ,R$1,0)*$H212,0))</f>
        <v>0</v>
      </c>
      <c r="S212" s="9">
        <f>SUM(IFERROR(VLOOKUP($C:$C,Structure!$A:$AJ,S$1,0)*$D212,0),IFERROR(VLOOKUP($E:$E,Structure!$A:$AJ,S$1,0)*$F212,0),IFERROR(VLOOKUP($G:$G,Structure!$A:$AJ,S$1,0)*$H212,0))</f>
        <v>8</v>
      </c>
      <c r="T212" s="9">
        <f>SUM(IFERROR(VLOOKUP($C:$C,Structure!$A:$AJ,T$1,0)*$D212,0),IFERROR(VLOOKUP($E:$E,Structure!$A:$AJ,T$1,0)*$F212,0),IFERROR(VLOOKUP($G:$G,Structure!$A:$AJ,T$1,0)*$H212,0))</f>
        <v>0</v>
      </c>
      <c r="U212" s="9">
        <f>SUM(IFERROR(VLOOKUP($C:$C,Structure!$A:$AJ,U$1,0)*$D212,0),IFERROR(VLOOKUP($E:$E,Structure!$A:$AJ,U$1,0)*$F212,0),IFERROR(VLOOKUP($G:$G,Structure!$A:$AJ,U$1,0)*$H212,0))</f>
        <v>0</v>
      </c>
      <c r="V212" s="9">
        <f>SUM(IFERROR(VLOOKUP($C:$C,Structure!$A:$AJ,V$1,0)*$D212,0),IFERROR(VLOOKUP($E:$E,Structure!$A:$AJ,V$1,0)*$F212,0),IFERROR(VLOOKUP($G:$G,Structure!$A:$AJ,V$1,0)*$H212,0))</f>
        <v>0</v>
      </c>
      <c r="W212" s="9">
        <f>SUM(IFERROR(VLOOKUP($C:$C,Structure!$A:$AJ,W$1,0)*$D212,0),IFERROR(VLOOKUP($E:$E,Structure!$A:$AJ,W$1,0)*$F212,0),IFERROR(VLOOKUP($G:$G,Structure!$A:$AJ,W$1,0)*$H212,0))</f>
        <v>0</v>
      </c>
      <c r="X212" s="9">
        <f>SUM(IFERROR(VLOOKUP($C:$C,Structure!$A:$AJ,X$1,0)*$D212,0),IFERROR(VLOOKUP($E:$E,Structure!$A:$AJ,X$1,0)*$F212,0),IFERROR(VLOOKUP($G:$G,Structure!$A:$AJ,X$1,0)*$H212,0))</f>
        <v>0</v>
      </c>
      <c r="Y212" s="9">
        <f>SUM(IFERROR(VLOOKUP($C:$C,Structure!$A:$AJ,Y$1,0)*$D212,0),IFERROR(VLOOKUP($E:$E,Structure!$A:$AJ,Y$1,0)*$F212,0),IFERROR(VLOOKUP($G:$G,Structure!$A:$AJ,Y$1,0)*$H212,0))</f>
        <v>0</v>
      </c>
      <c r="Z212" s="9">
        <f>SUM(IFERROR(VLOOKUP($C:$C,Structure!$A:$AJ,Z$1,0)*$D212,0),IFERROR(VLOOKUP($E:$E,Structure!$A:$AJ,Z$1,0)*$F212,0),IFERROR(VLOOKUP($G:$G,Structure!$A:$AJ,Z$1,0)*$H212,0))</f>
        <v>0</v>
      </c>
      <c r="AA212" s="9">
        <f>SUM(IFERROR(VLOOKUP($C:$C,Structure!$A:$AJ,AA$1,0)*$D212,0),IFERROR(VLOOKUP($E:$E,Structure!$A:$AJ,AA$1,0)*$F212,0),IFERROR(VLOOKUP($G:$G,Structure!$A:$AJ,AA$1,0)*$H212,0))</f>
        <v>0</v>
      </c>
      <c r="AB212" s="9">
        <f>SUM(IFERROR(VLOOKUP($C:$C,Structure!$A:$AJ,AB$1,0)*$D212,0),IFERROR(VLOOKUP($E:$E,Structure!$A:$AJ,AB$1,0)*$F212,0),IFERROR(VLOOKUP($G:$G,Structure!$A:$AJ,AB$1,0)*$H212,0))</f>
        <v>0</v>
      </c>
      <c r="AC212" s="9">
        <f>SUM(IFERROR(VLOOKUP($C:$C,Structure!$A:$AJ,AC$1,0)*$D212,0),IFERROR(VLOOKUP($E:$E,Structure!$A:$AJ,AC$1,0)*$F212,0),IFERROR(VLOOKUP($G:$G,Structure!$A:$AJ,AC$1,0)*$H212,0))</f>
        <v>0</v>
      </c>
      <c r="AD212" s="9">
        <f>SUM(IFERROR(VLOOKUP($C:$C,Structure!$A:$AJ,AD$1,0)*$D212,0),IFERROR(VLOOKUP($E:$E,Structure!$A:$AJ,AD$1,0)*$F212,0),IFERROR(VLOOKUP($G:$G,Structure!$A:$AJ,AD$1,0)*$H212,0))</f>
        <v>0</v>
      </c>
      <c r="AE212" s="9">
        <f>SUM(IFERROR(VLOOKUP($C:$C,Structure!$A:$AJ,AE$1,0)*$D212,0),IFERROR(VLOOKUP($E:$E,Structure!$A:$AJ,AE$1,0)*$F212,0),IFERROR(VLOOKUP($G:$G,Structure!$A:$AJ,AE$1,0)*$H212,0))</f>
        <v>0</v>
      </c>
      <c r="AF212" s="9">
        <f>SUM(IFERROR(VLOOKUP($C:$C,Structure!$A:$AJ,AF$1,0)*$D212,0),IFERROR(VLOOKUP($E:$E,Structure!$A:$AJ,AF$1,0)*$F212,0),IFERROR(VLOOKUP($G:$G,Structure!$A:$AJ,AF$1,0)*$H212,0))</f>
        <v>0</v>
      </c>
      <c r="AG212" s="9">
        <f>SUM(IFERROR(VLOOKUP($C:$C,Structure!$A:$AJ,AG$1,0)*$D212,0),IFERROR(VLOOKUP($E:$E,Structure!$A:$AJ,AG$1,0)*$F212,0),IFERROR(VLOOKUP($G:$G,Structure!$A:$AJ,AG$1,0)*$H212,0))</f>
        <v>0</v>
      </c>
      <c r="AH212" s="9">
        <f>SUM(IFERROR(VLOOKUP($C:$C,Structure!$A:$AJ,AH$1,0)*$D212,0),IFERROR(VLOOKUP($E:$E,Structure!$A:$AJ,AH$1,0)*$F212,0),IFERROR(VLOOKUP($G:$G,Structure!$A:$AJ,AH$1,0)*$H212,0))</f>
        <v>0</v>
      </c>
      <c r="AI212" s="9">
        <f>SUM(IFERROR(VLOOKUP($C:$C,Structure!$A:$AJ,AI$1,0)*$D212,0),IFERROR(VLOOKUP($E:$E,Structure!$A:$AJ,AI$1,0)*$F212,0),IFERROR(VLOOKUP($G:$G,Structure!$A:$AJ,AI$1,0)*$H212,0))</f>
        <v>0</v>
      </c>
      <c r="AJ212" s="9">
        <f>SUM(IFERROR(VLOOKUP($C:$C,Structure!$A:$AJ,AJ$1,0)*$D212,0),IFERROR(VLOOKUP($E:$E,Structure!$A:$AJ,AJ$1,0)*$F212,0),IFERROR(VLOOKUP($G:$G,Structure!$A:$AJ,AJ$1,0)*$H212,0))</f>
        <v>0</v>
      </c>
      <c r="AK212" s="9">
        <f>SUM(IFERROR(VLOOKUP($C:$C,Structure!$A:$AJ,AK$1,0)*$D212,0),IFERROR(VLOOKUP($E:$E,Structure!$A:$AJ,AK$1,0)*$F212,0),IFERROR(VLOOKUP($G:$G,Structure!$A:$AJ,AK$1,0)*$H212,0))</f>
        <v>0</v>
      </c>
      <c r="AL212" s="9">
        <f>SUM(IFERROR(VLOOKUP($C:$C,Structure!$A:$AJ,AL$1,0)*$D212,0),IFERROR(VLOOKUP($E:$E,Structure!$A:$AJ,AL$1,0)*$F212,0),IFERROR(VLOOKUP($G:$G,Structure!$A:$AJ,AL$1,0)*$H212,0))</f>
        <v>0</v>
      </c>
      <c r="AM212" s="9">
        <f>SUM(IFERROR(VLOOKUP($C:$C,Structure!$A:$AJ,AM$1,0)*$D212,0),IFERROR(VLOOKUP($E:$E,Structure!$A:$AJ,AM$1,0)*$F212,0),IFERROR(VLOOKUP($G:$G,Structure!$A:$AJ,AM$1,0)*$H212,0))</f>
        <v>0</v>
      </c>
      <c r="AN212" s="9">
        <f>SUM(IFERROR(VLOOKUP($C:$C,Structure!$A:$AJ,AN$1,0)*$D212,0),IFERROR(VLOOKUP($E:$E,Structure!$A:$AJ,AN$1,0)*$F212,0),IFERROR(VLOOKUP($G:$G,Structure!$A:$AJ,AN$1,0)*$H212,0))</f>
        <v>0</v>
      </c>
      <c r="AO212" s="9">
        <f>SUM(IFERROR(VLOOKUP($C:$C,Structure!$A:$AJ,AO$1,0)*$D212,0),IFERROR(VLOOKUP($E:$E,Structure!$A:$AJ,AO$1,0)*$F212,0),IFERROR(VLOOKUP($G:$G,Structure!$A:$AJ,AO$1,0)*$H212,0))</f>
        <v>0</v>
      </c>
      <c r="AP212" s="9">
        <f>SUM(IFERROR(VLOOKUP($C:$C,Structure!$A:$AJ,AP$1,0)*$D212,0),IFERROR(VLOOKUP($E:$E,Structure!$A:$AJ,AP$1,0)*$F212,0),IFERROR(VLOOKUP($G:$G,Structure!$A:$AJ,AP$1,0)*$H212,0))</f>
        <v>0</v>
      </c>
      <c r="AQ212" s="9">
        <f>SUM(IFERROR(VLOOKUP($C:$C,Structure!$A:$AJ,AQ$1,0)*$D212,0),IFERROR(VLOOKUP($E:$E,Structure!$A:$AJ,AQ$1,0)*$F212,0),IFERROR(VLOOKUP($G:$G,Structure!$A:$AJ,AQ$1,0)*$H212,0))</f>
        <v>0</v>
      </c>
      <c r="AR212" s="21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4">
        <f t="shared" si="232"/>
        <v>0</v>
      </c>
      <c r="CE212" s="4">
        <f t="shared" si="233"/>
        <v>-180</v>
      </c>
      <c r="CF212" s="4">
        <f t="shared" si="234"/>
        <v>4</v>
      </c>
      <c r="CG212" s="4">
        <f t="shared" si="235"/>
        <v>11</v>
      </c>
      <c r="CH212" s="4">
        <f t="shared" si="236"/>
        <v>-7</v>
      </c>
      <c r="CI212" s="4">
        <f t="shared" si="237"/>
        <v>103</v>
      </c>
      <c r="CJ212" s="4">
        <f t="shared" si="238"/>
        <v>-197</v>
      </c>
      <c r="CK212" s="4">
        <f t="shared" si="239"/>
        <v>-1</v>
      </c>
      <c r="CL212" s="4">
        <f t="shared" si="240"/>
        <v>0</v>
      </c>
      <c r="CM212" s="4">
        <f t="shared" si="241"/>
        <v>6</v>
      </c>
      <c r="CN212" s="4">
        <f t="shared" si="242"/>
        <v>-84</v>
      </c>
      <c r="CO212" s="4">
        <f t="shared" si="243"/>
        <v>0</v>
      </c>
      <c r="CP212" s="4">
        <f t="shared" si="244"/>
        <v>67</v>
      </c>
      <c r="CQ212" s="4">
        <f t="shared" si="245"/>
        <v>-550</v>
      </c>
      <c r="CR212" s="4">
        <f t="shared" si="246"/>
        <v>12</v>
      </c>
      <c r="CS212" s="4">
        <f t="shared" si="247"/>
        <v>-48</v>
      </c>
      <c r="CT212" s="4">
        <f t="shared" si="248"/>
        <v>0</v>
      </c>
      <c r="CU212" s="4">
        <f t="shared" si="249"/>
        <v>0</v>
      </c>
      <c r="CV212" s="4">
        <f t="shared" si="250"/>
        <v>0</v>
      </c>
      <c r="CW212" s="4">
        <f t="shared" si="251"/>
        <v>0</v>
      </c>
      <c r="CX212" s="4">
        <f t="shared" si="252"/>
        <v>-543</v>
      </c>
      <c r="CY212" s="4">
        <f t="shared" si="253"/>
        <v>0</v>
      </c>
      <c r="CZ212" s="4">
        <f t="shared" si="254"/>
        <v>0</v>
      </c>
      <c r="DA212" s="4">
        <f t="shared" si="255"/>
        <v>0</v>
      </c>
      <c r="DB212" s="4">
        <f t="shared" si="256"/>
        <v>0</v>
      </c>
      <c r="DC212" s="4">
        <f t="shared" si="257"/>
        <v>0</v>
      </c>
      <c r="DD212" s="4">
        <f t="shared" si="258"/>
        <v>0</v>
      </c>
      <c r="DE212" s="4">
        <f t="shared" si="259"/>
        <v>0</v>
      </c>
      <c r="DF212" s="4">
        <f t="shared" si="260"/>
        <v>0</v>
      </c>
      <c r="DG212" s="4">
        <f t="shared" si="261"/>
        <v>0</v>
      </c>
      <c r="DH212" s="4">
        <f t="shared" si="262"/>
        <v>0</v>
      </c>
      <c r="DI212" s="4">
        <f t="shared" si="263"/>
        <v>0</v>
      </c>
      <c r="DJ212" s="4">
        <f t="shared" si="264"/>
        <v>0</v>
      </c>
      <c r="DK212" s="4">
        <f t="shared" si="265"/>
        <v>0</v>
      </c>
      <c r="DL212" s="4">
        <f t="shared" si="266"/>
        <v>0</v>
      </c>
    </row>
    <row r="213" spans="1:116" x14ac:dyDescent="0.25">
      <c r="A213" s="5">
        <v>46187</v>
      </c>
      <c r="B213" s="6">
        <v>0.68750000050931703</v>
      </c>
      <c r="C213" s="3"/>
      <c r="D213" s="3"/>
      <c r="E213" s="3" t="s">
        <v>57</v>
      </c>
      <c r="F213" s="3">
        <v>8</v>
      </c>
      <c r="G213" s="3"/>
      <c r="H213" s="9"/>
      <c r="I213" s="9">
        <f>SUM(IFERROR(VLOOKUP($C:$C,Structure!$A:$AJ,I$1,0)*$D213,0),IFERROR(VLOOKUP($E:$E,Structure!$A:$AJ,I$1,0)*$F213,0),IFERROR(VLOOKUP($G:$G,Structure!$A:$AJ,I$1,0)*$H213,0))</f>
        <v>0</v>
      </c>
      <c r="J213" s="9">
        <f>SUM(IFERROR(VLOOKUP($C:$C,Structure!$A:$AJ,J$1,0)*$D213,0),IFERROR(VLOOKUP($E:$E,Structure!$A:$AJ,J$1,0)*$F213,0),IFERROR(VLOOKUP($G:$G,Structure!$A:$AJ,J$1,0)*$H213,0))</f>
        <v>0</v>
      </c>
      <c r="K213" s="9">
        <f>SUM(IFERROR(VLOOKUP($C:$C,Structure!$A:$AJ,K$1,0)*$D213,0),IFERROR(VLOOKUP($E:$E,Structure!$A:$AJ,K$1,0)*$F213,0),IFERROR(VLOOKUP($G:$G,Structure!$A:$AJ,K$1,0)*$H213,0))</f>
        <v>0</v>
      </c>
      <c r="L213" s="9">
        <f>SUM(IFERROR(VLOOKUP($C:$C,Structure!$A:$AJ,L$1,0)*$D213,0),IFERROR(VLOOKUP($E:$E,Structure!$A:$AJ,L$1,0)*$F213,0),IFERROR(VLOOKUP($G:$G,Structure!$A:$AJ,L$1,0)*$H213,0))</f>
        <v>0</v>
      </c>
      <c r="M213" s="9">
        <f>SUM(IFERROR(VLOOKUP($C:$C,Structure!$A:$AJ,M$1,0)*$D213,0),IFERROR(VLOOKUP($E:$E,Structure!$A:$AJ,M$1,0)*$F213,0),IFERROR(VLOOKUP($G:$G,Structure!$A:$AJ,M$1,0)*$H213,0))</f>
        <v>0</v>
      </c>
      <c r="N213" s="9">
        <f>SUM(IFERROR(VLOOKUP($C:$C,Structure!$A:$AJ,N$1,0)*$D213,0),IFERROR(VLOOKUP($E:$E,Structure!$A:$AJ,N$1,0)*$F213,0),IFERROR(VLOOKUP($G:$G,Structure!$A:$AJ,N$1,0)*$H213,0))</f>
        <v>0</v>
      </c>
      <c r="O213" s="9">
        <f>SUM(IFERROR(VLOOKUP($C:$C,Structure!$A:$AJ,O$1,0)*$D213,0),IFERROR(VLOOKUP($E:$E,Structure!$A:$AJ,O$1,0)*$F213,0),IFERROR(VLOOKUP($G:$G,Structure!$A:$AJ,O$1,0)*$H213,0))</f>
        <v>8</v>
      </c>
      <c r="P213" s="9">
        <f>SUM(IFERROR(VLOOKUP($C:$C,Structure!$A:$AJ,P$1,0)*$D213,0),IFERROR(VLOOKUP($E:$E,Structure!$A:$AJ,P$1,0)*$F213,0),IFERROR(VLOOKUP($G:$G,Structure!$A:$AJ,P$1,0)*$H213,0))</f>
        <v>0</v>
      </c>
      <c r="Q213" s="9">
        <f>SUM(IFERROR(VLOOKUP($C:$C,Structure!$A:$AJ,Q$1,0)*$D213,0),IFERROR(VLOOKUP($E:$E,Structure!$A:$AJ,Q$1,0)*$F213,0),IFERROR(VLOOKUP($G:$G,Structure!$A:$AJ,Q$1,0)*$H213,0))</f>
        <v>0</v>
      </c>
      <c r="R213" s="9">
        <f>SUM(IFERROR(VLOOKUP($C:$C,Structure!$A:$AJ,R$1,0)*$D213,0),IFERROR(VLOOKUP($E:$E,Structure!$A:$AJ,R$1,0)*$F213,0),IFERROR(VLOOKUP($G:$G,Structure!$A:$AJ,R$1,0)*$H213,0))</f>
        <v>0</v>
      </c>
      <c r="S213" s="9">
        <f>SUM(IFERROR(VLOOKUP($C:$C,Structure!$A:$AJ,S$1,0)*$D213,0),IFERROR(VLOOKUP($E:$E,Structure!$A:$AJ,S$1,0)*$F213,0),IFERROR(VLOOKUP($G:$G,Structure!$A:$AJ,S$1,0)*$H213,0))</f>
        <v>8</v>
      </c>
      <c r="T213" s="9">
        <f>SUM(IFERROR(VLOOKUP($C:$C,Structure!$A:$AJ,T$1,0)*$D213,0),IFERROR(VLOOKUP($E:$E,Structure!$A:$AJ,T$1,0)*$F213,0),IFERROR(VLOOKUP($G:$G,Structure!$A:$AJ,T$1,0)*$H213,0))</f>
        <v>0</v>
      </c>
      <c r="U213" s="9">
        <f>SUM(IFERROR(VLOOKUP($C:$C,Structure!$A:$AJ,U$1,0)*$D213,0),IFERROR(VLOOKUP($E:$E,Structure!$A:$AJ,U$1,0)*$F213,0),IFERROR(VLOOKUP($G:$G,Structure!$A:$AJ,U$1,0)*$H213,0))</f>
        <v>0</v>
      </c>
      <c r="V213" s="9">
        <f>SUM(IFERROR(VLOOKUP($C:$C,Structure!$A:$AJ,V$1,0)*$D213,0),IFERROR(VLOOKUP($E:$E,Structure!$A:$AJ,V$1,0)*$F213,0),IFERROR(VLOOKUP($G:$G,Structure!$A:$AJ,V$1,0)*$H213,0))</f>
        <v>0</v>
      </c>
      <c r="W213" s="9">
        <f>SUM(IFERROR(VLOOKUP($C:$C,Structure!$A:$AJ,W$1,0)*$D213,0),IFERROR(VLOOKUP($E:$E,Structure!$A:$AJ,W$1,0)*$F213,0),IFERROR(VLOOKUP($G:$G,Structure!$A:$AJ,W$1,0)*$H213,0))</f>
        <v>0</v>
      </c>
      <c r="X213" s="9">
        <f>SUM(IFERROR(VLOOKUP($C:$C,Structure!$A:$AJ,X$1,0)*$D213,0),IFERROR(VLOOKUP($E:$E,Structure!$A:$AJ,X$1,0)*$F213,0),IFERROR(VLOOKUP($G:$G,Structure!$A:$AJ,X$1,0)*$H213,0))</f>
        <v>0</v>
      </c>
      <c r="Y213" s="9">
        <f>SUM(IFERROR(VLOOKUP($C:$C,Structure!$A:$AJ,Y$1,0)*$D213,0),IFERROR(VLOOKUP($E:$E,Structure!$A:$AJ,Y$1,0)*$F213,0),IFERROR(VLOOKUP($G:$G,Structure!$A:$AJ,Y$1,0)*$H213,0))</f>
        <v>0</v>
      </c>
      <c r="Z213" s="9">
        <f>SUM(IFERROR(VLOOKUP($C:$C,Structure!$A:$AJ,Z$1,0)*$D213,0),IFERROR(VLOOKUP($E:$E,Structure!$A:$AJ,Z$1,0)*$F213,0),IFERROR(VLOOKUP($G:$G,Structure!$A:$AJ,Z$1,0)*$H213,0))</f>
        <v>0</v>
      </c>
      <c r="AA213" s="9">
        <f>SUM(IFERROR(VLOOKUP($C:$C,Structure!$A:$AJ,AA$1,0)*$D213,0),IFERROR(VLOOKUP($E:$E,Structure!$A:$AJ,AA$1,0)*$F213,0),IFERROR(VLOOKUP($G:$G,Structure!$A:$AJ,AA$1,0)*$H213,0))</f>
        <v>0</v>
      </c>
      <c r="AB213" s="9">
        <f>SUM(IFERROR(VLOOKUP($C:$C,Structure!$A:$AJ,AB$1,0)*$D213,0),IFERROR(VLOOKUP($E:$E,Structure!$A:$AJ,AB$1,0)*$F213,0),IFERROR(VLOOKUP($G:$G,Structure!$A:$AJ,AB$1,0)*$H213,0))</f>
        <v>0</v>
      </c>
      <c r="AC213" s="9">
        <f>SUM(IFERROR(VLOOKUP($C:$C,Structure!$A:$AJ,AC$1,0)*$D213,0),IFERROR(VLOOKUP($E:$E,Structure!$A:$AJ,AC$1,0)*$F213,0),IFERROR(VLOOKUP($G:$G,Structure!$A:$AJ,AC$1,0)*$H213,0))</f>
        <v>0</v>
      </c>
      <c r="AD213" s="9">
        <f>SUM(IFERROR(VLOOKUP($C:$C,Structure!$A:$AJ,AD$1,0)*$D213,0),IFERROR(VLOOKUP($E:$E,Structure!$A:$AJ,AD$1,0)*$F213,0),IFERROR(VLOOKUP($G:$G,Structure!$A:$AJ,AD$1,0)*$H213,0))</f>
        <v>0</v>
      </c>
      <c r="AE213" s="9">
        <f>SUM(IFERROR(VLOOKUP($C:$C,Structure!$A:$AJ,AE$1,0)*$D213,0),IFERROR(VLOOKUP($E:$E,Structure!$A:$AJ,AE$1,0)*$F213,0),IFERROR(VLOOKUP($G:$G,Structure!$A:$AJ,AE$1,0)*$H213,0))</f>
        <v>0</v>
      </c>
      <c r="AF213" s="9">
        <f>SUM(IFERROR(VLOOKUP($C:$C,Structure!$A:$AJ,AF$1,0)*$D213,0),IFERROR(VLOOKUP($E:$E,Structure!$A:$AJ,AF$1,0)*$F213,0),IFERROR(VLOOKUP($G:$G,Structure!$A:$AJ,AF$1,0)*$H213,0))</f>
        <v>0</v>
      </c>
      <c r="AG213" s="9">
        <f>SUM(IFERROR(VLOOKUP($C:$C,Structure!$A:$AJ,AG$1,0)*$D213,0),IFERROR(VLOOKUP($E:$E,Structure!$A:$AJ,AG$1,0)*$F213,0),IFERROR(VLOOKUP($G:$G,Structure!$A:$AJ,AG$1,0)*$H213,0))</f>
        <v>0</v>
      </c>
      <c r="AH213" s="9">
        <f>SUM(IFERROR(VLOOKUP($C:$C,Structure!$A:$AJ,AH$1,0)*$D213,0),IFERROR(VLOOKUP($E:$E,Structure!$A:$AJ,AH$1,0)*$F213,0),IFERROR(VLOOKUP($G:$G,Structure!$A:$AJ,AH$1,0)*$H213,0))</f>
        <v>0</v>
      </c>
      <c r="AI213" s="9">
        <f>SUM(IFERROR(VLOOKUP($C:$C,Structure!$A:$AJ,AI$1,0)*$D213,0),IFERROR(VLOOKUP($E:$E,Structure!$A:$AJ,AI$1,0)*$F213,0),IFERROR(VLOOKUP($G:$G,Structure!$A:$AJ,AI$1,0)*$H213,0))</f>
        <v>0</v>
      </c>
      <c r="AJ213" s="9">
        <f>SUM(IFERROR(VLOOKUP($C:$C,Structure!$A:$AJ,AJ$1,0)*$D213,0),IFERROR(VLOOKUP($E:$E,Structure!$A:$AJ,AJ$1,0)*$F213,0),IFERROR(VLOOKUP($G:$G,Structure!$A:$AJ,AJ$1,0)*$H213,0))</f>
        <v>0</v>
      </c>
      <c r="AK213" s="9">
        <f>SUM(IFERROR(VLOOKUP($C:$C,Structure!$A:$AJ,AK$1,0)*$D213,0),IFERROR(VLOOKUP($E:$E,Structure!$A:$AJ,AK$1,0)*$F213,0),IFERROR(VLOOKUP($G:$G,Structure!$A:$AJ,AK$1,0)*$H213,0))</f>
        <v>0</v>
      </c>
      <c r="AL213" s="9">
        <f>SUM(IFERROR(VLOOKUP($C:$C,Structure!$A:$AJ,AL$1,0)*$D213,0),IFERROR(VLOOKUP($E:$E,Structure!$A:$AJ,AL$1,0)*$F213,0),IFERROR(VLOOKUP($G:$G,Structure!$A:$AJ,AL$1,0)*$H213,0))</f>
        <v>0</v>
      </c>
      <c r="AM213" s="9">
        <f>SUM(IFERROR(VLOOKUP($C:$C,Structure!$A:$AJ,AM$1,0)*$D213,0),IFERROR(VLOOKUP($E:$E,Structure!$A:$AJ,AM$1,0)*$F213,0),IFERROR(VLOOKUP($G:$G,Structure!$A:$AJ,AM$1,0)*$H213,0))</f>
        <v>0</v>
      </c>
      <c r="AN213" s="9">
        <f>SUM(IFERROR(VLOOKUP($C:$C,Structure!$A:$AJ,AN$1,0)*$D213,0),IFERROR(VLOOKUP($E:$E,Structure!$A:$AJ,AN$1,0)*$F213,0),IFERROR(VLOOKUP($G:$G,Structure!$A:$AJ,AN$1,0)*$H213,0))</f>
        <v>0</v>
      </c>
      <c r="AO213" s="9">
        <f>SUM(IFERROR(VLOOKUP($C:$C,Structure!$A:$AJ,AO$1,0)*$D213,0),IFERROR(VLOOKUP($E:$E,Structure!$A:$AJ,AO$1,0)*$F213,0),IFERROR(VLOOKUP($G:$G,Structure!$A:$AJ,AO$1,0)*$H213,0))</f>
        <v>0</v>
      </c>
      <c r="AP213" s="9">
        <f>SUM(IFERROR(VLOOKUP($C:$C,Structure!$A:$AJ,AP$1,0)*$D213,0),IFERROR(VLOOKUP($E:$E,Structure!$A:$AJ,AP$1,0)*$F213,0),IFERROR(VLOOKUP($G:$G,Structure!$A:$AJ,AP$1,0)*$H213,0))</f>
        <v>0</v>
      </c>
      <c r="AQ213" s="9">
        <f>SUM(IFERROR(VLOOKUP($C:$C,Structure!$A:$AJ,AQ$1,0)*$D213,0),IFERROR(VLOOKUP($E:$E,Structure!$A:$AJ,AQ$1,0)*$F213,0),IFERROR(VLOOKUP($G:$G,Structure!$A:$AJ,AQ$1,0)*$H213,0))</f>
        <v>0</v>
      </c>
      <c r="AR213" s="21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4">
        <f t="shared" si="232"/>
        <v>0</v>
      </c>
      <c r="CE213" s="4">
        <f t="shared" si="233"/>
        <v>-180</v>
      </c>
      <c r="CF213" s="4">
        <f t="shared" si="234"/>
        <v>4</v>
      </c>
      <c r="CG213" s="4">
        <f t="shared" si="235"/>
        <v>11</v>
      </c>
      <c r="CH213" s="4">
        <f t="shared" si="236"/>
        <v>-7</v>
      </c>
      <c r="CI213" s="4">
        <f t="shared" si="237"/>
        <v>103</v>
      </c>
      <c r="CJ213" s="4">
        <f t="shared" si="238"/>
        <v>-205</v>
      </c>
      <c r="CK213" s="4">
        <f t="shared" si="239"/>
        <v>-1</v>
      </c>
      <c r="CL213" s="4">
        <f t="shared" si="240"/>
        <v>0</v>
      </c>
      <c r="CM213" s="4">
        <f t="shared" si="241"/>
        <v>6</v>
      </c>
      <c r="CN213" s="4">
        <f t="shared" si="242"/>
        <v>-92</v>
      </c>
      <c r="CO213" s="4">
        <f t="shared" si="243"/>
        <v>0</v>
      </c>
      <c r="CP213" s="4">
        <f t="shared" si="244"/>
        <v>67</v>
      </c>
      <c r="CQ213" s="4">
        <f t="shared" si="245"/>
        <v>-550</v>
      </c>
      <c r="CR213" s="4">
        <f t="shared" si="246"/>
        <v>12</v>
      </c>
      <c r="CS213" s="4">
        <f t="shared" si="247"/>
        <v>-48</v>
      </c>
      <c r="CT213" s="4">
        <f t="shared" si="248"/>
        <v>0</v>
      </c>
      <c r="CU213" s="4">
        <f t="shared" si="249"/>
        <v>0</v>
      </c>
      <c r="CV213" s="4">
        <f t="shared" si="250"/>
        <v>0</v>
      </c>
      <c r="CW213" s="4">
        <f t="shared" si="251"/>
        <v>0</v>
      </c>
      <c r="CX213" s="4">
        <f t="shared" si="252"/>
        <v>-543</v>
      </c>
      <c r="CY213" s="4">
        <f t="shared" si="253"/>
        <v>0</v>
      </c>
      <c r="CZ213" s="4">
        <f t="shared" si="254"/>
        <v>0</v>
      </c>
      <c r="DA213" s="4">
        <f t="shared" si="255"/>
        <v>0</v>
      </c>
      <c r="DB213" s="4">
        <f t="shared" si="256"/>
        <v>0</v>
      </c>
      <c r="DC213" s="4">
        <f t="shared" si="257"/>
        <v>0</v>
      </c>
      <c r="DD213" s="4">
        <f t="shared" si="258"/>
        <v>0</v>
      </c>
      <c r="DE213" s="4">
        <f t="shared" si="259"/>
        <v>0</v>
      </c>
      <c r="DF213" s="4">
        <f t="shared" si="260"/>
        <v>0</v>
      </c>
      <c r="DG213" s="4">
        <f t="shared" si="261"/>
        <v>0</v>
      </c>
      <c r="DH213" s="4">
        <f t="shared" si="262"/>
        <v>0</v>
      </c>
      <c r="DI213" s="4">
        <f t="shared" si="263"/>
        <v>0</v>
      </c>
      <c r="DJ213" s="4">
        <f t="shared" si="264"/>
        <v>0</v>
      </c>
      <c r="DK213" s="4">
        <f t="shared" si="265"/>
        <v>0</v>
      </c>
      <c r="DL213" s="4">
        <f t="shared" si="266"/>
        <v>0</v>
      </c>
    </row>
    <row r="214" spans="1:116" x14ac:dyDescent="0.25">
      <c r="A214" s="5">
        <v>46187</v>
      </c>
      <c r="B214" s="6">
        <v>0.70833333384507569</v>
      </c>
      <c r="C214" s="3"/>
      <c r="D214" s="3"/>
      <c r="E214" s="3" t="s">
        <v>57</v>
      </c>
      <c r="F214" s="3">
        <v>8</v>
      </c>
      <c r="G214" s="3"/>
      <c r="H214" s="9"/>
      <c r="I214" s="9">
        <f>SUM(IFERROR(VLOOKUP($C:$C,Structure!$A:$AJ,I$1,0)*$D214,0),IFERROR(VLOOKUP($E:$E,Structure!$A:$AJ,I$1,0)*$F214,0),IFERROR(VLOOKUP($G:$G,Structure!$A:$AJ,I$1,0)*$H214,0))</f>
        <v>0</v>
      </c>
      <c r="J214" s="9">
        <f>SUM(IFERROR(VLOOKUP($C:$C,Structure!$A:$AJ,J$1,0)*$D214,0),IFERROR(VLOOKUP($E:$E,Structure!$A:$AJ,J$1,0)*$F214,0),IFERROR(VLOOKUP($G:$G,Structure!$A:$AJ,J$1,0)*$H214,0))</f>
        <v>0</v>
      </c>
      <c r="K214" s="9">
        <f>SUM(IFERROR(VLOOKUP($C:$C,Structure!$A:$AJ,K$1,0)*$D214,0),IFERROR(VLOOKUP($E:$E,Structure!$A:$AJ,K$1,0)*$F214,0),IFERROR(VLOOKUP($G:$G,Structure!$A:$AJ,K$1,0)*$H214,0))</f>
        <v>0</v>
      </c>
      <c r="L214" s="9">
        <f>SUM(IFERROR(VLOOKUP($C:$C,Structure!$A:$AJ,L$1,0)*$D214,0),IFERROR(VLOOKUP($E:$E,Structure!$A:$AJ,L$1,0)*$F214,0),IFERROR(VLOOKUP($G:$G,Structure!$A:$AJ,L$1,0)*$H214,0))</f>
        <v>0</v>
      </c>
      <c r="M214" s="9">
        <f>SUM(IFERROR(VLOOKUP($C:$C,Structure!$A:$AJ,M$1,0)*$D214,0),IFERROR(VLOOKUP($E:$E,Structure!$A:$AJ,M$1,0)*$F214,0),IFERROR(VLOOKUP($G:$G,Structure!$A:$AJ,M$1,0)*$H214,0))</f>
        <v>0</v>
      </c>
      <c r="N214" s="9">
        <f>SUM(IFERROR(VLOOKUP($C:$C,Structure!$A:$AJ,N$1,0)*$D214,0),IFERROR(VLOOKUP($E:$E,Structure!$A:$AJ,N$1,0)*$F214,0),IFERROR(VLOOKUP($G:$G,Structure!$A:$AJ,N$1,0)*$H214,0))</f>
        <v>0</v>
      </c>
      <c r="O214" s="9">
        <f>SUM(IFERROR(VLOOKUP($C:$C,Structure!$A:$AJ,O$1,0)*$D214,0),IFERROR(VLOOKUP($E:$E,Structure!$A:$AJ,O$1,0)*$F214,0),IFERROR(VLOOKUP($G:$G,Structure!$A:$AJ,O$1,0)*$H214,0))</f>
        <v>8</v>
      </c>
      <c r="P214" s="9">
        <f>SUM(IFERROR(VLOOKUP($C:$C,Structure!$A:$AJ,P$1,0)*$D214,0),IFERROR(VLOOKUP($E:$E,Structure!$A:$AJ,P$1,0)*$F214,0),IFERROR(VLOOKUP($G:$G,Structure!$A:$AJ,P$1,0)*$H214,0))</f>
        <v>0</v>
      </c>
      <c r="Q214" s="9">
        <f>SUM(IFERROR(VLOOKUP($C:$C,Structure!$A:$AJ,Q$1,0)*$D214,0),IFERROR(VLOOKUP($E:$E,Structure!$A:$AJ,Q$1,0)*$F214,0),IFERROR(VLOOKUP($G:$G,Structure!$A:$AJ,Q$1,0)*$H214,0))</f>
        <v>0</v>
      </c>
      <c r="R214" s="9">
        <f>SUM(IFERROR(VLOOKUP($C:$C,Structure!$A:$AJ,R$1,0)*$D214,0),IFERROR(VLOOKUP($E:$E,Structure!$A:$AJ,R$1,0)*$F214,0),IFERROR(VLOOKUP($G:$G,Structure!$A:$AJ,R$1,0)*$H214,0))</f>
        <v>0</v>
      </c>
      <c r="S214" s="9">
        <f>SUM(IFERROR(VLOOKUP($C:$C,Structure!$A:$AJ,S$1,0)*$D214,0),IFERROR(VLOOKUP($E:$E,Structure!$A:$AJ,S$1,0)*$F214,0),IFERROR(VLOOKUP($G:$G,Structure!$A:$AJ,S$1,0)*$H214,0))</f>
        <v>8</v>
      </c>
      <c r="T214" s="9">
        <f>SUM(IFERROR(VLOOKUP($C:$C,Structure!$A:$AJ,T$1,0)*$D214,0),IFERROR(VLOOKUP($E:$E,Structure!$A:$AJ,T$1,0)*$F214,0),IFERROR(VLOOKUP($G:$G,Structure!$A:$AJ,T$1,0)*$H214,0))</f>
        <v>0</v>
      </c>
      <c r="U214" s="9">
        <f>SUM(IFERROR(VLOOKUP($C:$C,Structure!$A:$AJ,U$1,0)*$D214,0),IFERROR(VLOOKUP($E:$E,Structure!$A:$AJ,U$1,0)*$F214,0),IFERROR(VLOOKUP($G:$G,Structure!$A:$AJ,U$1,0)*$H214,0))</f>
        <v>0</v>
      </c>
      <c r="V214" s="9">
        <f>SUM(IFERROR(VLOOKUP($C:$C,Structure!$A:$AJ,V$1,0)*$D214,0),IFERROR(VLOOKUP($E:$E,Structure!$A:$AJ,V$1,0)*$F214,0),IFERROR(VLOOKUP($G:$G,Structure!$A:$AJ,V$1,0)*$H214,0))</f>
        <v>0</v>
      </c>
      <c r="W214" s="9">
        <f>SUM(IFERROR(VLOOKUP($C:$C,Structure!$A:$AJ,W$1,0)*$D214,0),IFERROR(VLOOKUP($E:$E,Structure!$A:$AJ,W$1,0)*$F214,0),IFERROR(VLOOKUP($G:$G,Structure!$A:$AJ,W$1,0)*$H214,0))</f>
        <v>0</v>
      </c>
      <c r="X214" s="9">
        <f>SUM(IFERROR(VLOOKUP($C:$C,Structure!$A:$AJ,X$1,0)*$D214,0),IFERROR(VLOOKUP($E:$E,Structure!$A:$AJ,X$1,0)*$F214,0),IFERROR(VLOOKUP($G:$G,Structure!$A:$AJ,X$1,0)*$H214,0))</f>
        <v>0</v>
      </c>
      <c r="Y214" s="9">
        <f>SUM(IFERROR(VLOOKUP($C:$C,Structure!$A:$AJ,Y$1,0)*$D214,0),IFERROR(VLOOKUP($E:$E,Structure!$A:$AJ,Y$1,0)*$F214,0),IFERROR(VLOOKUP($G:$G,Structure!$A:$AJ,Y$1,0)*$H214,0))</f>
        <v>0</v>
      </c>
      <c r="Z214" s="9">
        <f>SUM(IFERROR(VLOOKUP($C:$C,Structure!$A:$AJ,Z$1,0)*$D214,0),IFERROR(VLOOKUP($E:$E,Structure!$A:$AJ,Z$1,0)*$F214,0),IFERROR(VLOOKUP($G:$G,Structure!$A:$AJ,Z$1,0)*$H214,0))</f>
        <v>0</v>
      </c>
      <c r="AA214" s="9">
        <f>SUM(IFERROR(VLOOKUP($C:$C,Structure!$A:$AJ,AA$1,0)*$D214,0),IFERROR(VLOOKUP($E:$E,Structure!$A:$AJ,AA$1,0)*$F214,0),IFERROR(VLOOKUP($G:$G,Structure!$A:$AJ,AA$1,0)*$H214,0))</f>
        <v>0</v>
      </c>
      <c r="AB214" s="9">
        <f>SUM(IFERROR(VLOOKUP($C:$C,Structure!$A:$AJ,AB$1,0)*$D214,0),IFERROR(VLOOKUP($E:$E,Structure!$A:$AJ,AB$1,0)*$F214,0),IFERROR(VLOOKUP($G:$G,Structure!$A:$AJ,AB$1,0)*$H214,0))</f>
        <v>0</v>
      </c>
      <c r="AC214" s="9">
        <f>SUM(IFERROR(VLOOKUP($C:$C,Structure!$A:$AJ,AC$1,0)*$D214,0),IFERROR(VLOOKUP($E:$E,Structure!$A:$AJ,AC$1,0)*$F214,0),IFERROR(VLOOKUP($G:$G,Structure!$A:$AJ,AC$1,0)*$H214,0))</f>
        <v>0</v>
      </c>
      <c r="AD214" s="9">
        <f>SUM(IFERROR(VLOOKUP($C:$C,Structure!$A:$AJ,AD$1,0)*$D214,0),IFERROR(VLOOKUP($E:$E,Structure!$A:$AJ,AD$1,0)*$F214,0),IFERROR(VLOOKUP($G:$G,Structure!$A:$AJ,AD$1,0)*$H214,0))</f>
        <v>0</v>
      </c>
      <c r="AE214" s="9">
        <f>SUM(IFERROR(VLOOKUP($C:$C,Structure!$A:$AJ,AE$1,0)*$D214,0),IFERROR(VLOOKUP($E:$E,Structure!$A:$AJ,AE$1,0)*$F214,0),IFERROR(VLOOKUP($G:$G,Structure!$A:$AJ,AE$1,0)*$H214,0))</f>
        <v>0</v>
      </c>
      <c r="AF214" s="9">
        <f>SUM(IFERROR(VLOOKUP($C:$C,Structure!$A:$AJ,AF$1,0)*$D214,0),IFERROR(VLOOKUP($E:$E,Structure!$A:$AJ,AF$1,0)*$F214,0),IFERROR(VLOOKUP($G:$G,Structure!$A:$AJ,AF$1,0)*$H214,0))</f>
        <v>0</v>
      </c>
      <c r="AG214" s="9">
        <f>SUM(IFERROR(VLOOKUP($C:$C,Structure!$A:$AJ,AG$1,0)*$D214,0),IFERROR(VLOOKUP($E:$E,Structure!$A:$AJ,AG$1,0)*$F214,0),IFERROR(VLOOKUP($G:$G,Structure!$A:$AJ,AG$1,0)*$H214,0))</f>
        <v>0</v>
      </c>
      <c r="AH214" s="9">
        <f>SUM(IFERROR(VLOOKUP($C:$C,Structure!$A:$AJ,AH$1,0)*$D214,0),IFERROR(VLOOKUP($E:$E,Structure!$A:$AJ,AH$1,0)*$F214,0),IFERROR(VLOOKUP($G:$G,Structure!$A:$AJ,AH$1,0)*$H214,0))</f>
        <v>0</v>
      </c>
      <c r="AI214" s="9">
        <f>SUM(IFERROR(VLOOKUP($C:$C,Structure!$A:$AJ,AI$1,0)*$D214,0),IFERROR(VLOOKUP($E:$E,Structure!$A:$AJ,AI$1,0)*$F214,0),IFERROR(VLOOKUP($G:$G,Structure!$A:$AJ,AI$1,0)*$H214,0))</f>
        <v>0</v>
      </c>
      <c r="AJ214" s="9">
        <f>SUM(IFERROR(VLOOKUP($C:$C,Structure!$A:$AJ,AJ$1,0)*$D214,0),IFERROR(VLOOKUP($E:$E,Structure!$A:$AJ,AJ$1,0)*$F214,0),IFERROR(VLOOKUP($G:$G,Structure!$A:$AJ,AJ$1,0)*$H214,0))</f>
        <v>0</v>
      </c>
      <c r="AK214" s="9">
        <f>SUM(IFERROR(VLOOKUP($C:$C,Structure!$A:$AJ,AK$1,0)*$D214,0),IFERROR(VLOOKUP($E:$E,Structure!$A:$AJ,AK$1,0)*$F214,0),IFERROR(VLOOKUP($G:$G,Structure!$A:$AJ,AK$1,0)*$H214,0))</f>
        <v>0</v>
      </c>
      <c r="AL214" s="9">
        <f>SUM(IFERROR(VLOOKUP($C:$C,Structure!$A:$AJ,AL$1,0)*$D214,0),IFERROR(VLOOKUP($E:$E,Structure!$A:$AJ,AL$1,0)*$F214,0),IFERROR(VLOOKUP($G:$G,Structure!$A:$AJ,AL$1,0)*$H214,0))</f>
        <v>0</v>
      </c>
      <c r="AM214" s="9">
        <f>SUM(IFERROR(VLOOKUP($C:$C,Structure!$A:$AJ,AM$1,0)*$D214,0),IFERROR(VLOOKUP($E:$E,Structure!$A:$AJ,AM$1,0)*$F214,0),IFERROR(VLOOKUP($G:$G,Structure!$A:$AJ,AM$1,0)*$H214,0))</f>
        <v>0</v>
      </c>
      <c r="AN214" s="9">
        <f>SUM(IFERROR(VLOOKUP($C:$C,Structure!$A:$AJ,AN$1,0)*$D214,0),IFERROR(VLOOKUP($E:$E,Structure!$A:$AJ,AN$1,0)*$F214,0),IFERROR(VLOOKUP($G:$G,Structure!$A:$AJ,AN$1,0)*$H214,0))</f>
        <v>0</v>
      </c>
      <c r="AO214" s="9">
        <f>SUM(IFERROR(VLOOKUP($C:$C,Structure!$A:$AJ,AO$1,0)*$D214,0),IFERROR(VLOOKUP($E:$E,Structure!$A:$AJ,AO$1,0)*$F214,0),IFERROR(VLOOKUP($G:$G,Structure!$A:$AJ,AO$1,0)*$H214,0))</f>
        <v>0</v>
      </c>
      <c r="AP214" s="9">
        <f>SUM(IFERROR(VLOOKUP($C:$C,Structure!$A:$AJ,AP$1,0)*$D214,0),IFERROR(VLOOKUP($E:$E,Structure!$A:$AJ,AP$1,0)*$F214,0),IFERROR(VLOOKUP($G:$G,Structure!$A:$AJ,AP$1,0)*$H214,0))</f>
        <v>0</v>
      </c>
      <c r="AQ214" s="9">
        <f>SUM(IFERROR(VLOOKUP($C:$C,Structure!$A:$AJ,AQ$1,0)*$D214,0),IFERROR(VLOOKUP($E:$E,Structure!$A:$AJ,AQ$1,0)*$F214,0),IFERROR(VLOOKUP($G:$G,Structure!$A:$AJ,AQ$1,0)*$H214,0))</f>
        <v>0</v>
      </c>
      <c r="AR214" s="21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4">
        <f t="shared" si="232"/>
        <v>0</v>
      </c>
      <c r="CE214" s="4">
        <f t="shared" si="233"/>
        <v>-180</v>
      </c>
      <c r="CF214" s="4">
        <f t="shared" si="234"/>
        <v>4</v>
      </c>
      <c r="CG214" s="4">
        <f t="shared" si="235"/>
        <v>11</v>
      </c>
      <c r="CH214" s="4">
        <f t="shared" si="236"/>
        <v>-7</v>
      </c>
      <c r="CI214" s="4">
        <f t="shared" si="237"/>
        <v>103</v>
      </c>
      <c r="CJ214" s="4">
        <f t="shared" si="238"/>
        <v>-213</v>
      </c>
      <c r="CK214" s="4">
        <f t="shared" si="239"/>
        <v>-1</v>
      </c>
      <c r="CL214" s="4">
        <f t="shared" si="240"/>
        <v>0</v>
      </c>
      <c r="CM214" s="4">
        <f t="shared" si="241"/>
        <v>6</v>
      </c>
      <c r="CN214" s="4">
        <f t="shared" si="242"/>
        <v>-100</v>
      </c>
      <c r="CO214" s="4">
        <f t="shared" si="243"/>
        <v>0</v>
      </c>
      <c r="CP214" s="4">
        <f t="shared" si="244"/>
        <v>67</v>
      </c>
      <c r="CQ214" s="4">
        <f t="shared" si="245"/>
        <v>-550</v>
      </c>
      <c r="CR214" s="4">
        <f t="shared" si="246"/>
        <v>12</v>
      </c>
      <c r="CS214" s="4">
        <f t="shared" si="247"/>
        <v>-48</v>
      </c>
      <c r="CT214" s="4">
        <f t="shared" si="248"/>
        <v>0</v>
      </c>
      <c r="CU214" s="4">
        <f t="shared" si="249"/>
        <v>0</v>
      </c>
      <c r="CV214" s="4">
        <f t="shared" si="250"/>
        <v>0</v>
      </c>
      <c r="CW214" s="4">
        <f t="shared" si="251"/>
        <v>0</v>
      </c>
      <c r="CX214" s="4">
        <f t="shared" si="252"/>
        <v>-543</v>
      </c>
      <c r="CY214" s="4">
        <f t="shared" si="253"/>
        <v>0</v>
      </c>
      <c r="CZ214" s="4">
        <f t="shared" si="254"/>
        <v>0</v>
      </c>
      <c r="DA214" s="4">
        <f t="shared" si="255"/>
        <v>0</v>
      </c>
      <c r="DB214" s="4">
        <f t="shared" si="256"/>
        <v>0</v>
      </c>
      <c r="DC214" s="4">
        <f t="shared" si="257"/>
        <v>0</v>
      </c>
      <c r="DD214" s="4">
        <f t="shared" si="258"/>
        <v>0</v>
      </c>
      <c r="DE214" s="4">
        <f t="shared" si="259"/>
        <v>0</v>
      </c>
      <c r="DF214" s="4">
        <f t="shared" si="260"/>
        <v>0</v>
      </c>
      <c r="DG214" s="4">
        <f t="shared" si="261"/>
        <v>0</v>
      </c>
      <c r="DH214" s="4">
        <f t="shared" si="262"/>
        <v>0</v>
      </c>
      <c r="DI214" s="4">
        <f t="shared" si="263"/>
        <v>0</v>
      </c>
      <c r="DJ214" s="4">
        <f t="shared" si="264"/>
        <v>0</v>
      </c>
      <c r="DK214" s="4">
        <f t="shared" si="265"/>
        <v>0</v>
      </c>
      <c r="DL214" s="4">
        <f t="shared" si="266"/>
        <v>0</v>
      </c>
    </row>
    <row r="215" spans="1:116" x14ac:dyDescent="0.25">
      <c r="A215" s="5">
        <v>46187</v>
      </c>
      <c r="B215" s="6">
        <v>0.72916666718083434</v>
      </c>
      <c r="C215" s="3"/>
      <c r="D215" s="3"/>
      <c r="E215" s="3" t="s">
        <v>57</v>
      </c>
      <c r="F215" s="3">
        <v>8</v>
      </c>
      <c r="G215" s="3"/>
      <c r="H215" s="9"/>
      <c r="I215" s="9">
        <f>SUM(IFERROR(VLOOKUP($C:$C,Structure!$A:$AJ,I$1,0)*$D215,0),IFERROR(VLOOKUP($E:$E,Structure!$A:$AJ,I$1,0)*$F215,0),IFERROR(VLOOKUP($G:$G,Structure!$A:$AJ,I$1,0)*$H215,0))</f>
        <v>0</v>
      </c>
      <c r="J215" s="9">
        <f>SUM(IFERROR(VLOOKUP($C:$C,Structure!$A:$AJ,J$1,0)*$D215,0),IFERROR(VLOOKUP($E:$E,Structure!$A:$AJ,J$1,0)*$F215,0),IFERROR(VLOOKUP($G:$G,Structure!$A:$AJ,J$1,0)*$H215,0))</f>
        <v>0</v>
      </c>
      <c r="K215" s="9">
        <f>SUM(IFERROR(VLOOKUP($C:$C,Structure!$A:$AJ,K$1,0)*$D215,0),IFERROR(VLOOKUP($E:$E,Structure!$A:$AJ,K$1,0)*$F215,0),IFERROR(VLOOKUP($G:$G,Structure!$A:$AJ,K$1,0)*$H215,0))</f>
        <v>0</v>
      </c>
      <c r="L215" s="9">
        <f>SUM(IFERROR(VLOOKUP($C:$C,Structure!$A:$AJ,L$1,0)*$D215,0),IFERROR(VLOOKUP($E:$E,Structure!$A:$AJ,L$1,0)*$F215,0),IFERROR(VLOOKUP($G:$G,Structure!$A:$AJ,L$1,0)*$H215,0))</f>
        <v>0</v>
      </c>
      <c r="M215" s="9">
        <f>SUM(IFERROR(VLOOKUP($C:$C,Structure!$A:$AJ,M$1,0)*$D215,0),IFERROR(VLOOKUP($E:$E,Structure!$A:$AJ,M$1,0)*$F215,0),IFERROR(VLOOKUP($G:$G,Structure!$A:$AJ,M$1,0)*$H215,0))</f>
        <v>0</v>
      </c>
      <c r="N215" s="9">
        <f>SUM(IFERROR(VLOOKUP($C:$C,Structure!$A:$AJ,N$1,0)*$D215,0),IFERROR(VLOOKUP($E:$E,Structure!$A:$AJ,N$1,0)*$F215,0),IFERROR(VLOOKUP($G:$G,Structure!$A:$AJ,N$1,0)*$H215,0))</f>
        <v>0</v>
      </c>
      <c r="O215" s="9">
        <f>SUM(IFERROR(VLOOKUP($C:$C,Structure!$A:$AJ,O$1,0)*$D215,0),IFERROR(VLOOKUP($E:$E,Structure!$A:$AJ,O$1,0)*$F215,0),IFERROR(VLOOKUP($G:$G,Structure!$A:$AJ,O$1,0)*$H215,0))</f>
        <v>8</v>
      </c>
      <c r="P215" s="9">
        <f>SUM(IFERROR(VLOOKUP($C:$C,Structure!$A:$AJ,P$1,0)*$D215,0),IFERROR(VLOOKUP($E:$E,Structure!$A:$AJ,P$1,0)*$F215,0),IFERROR(VLOOKUP($G:$G,Structure!$A:$AJ,P$1,0)*$H215,0))</f>
        <v>0</v>
      </c>
      <c r="Q215" s="9">
        <f>SUM(IFERROR(VLOOKUP($C:$C,Structure!$A:$AJ,Q$1,0)*$D215,0),IFERROR(VLOOKUP($E:$E,Structure!$A:$AJ,Q$1,0)*$F215,0),IFERROR(VLOOKUP($G:$G,Structure!$A:$AJ,Q$1,0)*$H215,0))</f>
        <v>0</v>
      </c>
      <c r="R215" s="9">
        <f>SUM(IFERROR(VLOOKUP($C:$C,Structure!$A:$AJ,R$1,0)*$D215,0),IFERROR(VLOOKUP($E:$E,Structure!$A:$AJ,R$1,0)*$F215,0),IFERROR(VLOOKUP($G:$G,Structure!$A:$AJ,R$1,0)*$H215,0))</f>
        <v>0</v>
      </c>
      <c r="S215" s="9">
        <f>SUM(IFERROR(VLOOKUP($C:$C,Structure!$A:$AJ,S$1,0)*$D215,0),IFERROR(VLOOKUP($E:$E,Structure!$A:$AJ,S$1,0)*$F215,0),IFERROR(VLOOKUP($G:$G,Structure!$A:$AJ,S$1,0)*$H215,0))</f>
        <v>8</v>
      </c>
      <c r="T215" s="9">
        <f>SUM(IFERROR(VLOOKUP($C:$C,Structure!$A:$AJ,T$1,0)*$D215,0),IFERROR(VLOOKUP($E:$E,Structure!$A:$AJ,T$1,0)*$F215,0),IFERROR(VLOOKUP($G:$G,Structure!$A:$AJ,T$1,0)*$H215,0))</f>
        <v>0</v>
      </c>
      <c r="U215" s="9">
        <f>SUM(IFERROR(VLOOKUP($C:$C,Structure!$A:$AJ,U$1,0)*$D215,0),IFERROR(VLOOKUP($E:$E,Structure!$A:$AJ,U$1,0)*$F215,0),IFERROR(VLOOKUP($G:$G,Structure!$A:$AJ,U$1,0)*$H215,0))</f>
        <v>0</v>
      </c>
      <c r="V215" s="9">
        <f>SUM(IFERROR(VLOOKUP($C:$C,Structure!$A:$AJ,V$1,0)*$D215,0),IFERROR(VLOOKUP($E:$E,Structure!$A:$AJ,V$1,0)*$F215,0),IFERROR(VLOOKUP($G:$G,Structure!$A:$AJ,V$1,0)*$H215,0))</f>
        <v>0</v>
      </c>
      <c r="W215" s="9">
        <f>SUM(IFERROR(VLOOKUP($C:$C,Structure!$A:$AJ,W$1,0)*$D215,0),IFERROR(VLOOKUP($E:$E,Structure!$A:$AJ,W$1,0)*$F215,0),IFERROR(VLOOKUP($G:$G,Structure!$A:$AJ,W$1,0)*$H215,0))</f>
        <v>0</v>
      </c>
      <c r="X215" s="9">
        <f>SUM(IFERROR(VLOOKUP($C:$C,Structure!$A:$AJ,X$1,0)*$D215,0),IFERROR(VLOOKUP($E:$E,Structure!$A:$AJ,X$1,0)*$F215,0),IFERROR(VLOOKUP($G:$G,Structure!$A:$AJ,X$1,0)*$H215,0))</f>
        <v>0</v>
      </c>
      <c r="Y215" s="9">
        <f>SUM(IFERROR(VLOOKUP($C:$C,Structure!$A:$AJ,Y$1,0)*$D215,0),IFERROR(VLOOKUP($E:$E,Structure!$A:$AJ,Y$1,0)*$F215,0),IFERROR(VLOOKUP($G:$G,Structure!$A:$AJ,Y$1,0)*$H215,0))</f>
        <v>0</v>
      </c>
      <c r="Z215" s="9">
        <f>SUM(IFERROR(VLOOKUP($C:$C,Structure!$A:$AJ,Z$1,0)*$D215,0),IFERROR(VLOOKUP($E:$E,Structure!$A:$AJ,Z$1,0)*$F215,0),IFERROR(VLOOKUP($G:$G,Structure!$A:$AJ,Z$1,0)*$H215,0))</f>
        <v>0</v>
      </c>
      <c r="AA215" s="9">
        <f>SUM(IFERROR(VLOOKUP($C:$C,Structure!$A:$AJ,AA$1,0)*$D215,0),IFERROR(VLOOKUP($E:$E,Structure!$A:$AJ,AA$1,0)*$F215,0),IFERROR(VLOOKUP($G:$G,Structure!$A:$AJ,AA$1,0)*$H215,0))</f>
        <v>0</v>
      </c>
      <c r="AB215" s="9">
        <f>SUM(IFERROR(VLOOKUP($C:$C,Structure!$A:$AJ,AB$1,0)*$D215,0),IFERROR(VLOOKUP($E:$E,Structure!$A:$AJ,AB$1,0)*$F215,0),IFERROR(VLOOKUP($G:$G,Structure!$A:$AJ,AB$1,0)*$H215,0))</f>
        <v>0</v>
      </c>
      <c r="AC215" s="9">
        <f>SUM(IFERROR(VLOOKUP($C:$C,Structure!$A:$AJ,AC$1,0)*$D215,0),IFERROR(VLOOKUP($E:$E,Structure!$A:$AJ,AC$1,0)*$F215,0),IFERROR(VLOOKUP($G:$G,Structure!$A:$AJ,AC$1,0)*$H215,0))</f>
        <v>0</v>
      </c>
      <c r="AD215" s="9">
        <f>SUM(IFERROR(VLOOKUP($C:$C,Structure!$A:$AJ,AD$1,0)*$D215,0),IFERROR(VLOOKUP($E:$E,Structure!$A:$AJ,AD$1,0)*$F215,0),IFERROR(VLOOKUP($G:$G,Structure!$A:$AJ,AD$1,0)*$H215,0))</f>
        <v>0</v>
      </c>
      <c r="AE215" s="9">
        <f>SUM(IFERROR(VLOOKUP($C:$C,Structure!$A:$AJ,AE$1,0)*$D215,0),IFERROR(VLOOKUP($E:$E,Structure!$A:$AJ,AE$1,0)*$F215,0),IFERROR(VLOOKUP($G:$G,Structure!$A:$AJ,AE$1,0)*$H215,0))</f>
        <v>0</v>
      </c>
      <c r="AF215" s="9">
        <f>SUM(IFERROR(VLOOKUP($C:$C,Structure!$A:$AJ,AF$1,0)*$D215,0),IFERROR(VLOOKUP($E:$E,Structure!$A:$AJ,AF$1,0)*$F215,0),IFERROR(VLOOKUP($G:$G,Structure!$A:$AJ,AF$1,0)*$H215,0))</f>
        <v>0</v>
      </c>
      <c r="AG215" s="9">
        <f>SUM(IFERROR(VLOOKUP($C:$C,Structure!$A:$AJ,AG$1,0)*$D215,0),IFERROR(VLOOKUP($E:$E,Structure!$A:$AJ,AG$1,0)*$F215,0),IFERROR(VLOOKUP($G:$G,Structure!$A:$AJ,AG$1,0)*$H215,0))</f>
        <v>0</v>
      </c>
      <c r="AH215" s="9">
        <f>SUM(IFERROR(VLOOKUP($C:$C,Structure!$A:$AJ,AH$1,0)*$D215,0),IFERROR(VLOOKUP($E:$E,Structure!$A:$AJ,AH$1,0)*$F215,0),IFERROR(VLOOKUP($G:$G,Structure!$A:$AJ,AH$1,0)*$H215,0))</f>
        <v>0</v>
      </c>
      <c r="AI215" s="9">
        <f>SUM(IFERROR(VLOOKUP($C:$C,Structure!$A:$AJ,AI$1,0)*$D215,0),IFERROR(VLOOKUP($E:$E,Structure!$A:$AJ,AI$1,0)*$F215,0),IFERROR(VLOOKUP($G:$G,Structure!$A:$AJ,AI$1,0)*$H215,0))</f>
        <v>0</v>
      </c>
      <c r="AJ215" s="9">
        <f>SUM(IFERROR(VLOOKUP($C:$C,Structure!$A:$AJ,AJ$1,0)*$D215,0),IFERROR(VLOOKUP($E:$E,Structure!$A:$AJ,AJ$1,0)*$F215,0),IFERROR(VLOOKUP($G:$G,Structure!$A:$AJ,AJ$1,0)*$H215,0))</f>
        <v>0</v>
      </c>
      <c r="AK215" s="9">
        <f>SUM(IFERROR(VLOOKUP($C:$C,Structure!$A:$AJ,AK$1,0)*$D215,0),IFERROR(VLOOKUP($E:$E,Structure!$A:$AJ,AK$1,0)*$F215,0),IFERROR(VLOOKUP($G:$G,Structure!$A:$AJ,AK$1,0)*$H215,0))</f>
        <v>0</v>
      </c>
      <c r="AL215" s="9">
        <f>SUM(IFERROR(VLOOKUP($C:$C,Structure!$A:$AJ,AL$1,0)*$D215,0),IFERROR(VLOOKUP($E:$E,Structure!$A:$AJ,AL$1,0)*$F215,0),IFERROR(VLOOKUP($G:$G,Structure!$A:$AJ,AL$1,0)*$H215,0))</f>
        <v>0</v>
      </c>
      <c r="AM215" s="9">
        <f>SUM(IFERROR(VLOOKUP($C:$C,Structure!$A:$AJ,AM$1,0)*$D215,0),IFERROR(VLOOKUP($E:$E,Structure!$A:$AJ,AM$1,0)*$F215,0),IFERROR(VLOOKUP($G:$G,Structure!$A:$AJ,AM$1,0)*$H215,0))</f>
        <v>0</v>
      </c>
      <c r="AN215" s="9">
        <f>SUM(IFERROR(VLOOKUP($C:$C,Structure!$A:$AJ,AN$1,0)*$D215,0),IFERROR(VLOOKUP($E:$E,Structure!$A:$AJ,AN$1,0)*$F215,0),IFERROR(VLOOKUP($G:$G,Structure!$A:$AJ,AN$1,0)*$H215,0))</f>
        <v>0</v>
      </c>
      <c r="AO215" s="9">
        <f>SUM(IFERROR(VLOOKUP($C:$C,Structure!$A:$AJ,AO$1,0)*$D215,0),IFERROR(VLOOKUP($E:$E,Structure!$A:$AJ,AO$1,0)*$F215,0),IFERROR(VLOOKUP($G:$G,Structure!$A:$AJ,AO$1,0)*$H215,0))</f>
        <v>0</v>
      </c>
      <c r="AP215" s="9">
        <f>SUM(IFERROR(VLOOKUP($C:$C,Structure!$A:$AJ,AP$1,0)*$D215,0),IFERROR(VLOOKUP($E:$E,Structure!$A:$AJ,AP$1,0)*$F215,0),IFERROR(VLOOKUP($G:$G,Structure!$A:$AJ,AP$1,0)*$H215,0))</f>
        <v>0</v>
      </c>
      <c r="AQ215" s="9">
        <f>SUM(IFERROR(VLOOKUP($C:$C,Structure!$A:$AJ,AQ$1,0)*$D215,0),IFERROR(VLOOKUP($E:$E,Structure!$A:$AJ,AQ$1,0)*$F215,0),IFERROR(VLOOKUP($G:$G,Structure!$A:$AJ,AQ$1,0)*$H215,0))</f>
        <v>0</v>
      </c>
      <c r="AR215" s="21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4">
        <f t="shared" si="232"/>
        <v>0</v>
      </c>
      <c r="CE215" s="4">
        <f t="shared" si="233"/>
        <v>-180</v>
      </c>
      <c r="CF215" s="4">
        <f t="shared" si="234"/>
        <v>4</v>
      </c>
      <c r="CG215" s="4">
        <f t="shared" si="235"/>
        <v>11</v>
      </c>
      <c r="CH215" s="4">
        <f t="shared" si="236"/>
        <v>-7</v>
      </c>
      <c r="CI215" s="4">
        <f t="shared" si="237"/>
        <v>103</v>
      </c>
      <c r="CJ215" s="4">
        <f t="shared" si="238"/>
        <v>-221</v>
      </c>
      <c r="CK215" s="4">
        <f t="shared" si="239"/>
        <v>-1</v>
      </c>
      <c r="CL215" s="4">
        <f t="shared" si="240"/>
        <v>0</v>
      </c>
      <c r="CM215" s="4">
        <f t="shared" si="241"/>
        <v>6</v>
      </c>
      <c r="CN215" s="4">
        <f t="shared" si="242"/>
        <v>-108</v>
      </c>
      <c r="CO215" s="4">
        <f t="shared" si="243"/>
        <v>0</v>
      </c>
      <c r="CP215" s="4">
        <f t="shared" si="244"/>
        <v>67</v>
      </c>
      <c r="CQ215" s="4">
        <f t="shared" si="245"/>
        <v>-550</v>
      </c>
      <c r="CR215" s="4">
        <f t="shared" si="246"/>
        <v>12</v>
      </c>
      <c r="CS215" s="4">
        <f t="shared" si="247"/>
        <v>-48</v>
      </c>
      <c r="CT215" s="4">
        <f t="shared" si="248"/>
        <v>0</v>
      </c>
      <c r="CU215" s="4">
        <f t="shared" si="249"/>
        <v>0</v>
      </c>
      <c r="CV215" s="4">
        <f t="shared" si="250"/>
        <v>0</v>
      </c>
      <c r="CW215" s="4">
        <f t="shared" si="251"/>
        <v>0</v>
      </c>
      <c r="CX215" s="4">
        <f t="shared" si="252"/>
        <v>-543</v>
      </c>
      <c r="CY215" s="4">
        <f t="shared" si="253"/>
        <v>0</v>
      </c>
      <c r="CZ215" s="4">
        <f t="shared" si="254"/>
        <v>0</v>
      </c>
      <c r="DA215" s="4">
        <f t="shared" si="255"/>
        <v>0</v>
      </c>
      <c r="DB215" s="4">
        <f t="shared" si="256"/>
        <v>0</v>
      </c>
      <c r="DC215" s="4">
        <f t="shared" si="257"/>
        <v>0</v>
      </c>
      <c r="DD215" s="4">
        <f t="shared" si="258"/>
        <v>0</v>
      </c>
      <c r="DE215" s="4">
        <f t="shared" si="259"/>
        <v>0</v>
      </c>
      <c r="DF215" s="4">
        <f t="shared" si="260"/>
        <v>0</v>
      </c>
      <c r="DG215" s="4">
        <f t="shared" si="261"/>
        <v>0</v>
      </c>
      <c r="DH215" s="4">
        <f t="shared" si="262"/>
        <v>0</v>
      </c>
      <c r="DI215" s="4">
        <f t="shared" si="263"/>
        <v>0</v>
      </c>
      <c r="DJ215" s="4">
        <f t="shared" si="264"/>
        <v>0</v>
      </c>
      <c r="DK215" s="4">
        <f t="shared" si="265"/>
        <v>0</v>
      </c>
      <c r="DL215" s="4">
        <f t="shared" si="266"/>
        <v>0</v>
      </c>
    </row>
    <row r="216" spans="1:116" x14ac:dyDescent="0.25">
      <c r="A216" s="5">
        <v>46187</v>
      </c>
      <c r="B216" s="6">
        <v>0.75000000051659299</v>
      </c>
      <c r="C216" s="3"/>
      <c r="D216" s="3"/>
      <c r="E216" s="3" t="s">
        <v>57</v>
      </c>
      <c r="F216" s="3">
        <v>8</v>
      </c>
      <c r="G216" s="3"/>
      <c r="H216" s="9"/>
      <c r="I216" s="9">
        <f>SUM(IFERROR(VLOOKUP($C:$C,Structure!$A:$AJ,I$1,0)*$D216,0),IFERROR(VLOOKUP($E:$E,Structure!$A:$AJ,I$1,0)*$F216,0),IFERROR(VLOOKUP($G:$G,Structure!$A:$AJ,I$1,0)*$H216,0))</f>
        <v>0</v>
      </c>
      <c r="J216" s="9">
        <f>SUM(IFERROR(VLOOKUP($C:$C,Structure!$A:$AJ,J$1,0)*$D216,0),IFERROR(VLOOKUP($E:$E,Structure!$A:$AJ,J$1,0)*$F216,0),IFERROR(VLOOKUP($G:$G,Structure!$A:$AJ,J$1,0)*$H216,0))</f>
        <v>0</v>
      </c>
      <c r="K216" s="9">
        <f>SUM(IFERROR(VLOOKUP($C:$C,Structure!$A:$AJ,K$1,0)*$D216,0),IFERROR(VLOOKUP($E:$E,Structure!$A:$AJ,K$1,0)*$F216,0),IFERROR(VLOOKUP($G:$G,Structure!$A:$AJ,K$1,0)*$H216,0))</f>
        <v>0</v>
      </c>
      <c r="L216" s="9">
        <f>SUM(IFERROR(VLOOKUP($C:$C,Structure!$A:$AJ,L$1,0)*$D216,0),IFERROR(VLOOKUP($E:$E,Structure!$A:$AJ,L$1,0)*$F216,0),IFERROR(VLOOKUP($G:$G,Structure!$A:$AJ,L$1,0)*$H216,0))</f>
        <v>0</v>
      </c>
      <c r="M216" s="9">
        <f>SUM(IFERROR(VLOOKUP($C:$C,Structure!$A:$AJ,M$1,0)*$D216,0),IFERROR(VLOOKUP($E:$E,Structure!$A:$AJ,M$1,0)*$F216,0),IFERROR(VLOOKUP($G:$G,Structure!$A:$AJ,M$1,0)*$H216,0))</f>
        <v>0</v>
      </c>
      <c r="N216" s="9">
        <f>SUM(IFERROR(VLOOKUP($C:$C,Structure!$A:$AJ,N$1,0)*$D216,0),IFERROR(VLOOKUP($E:$E,Structure!$A:$AJ,N$1,0)*$F216,0),IFERROR(VLOOKUP($G:$G,Structure!$A:$AJ,N$1,0)*$H216,0))</f>
        <v>0</v>
      </c>
      <c r="O216" s="9">
        <f>SUM(IFERROR(VLOOKUP($C:$C,Structure!$A:$AJ,O$1,0)*$D216,0),IFERROR(VLOOKUP($E:$E,Structure!$A:$AJ,O$1,0)*$F216,0),IFERROR(VLOOKUP($G:$G,Structure!$A:$AJ,O$1,0)*$H216,0))</f>
        <v>8</v>
      </c>
      <c r="P216" s="9">
        <f>SUM(IFERROR(VLOOKUP($C:$C,Structure!$A:$AJ,P$1,0)*$D216,0),IFERROR(VLOOKUP($E:$E,Structure!$A:$AJ,P$1,0)*$F216,0),IFERROR(VLOOKUP($G:$G,Structure!$A:$AJ,P$1,0)*$H216,0))</f>
        <v>0</v>
      </c>
      <c r="Q216" s="9">
        <f>SUM(IFERROR(VLOOKUP($C:$C,Structure!$A:$AJ,Q$1,0)*$D216,0),IFERROR(VLOOKUP($E:$E,Structure!$A:$AJ,Q$1,0)*$F216,0),IFERROR(VLOOKUP($G:$G,Structure!$A:$AJ,Q$1,0)*$H216,0))</f>
        <v>0</v>
      </c>
      <c r="R216" s="9">
        <f>SUM(IFERROR(VLOOKUP($C:$C,Structure!$A:$AJ,R$1,0)*$D216,0),IFERROR(VLOOKUP($E:$E,Structure!$A:$AJ,R$1,0)*$F216,0),IFERROR(VLOOKUP($G:$G,Structure!$A:$AJ,R$1,0)*$H216,0))</f>
        <v>0</v>
      </c>
      <c r="S216" s="9">
        <f>SUM(IFERROR(VLOOKUP($C:$C,Structure!$A:$AJ,S$1,0)*$D216,0),IFERROR(VLOOKUP($E:$E,Structure!$A:$AJ,S$1,0)*$F216,0),IFERROR(VLOOKUP($G:$G,Structure!$A:$AJ,S$1,0)*$H216,0))</f>
        <v>8</v>
      </c>
      <c r="T216" s="9">
        <f>SUM(IFERROR(VLOOKUP($C:$C,Structure!$A:$AJ,T$1,0)*$D216,0),IFERROR(VLOOKUP($E:$E,Structure!$A:$AJ,T$1,0)*$F216,0),IFERROR(VLOOKUP($G:$G,Structure!$A:$AJ,T$1,0)*$H216,0))</f>
        <v>0</v>
      </c>
      <c r="U216" s="9">
        <f>SUM(IFERROR(VLOOKUP($C:$C,Structure!$A:$AJ,U$1,0)*$D216,0),IFERROR(VLOOKUP($E:$E,Structure!$A:$AJ,U$1,0)*$F216,0),IFERROR(VLOOKUP($G:$G,Structure!$A:$AJ,U$1,0)*$H216,0))</f>
        <v>0</v>
      </c>
      <c r="V216" s="9">
        <f>SUM(IFERROR(VLOOKUP($C:$C,Structure!$A:$AJ,V$1,0)*$D216,0),IFERROR(VLOOKUP($E:$E,Structure!$A:$AJ,V$1,0)*$F216,0),IFERROR(VLOOKUP($G:$G,Structure!$A:$AJ,V$1,0)*$H216,0))</f>
        <v>0</v>
      </c>
      <c r="W216" s="9">
        <f>SUM(IFERROR(VLOOKUP($C:$C,Structure!$A:$AJ,W$1,0)*$D216,0),IFERROR(VLOOKUP($E:$E,Structure!$A:$AJ,W$1,0)*$F216,0),IFERROR(VLOOKUP($G:$G,Structure!$A:$AJ,W$1,0)*$H216,0))</f>
        <v>0</v>
      </c>
      <c r="X216" s="9">
        <f>SUM(IFERROR(VLOOKUP($C:$C,Structure!$A:$AJ,X$1,0)*$D216,0),IFERROR(VLOOKUP($E:$E,Structure!$A:$AJ,X$1,0)*$F216,0),IFERROR(VLOOKUP($G:$G,Structure!$A:$AJ,X$1,0)*$H216,0))</f>
        <v>0</v>
      </c>
      <c r="Y216" s="9">
        <f>SUM(IFERROR(VLOOKUP($C:$C,Structure!$A:$AJ,Y$1,0)*$D216,0),IFERROR(VLOOKUP($E:$E,Structure!$A:$AJ,Y$1,0)*$F216,0),IFERROR(VLOOKUP($G:$G,Structure!$A:$AJ,Y$1,0)*$H216,0))</f>
        <v>0</v>
      </c>
      <c r="Z216" s="9">
        <f>SUM(IFERROR(VLOOKUP($C:$C,Structure!$A:$AJ,Z$1,0)*$D216,0),IFERROR(VLOOKUP($E:$E,Structure!$A:$AJ,Z$1,0)*$F216,0),IFERROR(VLOOKUP($G:$G,Structure!$A:$AJ,Z$1,0)*$H216,0))</f>
        <v>0</v>
      </c>
      <c r="AA216" s="9">
        <f>SUM(IFERROR(VLOOKUP($C:$C,Structure!$A:$AJ,AA$1,0)*$D216,0),IFERROR(VLOOKUP($E:$E,Structure!$A:$AJ,AA$1,0)*$F216,0),IFERROR(VLOOKUP($G:$G,Structure!$A:$AJ,AA$1,0)*$H216,0))</f>
        <v>0</v>
      </c>
      <c r="AB216" s="9">
        <f>SUM(IFERROR(VLOOKUP($C:$C,Structure!$A:$AJ,AB$1,0)*$D216,0),IFERROR(VLOOKUP($E:$E,Structure!$A:$AJ,AB$1,0)*$F216,0),IFERROR(VLOOKUP($G:$G,Structure!$A:$AJ,AB$1,0)*$H216,0))</f>
        <v>0</v>
      </c>
      <c r="AC216" s="9">
        <f>SUM(IFERROR(VLOOKUP($C:$C,Structure!$A:$AJ,AC$1,0)*$D216,0),IFERROR(VLOOKUP($E:$E,Structure!$A:$AJ,AC$1,0)*$F216,0),IFERROR(VLOOKUP($G:$G,Structure!$A:$AJ,AC$1,0)*$H216,0))</f>
        <v>0</v>
      </c>
      <c r="AD216" s="9">
        <f>SUM(IFERROR(VLOOKUP($C:$C,Structure!$A:$AJ,AD$1,0)*$D216,0),IFERROR(VLOOKUP($E:$E,Structure!$A:$AJ,AD$1,0)*$F216,0),IFERROR(VLOOKUP($G:$G,Structure!$A:$AJ,AD$1,0)*$H216,0))</f>
        <v>0</v>
      </c>
      <c r="AE216" s="9">
        <f>SUM(IFERROR(VLOOKUP($C:$C,Structure!$A:$AJ,AE$1,0)*$D216,0),IFERROR(VLOOKUP($E:$E,Structure!$A:$AJ,AE$1,0)*$F216,0),IFERROR(VLOOKUP($G:$G,Structure!$A:$AJ,AE$1,0)*$H216,0))</f>
        <v>0</v>
      </c>
      <c r="AF216" s="9">
        <f>SUM(IFERROR(VLOOKUP($C:$C,Structure!$A:$AJ,AF$1,0)*$D216,0),IFERROR(VLOOKUP($E:$E,Structure!$A:$AJ,AF$1,0)*$F216,0),IFERROR(VLOOKUP($G:$G,Structure!$A:$AJ,AF$1,0)*$H216,0))</f>
        <v>0</v>
      </c>
      <c r="AG216" s="9">
        <f>SUM(IFERROR(VLOOKUP($C:$C,Structure!$A:$AJ,AG$1,0)*$D216,0),IFERROR(VLOOKUP($E:$E,Structure!$A:$AJ,AG$1,0)*$F216,0),IFERROR(VLOOKUP($G:$G,Structure!$A:$AJ,AG$1,0)*$H216,0))</f>
        <v>0</v>
      </c>
      <c r="AH216" s="9">
        <f>SUM(IFERROR(VLOOKUP($C:$C,Structure!$A:$AJ,AH$1,0)*$D216,0),IFERROR(VLOOKUP($E:$E,Structure!$A:$AJ,AH$1,0)*$F216,0),IFERROR(VLOOKUP($G:$G,Structure!$A:$AJ,AH$1,0)*$H216,0))</f>
        <v>0</v>
      </c>
      <c r="AI216" s="9">
        <f>SUM(IFERROR(VLOOKUP($C:$C,Structure!$A:$AJ,AI$1,0)*$D216,0),IFERROR(VLOOKUP($E:$E,Structure!$A:$AJ,AI$1,0)*$F216,0),IFERROR(VLOOKUP($G:$G,Structure!$A:$AJ,AI$1,0)*$H216,0))</f>
        <v>0</v>
      </c>
      <c r="AJ216" s="9">
        <f>SUM(IFERROR(VLOOKUP($C:$C,Structure!$A:$AJ,AJ$1,0)*$D216,0),IFERROR(VLOOKUP($E:$E,Structure!$A:$AJ,AJ$1,0)*$F216,0),IFERROR(VLOOKUP($G:$G,Structure!$A:$AJ,AJ$1,0)*$H216,0))</f>
        <v>0</v>
      </c>
      <c r="AK216" s="9">
        <f>SUM(IFERROR(VLOOKUP($C:$C,Structure!$A:$AJ,AK$1,0)*$D216,0),IFERROR(VLOOKUP($E:$E,Structure!$A:$AJ,AK$1,0)*$F216,0),IFERROR(VLOOKUP($G:$G,Structure!$A:$AJ,AK$1,0)*$H216,0))</f>
        <v>0</v>
      </c>
      <c r="AL216" s="9">
        <f>SUM(IFERROR(VLOOKUP($C:$C,Structure!$A:$AJ,AL$1,0)*$D216,0),IFERROR(VLOOKUP($E:$E,Structure!$A:$AJ,AL$1,0)*$F216,0),IFERROR(VLOOKUP($G:$G,Structure!$A:$AJ,AL$1,0)*$H216,0))</f>
        <v>0</v>
      </c>
      <c r="AM216" s="9">
        <f>SUM(IFERROR(VLOOKUP($C:$C,Structure!$A:$AJ,AM$1,0)*$D216,0),IFERROR(VLOOKUP($E:$E,Structure!$A:$AJ,AM$1,0)*$F216,0),IFERROR(VLOOKUP($G:$G,Structure!$A:$AJ,AM$1,0)*$H216,0))</f>
        <v>0</v>
      </c>
      <c r="AN216" s="9">
        <f>SUM(IFERROR(VLOOKUP($C:$C,Structure!$A:$AJ,AN$1,0)*$D216,0),IFERROR(VLOOKUP($E:$E,Structure!$A:$AJ,AN$1,0)*$F216,0),IFERROR(VLOOKUP($G:$G,Structure!$A:$AJ,AN$1,0)*$H216,0))</f>
        <v>0</v>
      </c>
      <c r="AO216" s="9">
        <f>SUM(IFERROR(VLOOKUP($C:$C,Structure!$A:$AJ,AO$1,0)*$D216,0),IFERROR(VLOOKUP($E:$E,Structure!$A:$AJ,AO$1,0)*$F216,0),IFERROR(VLOOKUP($G:$G,Structure!$A:$AJ,AO$1,0)*$H216,0))</f>
        <v>0</v>
      </c>
      <c r="AP216" s="9">
        <f>SUM(IFERROR(VLOOKUP($C:$C,Structure!$A:$AJ,AP$1,0)*$D216,0),IFERROR(VLOOKUP($E:$E,Structure!$A:$AJ,AP$1,0)*$F216,0),IFERROR(VLOOKUP($G:$G,Structure!$A:$AJ,AP$1,0)*$H216,0))</f>
        <v>0</v>
      </c>
      <c r="AQ216" s="9">
        <f>SUM(IFERROR(VLOOKUP($C:$C,Structure!$A:$AJ,AQ$1,0)*$D216,0),IFERROR(VLOOKUP($E:$E,Structure!$A:$AJ,AQ$1,0)*$F216,0),IFERROR(VLOOKUP($G:$G,Structure!$A:$AJ,AQ$1,0)*$H216,0))</f>
        <v>0</v>
      </c>
      <c r="AR216" s="21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4">
        <f t="shared" si="232"/>
        <v>0</v>
      </c>
      <c r="CE216" s="4">
        <f t="shared" si="233"/>
        <v>-180</v>
      </c>
      <c r="CF216" s="4">
        <f t="shared" si="234"/>
        <v>4</v>
      </c>
      <c r="CG216" s="4">
        <f t="shared" si="235"/>
        <v>11</v>
      </c>
      <c r="CH216" s="4">
        <f t="shared" si="236"/>
        <v>-7</v>
      </c>
      <c r="CI216" s="4">
        <f t="shared" si="237"/>
        <v>103</v>
      </c>
      <c r="CJ216" s="4">
        <f t="shared" si="238"/>
        <v>-229</v>
      </c>
      <c r="CK216" s="4">
        <f t="shared" si="239"/>
        <v>-1</v>
      </c>
      <c r="CL216" s="4">
        <f t="shared" si="240"/>
        <v>0</v>
      </c>
      <c r="CM216" s="4">
        <f t="shared" si="241"/>
        <v>6</v>
      </c>
      <c r="CN216" s="4">
        <f t="shared" si="242"/>
        <v>-116</v>
      </c>
      <c r="CO216" s="4">
        <f t="shared" si="243"/>
        <v>0</v>
      </c>
      <c r="CP216" s="4">
        <f t="shared" si="244"/>
        <v>67</v>
      </c>
      <c r="CQ216" s="4">
        <f t="shared" si="245"/>
        <v>-550</v>
      </c>
      <c r="CR216" s="4">
        <f t="shared" si="246"/>
        <v>12</v>
      </c>
      <c r="CS216" s="4">
        <f t="shared" si="247"/>
        <v>-48</v>
      </c>
      <c r="CT216" s="4">
        <f t="shared" si="248"/>
        <v>0</v>
      </c>
      <c r="CU216" s="4">
        <f t="shared" si="249"/>
        <v>0</v>
      </c>
      <c r="CV216" s="4">
        <f t="shared" si="250"/>
        <v>0</v>
      </c>
      <c r="CW216" s="4">
        <f t="shared" si="251"/>
        <v>0</v>
      </c>
      <c r="CX216" s="4">
        <f t="shared" si="252"/>
        <v>-543</v>
      </c>
      <c r="CY216" s="4">
        <f t="shared" si="253"/>
        <v>0</v>
      </c>
      <c r="CZ216" s="4">
        <f t="shared" si="254"/>
        <v>0</v>
      </c>
      <c r="DA216" s="4">
        <f t="shared" si="255"/>
        <v>0</v>
      </c>
      <c r="DB216" s="4">
        <f t="shared" si="256"/>
        <v>0</v>
      </c>
      <c r="DC216" s="4">
        <f t="shared" si="257"/>
        <v>0</v>
      </c>
      <c r="DD216" s="4">
        <f t="shared" si="258"/>
        <v>0</v>
      </c>
      <c r="DE216" s="4">
        <f t="shared" si="259"/>
        <v>0</v>
      </c>
      <c r="DF216" s="4">
        <f t="shared" si="260"/>
        <v>0</v>
      </c>
      <c r="DG216" s="4">
        <f t="shared" si="261"/>
        <v>0</v>
      </c>
      <c r="DH216" s="4">
        <f t="shared" si="262"/>
        <v>0</v>
      </c>
      <c r="DI216" s="4">
        <f t="shared" si="263"/>
        <v>0</v>
      </c>
      <c r="DJ216" s="4">
        <f t="shared" si="264"/>
        <v>0</v>
      </c>
      <c r="DK216" s="4">
        <f t="shared" si="265"/>
        <v>0</v>
      </c>
      <c r="DL216" s="4">
        <f t="shared" si="266"/>
        <v>0</v>
      </c>
    </row>
    <row r="217" spans="1:116" x14ac:dyDescent="0.25">
      <c r="A217" s="5">
        <v>46187</v>
      </c>
      <c r="B217" s="6">
        <v>0.77083333385235164</v>
      </c>
      <c r="C217" s="3"/>
      <c r="D217" s="3"/>
      <c r="E217" s="3" t="s">
        <v>57</v>
      </c>
      <c r="F217" s="3">
        <v>8</v>
      </c>
      <c r="G217" s="3"/>
      <c r="H217" s="9"/>
      <c r="I217" s="9">
        <f>SUM(IFERROR(VLOOKUP($C:$C,Structure!$A:$AJ,I$1,0)*$D217,0),IFERROR(VLOOKUP($E:$E,Structure!$A:$AJ,I$1,0)*$F217,0),IFERROR(VLOOKUP($G:$G,Structure!$A:$AJ,I$1,0)*$H217,0))</f>
        <v>0</v>
      </c>
      <c r="J217" s="9">
        <f>SUM(IFERROR(VLOOKUP($C:$C,Structure!$A:$AJ,J$1,0)*$D217,0),IFERROR(VLOOKUP($E:$E,Structure!$A:$AJ,J$1,0)*$F217,0),IFERROR(VLOOKUP($G:$G,Structure!$A:$AJ,J$1,0)*$H217,0))</f>
        <v>0</v>
      </c>
      <c r="K217" s="9">
        <f>SUM(IFERROR(VLOOKUP($C:$C,Structure!$A:$AJ,K$1,0)*$D217,0),IFERROR(VLOOKUP($E:$E,Structure!$A:$AJ,K$1,0)*$F217,0),IFERROR(VLOOKUP($G:$G,Structure!$A:$AJ,K$1,0)*$H217,0))</f>
        <v>0</v>
      </c>
      <c r="L217" s="9">
        <f>SUM(IFERROR(VLOOKUP($C:$C,Structure!$A:$AJ,L$1,0)*$D217,0),IFERROR(VLOOKUP($E:$E,Structure!$A:$AJ,L$1,0)*$F217,0),IFERROR(VLOOKUP($G:$G,Structure!$A:$AJ,L$1,0)*$H217,0))</f>
        <v>0</v>
      </c>
      <c r="M217" s="9">
        <f>SUM(IFERROR(VLOOKUP($C:$C,Structure!$A:$AJ,M$1,0)*$D217,0),IFERROR(VLOOKUP($E:$E,Structure!$A:$AJ,M$1,0)*$F217,0),IFERROR(VLOOKUP($G:$G,Structure!$A:$AJ,M$1,0)*$H217,0))</f>
        <v>0</v>
      </c>
      <c r="N217" s="9">
        <f>SUM(IFERROR(VLOOKUP($C:$C,Structure!$A:$AJ,N$1,0)*$D217,0),IFERROR(VLOOKUP($E:$E,Structure!$A:$AJ,N$1,0)*$F217,0),IFERROR(VLOOKUP($G:$G,Structure!$A:$AJ,N$1,0)*$H217,0))</f>
        <v>0</v>
      </c>
      <c r="O217" s="9">
        <f>SUM(IFERROR(VLOOKUP($C:$C,Structure!$A:$AJ,O$1,0)*$D217,0),IFERROR(VLOOKUP($E:$E,Structure!$A:$AJ,O$1,0)*$F217,0),IFERROR(VLOOKUP($G:$G,Structure!$A:$AJ,O$1,0)*$H217,0))</f>
        <v>8</v>
      </c>
      <c r="P217" s="9">
        <f>SUM(IFERROR(VLOOKUP($C:$C,Structure!$A:$AJ,P$1,0)*$D217,0),IFERROR(VLOOKUP($E:$E,Structure!$A:$AJ,P$1,0)*$F217,0),IFERROR(VLOOKUP($G:$G,Structure!$A:$AJ,P$1,0)*$H217,0))</f>
        <v>0</v>
      </c>
      <c r="Q217" s="9">
        <f>SUM(IFERROR(VLOOKUP($C:$C,Structure!$A:$AJ,Q$1,0)*$D217,0),IFERROR(VLOOKUP($E:$E,Structure!$A:$AJ,Q$1,0)*$F217,0),IFERROR(VLOOKUP($G:$G,Structure!$A:$AJ,Q$1,0)*$H217,0))</f>
        <v>0</v>
      </c>
      <c r="R217" s="9">
        <f>SUM(IFERROR(VLOOKUP($C:$C,Structure!$A:$AJ,R$1,0)*$D217,0),IFERROR(VLOOKUP($E:$E,Structure!$A:$AJ,R$1,0)*$F217,0),IFERROR(VLOOKUP($G:$G,Structure!$A:$AJ,R$1,0)*$H217,0))</f>
        <v>0</v>
      </c>
      <c r="S217" s="9">
        <f>SUM(IFERROR(VLOOKUP($C:$C,Structure!$A:$AJ,S$1,0)*$D217,0),IFERROR(VLOOKUP($E:$E,Structure!$A:$AJ,S$1,0)*$F217,0),IFERROR(VLOOKUP($G:$G,Structure!$A:$AJ,S$1,0)*$H217,0))</f>
        <v>8</v>
      </c>
      <c r="T217" s="9">
        <f>SUM(IFERROR(VLOOKUP($C:$C,Structure!$A:$AJ,T$1,0)*$D217,0),IFERROR(VLOOKUP($E:$E,Structure!$A:$AJ,T$1,0)*$F217,0),IFERROR(VLOOKUP($G:$G,Structure!$A:$AJ,T$1,0)*$H217,0))</f>
        <v>0</v>
      </c>
      <c r="U217" s="9">
        <f>SUM(IFERROR(VLOOKUP($C:$C,Structure!$A:$AJ,U$1,0)*$D217,0),IFERROR(VLOOKUP($E:$E,Structure!$A:$AJ,U$1,0)*$F217,0),IFERROR(VLOOKUP($G:$G,Structure!$A:$AJ,U$1,0)*$H217,0))</f>
        <v>0</v>
      </c>
      <c r="V217" s="9">
        <f>SUM(IFERROR(VLOOKUP($C:$C,Structure!$A:$AJ,V$1,0)*$D217,0),IFERROR(VLOOKUP($E:$E,Structure!$A:$AJ,V$1,0)*$F217,0),IFERROR(VLOOKUP($G:$G,Structure!$A:$AJ,V$1,0)*$H217,0))</f>
        <v>0</v>
      </c>
      <c r="W217" s="9">
        <f>SUM(IFERROR(VLOOKUP($C:$C,Structure!$A:$AJ,W$1,0)*$D217,0),IFERROR(VLOOKUP($E:$E,Structure!$A:$AJ,W$1,0)*$F217,0),IFERROR(VLOOKUP($G:$G,Structure!$A:$AJ,W$1,0)*$H217,0))</f>
        <v>0</v>
      </c>
      <c r="X217" s="9">
        <f>SUM(IFERROR(VLOOKUP($C:$C,Structure!$A:$AJ,X$1,0)*$D217,0),IFERROR(VLOOKUP($E:$E,Structure!$A:$AJ,X$1,0)*$F217,0),IFERROR(VLOOKUP($G:$G,Structure!$A:$AJ,X$1,0)*$H217,0))</f>
        <v>0</v>
      </c>
      <c r="Y217" s="9">
        <f>SUM(IFERROR(VLOOKUP($C:$C,Structure!$A:$AJ,Y$1,0)*$D217,0),IFERROR(VLOOKUP($E:$E,Structure!$A:$AJ,Y$1,0)*$F217,0),IFERROR(VLOOKUP($G:$G,Structure!$A:$AJ,Y$1,0)*$H217,0))</f>
        <v>0</v>
      </c>
      <c r="Z217" s="9">
        <f>SUM(IFERROR(VLOOKUP($C:$C,Structure!$A:$AJ,Z$1,0)*$D217,0),IFERROR(VLOOKUP($E:$E,Structure!$A:$AJ,Z$1,0)*$F217,0),IFERROR(VLOOKUP($G:$G,Structure!$A:$AJ,Z$1,0)*$H217,0))</f>
        <v>0</v>
      </c>
      <c r="AA217" s="9">
        <f>SUM(IFERROR(VLOOKUP($C:$C,Structure!$A:$AJ,AA$1,0)*$D217,0),IFERROR(VLOOKUP($E:$E,Structure!$A:$AJ,AA$1,0)*$F217,0),IFERROR(VLOOKUP($G:$G,Structure!$A:$AJ,AA$1,0)*$H217,0))</f>
        <v>0</v>
      </c>
      <c r="AB217" s="9">
        <f>SUM(IFERROR(VLOOKUP($C:$C,Structure!$A:$AJ,AB$1,0)*$D217,0),IFERROR(VLOOKUP($E:$E,Structure!$A:$AJ,AB$1,0)*$F217,0),IFERROR(VLOOKUP($G:$G,Structure!$A:$AJ,AB$1,0)*$H217,0))</f>
        <v>0</v>
      </c>
      <c r="AC217" s="9">
        <f>SUM(IFERROR(VLOOKUP($C:$C,Structure!$A:$AJ,AC$1,0)*$D217,0),IFERROR(VLOOKUP($E:$E,Structure!$A:$AJ,AC$1,0)*$F217,0),IFERROR(VLOOKUP($G:$G,Structure!$A:$AJ,AC$1,0)*$H217,0))</f>
        <v>0</v>
      </c>
      <c r="AD217" s="9">
        <f>SUM(IFERROR(VLOOKUP($C:$C,Structure!$A:$AJ,AD$1,0)*$D217,0),IFERROR(VLOOKUP($E:$E,Structure!$A:$AJ,AD$1,0)*$F217,0),IFERROR(VLOOKUP($G:$G,Structure!$A:$AJ,AD$1,0)*$H217,0))</f>
        <v>0</v>
      </c>
      <c r="AE217" s="9">
        <f>SUM(IFERROR(VLOOKUP($C:$C,Structure!$A:$AJ,AE$1,0)*$D217,0),IFERROR(VLOOKUP($E:$E,Structure!$A:$AJ,AE$1,0)*$F217,0),IFERROR(VLOOKUP($G:$G,Structure!$A:$AJ,AE$1,0)*$H217,0))</f>
        <v>0</v>
      </c>
      <c r="AF217" s="9">
        <f>SUM(IFERROR(VLOOKUP($C:$C,Structure!$A:$AJ,AF$1,0)*$D217,0),IFERROR(VLOOKUP($E:$E,Structure!$A:$AJ,AF$1,0)*$F217,0),IFERROR(VLOOKUP($G:$G,Structure!$A:$AJ,AF$1,0)*$H217,0))</f>
        <v>0</v>
      </c>
      <c r="AG217" s="9">
        <f>SUM(IFERROR(VLOOKUP($C:$C,Structure!$A:$AJ,AG$1,0)*$D217,0),IFERROR(VLOOKUP($E:$E,Structure!$A:$AJ,AG$1,0)*$F217,0),IFERROR(VLOOKUP($G:$G,Structure!$A:$AJ,AG$1,0)*$H217,0))</f>
        <v>0</v>
      </c>
      <c r="AH217" s="9">
        <f>SUM(IFERROR(VLOOKUP($C:$C,Structure!$A:$AJ,AH$1,0)*$D217,0),IFERROR(VLOOKUP($E:$E,Structure!$A:$AJ,AH$1,0)*$F217,0),IFERROR(VLOOKUP($G:$G,Structure!$A:$AJ,AH$1,0)*$H217,0))</f>
        <v>0</v>
      </c>
      <c r="AI217" s="9">
        <f>SUM(IFERROR(VLOOKUP($C:$C,Structure!$A:$AJ,AI$1,0)*$D217,0),IFERROR(VLOOKUP($E:$E,Structure!$A:$AJ,AI$1,0)*$F217,0),IFERROR(VLOOKUP($G:$G,Structure!$A:$AJ,AI$1,0)*$H217,0))</f>
        <v>0</v>
      </c>
      <c r="AJ217" s="9">
        <f>SUM(IFERROR(VLOOKUP($C:$C,Structure!$A:$AJ,AJ$1,0)*$D217,0),IFERROR(VLOOKUP($E:$E,Structure!$A:$AJ,AJ$1,0)*$F217,0),IFERROR(VLOOKUP($G:$G,Structure!$A:$AJ,AJ$1,0)*$H217,0))</f>
        <v>0</v>
      </c>
      <c r="AK217" s="9">
        <f>SUM(IFERROR(VLOOKUP($C:$C,Structure!$A:$AJ,AK$1,0)*$D217,0),IFERROR(VLOOKUP($E:$E,Structure!$A:$AJ,AK$1,0)*$F217,0),IFERROR(VLOOKUP($G:$G,Structure!$A:$AJ,AK$1,0)*$H217,0))</f>
        <v>0</v>
      </c>
      <c r="AL217" s="9">
        <f>SUM(IFERROR(VLOOKUP($C:$C,Structure!$A:$AJ,AL$1,0)*$D217,0),IFERROR(VLOOKUP($E:$E,Structure!$A:$AJ,AL$1,0)*$F217,0),IFERROR(VLOOKUP($G:$G,Structure!$A:$AJ,AL$1,0)*$H217,0))</f>
        <v>0</v>
      </c>
      <c r="AM217" s="9">
        <f>SUM(IFERROR(VLOOKUP($C:$C,Structure!$A:$AJ,AM$1,0)*$D217,0),IFERROR(VLOOKUP($E:$E,Structure!$A:$AJ,AM$1,0)*$F217,0),IFERROR(VLOOKUP($G:$G,Structure!$A:$AJ,AM$1,0)*$H217,0))</f>
        <v>0</v>
      </c>
      <c r="AN217" s="9">
        <f>SUM(IFERROR(VLOOKUP($C:$C,Structure!$A:$AJ,AN$1,0)*$D217,0),IFERROR(VLOOKUP($E:$E,Structure!$A:$AJ,AN$1,0)*$F217,0),IFERROR(VLOOKUP($G:$G,Structure!$A:$AJ,AN$1,0)*$H217,0))</f>
        <v>0</v>
      </c>
      <c r="AO217" s="9">
        <f>SUM(IFERROR(VLOOKUP($C:$C,Structure!$A:$AJ,AO$1,0)*$D217,0),IFERROR(VLOOKUP($E:$E,Structure!$A:$AJ,AO$1,0)*$F217,0),IFERROR(VLOOKUP($G:$G,Structure!$A:$AJ,AO$1,0)*$H217,0))</f>
        <v>0</v>
      </c>
      <c r="AP217" s="9">
        <f>SUM(IFERROR(VLOOKUP($C:$C,Structure!$A:$AJ,AP$1,0)*$D217,0),IFERROR(VLOOKUP($E:$E,Structure!$A:$AJ,AP$1,0)*$F217,0),IFERROR(VLOOKUP($G:$G,Structure!$A:$AJ,AP$1,0)*$H217,0))</f>
        <v>0</v>
      </c>
      <c r="AQ217" s="9">
        <f>SUM(IFERROR(VLOOKUP($C:$C,Structure!$A:$AJ,AQ$1,0)*$D217,0),IFERROR(VLOOKUP($E:$E,Structure!$A:$AJ,AQ$1,0)*$F217,0),IFERROR(VLOOKUP($G:$G,Structure!$A:$AJ,AQ$1,0)*$H217,0))</f>
        <v>0</v>
      </c>
      <c r="AR217" s="21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4">
        <f t="shared" si="232"/>
        <v>0</v>
      </c>
      <c r="CE217" s="4">
        <f t="shared" si="233"/>
        <v>-180</v>
      </c>
      <c r="CF217" s="4">
        <f t="shared" si="234"/>
        <v>4</v>
      </c>
      <c r="CG217" s="4">
        <f t="shared" si="235"/>
        <v>11</v>
      </c>
      <c r="CH217" s="4">
        <f t="shared" si="236"/>
        <v>-7</v>
      </c>
      <c r="CI217" s="4">
        <f t="shared" si="237"/>
        <v>103</v>
      </c>
      <c r="CJ217" s="4">
        <f t="shared" si="238"/>
        <v>-237</v>
      </c>
      <c r="CK217" s="4">
        <f t="shared" si="239"/>
        <v>-1</v>
      </c>
      <c r="CL217" s="4">
        <f t="shared" si="240"/>
        <v>0</v>
      </c>
      <c r="CM217" s="4">
        <f t="shared" si="241"/>
        <v>6</v>
      </c>
      <c r="CN217" s="4">
        <f t="shared" si="242"/>
        <v>-124</v>
      </c>
      <c r="CO217" s="4">
        <f t="shared" si="243"/>
        <v>0</v>
      </c>
      <c r="CP217" s="4">
        <f t="shared" si="244"/>
        <v>67</v>
      </c>
      <c r="CQ217" s="4">
        <f t="shared" si="245"/>
        <v>-550</v>
      </c>
      <c r="CR217" s="4">
        <f t="shared" si="246"/>
        <v>12</v>
      </c>
      <c r="CS217" s="4">
        <f t="shared" si="247"/>
        <v>-48</v>
      </c>
      <c r="CT217" s="4">
        <f t="shared" si="248"/>
        <v>0</v>
      </c>
      <c r="CU217" s="4">
        <f t="shared" si="249"/>
        <v>0</v>
      </c>
      <c r="CV217" s="4">
        <f t="shared" si="250"/>
        <v>0</v>
      </c>
      <c r="CW217" s="4">
        <f t="shared" si="251"/>
        <v>0</v>
      </c>
      <c r="CX217" s="4">
        <f t="shared" si="252"/>
        <v>-543</v>
      </c>
      <c r="CY217" s="4">
        <f t="shared" si="253"/>
        <v>0</v>
      </c>
      <c r="CZ217" s="4">
        <f t="shared" si="254"/>
        <v>0</v>
      </c>
      <c r="DA217" s="4">
        <f t="shared" si="255"/>
        <v>0</v>
      </c>
      <c r="DB217" s="4">
        <f t="shared" si="256"/>
        <v>0</v>
      </c>
      <c r="DC217" s="4">
        <f t="shared" si="257"/>
        <v>0</v>
      </c>
      <c r="DD217" s="4">
        <f t="shared" si="258"/>
        <v>0</v>
      </c>
      <c r="DE217" s="4">
        <f t="shared" si="259"/>
        <v>0</v>
      </c>
      <c r="DF217" s="4">
        <f t="shared" si="260"/>
        <v>0</v>
      </c>
      <c r="DG217" s="4">
        <f t="shared" si="261"/>
        <v>0</v>
      </c>
      <c r="DH217" s="4">
        <f t="shared" si="262"/>
        <v>0</v>
      </c>
      <c r="DI217" s="4">
        <f t="shared" si="263"/>
        <v>0</v>
      </c>
      <c r="DJ217" s="4">
        <f t="shared" si="264"/>
        <v>0</v>
      </c>
      <c r="DK217" s="4">
        <f t="shared" si="265"/>
        <v>0</v>
      </c>
      <c r="DL217" s="4">
        <f t="shared" si="266"/>
        <v>0</v>
      </c>
    </row>
    <row r="218" spans="1:116" x14ac:dyDescent="0.25">
      <c r="A218" s="5">
        <v>46187</v>
      </c>
      <c r="B218" s="6">
        <v>0.7916666671881103</v>
      </c>
      <c r="C218" s="3"/>
      <c r="D218" s="3"/>
      <c r="E218" s="3" t="s">
        <v>57</v>
      </c>
      <c r="F218" s="3">
        <v>8</v>
      </c>
      <c r="G218" s="3"/>
      <c r="H218" s="9"/>
      <c r="I218" s="9">
        <f>SUM(IFERROR(VLOOKUP($C:$C,Structure!$A:$AJ,I$1,0)*$D218,0),IFERROR(VLOOKUP($E:$E,Structure!$A:$AJ,I$1,0)*$F218,0),IFERROR(VLOOKUP($G:$G,Structure!$A:$AJ,I$1,0)*$H218,0))</f>
        <v>0</v>
      </c>
      <c r="J218" s="9">
        <f>SUM(IFERROR(VLOOKUP($C:$C,Structure!$A:$AJ,J$1,0)*$D218,0),IFERROR(VLOOKUP($E:$E,Structure!$A:$AJ,J$1,0)*$F218,0),IFERROR(VLOOKUP($G:$G,Structure!$A:$AJ,J$1,0)*$H218,0))</f>
        <v>0</v>
      </c>
      <c r="K218" s="9">
        <f>SUM(IFERROR(VLOOKUP($C:$C,Structure!$A:$AJ,K$1,0)*$D218,0),IFERROR(VLOOKUP($E:$E,Structure!$A:$AJ,K$1,0)*$F218,0),IFERROR(VLOOKUP($G:$G,Structure!$A:$AJ,K$1,0)*$H218,0))</f>
        <v>0</v>
      </c>
      <c r="L218" s="9">
        <f>SUM(IFERROR(VLOOKUP($C:$C,Structure!$A:$AJ,L$1,0)*$D218,0),IFERROR(VLOOKUP($E:$E,Structure!$A:$AJ,L$1,0)*$F218,0),IFERROR(VLOOKUP($G:$G,Structure!$A:$AJ,L$1,0)*$H218,0))</f>
        <v>0</v>
      </c>
      <c r="M218" s="9">
        <f>SUM(IFERROR(VLOOKUP($C:$C,Structure!$A:$AJ,M$1,0)*$D218,0),IFERROR(VLOOKUP($E:$E,Structure!$A:$AJ,M$1,0)*$F218,0),IFERROR(VLOOKUP($G:$G,Structure!$A:$AJ,M$1,0)*$H218,0))</f>
        <v>0</v>
      </c>
      <c r="N218" s="9">
        <f>SUM(IFERROR(VLOOKUP($C:$C,Structure!$A:$AJ,N$1,0)*$D218,0),IFERROR(VLOOKUP($E:$E,Structure!$A:$AJ,N$1,0)*$F218,0),IFERROR(VLOOKUP($G:$G,Structure!$A:$AJ,N$1,0)*$H218,0))</f>
        <v>0</v>
      </c>
      <c r="O218" s="9">
        <f>SUM(IFERROR(VLOOKUP($C:$C,Structure!$A:$AJ,O$1,0)*$D218,0),IFERROR(VLOOKUP($E:$E,Structure!$A:$AJ,O$1,0)*$F218,0),IFERROR(VLOOKUP($G:$G,Structure!$A:$AJ,O$1,0)*$H218,0))</f>
        <v>8</v>
      </c>
      <c r="P218" s="9">
        <f>SUM(IFERROR(VLOOKUP($C:$C,Structure!$A:$AJ,P$1,0)*$D218,0),IFERROR(VLOOKUP($E:$E,Structure!$A:$AJ,P$1,0)*$F218,0),IFERROR(VLOOKUP($G:$G,Structure!$A:$AJ,P$1,0)*$H218,0))</f>
        <v>0</v>
      </c>
      <c r="Q218" s="9">
        <f>SUM(IFERROR(VLOOKUP($C:$C,Structure!$A:$AJ,Q$1,0)*$D218,0),IFERROR(VLOOKUP($E:$E,Structure!$A:$AJ,Q$1,0)*$F218,0),IFERROR(VLOOKUP($G:$G,Structure!$A:$AJ,Q$1,0)*$H218,0))</f>
        <v>0</v>
      </c>
      <c r="R218" s="9">
        <f>SUM(IFERROR(VLOOKUP($C:$C,Structure!$A:$AJ,R$1,0)*$D218,0),IFERROR(VLOOKUP($E:$E,Structure!$A:$AJ,R$1,0)*$F218,0),IFERROR(VLOOKUP($G:$G,Structure!$A:$AJ,R$1,0)*$H218,0))</f>
        <v>0</v>
      </c>
      <c r="S218" s="9">
        <f>SUM(IFERROR(VLOOKUP($C:$C,Structure!$A:$AJ,S$1,0)*$D218,0),IFERROR(VLOOKUP($E:$E,Structure!$A:$AJ,S$1,0)*$F218,0),IFERROR(VLOOKUP($G:$G,Structure!$A:$AJ,S$1,0)*$H218,0))</f>
        <v>8</v>
      </c>
      <c r="T218" s="9">
        <f>SUM(IFERROR(VLOOKUP($C:$C,Structure!$A:$AJ,T$1,0)*$D218,0),IFERROR(VLOOKUP($E:$E,Structure!$A:$AJ,T$1,0)*$F218,0),IFERROR(VLOOKUP($G:$G,Structure!$A:$AJ,T$1,0)*$H218,0))</f>
        <v>0</v>
      </c>
      <c r="U218" s="9">
        <f>SUM(IFERROR(VLOOKUP($C:$C,Structure!$A:$AJ,U$1,0)*$D218,0),IFERROR(VLOOKUP($E:$E,Structure!$A:$AJ,U$1,0)*$F218,0),IFERROR(VLOOKUP($G:$G,Structure!$A:$AJ,U$1,0)*$H218,0))</f>
        <v>0</v>
      </c>
      <c r="V218" s="9">
        <f>SUM(IFERROR(VLOOKUP($C:$C,Structure!$A:$AJ,V$1,0)*$D218,0),IFERROR(VLOOKUP($E:$E,Structure!$A:$AJ,V$1,0)*$F218,0),IFERROR(VLOOKUP($G:$G,Structure!$A:$AJ,V$1,0)*$H218,0))</f>
        <v>0</v>
      </c>
      <c r="W218" s="9">
        <f>SUM(IFERROR(VLOOKUP($C:$C,Structure!$A:$AJ,W$1,0)*$D218,0),IFERROR(VLOOKUP($E:$E,Structure!$A:$AJ,W$1,0)*$F218,0),IFERROR(VLOOKUP($G:$G,Structure!$A:$AJ,W$1,0)*$H218,0))</f>
        <v>0</v>
      </c>
      <c r="X218" s="9">
        <f>SUM(IFERROR(VLOOKUP($C:$C,Structure!$A:$AJ,X$1,0)*$D218,0),IFERROR(VLOOKUP($E:$E,Structure!$A:$AJ,X$1,0)*$F218,0),IFERROR(VLOOKUP($G:$G,Structure!$A:$AJ,X$1,0)*$H218,0))</f>
        <v>0</v>
      </c>
      <c r="Y218" s="9">
        <f>SUM(IFERROR(VLOOKUP($C:$C,Structure!$A:$AJ,Y$1,0)*$D218,0),IFERROR(VLOOKUP($E:$E,Structure!$A:$AJ,Y$1,0)*$F218,0),IFERROR(VLOOKUP($G:$G,Structure!$A:$AJ,Y$1,0)*$H218,0))</f>
        <v>0</v>
      </c>
      <c r="Z218" s="9">
        <f>SUM(IFERROR(VLOOKUP($C:$C,Structure!$A:$AJ,Z$1,0)*$D218,0),IFERROR(VLOOKUP($E:$E,Structure!$A:$AJ,Z$1,0)*$F218,0),IFERROR(VLOOKUP($G:$G,Structure!$A:$AJ,Z$1,0)*$H218,0))</f>
        <v>0</v>
      </c>
      <c r="AA218" s="9">
        <f>SUM(IFERROR(VLOOKUP($C:$C,Structure!$A:$AJ,AA$1,0)*$D218,0),IFERROR(VLOOKUP($E:$E,Structure!$A:$AJ,AA$1,0)*$F218,0),IFERROR(VLOOKUP($G:$G,Structure!$A:$AJ,AA$1,0)*$H218,0))</f>
        <v>0</v>
      </c>
      <c r="AB218" s="9">
        <f>SUM(IFERROR(VLOOKUP($C:$C,Structure!$A:$AJ,AB$1,0)*$D218,0),IFERROR(VLOOKUP($E:$E,Structure!$A:$AJ,AB$1,0)*$F218,0),IFERROR(VLOOKUP($G:$G,Structure!$A:$AJ,AB$1,0)*$H218,0))</f>
        <v>0</v>
      </c>
      <c r="AC218" s="9">
        <f>SUM(IFERROR(VLOOKUP($C:$C,Structure!$A:$AJ,AC$1,0)*$D218,0),IFERROR(VLOOKUP($E:$E,Structure!$A:$AJ,AC$1,0)*$F218,0),IFERROR(VLOOKUP($G:$G,Structure!$A:$AJ,AC$1,0)*$H218,0))</f>
        <v>0</v>
      </c>
      <c r="AD218" s="9">
        <f>SUM(IFERROR(VLOOKUP($C:$C,Structure!$A:$AJ,AD$1,0)*$D218,0),IFERROR(VLOOKUP($E:$E,Structure!$A:$AJ,AD$1,0)*$F218,0),IFERROR(VLOOKUP($G:$G,Structure!$A:$AJ,AD$1,0)*$H218,0))</f>
        <v>0</v>
      </c>
      <c r="AE218" s="9">
        <f>SUM(IFERROR(VLOOKUP($C:$C,Structure!$A:$AJ,AE$1,0)*$D218,0),IFERROR(VLOOKUP($E:$E,Structure!$A:$AJ,AE$1,0)*$F218,0),IFERROR(VLOOKUP($G:$G,Structure!$A:$AJ,AE$1,0)*$H218,0))</f>
        <v>0</v>
      </c>
      <c r="AF218" s="9">
        <f>SUM(IFERROR(VLOOKUP($C:$C,Structure!$A:$AJ,AF$1,0)*$D218,0),IFERROR(VLOOKUP($E:$E,Structure!$A:$AJ,AF$1,0)*$F218,0),IFERROR(VLOOKUP($G:$G,Structure!$A:$AJ,AF$1,0)*$H218,0))</f>
        <v>0</v>
      </c>
      <c r="AG218" s="9">
        <f>SUM(IFERROR(VLOOKUP($C:$C,Structure!$A:$AJ,AG$1,0)*$D218,0),IFERROR(VLOOKUP($E:$E,Structure!$A:$AJ,AG$1,0)*$F218,0),IFERROR(VLOOKUP($G:$G,Structure!$A:$AJ,AG$1,0)*$H218,0))</f>
        <v>0</v>
      </c>
      <c r="AH218" s="9">
        <f>SUM(IFERROR(VLOOKUP($C:$C,Structure!$A:$AJ,AH$1,0)*$D218,0),IFERROR(VLOOKUP($E:$E,Structure!$A:$AJ,AH$1,0)*$F218,0),IFERROR(VLOOKUP($G:$G,Structure!$A:$AJ,AH$1,0)*$H218,0))</f>
        <v>0</v>
      </c>
      <c r="AI218" s="9">
        <f>SUM(IFERROR(VLOOKUP($C:$C,Structure!$A:$AJ,AI$1,0)*$D218,0),IFERROR(VLOOKUP($E:$E,Structure!$A:$AJ,AI$1,0)*$F218,0),IFERROR(VLOOKUP($G:$G,Structure!$A:$AJ,AI$1,0)*$H218,0))</f>
        <v>0</v>
      </c>
      <c r="AJ218" s="9">
        <f>SUM(IFERROR(VLOOKUP($C:$C,Structure!$A:$AJ,AJ$1,0)*$D218,0),IFERROR(VLOOKUP($E:$E,Structure!$A:$AJ,AJ$1,0)*$F218,0),IFERROR(VLOOKUP($G:$G,Structure!$A:$AJ,AJ$1,0)*$H218,0))</f>
        <v>0</v>
      </c>
      <c r="AK218" s="9">
        <f>SUM(IFERROR(VLOOKUP($C:$C,Structure!$A:$AJ,AK$1,0)*$D218,0),IFERROR(VLOOKUP($E:$E,Structure!$A:$AJ,AK$1,0)*$F218,0),IFERROR(VLOOKUP($G:$G,Structure!$A:$AJ,AK$1,0)*$H218,0))</f>
        <v>0</v>
      </c>
      <c r="AL218" s="9">
        <f>SUM(IFERROR(VLOOKUP($C:$C,Structure!$A:$AJ,AL$1,0)*$D218,0),IFERROR(VLOOKUP($E:$E,Structure!$A:$AJ,AL$1,0)*$F218,0),IFERROR(VLOOKUP($G:$G,Structure!$A:$AJ,AL$1,0)*$H218,0))</f>
        <v>0</v>
      </c>
      <c r="AM218" s="9">
        <f>SUM(IFERROR(VLOOKUP($C:$C,Structure!$A:$AJ,AM$1,0)*$D218,0),IFERROR(VLOOKUP($E:$E,Structure!$A:$AJ,AM$1,0)*$F218,0),IFERROR(VLOOKUP($G:$G,Structure!$A:$AJ,AM$1,0)*$H218,0))</f>
        <v>0</v>
      </c>
      <c r="AN218" s="9">
        <f>SUM(IFERROR(VLOOKUP($C:$C,Structure!$A:$AJ,AN$1,0)*$D218,0),IFERROR(VLOOKUP($E:$E,Structure!$A:$AJ,AN$1,0)*$F218,0),IFERROR(VLOOKUP($G:$G,Structure!$A:$AJ,AN$1,0)*$H218,0))</f>
        <v>0</v>
      </c>
      <c r="AO218" s="9">
        <f>SUM(IFERROR(VLOOKUP($C:$C,Structure!$A:$AJ,AO$1,0)*$D218,0),IFERROR(VLOOKUP($E:$E,Structure!$A:$AJ,AO$1,0)*$F218,0),IFERROR(VLOOKUP($G:$G,Structure!$A:$AJ,AO$1,0)*$H218,0))</f>
        <v>0</v>
      </c>
      <c r="AP218" s="9">
        <f>SUM(IFERROR(VLOOKUP($C:$C,Structure!$A:$AJ,AP$1,0)*$D218,0),IFERROR(VLOOKUP($E:$E,Structure!$A:$AJ,AP$1,0)*$F218,0),IFERROR(VLOOKUP($G:$G,Structure!$A:$AJ,AP$1,0)*$H218,0))</f>
        <v>0</v>
      </c>
      <c r="AQ218" s="9">
        <f>SUM(IFERROR(VLOOKUP($C:$C,Structure!$A:$AJ,AQ$1,0)*$D218,0),IFERROR(VLOOKUP($E:$E,Structure!$A:$AJ,AQ$1,0)*$F218,0),IFERROR(VLOOKUP($G:$G,Structure!$A:$AJ,AQ$1,0)*$H218,0))</f>
        <v>0</v>
      </c>
      <c r="AR218" s="21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4">
        <f t="shared" si="232"/>
        <v>0</v>
      </c>
      <c r="CE218" s="4">
        <f t="shared" si="233"/>
        <v>-180</v>
      </c>
      <c r="CF218" s="4">
        <f t="shared" si="234"/>
        <v>4</v>
      </c>
      <c r="CG218" s="4">
        <f t="shared" si="235"/>
        <v>11</v>
      </c>
      <c r="CH218" s="4">
        <f t="shared" si="236"/>
        <v>-7</v>
      </c>
      <c r="CI218" s="4">
        <f t="shared" si="237"/>
        <v>103</v>
      </c>
      <c r="CJ218" s="4">
        <f t="shared" si="238"/>
        <v>-245</v>
      </c>
      <c r="CK218" s="4">
        <f t="shared" si="239"/>
        <v>-1</v>
      </c>
      <c r="CL218" s="4">
        <f t="shared" si="240"/>
        <v>0</v>
      </c>
      <c r="CM218" s="4">
        <f t="shared" si="241"/>
        <v>6</v>
      </c>
      <c r="CN218" s="4">
        <f t="shared" si="242"/>
        <v>-132</v>
      </c>
      <c r="CO218" s="4">
        <f t="shared" si="243"/>
        <v>0</v>
      </c>
      <c r="CP218" s="4">
        <f t="shared" si="244"/>
        <v>67</v>
      </c>
      <c r="CQ218" s="4">
        <f t="shared" si="245"/>
        <v>-550</v>
      </c>
      <c r="CR218" s="4">
        <f t="shared" si="246"/>
        <v>12</v>
      </c>
      <c r="CS218" s="4">
        <f t="shared" si="247"/>
        <v>-48</v>
      </c>
      <c r="CT218" s="4">
        <f t="shared" si="248"/>
        <v>0</v>
      </c>
      <c r="CU218" s="4">
        <f t="shared" si="249"/>
        <v>0</v>
      </c>
      <c r="CV218" s="4">
        <f t="shared" si="250"/>
        <v>0</v>
      </c>
      <c r="CW218" s="4">
        <f t="shared" si="251"/>
        <v>0</v>
      </c>
      <c r="CX218" s="4">
        <f t="shared" si="252"/>
        <v>-543</v>
      </c>
      <c r="CY218" s="4">
        <f t="shared" si="253"/>
        <v>0</v>
      </c>
      <c r="CZ218" s="4">
        <f t="shared" si="254"/>
        <v>0</v>
      </c>
      <c r="DA218" s="4">
        <f t="shared" si="255"/>
        <v>0</v>
      </c>
      <c r="DB218" s="4">
        <f t="shared" si="256"/>
        <v>0</v>
      </c>
      <c r="DC218" s="4">
        <f t="shared" si="257"/>
        <v>0</v>
      </c>
      <c r="DD218" s="4">
        <f t="shared" si="258"/>
        <v>0</v>
      </c>
      <c r="DE218" s="4">
        <f t="shared" si="259"/>
        <v>0</v>
      </c>
      <c r="DF218" s="4">
        <f t="shared" si="260"/>
        <v>0</v>
      </c>
      <c r="DG218" s="4">
        <f t="shared" si="261"/>
        <v>0</v>
      </c>
      <c r="DH218" s="4">
        <f t="shared" si="262"/>
        <v>0</v>
      </c>
      <c r="DI218" s="4">
        <f t="shared" si="263"/>
        <v>0</v>
      </c>
      <c r="DJ218" s="4">
        <f t="shared" si="264"/>
        <v>0</v>
      </c>
      <c r="DK218" s="4">
        <f t="shared" si="265"/>
        <v>0</v>
      </c>
      <c r="DL218" s="4">
        <f t="shared" si="266"/>
        <v>0</v>
      </c>
    </row>
    <row r="219" spans="1:116" x14ac:dyDescent="0.25">
      <c r="A219" s="5">
        <v>46187</v>
      </c>
      <c r="B219" s="6">
        <v>0.81250000052386895</v>
      </c>
      <c r="C219" s="3"/>
      <c r="D219" s="3"/>
      <c r="E219" s="3" t="s">
        <v>57</v>
      </c>
      <c r="F219" s="3">
        <v>8</v>
      </c>
      <c r="G219" s="3"/>
      <c r="H219" s="9"/>
      <c r="I219" s="9">
        <f>SUM(IFERROR(VLOOKUP($C:$C,Structure!$A:$AJ,I$1,0)*$D219,0),IFERROR(VLOOKUP($E:$E,Structure!$A:$AJ,I$1,0)*$F219,0),IFERROR(VLOOKUP($G:$G,Structure!$A:$AJ,I$1,0)*$H219,0))</f>
        <v>0</v>
      </c>
      <c r="J219" s="9">
        <f>SUM(IFERROR(VLOOKUP($C:$C,Structure!$A:$AJ,J$1,0)*$D219,0),IFERROR(VLOOKUP($E:$E,Structure!$A:$AJ,J$1,0)*$F219,0),IFERROR(VLOOKUP($G:$G,Structure!$A:$AJ,J$1,0)*$H219,0))</f>
        <v>0</v>
      </c>
      <c r="K219" s="9">
        <f>SUM(IFERROR(VLOOKUP($C:$C,Structure!$A:$AJ,K$1,0)*$D219,0),IFERROR(VLOOKUP($E:$E,Structure!$A:$AJ,K$1,0)*$F219,0),IFERROR(VLOOKUP($G:$G,Structure!$A:$AJ,K$1,0)*$H219,0))</f>
        <v>0</v>
      </c>
      <c r="L219" s="9">
        <f>SUM(IFERROR(VLOOKUP($C:$C,Structure!$A:$AJ,L$1,0)*$D219,0),IFERROR(VLOOKUP($E:$E,Structure!$A:$AJ,L$1,0)*$F219,0),IFERROR(VLOOKUP($G:$G,Structure!$A:$AJ,L$1,0)*$H219,0))</f>
        <v>0</v>
      </c>
      <c r="M219" s="9">
        <f>SUM(IFERROR(VLOOKUP($C:$C,Structure!$A:$AJ,M$1,0)*$D219,0),IFERROR(VLOOKUP($E:$E,Structure!$A:$AJ,M$1,0)*$F219,0),IFERROR(VLOOKUP($G:$G,Structure!$A:$AJ,M$1,0)*$H219,0))</f>
        <v>0</v>
      </c>
      <c r="N219" s="9">
        <f>SUM(IFERROR(VLOOKUP($C:$C,Structure!$A:$AJ,N$1,0)*$D219,0),IFERROR(VLOOKUP($E:$E,Structure!$A:$AJ,N$1,0)*$F219,0),IFERROR(VLOOKUP($G:$G,Structure!$A:$AJ,N$1,0)*$H219,0))</f>
        <v>0</v>
      </c>
      <c r="O219" s="9">
        <f>SUM(IFERROR(VLOOKUP($C:$C,Structure!$A:$AJ,O$1,0)*$D219,0),IFERROR(VLOOKUP($E:$E,Structure!$A:$AJ,O$1,0)*$F219,0),IFERROR(VLOOKUP($G:$G,Structure!$A:$AJ,O$1,0)*$H219,0))</f>
        <v>8</v>
      </c>
      <c r="P219" s="9">
        <f>SUM(IFERROR(VLOOKUP($C:$C,Structure!$A:$AJ,P$1,0)*$D219,0),IFERROR(VLOOKUP($E:$E,Structure!$A:$AJ,P$1,0)*$F219,0),IFERROR(VLOOKUP($G:$G,Structure!$A:$AJ,P$1,0)*$H219,0))</f>
        <v>0</v>
      </c>
      <c r="Q219" s="9">
        <f>SUM(IFERROR(VLOOKUP($C:$C,Structure!$A:$AJ,Q$1,0)*$D219,0),IFERROR(VLOOKUP($E:$E,Structure!$A:$AJ,Q$1,0)*$F219,0),IFERROR(VLOOKUP($G:$G,Structure!$A:$AJ,Q$1,0)*$H219,0))</f>
        <v>0</v>
      </c>
      <c r="R219" s="9">
        <f>SUM(IFERROR(VLOOKUP($C:$C,Structure!$A:$AJ,R$1,0)*$D219,0),IFERROR(VLOOKUP($E:$E,Structure!$A:$AJ,R$1,0)*$F219,0),IFERROR(VLOOKUP($G:$G,Structure!$A:$AJ,R$1,0)*$H219,0))</f>
        <v>0</v>
      </c>
      <c r="S219" s="9">
        <f>SUM(IFERROR(VLOOKUP($C:$C,Structure!$A:$AJ,S$1,0)*$D219,0),IFERROR(VLOOKUP($E:$E,Structure!$A:$AJ,S$1,0)*$F219,0),IFERROR(VLOOKUP($G:$G,Structure!$A:$AJ,S$1,0)*$H219,0))</f>
        <v>8</v>
      </c>
      <c r="T219" s="9">
        <f>SUM(IFERROR(VLOOKUP($C:$C,Structure!$A:$AJ,T$1,0)*$D219,0),IFERROR(VLOOKUP($E:$E,Structure!$A:$AJ,T$1,0)*$F219,0),IFERROR(VLOOKUP($G:$G,Structure!$A:$AJ,T$1,0)*$H219,0))</f>
        <v>0</v>
      </c>
      <c r="U219" s="9">
        <f>SUM(IFERROR(VLOOKUP($C:$C,Structure!$A:$AJ,U$1,0)*$D219,0),IFERROR(VLOOKUP($E:$E,Structure!$A:$AJ,U$1,0)*$F219,0),IFERROR(VLOOKUP($G:$G,Structure!$A:$AJ,U$1,0)*$H219,0))</f>
        <v>0</v>
      </c>
      <c r="V219" s="9">
        <f>SUM(IFERROR(VLOOKUP($C:$C,Structure!$A:$AJ,V$1,0)*$D219,0),IFERROR(VLOOKUP($E:$E,Structure!$A:$AJ,V$1,0)*$F219,0),IFERROR(VLOOKUP($G:$G,Structure!$A:$AJ,V$1,0)*$H219,0))</f>
        <v>0</v>
      </c>
      <c r="W219" s="9">
        <f>SUM(IFERROR(VLOOKUP($C:$C,Structure!$A:$AJ,W$1,0)*$D219,0),IFERROR(VLOOKUP($E:$E,Structure!$A:$AJ,W$1,0)*$F219,0),IFERROR(VLOOKUP($G:$G,Structure!$A:$AJ,W$1,0)*$H219,0))</f>
        <v>0</v>
      </c>
      <c r="X219" s="9">
        <f>SUM(IFERROR(VLOOKUP($C:$C,Structure!$A:$AJ,X$1,0)*$D219,0),IFERROR(VLOOKUP($E:$E,Structure!$A:$AJ,X$1,0)*$F219,0),IFERROR(VLOOKUP($G:$G,Structure!$A:$AJ,X$1,0)*$H219,0))</f>
        <v>0</v>
      </c>
      <c r="Y219" s="9">
        <f>SUM(IFERROR(VLOOKUP($C:$C,Structure!$A:$AJ,Y$1,0)*$D219,0),IFERROR(VLOOKUP($E:$E,Structure!$A:$AJ,Y$1,0)*$F219,0),IFERROR(VLOOKUP($G:$G,Structure!$A:$AJ,Y$1,0)*$H219,0))</f>
        <v>0</v>
      </c>
      <c r="Z219" s="9">
        <f>SUM(IFERROR(VLOOKUP($C:$C,Structure!$A:$AJ,Z$1,0)*$D219,0),IFERROR(VLOOKUP($E:$E,Structure!$A:$AJ,Z$1,0)*$F219,0),IFERROR(VLOOKUP($G:$G,Structure!$A:$AJ,Z$1,0)*$H219,0))</f>
        <v>0</v>
      </c>
      <c r="AA219" s="9">
        <f>SUM(IFERROR(VLOOKUP($C:$C,Structure!$A:$AJ,AA$1,0)*$D219,0),IFERROR(VLOOKUP($E:$E,Structure!$A:$AJ,AA$1,0)*$F219,0),IFERROR(VLOOKUP($G:$G,Structure!$A:$AJ,AA$1,0)*$H219,0))</f>
        <v>0</v>
      </c>
      <c r="AB219" s="9">
        <f>SUM(IFERROR(VLOOKUP($C:$C,Structure!$A:$AJ,AB$1,0)*$D219,0),IFERROR(VLOOKUP($E:$E,Structure!$A:$AJ,AB$1,0)*$F219,0),IFERROR(VLOOKUP($G:$G,Structure!$A:$AJ,AB$1,0)*$H219,0))</f>
        <v>0</v>
      </c>
      <c r="AC219" s="9">
        <f>SUM(IFERROR(VLOOKUP($C:$C,Structure!$A:$AJ,AC$1,0)*$D219,0),IFERROR(VLOOKUP($E:$E,Structure!$A:$AJ,AC$1,0)*$F219,0),IFERROR(VLOOKUP($G:$G,Structure!$A:$AJ,AC$1,0)*$H219,0))</f>
        <v>0</v>
      </c>
      <c r="AD219" s="9">
        <f>SUM(IFERROR(VLOOKUP($C:$C,Structure!$A:$AJ,AD$1,0)*$D219,0),IFERROR(VLOOKUP($E:$E,Structure!$A:$AJ,AD$1,0)*$F219,0),IFERROR(VLOOKUP($G:$G,Structure!$A:$AJ,AD$1,0)*$H219,0))</f>
        <v>0</v>
      </c>
      <c r="AE219" s="9">
        <f>SUM(IFERROR(VLOOKUP($C:$C,Structure!$A:$AJ,AE$1,0)*$D219,0),IFERROR(VLOOKUP($E:$E,Structure!$A:$AJ,AE$1,0)*$F219,0),IFERROR(VLOOKUP($G:$G,Structure!$A:$AJ,AE$1,0)*$H219,0))</f>
        <v>0</v>
      </c>
      <c r="AF219" s="9">
        <f>SUM(IFERROR(VLOOKUP($C:$C,Structure!$A:$AJ,AF$1,0)*$D219,0),IFERROR(VLOOKUP($E:$E,Structure!$A:$AJ,AF$1,0)*$F219,0),IFERROR(VLOOKUP($G:$G,Structure!$A:$AJ,AF$1,0)*$H219,0))</f>
        <v>0</v>
      </c>
      <c r="AG219" s="9">
        <f>SUM(IFERROR(VLOOKUP($C:$C,Structure!$A:$AJ,AG$1,0)*$D219,0),IFERROR(VLOOKUP($E:$E,Structure!$A:$AJ,AG$1,0)*$F219,0),IFERROR(VLOOKUP($G:$G,Structure!$A:$AJ,AG$1,0)*$H219,0))</f>
        <v>0</v>
      </c>
      <c r="AH219" s="9">
        <f>SUM(IFERROR(VLOOKUP($C:$C,Structure!$A:$AJ,AH$1,0)*$D219,0),IFERROR(VLOOKUP($E:$E,Structure!$A:$AJ,AH$1,0)*$F219,0),IFERROR(VLOOKUP($G:$G,Structure!$A:$AJ,AH$1,0)*$H219,0))</f>
        <v>0</v>
      </c>
      <c r="AI219" s="9">
        <f>SUM(IFERROR(VLOOKUP($C:$C,Structure!$A:$AJ,AI$1,0)*$D219,0),IFERROR(VLOOKUP($E:$E,Structure!$A:$AJ,AI$1,0)*$F219,0),IFERROR(VLOOKUP($G:$G,Structure!$A:$AJ,AI$1,0)*$H219,0))</f>
        <v>0</v>
      </c>
      <c r="AJ219" s="9">
        <f>SUM(IFERROR(VLOOKUP($C:$C,Structure!$A:$AJ,AJ$1,0)*$D219,0),IFERROR(VLOOKUP($E:$E,Structure!$A:$AJ,AJ$1,0)*$F219,0),IFERROR(VLOOKUP($G:$G,Structure!$A:$AJ,AJ$1,0)*$H219,0))</f>
        <v>0</v>
      </c>
      <c r="AK219" s="9">
        <f>SUM(IFERROR(VLOOKUP($C:$C,Structure!$A:$AJ,AK$1,0)*$D219,0),IFERROR(VLOOKUP($E:$E,Structure!$A:$AJ,AK$1,0)*$F219,0),IFERROR(VLOOKUP($G:$G,Structure!$A:$AJ,AK$1,0)*$H219,0))</f>
        <v>0</v>
      </c>
      <c r="AL219" s="9">
        <f>SUM(IFERROR(VLOOKUP($C:$C,Structure!$A:$AJ,AL$1,0)*$D219,0),IFERROR(VLOOKUP($E:$E,Structure!$A:$AJ,AL$1,0)*$F219,0),IFERROR(VLOOKUP($G:$G,Structure!$A:$AJ,AL$1,0)*$H219,0))</f>
        <v>0</v>
      </c>
      <c r="AM219" s="9">
        <f>SUM(IFERROR(VLOOKUP($C:$C,Structure!$A:$AJ,AM$1,0)*$D219,0),IFERROR(VLOOKUP($E:$E,Structure!$A:$AJ,AM$1,0)*$F219,0),IFERROR(VLOOKUP($G:$G,Structure!$A:$AJ,AM$1,0)*$H219,0))</f>
        <v>0</v>
      </c>
      <c r="AN219" s="9">
        <f>SUM(IFERROR(VLOOKUP($C:$C,Structure!$A:$AJ,AN$1,0)*$D219,0),IFERROR(VLOOKUP($E:$E,Structure!$A:$AJ,AN$1,0)*$F219,0),IFERROR(VLOOKUP($G:$G,Structure!$A:$AJ,AN$1,0)*$H219,0))</f>
        <v>0</v>
      </c>
      <c r="AO219" s="9">
        <f>SUM(IFERROR(VLOOKUP($C:$C,Structure!$A:$AJ,AO$1,0)*$D219,0),IFERROR(VLOOKUP($E:$E,Structure!$A:$AJ,AO$1,0)*$F219,0),IFERROR(VLOOKUP($G:$G,Structure!$A:$AJ,AO$1,0)*$H219,0))</f>
        <v>0</v>
      </c>
      <c r="AP219" s="9">
        <f>SUM(IFERROR(VLOOKUP($C:$C,Structure!$A:$AJ,AP$1,0)*$D219,0),IFERROR(VLOOKUP($E:$E,Structure!$A:$AJ,AP$1,0)*$F219,0),IFERROR(VLOOKUP($G:$G,Structure!$A:$AJ,AP$1,0)*$H219,0))</f>
        <v>0</v>
      </c>
      <c r="AQ219" s="9">
        <f>SUM(IFERROR(VLOOKUP($C:$C,Structure!$A:$AJ,AQ$1,0)*$D219,0),IFERROR(VLOOKUP($E:$E,Structure!$A:$AJ,AQ$1,0)*$F219,0),IFERROR(VLOOKUP($G:$G,Structure!$A:$AJ,AQ$1,0)*$H219,0))</f>
        <v>0</v>
      </c>
      <c r="AR219" s="21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4">
        <f t="shared" si="232"/>
        <v>0</v>
      </c>
      <c r="CE219" s="4">
        <f t="shared" si="233"/>
        <v>-180</v>
      </c>
      <c r="CF219" s="4">
        <f t="shared" si="234"/>
        <v>4</v>
      </c>
      <c r="CG219" s="4">
        <f t="shared" si="235"/>
        <v>11</v>
      </c>
      <c r="CH219" s="4">
        <f t="shared" si="236"/>
        <v>-7</v>
      </c>
      <c r="CI219" s="4">
        <f t="shared" si="237"/>
        <v>103</v>
      </c>
      <c r="CJ219" s="4">
        <f t="shared" si="238"/>
        <v>-253</v>
      </c>
      <c r="CK219" s="4">
        <f t="shared" si="239"/>
        <v>-1</v>
      </c>
      <c r="CL219" s="4">
        <f t="shared" si="240"/>
        <v>0</v>
      </c>
      <c r="CM219" s="4">
        <f t="shared" si="241"/>
        <v>6</v>
      </c>
      <c r="CN219" s="4">
        <f t="shared" si="242"/>
        <v>-140</v>
      </c>
      <c r="CO219" s="4">
        <f t="shared" si="243"/>
        <v>0</v>
      </c>
      <c r="CP219" s="4">
        <f t="shared" si="244"/>
        <v>67</v>
      </c>
      <c r="CQ219" s="4">
        <f t="shared" si="245"/>
        <v>-550</v>
      </c>
      <c r="CR219" s="4">
        <f t="shared" si="246"/>
        <v>12</v>
      </c>
      <c r="CS219" s="4">
        <f t="shared" si="247"/>
        <v>-48</v>
      </c>
      <c r="CT219" s="4">
        <f t="shared" si="248"/>
        <v>0</v>
      </c>
      <c r="CU219" s="4">
        <f t="shared" si="249"/>
        <v>0</v>
      </c>
      <c r="CV219" s="4">
        <f t="shared" si="250"/>
        <v>0</v>
      </c>
      <c r="CW219" s="4">
        <f t="shared" si="251"/>
        <v>0</v>
      </c>
      <c r="CX219" s="4">
        <f t="shared" si="252"/>
        <v>-543</v>
      </c>
      <c r="CY219" s="4">
        <f t="shared" si="253"/>
        <v>0</v>
      </c>
      <c r="CZ219" s="4">
        <f t="shared" si="254"/>
        <v>0</v>
      </c>
      <c r="DA219" s="4">
        <f t="shared" si="255"/>
        <v>0</v>
      </c>
      <c r="DB219" s="4">
        <f t="shared" si="256"/>
        <v>0</v>
      </c>
      <c r="DC219" s="4">
        <f t="shared" si="257"/>
        <v>0</v>
      </c>
      <c r="DD219" s="4">
        <f t="shared" si="258"/>
        <v>0</v>
      </c>
      <c r="DE219" s="4">
        <f t="shared" si="259"/>
        <v>0</v>
      </c>
      <c r="DF219" s="4">
        <f t="shared" si="260"/>
        <v>0</v>
      </c>
      <c r="DG219" s="4">
        <f t="shared" si="261"/>
        <v>0</v>
      </c>
      <c r="DH219" s="4">
        <f t="shared" si="262"/>
        <v>0</v>
      </c>
      <c r="DI219" s="4">
        <f t="shared" si="263"/>
        <v>0</v>
      </c>
      <c r="DJ219" s="4">
        <f t="shared" si="264"/>
        <v>0</v>
      </c>
      <c r="DK219" s="4">
        <f t="shared" si="265"/>
        <v>0</v>
      </c>
      <c r="DL219" s="4">
        <f t="shared" si="266"/>
        <v>0</v>
      </c>
    </row>
    <row r="220" spans="1:116" x14ac:dyDescent="0.25">
      <c r="A220" s="5">
        <v>46187</v>
      </c>
      <c r="B220" s="6">
        <v>0.8333333338596276</v>
      </c>
      <c r="C220" s="3"/>
      <c r="D220" s="3"/>
      <c r="E220" s="3" t="s">
        <v>57</v>
      </c>
      <c r="F220" s="3">
        <v>8</v>
      </c>
      <c r="G220" s="3"/>
      <c r="H220" s="9"/>
      <c r="I220" s="9">
        <f>SUM(IFERROR(VLOOKUP($C:$C,Structure!$A:$AJ,I$1,0)*$D220,0),IFERROR(VLOOKUP($E:$E,Structure!$A:$AJ,I$1,0)*$F220,0),IFERROR(VLOOKUP($G:$G,Structure!$A:$AJ,I$1,0)*$H220,0))</f>
        <v>0</v>
      </c>
      <c r="J220" s="9">
        <f>SUM(IFERROR(VLOOKUP($C:$C,Structure!$A:$AJ,J$1,0)*$D220,0),IFERROR(VLOOKUP($E:$E,Structure!$A:$AJ,J$1,0)*$F220,0),IFERROR(VLOOKUP($G:$G,Structure!$A:$AJ,J$1,0)*$H220,0))</f>
        <v>0</v>
      </c>
      <c r="K220" s="9">
        <f>SUM(IFERROR(VLOOKUP($C:$C,Structure!$A:$AJ,K$1,0)*$D220,0),IFERROR(VLOOKUP($E:$E,Structure!$A:$AJ,K$1,0)*$F220,0),IFERROR(VLOOKUP($G:$G,Structure!$A:$AJ,K$1,0)*$H220,0))</f>
        <v>0</v>
      </c>
      <c r="L220" s="9">
        <f>SUM(IFERROR(VLOOKUP($C:$C,Structure!$A:$AJ,L$1,0)*$D220,0),IFERROR(VLOOKUP($E:$E,Structure!$A:$AJ,L$1,0)*$F220,0),IFERROR(VLOOKUP($G:$G,Structure!$A:$AJ,L$1,0)*$H220,0))</f>
        <v>0</v>
      </c>
      <c r="M220" s="9">
        <f>SUM(IFERROR(VLOOKUP($C:$C,Structure!$A:$AJ,M$1,0)*$D220,0),IFERROR(VLOOKUP($E:$E,Structure!$A:$AJ,M$1,0)*$F220,0),IFERROR(VLOOKUP($G:$G,Structure!$A:$AJ,M$1,0)*$H220,0))</f>
        <v>0</v>
      </c>
      <c r="N220" s="9">
        <f>SUM(IFERROR(VLOOKUP($C:$C,Structure!$A:$AJ,N$1,0)*$D220,0),IFERROR(VLOOKUP($E:$E,Structure!$A:$AJ,N$1,0)*$F220,0),IFERROR(VLOOKUP($G:$G,Structure!$A:$AJ,N$1,0)*$H220,0))</f>
        <v>0</v>
      </c>
      <c r="O220" s="9">
        <f>SUM(IFERROR(VLOOKUP($C:$C,Structure!$A:$AJ,O$1,0)*$D220,0),IFERROR(VLOOKUP($E:$E,Structure!$A:$AJ,O$1,0)*$F220,0),IFERROR(VLOOKUP($G:$G,Structure!$A:$AJ,O$1,0)*$H220,0))</f>
        <v>8</v>
      </c>
      <c r="P220" s="9">
        <f>SUM(IFERROR(VLOOKUP($C:$C,Structure!$A:$AJ,P$1,0)*$D220,0),IFERROR(VLOOKUP($E:$E,Structure!$A:$AJ,P$1,0)*$F220,0),IFERROR(VLOOKUP($G:$G,Structure!$A:$AJ,P$1,0)*$H220,0))</f>
        <v>0</v>
      </c>
      <c r="Q220" s="9">
        <f>SUM(IFERROR(VLOOKUP($C:$C,Structure!$A:$AJ,Q$1,0)*$D220,0),IFERROR(VLOOKUP($E:$E,Structure!$A:$AJ,Q$1,0)*$F220,0),IFERROR(VLOOKUP($G:$G,Structure!$A:$AJ,Q$1,0)*$H220,0))</f>
        <v>0</v>
      </c>
      <c r="R220" s="9">
        <f>SUM(IFERROR(VLOOKUP($C:$C,Structure!$A:$AJ,R$1,0)*$D220,0),IFERROR(VLOOKUP($E:$E,Structure!$A:$AJ,R$1,0)*$F220,0),IFERROR(VLOOKUP($G:$G,Structure!$A:$AJ,R$1,0)*$H220,0))</f>
        <v>0</v>
      </c>
      <c r="S220" s="9">
        <f>SUM(IFERROR(VLOOKUP($C:$C,Structure!$A:$AJ,S$1,0)*$D220,0),IFERROR(VLOOKUP($E:$E,Structure!$A:$AJ,S$1,0)*$F220,0),IFERROR(VLOOKUP($G:$G,Structure!$A:$AJ,S$1,0)*$H220,0))</f>
        <v>8</v>
      </c>
      <c r="T220" s="9">
        <f>SUM(IFERROR(VLOOKUP($C:$C,Structure!$A:$AJ,T$1,0)*$D220,0),IFERROR(VLOOKUP($E:$E,Structure!$A:$AJ,T$1,0)*$F220,0),IFERROR(VLOOKUP($G:$G,Structure!$A:$AJ,T$1,0)*$H220,0))</f>
        <v>0</v>
      </c>
      <c r="U220" s="9">
        <f>SUM(IFERROR(VLOOKUP($C:$C,Structure!$A:$AJ,U$1,0)*$D220,0),IFERROR(VLOOKUP($E:$E,Structure!$A:$AJ,U$1,0)*$F220,0),IFERROR(VLOOKUP($G:$G,Structure!$A:$AJ,U$1,0)*$H220,0))</f>
        <v>0</v>
      </c>
      <c r="V220" s="9">
        <f>SUM(IFERROR(VLOOKUP($C:$C,Structure!$A:$AJ,V$1,0)*$D220,0),IFERROR(VLOOKUP($E:$E,Structure!$A:$AJ,V$1,0)*$F220,0),IFERROR(VLOOKUP($G:$G,Structure!$A:$AJ,V$1,0)*$H220,0))</f>
        <v>0</v>
      </c>
      <c r="W220" s="9">
        <f>SUM(IFERROR(VLOOKUP($C:$C,Structure!$A:$AJ,W$1,0)*$D220,0),IFERROR(VLOOKUP($E:$E,Structure!$A:$AJ,W$1,0)*$F220,0),IFERROR(VLOOKUP($G:$G,Structure!$A:$AJ,W$1,0)*$H220,0))</f>
        <v>0</v>
      </c>
      <c r="X220" s="9">
        <f>SUM(IFERROR(VLOOKUP($C:$C,Structure!$A:$AJ,X$1,0)*$D220,0),IFERROR(VLOOKUP($E:$E,Structure!$A:$AJ,X$1,0)*$F220,0),IFERROR(VLOOKUP($G:$G,Structure!$A:$AJ,X$1,0)*$H220,0))</f>
        <v>0</v>
      </c>
      <c r="Y220" s="9">
        <f>SUM(IFERROR(VLOOKUP($C:$C,Structure!$A:$AJ,Y$1,0)*$D220,0),IFERROR(VLOOKUP($E:$E,Structure!$A:$AJ,Y$1,0)*$F220,0),IFERROR(VLOOKUP($G:$G,Structure!$A:$AJ,Y$1,0)*$H220,0))</f>
        <v>0</v>
      </c>
      <c r="Z220" s="9">
        <f>SUM(IFERROR(VLOOKUP($C:$C,Structure!$A:$AJ,Z$1,0)*$D220,0),IFERROR(VLOOKUP($E:$E,Structure!$A:$AJ,Z$1,0)*$F220,0),IFERROR(VLOOKUP($G:$G,Structure!$A:$AJ,Z$1,0)*$H220,0))</f>
        <v>0</v>
      </c>
      <c r="AA220" s="9">
        <f>SUM(IFERROR(VLOOKUP($C:$C,Structure!$A:$AJ,AA$1,0)*$D220,0),IFERROR(VLOOKUP($E:$E,Structure!$A:$AJ,AA$1,0)*$F220,0),IFERROR(VLOOKUP($G:$G,Structure!$A:$AJ,AA$1,0)*$H220,0))</f>
        <v>0</v>
      </c>
      <c r="AB220" s="9">
        <f>SUM(IFERROR(VLOOKUP($C:$C,Structure!$A:$AJ,AB$1,0)*$D220,0),IFERROR(VLOOKUP($E:$E,Structure!$A:$AJ,AB$1,0)*$F220,0),IFERROR(VLOOKUP($G:$G,Structure!$A:$AJ,AB$1,0)*$H220,0))</f>
        <v>0</v>
      </c>
      <c r="AC220" s="9">
        <f>SUM(IFERROR(VLOOKUP($C:$C,Structure!$A:$AJ,AC$1,0)*$D220,0),IFERROR(VLOOKUP($E:$E,Structure!$A:$AJ,AC$1,0)*$F220,0),IFERROR(VLOOKUP($G:$G,Structure!$A:$AJ,AC$1,0)*$H220,0))</f>
        <v>0</v>
      </c>
      <c r="AD220" s="9">
        <f>SUM(IFERROR(VLOOKUP($C:$C,Structure!$A:$AJ,AD$1,0)*$D220,0),IFERROR(VLOOKUP($E:$E,Structure!$A:$AJ,AD$1,0)*$F220,0),IFERROR(VLOOKUP($G:$G,Structure!$A:$AJ,AD$1,0)*$H220,0))</f>
        <v>0</v>
      </c>
      <c r="AE220" s="9">
        <f>SUM(IFERROR(VLOOKUP($C:$C,Structure!$A:$AJ,AE$1,0)*$D220,0),IFERROR(VLOOKUP($E:$E,Structure!$A:$AJ,AE$1,0)*$F220,0),IFERROR(VLOOKUP($G:$G,Structure!$A:$AJ,AE$1,0)*$H220,0))</f>
        <v>0</v>
      </c>
      <c r="AF220" s="9">
        <f>SUM(IFERROR(VLOOKUP($C:$C,Structure!$A:$AJ,AF$1,0)*$D220,0),IFERROR(VLOOKUP($E:$E,Structure!$A:$AJ,AF$1,0)*$F220,0),IFERROR(VLOOKUP($G:$G,Structure!$A:$AJ,AF$1,0)*$H220,0))</f>
        <v>0</v>
      </c>
      <c r="AG220" s="9">
        <f>SUM(IFERROR(VLOOKUP($C:$C,Structure!$A:$AJ,AG$1,0)*$D220,0),IFERROR(VLOOKUP($E:$E,Structure!$A:$AJ,AG$1,0)*$F220,0),IFERROR(VLOOKUP($G:$G,Structure!$A:$AJ,AG$1,0)*$H220,0))</f>
        <v>0</v>
      </c>
      <c r="AH220" s="9">
        <f>SUM(IFERROR(VLOOKUP($C:$C,Structure!$A:$AJ,AH$1,0)*$D220,0),IFERROR(VLOOKUP($E:$E,Structure!$A:$AJ,AH$1,0)*$F220,0),IFERROR(VLOOKUP($G:$G,Structure!$A:$AJ,AH$1,0)*$H220,0))</f>
        <v>0</v>
      </c>
      <c r="AI220" s="9">
        <f>SUM(IFERROR(VLOOKUP($C:$C,Structure!$A:$AJ,AI$1,0)*$D220,0),IFERROR(VLOOKUP($E:$E,Structure!$A:$AJ,AI$1,0)*$F220,0),IFERROR(VLOOKUP($G:$G,Structure!$A:$AJ,AI$1,0)*$H220,0))</f>
        <v>0</v>
      </c>
      <c r="AJ220" s="9">
        <f>SUM(IFERROR(VLOOKUP($C:$C,Structure!$A:$AJ,AJ$1,0)*$D220,0),IFERROR(VLOOKUP($E:$E,Structure!$A:$AJ,AJ$1,0)*$F220,0),IFERROR(VLOOKUP($G:$G,Structure!$A:$AJ,AJ$1,0)*$H220,0))</f>
        <v>0</v>
      </c>
      <c r="AK220" s="9">
        <f>SUM(IFERROR(VLOOKUP($C:$C,Structure!$A:$AJ,AK$1,0)*$D220,0),IFERROR(VLOOKUP($E:$E,Structure!$A:$AJ,AK$1,0)*$F220,0),IFERROR(VLOOKUP($G:$G,Structure!$A:$AJ,AK$1,0)*$H220,0))</f>
        <v>0</v>
      </c>
      <c r="AL220" s="9">
        <f>SUM(IFERROR(VLOOKUP($C:$C,Structure!$A:$AJ,AL$1,0)*$D220,0),IFERROR(VLOOKUP($E:$E,Structure!$A:$AJ,AL$1,0)*$F220,0),IFERROR(VLOOKUP($G:$G,Structure!$A:$AJ,AL$1,0)*$H220,0))</f>
        <v>0</v>
      </c>
      <c r="AM220" s="9">
        <f>SUM(IFERROR(VLOOKUP($C:$C,Structure!$A:$AJ,AM$1,0)*$D220,0),IFERROR(VLOOKUP($E:$E,Structure!$A:$AJ,AM$1,0)*$F220,0),IFERROR(VLOOKUP($G:$G,Structure!$A:$AJ,AM$1,0)*$H220,0))</f>
        <v>0</v>
      </c>
      <c r="AN220" s="9">
        <f>SUM(IFERROR(VLOOKUP($C:$C,Structure!$A:$AJ,AN$1,0)*$D220,0),IFERROR(VLOOKUP($E:$E,Structure!$A:$AJ,AN$1,0)*$F220,0),IFERROR(VLOOKUP($G:$G,Structure!$A:$AJ,AN$1,0)*$H220,0))</f>
        <v>0</v>
      </c>
      <c r="AO220" s="9">
        <f>SUM(IFERROR(VLOOKUP($C:$C,Structure!$A:$AJ,AO$1,0)*$D220,0),IFERROR(VLOOKUP($E:$E,Structure!$A:$AJ,AO$1,0)*$F220,0),IFERROR(VLOOKUP($G:$G,Structure!$A:$AJ,AO$1,0)*$H220,0))</f>
        <v>0</v>
      </c>
      <c r="AP220" s="9">
        <f>SUM(IFERROR(VLOOKUP($C:$C,Structure!$A:$AJ,AP$1,0)*$D220,0),IFERROR(VLOOKUP($E:$E,Structure!$A:$AJ,AP$1,0)*$F220,0),IFERROR(VLOOKUP($G:$G,Structure!$A:$AJ,AP$1,0)*$H220,0))</f>
        <v>0</v>
      </c>
      <c r="AQ220" s="9">
        <f>SUM(IFERROR(VLOOKUP($C:$C,Structure!$A:$AJ,AQ$1,0)*$D220,0),IFERROR(VLOOKUP($E:$E,Structure!$A:$AJ,AQ$1,0)*$F220,0),IFERROR(VLOOKUP($G:$G,Structure!$A:$AJ,AQ$1,0)*$H220,0))</f>
        <v>0</v>
      </c>
      <c r="AR220" s="21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4">
        <f t="shared" si="232"/>
        <v>0</v>
      </c>
      <c r="CE220" s="4">
        <f t="shared" si="233"/>
        <v>-180</v>
      </c>
      <c r="CF220" s="4">
        <f t="shared" si="234"/>
        <v>4</v>
      </c>
      <c r="CG220" s="4">
        <f t="shared" si="235"/>
        <v>11</v>
      </c>
      <c r="CH220" s="4">
        <f t="shared" si="236"/>
        <v>-7</v>
      </c>
      <c r="CI220" s="4">
        <f t="shared" si="237"/>
        <v>103</v>
      </c>
      <c r="CJ220" s="4">
        <f t="shared" si="238"/>
        <v>-261</v>
      </c>
      <c r="CK220" s="4">
        <f t="shared" si="239"/>
        <v>-1</v>
      </c>
      <c r="CL220" s="4">
        <f t="shared" si="240"/>
        <v>0</v>
      </c>
      <c r="CM220" s="4">
        <f t="shared" si="241"/>
        <v>6</v>
      </c>
      <c r="CN220" s="4">
        <f t="shared" si="242"/>
        <v>-148</v>
      </c>
      <c r="CO220" s="4">
        <f t="shared" si="243"/>
        <v>0</v>
      </c>
      <c r="CP220" s="4">
        <f t="shared" si="244"/>
        <v>67</v>
      </c>
      <c r="CQ220" s="4">
        <f t="shared" si="245"/>
        <v>-550</v>
      </c>
      <c r="CR220" s="4">
        <f t="shared" si="246"/>
        <v>12</v>
      </c>
      <c r="CS220" s="4">
        <f t="shared" si="247"/>
        <v>-48</v>
      </c>
      <c r="CT220" s="4">
        <f t="shared" si="248"/>
        <v>0</v>
      </c>
      <c r="CU220" s="4">
        <f t="shared" si="249"/>
        <v>0</v>
      </c>
      <c r="CV220" s="4">
        <f t="shared" si="250"/>
        <v>0</v>
      </c>
      <c r="CW220" s="4">
        <f t="shared" si="251"/>
        <v>0</v>
      </c>
      <c r="CX220" s="4">
        <f t="shared" si="252"/>
        <v>-543</v>
      </c>
      <c r="CY220" s="4">
        <f t="shared" si="253"/>
        <v>0</v>
      </c>
      <c r="CZ220" s="4">
        <f t="shared" si="254"/>
        <v>0</v>
      </c>
      <c r="DA220" s="4">
        <f t="shared" si="255"/>
        <v>0</v>
      </c>
      <c r="DB220" s="4">
        <f t="shared" si="256"/>
        <v>0</v>
      </c>
      <c r="DC220" s="4">
        <f t="shared" si="257"/>
        <v>0</v>
      </c>
      <c r="DD220" s="4">
        <f t="shared" si="258"/>
        <v>0</v>
      </c>
      <c r="DE220" s="4">
        <f t="shared" si="259"/>
        <v>0</v>
      </c>
      <c r="DF220" s="4">
        <f t="shared" si="260"/>
        <v>0</v>
      </c>
      <c r="DG220" s="4">
        <f t="shared" si="261"/>
        <v>0</v>
      </c>
      <c r="DH220" s="4">
        <f t="shared" si="262"/>
        <v>0</v>
      </c>
      <c r="DI220" s="4">
        <f t="shared" si="263"/>
        <v>0</v>
      </c>
      <c r="DJ220" s="4">
        <f t="shared" si="264"/>
        <v>0</v>
      </c>
      <c r="DK220" s="4">
        <f t="shared" si="265"/>
        <v>0</v>
      </c>
      <c r="DL220" s="4">
        <f t="shared" si="266"/>
        <v>0</v>
      </c>
    </row>
    <row r="221" spans="1:116" x14ac:dyDescent="0.25">
      <c r="A221" s="5">
        <v>46187</v>
      </c>
      <c r="B221" s="6">
        <v>0.85416666719538625</v>
      </c>
      <c r="C221" s="3"/>
      <c r="D221" s="3"/>
      <c r="E221" s="3" t="s">
        <v>57</v>
      </c>
      <c r="F221" s="3">
        <v>8</v>
      </c>
      <c r="G221" s="3"/>
      <c r="H221" s="9"/>
      <c r="I221" s="9">
        <f>SUM(IFERROR(VLOOKUP($C:$C,Structure!$A:$AJ,I$1,0)*$D221,0),IFERROR(VLOOKUP($E:$E,Structure!$A:$AJ,I$1,0)*$F221,0),IFERROR(VLOOKUP($G:$G,Structure!$A:$AJ,I$1,0)*$H221,0))</f>
        <v>0</v>
      </c>
      <c r="J221" s="9">
        <f>SUM(IFERROR(VLOOKUP($C:$C,Structure!$A:$AJ,J$1,0)*$D221,0),IFERROR(VLOOKUP($E:$E,Structure!$A:$AJ,J$1,0)*$F221,0),IFERROR(VLOOKUP($G:$G,Structure!$A:$AJ,J$1,0)*$H221,0))</f>
        <v>0</v>
      </c>
      <c r="K221" s="9">
        <f>SUM(IFERROR(VLOOKUP($C:$C,Structure!$A:$AJ,K$1,0)*$D221,0),IFERROR(VLOOKUP($E:$E,Structure!$A:$AJ,K$1,0)*$F221,0),IFERROR(VLOOKUP($G:$G,Structure!$A:$AJ,K$1,0)*$H221,0))</f>
        <v>0</v>
      </c>
      <c r="L221" s="9">
        <f>SUM(IFERROR(VLOOKUP($C:$C,Structure!$A:$AJ,L$1,0)*$D221,0),IFERROR(VLOOKUP($E:$E,Structure!$A:$AJ,L$1,0)*$F221,0),IFERROR(VLOOKUP($G:$G,Structure!$A:$AJ,L$1,0)*$H221,0))</f>
        <v>0</v>
      </c>
      <c r="M221" s="9">
        <f>SUM(IFERROR(VLOOKUP($C:$C,Structure!$A:$AJ,M$1,0)*$D221,0),IFERROR(VLOOKUP($E:$E,Structure!$A:$AJ,M$1,0)*$F221,0),IFERROR(VLOOKUP($G:$G,Structure!$A:$AJ,M$1,0)*$H221,0))</f>
        <v>0</v>
      </c>
      <c r="N221" s="9">
        <f>SUM(IFERROR(VLOOKUP($C:$C,Structure!$A:$AJ,N$1,0)*$D221,0),IFERROR(VLOOKUP($E:$E,Structure!$A:$AJ,N$1,0)*$F221,0),IFERROR(VLOOKUP($G:$G,Structure!$A:$AJ,N$1,0)*$H221,0))</f>
        <v>0</v>
      </c>
      <c r="O221" s="9">
        <f>SUM(IFERROR(VLOOKUP($C:$C,Structure!$A:$AJ,O$1,0)*$D221,0),IFERROR(VLOOKUP($E:$E,Structure!$A:$AJ,O$1,0)*$F221,0),IFERROR(VLOOKUP($G:$G,Structure!$A:$AJ,O$1,0)*$H221,0))</f>
        <v>8</v>
      </c>
      <c r="P221" s="9">
        <f>SUM(IFERROR(VLOOKUP($C:$C,Structure!$A:$AJ,P$1,0)*$D221,0),IFERROR(VLOOKUP($E:$E,Structure!$A:$AJ,P$1,0)*$F221,0),IFERROR(VLOOKUP($G:$G,Structure!$A:$AJ,P$1,0)*$H221,0))</f>
        <v>0</v>
      </c>
      <c r="Q221" s="9">
        <f>SUM(IFERROR(VLOOKUP($C:$C,Structure!$A:$AJ,Q$1,0)*$D221,0),IFERROR(VLOOKUP($E:$E,Structure!$A:$AJ,Q$1,0)*$F221,0),IFERROR(VLOOKUP($G:$G,Structure!$A:$AJ,Q$1,0)*$H221,0))</f>
        <v>0</v>
      </c>
      <c r="R221" s="9">
        <f>SUM(IFERROR(VLOOKUP($C:$C,Structure!$A:$AJ,R$1,0)*$D221,0),IFERROR(VLOOKUP($E:$E,Structure!$A:$AJ,R$1,0)*$F221,0),IFERROR(VLOOKUP($G:$G,Structure!$A:$AJ,R$1,0)*$H221,0))</f>
        <v>0</v>
      </c>
      <c r="S221" s="9">
        <f>SUM(IFERROR(VLOOKUP($C:$C,Structure!$A:$AJ,S$1,0)*$D221,0),IFERROR(VLOOKUP($E:$E,Structure!$A:$AJ,S$1,0)*$F221,0),IFERROR(VLOOKUP($G:$G,Structure!$A:$AJ,S$1,0)*$H221,0))</f>
        <v>8</v>
      </c>
      <c r="T221" s="9">
        <f>SUM(IFERROR(VLOOKUP($C:$C,Structure!$A:$AJ,T$1,0)*$D221,0),IFERROR(VLOOKUP($E:$E,Structure!$A:$AJ,T$1,0)*$F221,0),IFERROR(VLOOKUP($G:$G,Structure!$A:$AJ,T$1,0)*$H221,0))</f>
        <v>0</v>
      </c>
      <c r="U221" s="9">
        <f>SUM(IFERROR(VLOOKUP($C:$C,Structure!$A:$AJ,U$1,0)*$D221,0),IFERROR(VLOOKUP($E:$E,Structure!$A:$AJ,U$1,0)*$F221,0),IFERROR(VLOOKUP($G:$G,Structure!$A:$AJ,U$1,0)*$H221,0))</f>
        <v>0</v>
      </c>
      <c r="V221" s="9">
        <f>SUM(IFERROR(VLOOKUP($C:$C,Structure!$A:$AJ,V$1,0)*$D221,0),IFERROR(VLOOKUP($E:$E,Structure!$A:$AJ,V$1,0)*$F221,0),IFERROR(VLOOKUP($G:$G,Structure!$A:$AJ,V$1,0)*$H221,0))</f>
        <v>0</v>
      </c>
      <c r="W221" s="9">
        <f>SUM(IFERROR(VLOOKUP($C:$C,Structure!$A:$AJ,W$1,0)*$D221,0),IFERROR(VLOOKUP($E:$E,Structure!$A:$AJ,W$1,0)*$F221,0),IFERROR(VLOOKUP($G:$G,Structure!$A:$AJ,W$1,0)*$H221,0))</f>
        <v>0</v>
      </c>
      <c r="X221" s="9">
        <f>SUM(IFERROR(VLOOKUP($C:$C,Structure!$A:$AJ,X$1,0)*$D221,0),IFERROR(VLOOKUP($E:$E,Structure!$A:$AJ,X$1,0)*$F221,0),IFERROR(VLOOKUP($G:$G,Structure!$A:$AJ,X$1,0)*$H221,0))</f>
        <v>0</v>
      </c>
      <c r="Y221" s="9">
        <f>SUM(IFERROR(VLOOKUP($C:$C,Structure!$A:$AJ,Y$1,0)*$D221,0),IFERROR(VLOOKUP($E:$E,Structure!$A:$AJ,Y$1,0)*$F221,0),IFERROR(VLOOKUP($G:$G,Structure!$A:$AJ,Y$1,0)*$H221,0))</f>
        <v>0</v>
      </c>
      <c r="Z221" s="9">
        <f>SUM(IFERROR(VLOOKUP($C:$C,Structure!$A:$AJ,Z$1,0)*$D221,0),IFERROR(VLOOKUP($E:$E,Structure!$A:$AJ,Z$1,0)*$F221,0),IFERROR(VLOOKUP($G:$G,Structure!$A:$AJ,Z$1,0)*$H221,0))</f>
        <v>0</v>
      </c>
      <c r="AA221" s="9">
        <f>SUM(IFERROR(VLOOKUP($C:$C,Structure!$A:$AJ,AA$1,0)*$D221,0),IFERROR(VLOOKUP($E:$E,Structure!$A:$AJ,AA$1,0)*$F221,0),IFERROR(VLOOKUP($G:$G,Structure!$A:$AJ,AA$1,0)*$H221,0))</f>
        <v>0</v>
      </c>
      <c r="AB221" s="9">
        <f>SUM(IFERROR(VLOOKUP($C:$C,Structure!$A:$AJ,AB$1,0)*$D221,0),IFERROR(VLOOKUP($E:$E,Structure!$A:$AJ,AB$1,0)*$F221,0),IFERROR(VLOOKUP($G:$G,Structure!$A:$AJ,AB$1,0)*$H221,0))</f>
        <v>0</v>
      </c>
      <c r="AC221" s="9">
        <f>SUM(IFERROR(VLOOKUP($C:$C,Structure!$A:$AJ,AC$1,0)*$D221,0),IFERROR(VLOOKUP($E:$E,Structure!$A:$AJ,AC$1,0)*$F221,0),IFERROR(VLOOKUP($G:$G,Structure!$A:$AJ,AC$1,0)*$H221,0))</f>
        <v>0</v>
      </c>
      <c r="AD221" s="9">
        <f>SUM(IFERROR(VLOOKUP($C:$C,Structure!$A:$AJ,AD$1,0)*$D221,0),IFERROR(VLOOKUP($E:$E,Structure!$A:$AJ,AD$1,0)*$F221,0),IFERROR(VLOOKUP($G:$G,Structure!$A:$AJ,AD$1,0)*$H221,0))</f>
        <v>0</v>
      </c>
      <c r="AE221" s="9">
        <f>SUM(IFERROR(VLOOKUP($C:$C,Structure!$A:$AJ,AE$1,0)*$D221,0),IFERROR(VLOOKUP($E:$E,Structure!$A:$AJ,AE$1,0)*$F221,0),IFERROR(VLOOKUP($G:$G,Structure!$A:$AJ,AE$1,0)*$H221,0))</f>
        <v>0</v>
      </c>
      <c r="AF221" s="9">
        <f>SUM(IFERROR(VLOOKUP($C:$C,Structure!$A:$AJ,AF$1,0)*$D221,0),IFERROR(VLOOKUP($E:$E,Structure!$A:$AJ,AF$1,0)*$F221,0),IFERROR(VLOOKUP($G:$G,Structure!$A:$AJ,AF$1,0)*$H221,0))</f>
        <v>0</v>
      </c>
      <c r="AG221" s="9">
        <f>SUM(IFERROR(VLOOKUP($C:$C,Structure!$A:$AJ,AG$1,0)*$D221,0),IFERROR(VLOOKUP($E:$E,Structure!$A:$AJ,AG$1,0)*$F221,0),IFERROR(VLOOKUP($G:$G,Structure!$A:$AJ,AG$1,0)*$H221,0))</f>
        <v>0</v>
      </c>
      <c r="AH221" s="9">
        <f>SUM(IFERROR(VLOOKUP($C:$C,Structure!$A:$AJ,AH$1,0)*$D221,0),IFERROR(VLOOKUP($E:$E,Structure!$A:$AJ,AH$1,0)*$F221,0),IFERROR(VLOOKUP($G:$G,Structure!$A:$AJ,AH$1,0)*$H221,0))</f>
        <v>0</v>
      </c>
      <c r="AI221" s="9">
        <f>SUM(IFERROR(VLOOKUP($C:$C,Structure!$A:$AJ,AI$1,0)*$D221,0),IFERROR(VLOOKUP($E:$E,Structure!$A:$AJ,AI$1,0)*$F221,0),IFERROR(VLOOKUP($G:$G,Structure!$A:$AJ,AI$1,0)*$H221,0))</f>
        <v>0</v>
      </c>
      <c r="AJ221" s="9">
        <f>SUM(IFERROR(VLOOKUP($C:$C,Structure!$A:$AJ,AJ$1,0)*$D221,0),IFERROR(VLOOKUP($E:$E,Structure!$A:$AJ,AJ$1,0)*$F221,0),IFERROR(VLOOKUP($G:$G,Structure!$A:$AJ,AJ$1,0)*$H221,0))</f>
        <v>0</v>
      </c>
      <c r="AK221" s="9">
        <f>SUM(IFERROR(VLOOKUP($C:$C,Structure!$A:$AJ,AK$1,0)*$D221,0),IFERROR(VLOOKUP($E:$E,Structure!$A:$AJ,AK$1,0)*$F221,0),IFERROR(VLOOKUP($G:$G,Structure!$A:$AJ,AK$1,0)*$H221,0))</f>
        <v>0</v>
      </c>
      <c r="AL221" s="9">
        <f>SUM(IFERROR(VLOOKUP($C:$C,Structure!$A:$AJ,AL$1,0)*$D221,0),IFERROR(VLOOKUP($E:$E,Structure!$A:$AJ,AL$1,0)*$F221,0),IFERROR(VLOOKUP($G:$G,Structure!$A:$AJ,AL$1,0)*$H221,0))</f>
        <v>0</v>
      </c>
      <c r="AM221" s="9">
        <f>SUM(IFERROR(VLOOKUP($C:$C,Structure!$A:$AJ,AM$1,0)*$D221,0),IFERROR(VLOOKUP($E:$E,Structure!$A:$AJ,AM$1,0)*$F221,0),IFERROR(VLOOKUP($G:$G,Structure!$A:$AJ,AM$1,0)*$H221,0))</f>
        <v>0</v>
      </c>
      <c r="AN221" s="9">
        <f>SUM(IFERROR(VLOOKUP($C:$C,Structure!$A:$AJ,AN$1,0)*$D221,0),IFERROR(VLOOKUP($E:$E,Structure!$A:$AJ,AN$1,0)*$F221,0),IFERROR(VLOOKUP($G:$G,Structure!$A:$AJ,AN$1,0)*$H221,0))</f>
        <v>0</v>
      </c>
      <c r="AO221" s="9">
        <f>SUM(IFERROR(VLOOKUP($C:$C,Structure!$A:$AJ,AO$1,0)*$D221,0),IFERROR(VLOOKUP($E:$E,Structure!$A:$AJ,AO$1,0)*$F221,0),IFERROR(VLOOKUP($G:$G,Structure!$A:$AJ,AO$1,0)*$H221,0))</f>
        <v>0</v>
      </c>
      <c r="AP221" s="9">
        <f>SUM(IFERROR(VLOOKUP($C:$C,Structure!$A:$AJ,AP$1,0)*$D221,0),IFERROR(VLOOKUP($E:$E,Structure!$A:$AJ,AP$1,0)*$F221,0),IFERROR(VLOOKUP($G:$G,Structure!$A:$AJ,AP$1,0)*$H221,0))</f>
        <v>0</v>
      </c>
      <c r="AQ221" s="9">
        <f>SUM(IFERROR(VLOOKUP($C:$C,Structure!$A:$AJ,AQ$1,0)*$D221,0),IFERROR(VLOOKUP($E:$E,Structure!$A:$AJ,AQ$1,0)*$F221,0),IFERROR(VLOOKUP($G:$G,Structure!$A:$AJ,AQ$1,0)*$H221,0))</f>
        <v>0</v>
      </c>
      <c r="AR221" s="21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4">
        <f t="shared" si="232"/>
        <v>0</v>
      </c>
      <c r="CE221" s="4">
        <f t="shared" si="233"/>
        <v>-180</v>
      </c>
      <c r="CF221" s="4">
        <f t="shared" si="234"/>
        <v>4</v>
      </c>
      <c r="CG221" s="4">
        <f t="shared" si="235"/>
        <v>11</v>
      </c>
      <c r="CH221" s="4">
        <f t="shared" si="236"/>
        <v>-7</v>
      </c>
      <c r="CI221" s="4">
        <f t="shared" si="237"/>
        <v>103</v>
      </c>
      <c r="CJ221" s="4">
        <f t="shared" si="238"/>
        <v>-269</v>
      </c>
      <c r="CK221" s="4">
        <f t="shared" si="239"/>
        <v>-1</v>
      </c>
      <c r="CL221" s="4">
        <f t="shared" si="240"/>
        <v>0</v>
      </c>
      <c r="CM221" s="4">
        <f t="shared" si="241"/>
        <v>6</v>
      </c>
      <c r="CN221" s="4">
        <f t="shared" si="242"/>
        <v>-156</v>
      </c>
      <c r="CO221" s="4">
        <f t="shared" si="243"/>
        <v>0</v>
      </c>
      <c r="CP221" s="4">
        <f t="shared" si="244"/>
        <v>67</v>
      </c>
      <c r="CQ221" s="4">
        <f t="shared" si="245"/>
        <v>-550</v>
      </c>
      <c r="CR221" s="4">
        <f t="shared" si="246"/>
        <v>12</v>
      </c>
      <c r="CS221" s="4">
        <f t="shared" si="247"/>
        <v>-48</v>
      </c>
      <c r="CT221" s="4">
        <f t="shared" si="248"/>
        <v>0</v>
      </c>
      <c r="CU221" s="4">
        <f t="shared" si="249"/>
        <v>0</v>
      </c>
      <c r="CV221" s="4">
        <f t="shared" si="250"/>
        <v>0</v>
      </c>
      <c r="CW221" s="4">
        <f t="shared" si="251"/>
        <v>0</v>
      </c>
      <c r="CX221" s="4">
        <f t="shared" si="252"/>
        <v>-543</v>
      </c>
      <c r="CY221" s="4">
        <f t="shared" si="253"/>
        <v>0</v>
      </c>
      <c r="CZ221" s="4">
        <f t="shared" si="254"/>
        <v>0</v>
      </c>
      <c r="DA221" s="4">
        <f t="shared" si="255"/>
        <v>0</v>
      </c>
      <c r="DB221" s="4">
        <f t="shared" si="256"/>
        <v>0</v>
      </c>
      <c r="DC221" s="4">
        <f t="shared" si="257"/>
        <v>0</v>
      </c>
      <c r="DD221" s="4">
        <f t="shared" si="258"/>
        <v>0</v>
      </c>
      <c r="DE221" s="4">
        <f t="shared" si="259"/>
        <v>0</v>
      </c>
      <c r="DF221" s="4">
        <f t="shared" si="260"/>
        <v>0</v>
      </c>
      <c r="DG221" s="4">
        <f t="shared" si="261"/>
        <v>0</v>
      </c>
      <c r="DH221" s="4">
        <f t="shared" si="262"/>
        <v>0</v>
      </c>
      <c r="DI221" s="4">
        <f t="shared" si="263"/>
        <v>0</v>
      </c>
      <c r="DJ221" s="4">
        <f t="shared" si="264"/>
        <v>0</v>
      </c>
      <c r="DK221" s="4">
        <f t="shared" si="265"/>
        <v>0</v>
      </c>
      <c r="DL221" s="4">
        <f t="shared" si="266"/>
        <v>0</v>
      </c>
    </row>
    <row r="222" spans="1:116" x14ac:dyDescent="0.25">
      <c r="A222" s="5">
        <v>46187</v>
      </c>
      <c r="B222" s="6">
        <v>0.87500000053114491</v>
      </c>
      <c r="C222" s="3"/>
      <c r="D222" s="3"/>
      <c r="E222" s="3" t="s">
        <v>57</v>
      </c>
      <c r="F222" s="3">
        <v>8</v>
      </c>
      <c r="G222" s="3"/>
      <c r="H222" s="9"/>
      <c r="I222" s="9">
        <f>SUM(IFERROR(VLOOKUP($C:$C,Structure!$A:$AJ,I$1,0)*$D222,0),IFERROR(VLOOKUP($E:$E,Structure!$A:$AJ,I$1,0)*$F222,0),IFERROR(VLOOKUP($G:$G,Structure!$A:$AJ,I$1,0)*$H222,0))</f>
        <v>0</v>
      </c>
      <c r="J222" s="9">
        <f>SUM(IFERROR(VLOOKUP($C:$C,Structure!$A:$AJ,J$1,0)*$D222,0),IFERROR(VLOOKUP($E:$E,Structure!$A:$AJ,J$1,0)*$F222,0),IFERROR(VLOOKUP($G:$G,Structure!$A:$AJ,J$1,0)*$H222,0))</f>
        <v>0</v>
      </c>
      <c r="K222" s="9">
        <f>SUM(IFERROR(VLOOKUP($C:$C,Structure!$A:$AJ,K$1,0)*$D222,0),IFERROR(VLOOKUP($E:$E,Structure!$A:$AJ,K$1,0)*$F222,0),IFERROR(VLOOKUP($G:$G,Structure!$A:$AJ,K$1,0)*$H222,0))</f>
        <v>0</v>
      </c>
      <c r="L222" s="9">
        <f>SUM(IFERROR(VLOOKUP($C:$C,Structure!$A:$AJ,L$1,0)*$D222,0),IFERROR(VLOOKUP($E:$E,Structure!$A:$AJ,L$1,0)*$F222,0),IFERROR(VLOOKUP($G:$G,Structure!$A:$AJ,L$1,0)*$H222,0))</f>
        <v>0</v>
      </c>
      <c r="M222" s="9">
        <f>SUM(IFERROR(VLOOKUP($C:$C,Structure!$A:$AJ,M$1,0)*$D222,0),IFERROR(VLOOKUP($E:$E,Structure!$A:$AJ,M$1,0)*$F222,0),IFERROR(VLOOKUP($G:$G,Structure!$A:$AJ,M$1,0)*$H222,0))</f>
        <v>0</v>
      </c>
      <c r="N222" s="9">
        <f>SUM(IFERROR(VLOOKUP($C:$C,Structure!$A:$AJ,N$1,0)*$D222,0),IFERROR(VLOOKUP($E:$E,Structure!$A:$AJ,N$1,0)*$F222,0),IFERROR(VLOOKUP($G:$G,Structure!$A:$AJ,N$1,0)*$H222,0))</f>
        <v>0</v>
      </c>
      <c r="O222" s="9">
        <f>SUM(IFERROR(VLOOKUP($C:$C,Structure!$A:$AJ,O$1,0)*$D222,0),IFERROR(VLOOKUP($E:$E,Structure!$A:$AJ,O$1,0)*$F222,0),IFERROR(VLOOKUP($G:$G,Structure!$A:$AJ,O$1,0)*$H222,0))</f>
        <v>8</v>
      </c>
      <c r="P222" s="9">
        <f>SUM(IFERROR(VLOOKUP($C:$C,Structure!$A:$AJ,P$1,0)*$D222,0),IFERROR(VLOOKUP($E:$E,Structure!$A:$AJ,P$1,0)*$F222,0),IFERROR(VLOOKUP($G:$G,Structure!$A:$AJ,P$1,0)*$H222,0))</f>
        <v>0</v>
      </c>
      <c r="Q222" s="9">
        <f>SUM(IFERROR(VLOOKUP($C:$C,Structure!$A:$AJ,Q$1,0)*$D222,0),IFERROR(VLOOKUP($E:$E,Structure!$A:$AJ,Q$1,0)*$F222,0),IFERROR(VLOOKUP($G:$G,Structure!$A:$AJ,Q$1,0)*$H222,0))</f>
        <v>0</v>
      </c>
      <c r="R222" s="9">
        <f>SUM(IFERROR(VLOOKUP($C:$C,Structure!$A:$AJ,R$1,0)*$D222,0),IFERROR(VLOOKUP($E:$E,Structure!$A:$AJ,R$1,0)*$F222,0),IFERROR(VLOOKUP($G:$G,Structure!$A:$AJ,R$1,0)*$H222,0))</f>
        <v>0</v>
      </c>
      <c r="S222" s="9">
        <f>SUM(IFERROR(VLOOKUP($C:$C,Structure!$A:$AJ,S$1,0)*$D222,0),IFERROR(VLOOKUP($E:$E,Structure!$A:$AJ,S$1,0)*$F222,0),IFERROR(VLOOKUP($G:$G,Structure!$A:$AJ,S$1,0)*$H222,0))</f>
        <v>8</v>
      </c>
      <c r="T222" s="9">
        <f>SUM(IFERROR(VLOOKUP($C:$C,Structure!$A:$AJ,T$1,0)*$D222,0),IFERROR(VLOOKUP($E:$E,Structure!$A:$AJ,T$1,0)*$F222,0),IFERROR(VLOOKUP($G:$G,Structure!$A:$AJ,T$1,0)*$H222,0))</f>
        <v>0</v>
      </c>
      <c r="U222" s="9">
        <f>SUM(IFERROR(VLOOKUP($C:$C,Structure!$A:$AJ,U$1,0)*$D222,0),IFERROR(VLOOKUP($E:$E,Structure!$A:$AJ,U$1,0)*$F222,0),IFERROR(VLOOKUP($G:$G,Structure!$A:$AJ,U$1,0)*$H222,0))</f>
        <v>0</v>
      </c>
      <c r="V222" s="9">
        <f>SUM(IFERROR(VLOOKUP($C:$C,Structure!$A:$AJ,V$1,0)*$D222,0),IFERROR(VLOOKUP($E:$E,Structure!$A:$AJ,V$1,0)*$F222,0),IFERROR(VLOOKUP($G:$G,Structure!$A:$AJ,V$1,0)*$H222,0))</f>
        <v>0</v>
      </c>
      <c r="W222" s="9">
        <f>SUM(IFERROR(VLOOKUP($C:$C,Structure!$A:$AJ,W$1,0)*$D222,0),IFERROR(VLOOKUP($E:$E,Structure!$A:$AJ,W$1,0)*$F222,0),IFERROR(VLOOKUP($G:$G,Structure!$A:$AJ,W$1,0)*$H222,0))</f>
        <v>0</v>
      </c>
      <c r="X222" s="9">
        <f>SUM(IFERROR(VLOOKUP($C:$C,Structure!$A:$AJ,X$1,0)*$D222,0),IFERROR(VLOOKUP($E:$E,Structure!$A:$AJ,X$1,0)*$F222,0),IFERROR(VLOOKUP($G:$G,Structure!$A:$AJ,X$1,0)*$H222,0))</f>
        <v>0</v>
      </c>
      <c r="Y222" s="9">
        <f>SUM(IFERROR(VLOOKUP($C:$C,Structure!$A:$AJ,Y$1,0)*$D222,0),IFERROR(VLOOKUP($E:$E,Structure!$A:$AJ,Y$1,0)*$F222,0),IFERROR(VLOOKUP($G:$G,Structure!$A:$AJ,Y$1,0)*$H222,0))</f>
        <v>0</v>
      </c>
      <c r="Z222" s="9">
        <f>SUM(IFERROR(VLOOKUP($C:$C,Structure!$A:$AJ,Z$1,0)*$D222,0),IFERROR(VLOOKUP($E:$E,Structure!$A:$AJ,Z$1,0)*$F222,0),IFERROR(VLOOKUP($G:$G,Structure!$A:$AJ,Z$1,0)*$H222,0))</f>
        <v>0</v>
      </c>
      <c r="AA222" s="9">
        <f>SUM(IFERROR(VLOOKUP($C:$C,Structure!$A:$AJ,AA$1,0)*$D222,0),IFERROR(VLOOKUP($E:$E,Structure!$A:$AJ,AA$1,0)*$F222,0),IFERROR(VLOOKUP($G:$G,Structure!$A:$AJ,AA$1,0)*$H222,0))</f>
        <v>0</v>
      </c>
      <c r="AB222" s="9">
        <f>SUM(IFERROR(VLOOKUP($C:$C,Structure!$A:$AJ,AB$1,0)*$D222,0),IFERROR(VLOOKUP($E:$E,Structure!$A:$AJ,AB$1,0)*$F222,0),IFERROR(VLOOKUP($G:$G,Structure!$A:$AJ,AB$1,0)*$H222,0))</f>
        <v>0</v>
      </c>
      <c r="AC222" s="9">
        <f>SUM(IFERROR(VLOOKUP($C:$C,Structure!$A:$AJ,AC$1,0)*$D222,0),IFERROR(VLOOKUP($E:$E,Structure!$A:$AJ,AC$1,0)*$F222,0),IFERROR(VLOOKUP($G:$G,Structure!$A:$AJ,AC$1,0)*$H222,0))</f>
        <v>0</v>
      </c>
      <c r="AD222" s="9">
        <f>SUM(IFERROR(VLOOKUP($C:$C,Structure!$A:$AJ,AD$1,0)*$D222,0),IFERROR(VLOOKUP($E:$E,Structure!$A:$AJ,AD$1,0)*$F222,0),IFERROR(VLOOKUP($G:$G,Structure!$A:$AJ,AD$1,0)*$H222,0))</f>
        <v>0</v>
      </c>
      <c r="AE222" s="9">
        <f>SUM(IFERROR(VLOOKUP($C:$C,Structure!$A:$AJ,AE$1,0)*$D222,0),IFERROR(VLOOKUP($E:$E,Structure!$A:$AJ,AE$1,0)*$F222,0),IFERROR(VLOOKUP($G:$G,Structure!$A:$AJ,AE$1,0)*$H222,0))</f>
        <v>0</v>
      </c>
      <c r="AF222" s="9">
        <f>SUM(IFERROR(VLOOKUP($C:$C,Structure!$A:$AJ,AF$1,0)*$D222,0),IFERROR(VLOOKUP($E:$E,Structure!$A:$AJ,AF$1,0)*$F222,0),IFERROR(VLOOKUP($G:$G,Structure!$A:$AJ,AF$1,0)*$H222,0))</f>
        <v>0</v>
      </c>
      <c r="AG222" s="9">
        <f>SUM(IFERROR(VLOOKUP($C:$C,Structure!$A:$AJ,AG$1,0)*$D222,0),IFERROR(VLOOKUP($E:$E,Structure!$A:$AJ,AG$1,0)*$F222,0),IFERROR(VLOOKUP($G:$G,Structure!$A:$AJ,AG$1,0)*$H222,0))</f>
        <v>0</v>
      </c>
      <c r="AH222" s="9">
        <f>SUM(IFERROR(VLOOKUP($C:$C,Structure!$A:$AJ,AH$1,0)*$D222,0),IFERROR(VLOOKUP($E:$E,Structure!$A:$AJ,AH$1,0)*$F222,0),IFERROR(VLOOKUP($G:$G,Structure!$A:$AJ,AH$1,0)*$H222,0))</f>
        <v>0</v>
      </c>
      <c r="AI222" s="9">
        <f>SUM(IFERROR(VLOOKUP($C:$C,Structure!$A:$AJ,AI$1,0)*$D222,0),IFERROR(VLOOKUP($E:$E,Structure!$A:$AJ,AI$1,0)*$F222,0),IFERROR(VLOOKUP($G:$G,Structure!$A:$AJ,AI$1,0)*$H222,0))</f>
        <v>0</v>
      </c>
      <c r="AJ222" s="9">
        <f>SUM(IFERROR(VLOOKUP($C:$C,Structure!$A:$AJ,AJ$1,0)*$D222,0),IFERROR(VLOOKUP($E:$E,Structure!$A:$AJ,AJ$1,0)*$F222,0),IFERROR(VLOOKUP($G:$G,Structure!$A:$AJ,AJ$1,0)*$H222,0))</f>
        <v>0</v>
      </c>
      <c r="AK222" s="9">
        <f>SUM(IFERROR(VLOOKUP($C:$C,Structure!$A:$AJ,AK$1,0)*$D222,0),IFERROR(VLOOKUP($E:$E,Structure!$A:$AJ,AK$1,0)*$F222,0),IFERROR(VLOOKUP($G:$G,Structure!$A:$AJ,AK$1,0)*$H222,0))</f>
        <v>0</v>
      </c>
      <c r="AL222" s="9">
        <f>SUM(IFERROR(VLOOKUP($C:$C,Structure!$A:$AJ,AL$1,0)*$D222,0),IFERROR(VLOOKUP($E:$E,Structure!$A:$AJ,AL$1,0)*$F222,0),IFERROR(VLOOKUP($G:$G,Structure!$A:$AJ,AL$1,0)*$H222,0))</f>
        <v>0</v>
      </c>
      <c r="AM222" s="9">
        <f>SUM(IFERROR(VLOOKUP($C:$C,Structure!$A:$AJ,AM$1,0)*$D222,0),IFERROR(VLOOKUP($E:$E,Structure!$A:$AJ,AM$1,0)*$F222,0),IFERROR(VLOOKUP($G:$G,Structure!$A:$AJ,AM$1,0)*$H222,0))</f>
        <v>0</v>
      </c>
      <c r="AN222" s="9">
        <f>SUM(IFERROR(VLOOKUP($C:$C,Structure!$A:$AJ,AN$1,0)*$D222,0),IFERROR(VLOOKUP($E:$E,Structure!$A:$AJ,AN$1,0)*$F222,0),IFERROR(VLOOKUP($G:$G,Structure!$A:$AJ,AN$1,0)*$H222,0))</f>
        <v>0</v>
      </c>
      <c r="AO222" s="9">
        <f>SUM(IFERROR(VLOOKUP($C:$C,Structure!$A:$AJ,AO$1,0)*$D222,0),IFERROR(VLOOKUP($E:$E,Structure!$A:$AJ,AO$1,0)*$F222,0),IFERROR(VLOOKUP($G:$G,Structure!$A:$AJ,AO$1,0)*$H222,0))</f>
        <v>0</v>
      </c>
      <c r="AP222" s="9">
        <f>SUM(IFERROR(VLOOKUP($C:$C,Structure!$A:$AJ,AP$1,0)*$D222,0),IFERROR(VLOOKUP($E:$E,Structure!$A:$AJ,AP$1,0)*$F222,0),IFERROR(VLOOKUP($G:$G,Structure!$A:$AJ,AP$1,0)*$H222,0))</f>
        <v>0</v>
      </c>
      <c r="AQ222" s="9">
        <f>SUM(IFERROR(VLOOKUP($C:$C,Structure!$A:$AJ,AQ$1,0)*$D222,0),IFERROR(VLOOKUP($E:$E,Structure!$A:$AJ,AQ$1,0)*$F222,0),IFERROR(VLOOKUP($G:$G,Structure!$A:$AJ,AQ$1,0)*$H222,0))</f>
        <v>0</v>
      </c>
      <c r="AR222" s="21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4">
        <f t="shared" si="232"/>
        <v>0</v>
      </c>
      <c r="CE222" s="4">
        <f t="shared" si="233"/>
        <v>-180</v>
      </c>
      <c r="CF222" s="4">
        <f t="shared" si="234"/>
        <v>4</v>
      </c>
      <c r="CG222" s="4">
        <f t="shared" si="235"/>
        <v>11</v>
      </c>
      <c r="CH222" s="4">
        <f t="shared" si="236"/>
        <v>-7</v>
      </c>
      <c r="CI222" s="4">
        <f t="shared" si="237"/>
        <v>103</v>
      </c>
      <c r="CJ222" s="4">
        <f t="shared" si="238"/>
        <v>-277</v>
      </c>
      <c r="CK222" s="4">
        <f t="shared" si="239"/>
        <v>-1</v>
      </c>
      <c r="CL222" s="4">
        <f t="shared" si="240"/>
        <v>0</v>
      </c>
      <c r="CM222" s="4">
        <f t="shared" si="241"/>
        <v>6</v>
      </c>
      <c r="CN222" s="4">
        <f t="shared" si="242"/>
        <v>-164</v>
      </c>
      <c r="CO222" s="4">
        <f t="shared" si="243"/>
        <v>0</v>
      </c>
      <c r="CP222" s="4">
        <f t="shared" si="244"/>
        <v>67</v>
      </c>
      <c r="CQ222" s="4">
        <f t="shared" si="245"/>
        <v>-550</v>
      </c>
      <c r="CR222" s="4">
        <f t="shared" si="246"/>
        <v>12</v>
      </c>
      <c r="CS222" s="4">
        <f t="shared" si="247"/>
        <v>-48</v>
      </c>
      <c r="CT222" s="4">
        <f t="shared" si="248"/>
        <v>0</v>
      </c>
      <c r="CU222" s="4">
        <f t="shared" si="249"/>
        <v>0</v>
      </c>
      <c r="CV222" s="4">
        <f t="shared" si="250"/>
        <v>0</v>
      </c>
      <c r="CW222" s="4">
        <f t="shared" si="251"/>
        <v>0</v>
      </c>
      <c r="CX222" s="4">
        <f t="shared" si="252"/>
        <v>-543</v>
      </c>
      <c r="CY222" s="4">
        <f t="shared" si="253"/>
        <v>0</v>
      </c>
      <c r="CZ222" s="4">
        <f t="shared" si="254"/>
        <v>0</v>
      </c>
      <c r="DA222" s="4">
        <f t="shared" si="255"/>
        <v>0</v>
      </c>
      <c r="DB222" s="4">
        <f t="shared" si="256"/>
        <v>0</v>
      </c>
      <c r="DC222" s="4">
        <f t="shared" si="257"/>
        <v>0</v>
      </c>
      <c r="DD222" s="4">
        <f t="shared" si="258"/>
        <v>0</v>
      </c>
      <c r="DE222" s="4">
        <f t="shared" si="259"/>
        <v>0</v>
      </c>
      <c r="DF222" s="4">
        <f t="shared" si="260"/>
        <v>0</v>
      </c>
      <c r="DG222" s="4">
        <f t="shared" si="261"/>
        <v>0</v>
      </c>
      <c r="DH222" s="4">
        <f t="shared" si="262"/>
        <v>0</v>
      </c>
      <c r="DI222" s="4">
        <f t="shared" si="263"/>
        <v>0</v>
      </c>
      <c r="DJ222" s="4">
        <f t="shared" si="264"/>
        <v>0</v>
      </c>
      <c r="DK222" s="4">
        <f t="shared" si="265"/>
        <v>0</v>
      </c>
      <c r="DL222" s="4">
        <f t="shared" si="266"/>
        <v>0</v>
      </c>
    </row>
    <row r="223" spans="1:116" x14ac:dyDescent="0.25">
      <c r="A223" s="5">
        <v>46187</v>
      </c>
      <c r="B223" s="6">
        <v>0.89583333386690356</v>
      </c>
      <c r="C223" s="3"/>
      <c r="D223" s="3"/>
      <c r="E223" s="3" t="s">
        <v>57</v>
      </c>
      <c r="F223" s="3">
        <v>8</v>
      </c>
      <c r="G223" s="3"/>
      <c r="H223" s="9"/>
      <c r="I223" s="9">
        <f>SUM(IFERROR(VLOOKUP($C:$C,Structure!$A:$AJ,I$1,0)*$D223,0),IFERROR(VLOOKUP($E:$E,Structure!$A:$AJ,I$1,0)*$F223,0),IFERROR(VLOOKUP($G:$G,Structure!$A:$AJ,I$1,0)*$H223,0))</f>
        <v>0</v>
      </c>
      <c r="J223" s="9">
        <f>SUM(IFERROR(VLOOKUP($C:$C,Structure!$A:$AJ,J$1,0)*$D223,0),IFERROR(VLOOKUP($E:$E,Structure!$A:$AJ,J$1,0)*$F223,0),IFERROR(VLOOKUP($G:$G,Structure!$A:$AJ,J$1,0)*$H223,0))</f>
        <v>0</v>
      </c>
      <c r="K223" s="9">
        <f>SUM(IFERROR(VLOOKUP($C:$C,Structure!$A:$AJ,K$1,0)*$D223,0),IFERROR(VLOOKUP($E:$E,Structure!$A:$AJ,K$1,0)*$F223,0),IFERROR(VLOOKUP($G:$G,Structure!$A:$AJ,K$1,0)*$H223,0))</f>
        <v>0</v>
      </c>
      <c r="L223" s="9">
        <f>SUM(IFERROR(VLOOKUP($C:$C,Structure!$A:$AJ,L$1,0)*$D223,0),IFERROR(VLOOKUP($E:$E,Structure!$A:$AJ,L$1,0)*$F223,0),IFERROR(VLOOKUP($G:$G,Structure!$A:$AJ,L$1,0)*$H223,0))</f>
        <v>0</v>
      </c>
      <c r="M223" s="9">
        <f>SUM(IFERROR(VLOOKUP($C:$C,Structure!$A:$AJ,M$1,0)*$D223,0),IFERROR(VLOOKUP($E:$E,Structure!$A:$AJ,M$1,0)*$F223,0),IFERROR(VLOOKUP($G:$G,Structure!$A:$AJ,M$1,0)*$H223,0))</f>
        <v>0</v>
      </c>
      <c r="N223" s="9">
        <f>SUM(IFERROR(VLOOKUP($C:$C,Structure!$A:$AJ,N$1,0)*$D223,0),IFERROR(VLOOKUP($E:$E,Structure!$A:$AJ,N$1,0)*$F223,0),IFERROR(VLOOKUP($G:$G,Structure!$A:$AJ,N$1,0)*$H223,0))</f>
        <v>0</v>
      </c>
      <c r="O223" s="9">
        <f>SUM(IFERROR(VLOOKUP($C:$C,Structure!$A:$AJ,O$1,0)*$D223,0),IFERROR(VLOOKUP($E:$E,Structure!$A:$AJ,O$1,0)*$F223,0),IFERROR(VLOOKUP($G:$G,Structure!$A:$AJ,O$1,0)*$H223,0))</f>
        <v>8</v>
      </c>
      <c r="P223" s="9">
        <f>SUM(IFERROR(VLOOKUP($C:$C,Structure!$A:$AJ,P$1,0)*$D223,0),IFERROR(VLOOKUP($E:$E,Structure!$A:$AJ,P$1,0)*$F223,0),IFERROR(VLOOKUP($G:$G,Structure!$A:$AJ,P$1,0)*$H223,0))</f>
        <v>0</v>
      </c>
      <c r="Q223" s="9">
        <f>SUM(IFERROR(VLOOKUP($C:$C,Structure!$A:$AJ,Q$1,0)*$D223,0),IFERROR(VLOOKUP($E:$E,Structure!$A:$AJ,Q$1,0)*$F223,0),IFERROR(VLOOKUP($G:$G,Structure!$A:$AJ,Q$1,0)*$H223,0))</f>
        <v>0</v>
      </c>
      <c r="R223" s="9">
        <f>SUM(IFERROR(VLOOKUP($C:$C,Structure!$A:$AJ,R$1,0)*$D223,0),IFERROR(VLOOKUP($E:$E,Structure!$A:$AJ,R$1,0)*$F223,0),IFERROR(VLOOKUP($G:$G,Structure!$A:$AJ,R$1,0)*$H223,0))</f>
        <v>0</v>
      </c>
      <c r="S223" s="9">
        <f>SUM(IFERROR(VLOOKUP($C:$C,Structure!$A:$AJ,S$1,0)*$D223,0),IFERROR(VLOOKUP($E:$E,Structure!$A:$AJ,S$1,0)*$F223,0),IFERROR(VLOOKUP($G:$G,Structure!$A:$AJ,S$1,0)*$H223,0))</f>
        <v>8</v>
      </c>
      <c r="T223" s="9">
        <f>SUM(IFERROR(VLOOKUP($C:$C,Structure!$A:$AJ,T$1,0)*$D223,0),IFERROR(VLOOKUP($E:$E,Structure!$A:$AJ,T$1,0)*$F223,0),IFERROR(VLOOKUP($G:$G,Structure!$A:$AJ,T$1,0)*$H223,0))</f>
        <v>0</v>
      </c>
      <c r="U223" s="9">
        <f>SUM(IFERROR(VLOOKUP($C:$C,Structure!$A:$AJ,U$1,0)*$D223,0),IFERROR(VLOOKUP($E:$E,Structure!$A:$AJ,U$1,0)*$F223,0),IFERROR(VLOOKUP($G:$G,Structure!$A:$AJ,U$1,0)*$H223,0))</f>
        <v>0</v>
      </c>
      <c r="V223" s="9">
        <f>SUM(IFERROR(VLOOKUP($C:$C,Structure!$A:$AJ,V$1,0)*$D223,0),IFERROR(VLOOKUP($E:$E,Structure!$A:$AJ,V$1,0)*$F223,0),IFERROR(VLOOKUP($G:$G,Structure!$A:$AJ,V$1,0)*$H223,0))</f>
        <v>0</v>
      </c>
      <c r="W223" s="9">
        <f>SUM(IFERROR(VLOOKUP($C:$C,Structure!$A:$AJ,W$1,0)*$D223,0),IFERROR(VLOOKUP($E:$E,Structure!$A:$AJ,W$1,0)*$F223,0),IFERROR(VLOOKUP($G:$G,Structure!$A:$AJ,W$1,0)*$H223,0))</f>
        <v>0</v>
      </c>
      <c r="X223" s="9">
        <f>SUM(IFERROR(VLOOKUP($C:$C,Structure!$A:$AJ,X$1,0)*$D223,0),IFERROR(VLOOKUP($E:$E,Structure!$A:$AJ,X$1,0)*$F223,0),IFERROR(VLOOKUP($G:$G,Structure!$A:$AJ,X$1,0)*$H223,0))</f>
        <v>0</v>
      </c>
      <c r="Y223" s="9">
        <f>SUM(IFERROR(VLOOKUP($C:$C,Structure!$A:$AJ,Y$1,0)*$D223,0),IFERROR(VLOOKUP($E:$E,Structure!$A:$AJ,Y$1,0)*$F223,0),IFERROR(VLOOKUP($G:$G,Structure!$A:$AJ,Y$1,0)*$H223,0))</f>
        <v>0</v>
      </c>
      <c r="Z223" s="9">
        <f>SUM(IFERROR(VLOOKUP($C:$C,Structure!$A:$AJ,Z$1,0)*$D223,0),IFERROR(VLOOKUP($E:$E,Structure!$A:$AJ,Z$1,0)*$F223,0),IFERROR(VLOOKUP($G:$G,Structure!$A:$AJ,Z$1,0)*$H223,0))</f>
        <v>0</v>
      </c>
      <c r="AA223" s="9">
        <f>SUM(IFERROR(VLOOKUP($C:$C,Structure!$A:$AJ,AA$1,0)*$D223,0),IFERROR(VLOOKUP($E:$E,Structure!$A:$AJ,AA$1,0)*$F223,0),IFERROR(VLOOKUP($G:$G,Structure!$A:$AJ,AA$1,0)*$H223,0))</f>
        <v>0</v>
      </c>
      <c r="AB223" s="9">
        <f>SUM(IFERROR(VLOOKUP($C:$C,Structure!$A:$AJ,AB$1,0)*$D223,0),IFERROR(VLOOKUP($E:$E,Structure!$A:$AJ,AB$1,0)*$F223,0),IFERROR(VLOOKUP($G:$G,Structure!$A:$AJ,AB$1,0)*$H223,0))</f>
        <v>0</v>
      </c>
      <c r="AC223" s="9">
        <f>SUM(IFERROR(VLOOKUP($C:$C,Structure!$A:$AJ,AC$1,0)*$D223,0),IFERROR(VLOOKUP($E:$E,Structure!$A:$AJ,AC$1,0)*$F223,0),IFERROR(VLOOKUP($G:$G,Structure!$A:$AJ,AC$1,0)*$H223,0))</f>
        <v>0</v>
      </c>
      <c r="AD223" s="9">
        <f>SUM(IFERROR(VLOOKUP($C:$C,Structure!$A:$AJ,AD$1,0)*$D223,0),IFERROR(VLOOKUP($E:$E,Structure!$A:$AJ,AD$1,0)*$F223,0),IFERROR(VLOOKUP($G:$G,Structure!$A:$AJ,AD$1,0)*$H223,0))</f>
        <v>0</v>
      </c>
      <c r="AE223" s="9">
        <f>SUM(IFERROR(VLOOKUP($C:$C,Structure!$A:$AJ,AE$1,0)*$D223,0),IFERROR(VLOOKUP($E:$E,Structure!$A:$AJ,AE$1,0)*$F223,0),IFERROR(VLOOKUP($G:$G,Structure!$A:$AJ,AE$1,0)*$H223,0))</f>
        <v>0</v>
      </c>
      <c r="AF223" s="9">
        <f>SUM(IFERROR(VLOOKUP($C:$C,Structure!$A:$AJ,AF$1,0)*$D223,0),IFERROR(VLOOKUP($E:$E,Structure!$A:$AJ,AF$1,0)*$F223,0),IFERROR(VLOOKUP($G:$G,Structure!$A:$AJ,AF$1,0)*$H223,0))</f>
        <v>0</v>
      </c>
      <c r="AG223" s="9">
        <f>SUM(IFERROR(VLOOKUP($C:$C,Structure!$A:$AJ,AG$1,0)*$D223,0),IFERROR(VLOOKUP($E:$E,Structure!$A:$AJ,AG$1,0)*$F223,0),IFERROR(VLOOKUP($G:$G,Structure!$A:$AJ,AG$1,0)*$H223,0))</f>
        <v>0</v>
      </c>
      <c r="AH223" s="9">
        <f>SUM(IFERROR(VLOOKUP($C:$C,Structure!$A:$AJ,AH$1,0)*$D223,0),IFERROR(VLOOKUP($E:$E,Structure!$A:$AJ,AH$1,0)*$F223,0),IFERROR(VLOOKUP($G:$G,Structure!$A:$AJ,AH$1,0)*$H223,0))</f>
        <v>0</v>
      </c>
      <c r="AI223" s="9">
        <f>SUM(IFERROR(VLOOKUP($C:$C,Structure!$A:$AJ,AI$1,0)*$D223,0),IFERROR(VLOOKUP($E:$E,Structure!$A:$AJ,AI$1,0)*$F223,0),IFERROR(VLOOKUP($G:$G,Structure!$A:$AJ,AI$1,0)*$H223,0))</f>
        <v>0</v>
      </c>
      <c r="AJ223" s="9">
        <f>SUM(IFERROR(VLOOKUP($C:$C,Structure!$A:$AJ,AJ$1,0)*$D223,0),IFERROR(VLOOKUP($E:$E,Structure!$A:$AJ,AJ$1,0)*$F223,0),IFERROR(VLOOKUP($G:$G,Structure!$A:$AJ,AJ$1,0)*$H223,0))</f>
        <v>0</v>
      </c>
      <c r="AK223" s="9">
        <f>SUM(IFERROR(VLOOKUP($C:$C,Structure!$A:$AJ,AK$1,0)*$D223,0),IFERROR(VLOOKUP($E:$E,Structure!$A:$AJ,AK$1,0)*$F223,0),IFERROR(VLOOKUP($G:$G,Structure!$A:$AJ,AK$1,0)*$H223,0))</f>
        <v>0</v>
      </c>
      <c r="AL223" s="9">
        <f>SUM(IFERROR(VLOOKUP($C:$C,Structure!$A:$AJ,AL$1,0)*$D223,0),IFERROR(VLOOKUP($E:$E,Structure!$A:$AJ,AL$1,0)*$F223,0),IFERROR(VLOOKUP($G:$G,Structure!$A:$AJ,AL$1,0)*$H223,0))</f>
        <v>0</v>
      </c>
      <c r="AM223" s="9">
        <f>SUM(IFERROR(VLOOKUP($C:$C,Structure!$A:$AJ,AM$1,0)*$D223,0),IFERROR(VLOOKUP($E:$E,Structure!$A:$AJ,AM$1,0)*$F223,0),IFERROR(VLOOKUP($G:$G,Structure!$A:$AJ,AM$1,0)*$H223,0))</f>
        <v>0</v>
      </c>
      <c r="AN223" s="9">
        <f>SUM(IFERROR(VLOOKUP($C:$C,Structure!$A:$AJ,AN$1,0)*$D223,0),IFERROR(VLOOKUP($E:$E,Structure!$A:$AJ,AN$1,0)*$F223,0),IFERROR(VLOOKUP($G:$G,Structure!$A:$AJ,AN$1,0)*$H223,0))</f>
        <v>0</v>
      </c>
      <c r="AO223" s="9">
        <f>SUM(IFERROR(VLOOKUP($C:$C,Structure!$A:$AJ,AO$1,0)*$D223,0),IFERROR(VLOOKUP($E:$E,Structure!$A:$AJ,AO$1,0)*$F223,0),IFERROR(VLOOKUP($G:$G,Structure!$A:$AJ,AO$1,0)*$H223,0))</f>
        <v>0</v>
      </c>
      <c r="AP223" s="9">
        <f>SUM(IFERROR(VLOOKUP($C:$C,Structure!$A:$AJ,AP$1,0)*$D223,0),IFERROR(VLOOKUP($E:$E,Structure!$A:$AJ,AP$1,0)*$F223,0),IFERROR(VLOOKUP($G:$G,Structure!$A:$AJ,AP$1,0)*$H223,0))</f>
        <v>0</v>
      </c>
      <c r="AQ223" s="9">
        <f>SUM(IFERROR(VLOOKUP($C:$C,Structure!$A:$AJ,AQ$1,0)*$D223,0),IFERROR(VLOOKUP($E:$E,Structure!$A:$AJ,AQ$1,0)*$F223,0),IFERROR(VLOOKUP($G:$G,Structure!$A:$AJ,AQ$1,0)*$H223,0))</f>
        <v>0</v>
      </c>
      <c r="AR223" s="21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4">
        <f t="shared" si="232"/>
        <v>0</v>
      </c>
      <c r="CE223" s="4">
        <f t="shared" si="233"/>
        <v>-180</v>
      </c>
      <c r="CF223" s="4">
        <f t="shared" si="234"/>
        <v>4</v>
      </c>
      <c r="CG223" s="4">
        <f t="shared" si="235"/>
        <v>11</v>
      </c>
      <c r="CH223" s="4">
        <f t="shared" si="236"/>
        <v>-7</v>
      </c>
      <c r="CI223" s="4">
        <f t="shared" si="237"/>
        <v>103</v>
      </c>
      <c r="CJ223" s="4">
        <f t="shared" si="238"/>
        <v>-285</v>
      </c>
      <c r="CK223" s="4">
        <f t="shared" si="239"/>
        <v>-1</v>
      </c>
      <c r="CL223" s="4">
        <f t="shared" si="240"/>
        <v>0</v>
      </c>
      <c r="CM223" s="4">
        <f t="shared" si="241"/>
        <v>6</v>
      </c>
      <c r="CN223" s="4">
        <f t="shared" si="242"/>
        <v>-172</v>
      </c>
      <c r="CO223" s="4">
        <f t="shared" si="243"/>
        <v>0</v>
      </c>
      <c r="CP223" s="4">
        <f t="shared" si="244"/>
        <v>67</v>
      </c>
      <c r="CQ223" s="4">
        <f t="shared" si="245"/>
        <v>-550</v>
      </c>
      <c r="CR223" s="4">
        <f t="shared" si="246"/>
        <v>12</v>
      </c>
      <c r="CS223" s="4">
        <f t="shared" si="247"/>
        <v>-48</v>
      </c>
      <c r="CT223" s="4">
        <f t="shared" si="248"/>
        <v>0</v>
      </c>
      <c r="CU223" s="4">
        <f t="shared" si="249"/>
        <v>0</v>
      </c>
      <c r="CV223" s="4">
        <f t="shared" si="250"/>
        <v>0</v>
      </c>
      <c r="CW223" s="4">
        <f t="shared" si="251"/>
        <v>0</v>
      </c>
      <c r="CX223" s="4">
        <f t="shared" si="252"/>
        <v>-543</v>
      </c>
      <c r="CY223" s="4">
        <f t="shared" si="253"/>
        <v>0</v>
      </c>
      <c r="CZ223" s="4">
        <f t="shared" si="254"/>
        <v>0</v>
      </c>
      <c r="DA223" s="4">
        <f t="shared" si="255"/>
        <v>0</v>
      </c>
      <c r="DB223" s="4">
        <f t="shared" si="256"/>
        <v>0</v>
      </c>
      <c r="DC223" s="4">
        <f t="shared" si="257"/>
        <v>0</v>
      </c>
      <c r="DD223" s="4">
        <f t="shared" si="258"/>
        <v>0</v>
      </c>
      <c r="DE223" s="4">
        <f t="shared" si="259"/>
        <v>0</v>
      </c>
      <c r="DF223" s="4">
        <f t="shared" si="260"/>
        <v>0</v>
      </c>
      <c r="DG223" s="4">
        <f t="shared" si="261"/>
        <v>0</v>
      </c>
      <c r="DH223" s="4">
        <f t="shared" si="262"/>
        <v>0</v>
      </c>
      <c r="DI223" s="4">
        <f t="shared" si="263"/>
        <v>0</v>
      </c>
      <c r="DJ223" s="4">
        <f t="shared" si="264"/>
        <v>0</v>
      </c>
      <c r="DK223" s="4">
        <f t="shared" si="265"/>
        <v>0</v>
      </c>
      <c r="DL223" s="4">
        <f t="shared" si="266"/>
        <v>0</v>
      </c>
    </row>
    <row r="224" spans="1:116" x14ac:dyDescent="0.25">
      <c r="A224" s="5">
        <v>46187</v>
      </c>
      <c r="B224" s="6">
        <v>0.91666666720266221</v>
      </c>
      <c r="C224" s="3"/>
      <c r="D224" s="3"/>
      <c r="E224" s="3" t="s">
        <v>57</v>
      </c>
      <c r="F224" s="3">
        <v>8</v>
      </c>
      <c r="G224" s="3"/>
      <c r="H224" s="9"/>
      <c r="I224" s="9">
        <f>SUM(IFERROR(VLOOKUP($C:$C,Structure!$A:$AJ,I$1,0)*$D224,0),IFERROR(VLOOKUP($E:$E,Structure!$A:$AJ,I$1,0)*$F224,0),IFERROR(VLOOKUP($G:$G,Structure!$A:$AJ,I$1,0)*$H224,0))</f>
        <v>0</v>
      </c>
      <c r="J224" s="9">
        <f>SUM(IFERROR(VLOOKUP($C:$C,Structure!$A:$AJ,J$1,0)*$D224,0),IFERROR(VLOOKUP($E:$E,Structure!$A:$AJ,J$1,0)*$F224,0),IFERROR(VLOOKUP($G:$G,Structure!$A:$AJ,J$1,0)*$H224,0))</f>
        <v>0</v>
      </c>
      <c r="K224" s="9">
        <f>SUM(IFERROR(VLOOKUP($C:$C,Structure!$A:$AJ,K$1,0)*$D224,0),IFERROR(VLOOKUP($E:$E,Structure!$A:$AJ,K$1,0)*$F224,0),IFERROR(VLOOKUP($G:$G,Structure!$A:$AJ,K$1,0)*$H224,0))</f>
        <v>0</v>
      </c>
      <c r="L224" s="9">
        <f>SUM(IFERROR(VLOOKUP($C:$C,Structure!$A:$AJ,L$1,0)*$D224,0),IFERROR(VLOOKUP($E:$E,Structure!$A:$AJ,L$1,0)*$F224,0),IFERROR(VLOOKUP($G:$G,Structure!$A:$AJ,L$1,0)*$H224,0))</f>
        <v>0</v>
      </c>
      <c r="M224" s="9">
        <f>SUM(IFERROR(VLOOKUP($C:$C,Structure!$A:$AJ,M$1,0)*$D224,0),IFERROR(VLOOKUP($E:$E,Structure!$A:$AJ,M$1,0)*$F224,0),IFERROR(VLOOKUP($G:$G,Structure!$A:$AJ,M$1,0)*$H224,0))</f>
        <v>0</v>
      </c>
      <c r="N224" s="9">
        <f>SUM(IFERROR(VLOOKUP($C:$C,Structure!$A:$AJ,N$1,0)*$D224,0),IFERROR(VLOOKUP($E:$E,Structure!$A:$AJ,N$1,0)*$F224,0),IFERROR(VLOOKUP($G:$G,Structure!$A:$AJ,N$1,0)*$H224,0))</f>
        <v>0</v>
      </c>
      <c r="O224" s="9">
        <f>SUM(IFERROR(VLOOKUP($C:$C,Structure!$A:$AJ,O$1,0)*$D224,0),IFERROR(VLOOKUP($E:$E,Structure!$A:$AJ,O$1,0)*$F224,0),IFERROR(VLOOKUP($G:$G,Structure!$A:$AJ,O$1,0)*$H224,0))</f>
        <v>8</v>
      </c>
      <c r="P224" s="9">
        <f>SUM(IFERROR(VLOOKUP($C:$C,Structure!$A:$AJ,P$1,0)*$D224,0),IFERROR(VLOOKUP($E:$E,Structure!$A:$AJ,P$1,0)*$F224,0),IFERROR(VLOOKUP($G:$G,Structure!$A:$AJ,P$1,0)*$H224,0))</f>
        <v>0</v>
      </c>
      <c r="Q224" s="9">
        <f>SUM(IFERROR(VLOOKUP($C:$C,Structure!$A:$AJ,Q$1,0)*$D224,0),IFERROR(VLOOKUP($E:$E,Structure!$A:$AJ,Q$1,0)*$F224,0),IFERROR(VLOOKUP($G:$G,Structure!$A:$AJ,Q$1,0)*$H224,0))</f>
        <v>0</v>
      </c>
      <c r="R224" s="9">
        <f>SUM(IFERROR(VLOOKUP($C:$C,Structure!$A:$AJ,R$1,0)*$D224,0),IFERROR(VLOOKUP($E:$E,Structure!$A:$AJ,R$1,0)*$F224,0),IFERROR(VLOOKUP($G:$G,Structure!$A:$AJ,R$1,0)*$H224,0))</f>
        <v>0</v>
      </c>
      <c r="S224" s="9">
        <f>SUM(IFERROR(VLOOKUP($C:$C,Structure!$A:$AJ,S$1,0)*$D224,0),IFERROR(VLOOKUP($E:$E,Structure!$A:$AJ,S$1,0)*$F224,0),IFERROR(VLOOKUP($G:$G,Structure!$A:$AJ,S$1,0)*$H224,0))</f>
        <v>8</v>
      </c>
      <c r="T224" s="9">
        <f>SUM(IFERROR(VLOOKUP($C:$C,Structure!$A:$AJ,T$1,0)*$D224,0),IFERROR(VLOOKUP($E:$E,Structure!$A:$AJ,T$1,0)*$F224,0),IFERROR(VLOOKUP($G:$G,Structure!$A:$AJ,T$1,0)*$H224,0))</f>
        <v>0</v>
      </c>
      <c r="U224" s="9">
        <f>SUM(IFERROR(VLOOKUP($C:$C,Structure!$A:$AJ,U$1,0)*$D224,0),IFERROR(VLOOKUP($E:$E,Structure!$A:$AJ,U$1,0)*$F224,0),IFERROR(VLOOKUP($G:$G,Structure!$A:$AJ,U$1,0)*$H224,0))</f>
        <v>0</v>
      </c>
      <c r="V224" s="9">
        <f>SUM(IFERROR(VLOOKUP($C:$C,Structure!$A:$AJ,V$1,0)*$D224,0),IFERROR(VLOOKUP($E:$E,Structure!$A:$AJ,V$1,0)*$F224,0),IFERROR(VLOOKUP($G:$G,Structure!$A:$AJ,V$1,0)*$H224,0))</f>
        <v>0</v>
      </c>
      <c r="W224" s="9">
        <f>SUM(IFERROR(VLOOKUP($C:$C,Structure!$A:$AJ,W$1,0)*$D224,0),IFERROR(VLOOKUP($E:$E,Structure!$A:$AJ,W$1,0)*$F224,0),IFERROR(VLOOKUP($G:$G,Structure!$A:$AJ,W$1,0)*$H224,0))</f>
        <v>0</v>
      </c>
      <c r="X224" s="9">
        <f>SUM(IFERROR(VLOOKUP($C:$C,Structure!$A:$AJ,X$1,0)*$D224,0),IFERROR(VLOOKUP($E:$E,Structure!$A:$AJ,X$1,0)*$F224,0),IFERROR(VLOOKUP($G:$G,Structure!$A:$AJ,X$1,0)*$H224,0))</f>
        <v>0</v>
      </c>
      <c r="Y224" s="9">
        <f>SUM(IFERROR(VLOOKUP($C:$C,Structure!$A:$AJ,Y$1,0)*$D224,0),IFERROR(VLOOKUP($E:$E,Structure!$A:$AJ,Y$1,0)*$F224,0),IFERROR(VLOOKUP($G:$G,Structure!$A:$AJ,Y$1,0)*$H224,0))</f>
        <v>0</v>
      </c>
      <c r="Z224" s="9">
        <f>SUM(IFERROR(VLOOKUP($C:$C,Structure!$A:$AJ,Z$1,0)*$D224,0),IFERROR(VLOOKUP($E:$E,Structure!$A:$AJ,Z$1,0)*$F224,0),IFERROR(VLOOKUP($G:$G,Structure!$A:$AJ,Z$1,0)*$H224,0))</f>
        <v>0</v>
      </c>
      <c r="AA224" s="9">
        <f>SUM(IFERROR(VLOOKUP($C:$C,Structure!$A:$AJ,AA$1,0)*$D224,0),IFERROR(VLOOKUP($E:$E,Structure!$A:$AJ,AA$1,0)*$F224,0),IFERROR(VLOOKUP($G:$G,Structure!$A:$AJ,AA$1,0)*$H224,0))</f>
        <v>0</v>
      </c>
      <c r="AB224" s="9">
        <f>SUM(IFERROR(VLOOKUP($C:$C,Structure!$A:$AJ,AB$1,0)*$D224,0),IFERROR(VLOOKUP($E:$E,Structure!$A:$AJ,AB$1,0)*$F224,0),IFERROR(VLOOKUP($G:$G,Structure!$A:$AJ,AB$1,0)*$H224,0))</f>
        <v>0</v>
      </c>
      <c r="AC224" s="9">
        <f>SUM(IFERROR(VLOOKUP($C:$C,Structure!$A:$AJ,AC$1,0)*$D224,0),IFERROR(VLOOKUP($E:$E,Structure!$A:$AJ,AC$1,0)*$F224,0),IFERROR(VLOOKUP($G:$G,Structure!$A:$AJ,AC$1,0)*$H224,0))</f>
        <v>0</v>
      </c>
      <c r="AD224" s="9">
        <f>SUM(IFERROR(VLOOKUP($C:$C,Structure!$A:$AJ,AD$1,0)*$D224,0),IFERROR(VLOOKUP($E:$E,Structure!$A:$AJ,AD$1,0)*$F224,0),IFERROR(VLOOKUP($G:$G,Structure!$A:$AJ,AD$1,0)*$H224,0))</f>
        <v>0</v>
      </c>
      <c r="AE224" s="9">
        <f>SUM(IFERROR(VLOOKUP($C:$C,Structure!$A:$AJ,AE$1,0)*$D224,0),IFERROR(VLOOKUP($E:$E,Structure!$A:$AJ,AE$1,0)*$F224,0),IFERROR(VLOOKUP($G:$G,Structure!$A:$AJ,AE$1,0)*$H224,0))</f>
        <v>0</v>
      </c>
      <c r="AF224" s="9">
        <f>SUM(IFERROR(VLOOKUP($C:$C,Structure!$A:$AJ,AF$1,0)*$D224,0),IFERROR(VLOOKUP($E:$E,Structure!$A:$AJ,AF$1,0)*$F224,0),IFERROR(VLOOKUP($G:$G,Structure!$A:$AJ,AF$1,0)*$H224,0))</f>
        <v>0</v>
      </c>
      <c r="AG224" s="9">
        <f>SUM(IFERROR(VLOOKUP($C:$C,Structure!$A:$AJ,AG$1,0)*$D224,0),IFERROR(VLOOKUP($E:$E,Structure!$A:$AJ,AG$1,0)*$F224,0),IFERROR(VLOOKUP($G:$G,Structure!$A:$AJ,AG$1,0)*$H224,0))</f>
        <v>0</v>
      </c>
      <c r="AH224" s="9">
        <f>SUM(IFERROR(VLOOKUP($C:$C,Structure!$A:$AJ,AH$1,0)*$D224,0),IFERROR(VLOOKUP($E:$E,Structure!$A:$AJ,AH$1,0)*$F224,0),IFERROR(VLOOKUP($G:$G,Structure!$A:$AJ,AH$1,0)*$H224,0))</f>
        <v>0</v>
      </c>
      <c r="AI224" s="9">
        <f>SUM(IFERROR(VLOOKUP($C:$C,Structure!$A:$AJ,AI$1,0)*$D224,0),IFERROR(VLOOKUP($E:$E,Structure!$A:$AJ,AI$1,0)*$F224,0),IFERROR(VLOOKUP($G:$G,Structure!$A:$AJ,AI$1,0)*$H224,0))</f>
        <v>0</v>
      </c>
      <c r="AJ224" s="9">
        <f>SUM(IFERROR(VLOOKUP($C:$C,Structure!$A:$AJ,AJ$1,0)*$D224,0),IFERROR(VLOOKUP($E:$E,Structure!$A:$AJ,AJ$1,0)*$F224,0),IFERROR(VLOOKUP($G:$G,Structure!$A:$AJ,AJ$1,0)*$H224,0))</f>
        <v>0</v>
      </c>
      <c r="AK224" s="9">
        <f>SUM(IFERROR(VLOOKUP($C:$C,Structure!$A:$AJ,AK$1,0)*$D224,0),IFERROR(VLOOKUP($E:$E,Structure!$A:$AJ,AK$1,0)*$F224,0),IFERROR(VLOOKUP($G:$G,Structure!$A:$AJ,AK$1,0)*$H224,0))</f>
        <v>0</v>
      </c>
      <c r="AL224" s="9">
        <f>SUM(IFERROR(VLOOKUP($C:$C,Structure!$A:$AJ,AL$1,0)*$D224,0),IFERROR(VLOOKUP($E:$E,Structure!$A:$AJ,AL$1,0)*$F224,0),IFERROR(VLOOKUP($G:$G,Structure!$A:$AJ,AL$1,0)*$H224,0))</f>
        <v>0</v>
      </c>
      <c r="AM224" s="9">
        <f>SUM(IFERROR(VLOOKUP($C:$C,Structure!$A:$AJ,AM$1,0)*$D224,0),IFERROR(VLOOKUP($E:$E,Structure!$A:$AJ,AM$1,0)*$F224,0),IFERROR(VLOOKUP($G:$G,Structure!$A:$AJ,AM$1,0)*$H224,0))</f>
        <v>0</v>
      </c>
      <c r="AN224" s="9">
        <f>SUM(IFERROR(VLOOKUP($C:$C,Structure!$A:$AJ,AN$1,0)*$D224,0),IFERROR(VLOOKUP($E:$E,Structure!$A:$AJ,AN$1,0)*$F224,0),IFERROR(VLOOKUP($G:$G,Structure!$A:$AJ,AN$1,0)*$H224,0))</f>
        <v>0</v>
      </c>
      <c r="AO224" s="9">
        <f>SUM(IFERROR(VLOOKUP($C:$C,Structure!$A:$AJ,AO$1,0)*$D224,0),IFERROR(VLOOKUP($E:$E,Structure!$A:$AJ,AO$1,0)*$F224,0),IFERROR(VLOOKUP($G:$G,Structure!$A:$AJ,AO$1,0)*$H224,0))</f>
        <v>0</v>
      </c>
      <c r="AP224" s="9">
        <f>SUM(IFERROR(VLOOKUP($C:$C,Structure!$A:$AJ,AP$1,0)*$D224,0),IFERROR(VLOOKUP($E:$E,Structure!$A:$AJ,AP$1,0)*$F224,0),IFERROR(VLOOKUP($G:$G,Structure!$A:$AJ,AP$1,0)*$H224,0))</f>
        <v>0</v>
      </c>
      <c r="AQ224" s="9">
        <f>SUM(IFERROR(VLOOKUP($C:$C,Structure!$A:$AJ,AQ$1,0)*$D224,0),IFERROR(VLOOKUP($E:$E,Structure!$A:$AJ,AQ$1,0)*$F224,0),IFERROR(VLOOKUP($G:$G,Structure!$A:$AJ,AQ$1,0)*$H224,0))</f>
        <v>0</v>
      </c>
      <c r="AR224" s="21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4">
        <f t="shared" si="232"/>
        <v>0</v>
      </c>
      <c r="CE224" s="4">
        <f t="shared" si="233"/>
        <v>-180</v>
      </c>
      <c r="CF224" s="4">
        <f t="shared" si="234"/>
        <v>4</v>
      </c>
      <c r="CG224" s="4">
        <f t="shared" si="235"/>
        <v>11</v>
      </c>
      <c r="CH224" s="4">
        <f t="shared" si="236"/>
        <v>-7</v>
      </c>
      <c r="CI224" s="4">
        <f t="shared" si="237"/>
        <v>103</v>
      </c>
      <c r="CJ224" s="4">
        <f t="shared" si="238"/>
        <v>-293</v>
      </c>
      <c r="CK224" s="4">
        <f t="shared" si="239"/>
        <v>-1</v>
      </c>
      <c r="CL224" s="4">
        <f t="shared" si="240"/>
        <v>0</v>
      </c>
      <c r="CM224" s="4">
        <f t="shared" si="241"/>
        <v>6</v>
      </c>
      <c r="CN224" s="4">
        <f t="shared" si="242"/>
        <v>-180</v>
      </c>
      <c r="CO224" s="4">
        <f t="shared" si="243"/>
        <v>0</v>
      </c>
      <c r="CP224" s="4">
        <f t="shared" si="244"/>
        <v>67</v>
      </c>
      <c r="CQ224" s="4">
        <f t="shared" si="245"/>
        <v>-550</v>
      </c>
      <c r="CR224" s="4">
        <f t="shared" si="246"/>
        <v>12</v>
      </c>
      <c r="CS224" s="4">
        <f t="shared" si="247"/>
        <v>-48</v>
      </c>
      <c r="CT224" s="4">
        <f t="shared" si="248"/>
        <v>0</v>
      </c>
      <c r="CU224" s="4">
        <f t="shared" si="249"/>
        <v>0</v>
      </c>
      <c r="CV224" s="4">
        <f t="shared" si="250"/>
        <v>0</v>
      </c>
      <c r="CW224" s="4">
        <f t="shared" si="251"/>
        <v>0</v>
      </c>
      <c r="CX224" s="4">
        <f t="shared" si="252"/>
        <v>-543</v>
      </c>
      <c r="CY224" s="4">
        <f t="shared" si="253"/>
        <v>0</v>
      </c>
      <c r="CZ224" s="4">
        <f t="shared" si="254"/>
        <v>0</v>
      </c>
      <c r="DA224" s="4">
        <f t="shared" si="255"/>
        <v>0</v>
      </c>
      <c r="DB224" s="4">
        <f t="shared" si="256"/>
        <v>0</v>
      </c>
      <c r="DC224" s="4">
        <f t="shared" si="257"/>
        <v>0</v>
      </c>
      <c r="DD224" s="4">
        <f t="shared" si="258"/>
        <v>0</v>
      </c>
      <c r="DE224" s="4">
        <f t="shared" si="259"/>
        <v>0</v>
      </c>
      <c r="DF224" s="4">
        <f t="shared" si="260"/>
        <v>0</v>
      </c>
      <c r="DG224" s="4">
        <f t="shared" si="261"/>
        <v>0</v>
      </c>
      <c r="DH224" s="4">
        <f t="shared" si="262"/>
        <v>0</v>
      </c>
      <c r="DI224" s="4">
        <f t="shared" si="263"/>
        <v>0</v>
      </c>
      <c r="DJ224" s="4">
        <f t="shared" si="264"/>
        <v>0</v>
      </c>
      <c r="DK224" s="4">
        <f t="shared" si="265"/>
        <v>0</v>
      </c>
      <c r="DL224" s="4">
        <f t="shared" si="266"/>
        <v>0</v>
      </c>
    </row>
    <row r="225" spans="1:116" x14ac:dyDescent="0.25">
      <c r="A225" s="5">
        <v>46187</v>
      </c>
      <c r="B225" s="6">
        <v>0.93750000053842086</v>
      </c>
      <c r="C225" s="3"/>
      <c r="D225" s="3"/>
      <c r="E225" s="3" t="s">
        <v>57</v>
      </c>
      <c r="F225" s="3">
        <v>8</v>
      </c>
      <c r="G225" s="3"/>
      <c r="H225" s="9"/>
      <c r="I225" s="9">
        <f>SUM(IFERROR(VLOOKUP($C:$C,Structure!$A:$AJ,I$1,0)*$D225,0),IFERROR(VLOOKUP($E:$E,Structure!$A:$AJ,I$1,0)*$F225,0),IFERROR(VLOOKUP($G:$G,Structure!$A:$AJ,I$1,0)*$H225,0))</f>
        <v>0</v>
      </c>
      <c r="J225" s="9">
        <f>SUM(IFERROR(VLOOKUP($C:$C,Structure!$A:$AJ,J$1,0)*$D225,0),IFERROR(VLOOKUP($E:$E,Structure!$A:$AJ,J$1,0)*$F225,0),IFERROR(VLOOKUP($G:$G,Structure!$A:$AJ,J$1,0)*$H225,0))</f>
        <v>0</v>
      </c>
      <c r="K225" s="9">
        <f>SUM(IFERROR(VLOOKUP($C:$C,Structure!$A:$AJ,K$1,0)*$D225,0),IFERROR(VLOOKUP($E:$E,Structure!$A:$AJ,K$1,0)*$F225,0),IFERROR(VLOOKUP($G:$G,Structure!$A:$AJ,K$1,0)*$H225,0))</f>
        <v>0</v>
      </c>
      <c r="L225" s="9">
        <f>SUM(IFERROR(VLOOKUP($C:$C,Structure!$A:$AJ,L$1,0)*$D225,0),IFERROR(VLOOKUP($E:$E,Structure!$A:$AJ,L$1,0)*$F225,0),IFERROR(VLOOKUP($G:$G,Structure!$A:$AJ,L$1,0)*$H225,0))</f>
        <v>0</v>
      </c>
      <c r="M225" s="9">
        <f>SUM(IFERROR(VLOOKUP($C:$C,Structure!$A:$AJ,M$1,0)*$D225,0),IFERROR(VLOOKUP($E:$E,Structure!$A:$AJ,M$1,0)*$F225,0),IFERROR(VLOOKUP($G:$G,Structure!$A:$AJ,M$1,0)*$H225,0))</f>
        <v>0</v>
      </c>
      <c r="N225" s="9">
        <f>SUM(IFERROR(VLOOKUP($C:$C,Structure!$A:$AJ,N$1,0)*$D225,0),IFERROR(VLOOKUP($E:$E,Structure!$A:$AJ,N$1,0)*$F225,0),IFERROR(VLOOKUP($G:$G,Structure!$A:$AJ,N$1,0)*$H225,0))</f>
        <v>0</v>
      </c>
      <c r="O225" s="9">
        <f>SUM(IFERROR(VLOOKUP($C:$C,Structure!$A:$AJ,O$1,0)*$D225,0),IFERROR(VLOOKUP($E:$E,Structure!$A:$AJ,O$1,0)*$F225,0),IFERROR(VLOOKUP($G:$G,Structure!$A:$AJ,O$1,0)*$H225,0))</f>
        <v>8</v>
      </c>
      <c r="P225" s="9">
        <f>SUM(IFERROR(VLOOKUP($C:$C,Structure!$A:$AJ,P$1,0)*$D225,0),IFERROR(VLOOKUP($E:$E,Structure!$A:$AJ,P$1,0)*$F225,0),IFERROR(VLOOKUP($G:$G,Structure!$A:$AJ,P$1,0)*$H225,0))</f>
        <v>0</v>
      </c>
      <c r="Q225" s="9">
        <f>SUM(IFERROR(VLOOKUP($C:$C,Structure!$A:$AJ,Q$1,0)*$D225,0),IFERROR(VLOOKUP($E:$E,Structure!$A:$AJ,Q$1,0)*$F225,0),IFERROR(VLOOKUP($G:$G,Structure!$A:$AJ,Q$1,0)*$H225,0))</f>
        <v>0</v>
      </c>
      <c r="R225" s="9">
        <f>SUM(IFERROR(VLOOKUP($C:$C,Structure!$A:$AJ,R$1,0)*$D225,0),IFERROR(VLOOKUP($E:$E,Structure!$A:$AJ,R$1,0)*$F225,0),IFERROR(VLOOKUP($G:$G,Structure!$A:$AJ,R$1,0)*$H225,0))</f>
        <v>0</v>
      </c>
      <c r="S225" s="9">
        <f>SUM(IFERROR(VLOOKUP($C:$C,Structure!$A:$AJ,S$1,0)*$D225,0),IFERROR(VLOOKUP($E:$E,Structure!$A:$AJ,S$1,0)*$F225,0),IFERROR(VLOOKUP($G:$G,Structure!$A:$AJ,S$1,0)*$H225,0))</f>
        <v>8</v>
      </c>
      <c r="T225" s="9">
        <f>SUM(IFERROR(VLOOKUP($C:$C,Structure!$A:$AJ,T$1,0)*$D225,0),IFERROR(VLOOKUP($E:$E,Structure!$A:$AJ,T$1,0)*$F225,0),IFERROR(VLOOKUP($G:$G,Structure!$A:$AJ,T$1,0)*$H225,0))</f>
        <v>0</v>
      </c>
      <c r="U225" s="9">
        <f>SUM(IFERROR(VLOOKUP($C:$C,Structure!$A:$AJ,U$1,0)*$D225,0),IFERROR(VLOOKUP($E:$E,Structure!$A:$AJ,U$1,0)*$F225,0),IFERROR(VLOOKUP($G:$G,Structure!$A:$AJ,U$1,0)*$H225,0))</f>
        <v>0</v>
      </c>
      <c r="V225" s="9">
        <f>SUM(IFERROR(VLOOKUP($C:$C,Structure!$A:$AJ,V$1,0)*$D225,0),IFERROR(VLOOKUP($E:$E,Structure!$A:$AJ,V$1,0)*$F225,0),IFERROR(VLOOKUP($G:$G,Structure!$A:$AJ,V$1,0)*$H225,0))</f>
        <v>0</v>
      </c>
      <c r="W225" s="9">
        <f>SUM(IFERROR(VLOOKUP($C:$C,Structure!$A:$AJ,W$1,0)*$D225,0),IFERROR(VLOOKUP($E:$E,Structure!$A:$AJ,W$1,0)*$F225,0),IFERROR(VLOOKUP($G:$G,Structure!$A:$AJ,W$1,0)*$H225,0))</f>
        <v>0</v>
      </c>
      <c r="X225" s="9">
        <f>SUM(IFERROR(VLOOKUP($C:$C,Structure!$A:$AJ,X$1,0)*$D225,0),IFERROR(VLOOKUP($E:$E,Structure!$A:$AJ,X$1,0)*$F225,0),IFERROR(VLOOKUP($G:$G,Structure!$A:$AJ,X$1,0)*$H225,0))</f>
        <v>0</v>
      </c>
      <c r="Y225" s="9">
        <f>SUM(IFERROR(VLOOKUP($C:$C,Structure!$A:$AJ,Y$1,0)*$D225,0),IFERROR(VLOOKUP($E:$E,Structure!$A:$AJ,Y$1,0)*$F225,0),IFERROR(VLOOKUP($G:$G,Structure!$A:$AJ,Y$1,0)*$H225,0))</f>
        <v>0</v>
      </c>
      <c r="Z225" s="9">
        <f>SUM(IFERROR(VLOOKUP($C:$C,Structure!$A:$AJ,Z$1,0)*$D225,0),IFERROR(VLOOKUP($E:$E,Structure!$A:$AJ,Z$1,0)*$F225,0),IFERROR(VLOOKUP($G:$G,Structure!$A:$AJ,Z$1,0)*$H225,0))</f>
        <v>0</v>
      </c>
      <c r="AA225" s="9">
        <f>SUM(IFERROR(VLOOKUP($C:$C,Structure!$A:$AJ,AA$1,0)*$D225,0),IFERROR(VLOOKUP($E:$E,Structure!$A:$AJ,AA$1,0)*$F225,0),IFERROR(VLOOKUP($G:$G,Structure!$A:$AJ,AA$1,0)*$H225,0))</f>
        <v>0</v>
      </c>
      <c r="AB225" s="9">
        <f>SUM(IFERROR(VLOOKUP($C:$C,Structure!$A:$AJ,AB$1,0)*$D225,0),IFERROR(VLOOKUP($E:$E,Structure!$A:$AJ,AB$1,0)*$F225,0),IFERROR(VLOOKUP($G:$G,Structure!$A:$AJ,AB$1,0)*$H225,0))</f>
        <v>0</v>
      </c>
      <c r="AC225" s="9">
        <f>SUM(IFERROR(VLOOKUP($C:$C,Structure!$A:$AJ,AC$1,0)*$D225,0),IFERROR(VLOOKUP($E:$E,Structure!$A:$AJ,AC$1,0)*$F225,0),IFERROR(VLOOKUP($G:$G,Structure!$A:$AJ,AC$1,0)*$H225,0))</f>
        <v>0</v>
      </c>
      <c r="AD225" s="9">
        <f>SUM(IFERROR(VLOOKUP($C:$C,Structure!$A:$AJ,AD$1,0)*$D225,0),IFERROR(VLOOKUP($E:$E,Structure!$A:$AJ,AD$1,0)*$F225,0),IFERROR(VLOOKUP($G:$G,Structure!$A:$AJ,AD$1,0)*$H225,0))</f>
        <v>0</v>
      </c>
      <c r="AE225" s="9">
        <f>SUM(IFERROR(VLOOKUP($C:$C,Structure!$A:$AJ,AE$1,0)*$D225,0),IFERROR(VLOOKUP($E:$E,Structure!$A:$AJ,AE$1,0)*$F225,0),IFERROR(VLOOKUP($G:$G,Structure!$A:$AJ,AE$1,0)*$H225,0))</f>
        <v>0</v>
      </c>
      <c r="AF225" s="9">
        <f>SUM(IFERROR(VLOOKUP($C:$C,Structure!$A:$AJ,AF$1,0)*$D225,0),IFERROR(VLOOKUP($E:$E,Structure!$A:$AJ,AF$1,0)*$F225,0),IFERROR(VLOOKUP($G:$G,Structure!$A:$AJ,AF$1,0)*$H225,0))</f>
        <v>0</v>
      </c>
      <c r="AG225" s="9">
        <f>SUM(IFERROR(VLOOKUP($C:$C,Structure!$A:$AJ,AG$1,0)*$D225,0),IFERROR(VLOOKUP($E:$E,Structure!$A:$AJ,AG$1,0)*$F225,0),IFERROR(VLOOKUP($G:$G,Structure!$A:$AJ,AG$1,0)*$H225,0))</f>
        <v>0</v>
      </c>
      <c r="AH225" s="9">
        <f>SUM(IFERROR(VLOOKUP($C:$C,Structure!$A:$AJ,AH$1,0)*$D225,0),IFERROR(VLOOKUP($E:$E,Structure!$A:$AJ,AH$1,0)*$F225,0),IFERROR(VLOOKUP($G:$G,Structure!$A:$AJ,AH$1,0)*$H225,0))</f>
        <v>0</v>
      </c>
      <c r="AI225" s="9">
        <f>SUM(IFERROR(VLOOKUP($C:$C,Structure!$A:$AJ,AI$1,0)*$D225,0),IFERROR(VLOOKUP($E:$E,Structure!$A:$AJ,AI$1,0)*$F225,0),IFERROR(VLOOKUP($G:$G,Structure!$A:$AJ,AI$1,0)*$H225,0))</f>
        <v>0</v>
      </c>
      <c r="AJ225" s="9">
        <f>SUM(IFERROR(VLOOKUP($C:$C,Structure!$A:$AJ,AJ$1,0)*$D225,0),IFERROR(VLOOKUP($E:$E,Structure!$A:$AJ,AJ$1,0)*$F225,0),IFERROR(VLOOKUP($G:$G,Structure!$A:$AJ,AJ$1,0)*$H225,0))</f>
        <v>0</v>
      </c>
      <c r="AK225" s="9">
        <f>SUM(IFERROR(VLOOKUP($C:$C,Structure!$A:$AJ,AK$1,0)*$D225,0),IFERROR(VLOOKUP($E:$E,Structure!$A:$AJ,AK$1,0)*$F225,0),IFERROR(VLOOKUP($G:$G,Structure!$A:$AJ,AK$1,0)*$H225,0))</f>
        <v>0</v>
      </c>
      <c r="AL225" s="9">
        <f>SUM(IFERROR(VLOOKUP($C:$C,Structure!$A:$AJ,AL$1,0)*$D225,0),IFERROR(VLOOKUP($E:$E,Structure!$A:$AJ,AL$1,0)*$F225,0),IFERROR(VLOOKUP($G:$G,Structure!$A:$AJ,AL$1,0)*$H225,0))</f>
        <v>0</v>
      </c>
      <c r="AM225" s="9">
        <f>SUM(IFERROR(VLOOKUP($C:$C,Structure!$A:$AJ,AM$1,0)*$D225,0),IFERROR(VLOOKUP($E:$E,Structure!$A:$AJ,AM$1,0)*$F225,0),IFERROR(VLOOKUP($G:$G,Structure!$A:$AJ,AM$1,0)*$H225,0))</f>
        <v>0</v>
      </c>
      <c r="AN225" s="9">
        <f>SUM(IFERROR(VLOOKUP($C:$C,Structure!$A:$AJ,AN$1,0)*$D225,0),IFERROR(VLOOKUP($E:$E,Structure!$A:$AJ,AN$1,0)*$F225,0),IFERROR(VLOOKUP($G:$G,Structure!$A:$AJ,AN$1,0)*$H225,0))</f>
        <v>0</v>
      </c>
      <c r="AO225" s="9">
        <f>SUM(IFERROR(VLOOKUP($C:$C,Structure!$A:$AJ,AO$1,0)*$D225,0),IFERROR(VLOOKUP($E:$E,Structure!$A:$AJ,AO$1,0)*$F225,0),IFERROR(VLOOKUP($G:$G,Structure!$A:$AJ,AO$1,0)*$H225,0))</f>
        <v>0</v>
      </c>
      <c r="AP225" s="9">
        <f>SUM(IFERROR(VLOOKUP($C:$C,Structure!$A:$AJ,AP$1,0)*$D225,0),IFERROR(VLOOKUP($E:$E,Structure!$A:$AJ,AP$1,0)*$F225,0),IFERROR(VLOOKUP($G:$G,Structure!$A:$AJ,AP$1,0)*$H225,0))</f>
        <v>0</v>
      </c>
      <c r="AQ225" s="9">
        <f>SUM(IFERROR(VLOOKUP($C:$C,Structure!$A:$AJ,AQ$1,0)*$D225,0),IFERROR(VLOOKUP($E:$E,Structure!$A:$AJ,AQ$1,0)*$F225,0),IFERROR(VLOOKUP($G:$G,Structure!$A:$AJ,AQ$1,0)*$H225,0))</f>
        <v>0</v>
      </c>
      <c r="AR225" s="21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4">
        <f t="shared" si="232"/>
        <v>0</v>
      </c>
      <c r="CE225" s="4">
        <f t="shared" si="233"/>
        <v>-180</v>
      </c>
      <c r="CF225" s="4">
        <f t="shared" si="234"/>
        <v>4</v>
      </c>
      <c r="CG225" s="4">
        <f t="shared" si="235"/>
        <v>11</v>
      </c>
      <c r="CH225" s="4">
        <f t="shared" si="236"/>
        <v>-7</v>
      </c>
      <c r="CI225" s="4">
        <f t="shared" si="237"/>
        <v>103</v>
      </c>
      <c r="CJ225" s="4">
        <f t="shared" si="238"/>
        <v>-301</v>
      </c>
      <c r="CK225" s="4">
        <f t="shared" si="239"/>
        <v>-1</v>
      </c>
      <c r="CL225" s="4">
        <f t="shared" si="240"/>
        <v>0</v>
      </c>
      <c r="CM225" s="4">
        <f t="shared" si="241"/>
        <v>6</v>
      </c>
      <c r="CN225" s="4">
        <f t="shared" si="242"/>
        <v>-188</v>
      </c>
      <c r="CO225" s="4">
        <f t="shared" si="243"/>
        <v>0</v>
      </c>
      <c r="CP225" s="4">
        <f t="shared" si="244"/>
        <v>67</v>
      </c>
      <c r="CQ225" s="4">
        <f t="shared" si="245"/>
        <v>-550</v>
      </c>
      <c r="CR225" s="4">
        <f t="shared" si="246"/>
        <v>12</v>
      </c>
      <c r="CS225" s="4">
        <f t="shared" si="247"/>
        <v>-48</v>
      </c>
      <c r="CT225" s="4">
        <f t="shared" si="248"/>
        <v>0</v>
      </c>
      <c r="CU225" s="4">
        <f t="shared" si="249"/>
        <v>0</v>
      </c>
      <c r="CV225" s="4">
        <f t="shared" si="250"/>
        <v>0</v>
      </c>
      <c r="CW225" s="4">
        <f t="shared" si="251"/>
        <v>0</v>
      </c>
      <c r="CX225" s="4">
        <f t="shared" si="252"/>
        <v>-543</v>
      </c>
      <c r="CY225" s="4">
        <f t="shared" si="253"/>
        <v>0</v>
      </c>
      <c r="CZ225" s="4">
        <f t="shared" si="254"/>
        <v>0</v>
      </c>
      <c r="DA225" s="4">
        <f t="shared" si="255"/>
        <v>0</v>
      </c>
      <c r="DB225" s="4">
        <f t="shared" si="256"/>
        <v>0</v>
      </c>
      <c r="DC225" s="4">
        <f t="shared" si="257"/>
        <v>0</v>
      </c>
      <c r="DD225" s="4">
        <f t="shared" si="258"/>
        <v>0</v>
      </c>
      <c r="DE225" s="4">
        <f t="shared" si="259"/>
        <v>0</v>
      </c>
      <c r="DF225" s="4">
        <f t="shared" si="260"/>
        <v>0</v>
      </c>
      <c r="DG225" s="4">
        <f t="shared" si="261"/>
        <v>0</v>
      </c>
      <c r="DH225" s="4">
        <f t="shared" si="262"/>
        <v>0</v>
      </c>
      <c r="DI225" s="4">
        <f t="shared" si="263"/>
        <v>0</v>
      </c>
      <c r="DJ225" s="4">
        <f t="shared" si="264"/>
        <v>0</v>
      </c>
      <c r="DK225" s="4">
        <f t="shared" si="265"/>
        <v>0</v>
      </c>
      <c r="DL225" s="4">
        <f t="shared" si="266"/>
        <v>0</v>
      </c>
    </row>
    <row r="226" spans="1:116" x14ac:dyDescent="0.25">
      <c r="A226" s="5">
        <v>46187</v>
      </c>
      <c r="B226" s="6">
        <v>0.95833333387417952</v>
      </c>
      <c r="C226" s="3"/>
      <c r="D226" s="3"/>
      <c r="E226" s="3" t="s">
        <v>57</v>
      </c>
      <c r="F226" s="3">
        <v>8</v>
      </c>
      <c r="G226" s="3"/>
      <c r="H226" s="9"/>
      <c r="I226" s="9">
        <f>SUM(IFERROR(VLOOKUP($C:$C,Structure!$A:$AJ,I$1,0)*$D226,0),IFERROR(VLOOKUP($E:$E,Structure!$A:$AJ,I$1,0)*$F226,0),IFERROR(VLOOKUP($G:$G,Structure!$A:$AJ,I$1,0)*$H226,0))</f>
        <v>0</v>
      </c>
      <c r="J226" s="9">
        <f>SUM(IFERROR(VLOOKUP($C:$C,Structure!$A:$AJ,J$1,0)*$D226,0),IFERROR(VLOOKUP($E:$E,Structure!$A:$AJ,J$1,0)*$F226,0),IFERROR(VLOOKUP($G:$G,Structure!$A:$AJ,J$1,0)*$H226,0))</f>
        <v>0</v>
      </c>
      <c r="K226" s="9">
        <f>SUM(IFERROR(VLOOKUP($C:$C,Structure!$A:$AJ,K$1,0)*$D226,0),IFERROR(VLOOKUP($E:$E,Structure!$A:$AJ,K$1,0)*$F226,0),IFERROR(VLOOKUP($G:$G,Structure!$A:$AJ,K$1,0)*$H226,0))</f>
        <v>0</v>
      </c>
      <c r="L226" s="9">
        <f>SUM(IFERROR(VLOOKUP($C:$C,Structure!$A:$AJ,L$1,0)*$D226,0),IFERROR(VLOOKUP($E:$E,Structure!$A:$AJ,L$1,0)*$F226,0),IFERROR(VLOOKUP($G:$G,Structure!$A:$AJ,L$1,0)*$H226,0))</f>
        <v>0</v>
      </c>
      <c r="M226" s="9">
        <f>SUM(IFERROR(VLOOKUP($C:$C,Structure!$A:$AJ,M$1,0)*$D226,0),IFERROR(VLOOKUP($E:$E,Structure!$A:$AJ,M$1,0)*$F226,0),IFERROR(VLOOKUP($G:$G,Structure!$A:$AJ,M$1,0)*$H226,0))</f>
        <v>0</v>
      </c>
      <c r="N226" s="9">
        <f>SUM(IFERROR(VLOOKUP($C:$C,Structure!$A:$AJ,N$1,0)*$D226,0),IFERROR(VLOOKUP($E:$E,Structure!$A:$AJ,N$1,0)*$F226,0),IFERROR(VLOOKUP($G:$G,Structure!$A:$AJ,N$1,0)*$H226,0))</f>
        <v>0</v>
      </c>
      <c r="O226" s="9">
        <f>SUM(IFERROR(VLOOKUP($C:$C,Structure!$A:$AJ,O$1,0)*$D226,0),IFERROR(VLOOKUP($E:$E,Structure!$A:$AJ,O$1,0)*$F226,0),IFERROR(VLOOKUP($G:$G,Structure!$A:$AJ,O$1,0)*$H226,0))</f>
        <v>8</v>
      </c>
      <c r="P226" s="9">
        <f>SUM(IFERROR(VLOOKUP($C:$C,Structure!$A:$AJ,P$1,0)*$D226,0),IFERROR(VLOOKUP($E:$E,Structure!$A:$AJ,P$1,0)*$F226,0),IFERROR(VLOOKUP($G:$G,Structure!$A:$AJ,P$1,0)*$H226,0))</f>
        <v>0</v>
      </c>
      <c r="Q226" s="9">
        <f>SUM(IFERROR(VLOOKUP($C:$C,Structure!$A:$AJ,Q$1,0)*$D226,0),IFERROR(VLOOKUP($E:$E,Structure!$A:$AJ,Q$1,0)*$F226,0),IFERROR(VLOOKUP($G:$G,Structure!$A:$AJ,Q$1,0)*$H226,0))</f>
        <v>0</v>
      </c>
      <c r="R226" s="9">
        <f>SUM(IFERROR(VLOOKUP($C:$C,Structure!$A:$AJ,R$1,0)*$D226,0),IFERROR(VLOOKUP($E:$E,Structure!$A:$AJ,R$1,0)*$F226,0),IFERROR(VLOOKUP($G:$G,Structure!$A:$AJ,R$1,0)*$H226,0))</f>
        <v>0</v>
      </c>
      <c r="S226" s="9">
        <f>SUM(IFERROR(VLOOKUP($C:$C,Structure!$A:$AJ,S$1,0)*$D226,0),IFERROR(VLOOKUP($E:$E,Structure!$A:$AJ,S$1,0)*$F226,0),IFERROR(VLOOKUP($G:$G,Structure!$A:$AJ,S$1,0)*$H226,0))</f>
        <v>8</v>
      </c>
      <c r="T226" s="9">
        <f>SUM(IFERROR(VLOOKUP($C:$C,Structure!$A:$AJ,T$1,0)*$D226,0),IFERROR(VLOOKUP($E:$E,Structure!$A:$AJ,T$1,0)*$F226,0),IFERROR(VLOOKUP($G:$G,Structure!$A:$AJ,T$1,0)*$H226,0))</f>
        <v>0</v>
      </c>
      <c r="U226" s="9">
        <f>SUM(IFERROR(VLOOKUP($C:$C,Structure!$A:$AJ,U$1,0)*$D226,0),IFERROR(VLOOKUP($E:$E,Structure!$A:$AJ,U$1,0)*$F226,0),IFERROR(VLOOKUP($G:$G,Structure!$A:$AJ,U$1,0)*$H226,0))</f>
        <v>0</v>
      </c>
      <c r="V226" s="9">
        <f>SUM(IFERROR(VLOOKUP($C:$C,Structure!$A:$AJ,V$1,0)*$D226,0),IFERROR(VLOOKUP($E:$E,Structure!$A:$AJ,V$1,0)*$F226,0),IFERROR(VLOOKUP($G:$G,Structure!$A:$AJ,V$1,0)*$H226,0))</f>
        <v>0</v>
      </c>
      <c r="W226" s="9">
        <f>SUM(IFERROR(VLOOKUP($C:$C,Structure!$A:$AJ,W$1,0)*$D226,0),IFERROR(VLOOKUP($E:$E,Structure!$A:$AJ,W$1,0)*$F226,0),IFERROR(VLOOKUP($G:$G,Structure!$A:$AJ,W$1,0)*$H226,0))</f>
        <v>0</v>
      </c>
      <c r="X226" s="9">
        <f>SUM(IFERROR(VLOOKUP($C:$C,Structure!$A:$AJ,X$1,0)*$D226,0),IFERROR(VLOOKUP($E:$E,Structure!$A:$AJ,X$1,0)*$F226,0),IFERROR(VLOOKUP($G:$G,Structure!$A:$AJ,X$1,0)*$H226,0))</f>
        <v>0</v>
      </c>
      <c r="Y226" s="9">
        <f>SUM(IFERROR(VLOOKUP($C:$C,Structure!$A:$AJ,Y$1,0)*$D226,0),IFERROR(VLOOKUP($E:$E,Structure!$A:$AJ,Y$1,0)*$F226,0),IFERROR(VLOOKUP($G:$G,Structure!$A:$AJ,Y$1,0)*$H226,0))</f>
        <v>0</v>
      </c>
      <c r="Z226" s="9">
        <f>SUM(IFERROR(VLOOKUP($C:$C,Structure!$A:$AJ,Z$1,0)*$D226,0),IFERROR(VLOOKUP($E:$E,Structure!$A:$AJ,Z$1,0)*$F226,0),IFERROR(VLOOKUP($G:$G,Structure!$A:$AJ,Z$1,0)*$H226,0))</f>
        <v>0</v>
      </c>
      <c r="AA226" s="9">
        <f>SUM(IFERROR(VLOOKUP($C:$C,Structure!$A:$AJ,AA$1,0)*$D226,0),IFERROR(VLOOKUP($E:$E,Structure!$A:$AJ,AA$1,0)*$F226,0),IFERROR(VLOOKUP($G:$G,Structure!$A:$AJ,AA$1,0)*$H226,0))</f>
        <v>0</v>
      </c>
      <c r="AB226" s="9">
        <f>SUM(IFERROR(VLOOKUP($C:$C,Structure!$A:$AJ,AB$1,0)*$D226,0),IFERROR(VLOOKUP($E:$E,Structure!$A:$AJ,AB$1,0)*$F226,0),IFERROR(VLOOKUP($G:$G,Structure!$A:$AJ,AB$1,0)*$H226,0))</f>
        <v>0</v>
      </c>
      <c r="AC226" s="9">
        <f>SUM(IFERROR(VLOOKUP($C:$C,Structure!$A:$AJ,AC$1,0)*$D226,0),IFERROR(VLOOKUP($E:$E,Structure!$A:$AJ,AC$1,0)*$F226,0),IFERROR(VLOOKUP($G:$G,Structure!$A:$AJ,AC$1,0)*$H226,0))</f>
        <v>0</v>
      </c>
      <c r="AD226" s="9">
        <f>SUM(IFERROR(VLOOKUP($C:$C,Structure!$A:$AJ,AD$1,0)*$D226,0),IFERROR(VLOOKUP($E:$E,Structure!$A:$AJ,AD$1,0)*$F226,0),IFERROR(VLOOKUP($G:$G,Structure!$A:$AJ,AD$1,0)*$H226,0))</f>
        <v>0</v>
      </c>
      <c r="AE226" s="9">
        <f>SUM(IFERROR(VLOOKUP($C:$C,Structure!$A:$AJ,AE$1,0)*$D226,0),IFERROR(VLOOKUP($E:$E,Structure!$A:$AJ,AE$1,0)*$F226,0),IFERROR(VLOOKUP($G:$G,Structure!$A:$AJ,AE$1,0)*$H226,0))</f>
        <v>0</v>
      </c>
      <c r="AF226" s="9">
        <f>SUM(IFERROR(VLOOKUP($C:$C,Structure!$A:$AJ,AF$1,0)*$D226,0),IFERROR(VLOOKUP($E:$E,Structure!$A:$AJ,AF$1,0)*$F226,0),IFERROR(VLOOKUP($G:$G,Structure!$A:$AJ,AF$1,0)*$H226,0))</f>
        <v>0</v>
      </c>
      <c r="AG226" s="9">
        <f>SUM(IFERROR(VLOOKUP($C:$C,Structure!$A:$AJ,AG$1,0)*$D226,0),IFERROR(VLOOKUP($E:$E,Structure!$A:$AJ,AG$1,0)*$F226,0),IFERROR(VLOOKUP($G:$G,Structure!$A:$AJ,AG$1,0)*$H226,0))</f>
        <v>0</v>
      </c>
      <c r="AH226" s="9">
        <f>SUM(IFERROR(VLOOKUP($C:$C,Structure!$A:$AJ,AH$1,0)*$D226,0),IFERROR(VLOOKUP($E:$E,Structure!$A:$AJ,AH$1,0)*$F226,0),IFERROR(VLOOKUP($G:$G,Structure!$A:$AJ,AH$1,0)*$H226,0))</f>
        <v>0</v>
      </c>
      <c r="AI226" s="9">
        <f>SUM(IFERROR(VLOOKUP($C:$C,Structure!$A:$AJ,AI$1,0)*$D226,0),IFERROR(VLOOKUP($E:$E,Structure!$A:$AJ,AI$1,0)*$F226,0),IFERROR(VLOOKUP($G:$G,Structure!$A:$AJ,AI$1,0)*$H226,0))</f>
        <v>0</v>
      </c>
      <c r="AJ226" s="9">
        <f>SUM(IFERROR(VLOOKUP($C:$C,Structure!$A:$AJ,AJ$1,0)*$D226,0),IFERROR(VLOOKUP($E:$E,Structure!$A:$AJ,AJ$1,0)*$F226,0),IFERROR(VLOOKUP($G:$G,Structure!$A:$AJ,AJ$1,0)*$H226,0))</f>
        <v>0</v>
      </c>
      <c r="AK226" s="9">
        <f>SUM(IFERROR(VLOOKUP($C:$C,Structure!$A:$AJ,AK$1,0)*$D226,0),IFERROR(VLOOKUP($E:$E,Structure!$A:$AJ,AK$1,0)*$F226,0),IFERROR(VLOOKUP($G:$G,Structure!$A:$AJ,AK$1,0)*$H226,0))</f>
        <v>0</v>
      </c>
      <c r="AL226" s="9">
        <f>SUM(IFERROR(VLOOKUP($C:$C,Structure!$A:$AJ,AL$1,0)*$D226,0),IFERROR(VLOOKUP($E:$E,Structure!$A:$AJ,AL$1,0)*$F226,0),IFERROR(VLOOKUP($G:$G,Structure!$A:$AJ,AL$1,0)*$H226,0))</f>
        <v>0</v>
      </c>
      <c r="AM226" s="9">
        <f>SUM(IFERROR(VLOOKUP($C:$C,Structure!$A:$AJ,AM$1,0)*$D226,0),IFERROR(VLOOKUP($E:$E,Structure!$A:$AJ,AM$1,0)*$F226,0),IFERROR(VLOOKUP($G:$G,Structure!$A:$AJ,AM$1,0)*$H226,0))</f>
        <v>0</v>
      </c>
      <c r="AN226" s="9">
        <f>SUM(IFERROR(VLOOKUP($C:$C,Structure!$A:$AJ,AN$1,0)*$D226,0),IFERROR(VLOOKUP($E:$E,Structure!$A:$AJ,AN$1,0)*$F226,0),IFERROR(VLOOKUP($G:$G,Structure!$A:$AJ,AN$1,0)*$H226,0))</f>
        <v>0</v>
      </c>
      <c r="AO226" s="9">
        <f>SUM(IFERROR(VLOOKUP($C:$C,Structure!$A:$AJ,AO$1,0)*$D226,0),IFERROR(VLOOKUP($E:$E,Structure!$A:$AJ,AO$1,0)*$F226,0),IFERROR(VLOOKUP($G:$G,Structure!$A:$AJ,AO$1,0)*$H226,0))</f>
        <v>0</v>
      </c>
      <c r="AP226" s="9">
        <f>SUM(IFERROR(VLOOKUP($C:$C,Structure!$A:$AJ,AP$1,0)*$D226,0),IFERROR(VLOOKUP($E:$E,Structure!$A:$AJ,AP$1,0)*$F226,0),IFERROR(VLOOKUP($G:$G,Structure!$A:$AJ,AP$1,0)*$H226,0))</f>
        <v>0</v>
      </c>
      <c r="AQ226" s="9">
        <f>SUM(IFERROR(VLOOKUP($C:$C,Structure!$A:$AJ,AQ$1,0)*$D226,0),IFERROR(VLOOKUP($E:$E,Structure!$A:$AJ,AQ$1,0)*$F226,0),IFERROR(VLOOKUP($G:$G,Structure!$A:$AJ,AQ$1,0)*$H226,0))</f>
        <v>0</v>
      </c>
      <c r="AR226" s="21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4">
        <f t="shared" si="232"/>
        <v>0</v>
      </c>
      <c r="CE226" s="4">
        <f t="shared" si="233"/>
        <v>-180</v>
      </c>
      <c r="CF226" s="4">
        <f t="shared" si="234"/>
        <v>4</v>
      </c>
      <c r="CG226" s="4">
        <f t="shared" si="235"/>
        <v>11</v>
      </c>
      <c r="CH226" s="4">
        <f t="shared" si="236"/>
        <v>-7</v>
      </c>
      <c r="CI226" s="4">
        <f t="shared" si="237"/>
        <v>103</v>
      </c>
      <c r="CJ226" s="4">
        <f t="shared" si="238"/>
        <v>-309</v>
      </c>
      <c r="CK226" s="4">
        <f t="shared" si="239"/>
        <v>-1</v>
      </c>
      <c r="CL226" s="4">
        <f t="shared" si="240"/>
        <v>0</v>
      </c>
      <c r="CM226" s="4">
        <f t="shared" si="241"/>
        <v>6</v>
      </c>
      <c r="CN226" s="4">
        <f t="shared" si="242"/>
        <v>-196</v>
      </c>
      <c r="CO226" s="4">
        <f t="shared" si="243"/>
        <v>0</v>
      </c>
      <c r="CP226" s="4">
        <f t="shared" si="244"/>
        <v>67</v>
      </c>
      <c r="CQ226" s="4">
        <f t="shared" si="245"/>
        <v>-550</v>
      </c>
      <c r="CR226" s="4">
        <f t="shared" si="246"/>
        <v>12</v>
      </c>
      <c r="CS226" s="4">
        <f t="shared" si="247"/>
        <v>-48</v>
      </c>
      <c r="CT226" s="4">
        <f t="shared" si="248"/>
        <v>0</v>
      </c>
      <c r="CU226" s="4">
        <f t="shared" si="249"/>
        <v>0</v>
      </c>
      <c r="CV226" s="4">
        <f t="shared" si="250"/>
        <v>0</v>
      </c>
      <c r="CW226" s="4">
        <f t="shared" si="251"/>
        <v>0</v>
      </c>
      <c r="CX226" s="4">
        <f t="shared" si="252"/>
        <v>-543</v>
      </c>
      <c r="CY226" s="4">
        <f t="shared" si="253"/>
        <v>0</v>
      </c>
      <c r="CZ226" s="4">
        <f t="shared" si="254"/>
        <v>0</v>
      </c>
      <c r="DA226" s="4">
        <f t="shared" si="255"/>
        <v>0</v>
      </c>
      <c r="DB226" s="4">
        <f t="shared" si="256"/>
        <v>0</v>
      </c>
      <c r="DC226" s="4">
        <f t="shared" si="257"/>
        <v>0</v>
      </c>
      <c r="DD226" s="4">
        <f t="shared" si="258"/>
        <v>0</v>
      </c>
      <c r="DE226" s="4">
        <f t="shared" si="259"/>
        <v>0</v>
      </c>
      <c r="DF226" s="4">
        <f t="shared" si="260"/>
        <v>0</v>
      </c>
      <c r="DG226" s="4">
        <f t="shared" si="261"/>
        <v>0</v>
      </c>
      <c r="DH226" s="4">
        <f t="shared" si="262"/>
        <v>0</v>
      </c>
      <c r="DI226" s="4">
        <f t="shared" si="263"/>
        <v>0</v>
      </c>
      <c r="DJ226" s="4">
        <f t="shared" si="264"/>
        <v>0</v>
      </c>
      <c r="DK226" s="4">
        <f t="shared" si="265"/>
        <v>0</v>
      </c>
      <c r="DL226" s="4">
        <f t="shared" si="266"/>
        <v>0</v>
      </c>
    </row>
    <row r="227" spans="1:116" x14ac:dyDescent="0.25">
      <c r="A227" s="5">
        <v>46187</v>
      </c>
      <c r="B227" s="6">
        <v>0.97916666720993817</v>
      </c>
      <c r="C227" s="3"/>
      <c r="D227" s="3"/>
      <c r="E227" s="3" t="s">
        <v>57</v>
      </c>
      <c r="F227" s="3">
        <v>8</v>
      </c>
      <c r="G227" s="3"/>
      <c r="H227" s="9"/>
      <c r="I227" s="9">
        <f>SUM(IFERROR(VLOOKUP($C:$C,Structure!$A:$AJ,I$1,0)*$D227,0),IFERROR(VLOOKUP($E:$E,Structure!$A:$AJ,I$1,0)*$F227,0),IFERROR(VLOOKUP($G:$G,Structure!$A:$AJ,I$1,0)*$H227,0))</f>
        <v>0</v>
      </c>
      <c r="J227" s="9">
        <f>SUM(IFERROR(VLOOKUP($C:$C,Structure!$A:$AJ,J$1,0)*$D227,0),IFERROR(VLOOKUP($E:$E,Structure!$A:$AJ,J$1,0)*$F227,0),IFERROR(VLOOKUP($G:$G,Structure!$A:$AJ,J$1,0)*$H227,0))</f>
        <v>0</v>
      </c>
      <c r="K227" s="9">
        <f>SUM(IFERROR(VLOOKUP($C:$C,Structure!$A:$AJ,K$1,0)*$D227,0),IFERROR(VLOOKUP($E:$E,Structure!$A:$AJ,K$1,0)*$F227,0),IFERROR(VLOOKUP($G:$G,Structure!$A:$AJ,K$1,0)*$H227,0))</f>
        <v>0</v>
      </c>
      <c r="L227" s="9">
        <f>SUM(IFERROR(VLOOKUP($C:$C,Structure!$A:$AJ,L$1,0)*$D227,0),IFERROR(VLOOKUP($E:$E,Structure!$A:$AJ,L$1,0)*$F227,0),IFERROR(VLOOKUP($G:$G,Structure!$A:$AJ,L$1,0)*$H227,0))</f>
        <v>0</v>
      </c>
      <c r="M227" s="9">
        <f>SUM(IFERROR(VLOOKUP($C:$C,Structure!$A:$AJ,M$1,0)*$D227,0),IFERROR(VLOOKUP($E:$E,Structure!$A:$AJ,M$1,0)*$F227,0),IFERROR(VLOOKUP($G:$G,Structure!$A:$AJ,M$1,0)*$H227,0))</f>
        <v>0</v>
      </c>
      <c r="N227" s="9">
        <f>SUM(IFERROR(VLOOKUP($C:$C,Structure!$A:$AJ,N$1,0)*$D227,0),IFERROR(VLOOKUP($E:$E,Structure!$A:$AJ,N$1,0)*$F227,0),IFERROR(VLOOKUP($G:$G,Structure!$A:$AJ,N$1,0)*$H227,0))</f>
        <v>0</v>
      </c>
      <c r="O227" s="9">
        <f>SUM(IFERROR(VLOOKUP($C:$C,Structure!$A:$AJ,O$1,0)*$D227,0),IFERROR(VLOOKUP($E:$E,Structure!$A:$AJ,O$1,0)*$F227,0),IFERROR(VLOOKUP($G:$G,Structure!$A:$AJ,O$1,0)*$H227,0))</f>
        <v>8</v>
      </c>
      <c r="P227" s="9">
        <f>SUM(IFERROR(VLOOKUP($C:$C,Structure!$A:$AJ,P$1,0)*$D227,0),IFERROR(VLOOKUP($E:$E,Structure!$A:$AJ,P$1,0)*$F227,0),IFERROR(VLOOKUP($G:$G,Structure!$A:$AJ,P$1,0)*$H227,0))</f>
        <v>0</v>
      </c>
      <c r="Q227" s="9">
        <f>SUM(IFERROR(VLOOKUP($C:$C,Structure!$A:$AJ,Q$1,0)*$D227,0),IFERROR(VLOOKUP($E:$E,Structure!$A:$AJ,Q$1,0)*$F227,0),IFERROR(VLOOKUP($G:$G,Structure!$A:$AJ,Q$1,0)*$H227,0))</f>
        <v>0</v>
      </c>
      <c r="R227" s="9">
        <f>SUM(IFERROR(VLOOKUP($C:$C,Structure!$A:$AJ,R$1,0)*$D227,0),IFERROR(VLOOKUP($E:$E,Structure!$A:$AJ,R$1,0)*$F227,0),IFERROR(VLOOKUP($G:$G,Structure!$A:$AJ,R$1,0)*$H227,0))</f>
        <v>0</v>
      </c>
      <c r="S227" s="9">
        <f>SUM(IFERROR(VLOOKUP($C:$C,Structure!$A:$AJ,S$1,0)*$D227,0),IFERROR(VLOOKUP($E:$E,Structure!$A:$AJ,S$1,0)*$F227,0),IFERROR(VLOOKUP($G:$G,Structure!$A:$AJ,S$1,0)*$H227,0))</f>
        <v>8</v>
      </c>
      <c r="T227" s="9">
        <f>SUM(IFERROR(VLOOKUP($C:$C,Structure!$A:$AJ,T$1,0)*$D227,0),IFERROR(VLOOKUP($E:$E,Structure!$A:$AJ,T$1,0)*$F227,0),IFERROR(VLOOKUP($G:$G,Structure!$A:$AJ,T$1,0)*$H227,0))</f>
        <v>0</v>
      </c>
      <c r="U227" s="9">
        <f>SUM(IFERROR(VLOOKUP($C:$C,Structure!$A:$AJ,U$1,0)*$D227,0),IFERROR(VLOOKUP($E:$E,Structure!$A:$AJ,U$1,0)*$F227,0),IFERROR(VLOOKUP($G:$G,Structure!$A:$AJ,U$1,0)*$H227,0))</f>
        <v>0</v>
      </c>
      <c r="V227" s="9">
        <f>SUM(IFERROR(VLOOKUP($C:$C,Structure!$A:$AJ,V$1,0)*$D227,0),IFERROR(VLOOKUP($E:$E,Structure!$A:$AJ,V$1,0)*$F227,0),IFERROR(VLOOKUP($G:$G,Structure!$A:$AJ,V$1,0)*$H227,0))</f>
        <v>0</v>
      </c>
      <c r="W227" s="9">
        <f>SUM(IFERROR(VLOOKUP($C:$C,Structure!$A:$AJ,W$1,0)*$D227,0),IFERROR(VLOOKUP($E:$E,Structure!$A:$AJ,W$1,0)*$F227,0),IFERROR(VLOOKUP($G:$G,Structure!$A:$AJ,W$1,0)*$H227,0))</f>
        <v>0</v>
      </c>
      <c r="X227" s="9">
        <f>SUM(IFERROR(VLOOKUP($C:$C,Structure!$A:$AJ,X$1,0)*$D227,0),IFERROR(VLOOKUP($E:$E,Structure!$A:$AJ,X$1,0)*$F227,0),IFERROR(VLOOKUP($G:$G,Structure!$A:$AJ,X$1,0)*$H227,0))</f>
        <v>0</v>
      </c>
      <c r="Y227" s="9">
        <f>SUM(IFERROR(VLOOKUP($C:$C,Structure!$A:$AJ,Y$1,0)*$D227,0),IFERROR(VLOOKUP($E:$E,Structure!$A:$AJ,Y$1,0)*$F227,0),IFERROR(VLOOKUP($G:$G,Structure!$A:$AJ,Y$1,0)*$H227,0))</f>
        <v>0</v>
      </c>
      <c r="Z227" s="9">
        <f>SUM(IFERROR(VLOOKUP($C:$C,Structure!$A:$AJ,Z$1,0)*$D227,0),IFERROR(VLOOKUP($E:$E,Structure!$A:$AJ,Z$1,0)*$F227,0),IFERROR(VLOOKUP($G:$G,Structure!$A:$AJ,Z$1,0)*$H227,0))</f>
        <v>0</v>
      </c>
      <c r="AA227" s="9">
        <f>SUM(IFERROR(VLOOKUP($C:$C,Structure!$A:$AJ,AA$1,0)*$D227,0),IFERROR(VLOOKUP($E:$E,Structure!$A:$AJ,AA$1,0)*$F227,0),IFERROR(VLOOKUP($G:$G,Structure!$A:$AJ,AA$1,0)*$H227,0))</f>
        <v>0</v>
      </c>
      <c r="AB227" s="9">
        <f>SUM(IFERROR(VLOOKUP($C:$C,Structure!$A:$AJ,AB$1,0)*$D227,0),IFERROR(VLOOKUP($E:$E,Structure!$A:$AJ,AB$1,0)*$F227,0),IFERROR(VLOOKUP($G:$G,Structure!$A:$AJ,AB$1,0)*$H227,0))</f>
        <v>0</v>
      </c>
      <c r="AC227" s="9">
        <f>SUM(IFERROR(VLOOKUP($C:$C,Structure!$A:$AJ,AC$1,0)*$D227,0),IFERROR(VLOOKUP($E:$E,Structure!$A:$AJ,AC$1,0)*$F227,0),IFERROR(VLOOKUP($G:$G,Structure!$A:$AJ,AC$1,0)*$H227,0))</f>
        <v>0</v>
      </c>
      <c r="AD227" s="9">
        <f>SUM(IFERROR(VLOOKUP($C:$C,Structure!$A:$AJ,AD$1,0)*$D227,0),IFERROR(VLOOKUP($E:$E,Structure!$A:$AJ,AD$1,0)*$F227,0),IFERROR(VLOOKUP($G:$G,Structure!$A:$AJ,AD$1,0)*$H227,0))</f>
        <v>0</v>
      </c>
      <c r="AE227" s="9">
        <f>SUM(IFERROR(VLOOKUP($C:$C,Structure!$A:$AJ,AE$1,0)*$D227,0),IFERROR(VLOOKUP($E:$E,Structure!$A:$AJ,AE$1,0)*$F227,0),IFERROR(VLOOKUP($G:$G,Structure!$A:$AJ,AE$1,0)*$H227,0))</f>
        <v>0</v>
      </c>
      <c r="AF227" s="9">
        <f>SUM(IFERROR(VLOOKUP($C:$C,Structure!$A:$AJ,AF$1,0)*$D227,0),IFERROR(VLOOKUP($E:$E,Structure!$A:$AJ,AF$1,0)*$F227,0),IFERROR(VLOOKUP($G:$G,Structure!$A:$AJ,AF$1,0)*$H227,0))</f>
        <v>0</v>
      </c>
      <c r="AG227" s="9">
        <f>SUM(IFERROR(VLOOKUP($C:$C,Structure!$A:$AJ,AG$1,0)*$D227,0),IFERROR(VLOOKUP($E:$E,Structure!$A:$AJ,AG$1,0)*$F227,0),IFERROR(VLOOKUP($G:$G,Structure!$A:$AJ,AG$1,0)*$H227,0))</f>
        <v>0</v>
      </c>
      <c r="AH227" s="9">
        <f>SUM(IFERROR(VLOOKUP($C:$C,Structure!$A:$AJ,AH$1,0)*$D227,0),IFERROR(VLOOKUP($E:$E,Structure!$A:$AJ,AH$1,0)*$F227,0),IFERROR(VLOOKUP($G:$G,Structure!$A:$AJ,AH$1,0)*$H227,0))</f>
        <v>0</v>
      </c>
      <c r="AI227" s="9">
        <f>SUM(IFERROR(VLOOKUP($C:$C,Structure!$A:$AJ,AI$1,0)*$D227,0),IFERROR(VLOOKUP($E:$E,Structure!$A:$AJ,AI$1,0)*$F227,0),IFERROR(VLOOKUP($G:$G,Structure!$A:$AJ,AI$1,0)*$H227,0))</f>
        <v>0</v>
      </c>
      <c r="AJ227" s="9">
        <f>SUM(IFERROR(VLOOKUP($C:$C,Structure!$A:$AJ,AJ$1,0)*$D227,0),IFERROR(VLOOKUP($E:$E,Structure!$A:$AJ,AJ$1,0)*$F227,0),IFERROR(VLOOKUP($G:$G,Structure!$A:$AJ,AJ$1,0)*$H227,0))</f>
        <v>0</v>
      </c>
      <c r="AK227" s="9">
        <f>SUM(IFERROR(VLOOKUP($C:$C,Structure!$A:$AJ,AK$1,0)*$D227,0),IFERROR(VLOOKUP($E:$E,Structure!$A:$AJ,AK$1,0)*$F227,0),IFERROR(VLOOKUP($G:$G,Structure!$A:$AJ,AK$1,0)*$H227,0))</f>
        <v>0</v>
      </c>
      <c r="AL227" s="9">
        <f>SUM(IFERROR(VLOOKUP($C:$C,Structure!$A:$AJ,AL$1,0)*$D227,0),IFERROR(VLOOKUP($E:$E,Structure!$A:$AJ,AL$1,0)*$F227,0),IFERROR(VLOOKUP($G:$G,Structure!$A:$AJ,AL$1,0)*$H227,0))</f>
        <v>0</v>
      </c>
      <c r="AM227" s="9">
        <f>SUM(IFERROR(VLOOKUP($C:$C,Structure!$A:$AJ,AM$1,0)*$D227,0),IFERROR(VLOOKUP($E:$E,Structure!$A:$AJ,AM$1,0)*$F227,0),IFERROR(VLOOKUP($G:$G,Structure!$A:$AJ,AM$1,0)*$H227,0))</f>
        <v>0</v>
      </c>
      <c r="AN227" s="9">
        <f>SUM(IFERROR(VLOOKUP($C:$C,Structure!$A:$AJ,AN$1,0)*$D227,0),IFERROR(VLOOKUP($E:$E,Structure!$A:$AJ,AN$1,0)*$F227,0),IFERROR(VLOOKUP($G:$G,Structure!$A:$AJ,AN$1,0)*$H227,0))</f>
        <v>0</v>
      </c>
      <c r="AO227" s="9">
        <f>SUM(IFERROR(VLOOKUP($C:$C,Structure!$A:$AJ,AO$1,0)*$D227,0),IFERROR(VLOOKUP($E:$E,Structure!$A:$AJ,AO$1,0)*$F227,0),IFERROR(VLOOKUP($G:$G,Structure!$A:$AJ,AO$1,0)*$H227,0))</f>
        <v>0</v>
      </c>
      <c r="AP227" s="9">
        <f>SUM(IFERROR(VLOOKUP($C:$C,Structure!$A:$AJ,AP$1,0)*$D227,0),IFERROR(VLOOKUP($E:$E,Structure!$A:$AJ,AP$1,0)*$F227,0),IFERROR(VLOOKUP($G:$G,Structure!$A:$AJ,AP$1,0)*$H227,0))</f>
        <v>0</v>
      </c>
      <c r="AQ227" s="9">
        <f>SUM(IFERROR(VLOOKUP($C:$C,Structure!$A:$AJ,AQ$1,0)*$D227,0),IFERROR(VLOOKUP($E:$E,Structure!$A:$AJ,AQ$1,0)*$F227,0),IFERROR(VLOOKUP($G:$G,Structure!$A:$AJ,AQ$1,0)*$H227,0))</f>
        <v>0</v>
      </c>
      <c r="AR227" s="21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4">
        <f t="shared" si="232"/>
        <v>0</v>
      </c>
      <c r="CE227" s="4">
        <f t="shared" si="233"/>
        <v>-180</v>
      </c>
      <c r="CF227" s="4">
        <f t="shared" si="234"/>
        <v>4</v>
      </c>
      <c r="CG227" s="4">
        <f t="shared" si="235"/>
        <v>11</v>
      </c>
      <c r="CH227" s="4">
        <f t="shared" si="236"/>
        <v>-7</v>
      </c>
      <c r="CI227" s="4">
        <f t="shared" si="237"/>
        <v>103</v>
      </c>
      <c r="CJ227" s="4">
        <f t="shared" si="238"/>
        <v>-317</v>
      </c>
      <c r="CK227" s="4">
        <f t="shared" si="239"/>
        <v>-1</v>
      </c>
      <c r="CL227" s="4">
        <f t="shared" si="240"/>
        <v>0</v>
      </c>
      <c r="CM227" s="4">
        <f t="shared" si="241"/>
        <v>6</v>
      </c>
      <c r="CN227" s="4">
        <f t="shared" si="242"/>
        <v>-204</v>
      </c>
      <c r="CO227" s="4">
        <f t="shared" si="243"/>
        <v>0</v>
      </c>
      <c r="CP227" s="4">
        <f t="shared" si="244"/>
        <v>67</v>
      </c>
      <c r="CQ227" s="4">
        <f t="shared" si="245"/>
        <v>-550</v>
      </c>
      <c r="CR227" s="4">
        <f t="shared" si="246"/>
        <v>12</v>
      </c>
      <c r="CS227" s="4">
        <f t="shared" si="247"/>
        <v>-48</v>
      </c>
      <c r="CT227" s="4">
        <f t="shared" si="248"/>
        <v>0</v>
      </c>
      <c r="CU227" s="4">
        <f t="shared" si="249"/>
        <v>0</v>
      </c>
      <c r="CV227" s="4">
        <f t="shared" si="250"/>
        <v>0</v>
      </c>
      <c r="CW227" s="4">
        <f t="shared" si="251"/>
        <v>0</v>
      </c>
      <c r="CX227" s="4">
        <f t="shared" si="252"/>
        <v>-543</v>
      </c>
      <c r="CY227" s="4">
        <f t="shared" si="253"/>
        <v>0</v>
      </c>
      <c r="CZ227" s="4">
        <f t="shared" si="254"/>
        <v>0</v>
      </c>
      <c r="DA227" s="4">
        <f t="shared" si="255"/>
        <v>0</v>
      </c>
      <c r="DB227" s="4">
        <f t="shared" si="256"/>
        <v>0</v>
      </c>
      <c r="DC227" s="4">
        <f t="shared" si="257"/>
        <v>0</v>
      </c>
      <c r="DD227" s="4">
        <f t="shared" si="258"/>
        <v>0</v>
      </c>
      <c r="DE227" s="4">
        <f t="shared" si="259"/>
        <v>0</v>
      </c>
      <c r="DF227" s="4">
        <f t="shared" si="260"/>
        <v>0</v>
      </c>
      <c r="DG227" s="4">
        <f t="shared" si="261"/>
        <v>0</v>
      </c>
      <c r="DH227" s="4">
        <f t="shared" si="262"/>
        <v>0</v>
      </c>
      <c r="DI227" s="4">
        <f t="shared" si="263"/>
        <v>0</v>
      </c>
      <c r="DJ227" s="4">
        <f t="shared" si="264"/>
        <v>0</v>
      </c>
      <c r="DK227" s="4">
        <f t="shared" si="265"/>
        <v>0</v>
      </c>
      <c r="DL227" s="4">
        <f t="shared" si="266"/>
        <v>0</v>
      </c>
    </row>
    <row r="228" spans="1:116" x14ac:dyDescent="0.25">
      <c r="A228" s="5">
        <v>46188</v>
      </c>
      <c r="B228" s="6">
        <v>5.4569682106375694E-10</v>
      </c>
      <c r="C228" s="3"/>
      <c r="D228" s="3"/>
      <c r="E228" s="3" t="s">
        <v>57</v>
      </c>
      <c r="F228" s="3">
        <v>8</v>
      </c>
      <c r="G228" s="3"/>
      <c r="H228" s="9"/>
      <c r="I228" s="9">
        <f>SUM(IFERROR(VLOOKUP($C:$C,Structure!$A:$AJ,I$1,0)*$D228,0),IFERROR(VLOOKUP($E:$E,Structure!$A:$AJ,I$1,0)*$F228,0),IFERROR(VLOOKUP($G:$G,Structure!$A:$AJ,I$1,0)*$H228,0))</f>
        <v>0</v>
      </c>
      <c r="J228" s="9">
        <f>SUM(IFERROR(VLOOKUP($C:$C,Structure!$A:$AJ,J$1,0)*$D228,0),IFERROR(VLOOKUP($E:$E,Structure!$A:$AJ,J$1,0)*$F228,0),IFERROR(VLOOKUP($G:$G,Structure!$A:$AJ,J$1,0)*$H228,0))</f>
        <v>0</v>
      </c>
      <c r="K228" s="9">
        <f>SUM(IFERROR(VLOOKUP($C:$C,Structure!$A:$AJ,K$1,0)*$D228,0),IFERROR(VLOOKUP($E:$E,Structure!$A:$AJ,K$1,0)*$F228,0),IFERROR(VLOOKUP($G:$G,Structure!$A:$AJ,K$1,0)*$H228,0))</f>
        <v>0</v>
      </c>
      <c r="L228" s="9">
        <f>SUM(IFERROR(VLOOKUP($C:$C,Structure!$A:$AJ,L$1,0)*$D228,0),IFERROR(VLOOKUP($E:$E,Structure!$A:$AJ,L$1,0)*$F228,0),IFERROR(VLOOKUP($G:$G,Structure!$A:$AJ,L$1,0)*$H228,0))</f>
        <v>0</v>
      </c>
      <c r="M228" s="9">
        <f>SUM(IFERROR(VLOOKUP($C:$C,Structure!$A:$AJ,M$1,0)*$D228,0),IFERROR(VLOOKUP($E:$E,Structure!$A:$AJ,M$1,0)*$F228,0),IFERROR(VLOOKUP($G:$G,Structure!$A:$AJ,M$1,0)*$H228,0))</f>
        <v>0</v>
      </c>
      <c r="N228" s="9">
        <f>SUM(IFERROR(VLOOKUP($C:$C,Structure!$A:$AJ,N$1,0)*$D228,0),IFERROR(VLOOKUP($E:$E,Structure!$A:$AJ,N$1,0)*$F228,0),IFERROR(VLOOKUP($G:$G,Structure!$A:$AJ,N$1,0)*$H228,0))</f>
        <v>0</v>
      </c>
      <c r="O228" s="9">
        <f>SUM(IFERROR(VLOOKUP($C:$C,Structure!$A:$AJ,O$1,0)*$D228,0),IFERROR(VLOOKUP($E:$E,Structure!$A:$AJ,O$1,0)*$F228,0),IFERROR(VLOOKUP($G:$G,Structure!$A:$AJ,O$1,0)*$H228,0))</f>
        <v>8</v>
      </c>
      <c r="P228" s="9">
        <f>SUM(IFERROR(VLOOKUP($C:$C,Structure!$A:$AJ,P$1,0)*$D228,0),IFERROR(VLOOKUP($E:$E,Structure!$A:$AJ,P$1,0)*$F228,0),IFERROR(VLOOKUP($G:$G,Structure!$A:$AJ,P$1,0)*$H228,0))</f>
        <v>0</v>
      </c>
      <c r="Q228" s="9">
        <f>SUM(IFERROR(VLOOKUP($C:$C,Structure!$A:$AJ,Q$1,0)*$D228,0),IFERROR(VLOOKUP($E:$E,Structure!$A:$AJ,Q$1,0)*$F228,0),IFERROR(VLOOKUP($G:$G,Structure!$A:$AJ,Q$1,0)*$H228,0))</f>
        <v>0</v>
      </c>
      <c r="R228" s="9">
        <f>SUM(IFERROR(VLOOKUP($C:$C,Structure!$A:$AJ,R$1,0)*$D228,0),IFERROR(VLOOKUP($E:$E,Structure!$A:$AJ,R$1,0)*$F228,0),IFERROR(VLOOKUP($G:$G,Structure!$A:$AJ,R$1,0)*$H228,0))</f>
        <v>0</v>
      </c>
      <c r="S228" s="9">
        <f>SUM(IFERROR(VLOOKUP($C:$C,Structure!$A:$AJ,S$1,0)*$D228,0),IFERROR(VLOOKUP($E:$E,Structure!$A:$AJ,S$1,0)*$F228,0),IFERROR(VLOOKUP($G:$G,Structure!$A:$AJ,S$1,0)*$H228,0))</f>
        <v>8</v>
      </c>
      <c r="T228" s="9">
        <f>SUM(IFERROR(VLOOKUP($C:$C,Structure!$A:$AJ,T$1,0)*$D228,0),IFERROR(VLOOKUP($E:$E,Structure!$A:$AJ,T$1,0)*$F228,0),IFERROR(VLOOKUP($G:$G,Structure!$A:$AJ,T$1,0)*$H228,0))</f>
        <v>0</v>
      </c>
      <c r="U228" s="9">
        <f>SUM(IFERROR(VLOOKUP($C:$C,Structure!$A:$AJ,U$1,0)*$D228,0),IFERROR(VLOOKUP($E:$E,Structure!$A:$AJ,U$1,0)*$F228,0),IFERROR(VLOOKUP($G:$G,Structure!$A:$AJ,U$1,0)*$H228,0))</f>
        <v>0</v>
      </c>
      <c r="V228" s="9">
        <f>SUM(IFERROR(VLOOKUP($C:$C,Structure!$A:$AJ,V$1,0)*$D228,0),IFERROR(VLOOKUP($E:$E,Structure!$A:$AJ,V$1,0)*$F228,0),IFERROR(VLOOKUP($G:$G,Structure!$A:$AJ,V$1,0)*$H228,0))</f>
        <v>0</v>
      </c>
      <c r="W228" s="9">
        <f>SUM(IFERROR(VLOOKUP($C:$C,Structure!$A:$AJ,W$1,0)*$D228,0),IFERROR(VLOOKUP($E:$E,Structure!$A:$AJ,W$1,0)*$F228,0),IFERROR(VLOOKUP($G:$G,Structure!$A:$AJ,W$1,0)*$H228,0))</f>
        <v>0</v>
      </c>
      <c r="X228" s="9">
        <f>SUM(IFERROR(VLOOKUP($C:$C,Structure!$A:$AJ,X$1,0)*$D228,0),IFERROR(VLOOKUP($E:$E,Structure!$A:$AJ,X$1,0)*$F228,0),IFERROR(VLOOKUP($G:$G,Structure!$A:$AJ,X$1,0)*$H228,0))</f>
        <v>0</v>
      </c>
      <c r="Y228" s="9">
        <f>SUM(IFERROR(VLOOKUP($C:$C,Structure!$A:$AJ,Y$1,0)*$D228,0),IFERROR(VLOOKUP($E:$E,Structure!$A:$AJ,Y$1,0)*$F228,0),IFERROR(VLOOKUP($G:$G,Structure!$A:$AJ,Y$1,0)*$H228,0))</f>
        <v>0</v>
      </c>
      <c r="Z228" s="9">
        <f>SUM(IFERROR(VLOOKUP($C:$C,Structure!$A:$AJ,Z$1,0)*$D228,0),IFERROR(VLOOKUP($E:$E,Structure!$A:$AJ,Z$1,0)*$F228,0),IFERROR(VLOOKUP($G:$G,Structure!$A:$AJ,Z$1,0)*$H228,0))</f>
        <v>0</v>
      </c>
      <c r="AA228" s="9">
        <f>SUM(IFERROR(VLOOKUP($C:$C,Structure!$A:$AJ,AA$1,0)*$D228,0),IFERROR(VLOOKUP($E:$E,Structure!$A:$AJ,AA$1,0)*$F228,0),IFERROR(VLOOKUP($G:$G,Structure!$A:$AJ,AA$1,0)*$H228,0))</f>
        <v>0</v>
      </c>
      <c r="AB228" s="9">
        <f>SUM(IFERROR(VLOOKUP($C:$C,Structure!$A:$AJ,AB$1,0)*$D228,0),IFERROR(VLOOKUP($E:$E,Structure!$A:$AJ,AB$1,0)*$F228,0),IFERROR(VLOOKUP($G:$G,Structure!$A:$AJ,AB$1,0)*$H228,0))</f>
        <v>0</v>
      </c>
      <c r="AC228" s="9">
        <f>SUM(IFERROR(VLOOKUP($C:$C,Structure!$A:$AJ,AC$1,0)*$D228,0),IFERROR(VLOOKUP($E:$E,Structure!$A:$AJ,AC$1,0)*$F228,0),IFERROR(VLOOKUP($G:$G,Structure!$A:$AJ,AC$1,0)*$H228,0))</f>
        <v>0</v>
      </c>
      <c r="AD228" s="9">
        <f>SUM(IFERROR(VLOOKUP($C:$C,Structure!$A:$AJ,AD$1,0)*$D228,0),IFERROR(VLOOKUP($E:$E,Structure!$A:$AJ,AD$1,0)*$F228,0),IFERROR(VLOOKUP($G:$G,Structure!$A:$AJ,AD$1,0)*$H228,0))</f>
        <v>0</v>
      </c>
      <c r="AE228" s="9">
        <f>SUM(IFERROR(VLOOKUP($C:$C,Structure!$A:$AJ,AE$1,0)*$D228,0),IFERROR(VLOOKUP($E:$E,Structure!$A:$AJ,AE$1,0)*$F228,0),IFERROR(VLOOKUP($G:$G,Structure!$A:$AJ,AE$1,0)*$H228,0))</f>
        <v>0</v>
      </c>
      <c r="AF228" s="9">
        <f>SUM(IFERROR(VLOOKUP($C:$C,Structure!$A:$AJ,AF$1,0)*$D228,0),IFERROR(VLOOKUP($E:$E,Structure!$A:$AJ,AF$1,0)*$F228,0),IFERROR(VLOOKUP($G:$G,Structure!$A:$AJ,AF$1,0)*$H228,0))</f>
        <v>0</v>
      </c>
      <c r="AG228" s="9">
        <f>SUM(IFERROR(VLOOKUP($C:$C,Structure!$A:$AJ,AG$1,0)*$D228,0),IFERROR(VLOOKUP($E:$E,Structure!$A:$AJ,AG$1,0)*$F228,0),IFERROR(VLOOKUP($G:$G,Structure!$A:$AJ,AG$1,0)*$H228,0))</f>
        <v>0</v>
      </c>
      <c r="AH228" s="9">
        <f>SUM(IFERROR(VLOOKUP($C:$C,Structure!$A:$AJ,AH$1,0)*$D228,0),IFERROR(VLOOKUP($E:$E,Structure!$A:$AJ,AH$1,0)*$F228,0),IFERROR(VLOOKUP($G:$G,Structure!$A:$AJ,AH$1,0)*$H228,0))</f>
        <v>0</v>
      </c>
      <c r="AI228" s="9">
        <f>SUM(IFERROR(VLOOKUP($C:$C,Structure!$A:$AJ,AI$1,0)*$D228,0),IFERROR(VLOOKUP($E:$E,Structure!$A:$AJ,AI$1,0)*$F228,0),IFERROR(VLOOKUP($G:$G,Structure!$A:$AJ,AI$1,0)*$H228,0))</f>
        <v>0</v>
      </c>
      <c r="AJ228" s="9">
        <f>SUM(IFERROR(VLOOKUP($C:$C,Structure!$A:$AJ,AJ$1,0)*$D228,0),IFERROR(VLOOKUP($E:$E,Structure!$A:$AJ,AJ$1,0)*$F228,0),IFERROR(VLOOKUP($G:$G,Structure!$A:$AJ,AJ$1,0)*$H228,0))</f>
        <v>0</v>
      </c>
      <c r="AK228" s="9">
        <f>SUM(IFERROR(VLOOKUP($C:$C,Structure!$A:$AJ,AK$1,0)*$D228,0),IFERROR(VLOOKUP($E:$E,Structure!$A:$AJ,AK$1,0)*$F228,0),IFERROR(VLOOKUP($G:$G,Structure!$A:$AJ,AK$1,0)*$H228,0))</f>
        <v>0</v>
      </c>
      <c r="AL228" s="9">
        <f>SUM(IFERROR(VLOOKUP($C:$C,Structure!$A:$AJ,AL$1,0)*$D228,0),IFERROR(VLOOKUP($E:$E,Structure!$A:$AJ,AL$1,0)*$F228,0),IFERROR(VLOOKUP($G:$G,Structure!$A:$AJ,AL$1,0)*$H228,0))</f>
        <v>0</v>
      </c>
      <c r="AM228" s="9">
        <f>SUM(IFERROR(VLOOKUP($C:$C,Structure!$A:$AJ,AM$1,0)*$D228,0),IFERROR(VLOOKUP($E:$E,Structure!$A:$AJ,AM$1,0)*$F228,0),IFERROR(VLOOKUP($G:$G,Structure!$A:$AJ,AM$1,0)*$H228,0))</f>
        <v>0</v>
      </c>
      <c r="AN228" s="9">
        <f>SUM(IFERROR(VLOOKUP($C:$C,Structure!$A:$AJ,AN$1,0)*$D228,0),IFERROR(VLOOKUP($E:$E,Structure!$A:$AJ,AN$1,0)*$F228,0),IFERROR(VLOOKUP($G:$G,Structure!$A:$AJ,AN$1,0)*$H228,0))</f>
        <v>0</v>
      </c>
      <c r="AO228" s="9">
        <f>SUM(IFERROR(VLOOKUP($C:$C,Structure!$A:$AJ,AO$1,0)*$D228,0),IFERROR(VLOOKUP($E:$E,Structure!$A:$AJ,AO$1,0)*$F228,0),IFERROR(VLOOKUP($G:$G,Structure!$A:$AJ,AO$1,0)*$H228,0))</f>
        <v>0</v>
      </c>
      <c r="AP228" s="9">
        <f>SUM(IFERROR(VLOOKUP($C:$C,Structure!$A:$AJ,AP$1,0)*$D228,0),IFERROR(VLOOKUP($E:$E,Structure!$A:$AJ,AP$1,0)*$F228,0),IFERROR(VLOOKUP($G:$G,Structure!$A:$AJ,AP$1,0)*$H228,0))</f>
        <v>0</v>
      </c>
      <c r="AQ228" s="9">
        <f>SUM(IFERROR(VLOOKUP($C:$C,Structure!$A:$AJ,AQ$1,0)*$D228,0),IFERROR(VLOOKUP($E:$E,Structure!$A:$AJ,AQ$1,0)*$F228,0),IFERROR(VLOOKUP($G:$G,Structure!$A:$AJ,AQ$1,0)*$H228,0))</f>
        <v>0</v>
      </c>
      <c r="AR228" s="21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4">
        <f t="shared" si="232"/>
        <v>0</v>
      </c>
      <c r="CE228" s="4">
        <f t="shared" si="233"/>
        <v>-180</v>
      </c>
      <c r="CF228" s="4">
        <f t="shared" si="234"/>
        <v>4</v>
      </c>
      <c r="CG228" s="4">
        <f t="shared" si="235"/>
        <v>11</v>
      </c>
      <c r="CH228" s="4">
        <f t="shared" si="236"/>
        <v>-7</v>
      </c>
      <c r="CI228" s="4">
        <f t="shared" si="237"/>
        <v>103</v>
      </c>
      <c r="CJ228" s="4">
        <f t="shared" si="238"/>
        <v>-325</v>
      </c>
      <c r="CK228" s="4">
        <f t="shared" si="239"/>
        <v>-1</v>
      </c>
      <c r="CL228" s="4">
        <f t="shared" si="240"/>
        <v>0</v>
      </c>
      <c r="CM228" s="4">
        <f t="shared" si="241"/>
        <v>6</v>
      </c>
      <c r="CN228" s="4">
        <f t="shared" si="242"/>
        <v>-212</v>
      </c>
      <c r="CO228" s="4">
        <f t="shared" si="243"/>
        <v>0</v>
      </c>
      <c r="CP228" s="4">
        <f t="shared" si="244"/>
        <v>67</v>
      </c>
      <c r="CQ228" s="4">
        <f t="shared" si="245"/>
        <v>-550</v>
      </c>
      <c r="CR228" s="4">
        <f t="shared" si="246"/>
        <v>12</v>
      </c>
      <c r="CS228" s="4">
        <f t="shared" si="247"/>
        <v>-48</v>
      </c>
      <c r="CT228" s="4">
        <f t="shared" si="248"/>
        <v>0</v>
      </c>
      <c r="CU228" s="4">
        <f t="shared" si="249"/>
        <v>0</v>
      </c>
      <c r="CV228" s="4">
        <f t="shared" si="250"/>
        <v>0</v>
      </c>
      <c r="CW228" s="4">
        <f t="shared" si="251"/>
        <v>0</v>
      </c>
      <c r="CX228" s="4">
        <f t="shared" si="252"/>
        <v>-543</v>
      </c>
      <c r="CY228" s="4">
        <f t="shared" si="253"/>
        <v>0</v>
      </c>
      <c r="CZ228" s="4">
        <f t="shared" si="254"/>
        <v>0</v>
      </c>
      <c r="DA228" s="4">
        <f t="shared" si="255"/>
        <v>0</v>
      </c>
      <c r="DB228" s="4">
        <f t="shared" si="256"/>
        <v>0</v>
      </c>
      <c r="DC228" s="4">
        <f t="shared" si="257"/>
        <v>0</v>
      </c>
      <c r="DD228" s="4">
        <f t="shared" si="258"/>
        <v>0</v>
      </c>
      <c r="DE228" s="4">
        <f t="shared" si="259"/>
        <v>0</v>
      </c>
      <c r="DF228" s="4">
        <f t="shared" si="260"/>
        <v>0</v>
      </c>
      <c r="DG228" s="4">
        <f t="shared" si="261"/>
        <v>0</v>
      </c>
      <c r="DH228" s="4">
        <f t="shared" si="262"/>
        <v>0</v>
      </c>
      <c r="DI228" s="4">
        <f t="shared" si="263"/>
        <v>0</v>
      </c>
      <c r="DJ228" s="4">
        <f t="shared" si="264"/>
        <v>0</v>
      </c>
      <c r="DK228" s="4">
        <f t="shared" si="265"/>
        <v>0</v>
      </c>
      <c r="DL228" s="4">
        <f t="shared" si="266"/>
        <v>0</v>
      </c>
    </row>
    <row r="229" spans="1:116" x14ac:dyDescent="0.25">
      <c r="A229" s="5">
        <v>46188</v>
      </c>
      <c r="B229" s="6">
        <v>2.0833333881455474E-2</v>
      </c>
      <c r="C229" s="3"/>
      <c r="D229" s="3"/>
      <c r="E229" s="3" t="s">
        <v>57</v>
      </c>
      <c r="F229" s="3">
        <v>8</v>
      </c>
      <c r="G229" s="3"/>
      <c r="H229" s="9"/>
      <c r="I229" s="9">
        <f>SUM(IFERROR(VLOOKUP($C:$C,Structure!$A:$AJ,I$1,0)*$D229,0),IFERROR(VLOOKUP($E:$E,Structure!$A:$AJ,I$1,0)*$F229,0),IFERROR(VLOOKUP($G:$G,Structure!$A:$AJ,I$1,0)*$H229,0))</f>
        <v>0</v>
      </c>
      <c r="J229" s="9">
        <f>SUM(IFERROR(VLOOKUP($C:$C,Structure!$A:$AJ,J$1,0)*$D229,0),IFERROR(VLOOKUP($E:$E,Structure!$A:$AJ,J$1,0)*$F229,0),IFERROR(VLOOKUP($G:$G,Structure!$A:$AJ,J$1,0)*$H229,0))</f>
        <v>0</v>
      </c>
      <c r="K229" s="9">
        <f>SUM(IFERROR(VLOOKUP($C:$C,Structure!$A:$AJ,K$1,0)*$D229,0),IFERROR(VLOOKUP($E:$E,Structure!$A:$AJ,K$1,0)*$F229,0),IFERROR(VLOOKUP($G:$G,Structure!$A:$AJ,K$1,0)*$H229,0))</f>
        <v>0</v>
      </c>
      <c r="L229" s="9">
        <f>SUM(IFERROR(VLOOKUP($C:$C,Structure!$A:$AJ,L$1,0)*$D229,0),IFERROR(VLOOKUP($E:$E,Structure!$A:$AJ,L$1,0)*$F229,0),IFERROR(VLOOKUP($G:$G,Structure!$A:$AJ,L$1,0)*$H229,0))</f>
        <v>0</v>
      </c>
      <c r="M229" s="9">
        <f>SUM(IFERROR(VLOOKUP($C:$C,Structure!$A:$AJ,M$1,0)*$D229,0),IFERROR(VLOOKUP($E:$E,Structure!$A:$AJ,M$1,0)*$F229,0),IFERROR(VLOOKUP($G:$G,Structure!$A:$AJ,M$1,0)*$H229,0))</f>
        <v>0</v>
      </c>
      <c r="N229" s="9">
        <f>SUM(IFERROR(VLOOKUP($C:$C,Structure!$A:$AJ,N$1,0)*$D229,0),IFERROR(VLOOKUP($E:$E,Structure!$A:$AJ,N$1,0)*$F229,0),IFERROR(VLOOKUP($G:$G,Structure!$A:$AJ,N$1,0)*$H229,0))</f>
        <v>0</v>
      </c>
      <c r="O229" s="9">
        <f>SUM(IFERROR(VLOOKUP($C:$C,Structure!$A:$AJ,O$1,0)*$D229,0),IFERROR(VLOOKUP($E:$E,Structure!$A:$AJ,O$1,0)*$F229,0),IFERROR(VLOOKUP($G:$G,Structure!$A:$AJ,O$1,0)*$H229,0))</f>
        <v>8</v>
      </c>
      <c r="P229" s="9">
        <f>SUM(IFERROR(VLOOKUP($C:$C,Structure!$A:$AJ,P$1,0)*$D229,0),IFERROR(VLOOKUP($E:$E,Structure!$A:$AJ,P$1,0)*$F229,0),IFERROR(VLOOKUP($G:$G,Structure!$A:$AJ,P$1,0)*$H229,0))</f>
        <v>0</v>
      </c>
      <c r="Q229" s="9">
        <f>SUM(IFERROR(VLOOKUP($C:$C,Structure!$A:$AJ,Q$1,0)*$D229,0),IFERROR(VLOOKUP($E:$E,Structure!$A:$AJ,Q$1,0)*$F229,0),IFERROR(VLOOKUP($G:$G,Structure!$A:$AJ,Q$1,0)*$H229,0))</f>
        <v>0</v>
      </c>
      <c r="R229" s="9">
        <f>SUM(IFERROR(VLOOKUP($C:$C,Structure!$A:$AJ,R$1,0)*$D229,0),IFERROR(VLOOKUP($E:$E,Structure!$A:$AJ,R$1,0)*$F229,0),IFERROR(VLOOKUP($G:$G,Structure!$A:$AJ,R$1,0)*$H229,0))</f>
        <v>0</v>
      </c>
      <c r="S229" s="9">
        <f>SUM(IFERROR(VLOOKUP($C:$C,Structure!$A:$AJ,S$1,0)*$D229,0),IFERROR(VLOOKUP($E:$E,Structure!$A:$AJ,S$1,0)*$F229,0),IFERROR(VLOOKUP($G:$G,Structure!$A:$AJ,S$1,0)*$H229,0))</f>
        <v>8</v>
      </c>
      <c r="T229" s="9">
        <f>SUM(IFERROR(VLOOKUP($C:$C,Structure!$A:$AJ,T$1,0)*$D229,0),IFERROR(VLOOKUP($E:$E,Structure!$A:$AJ,T$1,0)*$F229,0),IFERROR(VLOOKUP($G:$G,Structure!$A:$AJ,T$1,0)*$H229,0))</f>
        <v>0</v>
      </c>
      <c r="U229" s="9">
        <f>SUM(IFERROR(VLOOKUP($C:$C,Structure!$A:$AJ,U$1,0)*$D229,0),IFERROR(VLOOKUP($E:$E,Structure!$A:$AJ,U$1,0)*$F229,0),IFERROR(VLOOKUP($G:$G,Structure!$A:$AJ,U$1,0)*$H229,0))</f>
        <v>0</v>
      </c>
      <c r="V229" s="9">
        <f>SUM(IFERROR(VLOOKUP($C:$C,Structure!$A:$AJ,V$1,0)*$D229,0),IFERROR(VLOOKUP($E:$E,Structure!$A:$AJ,V$1,0)*$F229,0),IFERROR(VLOOKUP($G:$G,Structure!$A:$AJ,V$1,0)*$H229,0))</f>
        <v>0</v>
      </c>
      <c r="W229" s="9">
        <f>SUM(IFERROR(VLOOKUP($C:$C,Structure!$A:$AJ,W$1,0)*$D229,0),IFERROR(VLOOKUP($E:$E,Structure!$A:$AJ,W$1,0)*$F229,0),IFERROR(VLOOKUP($G:$G,Structure!$A:$AJ,W$1,0)*$H229,0))</f>
        <v>0</v>
      </c>
      <c r="X229" s="9">
        <f>SUM(IFERROR(VLOOKUP($C:$C,Structure!$A:$AJ,X$1,0)*$D229,0),IFERROR(VLOOKUP($E:$E,Structure!$A:$AJ,X$1,0)*$F229,0),IFERROR(VLOOKUP($G:$G,Structure!$A:$AJ,X$1,0)*$H229,0))</f>
        <v>0</v>
      </c>
      <c r="Y229" s="9">
        <f>SUM(IFERROR(VLOOKUP($C:$C,Structure!$A:$AJ,Y$1,0)*$D229,0),IFERROR(VLOOKUP($E:$E,Structure!$A:$AJ,Y$1,0)*$F229,0),IFERROR(VLOOKUP($G:$G,Structure!$A:$AJ,Y$1,0)*$H229,0))</f>
        <v>0</v>
      </c>
      <c r="Z229" s="9">
        <f>SUM(IFERROR(VLOOKUP($C:$C,Structure!$A:$AJ,Z$1,0)*$D229,0),IFERROR(VLOOKUP($E:$E,Structure!$A:$AJ,Z$1,0)*$F229,0),IFERROR(VLOOKUP($G:$G,Structure!$A:$AJ,Z$1,0)*$H229,0))</f>
        <v>0</v>
      </c>
      <c r="AA229" s="9">
        <f>SUM(IFERROR(VLOOKUP($C:$C,Structure!$A:$AJ,AA$1,0)*$D229,0),IFERROR(VLOOKUP($E:$E,Structure!$A:$AJ,AA$1,0)*$F229,0),IFERROR(VLOOKUP($G:$G,Structure!$A:$AJ,AA$1,0)*$H229,0))</f>
        <v>0</v>
      </c>
      <c r="AB229" s="9">
        <f>SUM(IFERROR(VLOOKUP($C:$C,Structure!$A:$AJ,AB$1,0)*$D229,0),IFERROR(VLOOKUP($E:$E,Structure!$A:$AJ,AB$1,0)*$F229,0),IFERROR(VLOOKUP($G:$G,Structure!$A:$AJ,AB$1,0)*$H229,0))</f>
        <v>0</v>
      </c>
      <c r="AC229" s="9">
        <f>SUM(IFERROR(VLOOKUP($C:$C,Structure!$A:$AJ,AC$1,0)*$D229,0),IFERROR(VLOOKUP($E:$E,Structure!$A:$AJ,AC$1,0)*$F229,0),IFERROR(VLOOKUP($G:$G,Structure!$A:$AJ,AC$1,0)*$H229,0))</f>
        <v>0</v>
      </c>
      <c r="AD229" s="9">
        <f>SUM(IFERROR(VLOOKUP($C:$C,Structure!$A:$AJ,AD$1,0)*$D229,0),IFERROR(VLOOKUP($E:$E,Structure!$A:$AJ,AD$1,0)*$F229,0),IFERROR(VLOOKUP($G:$G,Structure!$A:$AJ,AD$1,0)*$H229,0))</f>
        <v>0</v>
      </c>
      <c r="AE229" s="9">
        <f>SUM(IFERROR(VLOOKUP($C:$C,Structure!$A:$AJ,AE$1,0)*$D229,0),IFERROR(VLOOKUP($E:$E,Structure!$A:$AJ,AE$1,0)*$F229,0),IFERROR(VLOOKUP($G:$G,Structure!$A:$AJ,AE$1,0)*$H229,0))</f>
        <v>0</v>
      </c>
      <c r="AF229" s="9">
        <f>SUM(IFERROR(VLOOKUP($C:$C,Structure!$A:$AJ,AF$1,0)*$D229,0),IFERROR(VLOOKUP($E:$E,Structure!$A:$AJ,AF$1,0)*$F229,0),IFERROR(VLOOKUP($G:$G,Structure!$A:$AJ,AF$1,0)*$H229,0))</f>
        <v>0</v>
      </c>
      <c r="AG229" s="9">
        <f>SUM(IFERROR(VLOOKUP($C:$C,Structure!$A:$AJ,AG$1,0)*$D229,0),IFERROR(VLOOKUP($E:$E,Structure!$A:$AJ,AG$1,0)*$F229,0),IFERROR(VLOOKUP($G:$G,Structure!$A:$AJ,AG$1,0)*$H229,0))</f>
        <v>0</v>
      </c>
      <c r="AH229" s="9">
        <f>SUM(IFERROR(VLOOKUP($C:$C,Structure!$A:$AJ,AH$1,0)*$D229,0),IFERROR(VLOOKUP($E:$E,Structure!$A:$AJ,AH$1,0)*$F229,0),IFERROR(VLOOKUP($G:$G,Structure!$A:$AJ,AH$1,0)*$H229,0))</f>
        <v>0</v>
      </c>
      <c r="AI229" s="9">
        <f>SUM(IFERROR(VLOOKUP($C:$C,Structure!$A:$AJ,AI$1,0)*$D229,0),IFERROR(VLOOKUP($E:$E,Structure!$A:$AJ,AI$1,0)*$F229,0),IFERROR(VLOOKUP($G:$G,Structure!$A:$AJ,AI$1,0)*$H229,0))</f>
        <v>0</v>
      </c>
      <c r="AJ229" s="9">
        <f>SUM(IFERROR(VLOOKUP($C:$C,Structure!$A:$AJ,AJ$1,0)*$D229,0),IFERROR(VLOOKUP($E:$E,Structure!$A:$AJ,AJ$1,0)*$F229,0),IFERROR(VLOOKUP($G:$G,Structure!$A:$AJ,AJ$1,0)*$H229,0))</f>
        <v>0</v>
      </c>
      <c r="AK229" s="9">
        <f>SUM(IFERROR(VLOOKUP($C:$C,Structure!$A:$AJ,AK$1,0)*$D229,0),IFERROR(VLOOKUP($E:$E,Structure!$A:$AJ,AK$1,0)*$F229,0),IFERROR(VLOOKUP($G:$G,Structure!$A:$AJ,AK$1,0)*$H229,0))</f>
        <v>0</v>
      </c>
      <c r="AL229" s="9">
        <f>SUM(IFERROR(VLOOKUP($C:$C,Structure!$A:$AJ,AL$1,0)*$D229,0),IFERROR(VLOOKUP($E:$E,Structure!$A:$AJ,AL$1,0)*$F229,0),IFERROR(VLOOKUP($G:$G,Structure!$A:$AJ,AL$1,0)*$H229,0))</f>
        <v>0</v>
      </c>
      <c r="AM229" s="9">
        <f>SUM(IFERROR(VLOOKUP($C:$C,Structure!$A:$AJ,AM$1,0)*$D229,0),IFERROR(VLOOKUP($E:$E,Structure!$A:$AJ,AM$1,0)*$F229,0),IFERROR(VLOOKUP($G:$G,Structure!$A:$AJ,AM$1,0)*$H229,0))</f>
        <v>0</v>
      </c>
      <c r="AN229" s="9">
        <f>SUM(IFERROR(VLOOKUP($C:$C,Structure!$A:$AJ,AN$1,0)*$D229,0),IFERROR(VLOOKUP($E:$E,Structure!$A:$AJ,AN$1,0)*$F229,0),IFERROR(VLOOKUP($G:$G,Structure!$A:$AJ,AN$1,0)*$H229,0))</f>
        <v>0</v>
      </c>
      <c r="AO229" s="9">
        <f>SUM(IFERROR(VLOOKUP($C:$C,Structure!$A:$AJ,AO$1,0)*$D229,0),IFERROR(VLOOKUP($E:$E,Structure!$A:$AJ,AO$1,0)*$F229,0),IFERROR(VLOOKUP($G:$G,Structure!$A:$AJ,AO$1,0)*$H229,0))</f>
        <v>0</v>
      </c>
      <c r="AP229" s="9">
        <f>SUM(IFERROR(VLOOKUP($C:$C,Structure!$A:$AJ,AP$1,0)*$D229,0),IFERROR(VLOOKUP($E:$E,Structure!$A:$AJ,AP$1,0)*$F229,0),IFERROR(VLOOKUP($G:$G,Structure!$A:$AJ,AP$1,0)*$H229,0))</f>
        <v>0</v>
      </c>
      <c r="AQ229" s="9">
        <f>SUM(IFERROR(VLOOKUP($C:$C,Structure!$A:$AJ,AQ$1,0)*$D229,0),IFERROR(VLOOKUP($E:$E,Structure!$A:$AJ,AQ$1,0)*$F229,0),IFERROR(VLOOKUP($G:$G,Structure!$A:$AJ,AQ$1,0)*$H229,0))</f>
        <v>0</v>
      </c>
      <c r="AR229" s="21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4">
        <f t="shared" si="232"/>
        <v>0</v>
      </c>
      <c r="CE229" s="4">
        <f t="shared" si="233"/>
        <v>-180</v>
      </c>
      <c r="CF229" s="4">
        <f t="shared" si="234"/>
        <v>4</v>
      </c>
      <c r="CG229" s="4">
        <f t="shared" si="235"/>
        <v>11</v>
      </c>
      <c r="CH229" s="4">
        <f t="shared" si="236"/>
        <v>-7</v>
      </c>
      <c r="CI229" s="4">
        <f t="shared" si="237"/>
        <v>103</v>
      </c>
      <c r="CJ229" s="4">
        <f t="shared" si="238"/>
        <v>-333</v>
      </c>
      <c r="CK229" s="4">
        <f t="shared" si="239"/>
        <v>-1</v>
      </c>
      <c r="CL229" s="4">
        <f t="shared" si="240"/>
        <v>0</v>
      </c>
      <c r="CM229" s="4">
        <f t="shared" si="241"/>
        <v>6</v>
      </c>
      <c r="CN229" s="4">
        <f t="shared" si="242"/>
        <v>-220</v>
      </c>
      <c r="CO229" s="4">
        <f t="shared" si="243"/>
        <v>0</v>
      </c>
      <c r="CP229" s="4">
        <f t="shared" si="244"/>
        <v>67</v>
      </c>
      <c r="CQ229" s="4">
        <f t="shared" si="245"/>
        <v>-550</v>
      </c>
      <c r="CR229" s="4">
        <f t="shared" si="246"/>
        <v>12</v>
      </c>
      <c r="CS229" s="4">
        <f t="shared" si="247"/>
        <v>-48</v>
      </c>
      <c r="CT229" s="4">
        <f t="shared" si="248"/>
        <v>0</v>
      </c>
      <c r="CU229" s="4">
        <f t="shared" si="249"/>
        <v>0</v>
      </c>
      <c r="CV229" s="4">
        <f t="shared" si="250"/>
        <v>0</v>
      </c>
      <c r="CW229" s="4">
        <f t="shared" si="251"/>
        <v>0</v>
      </c>
      <c r="CX229" s="4">
        <f t="shared" si="252"/>
        <v>-543</v>
      </c>
      <c r="CY229" s="4">
        <f t="shared" si="253"/>
        <v>0</v>
      </c>
      <c r="CZ229" s="4">
        <f t="shared" si="254"/>
        <v>0</v>
      </c>
      <c r="DA229" s="4">
        <f t="shared" si="255"/>
        <v>0</v>
      </c>
      <c r="DB229" s="4">
        <f t="shared" si="256"/>
        <v>0</v>
      </c>
      <c r="DC229" s="4">
        <f t="shared" si="257"/>
        <v>0</v>
      </c>
      <c r="DD229" s="4">
        <f t="shared" si="258"/>
        <v>0</v>
      </c>
      <c r="DE229" s="4">
        <f t="shared" si="259"/>
        <v>0</v>
      </c>
      <c r="DF229" s="4">
        <f t="shared" si="260"/>
        <v>0</v>
      </c>
      <c r="DG229" s="4">
        <f t="shared" si="261"/>
        <v>0</v>
      </c>
      <c r="DH229" s="4">
        <f t="shared" si="262"/>
        <v>0</v>
      </c>
      <c r="DI229" s="4">
        <f t="shared" si="263"/>
        <v>0</v>
      </c>
      <c r="DJ229" s="4">
        <f t="shared" si="264"/>
        <v>0</v>
      </c>
      <c r="DK229" s="4">
        <f t="shared" si="265"/>
        <v>0</v>
      </c>
      <c r="DL229" s="4">
        <f t="shared" si="266"/>
        <v>0</v>
      </c>
    </row>
    <row r="230" spans="1:116" x14ac:dyDescent="0.25">
      <c r="A230" s="5">
        <v>46188</v>
      </c>
      <c r="B230" s="6">
        <v>4.1666667217214126E-2</v>
      </c>
      <c r="C230" s="3"/>
      <c r="D230" s="3"/>
      <c r="E230" s="3" t="s">
        <v>57</v>
      </c>
      <c r="F230" s="3">
        <v>8</v>
      </c>
      <c r="G230" s="3"/>
      <c r="H230" s="9"/>
      <c r="I230" s="9">
        <f>SUM(IFERROR(VLOOKUP($C:$C,Structure!$A:$AJ,I$1,0)*$D230,0),IFERROR(VLOOKUP($E:$E,Structure!$A:$AJ,I$1,0)*$F230,0),IFERROR(VLOOKUP($G:$G,Structure!$A:$AJ,I$1,0)*$H230,0))</f>
        <v>0</v>
      </c>
      <c r="J230" s="9">
        <f>SUM(IFERROR(VLOOKUP($C:$C,Structure!$A:$AJ,J$1,0)*$D230,0),IFERROR(VLOOKUP($E:$E,Structure!$A:$AJ,J$1,0)*$F230,0),IFERROR(VLOOKUP($G:$G,Structure!$A:$AJ,J$1,0)*$H230,0))</f>
        <v>0</v>
      </c>
      <c r="K230" s="9">
        <f>SUM(IFERROR(VLOOKUP($C:$C,Structure!$A:$AJ,K$1,0)*$D230,0),IFERROR(VLOOKUP($E:$E,Structure!$A:$AJ,K$1,0)*$F230,0),IFERROR(VLOOKUP($G:$G,Structure!$A:$AJ,K$1,0)*$H230,0))</f>
        <v>0</v>
      </c>
      <c r="L230" s="9">
        <f>SUM(IFERROR(VLOOKUP($C:$C,Structure!$A:$AJ,L$1,0)*$D230,0),IFERROR(VLOOKUP($E:$E,Structure!$A:$AJ,L$1,0)*$F230,0),IFERROR(VLOOKUP($G:$G,Structure!$A:$AJ,L$1,0)*$H230,0))</f>
        <v>0</v>
      </c>
      <c r="M230" s="9">
        <f>SUM(IFERROR(VLOOKUP($C:$C,Structure!$A:$AJ,M$1,0)*$D230,0),IFERROR(VLOOKUP($E:$E,Structure!$A:$AJ,M$1,0)*$F230,0),IFERROR(VLOOKUP($G:$G,Structure!$A:$AJ,M$1,0)*$H230,0))</f>
        <v>0</v>
      </c>
      <c r="N230" s="9">
        <f>SUM(IFERROR(VLOOKUP($C:$C,Structure!$A:$AJ,N$1,0)*$D230,0),IFERROR(VLOOKUP($E:$E,Structure!$A:$AJ,N$1,0)*$F230,0),IFERROR(VLOOKUP($G:$G,Structure!$A:$AJ,N$1,0)*$H230,0))</f>
        <v>0</v>
      </c>
      <c r="O230" s="9">
        <f>SUM(IFERROR(VLOOKUP($C:$C,Structure!$A:$AJ,O$1,0)*$D230,0),IFERROR(VLOOKUP($E:$E,Structure!$A:$AJ,O$1,0)*$F230,0),IFERROR(VLOOKUP($G:$G,Structure!$A:$AJ,O$1,0)*$H230,0))</f>
        <v>8</v>
      </c>
      <c r="P230" s="9">
        <f>SUM(IFERROR(VLOOKUP($C:$C,Structure!$A:$AJ,P$1,0)*$D230,0),IFERROR(VLOOKUP($E:$E,Structure!$A:$AJ,P$1,0)*$F230,0),IFERROR(VLOOKUP($G:$G,Structure!$A:$AJ,P$1,0)*$H230,0))</f>
        <v>0</v>
      </c>
      <c r="Q230" s="9">
        <f>SUM(IFERROR(VLOOKUP($C:$C,Structure!$A:$AJ,Q$1,0)*$D230,0),IFERROR(VLOOKUP($E:$E,Structure!$A:$AJ,Q$1,0)*$F230,0),IFERROR(VLOOKUP($G:$G,Structure!$A:$AJ,Q$1,0)*$H230,0))</f>
        <v>0</v>
      </c>
      <c r="R230" s="9">
        <f>SUM(IFERROR(VLOOKUP($C:$C,Structure!$A:$AJ,R$1,0)*$D230,0),IFERROR(VLOOKUP($E:$E,Structure!$A:$AJ,R$1,0)*$F230,0),IFERROR(VLOOKUP($G:$G,Structure!$A:$AJ,R$1,0)*$H230,0))</f>
        <v>0</v>
      </c>
      <c r="S230" s="9">
        <f>SUM(IFERROR(VLOOKUP($C:$C,Structure!$A:$AJ,S$1,0)*$D230,0),IFERROR(VLOOKUP($E:$E,Structure!$A:$AJ,S$1,0)*$F230,0),IFERROR(VLOOKUP($G:$G,Structure!$A:$AJ,S$1,0)*$H230,0))</f>
        <v>8</v>
      </c>
      <c r="T230" s="9">
        <f>SUM(IFERROR(VLOOKUP($C:$C,Structure!$A:$AJ,T$1,0)*$D230,0),IFERROR(VLOOKUP($E:$E,Structure!$A:$AJ,T$1,0)*$F230,0),IFERROR(VLOOKUP($G:$G,Structure!$A:$AJ,T$1,0)*$H230,0))</f>
        <v>0</v>
      </c>
      <c r="U230" s="9">
        <f>SUM(IFERROR(VLOOKUP($C:$C,Structure!$A:$AJ,U$1,0)*$D230,0),IFERROR(VLOOKUP($E:$E,Structure!$A:$AJ,U$1,0)*$F230,0),IFERROR(VLOOKUP($G:$G,Structure!$A:$AJ,U$1,0)*$H230,0))</f>
        <v>0</v>
      </c>
      <c r="V230" s="9">
        <f>SUM(IFERROR(VLOOKUP($C:$C,Structure!$A:$AJ,V$1,0)*$D230,0),IFERROR(VLOOKUP($E:$E,Structure!$A:$AJ,V$1,0)*$F230,0),IFERROR(VLOOKUP($G:$G,Structure!$A:$AJ,V$1,0)*$H230,0))</f>
        <v>0</v>
      </c>
      <c r="W230" s="9">
        <f>SUM(IFERROR(VLOOKUP($C:$C,Structure!$A:$AJ,W$1,0)*$D230,0),IFERROR(VLOOKUP($E:$E,Structure!$A:$AJ,W$1,0)*$F230,0),IFERROR(VLOOKUP($G:$G,Structure!$A:$AJ,W$1,0)*$H230,0))</f>
        <v>0</v>
      </c>
      <c r="X230" s="9">
        <f>SUM(IFERROR(VLOOKUP($C:$C,Structure!$A:$AJ,X$1,0)*$D230,0),IFERROR(VLOOKUP($E:$E,Structure!$A:$AJ,X$1,0)*$F230,0),IFERROR(VLOOKUP($G:$G,Structure!$A:$AJ,X$1,0)*$H230,0))</f>
        <v>0</v>
      </c>
      <c r="Y230" s="9">
        <f>SUM(IFERROR(VLOOKUP($C:$C,Structure!$A:$AJ,Y$1,0)*$D230,0),IFERROR(VLOOKUP($E:$E,Structure!$A:$AJ,Y$1,0)*$F230,0),IFERROR(VLOOKUP($G:$G,Structure!$A:$AJ,Y$1,0)*$H230,0))</f>
        <v>0</v>
      </c>
      <c r="Z230" s="9">
        <f>SUM(IFERROR(VLOOKUP($C:$C,Structure!$A:$AJ,Z$1,0)*$D230,0),IFERROR(VLOOKUP($E:$E,Structure!$A:$AJ,Z$1,0)*$F230,0),IFERROR(VLOOKUP($G:$G,Structure!$A:$AJ,Z$1,0)*$H230,0))</f>
        <v>0</v>
      </c>
      <c r="AA230" s="9">
        <f>SUM(IFERROR(VLOOKUP($C:$C,Structure!$A:$AJ,AA$1,0)*$D230,0),IFERROR(VLOOKUP($E:$E,Structure!$A:$AJ,AA$1,0)*$F230,0),IFERROR(VLOOKUP($G:$G,Structure!$A:$AJ,AA$1,0)*$H230,0))</f>
        <v>0</v>
      </c>
      <c r="AB230" s="9">
        <f>SUM(IFERROR(VLOOKUP($C:$C,Structure!$A:$AJ,AB$1,0)*$D230,0),IFERROR(VLOOKUP($E:$E,Structure!$A:$AJ,AB$1,0)*$F230,0),IFERROR(VLOOKUP($G:$G,Structure!$A:$AJ,AB$1,0)*$H230,0))</f>
        <v>0</v>
      </c>
      <c r="AC230" s="9">
        <f>SUM(IFERROR(VLOOKUP($C:$C,Structure!$A:$AJ,AC$1,0)*$D230,0),IFERROR(VLOOKUP($E:$E,Structure!$A:$AJ,AC$1,0)*$F230,0),IFERROR(VLOOKUP($G:$G,Structure!$A:$AJ,AC$1,0)*$H230,0))</f>
        <v>0</v>
      </c>
      <c r="AD230" s="9">
        <f>SUM(IFERROR(VLOOKUP($C:$C,Structure!$A:$AJ,AD$1,0)*$D230,0),IFERROR(VLOOKUP($E:$E,Structure!$A:$AJ,AD$1,0)*$F230,0),IFERROR(VLOOKUP($G:$G,Structure!$A:$AJ,AD$1,0)*$H230,0))</f>
        <v>0</v>
      </c>
      <c r="AE230" s="9">
        <f>SUM(IFERROR(VLOOKUP($C:$C,Structure!$A:$AJ,AE$1,0)*$D230,0),IFERROR(VLOOKUP($E:$E,Structure!$A:$AJ,AE$1,0)*$F230,0),IFERROR(VLOOKUP($G:$G,Structure!$A:$AJ,AE$1,0)*$H230,0))</f>
        <v>0</v>
      </c>
      <c r="AF230" s="9">
        <f>SUM(IFERROR(VLOOKUP($C:$C,Structure!$A:$AJ,AF$1,0)*$D230,0),IFERROR(VLOOKUP($E:$E,Structure!$A:$AJ,AF$1,0)*$F230,0),IFERROR(VLOOKUP($G:$G,Structure!$A:$AJ,AF$1,0)*$H230,0))</f>
        <v>0</v>
      </c>
      <c r="AG230" s="9">
        <f>SUM(IFERROR(VLOOKUP($C:$C,Structure!$A:$AJ,AG$1,0)*$D230,0),IFERROR(VLOOKUP($E:$E,Structure!$A:$AJ,AG$1,0)*$F230,0),IFERROR(VLOOKUP($G:$G,Structure!$A:$AJ,AG$1,0)*$H230,0))</f>
        <v>0</v>
      </c>
      <c r="AH230" s="9">
        <f>SUM(IFERROR(VLOOKUP($C:$C,Structure!$A:$AJ,AH$1,0)*$D230,0),IFERROR(VLOOKUP($E:$E,Structure!$A:$AJ,AH$1,0)*$F230,0),IFERROR(VLOOKUP($G:$G,Structure!$A:$AJ,AH$1,0)*$H230,0))</f>
        <v>0</v>
      </c>
      <c r="AI230" s="9">
        <f>SUM(IFERROR(VLOOKUP($C:$C,Structure!$A:$AJ,AI$1,0)*$D230,0),IFERROR(VLOOKUP($E:$E,Structure!$A:$AJ,AI$1,0)*$F230,0),IFERROR(VLOOKUP($G:$G,Structure!$A:$AJ,AI$1,0)*$H230,0))</f>
        <v>0</v>
      </c>
      <c r="AJ230" s="9">
        <f>SUM(IFERROR(VLOOKUP($C:$C,Structure!$A:$AJ,AJ$1,0)*$D230,0),IFERROR(VLOOKUP($E:$E,Structure!$A:$AJ,AJ$1,0)*$F230,0),IFERROR(VLOOKUP($G:$G,Structure!$A:$AJ,AJ$1,0)*$H230,0))</f>
        <v>0</v>
      </c>
      <c r="AK230" s="9">
        <f>SUM(IFERROR(VLOOKUP($C:$C,Structure!$A:$AJ,AK$1,0)*$D230,0),IFERROR(VLOOKUP($E:$E,Structure!$A:$AJ,AK$1,0)*$F230,0),IFERROR(VLOOKUP($G:$G,Structure!$A:$AJ,AK$1,0)*$H230,0))</f>
        <v>0</v>
      </c>
      <c r="AL230" s="9">
        <f>SUM(IFERROR(VLOOKUP($C:$C,Structure!$A:$AJ,AL$1,0)*$D230,0),IFERROR(VLOOKUP($E:$E,Structure!$A:$AJ,AL$1,0)*$F230,0),IFERROR(VLOOKUP($G:$G,Structure!$A:$AJ,AL$1,0)*$H230,0))</f>
        <v>0</v>
      </c>
      <c r="AM230" s="9">
        <f>SUM(IFERROR(VLOOKUP($C:$C,Structure!$A:$AJ,AM$1,0)*$D230,0),IFERROR(VLOOKUP($E:$E,Structure!$A:$AJ,AM$1,0)*$F230,0),IFERROR(VLOOKUP($G:$G,Structure!$A:$AJ,AM$1,0)*$H230,0))</f>
        <v>0</v>
      </c>
      <c r="AN230" s="9">
        <f>SUM(IFERROR(VLOOKUP($C:$C,Structure!$A:$AJ,AN$1,0)*$D230,0),IFERROR(VLOOKUP($E:$E,Structure!$A:$AJ,AN$1,0)*$F230,0),IFERROR(VLOOKUP($G:$G,Structure!$A:$AJ,AN$1,0)*$H230,0))</f>
        <v>0</v>
      </c>
      <c r="AO230" s="9">
        <f>SUM(IFERROR(VLOOKUP($C:$C,Structure!$A:$AJ,AO$1,0)*$D230,0),IFERROR(VLOOKUP($E:$E,Structure!$A:$AJ,AO$1,0)*$F230,0),IFERROR(VLOOKUP($G:$G,Structure!$A:$AJ,AO$1,0)*$H230,0))</f>
        <v>0</v>
      </c>
      <c r="AP230" s="9">
        <f>SUM(IFERROR(VLOOKUP($C:$C,Structure!$A:$AJ,AP$1,0)*$D230,0),IFERROR(VLOOKUP($E:$E,Structure!$A:$AJ,AP$1,0)*$F230,0),IFERROR(VLOOKUP($G:$G,Structure!$A:$AJ,AP$1,0)*$H230,0))</f>
        <v>0</v>
      </c>
      <c r="AQ230" s="9">
        <f>SUM(IFERROR(VLOOKUP($C:$C,Structure!$A:$AJ,AQ$1,0)*$D230,0),IFERROR(VLOOKUP($E:$E,Structure!$A:$AJ,AQ$1,0)*$F230,0),IFERROR(VLOOKUP($G:$G,Structure!$A:$AJ,AQ$1,0)*$H230,0))</f>
        <v>0</v>
      </c>
      <c r="AR230" s="21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4">
        <f t="shared" si="232"/>
        <v>0</v>
      </c>
      <c r="CE230" s="4">
        <f t="shared" si="233"/>
        <v>-180</v>
      </c>
      <c r="CF230" s="4">
        <f t="shared" si="234"/>
        <v>4</v>
      </c>
      <c r="CG230" s="4">
        <f t="shared" si="235"/>
        <v>11</v>
      </c>
      <c r="CH230" s="4">
        <f t="shared" si="236"/>
        <v>-7</v>
      </c>
      <c r="CI230" s="4">
        <f t="shared" si="237"/>
        <v>103</v>
      </c>
      <c r="CJ230" s="4">
        <f t="shared" si="238"/>
        <v>-341</v>
      </c>
      <c r="CK230" s="4">
        <f t="shared" si="239"/>
        <v>-1</v>
      </c>
      <c r="CL230" s="4">
        <f t="shared" si="240"/>
        <v>0</v>
      </c>
      <c r="CM230" s="4">
        <f t="shared" si="241"/>
        <v>6</v>
      </c>
      <c r="CN230" s="4">
        <f t="shared" si="242"/>
        <v>-228</v>
      </c>
      <c r="CO230" s="4">
        <f t="shared" si="243"/>
        <v>0</v>
      </c>
      <c r="CP230" s="4">
        <f t="shared" si="244"/>
        <v>67</v>
      </c>
      <c r="CQ230" s="4">
        <f t="shared" si="245"/>
        <v>-550</v>
      </c>
      <c r="CR230" s="4">
        <f t="shared" si="246"/>
        <v>12</v>
      </c>
      <c r="CS230" s="4">
        <f t="shared" si="247"/>
        <v>-48</v>
      </c>
      <c r="CT230" s="4">
        <f t="shared" si="248"/>
        <v>0</v>
      </c>
      <c r="CU230" s="4">
        <f t="shared" si="249"/>
        <v>0</v>
      </c>
      <c r="CV230" s="4">
        <f t="shared" si="250"/>
        <v>0</v>
      </c>
      <c r="CW230" s="4">
        <f t="shared" si="251"/>
        <v>0</v>
      </c>
      <c r="CX230" s="4">
        <f t="shared" si="252"/>
        <v>-543</v>
      </c>
      <c r="CY230" s="4">
        <f t="shared" si="253"/>
        <v>0</v>
      </c>
      <c r="CZ230" s="4">
        <f t="shared" si="254"/>
        <v>0</v>
      </c>
      <c r="DA230" s="4">
        <f t="shared" si="255"/>
        <v>0</v>
      </c>
      <c r="DB230" s="4">
        <f t="shared" si="256"/>
        <v>0</v>
      </c>
      <c r="DC230" s="4">
        <f t="shared" si="257"/>
        <v>0</v>
      </c>
      <c r="DD230" s="4">
        <f t="shared" si="258"/>
        <v>0</v>
      </c>
      <c r="DE230" s="4">
        <f t="shared" si="259"/>
        <v>0</v>
      </c>
      <c r="DF230" s="4">
        <f t="shared" si="260"/>
        <v>0</v>
      </c>
      <c r="DG230" s="4">
        <f t="shared" si="261"/>
        <v>0</v>
      </c>
      <c r="DH230" s="4">
        <f t="shared" si="262"/>
        <v>0</v>
      </c>
      <c r="DI230" s="4">
        <f t="shared" si="263"/>
        <v>0</v>
      </c>
      <c r="DJ230" s="4">
        <f t="shared" si="264"/>
        <v>0</v>
      </c>
      <c r="DK230" s="4">
        <f t="shared" si="265"/>
        <v>0</v>
      </c>
      <c r="DL230" s="4">
        <f t="shared" si="266"/>
        <v>0</v>
      </c>
    </row>
    <row r="231" spans="1:116" x14ac:dyDescent="0.25">
      <c r="A231" s="5">
        <v>46188</v>
      </c>
      <c r="B231" s="6">
        <v>6.2500000552972779E-2</v>
      </c>
      <c r="C231" s="3"/>
      <c r="D231" s="3"/>
      <c r="E231" s="3" t="s">
        <v>57</v>
      </c>
      <c r="F231" s="3">
        <v>8</v>
      </c>
      <c r="G231" s="3"/>
      <c r="H231" s="9"/>
      <c r="I231" s="9">
        <f>SUM(IFERROR(VLOOKUP($C:$C,Structure!$A:$AJ,I$1,0)*$D231,0),IFERROR(VLOOKUP($E:$E,Structure!$A:$AJ,I$1,0)*$F231,0),IFERROR(VLOOKUP($G:$G,Structure!$A:$AJ,I$1,0)*$H231,0))</f>
        <v>0</v>
      </c>
      <c r="J231" s="9">
        <f>SUM(IFERROR(VLOOKUP($C:$C,Structure!$A:$AJ,J$1,0)*$D231,0),IFERROR(VLOOKUP($E:$E,Structure!$A:$AJ,J$1,0)*$F231,0),IFERROR(VLOOKUP($G:$G,Structure!$A:$AJ,J$1,0)*$H231,0))</f>
        <v>0</v>
      </c>
      <c r="K231" s="9">
        <f>SUM(IFERROR(VLOOKUP($C:$C,Structure!$A:$AJ,K$1,0)*$D231,0),IFERROR(VLOOKUP($E:$E,Structure!$A:$AJ,K$1,0)*$F231,0),IFERROR(VLOOKUP($G:$G,Structure!$A:$AJ,K$1,0)*$H231,0))</f>
        <v>0</v>
      </c>
      <c r="L231" s="9">
        <f>SUM(IFERROR(VLOOKUP($C:$C,Structure!$A:$AJ,L$1,0)*$D231,0),IFERROR(VLOOKUP($E:$E,Structure!$A:$AJ,L$1,0)*$F231,0),IFERROR(VLOOKUP($G:$G,Structure!$A:$AJ,L$1,0)*$H231,0))</f>
        <v>0</v>
      </c>
      <c r="M231" s="9">
        <f>SUM(IFERROR(VLOOKUP($C:$C,Structure!$A:$AJ,M$1,0)*$D231,0),IFERROR(VLOOKUP($E:$E,Structure!$A:$AJ,M$1,0)*$F231,0),IFERROR(VLOOKUP($G:$G,Structure!$A:$AJ,M$1,0)*$H231,0))</f>
        <v>0</v>
      </c>
      <c r="N231" s="9">
        <f>SUM(IFERROR(VLOOKUP($C:$C,Structure!$A:$AJ,N$1,0)*$D231,0),IFERROR(VLOOKUP($E:$E,Structure!$A:$AJ,N$1,0)*$F231,0),IFERROR(VLOOKUP($G:$G,Structure!$A:$AJ,N$1,0)*$H231,0))</f>
        <v>0</v>
      </c>
      <c r="O231" s="9">
        <f>SUM(IFERROR(VLOOKUP($C:$C,Structure!$A:$AJ,O$1,0)*$D231,0),IFERROR(VLOOKUP($E:$E,Structure!$A:$AJ,O$1,0)*$F231,0),IFERROR(VLOOKUP($G:$G,Structure!$A:$AJ,O$1,0)*$H231,0))</f>
        <v>8</v>
      </c>
      <c r="P231" s="9">
        <f>SUM(IFERROR(VLOOKUP($C:$C,Structure!$A:$AJ,P$1,0)*$D231,0),IFERROR(VLOOKUP($E:$E,Structure!$A:$AJ,P$1,0)*$F231,0),IFERROR(VLOOKUP($G:$G,Structure!$A:$AJ,P$1,0)*$H231,0))</f>
        <v>0</v>
      </c>
      <c r="Q231" s="9">
        <f>SUM(IFERROR(VLOOKUP($C:$C,Structure!$A:$AJ,Q$1,0)*$D231,0),IFERROR(VLOOKUP($E:$E,Structure!$A:$AJ,Q$1,0)*$F231,0),IFERROR(VLOOKUP($G:$G,Structure!$A:$AJ,Q$1,0)*$H231,0))</f>
        <v>0</v>
      </c>
      <c r="R231" s="9">
        <f>SUM(IFERROR(VLOOKUP($C:$C,Structure!$A:$AJ,R$1,0)*$D231,0),IFERROR(VLOOKUP($E:$E,Structure!$A:$AJ,R$1,0)*$F231,0),IFERROR(VLOOKUP($G:$G,Structure!$A:$AJ,R$1,0)*$H231,0))</f>
        <v>0</v>
      </c>
      <c r="S231" s="9">
        <f>SUM(IFERROR(VLOOKUP($C:$C,Structure!$A:$AJ,S$1,0)*$D231,0),IFERROR(VLOOKUP($E:$E,Structure!$A:$AJ,S$1,0)*$F231,0),IFERROR(VLOOKUP($G:$G,Structure!$A:$AJ,S$1,0)*$H231,0))</f>
        <v>8</v>
      </c>
      <c r="T231" s="9">
        <f>SUM(IFERROR(VLOOKUP($C:$C,Structure!$A:$AJ,T$1,0)*$D231,0),IFERROR(VLOOKUP($E:$E,Structure!$A:$AJ,T$1,0)*$F231,0),IFERROR(VLOOKUP($G:$G,Structure!$A:$AJ,T$1,0)*$H231,0))</f>
        <v>0</v>
      </c>
      <c r="U231" s="9">
        <f>SUM(IFERROR(VLOOKUP($C:$C,Structure!$A:$AJ,U$1,0)*$D231,0),IFERROR(VLOOKUP($E:$E,Structure!$A:$AJ,U$1,0)*$F231,0),IFERROR(VLOOKUP($G:$G,Structure!$A:$AJ,U$1,0)*$H231,0))</f>
        <v>0</v>
      </c>
      <c r="V231" s="9">
        <f>SUM(IFERROR(VLOOKUP($C:$C,Structure!$A:$AJ,V$1,0)*$D231,0),IFERROR(VLOOKUP($E:$E,Structure!$A:$AJ,V$1,0)*$F231,0),IFERROR(VLOOKUP($G:$G,Structure!$A:$AJ,V$1,0)*$H231,0))</f>
        <v>0</v>
      </c>
      <c r="W231" s="9">
        <f>SUM(IFERROR(VLOOKUP($C:$C,Structure!$A:$AJ,W$1,0)*$D231,0),IFERROR(VLOOKUP($E:$E,Structure!$A:$AJ,W$1,0)*$F231,0),IFERROR(VLOOKUP($G:$G,Structure!$A:$AJ,W$1,0)*$H231,0))</f>
        <v>0</v>
      </c>
      <c r="X231" s="9">
        <f>SUM(IFERROR(VLOOKUP($C:$C,Structure!$A:$AJ,X$1,0)*$D231,0),IFERROR(VLOOKUP($E:$E,Structure!$A:$AJ,X$1,0)*$F231,0),IFERROR(VLOOKUP($G:$G,Structure!$A:$AJ,X$1,0)*$H231,0))</f>
        <v>0</v>
      </c>
      <c r="Y231" s="9">
        <f>SUM(IFERROR(VLOOKUP($C:$C,Structure!$A:$AJ,Y$1,0)*$D231,0),IFERROR(VLOOKUP($E:$E,Structure!$A:$AJ,Y$1,0)*$F231,0),IFERROR(VLOOKUP($G:$G,Structure!$A:$AJ,Y$1,0)*$H231,0))</f>
        <v>0</v>
      </c>
      <c r="Z231" s="9">
        <f>SUM(IFERROR(VLOOKUP($C:$C,Structure!$A:$AJ,Z$1,0)*$D231,0),IFERROR(VLOOKUP($E:$E,Structure!$A:$AJ,Z$1,0)*$F231,0),IFERROR(VLOOKUP($G:$G,Structure!$A:$AJ,Z$1,0)*$H231,0))</f>
        <v>0</v>
      </c>
      <c r="AA231" s="9">
        <f>SUM(IFERROR(VLOOKUP($C:$C,Structure!$A:$AJ,AA$1,0)*$D231,0),IFERROR(VLOOKUP($E:$E,Structure!$A:$AJ,AA$1,0)*$F231,0),IFERROR(VLOOKUP($G:$G,Structure!$A:$AJ,AA$1,0)*$H231,0))</f>
        <v>0</v>
      </c>
      <c r="AB231" s="9">
        <f>SUM(IFERROR(VLOOKUP($C:$C,Structure!$A:$AJ,AB$1,0)*$D231,0),IFERROR(VLOOKUP($E:$E,Structure!$A:$AJ,AB$1,0)*$F231,0),IFERROR(VLOOKUP($G:$G,Structure!$A:$AJ,AB$1,0)*$H231,0))</f>
        <v>0</v>
      </c>
      <c r="AC231" s="9">
        <f>SUM(IFERROR(VLOOKUP($C:$C,Structure!$A:$AJ,AC$1,0)*$D231,0),IFERROR(VLOOKUP($E:$E,Structure!$A:$AJ,AC$1,0)*$F231,0),IFERROR(VLOOKUP($G:$G,Structure!$A:$AJ,AC$1,0)*$H231,0))</f>
        <v>0</v>
      </c>
      <c r="AD231" s="9">
        <f>SUM(IFERROR(VLOOKUP($C:$C,Structure!$A:$AJ,AD$1,0)*$D231,0),IFERROR(VLOOKUP($E:$E,Structure!$A:$AJ,AD$1,0)*$F231,0),IFERROR(VLOOKUP($G:$G,Structure!$A:$AJ,AD$1,0)*$H231,0))</f>
        <v>0</v>
      </c>
      <c r="AE231" s="9">
        <f>SUM(IFERROR(VLOOKUP($C:$C,Structure!$A:$AJ,AE$1,0)*$D231,0),IFERROR(VLOOKUP($E:$E,Structure!$A:$AJ,AE$1,0)*$F231,0),IFERROR(VLOOKUP($G:$G,Structure!$A:$AJ,AE$1,0)*$H231,0))</f>
        <v>0</v>
      </c>
      <c r="AF231" s="9">
        <f>SUM(IFERROR(VLOOKUP($C:$C,Structure!$A:$AJ,AF$1,0)*$D231,0),IFERROR(VLOOKUP($E:$E,Structure!$A:$AJ,AF$1,0)*$F231,0),IFERROR(VLOOKUP($G:$G,Structure!$A:$AJ,AF$1,0)*$H231,0))</f>
        <v>0</v>
      </c>
      <c r="AG231" s="9">
        <f>SUM(IFERROR(VLOOKUP($C:$C,Structure!$A:$AJ,AG$1,0)*$D231,0),IFERROR(VLOOKUP($E:$E,Structure!$A:$AJ,AG$1,0)*$F231,0),IFERROR(VLOOKUP($G:$G,Structure!$A:$AJ,AG$1,0)*$H231,0))</f>
        <v>0</v>
      </c>
      <c r="AH231" s="9">
        <f>SUM(IFERROR(VLOOKUP($C:$C,Structure!$A:$AJ,AH$1,0)*$D231,0),IFERROR(VLOOKUP($E:$E,Structure!$A:$AJ,AH$1,0)*$F231,0),IFERROR(VLOOKUP($G:$G,Structure!$A:$AJ,AH$1,0)*$H231,0))</f>
        <v>0</v>
      </c>
      <c r="AI231" s="9">
        <f>SUM(IFERROR(VLOOKUP($C:$C,Structure!$A:$AJ,AI$1,0)*$D231,0),IFERROR(VLOOKUP($E:$E,Structure!$A:$AJ,AI$1,0)*$F231,0),IFERROR(VLOOKUP($G:$G,Structure!$A:$AJ,AI$1,0)*$H231,0))</f>
        <v>0</v>
      </c>
      <c r="AJ231" s="9">
        <f>SUM(IFERROR(VLOOKUP($C:$C,Structure!$A:$AJ,AJ$1,0)*$D231,0),IFERROR(VLOOKUP($E:$E,Structure!$A:$AJ,AJ$1,0)*$F231,0),IFERROR(VLOOKUP($G:$G,Structure!$A:$AJ,AJ$1,0)*$H231,0))</f>
        <v>0</v>
      </c>
      <c r="AK231" s="9">
        <f>SUM(IFERROR(VLOOKUP($C:$C,Structure!$A:$AJ,AK$1,0)*$D231,0),IFERROR(VLOOKUP($E:$E,Structure!$A:$AJ,AK$1,0)*$F231,0),IFERROR(VLOOKUP($G:$G,Structure!$A:$AJ,AK$1,0)*$H231,0))</f>
        <v>0</v>
      </c>
      <c r="AL231" s="9">
        <f>SUM(IFERROR(VLOOKUP($C:$C,Structure!$A:$AJ,AL$1,0)*$D231,0),IFERROR(VLOOKUP($E:$E,Structure!$A:$AJ,AL$1,0)*$F231,0),IFERROR(VLOOKUP($G:$G,Structure!$A:$AJ,AL$1,0)*$H231,0))</f>
        <v>0</v>
      </c>
      <c r="AM231" s="9">
        <f>SUM(IFERROR(VLOOKUP($C:$C,Structure!$A:$AJ,AM$1,0)*$D231,0),IFERROR(VLOOKUP($E:$E,Structure!$A:$AJ,AM$1,0)*$F231,0),IFERROR(VLOOKUP($G:$G,Structure!$A:$AJ,AM$1,0)*$H231,0))</f>
        <v>0</v>
      </c>
      <c r="AN231" s="9">
        <f>SUM(IFERROR(VLOOKUP($C:$C,Structure!$A:$AJ,AN$1,0)*$D231,0),IFERROR(VLOOKUP($E:$E,Structure!$A:$AJ,AN$1,0)*$F231,0),IFERROR(VLOOKUP($G:$G,Structure!$A:$AJ,AN$1,0)*$H231,0))</f>
        <v>0</v>
      </c>
      <c r="AO231" s="9">
        <f>SUM(IFERROR(VLOOKUP($C:$C,Structure!$A:$AJ,AO$1,0)*$D231,0),IFERROR(VLOOKUP($E:$E,Structure!$A:$AJ,AO$1,0)*$F231,0),IFERROR(VLOOKUP($G:$G,Structure!$A:$AJ,AO$1,0)*$H231,0))</f>
        <v>0</v>
      </c>
      <c r="AP231" s="9">
        <f>SUM(IFERROR(VLOOKUP($C:$C,Structure!$A:$AJ,AP$1,0)*$D231,0),IFERROR(VLOOKUP($E:$E,Structure!$A:$AJ,AP$1,0)*$F231,0),IFERROR(VLOOKUP($G:$G,Structure!$A:$AJ,AP$1,0)*$H231,0))</f>
        <v>0</v>
      </c>
      <c r="AQ231" s="9">
        <f>SUM(IFERROR(VLOOKUP($C:$C,Structure!$A:$AJ,AQ$1,0)*$D231,0),IFERROR(VLOOKUP($E:$E,Structure!$A:$AJ,AQ$1,0)*$F231,0),IFERROR(VLOOKUP($G:$G,Structure!$A:$AJ,AQ$1,0)*$H231,0))</f>
        <v>0</v>
      </c>
      <c r="AR231" s="21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4">
        <f t="shared" si="232"/>
        <v>0</v>
      </c>
      <c r="CE231" s="4">
        <f t="shared" si="233"/>
        <v>-180</v>
      </c>
      <c r="CF231" s="4">
        <f t="shared" si="234"/>
        <v>4</v>
      </c>
      <c r="CG231" s="4">
        <f t="shared" si="235"/>
        <v>11</v>
      </c>
      <c r="CH231" s="4">
        <f t="shared" si="236"/>
        <v>-7</v>
      </c>
      <c r="CI231" s="4">
        <f t="shared" si="237"/>
        <v>103</v>
      </c>
      <c r="CJ231" s="4">
        <f t="shared" si="238"/>
        <v>-349</v>
      </c>
      <c r="CK231" s="4">
        <f t="shared" si="239"/>
        <v>-1</v>
      </c>
      <c r="CL231" s="4">
        <f t="shared" si="240"/>
        <v>0</v>
      </c>
      <c r="CM231" s="4">
        <f t="shared" si="241"/>
        <v>6</v>
      </c>
      <c r="CN231" s="4">
        <f t="shared" si="242"/>
        <v>-236</v>
      </c>
      <c r="CO231" s="4">
        <f t="shared" si="243"/>
        <v>0</v>
      </c>
      <c r="CP231" s="4">
        <f t="shared" si="244"/>
        <v>67</v>
      </c>
      <c r="CQ231" s="4">
        <f t="shared" si="245"/>
        <v>-550</v>
      </c>
      <c r="CR231" s="4">
        <f t="shared" si="246"/>
        <v>12</v>
      </c>
      <c r="CS231" s="4">
        <f t="shared" si="247"/>
        <v>-48</v>
      </c>
      <c r="CT231" s="4">
        <f t="shared" si="248"/>
        <v>0</v>
      </c>
      <c r="CU231" s="4">
        <f t="shared" si="249"/>
        <v>0</v>
      </c>
      <c r="CV231" s="4">
        <f t="shared" si="250"/>
        <v>0</v>
      </c>
      <c r="CW231" s="4">
        <f t="shared" si="251"/>
        <v>0</v>
      </c>
      <c r="CX231" s="4">
        <f t="shared" si="252"/>
        <v>-543</v>
      </c>
      <c r="CY231" s="4">
        <f t="shared" si="253"/>
        <v>0</v>
      </c>
      <c r="CZ231" s="4">
        <f t="shared" si="254"/>
        <v>0</v>
      </c>
      <c r="DA231" s="4">
        <f t="shared" si="255"/>
        <v>0</v>
      </c>
      <c r="DB231" s="4">
        <f t="shared" si="256"/>
        <v>0</v>
      </c>
      <c r="DC231" s="4">
        <f t="shared" si="257"/>
        <v>0</v>
      </c>
      <c r="DD231" s="4">
        <f t="shared" si="258"/>
        <v>0</v>
      </c>
      <c r="DE231" s="4">
        <f t="shared" si="259"/>
        <v>0</v>
      </c>
      <c r="DF231" s="4">
        <f t="shared" si="260"/>
        <v>0</v>
      </c>
      <c r="DG231" s="4">
        <f t="shared" si="261"/>
        <v>0</v>
      </c>
      <c r="DH231" s="4">
        <f t="shared" si="262"/>
        <v>0</v>
      </c>
      <c r="DI231" s="4">
        <f t="shared" si="263"/>
        <v>0</v>
      </c>
      <c r="DJ231" s="4">
        <f t="shared" si="264"/>
        <v>0</v>
      </c>
      <c r="DK231" s="4">
        <f t="shared" si="265"/>
        <v>0</v>
      </c>
      <c r="DL231" s="4">
        <f t="shared" si="266"/>
        <v>0</v>
      </c>
    </row>
    <row r="232" spans="1:116" x14ac:dyDescent="0.25">
      <c r="A232" s="5">
        <v>46188</v>
      </c>
      <c r="B232" s="6">
        <v>8.3333333888731431E-2</v>
      </c>
      <c r="C232" s="3"/>
      <c r="D232" s="3"/>
      <c r="E232" s="3" t="s">
        <v>57</v>
      </c>
      <c r="F232" s="3">
        <v>8</v>
      </c>
      <c r="G232" s="3"/>
      <c r="H232" s="9"/>
      <c r="I232" s="9">
        <f>SUM(IFERROR(VLOOKUP($C:$C,Structure!$A:$AJ,I$1,0)*$D232,0),IFERROR(VLOOKUP($E:$E,Structure!$A:$AJ,I$1,0)*$F232,0),IFERROR(VLOOKUP($G:$G,Structure!$A:$AJ,I$1,0)*$H232,0))</f>
        <v>0</v>
      </c>
      <c r="J232" s="9">
        <f>SUM(IFERROR(VLOOKUP($C:$C,Structure!$A:$AJ,J$1,0)*$D232,0),IFERROR(VLOOKUP($E:$E,Structure!$A:$AJ,J$1,0)*$F232,0),IFERROR(VLOOKUP($G:$G,Structure!$A:$AJ,J$1,0)*$H232,0))</f>
        <v>0</v>
      </c>
      <c r="K232" s="9">
        <f>SUM(IFERROR(VLOOKUP($C:$C,Structure!$A:$AJ,K$1,0)*$D232,0),IFERROR(VLOOKUP($E:$E,Structure!$A:$AJ,K$1,0)*$F232,0),IFERROR(VLOOKUP($G:$G,Structure!$A:$AJ,K$1,0)*$H232,0))</f>
        <v>0</v>
      </c>
      <c r="L232" s="9">
        <f>SUM(IFERROR(VLOOKUP($C:$C,Structure!$A:$AJ,L$1,0)*$D232,0),IFERROR(VLOOKUP($E:$E,Structure!$A:$AJ,L$1,0)*$F232,0),IFERROR(VLOOKUP($G:$G,Structure!$A:$AJ,L$1,0)*$H232,0))</f>
        <v>0</v>
      </c>
      <c r="M232" s="9">
        <f>SUM(IFERROR(VLOOKUP($C:$C,Structure!$A:$AJ,M$1,0)*$D232,0),IFERROR(VLOOKUP($E:$E,Structure!$A:$AJ,M$1,0)*$F232,0),IFERROR(VLOOKUP($G:$G,Structure!$A:$AJ,M$1,0)*$H232,0))</f>
        <v>0</v>
      </c>
      <c r="N232" s="9">
        <f>SUM(IFERROR(VLOOKUP($C:$C,Structure!$A:$AJ,N$1,0)*$D232,0),IFERROR(VLOOKUP($E:$E,Structure!$A:$AJ,N$1,0)*$F232,0),IFERROR(VLOOKUP($G:$G,Structure!$A:$AJ,N$1,0)*$H232,0))</f>
        <v>0</v>
      </c>
      <c r="O232" s="9">
        <f>SUM(IFERROR(VLOOKUP($C:$C,Structure!$A:$AJ,O$1,0)*$D232,0),IFERROR(VLOOKUP($E:$E,Structure!$A:$AJ,O$1,0)*$F232,0),IFERROR(VLOOKUP($G:$G,Structure!$A:$AJ,O$1,0)*$H232,0))</f>
        <v>8</v>
      </c>
      <c r="P232" s="9">
        <f>SUM(IFERROR(VLOOKUP($C:$C,Structure!$A:$AJ,P$1,0)*$D232,0),IFERROR(VLOOKUP($E:$E,Structure!$A:$AJ,P$1,0)*$F232,0),IFERROR(VLOOKUP($G:$G,Structure!$A:$AJ,P$1,0)*$H232,0))</f>
        <v>0</v>
      </c>
      <c r="Q232" s="9">
        <f>SUM(IFERROR(VLOOKUP($C:$C,Structure!$A:$AJ,Q$1,0)*$D232,0),IFERROR(VLOOKUP($E:$E,Structure!$A:$AJ,Q$1,0)*$F232,0),IFERROR(VLOOKUP($G:$G,Structure!$A:$AJ,Q$1,0)*$H232,0))</f>
        <v>0</v>
      </c>
      <c r="R232" s="9">
        <f>SUM(IFERROR(VLOOKUP($C:$C,Structure!$A:$AJ,R$1,0)*$D232,0),IFERROR(VLOOKUP($E:$E,Structure!$A:$AJ,R$1,0)*$F232,0),IFERROR(VLOOKUP($G:$G,Structure!$A:$AJ,R$1,0)*$H232,0))</f>
        <v>0</v>
      </c>
      <c r="S232" s="9">
        <f>SUM(IFERROR(VLOOKUP($C:$C,Structure!$A:$AJ,S$1,0)*$D232,0),IFERROR(VLOOKUP($E:$E,Structure!$A:$AJ,S$1,0)*$F232,0),IFERROR(VLOOKUP($G:$G,Structure!$A:$AJ,S$1,0)*$H232,0))</f>
        <v>8</v>
      </c>
      <c r="T232" s="9">
        <f>SUM(IFERROR(VLOOKUP($C:$C,Structure!$A:$AJ,T$1,0)*$D232,0),IFERROR(VLOOKUP($E:$E,Structure!$A:$AJ,T$1,0)*$F232,0),IFERROR(VLOOKUP($G:$G,Structure!$A:$AJ,T$1,0)*$H232,0))</f>
        <v>0</v>
      </c>
      <c r="U232" s="9">
        <f>SUM(IFERROR(VLOOKUP($C:$C,Structure!$A:$AJ,U$1,0)*$D232,0),IFERROR(VLOOKUP($E:$E,Structure!$A:$AJ,U$1,0)*$F232,0),IFERROR(VLOOKUP($G:$G,Structure!$A:$AJ,U$1,0)*$H232,0))</f>
        <v>0</v>
      </c>
      <c r="V232" s="9">
        <f>SUM(IFERROR(VLOOKUP($C:$C,Structure!$A:$AJ,V$1,0)*$D232,0),IFERROR(VLOOKUP($E:$E,Structure!$A:$AJ,V$1,0)*$F232,0),IFERROR(VLOOKUP($G:$G,Structure!$A:$AJ,V$1,0)*$H232,0))</f>
        <v>0</v>
      </c>
      <c r="W232" s="9">
        <f>SUM(IFERROR(VLOOKUP($C:$C,Structure!$A:$AJ,W$1,0)*$D232,0),IFERROR(VLOOKUP($E:$E,Structure!$A:$AJ,W$1,0)*$F232,0),IFERROR(VLOOKUP($G:$G,Structure!$A:$AJ,W$1,0)*$H232,0))</f>
        <v>0</v>
      </c>
      <c r="X232" s="9">
        <f>SUM(IFERROR(VLOOKUP($C:$C,Structure!$A:$AJ,X$1,0)*$D232,0),IFERROR(VLOOKUP($E:$E,Structure!$A:$AJ,X$1,0)*$F232,0),IFERROR(VLOOKUP($G:$G,Structure!$A:$AJ,X$1,0)*$H232,0))</f>
        <v>0</v>
      </c>
      <c r="Y232" s="9">
        <f>SUM(IFERROR(VLOOKUP($C:$C,Structure!$A:$AJ,Y$1,0)*$D232,0),IFERROR(VLOOKUP($E:$E,Structure!$A:$AJ,Y$1,0)*$F232,0),IFERROR(VLOOKUP($G:$G,Structure!$A:$AJ,Y$1,0)*$H232,0))</f>
        <v>0</v>
      </c>
      <c r="Z232" s="9">
        <f>SUM(IFERROR(VLOOKUP($C:$C,Structure!$A:$AJ,Z$1,0)*$D232,0),IFERROR(VLOOKUP($E:$E,Structure!$A:$AJ,Z$1,0)*$F232,0),IFERROR(VLOOKUP($G:$G,Structure!$A:$AJ,Z$1,0)*$H232,0))</f>
        <v>0</v>
      </c>
      <c r="AA232" s="9">
        <f>SUM(IFERROR(VLOOKUP($C:$C,Structure!$A:$AJ,AA$1,0)*$D232,0),IFERROR(VLOOKUP($E:$E,Structure!$A:$AJ,AA$1,0)*$F232,0),IFERROR(VLOOKUP($G:$G,Structure!$A:$AJ,AA$1,0)*$H232,0))</f>
        <v>0</v>
      </c>
      <c r="AB232" s="9">
        <f>SUM(IFERROR(VLOOKUP($C:$C,Structure!$A:$AJ,AB$1,0)*$D232,0),IFERROR(VLOOKUP($E:$E,Structure!$A:$AJ,AB$1,0)*$F232,0),IFERROR(VLOOKUP($G:$G,Structure!$A:$AJ,AB$1,0)*$H232,0))</f>
        <v>0</v>
      </c>
      <c r="AC232" s="9">
        <f>SUM(IFERROR(VLOOKUP($C:$C,Structure!$A:$AJ,AC$1,0)*$D232,0),IFERROR(VLOOKUP($E:$E,Structure!$A:$AJ,AC$1,0)*$F232,0),IFERROR(VLOOKUP($G:$G,Structure!$A:$AJ,AC$1,0)*$H232,0))</f>
        <v>0</v>
      </c>
      <c r="AD232" s="9">
        <f>SUM(IFERROR(VLOOKUP($C:$C,Structure!$A:$AJ,AD$1,0)*$D232,0),IFERROR(VLOOKUP($E:$E,Structure!$A:$AJ,AD$1,0)*$F232,0),IFERROR(VLOOKUP($G:$G,Structure!$A:$AJ,AD$1,0)*$H232,0))</f>
        <v>0</v>
      </c>
      <c r="AE232" s="9">
        <f>SUM(IFERROR(VLOOKUP($C:$C,Structure!$A:$AJ,AE$1,0)*$D232,0),IFERROR(VLOOKUP($E:$E,Structure!$A:$AJ,AE$1,0)*$F232,0),IFERROR(VLOOKUP($G:$G,Structure!$A:$AJ,AE$1,0)*$H232,0))</f>
        <v>0</v>
      </c>
      <c r="AF232" s="9">
        <f>SUM(IFERROR(VLOOKUP($C:$C,Structure!$A:$AJ,AF$1,0)*$D232,0),IFERROR(VLOOKUP($E:$E,Structure!$A:$AJ,AF$1,0)*$F232,0),IFERROR(VLOOKUP($G:$G,Structure!$A:$AJ,AF$1,0)*$H232,0))</f>
        <v>0</v>
      </c>
      <c r="AG232" s="9">
        <f>SUM(IFERROR(VLOOKUP($C:$C,Structure!$A:$AJ,AG$1,0)*$D232,0),IFERROR(VLOOKUP($E:$E,Structure!$A:$AJ,AG$1,0)*$F232,0),IFERROR(VLOOKUP($G:$G,Structure!$A:$AJ,AG$1,0)*$H232,0))</f>
        <v>0</v>
      </c>
      <c r="AH232" s="9">
        <f>SUM(IFERROR(VLOOKUP($C:$C,Structure!$A:$AJ,AH$1,0)*$D232,0),IFERROR(VLOOKUP($E:$E,Structure!$A:$AJ,AH$1,0)*$F232,0),IFERROR(VLOOKUP($G:$G,Structure!$A:$AJ,AH$1,0)*$H232,0))</f>
        <v>0</v>
      </c>
      <c r="AI232" s="9">
        <f>SUM(IFERROR(VLOOKUP($C:$C,Structure!$A:$AJ,AI$1,0)*$D232,0),IFERROR(VLOOKUP($E:$E,Structure!$A:$AJ,AI$1,0)*$F232,0),IFERROR(VLOOKUP($G:$G,Structure!$A:$AJ,AI$1,0)*$H232,0))</f>
        <v>0</v>
      </c>
      <c r="AJ232" s="9">
        <f>SUM(IFERROR(VLOOKUP($C:$C,Structure!$A:$AJ,AJ$1,0)*$D232,0),IFERROR(VLOOKUP($E:$E,Structure!$A:$AJ,AJ$1,0)*$F232,0),IFERROR(VLOOKUP($G:$G,Structure!$A:$AJ,AJ$1,0)*$H232,0))</f>
        <v>0</v>
      </c>
      <c r="AK232" s="9">
        <f>SUM(IFERROR(VLOOKUP($C:$C,Structure!$A:$AJ,AK$1,0)*$D232,0),IFERROR(VLOOKUP($E:$E,Structure!$A:$AJ,AK$1,0)*$F232,0),IFERROR(VLOOKUP($G:$G,Structure!$A:$AJ,AK$1,0)*$H232,0))</f>
        <v>0</v>
      </c>
      <c r="AL232" s="9">
        <f>SUM(IFERROR(VLOOKUP($C:$C,Structure!$A:$AJ,AL$1,0)*$D232,0),IFERROR(VLOOKUP($E:$E,Structure!$A:$AJ,AL$1,0)*$F232,0),IFERROR(VLOOKUP($G:$G,Structure!$A:$AJ,AL$1,0)*$H232,0))</f>
        <v>0</v>
      </c>
      <c r="AM232" s="9">
        <f>SUM(IFERROR(VLOOKUP($C:$C,Structure!$A:$AJ,AM$1,0)*$D232,0),IFERROR(VLOOKUP($E:$E,Structure!$A:$AJ,AM$1,0)*$F232,0),IFERROR(VLOOKUP($G:$G,Structure!$A:$AJ,AM$1,0)*$H232,0))</f>
        <v>0</v>
      </c>
      <c r="AN232" s="9">
        <f>SUM(IFERROR(VLOOKUP($C:$C,Structure!$A:$AJ,AN$1,0)*$D232,0),IFERROR(VLOOKUP($E:$E,Structure!$A:$AJ,AN$1,0)*$F232,0),IFERROR(VLOOKUP($G:$G,Structure!$A:$AJ,AN$1,0)*$H232,0))</f>
        <v>0</v>
      </c>
      <c r="AO232" s="9">
        <f>SUM(IFERROR(VLOOKUP($C:$C,Structure!$A:$AJ,AO$1,0)*$D232,0),IFERROR(VLOOKUP($E:$E,Structure!$A:$AJ,AO$1,0)*$F232,0),IFERROR(VLOOKUP($G:$G,Structure!$A:$AJ,AO$1,0)*$H232,0))</f>
        <v>0</v>
      </c>
      <c r="AP232" s="9">
        <f>SUM(IFERROR(VLOOKUP($C:$C,Structure!$A:$AJ,AP$1,0)*$D232,0),IFERROR(VLOOKUP($E:$E,Structure!$A:$AJ,AP$1,0)*$F232,0),IFERROR(VLOOKUP($G:$G,Structure!$A:$AJ,AP$1,0)*$H232,0))</f>
        <v>0</v>
      </c>
      <c r="AQ232" s="9">
        <f>SUM(IFERROR(VLOOKUP($C:$C,Structure!$A:$AJ,AQ$1,0)*$D232,0),IFERROR(VLOOKUP($E:$E,Structure!$A:$AJ,AQ$1,0)*$F232,0),IFERROR(VLOOKUP($G:$G,Structure!$A:$AJ,AQ$1,0)*$H232,0))</f>
        <v>0</v>
      </c>
      <c r="AR232" s="21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4">
        <f t="shared" si="232"/>
        <v>0</v>
      </c>
      <c r="CE232" s="4">
        <f t="shared" si="233"/>
        <v>-180</v>
      </c>
      <c r="CF232" s="4">
        <f t="shared" si="234"/>
        <v>4</v>
      </c>
      <c r="CG232" s="4">
        <f t="shared" si="235"/>
        <v>11</v>
      </c>
      <c r="CH232" s="4">
        <f t="shared" si="236"/>
        <v>-7</v>
      </c>
      <c r="CI232" s="4">
        <f t="shared" si="237"/>
        <v>103</v>
      </c>
      <c r="CJ232" s="4">
        <f t="shared" si="238"/>
        <v>-357</v>
      </c>
      <c r="CK232" s="4">
        <f t="shared" si="239"/>
        <v>-1</v>
      </c>
      <c r="CL232" s="4">
        <f t="shared" si="240"/>
        <v>0</v>
      </c>
      <c r="CM232" s="4">
        <f t="shared" si="241"/>
        <v>6</v>
      </c>
      <c r="CN232" s="4">
        <f t="shared" si="242"/>
        <v>-244</v>
      </c>
      <c r="CO232" s="4">
        <f t="shared" si="243"/>
        <v>0</v>
      </c>
      <c r="CP232" s="4">
        <f t="shared" si="244"/>
        <v>67</v>
      </c>
      <c r="CQ232" s="4">
        <f t="shared" si="245"/>
        <v>-550</v>
      </c>
      <c r="CR232" s="4">
        <f t="shared" si="246"/>
        <v>12</v>
      </c>
      <c r="CS232" s="4">
        <f t="shared" si="247"/>
        <v>-48</v>
      </c>
      <c r="CT232" s="4">
        <f t="shared" si="248"/>
        <v>0</v>
      </c>
      <c r="CU232" s="4">
        <f t="shared" si="249"/>
        <v>0</v>
      </c>
      <c r="CV232" s="4">
        <f t="shared" si="250"/>
        <v>0</v>
      </c>
      <c r="CW232" s="4">
        <f t="shared" si="251"/>
        <v>0</v>
      </c>
      <c r="CX232" s="4">
        <f t="shared" si="252"/>
        <v>-543</v>
      </c>
      <c r="CY232" s="4">
        <f t="shared" si="253"/>
        <v>0</v>
      </c>
      <c r="CZ232" s="4">
        <f t="shared" si="254"/>
        <v>0</v>
      </c>
      <c r="DA232" s="4">
        <f t="shared" si="255"/>
        <v>0</v>
      </c>
      <c r="DB232" s="4">
        <f t="shared" si="256"/>
        <v>0</v>
      </c>
      <c r="DC232" s="4">
        <f t="shared" si="257"/>
        <v>0</v>
      </c>
      <c r="DD232" s="4">
        <f t="shared" si="258"/>
        <v>0</v>
      </c>
      <c r="DE232" s="4">
        <f t="shared" si="259"/>
        <v>0</v>
      </c>
      <c r="DF232" s="4">
        <f t="shared" si="260"/>
        <v>0</v>
      </c>
      <c r="DG232" s="4">
        <f t="shared" si="261"/>
        <v>0</v>
      </c>
      <c r="DH232" s="4">
        <f t="shared" si="262"/>
        <v>0</v>
      </c>
      <c r="DI232" s="4">
        <f t="shared" si="263"/>
        <v>0</v>
      </c>
      <c r="DJ232" s="4">
        <f t="shared" si="264"/>
        <v>0</v>
      </c>
      <c r="DK232" s="4">
        <f t="shared" si="265"/>
        <v>0</v>
      </c>
      <c r="DL232" s="4">
        <f t="shared" si="266"/>
        <v>0</v>
      </c>
    </row>
    <row r="233" spans="1:116" x14ac:dyDescent="0.25">
      <c r="A233" s="5">
        <v>46188</v>
      </c>
      <c r="B233" s="6">
        <v>0.10416666722449008</v>
      </c>
      <c r="C233" s="3"/>
      <c r="D233" s="3"/>
      <c r="E233" s="3" t="s">
        <v>57</v>
      </c>
      <c r="F233" s="3">
        <v>8</v>
      </c>
      <c r="G233" s="3"/>
      <c r="H233" s="9"/>
      <c r="I233" s="9">
        <f>SUM(IFERROR(VLOOKUP($C:$C,Structure!$A:$AJ,I$1,0)*$D233,0),IFERROR(VLOOKUP($E:$E,Structure!$A:$AJ,I$1,0)*$F233,0),IFERROR(VLOOKUP($G:$G,Structure!$A:$AJ,I$1,0)*$H233,0))</f>
        <v>0</v>
      </c>
      <c r="J233" s="9">
        <f>SUM(IFERROR(VLOOKUP($C:$C,Structure!$A:$AJ,J$1,0)*$D233,0),IFERROR(VLOOKUP($E:$E,Structure!$A:$AJ,J$1,0)*$F233,0),IFERROR(VLOOKUP($G:$G,Structure!$A:$AJ,J$1,0)*$H233,0))</f>
        <v>0</v>
      </c>
      <c r="K233" s="9">
        <f>SUM(IFERROR(VLOOKUP($C:$C,Structure!$A:$AJ,K$1,0)*$D233,0),IFERROR(VLOOKUP($E:$E,Structure!$A:$AJ,K$1,0)*$F233,0),IFERROR(VLOOKUP($G:$G,Structure!$A:$AJ,K$1,0)*$H233,0))</f>
        <v>0</v>
      </c>
      <c r="L233" s="9">
        <f>SUM(IFERROR(VLOOKUP($C:$C,Structure!$A:$AJ,L$1,0)*$D233,0),IFERROR(VLOOKUP($E:$E,Structure!$A:$AJ,L$1,0)*$F233,0),IFERROR(VLOOKUP($G:$G,Structure!$A:$AJ,L$1,0)*$H233,0))</f>
        <v>0</v>
      </c>
      <c r="M233" s="9">
        <f>SUM(IFERROR(VLOOKUP($C:$C,Structure!$A:$AJ,M$1,0)*$D233,0),IFERROR(VLOOKUP($E:$E,Structure!$A:$AJ,M$1,0)*$F233,0),IFERROR(VLOOKUP($G:$G,Structure!$A:$AJ,M$1,0)*$H233,0))</f>
        <v>0</v>
      </c>
      <c r="N233" s="9">
        <f>SUM(IFERROR(VLOOKUP($C:$C,Structure!$A:$AJ,N$1,0)*$D233,0),IFERROR(VLOOKUP($E:$E,Structure!$A:$AJ,N$1,0)*$F233,0),IFERROR(VLOOKUP($G:$G,Structure!$A:$AJ,N$1,0)*$H233,0))</f>
        <v>0</v>
      </c>
      <c r="O233" s="9">
        <f>SUM(IFERROR(VLOOKUP($C:$C,Structure!$A:$AJ,O$1,0)*$D233,0),IFERROR(VLOOKUP($E:$E,Structure!$A:$AJ,O$1,0)*$F233,0),IFERROR(VLOOKUP($G:$G,Structure!$A:$AJ,O$1,0)*$H233,0))</f>
        <v>8</v>
      </c>
      <c r="P233" s="9">
        <f>SUM(IFERROR(VLOOKUP($C:$C,Structure!$A:$AJ,P$1,0)*$D233,0),IFERROR(VLOOKUP($E:$E,Structure!$A:$AJ,P$1,0)*$F233,0),IFERROR(VLOOKUP($G:$G,Structure!$A:$AJ,P$1,0)*$H233,0))</f>
        <v>0</v>
      </c>
      <c r="Q233" s="9">
        <f>SUM(IFERROR(VLOOKUP($C:$C,Structure!$A:$AJ,Q$1,0)*$D233,0),IFERROR(VLOOKUP($E:$E,Structure!$A:$AJ,Q$1,0)*$F233,0),IFERROR(VLOOKUP($G:$G,Structure!$A:$AJ,Q$1,0)*$H233,0))</f>
        <v>0</v>
      </c>
      <c r="R233" s="9">
        <f>SUM(IFERROR(VLOOKUP($C:$C,Structure!$A:$AJ,R$1,0)*$D233,0),IFERROR(VLOOKUP($E:$E,Structure!$A:$AJ,R$1,0)*$F233,0),IFERROR(VLOOKUP($G:$G,Structure!$A:$AJ,R$1,0)*$H233,0))</f>
        <v>0</v>
      </c>
      <c r="S233" s="9">
        <f>SUM(IFERROR(VLOOKUP($C:$C,Structure!$A:$AJ,S$1,0)*$D233,0),IFERROR(VLOOKUP($E:$E,Structure!$A:$AJ,S$1,0)*$F233,0),IFERROR(VLOOKUP($G:$G,Structure!$A:$AJ,S$1,0)*$H233,0))</f>
        <v>8</v>
      </c>
      <c r="T233" s="9">
        <f>SUM(IFERROR(VLOOKUP($C:$C,Structure!$A:$AJ,T$1,0)*$D233,0),IFERROR(VLOOKUP($E:$E,Structure!$A:$AJ,T$1,0)*$F233,0),IFERROR(VLOOKUP($G:$G,Structure!$A:$AJ,T$1,0)*$H233,0))</f>
        <v>0</v>
      </c>
      <c r="U233" s="9">
        <f>SUM(IFERROR(VLOOKUP($C:$C,Structure!$A:$AJ,U$1,0)*$D233,0),IFERROR(VLOOKUP($E:$E,Structure!$A:$AJ,U$1,0)*$F233,0),IFERROR(VLOOKUP($G:$G,Structure!$A:$AJ,U$1,0)*$H233,0))</f>
        <v>0</v>
      </c>
      <c r="V233" s="9">
        <f>SUM(IFERROR(VLOOKUP($C:$C,Structure!$A:$AJ,V$1,0)*$D233,0),IFERROR(VLOOKUP($E:$E,Structure!$A:$AJ,V$1,0)*$F233,0),IFERROR(VLOOKUP($G:$G,Structure!$A:$AJ,V$1,0)*$H233,0))</f>
        <v>0</v>
      </c>
      <c r="W233" s="9">
        <f>SUM(IFERROR(VLOOKUP($C:$C,Structure!$A:$AJ,W$1,0)*$D233,0),IFERROR(VLOOKUP($E:$E,Structure!$A:$AJ,W$1,0)*$F233,0),IFERROR(VLOOKUP($G:$G,Structure!$A:$AJ,W$1,0)*$H233,0))</f>
        <v>0</v>
      </c>
      <c r="X233" s="9">
        <f>SUM(IFERROR(VLOOKUP($C:$C,Structure!$A:$AJ,X$1,0)*$D233,0),IFERROR(VLOOKUP($E:$E,Structure!$A:$AJ,X$1,0)*$F233,0),IFERROR(VLOOKUP($G:$G,Structure!$A:$AJ,X$1,0)*$H233,0))</f>
        <v>0</v>
      </c>
      <c r="Y233" s="9">
        <f>SUM(IFERROR(VLOOKUP($C:$C,Structure!$A:$AJ,Y$1,0)*$D233,0),IFERROR(VLOOKUP($E:$E,Structure!$A:$AJ,Y$1,0)*$F233,0),IFERROR(VLOOKUP($G:$G,Structure!$A:$AJ,Y$1,0)*$H233,0))</f>
        <v>0</v>
      </c>
      <c r="Z233" s="9">
        <f>SUM(IFERROR(VLOOKUP($C:$C,Structure!$A:$AJ,Z$1,0)*$D233,0),IFERROR(VLOOKUP($E:$E,Structure!$A:$AJ,Z$1,0)*$F233,0),IFERROR(VLOOKUP($G:$G,Structure!$A:$AJ,Z$1,0)*$H233,0))</f>
        <v>0</v>
      </c>
      <c r="AA233" s="9">
        <f>SUM(IFERROR(VLOOKUP($C:$C,Structure!$A:$AJ,AA$1,0)*$D233,0),IFERROR(VLOOKUP($E:$E,Structure!$A:$AJ,AA$1,0)*$F233,0),IFERROR(VLOOKUP($G:$G,Structure!$A:$AJ,AA$1,0)*$H233,0))</f>
        <v>0</v>
      </c>
      <c r="AB233" s="9">
        <f>SUM(IFERROR(VLOOKUP($C:$C,Structure!$A:$AJ,AB$1,0)*$D233,0),IFERROR(VLOOKUP($E:$E,Structure!$A:$AJ,AB$1,0)*$F233,0),IFERROR(VLOOKUP($G:$G,Structure!$A:$AJ,AB$1,0)*$H233,0))</f>
        <v>0</v>
      </c>
      <c r="AC233" s="9">
        <f>SUM(IFERROR(VLOOKUP($C:$C,Structure!$A:$AJ,AC$1,0)*$D233,0),IFERROR(VLOOKUP($E:$E,Structure!$A:$AJ,AC$1,0)*$F233,0),IFERROR(VLOOKUP($G:$G,Structure!$A:$AJ,AC$1,0)*$H233,0))</f>
        <v>0</v>
      </c>
      <c r="AD233" s="9">
        <f>SUM(IFERROR(VLOOKUP($C:$C,Structure!$A:$AJ,AD$1,0)*$D233,0),IFERROR(VLOOKUP($E:$E,Structure!$A:$AJ,AD$1,0)*$F233,0),IFERROR(VLOOKUP($G:$G,Structure!$A:$AJ,AD$1,0)*$H233,0))</f>
        <v>0</v>
      </c>
      <c r="AE233" s="9">
        <f>SUM(IFERROR(VLOOKUP($C:$C,Structure!$A:$AJ,AE$1,0)*$D233,0),IFERROR(VLOOKUP($E:$E,Structure!$A:$AJ,AE$1,0)*$F233,0),IFERROR(VLOOKUP($G:$G,Structure!$A:$AJ,AE$1,0)*$H233,0))</f>
        <v>0</v>
      </c>
      <c r="AF233" s="9">
        <f>SUM(IFERROR(VLOOKUP($C:$C,Structure!$A:$AJ,AF$1,0)*$D233,0),IFERROR(VLOOKUP($E:$E,Structure!$A:$AJ,AF$1,0)*$F233,0),IFERROR(VLOOKUP($G:$G,Structure!$A:$AJ,AF$1,0)*$H233,0))</f>
        <v>0</v>
      </c>
      <c r="AG233" s="9">
        <f>SUM(IFERROR(VLOOKUP($C:$C,Structure!$A:$AJ,AG$1,0)*$D233,0),IFERROR(VLOOKUP($E:$E,Structure!$A:$AJ,AG$1,0)*$F233,0),IFERROR(VLOOKUP($G:$G,Structure!$A:$AJ,AG$1,0)*$H233,0))</f>
        <v>0</v>
      </c>
      <c r="AH233" s="9">
        <f>SUM(IFERROR(VLOOKUP($C:$C,Structure!$A:$AJ,AH$1,0)*$D233,0),IFERROR(VLOOKUP($E:$E,Structure!$A:$AJ,AH$1,0)*$F233,0),IFERROR(VLOOKUP($G:$G,Structure!$A:$AJ,AH$1,0)*$H233,0))</f>
        <v>0</v>
      </c>
      <c r="AI233" s="9">
        <f>SUM(IFERROR(VLOOKUP($C:$C,Structure!$A:$AJ,AI$1,0)*$D233,0),IFERROR(VLOOKUP($E:$E,Structure!$A:$AJ,AI$1,0)*$F233,0),IFERROR(VLOOKUP($G:$G,Structure!$A:$AJ,AI$1,0)*$H233,0))</f>
        <v>0</v>
      </c>
      <c r="AJ233" s="9">
        <f>SUM(IFERROR(VLOOKUP($C:$C,Structure!$A:$AJ,AJ$1,0)*$D233,0),IFERROR(VLOOKUP($E:$E,Structure!$A:$AJ,AJ$1,0)*$F233,0),IFERROR(VLOOKUP($G:$G,Structure!$A:$AJ,AJ$1,0)*$H233,0))</f>
        <v>0</v>
      </c>
      <c r="AK233" s="9">
        <f>SUM(IFERROR(VLOOKUP($C:$C,Structure!$A:$AJ,AK$1,0)*$D233,0),IFERROR(VLOOKUP($E:$E,Structure!$A:$AJ,AK$1,0)*$F233,0),IFERROR(VLOOKUP($G:$G,Structure!$A:$AJ,AK$1,0)*$H233,0))</f>
        <v>0</v>
      </c>
      <c r="AL233" s="9">
        <f>SUM(IFERROR(VLOOKUP($C:$C,Structure!$A:$AJ,AL$1,0)*$D233,0),IFERROR(VLOOKUP($E:$E,Structure!$A:$AJ,AL$1,0)*$F233,0),IFERROR(VLOOKUP($G:$G,Structure!$A:$AJ,AL$1,0)*$H233,0))</f>
        <v>0</v>
      </c>
      <c r="AM233" s="9">
        <f>SUM(IFERROR(VLOOKUP($C:$C,Structure!$A:$AJ,AM$1,0)*$D233,0),IFERROR(VLOOKUP($E:$E,Structure!$A:$AJ,AM$1,0)*$F233,0),IFERROR(VLOOKUP($G:$G,Structure!$A:$AJ,AM$1,0)*$H233,0))</f>
        <v>0</v>
      </c>
      <c r="AN233" s="9">
        <f>SUM(IFERROR(VLOOKUP($C:$C,Structure!$A:$AJ,AN$1,0)*$D233,0),IFERROR(VLOOKUP($E:$E,Structure!$A:$AJ,AN$1,0)*$F233,0),IFERROR(VLOOKUP($G:$G,Structure!$A:$AJ,AN$1,0)*$H233,0))</f>
        <v>0</v>
      </c>
      <c r="AO233" s="9">
        <f>SUM(IFERROR(VLOOKUP($C:$C,Structure!$A:$AJ,AO$1,0)*$D233,0),IFERROR(VLOOKUP($E:$E,Structure!$A:$AJ,AO$1,0)*$F233,0),IFERROR(VLOOKUP($G:$G,Structure!$A:$AJ,AO$1,0)*$H233,0))</f>
        <v>0</v>
      </c>
      <c r="AP233" s="9">
        <f>SUM(IFERROR(VLOOKUP($C:$C,Structure!$A:$AJ,AP$1,0)*$D233,0),IFERROR(VLOOKUP($E:$E,Structure!$A:$AJ,AP$1,0)*$F233,0),IFERROR(VLOOKUP($G:$G,Structure!$A:$AJ,AP$1,0)*$H233,0))</f>
        <v>0</v>
      </c>
      <c r="AQ233" s="9">
        <f>SUM(IFERROR(VLOOKUP($C:$C,Structure!$A:$AJ,AQ$1,0)*$D233,0),IFERROR(VLOOKUP($E:$E,Structure!$A:$AJ,AQ$1,0)*$F233,0),IFERROR(VLOOKUP($G:$G,Structure!$A:$AJ,AQ$1,0)*$H233,0))</f>
        <v>0</v>
      </c>
      <c r="AR233" s="21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4">
        <f t="shared" si="232"/>
        <v>0</v>
      </c>
      <c r="CE233" s="4">
        <f t="shared" si="233"/>
        <v>-180</v>
      </c>
      <c r="CF233" s="4">
        <f t="shared" si="234"/>
        <v>4</v>
      </c>
      <c r="CG233" s="4">
        <f t="shared" si="235"/>
        <v>11</v>
      </c>
      <c r="CH233" s="4">
        <f t="shared" si="236"/>
        <v>-7</v>
      </c>
      <c r="CI233" s="4">
        <f t="shared" si="237"/>
        <v>103</v>
      </c>
      <c r="CJ233" s="4">
        <f t="shared" si="238"/>
        <v>-365</v>
      </c>
      <c r="CK233" s="4">
        <f t="shared" si="239"/>
        <v>-1</v>
      </c>
      <c r="CL233" s="4">
        <f t="shared" si="240"/>
        <v>0</v>
      </c>
      <c r="CM233" s="4">
        <f t="shared" si="241"/>
        <v>6</v>
      </c>
      <c r="CN233" s="4">
        <f t="shared" si="242"/>
        <v>-252</v>
      </c>
      <c r="CO233" s="4">
        <f t="shared" si="243"/>
        <v>0</v>
      </c>
      <c r="CP233" s="4">
        <f t="shared" si="244"/>
        <v>67</v>
      </c>
      <c r="CQ233" s="4">
        <f t="shared" si="245"/>
        <v>-550</v>
      </c>
      <c r="CR233" s="4">
        <f t="shared" si="246"/>
        <v>12</v>
      </c>
      <c r="CS233" s="4">
        <f t="shared" si="247"/>
        <v>-48</v>
      </c>
      <c r="CT233" s="4">
        <f t="shared" si="248"/>
        <v>0</v>
      </c>
      <c r="CU233" s="4">
        <f t="shared" si="249"/>
        <v>0</v>
      </c>
      <c r="CV233" s="4">
        <f t="shared" si="250"/>
        <v>0</v>
      </c>
      <c r="CW233" s="4">
        <f t="shared" si="251"/>
        <v>0</v>
      </c>
      <c r="CX233" s="4">
        <f t="shared" si="252"/>
        <v>-543</v>
      </c>
      <c r="CY233" s="4">
        <f t="shared" si="253"/>
        <v>0</v>
      </c>
      <c r="CZ233" s="4">
        <f t="shared" si="254"/>
        <v>0</v>
      </c>
      <c r="DA233" s="4">
        <f t="shared" si="255"/>
        <v>0</v>
      </c>
      <c r="DB233" s="4">
        <f t="shared" si="256"/>
        <v>0</v>
      </c>
      <c r="DC233" s="4">
        <f t="shared" si="257"/>
        <v>0</v>
      </c>
      <c r="DD233" s="4">
        <f t="shared" si="258"/>
        <v>0</v>
      </c>
      <c r="DE233" s="4">
        <f t="shared" si="259"/>
        <v>0</v>
      </c>
      <c r="DF233" s="4">
        <f t="shared" si="260"/>
        <v>0</v>
      </c>
      <c r="DG233" s="4">
        <f t="shared" si="261"/>
        <v>0</v>
      </c>
      <c r="DH233" s="4">
        <f t="shared" si="262"/>
        <v>0</v>
      </c>
      <c r="DI233" s="4">
        <f t="shared" si="263"/>
        <v>0</v>
      </c>
      <c r="DJ233" s="4">
        <f t="shared" si="264"/>
        <v>0</v>
      </c>
      <c r="DK233" s="4">
        <f t="shared" si="265"/>
        <v>0</v>
      </c>
      <c r="DL233" s="4">
        <f t="shared" si="266"/>
        <v>0</v>
      </c>
    </row>
    <row r="234" spans="1:116" x14ac:dyDescent="0.25">
      <c r="A234" s="5">
        <v>46188</v>
      </c>
      <c r="B234" s="6">
        <v>0.12500000056024874</v>
      </c>
      <c r="C234" s="3"/>
      <c r="D234" s="3"/>
      <c r="E234" s="3" t="s">
        <v>58</v>
      </c>
      <c r="F234" s="3">
        <v>2</v>
      </c>
      <c r="G234" s="3"/>
      <c r="H234" s="9"/>
      <c r="I234" s="9">
        <f>SUM(IFERROR(VLOOKUP($C:$C,Structure!$A:$AJ,I$1,0)*$D234,0),IFERROR(VLOOKUP($E:$E,Structure!$A:$AJ,I$1,0)*$F234,0),IFERROR(VLOOKUP($G:$G,Structure!$A:$AJ,I$1,0)*$H234,0))</f>
        <v>0</v>
      </c>
      <c r="J234" s="9">
        <f>SUM(IFERROR(VLOOKUP($C:$C,Structure!$A:$AJ,J$1,0)*$D234,0),IFERROR(VLOOKUP($E:$E,Structure!$A:$AJ,J$1,0)*$F234,0),IFERROR(VLOOKUP($G:$G,Structure!$A:$AJ,J$1,0)*$H234,0))</f>
        <v>0</v>
      </c>
      <c r="K234" s="9">
        <f>SUM(IFERROR(VLOOKUP($C:$C,Structure!$A:$AJ,K$1,0)*$D234,0),IFERROR(VLOOKUP($E:$E,Structure!$A:$AJ,K$1,0)*$F234,0),IFERROR(VLOOKUP($G:$G,Structure!$A:$AJ,K$1,0)*$H234,0))</f>
        <v>0</v>
      </c>
      <c r="L234" s="9">
        <f>SUM(IFERROR(VLOOKUP($C:$C,Structure!$A:$AJ,L$1,0)*$D234,0),IFERROR(VLOOKUP($E:$E,Structure!$A:$AJ,L$1,0)*$F234,0),IFERROR(VLOOKUP($G:$G,Structure!$A:$AJ,L$1,0)*$H234,0))</f>
        <v>0</v>
      </c>
      <c r="M234" s="9">
        <f>SUM(IFERROR(VLOOKUP($C:$C,Structure!$A:$AJ,M$1,0)*$D234,0),IFERROR(VLOOKUP($E:$E,Structure!$A:$AJ,M$1,0)*$F234,0),IFERROR(VLOOKUP($G:$G,Structure!$A:$AJ,M$1,0)*$H234,0))</f>
        <v>0</v>
      </c>
      <c r="N234" s="9">
        <f>SUM(IFERROR(VLOOKUP($C:$C,Structure!$A:$AJ,N$1,0)*$D234,0),IFERROR(VLOOKUP($E:$E,Structure!$A:$AJ,N$1,0)*$F234,0),IFERROR(VLOOKUP($G:$G,Structure!$A:$AJ,N$1,0)*$H234,0))</f>
        <v>0</v>
      </c>
      <c r="O234" s="9">
        <f>SUM(IFERROR(VLOOKUP($C:$C,Structure!$A:$AJ,O$1,0)*$D234,0),IFERROR(VLOOKUP($E:$E,Structure!$A:$AJ,O$1,0)*$F234,0),IFERROR(VLOOKUP($G:$G,Structure!$A:$AJ,O$1,0)*$H234,0))</f>
        <v>2</v>
      </c>
      <c r="P234" s="9">
        <f>SUM(IFERROR(VLOOKUP($C:$C,Structure!$A:$AJ,P$1,0)*$D234,0),IFERROR(VLOOKUP($E:$E,Structure!$A:$AJ,P$1,0)*$F234,0),IFERROR(VLOOKUP($G:$G,Structure!$A:$AJ,P$1,0)*$H234,0))</f>
        <v>0</v>
      </c>
      <c r="Q234" s="9">
        <f>SUM(IFERROR(VLOOKUP($C:$C,Structure!$A:$AJ,Q$1,0)*$D234,0),IFERROR(VLOOKUP($E:$E,Structure!$A:$AJ,Q$1,0)*$F234,0),IFERROR(VLOOKUP($G:$G,Structure!$A:$AJ,Q$1,0)*$H234,0))</f>
        <v>0</v>
      </c>
      <c r="R234" s="9">
        <f>SUM(IFERROR(VLOOKUP($C:$C,Structure!$A:$AJ,R$1,0)*$D234,0),IFERROR(VLOOKUP($E:$E,Structure!$A:$AJ,R$1,0)*$F234,0),IFERROR(VLOOKUP($G:$G,Structure!$A:$AJ,R$1,0)*$H234,0))</f>
        <v>0</v>
      </c>
      <c r="S234" s="9">
        <f>SUM(IFERROR(VLOOKUP($C:$C,Structure!$A:$AJ,S$1,0)*$D234,0),IFERROR(VLOOKUP($E:$E,Structure!$A:$AJ,S$1,0)*$F234,0),IFERROR(VLOOKUP($G:$G,Structure!$A:$AJ,S$1,0)*$H234,0))</f>
        <v>2</v>
      </c>
      <c r="T234" s="9">
        <f>SUM(IFERROR(VLOOKUP($C:$C,Structure!$A:$AJ,T$1,0)*$D234,0),IFERROR(VLOOKUP($E:$E,Structure!$A:$AJ,T$1,0)*$F234,0),IFERROR(VLOOKUP($G:$G,Structure!$A:$AJ,T$1,0)*$H234,0))</f>
        <v>0</v>
      </c>
      <c r="U234" s="9">
        <f>SUM(IFERROR(VLOOKUP($C:$C,Structure!$A:$AJ,U$1,0)*$D234,0),IFERROR(VLOOKUP($E:$E,Structure!$A:$AJ,U$1,0)*$F234,0),IFERROR(VLOOKUP($G:$G,Structure!$A:$AJ,U$1,0)*$H234,0))</f>
        <v>0</v>
      </c>
      <c r="V234" s="9">
        <f>SUM(IFERROR(VLOOKUP($C:$C,Structure!$A:$AJ,V$1,0)*$D234,0),IFERROR(VLOOKUP($E:$E,Structure!$A:$AJ,V$1,0)*$F234,0),IFERROR(VLOOKUP($G:$G,Structure!$A:$AJ,V$1,0)*$H234,0))</f>
        <v>0</v>
      </c>
      <c r="W234" s="9">
        <f>SUM(IFERROR(VLOOKUP($C:$C,Structure!$A:$AJ,W$1,0)*$D234,0),IFERROR(VLOOKUP($E:$E,Structure!$A:$AJ,W$1,0)*$F234,0),IFERROR(VLOOKUP($G:$G,Structure!$A:$AJ,W$1,0)*$H234,0))</f>
        <v>0</v>
      </c>
      <c r="X234" s="9">
        <f>SUM(IFERROR(VLOOKUP($C:$C,Structure!$A:$AJ,X$1,0)*$D234,0),IFERROR(VLOOKUP($E:$E,Structure!$A:$AJ,X$1,0)*$F234,0),IFERROR(VLOOKUP($G:$G,Structure!$A:$AJ,X$1,0)*$H234,0))</f>
        <v>0</v>
      </c>
      <c r="Y234" s="9">
        <f>SUM(IFERROR(VLOOKUP($C:$C,Structure!$A:$AJ,Y$1,0)*$D234,0),IFERROR(VLOOKUP($E:$E,Structure!$A:$AJ,Y$1,0)*$F234,0),IFERROR(VLOOKUP($G:$G,Structure!$A:$AJ,Y$1,0)*$H234,0))</f>
        <v>0</v>
      </c>
      <c r="Z234" s="9">
        <f>SUM(IFERROR(VLOOKUP($C:$C,Structure!$A:$AJ,Z$1,0)*$D234,0),IFERROR(VLOOKUP($E:$E,Structure!$A:$AJ,Z$1,0)*$F234,0),IFERROR(VLOOKUP($G:$G,Structure!$A:$AJ,Z$1,0)*$H234,0))</f>
        <v>0</v>
      </c>
      <c r="AA234" s="9">
        <f>SUM(IFERROR(VLOOKUP($C:$C,Structure!$A:$AJ,AA$1,0)*$D234,0),IFERROR(VLOOKUP($E:$E,Structure!$A:$AJ,AA$1,0)*$F234,0),IFERROR(VLOOKUP($G:$G,Structure!$A:$AJ,AA$1,0)*$H234,0))</f>
        <v>0</v>
      </c>
      <c r="AB234" s="9">
        <f>SUM(IFERROR(VLOOKUP($C:$C,Structure!$A:$AJ,AB$1,0)*$D234,0),IFERROR(VLOOKUP($E:$E,Structure!$A:$AJ,AB$1,0)*$F234,0),IFERROR(VLOOKUP($G:$G,Structure!$A:$AJ,AB$1,0)*$H234,0))</f>
        <v>0</v>
      </c>
      <c r="AC234" s="9">
        <f>SUM(IFERROR(VLOOKUP($C:$C,Structure!$A:$AJ,AC$1,0)*$D234,0),IFERROR(VLOOKUP($E:$E,Structure!$A:$AJ,AC$1,0)*$F234,0),IFERROR(VLOOKUP($G:$G,Structure!$A:$AJ,AC$1,0)*$H234,0))</f>
        <v>0</v>
      </c>
      <c r="AD234" s="9">
        <f>SUM(IFERROR(VLOOKUP($C:$C,Structure!$A:$AJ,AD$1,0)*$D234,0),IFERROR(VLOOKUP($E:$E,Structure!$A:$AJ,AD$1,0)*$F234,0),IFERROR(VLOOKUP($G:$G,Structure!$A:$AJ,AD$1,0)*$H234,0))</f>
        <v>0</v>
      </c>
      <c r="AE234" s="9">
        <f>SUM(IFERROR(VLOOKUP($C:$C,Structure!$A:$AJ,AE$1,0)*$D234,0),IFERROR(VLOOKUP($E:$E,Structure!$A:$AJ,AE$1,0)*$F234,0),IFERROR(VLOOKUP($G:$G,Structure!$A:$AJ,AE$1,0)*$H234,0))</f>
        <v>0</v>
      </c>
      <c r="AF234" s="9">
        <f>SUM(IFERROR(VLOOKUP($C:$C,Structure!$A:$AJ,AF$1,0)*$D234,0),IFERROR(VLOOKUP($E:$E,Structure!$A:$AJ,AF$1,0)*$F234,0),IFERROR(VLOOKUP($G:$G,Structure!$A:$AJ,AF$1,0)*$H234,0))</f>
        <v>0</v>
      </c>
      <c r="AG234" s="9">
        <f>SUM(IFERROR(VLOOKUP($C:$C,Structure!$A:$AJ,AG$1,0)*$D234,0),IFERROR(VLOOKUP($E:$E,Structure!$A:$AJ,AG$1,0)*$F234,0),IFERROR(VLOOKUP($G:$G,Structure!$A:$AJ,AG$1,0)*$H234,0))</f>
        <v>0</v>
      </c>
      <c r="AH234" s="9">
        <f>SUM(IFERROR(VLOOKUP($C:$C,Structure!$A:$AJ,AH$1,0)*$D234,0),IFERROR(VLOOKUP($E:$E,Structure!$A:$AJ,AH$1,0)*$F234,0),IFERROR(VLOOKUP($G:$G,Structure!$A:$AJ,AH$1,0)*$H234,0))</f>
        <v>0</v>
      </c>
      <c r="AI234" s="9">
        <f>SUM(IFERROR(VLOOKUP($C:$C,Structure!$A:$AJ,AI$1,0)*$D234,0),IFERROR(VLOOKUP($E:$E,Structure!$A:$AJ,AI$1,0)*$F234,0),IFERROR(VLOOKUP($G:$G,Structure!$A:$AJ,AI$1,0)*$H234,0))</f>
        <v>0</v>
      </c>
      <c r="AJ234" s="9">
        <f>SUM(IFERROR(VLOOKUP($C:$C,Structure!$A:$AJ,AJ$1,0)*$D234,0),IFERROR(VLOOKUP($E:$E,Structure!$A:$AJ,AJ$1,0)*$F234,0),IFERROR(VLOOKUP($G:$G,Structure!$A:$AJ,AJ$1,0)*$H234,0))</f>
        <v>0</v>
      </c>
      <c r="AK234" s="9">
        <f>SUM(IFERROR(VLOOKUP($C:$C,Structure!$A:$AJ,AK$1,0)*$D234,0),IFERROR(VLOOKUP($E:$E,Structure!$A:$AJ,AK$1,0)*$F234,0),IFERROR(VLOOKUP($G:$G,Structure!$A:$AJ,AK$1,0)*$H234,0))</f>
        <v>0</v>
      </c>
      <c r="AL234" s="9">
        <f>SUM(IFERROR(VLOOKUP($C:$C,Structure!$A:$AJ,AL$1,0)*$D234,0),IFERROR(VLOOKUP($E:$E,Structure!$A:$AJ,AL$1,0)*$F234,0),IFERROR(VLOOKUP($G:$G,Structure!$A:$AJ,AL$1,0)*$H234,0))</f>
        <v>0</v>
      </c>
      <c r="AM234" s="9">
        <f>SUM(IFERROR(VLOOKUP($C:$C,Structure!$A:$AJ,AM$1,0)*$D234,0),IFERROR(VLOOKUP($E:$E,Structure!$A:$AJ,AM$1,0)*$F234,0),IFERROR(VLOOKUP($G:$G,Structure!$A:$AJ,AM$1,0)*$H234,0))</f>
        <v>0</v>
      </c>
      <c r="AN234" s="9">
        <f>SUM(IFERROR(VLOOKUP($C:$C,Structure!$A:$AJ,AN$1,0)*$D234,0),IFERROR(VLOOKUP($E:$E,Structure!$A:$AJ,AN$1,0)*$F234,0),IFERROR(VLOOKUP($G:$G,Structure!$A:$AJ,AN$1,0)*$H234,0))</f>
        <v>0</v>
      </c>
      <c r="AO234" s="9">
        <f>SUM(IFERROR(VLOOKUP($C:$C,Structure!$A:$AJ,AO$1,0)*$D234,0),IFERROR(VLOOKUP($E:$E,Structure!$A:$AJ,AO$1,0)*$F234,0),IFERROR(VLOOKUP($G:$G,Structure!$A:$AJ,AO$1,0)*$H234,0))</f>
        <v>0</v>
      </c>
      <c r="AP234" s="9">
        <f>SUM(IFERROR(VLOOKUP($C:$C,Structure!$A:$AJ,AP$1,0)*$D234,0),IFERROR(VLOOKUP($E:$E,Structure!$A:$AJ,AP$1,0)*$F234,0),IFERROR(VLOOKUP($G:$G,Structure!$A:$AJ,AP$1,0)*$H234,0))</f>
        <v>0</v>
      </c>
      <c r="AQ234" s="9">
        <f>SUM(IFERROR(VLOOKUP($C:$C,Structure!$A:$AJ,AQ$1,0)*$D234,0),IFERROR(VLOOKUP($E:$E,Structure!$A:$AJ,AQ$1,0)*$F234,0),IFERROR(VLOOKUP($G:$G,Structure!$A:$AJ,AQ$1,0)*$H234,0))</f>
        <v>0</v>
      </c>
      <c r="AR234" s="21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4">
        <f t="shared" si="232"/>
        <v>0</v>
      </c>
      <c r="CE234" s="4">
        <f t="shared" si="233"/>
        <v>-180</v>
      </c>
      <c r="CF234" s="4">
        <f t="shared" si="234"/>
        <v>4</v>
      </c>
      <c r="CG234" s="4">
        <f t="shared" si="235"/>
        <v>11</v>
      </c>
      <c r="CH234" s="4">
        <f t="shared" si="236"/>
        <v>-7</v>
      </c>
      <c r="CI234" s="4">
        <f t="shared" si="237"/>
        <v>103</v>
      </c>
      <c r="CJ234" s="4">
        <f t="shared" si="238"/>
        <v>-367</v>
      </c>
      <c r="CK234" s="4">
        <f t="shared" si="239"/>
        <v>-1</v>
      </c>
      <c r="CL234" s="4">
        <f t="shared" si="240"/>
        <v>0</v>
      </c>
      <c r="CM234" s="4">
        <f t="shared" si="241"/>
        <v>6</v>
      </c>
      <c r="CN234" s="4">
        <f t="shared" si="242"/>
        <v>-254</v>
      </c>
      <c r="CO234" s="4">
        <f t="shared" si="243"/>
        <v>0</v>
      </c>
      <c r="CP234" s="4">
        <f t="shared" si="244"/>
        <v>67</v>
      </c>
      <c r="CQ234" s="4">
        <f t="shared" si="245"/>
        <v>-550</v>
      </c>
      <c r="CR234" s="4">
        <f t="shared" si="246"/>
        <v>12</v>
      </c>
      <c r="CS234" s="4">
        <f t="shared" si="247"/>
        <v>-48</v>
      </c>
      <c r="CT234" s="4">
        <f t="shared" si="248"/>
        <v>0</v>
      </c>
      <c r="CU234" s="4">
        <f t="shared" si="249"/>
        <v>0</v>
      </c>
      <c r="CV234" s="4">
        <f t="shared" si="250"/>
        <v>0</v>
      </c>
      <c r="CW234" s="4">
        <f t="shared" si="251"/>
        <v>0</v>
      </c>
      <c r="CX234" s="4">
        <f t="shared" si="252"/>
        <v>-543</v>
      </c>
      <c r="CY234" s="4">
        <f t="shared" si="253"/>
        <v>0</v>
      </c>
      <c r="CZ234" s="4">
        <f t="shared" si="254"/>
        <v>0</v>
      </c>
      <c r="DA234" s="4">
        <f t="shared" si="255"/>
        <v>0</v>
      </c>
      <c r="DB234" s="4">
        <f t="shared" si="256"/>
        <v>0</v>
      </c>
      <c r="DC234" s="4">
        <f t="shared" si="257"/>
        <v>0</v>
      </c>
      <c r="DD234" s="4">
        <f t="shared" si="258"/>
        <v>0</v>
      </c>
      <c r="DE234" s="4">
        <f t="shared" si="259"/>
        <v>0</v>
      </c>
      <c r="DF234" s="4">
        <f t="shared" si="260"/>
        <v>0</v>
      </c>
      <c r="DG234" s="4">
        <f t="shared" si="261"/>
        <v>0</v>
      </c>
      <c r="DH234" s="4">
        <f t="shared" si="262"/>
        <v>0</v>
      </c>
      <c r="DI234" s="4">
        <f t="shared" si="263"/>
        <v>0</v>
      </c>
      <c r="DJ234" s="4">
        <f t="shared" si="264"/>
        <v>0</v>
      </c>
      <c r="DK234" s="4">
        <f t="shared" si="265"/>
        <v>0</v>
      </c>
      <c r="DL234" s="4">
        <f t="shared" si="266"/>
        <v>0</v>
      </c>
    </row>
    <row r="235" spans="1:116" x14ac:dyDescent="0.25">
      <c r="A235" s="5">
        <v>46188</v>
      </c>
      <c r="B235" s="6">
        <v>0.14583333389600739</v>
      </c>
      <c r="C235" s="3"/>
      <c r="D235" s="3"/>
      <c r="E235" s="3" t="s">
        <v>25</v>
      </c>
      <c r="F235" s="3">
        <v>8</v>
      </c>
      <c r="G235" s="3"/>
      <c r="H235" s="9"/>
      <c r="I235" s="9">
        <f>SUM(IFERROR(VLOOKUP($C:$C,Structure!$A:$AJ,I$1,0)*$D235,0),IFERROR(VLOOKUP($E:$E,Structure!$A:$AJ,I$1,0)*$F235,0),IFERROR(VLOOKUP($G:$G,Structure!$A:$AJ,I$1,0)*$H235,0))</f>
        <v>0</v>
      </c>
      <c r="J235" s="9">
        <f>SUM(IFERROR(VLOOKUP($C:$C,Structure!$A:$AJ,J$1,0)*$D235,0),IFERROR(VLOOKUP($E:$E,Structure!$A:$AJ,J$1,0)*$F235,0),IFERROR(VLOOKUP($G:$G,Structure!$A:$AJ,J$1,0)*$H235,0))</f>
        <v>0</v>
      </c>
      <c r="K235" s="9">
        <f>SUM(IFERROR(VLOOKUP($C:$C,Structure!$A:$AJ,K$1,0)*$D235,0),IFERROR(VLOOKUP($E:$E,Structure!$A:$AJ,K$1,0)*$F235,0),IFERROR(VLOOKUP($G:$G,Structure!$A:$AJ,K$1,0)*$H235,0))</f>
        <v>0</v>
      </c>
      <c r="L235" s="9">
        <f>SUM(IFERROR(VLOOKUP($C:$C,Structure!$A:$AJ,L$1,0)*$D235,0),IFERROR(VLOOKUP($E:$E,Structure!$A:$AJ,L$1,0)*$F235,0),IFERROR(VLOOKUP($G:$G,Structure!$A:$AJ,L$1,0)*$H235,0))</f>
        <v>0</v>
      </c>
      <c r="M235" s="9">
        <f>SUM(IFERROR(VLOOKUP($C:$C,Structure!$A:$AJ,M$1,0)*$D235,0),IFERROR(VLOOKUP($E:$E,Structure!$A:$AJ,M$1,0)*$F235,0),IFERROR(VLOOKUP($G:$G,Structure!$A:$AJ,M$1,0)*$H235,0))</f>
        <v>0</v>
      </c>
      <c r="N235" s="9">
        <f>SUM(IFERROR(VLOOKUP($C:$C,Structure!$A:$AJ,N$1,0)*$D235,0),IFERROR(VLOOKUP($E:$E,Structure!$A:$AJ,N$1,0)*$F235,0),IFERROR(VLOOKUP($G:$G,Structure!$A:$AJ,N$1,0)*$H235,0))</f>
        <v>0</v>
      </c>
      <c r="O235" s="9">
        <f>SUM(IFERROR(VLOOKUP($C:$C,Structure!$A:$AJ,O$1,0)*$D235,0),IFERROR(VLOOKUP($E:$E,Structure!$A:$AJ,O$1,0)*$F235,0),IFERROR(VLOOKUP($G:$G,Structure!$A:$AJ,O$1,0)*$H235,0))</f>
        <v>0</v>
      </c>
      <c r="P235" s="9">
        <f>SUM(IFERROR(VLOOKUP($C:$C,Structure!$A:$AJ,P$1,0)*$D235,0),IFERROR(VLOOKUP($E:$E,Structure!$A:$AJ,P$1,0)*$F235,0),IFERROR(VLOOKUP($G:$G,Structure!$A:$AJ,P$1,0)*$H235,0))</f>
        <v>0</v>
      </c>
      <c r="Q235" s="9">
        <f>SUM(IFERROR(VLOOKUP($C:$C,Structure!$A:$AJ,Q$1,0)*$D235,0),IFERROR(VLOOKUP($E:$E,Structure!$A:$AJ,Q$1,0)*$F235,0),IFERROR(VLOOKUP($G:$G,Structure!$A:$AJ,Q$1,0)*$H235,0))</f>
        <v>0</v>
      </c>
      <c r="R235" s="9">
        <f>SUM(IFERROR(VLOOKUP($C:$C,Structure!$A:$AJ,R$1,0)*$D235,0),IFERROR(VLOOKUP($E:$E,Structure!$A:$AJ,R$1,0)*$F235,0),IFERROR(VLOOKUP($G:$G,Structure!$A:$AJ,R$1,0)*$H235,0))</f>
        <v>0</v>
      </c>
      <c r="S235" s="9">
        <f>SUM(IFERROR(VLOOKUP($C:$C,Structure!$A:$AJ,S$1,0)*$D235,0),IFERROR(VLOOKUP($E:$E,Structure!$A:$AJ,S$1,0)*$F235,0),IFERROR(VLOOKUP($G:$G,Structure!$A:$AJ,S$1,0)*$H235,0))</f>
        <v>0</v>
      </c>
      <c r="T235" s="9">
        <f>SUM(IFERROR(VLOOKUP($C:$C,Structure!$A:$AJ,T$1,0)*$D235,0),IFERROR(VLOOKUP($E:$E,Structure!$A:$AJ,T$1,0)*$F235,0),IFERROR(VLOOKUP($G:$G,Structure!$A:$AJ,T$1,0)*$H235,0))</f>
        <v>0</v>
      </c>
      <c r="U235" s="9">
        <f>SUM(IFERROR(VLOOKUP($C:$C,Structure!$A:$AJ,U$1,0)*$D235,0),IFERROR(VLOOKUP($E:$E,Structure!$A:$AJ,U$1,0)*$F235,0),IFERROR(VLOOKUP($G:$G,Structure!$A:$AJ,U$1,0)*$H235,0))</f>
        <v>8</v>
      </c>
      <c r="V235" s="9">
        <f>SUM(IFERROR(VLOOKUP($C:$C,Structure!$A:$AJ,V$1,0)*$D235,0),IFERROR(VLOOKUP($E:$E,Structure!$A:$AJ,V$1,0)*$F235,0),IFERROR(VLOOKUP($G:$G,Structure!$A:$AJ,V$1,0)*$H235,0))</f>
        <v>0</v>
      </c>
      <c r="W235" s="9">
        <f>SUM(IFERROR(VLOOKUP($C:$C,Structure!$A:$AJ,W$1,0)*$D235,0),IFERROR(VLOOKUP($E:$E,Structure!$A:$AJ,W$1,0)*$F235,0),IFERROR(VLOOKUP($G:$G,Structure!$A:$AJ,W$1,0)*$H235,0))</f>
        <v>0</v>
      </c>
      <c r="X235" s="9">
        <f>SUM(IFERROR(VLOOKUP($C:$C,Structure!$A:$AJ,X$1,0)*$D235,0),IFERROR(VLOOKUP($E:$E,Structure!$A:$AJ,X$1,0)*$F235,0),IFERROR(VLOOKUP($G:$G,Structure!$A:$AJ,X$1,0)*$H235,0))</f>
        <v>0</v>
      </c>
      <c r="Y235" s="9">
        <f>SUM(IFERROR(VLOOKUP($C:$C,Structure!$A:$AJ,Y$1,0)*$D235,0),IFERROR(VLOOKUP($E:$E,Structure!$A:$AJ,Y$1,0)*$F235,0),IFERROR(VLOOKUP($G:$G,Structure!$A:$AJ,Y$1,0)*$H235,0))</f>
        <v>0</v>
      </c>
      <c r="Z235" s="9">
        <f>SUM(IFERROR(VLOOKUP($C:$C,Structure!$A:$AJ,Z$1,0)*$D235,0),IFERROR(VLOOKUP($E:$E,Structure!$A:$AJ,Z$1,0)*$F235,0),IFERROR(VLOOKUP($G:$G,Structure!$A:$AJ,Z$1,0)*$H235,0))</f>
        <v>0</v>
      </c>
      <c r="AA235" s="9">
        <f>SUM(IFERROR(VLOOKUP($C:$C,Structure!$A:$AJ,AA$1,0)*$D235,0),IFERROR(VLOOKUP($E:$E,Structure!$A:$AJ,AA$1,0)*$F235,0),IFERROR(VLOOKUP($G:$G,Structure!$A:$AJ,AA$1,0)*$H235,0))</f>
        <v>0</v>
      </c>
      <c r="AB235" s="9">
        <f>SUM(IFERROR(VLOOKUP($C:$C,Structure!$A:$AJ,AB$1,0)*$D235,0),IFERROR(VLOOKUP($E:$E,Structure!$A:$AJ,AB$1,0)*$F235,0),IFERROR(VLOOKUP($G:$G,Structure!$A:$AJ,AB$1,0)*$H235,0))</f>
        <v>0</v>
      </c>
      <c r="AC235" s="9">
        <f>SUM(IFERROR(VLOOKUP($C:$C,Structure!$A:$AJ,AC$1,0)*$D235,0),IFERROR(VLOOKUP($E:$E,Structure!$A:$AJ,AC$1,0)*$F235,0),IFERROR(VLOOKUP($G:$G,Structure!$A:$AJ,AC$1,0)*$H235,0))</f>
        <v>8</v>
      </c>
      <c r="AD235" s="9">
        <f>SUM(IFERROR(VLOOKUP($C:$C,Structure!$A:$AJ,AD$1,0)*$D235,0),IFERROR(VLOOKUP($E:$E,Structure!$A:$AJ,AD$1,0)*$F235,0),IFERROR(VLOOKUP($G:$G,Structure!$A:$AJ,AD$1,0)*$H235,0))</f>
        <v>0</v>
      </c>
      <c r="AE235" s="9">
        <f>SUM(IFERROR(VLOOKUP($C:$C,Structure!$A:$AJ,AE$1,0)*$D235,0),IFERROR(VLOOKUP($E:$E,Structure!$A:$AJ,AE$1,0)*$F235,0),IFERROR(VLOOKUP($G:$G,Structure!$A:$AJ,AE$1,0)*$H235,0))</f>
        <v>0</v>
      </c>
      <c r="AF235" s="9">
        <f>SUM(IFERROR(VLOOKUP($C:$C,Structure!$A:$AJ,AF$1,0)*$D235,0),IFERROR(VLOOKUP($E:$E,Structure!$A:$AJ,AF$1,0)*$F235,0),IFERROR(VLOOKUP($G:$G,Structure!$A:$AJ,AF$1,0)*$H235,0))</f>
        <v>0</v>
      </c>
      <c r="AG235" s="9">
        <f>SUM(IFERROR(VLOOKUP($C:$C,Structure!$A:$AJ,AG$1,0)*$D235,0),IFERROR(VLOOKUP($E:$E,Structure!$A:$AJ,AG$1,0)*$F235,0),IFERROR(VLOOKUP($G:$G,Structure!$A:$AJ,AG$1,0)*$H235,0))</f>
        <v>0</v>
      </c>
      <c r="AH235" s="9">
        <f>SUM(IFERROR(VLOOKUP($C:$C,Structure!$A:$AJ,AH$1,0)*$D235,0),IFERROR(VLOOKUP($E:$E,Structure!$A:$AJ,AH$1,0)*$F235,0),IFERROR(VLOOKUP($G:$G,Structure!$A:$AJ,AH$1,0)*$H235,0))</f>
        <v>0</v>
      </c>
      <c r="AI235" s="9">
        <f>SUM(IFERROR(VLOOKUP($C:$C,Structure!$A:$AJ,AI$1,0)*$D235,0),IFERROR(VLOOKUP($E:$E,Structure!$A:$AJ,AI$1,0)*$F235,0),IFERROR(VLOOKUP($G:$G,Structure!$A:$AJ,AI$1,0)*$H235,0))</f>
        <v>0</v>
      </c>
      <c r="AJ235" s="9">
        <f>SUM(IFERROR(VLOOKUP($C:$C,Structure!$A:$AJ,AJ$1,0)*$D235,0),IFERROR(VLOOKUP($E:$E,Structure!$A:$AJ,AJ$1,0)*$F235,0),IFERROR(VLOOKUP($G:$G,Structure!$A:$AJ,AJ$1,0)*$H235,0))</f>
        <v>0</v>
      </c>
      <c r="AK235" s="9">
        <f>SUM(IFERROR(VLOOKUP($C:$C,Structure!$A:$AJ,AK$1,0)*$D235,0),IFERROR(VLOOKUP($E:$E,Structure!$A:$AJ,AK$1,0)*$F235,0),IFERROR(VLOOKUP($G:$G,Structure!$A:$AJ,AK$1,0)*$H235,0))</f>
        <v>0</v>
      </c>
      <c r="AL235" s="9">
        <f>SUM(IFERROR(VLOOKUP($C:$C,Structure!$A:$AJ,AL$1,0)*$D235,0),IFERROR(VLOOKUP($E:$E,Structure!$A:$AJ,AL$1,0)*$F235,0),IFERROR(VLOOKUP($G:$G,Structure!$A:$AJ,AL$1,0)*$H235,0))</f>
        <v>0</v>
      </c>
      <c r="AM235" s="9">
        <f>SUM(IFERROR(VLOOKUP($C:$C,Structure!$A:$AJ,AM$1,0)*$D235,0),IFERROR(VLOOKUP($E:$E,Structure!$A:$AJ,AM$1,0)*$F235,0),IFERROR(VLOOKUP($G:$G,Structure!$A:$AJ,AM$1,0)*$H235,0))</f>
        <v>0</v>
      </c>
      <c r="AN235" s="9">
        <f>SUM(IFERROR(VLOOKUP($C:$C,Structure!$A:$AJ,AN$1,0)*$D235,0),IFERROR(VLOOKUP($E:$E,Structure!$A:$AJ,AN$1,0)*$F235,0),IFERROR(VLOOKUP($G:$G,Structure!$A:$AJ,AN$1,0)*$H235,0))</f>
        <v>0</v>
      </c>
      <c r="AO235" s="9">
        <f>SUM(IFERROR(VLOOKUP($C:$C,Structure!$A:$AJ,AO$1,0)*$D235,0),IFERROR(VLOOKUP($E:$E,Structure!$A:$AJ,AO$1,0)*$F235,0),IFERROR(VLOOKUP($G:$G,Structure!$A:$AJ,AO$1,0)*$H235,0))</f>
        <v>0</v>
      </c>
      <c r="AP235" s="9">
        <f>SUM(IFERROR(VLOOKUP($C:$C,Structure!$A:$AJ,AP$1,0)*$D235,0),IFERROR(VLOOKUP($E:$E,Structure!$A:$AJ,AP$1,0)*$F235,0),IFERROR(VLOOKUP($G:$G,Structure!$A:$AJ,AP$1,0)*$H235,0))</f>
        <v>0</v>
      </c>
      <c r="AQ235" s="9">
        <f>SUM(IFERROR(VLOOKUP($C:$C,Structure!$A:$AJ,AQ$1,0)*$D235,0),IFERROR(VLOOKUP($E:$E,Structure!$A:$AJ,AQ$1,0)*$F235,0),IFERROR(VLOOKUP($G:$G,Structure!$A:$AJ,AQ$1,0)*$H235,0))</f>
        <v>0</v>
      </c>
      <c r="AR235" s="21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4">
        <f t="shared" si="232"/>
        <v>0</v>
      </c>
      <c r="CE235" s="4">
        <f t="shared" si="233"/>
        <v>-180</v>
      </c>
      <c r="CF235" s="4">
        <f t="shared" si="234"/>
        <v>4</v>
      </c>
      <c r="CG235" s="4">
        <f t="shared" si="235"/>
        <v>11</v>
      </c>
      <c r="CH235" s="4">
        <f t="shared" si="236"/>
        <v>-7</v>
      </c>
      <c r="CI235" s="4">
        <f t="shared" si="237"/>
        <v>103</v>
      </c>
      <c r="CJ235" s="4">
        <f t="shared" si="238"/>
        <v>-367</v>
      </c>
      <c r="CK235" s="4">
        <f t="shared" si="239"/>
        <v>-1</v>
      </c>
      <c r="CL235" s="4">
        <f t="shared" si="240"/>
        <v>0</v>
      </c>
      <c r="CM235" s="4">
        <f t="shared" si="241"/>
        <v>6</v>
      </c>
      <c r="CN235" s="4">
        <f t="shared" si="242"/>
        <v>-254</v>
      </c>
      <c r="CO235" s="4">
        <f t="shared" si="243"/>
        <v>0</v>
      </c>
      <c r="CP235" s="4">
        <f t="shared" si="244"/>
        <v>59</v>
      </c>
      <c r="CQ235" s="4">
        <f t="shared" si="245"/>
        <v>-550</v>
      </c>
      <c r="CR235" s="4">
        <f t="shared" si="246"/>
        <v>12</v>
      </c>
      <c r="CS235" s="4">
        <f t="shared" si="247"/>
        <v>-48</v>
      </c>
      <c r="CT235" s="4">
        <f t="shared" si="248"/>
        <v>0</v>
      </c>
      <c r="CU235" s="4">
        <f t="shared" si="249"/>
        <v>0</v>
      </c>
      <c r="CV235" s="4">
        <f t="shared" si="250"/>
        <v>0</v>
      </c>
      <c r="CW235" s="4">
        <f t="shared" si="251"/>
        <v>0</v>
      </c>
      <c r="CX235" s="4">
        <f t="shared" si="252"/>
        <v>-551</v>
      </c>
      <c r="CY235" s="4">
        <f t="shared" si="253"/>
        <v>0</v>
      </c>
      <c r="CZ235" s="4">
        <f t="shared" si="254"/>
        <v>0</v>
      </c>
      <c r="DA235" s="4">
        <f t="shared" si="255"/>
        <v>0</v>
      </c>
      <c r="DB235" s="4">
        <f t="shared" si="256"/>
        <v>0</v>
      </c>
      <c r="DC235" s="4">
        <f t="shared" si="257"/>
        <v>0</v>
      </c>
      <c r="DD235" s="4">
        <f t="shared" si="258"/>
        <v>0</v>
      </c>
      <c r="DE235" s="4">
        <f t="shared" si="259"/>
        <v>0</v>
      </c>
      <c r="DF235" s="4">
        <f t="shared" si="260"/>
        <v>0</v>
      </c>
      <c r="DG235" s="4">
        <f t="shared" si="261"/>
        <v>0</v>
      </c>
      <c r="DH235" s="4">
        <f t="shared" si="262"/>
        <v>0</v>
      </c>
      <c r="DI235" s="4">
        <f t="shared" si="263"/>
        <v>0</v>
      </c>
      <c r="DJ235" s="4">
        <f t="shared" si="264"/>
        <v>0</v>
      </c>
      <c r="DK235" s="4">
        <f t="shared" si="265"/>
        <v>0</v>
      </c>
      <c r="DL235" s="4">
        <f t="shared" si="266"/>
        <v>0</v>
      </c>
    </row>
    <row r="236" spans="1:116" x14ac:dyDescent="0.25">
      <c r="A236" s="5">
        <v>46188</v>
      </c>
      <c r="B236" s="6">
        <v>0.16666666723176604</v>
      </c>
      <c r="C236" s="3"/>
      <c r="D236" s="3"/>
      <c r="E236" s="3" t="s">
        <v>25</v>
      </c>
      <c r="F236" s="3">
        <v>8</v>
      </c>
      <c r="G236" s="3"/>
      <c r="H236" s="9"/>
      <c r="I236" s="9">
        <f>SUM(IFERROR(VLOOKUP($C:$C,Structure!$A:$AJ,I$1,0)*$D236,0),IFERROR(VLOOKUP($E:$E,Structure!$A:$AJ,I$1,0)*$F236,0),IFERROR(VLOOKUP($G:$G,Structure!$A:$AJ,I$1,0)*$H236,0))</f>
        <v>0</v>
      </c>
      <c r="J236" s="9">
        <f>SUM(IFERROR(VLOOKUP($C:$C,Structure!$A:$AJ,J$1,0)*$D236,0),IFERROR(VLOOKUP($E:$E,Structure!$A:$AJ,J$1,0)*$F236,0),IFERROR(VLOOKUP($G:$G,Structure!$A:$AJ,J$1,0)*$H236,0))</f>
        <v>0</v>
      </c>
      <c r="K236" s="9">
        <f>SUM(IFERROR(VLOOKUP($C:$C,Structure!$A:$AJ,K$1,0)*$D236,0),IFERROR(VLOOKUP($E:$E,Structure!$A:$AJ,K$1,0)*$F236,0),IFERROR(VLOOKUP($G:$G,Structure!$A:$AJ,K$1,0)*$H236,0))</f>
        <v>0</v>
      </c>
      <c r="L236" s="9">
        <f>SUM(IFERROR(VLOOKUP($C:$C,Structure!$A:$AJ,L$1,0)*$D236,0),IFERROR(VLOOKUP($E:$E,Structure!$A:$AJ,L$1,0)*$F236,0),IFERROR(VLOOKUP($G:$G,Structure!$A:$AJ,L$1,0)*$H236,0))</f>
        <v>0</v>
      </c>
      <c r="M236" s="9">
        <f>SUM(IFERROR(VLOOKUP($C:$C,Structure!$A:$AJ,M$1,0)*$D236,0),IFERROR(VLOOKUP($E:$E,Structure!$A:$AJ,M$1,0)*$F236,0),IFERROR(VLOOKUP($G:$G,Structure!$A:$AJ,M$1,0)*$H236,0))</f>
        <v>0</v>
      </c>
      <c r="N236" s="9">
        <f>SUM(IFERROR(VLOOKUP($C:$C,Structure!$A:$AJ,N$1,0)*$D236,0),IFERROR(VLOOKUP($E:$E,Structure!$A:$AJ,N$1,0)*$F236,0),IFERROR(VLOOKUP($G:$G,Structure!$A:$AJ,N$1,0)*$H236,0))</f>
        <v>0</v>
      </c>
      <c r="O236" s="9">
        <f>SUM(IFERROR(VLOOKUP($C:$C,Structure!$A:$AJ,O$1,0)*$D236,0),IFERROR(VLOOKUP($E:$E,Structure!$A:$AJ,O$1,0)*$F236,0),IFERROR(VLOOKUP($G:$G,Structure!$A:$AJ,O$1,0)*$H236,0))</f>
        <v>0</v>
      </c>
      <c r="P236" s="9">
        <f>SUM(IFERROR(VLOOKUP($C:$C,Structure!$A:$AJ,P$1,0)*$D236,0),IFERROR(VLOOKUP($E:$E,Structure!$A:$AJ,P$1,0)*$F236,0),IFERROR(VLOOKUP($G:$G,Structure!$A:$AJ,P$1,0)*$H236,0))</f>
        <v>0</v>
      </c>
      <c r="Q236" s="9">
        <f>SUM(IFERROR(VLOOKUP($C:$C,Structure!$A:$AJ,Q$1,0)*$D236,0),IFERROR(VLOOKUP($E:$E,Structure!$A:$AJ,Q$1,0)*$F236,0),IFERROR(VLOOKUP($G:$G,Structure!$A:$AJ,Q$1,0)*$H236,0))</f>
        <v>0</v>
      </c>
      <c r="R236" s="9">
        <f>SUM(IFERROR(VLOOKUP($C:$C,Structure!$A:$AJ,R$1,0)*$D236,0),IFERROR(VLOOKUP($E:$E,Structure!$A:$AJ,R$1,0)*$F236,0),IFERROR(VLOOKUP($G:$G,Structure!$A:$AJ,R$1,0)*$H236,0))</f>
        <v>0</v>
      </c>
      <c r="S236" s="9">
        <f>SUM(IFERROR(VLOOKUP($C:$C,Structure!$A:$AJ,S$1,0)*$D236,0),IFERROR(VLOOKUP($E:$E,Structure!$A:$AJ,S$1,0)*$F236,0),IFERROR(VLOOKUP($G:$G,Structure!$A:$AJ,S$1,0)*$H236,0))</f>
        <v>0</v>
      </c>
      <c r="T236" s="9">
        <f>SUM(IFERROR(VLOOKUP($C:$C,Structure!$A:$AJ,T$1,0)*$D236,0),IFERROR(VLOOKUP($E:$E,Structure!$A:$AJ,T$1,0)*$F236,0),IFERROR(VLOOKUP($G:$G,Structure!$A:$AJ,T$1,0)*$H236,0))</f>
        <v>0</v>
      </c>
      <c r="U236" s="9">
        <f>SUM(IFERROR(VLOOKUP($C:$C,Structure!$A:$AJ,U$1,0)*$D236,0),IFERROR(VLOOKUP($E:$E,Structure!$A:$AJ,U$1,0)*$F236,0),IFERROR(VLOOKUP($G:$G,Structure!$A:$AJ,U$1,0)*$H236,0))</f>
        <v>8</v>
      </c>
      <c r="V236" s="9">
        <f>SUM(IFERROR(VLOOKUP($C:$C,Structure!$A:$AJ,V$1,0)*$D236,0),IFERROR(VLOOKUP($E:$E,Structure!$A:$AJ,V$1,0)*$F236,0),IFERROR(VLOOKUP($G:$G,Structure!$A:$AJ,V$1,0)*$H236,0))</f>
        <v>0</v>
      </c>
      <c r="W236" s="9">
        <f>SUM(IFERROR(VLOOKUP($C:$C,Structure!$A:$AJ,W$1,0)*$D236,0),IFERROR(VLOOKUP($E:$E,Structure!$A:$AJ,W$1,0)*$F236,0),IFERROR(VLOOKUP($G:$G,Structure!$A:$AJ,W$1,0)*$H236,0))</f>
        <v>0</v>
      </c>
      <c r="X236" s="9">
        <f>SUM(IFERROR(VLOOKUP($C:$C,Structure!$A:$AJ,X$1,0)*$D236,0),IFERROR(VLOOKUP($E:$E,Structure!$A:$AJ,X$1,0)*$F236,0),IFERROR(VLOOKUP($G:$G,Structure!$A:$AJ,X$1,0)*$H236,0))</f>
        <v>0</v>
      </c>
      <c r="Y236" s="9">
        <f>SUM(IFERROR(VLOOKUP($C:$C,Structure!$A:$AJ,Y$1,0)*$D236,0),IFERROR(VLOOKUP($E:$E,Structure!$A:$AJ,Y$1,0)*$F236,0),IFERROR(VLOOKUP($G:$G,Structure!$A:$AJ,Y$1,0)*$H236,0))</f>
        <v>0</v>
      </c>
      <c r="Z236" s="9">
        <f>SUM(IFERROR(VLOOKUP($C:$C,Structure!$A:$AJ,Z$1,0)*$D236,0),IFERROR(VLOOKUP($E:$E,Structure!$A:$AJ,Z$1,0)*$F236,0),IFERROR(VLOOKUP($G:$G,Structure!$A:$AJ,Z$1,0)*$H236,0))</f>
        <v>0</v>
      </c>
      <c r="AA236" s="9">
        <f>SUM(IFERROR(VLOOKUP($C:$C,Structure!$A:$AJ,AA$1,0)*$D236,0),IFERROR(VLOOKUP($E:$E,Structure!$A:$AJ,AA$1,0)*$F236,0),IFERROR(VLOOKUP($G:$G,Structure!$A:$AJ,AA$1,0)*$H236,0))</f>
        <v>0</v>
      </c>
      <c r="AB236" s="9">
        <f>SUM(IFERROR(VLOOKUP($C:$C,Structure!$A:$AJ,AB$1,0)*$D236,0),IFERROR(VLOOKUP($E:$E,Structure!$A:$AJ,AB$1,0)*$F236,0),IFERROR(VLOOKUP($G:$G,Structure!$A:$AJ,AB$1,0)*$H236,0))</f>
        <v>0</v>
      </c>
      <c r="AC236" s="9">
        <f>SUM(IFERROR(VLOOKUP($C:$C,Structure!$A:$AJ,AC$1,0)*$D236,0),IFERROR(VLOOKUP($E:$E,Structure!$A:$AJ,AC$1,0)*$F236,0),IFERROR(VLOOKUP($G:$G,Structure!$A:$AJ,AC$1,0)*$H236,0))</f>
        <v>8</v>
      </c>
      <c r="AD236" s="9">
        <f>SUM(IFERROR(VLOOKUP($C:$C,Structure!$A:$AJ,AD$1,0)*$D236,0),IFERROR(VLOOKUP($E:$E,Structure!$A:$AJ,AD$1,0)*$F236,0),IFERROR(VLOOKUP($G:$G,Structure!$A:$AJ,AD$1,0)*$H236,0))</f>
        <v>0</v>
      </c>
      <c r="AE236" s="9">
        <f>SUM(IFERROR(VLOOKUP($C:$C,Structure!$A:$AJ,AE$1,0)*$D236,0),IFERROR(VLOOKUP($E:$E,Structure!$A:$AJ,AE$1,0)*$F236,0),IFERROR(VLOOKUP($G:$G,Structure!$A:$AJ,AE$1,0)*$H236,0))</f>
        <v>0</v>
      </c>
      <c r="AF236" s="9">
        <f>SUM(IFERROR(VLOOKUP($C:$C,Structure!$A:$AJ,AF$1,0)*$D236,0),IFERROR(VLOOKUP($E:$E,Structure!$A:$AJ,AF$1,0)*$F236,0),IFERROR(VLOOKUP($G:$G,Structure!$A:$AJ,AF$1,0)*$H236,0))</f>
        <v>0</v>
      </c>
      <c r="AG236" s="9">
        <f>SUM(IFERROR(VLOOKUP($C:$C,Structure!$A:$AJ,AG$1,0)*$D236,0),IFERROR(VLOOKUP($E:$E,Structure!$A:$AJ,AG$1,0)*$F236,0),IFERROR(VLOOKUP($G:$G,Structure!$A:$AJ,AG$1,0)*$H236,0))</f>
        <v>0</v>
      </c>
      <c r="AH236" s="9">
        <f>SUM(IFERROR(VLOOKUP($C:$C,Structure!$A:$AJ,AH$1,0)*$D236,0),IFERROR(VLOOKUP($E:$E,Structure!$A:$AJ,AH$1,0)*$F236,0),IFERROR(VLOOKUP($G:$G,Structure!$A:$AJ,AH$1,0)*$H236,0))</f>
        <v>0</v>
      </c>
      <c r="AI236" s="9">
        <f>SUM(IFERROR(VLOOKUP($C:$C,Structure!$A:$AJ,AI$1,0)*$D236,0),IFERROR(VLOOKUP($E:$E,Structure!$A:$AJ,AI$1,0)*$F236,0),IFERROR(VLOOKUP($G:$G,Structure!$A:$AJ,AI$1,0)*$H236,0))</f>
        <v>0</v>
      </c>
      <c r="AJ236" s="9">
        <f>SUM(IFERROR(VLOOKUP($C:$C,Structure!$A:$AJ,AJ$1,0)*$D236,0),IFERROR(VLOOKUP($E:$E,Structure!$A:$AJ,AJ$1,0)*$F236,0),IFERROR(VLOOKUP($G:$G,Structure!$A:$AJ,AJ$1,0)*$H236,0))</f>
        <v>0</v>
      </c>
      <c r="AK236" s="9">
        <f>SUM(IFERROR(VLOOKUP($C:$C,Structure!$A:$AJ,AK$1,0)*$D236,0),IFERROR(VLOOKUP($E:$E,Structure!$A:$AJ,AK$1,0)*$F236,0),IFERROR(VLOOKUP($G:$G,Structure!$A:$AJ,AK$1,0)*$H236,0))</f>
        <v>0</v>
      </c>
      <c r="AL236" s="9">
        <f>SUM(IFERROR(VLOOKUP($C:$C,Structure!$A:$AJ,AL$1,0)*$D236,0),IFERROR(VLOOKUP($E:$E,Structure!$A:$AJ,AL$1,0)*$F236,0),IFERROR(VLOOKUP($G:$G,Structure!$A:$AJ,AL$1,0)*$H236,0))</f>
        <v>0</v>
      </c>
      <c r="AM236" s="9">
        <f>SUM(IFERROR(VLOOKUP($C:$C,Structure!$A:$AJ,AM$1,0)*$D236,0),IFERROR(VLOOKUP($E:$E,Structure!$A:$AJ,AM$1,0)*$F236,0),IFERROR(VLOOKUP($G:$G,Structure!$A:$AJ,AM$1,0)*$H236,0))</f>
        <v>0</v>
      </c>
      <c r="AN236" s="9">
        <f>SUM(IFERROR(VLOOKUP($C:$C,Structure!$A:$AJ,AN$1,0)*$D236,0),IFERROR(VLOOKUP($E:$E,Structure!$A:$AJ,AN$1,0)*$F236,0),IFERROR(VLOOKUP($G:$G,Structure!$A:$AJ,AN$1,0)*$H236,0))</f>
        <v>0</v>
      </c>
      <c r="AO236" s="9">
        <f>SUM(IFERROR(VLOOKUP($C:$C,Structure!$A:$AJ,AO$1,0)*$D236,0),IFERROR(VLOOKUP($E:$E,Structure!$A:$AJ,AO$1,0)*$F236,0),IFERROR(VLOOKUP($G:$G,Structure!$A:$AJ,AO$1,0)*$H236,0))</f>
        <v>0</v>
      </c>
      <c r="AP236" s="9">
        <f>SUM(IFERROR(VLOOKUP($C:$C,Structure!$A:$AJ,AP$1,0)*$D236,0),IFERROR(VLOOKUP($E:$E,Structure!$A:$AJ,AP$1,0)*$F236,0),IFERROR(VLOOKUP($G:$G,Structure!$A:$AJ,AP$1,0)*$H236,0))</f>
        <v>0</v>
      </c>
      <c r="AQ236" s="9">
        <f>SUM(IFERROR(VLOOKUP($C:$C,Structure!$A:$AJ,AQ$1,0)*$D236,0),IFERROR(VLOOKUP($E:$E,Structure!$A:$AJ,AQ$1,0)*$F236,0),IFERROR(VLOOKUP($G:$G,Structure!$A:$AJ,AQ$1,0)*$H236,0))</f>
        <v>0</v>
      </c>
      <c r="AR236" s="21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4">
        <f t="shared" si="232"/>
        <v>0</v>
      </c>
      <c r="CE236" s="4">
        <f t="shared" si="233"/>
        <v>-180</v>
      </c>
      <c r="CF236" s="4">
        <f t="shared" si="234"/>
        <v>4</v>
      </c>
      <c r="CG236" s="4">
        <f t="shared" si="235"/>
        <v>11</v>
      </c>
      <c r="CH236" s="4">
        <f t="shared" si="236"/>
        <v>-7</v>
      </c>
      <c r="CI236" s="4">
        <f t="shared" si="237"/>
        <v>103</v>
      </c>
      <c r="CJ236" s="4">
        <f t="shared" si="238"/>
        <v>-367</v>
      </c>
      <c r="CK236" s="4">
        <f t="shared" si="239"/>
        <v>-1</v>
      </c>
      <c r="CL236" s="4">
        <f t="shared" si="240"/>
        <v>0</v>
      </c>
      <c r="CM236" s="4">
        <f t="shared" si="241"/>
        <v>6</v>
      </c>
      <c r="CN236" s="4">
        <f t="shared" si="242"/>
        <v>-254</v>
      </c>
      <c r="CO236" s="4">
        <f t="shared" si="243"/>
        <v>0</v>
      </c>
      <c r="CP236" s="4">
        <f t="shared" si="244"/>
        <v>51</v>
      </c>
      <c r="CQ236" s="4">
        <f t="shared" si="245"/>
        <v>-550</v>
      </c>
      <c r="CR236" s="4">
        <f t="shared" si="246"/>
        <v>12</v>
      </c>
      <c r="CS236" s="4">
        <f t="shared" si="247"/>
        <v>-48</v>
      </c>
      <c r="CT236" s="4">
        <f t="shared" si="248"/>
        <v>0</v>
      </c>
      <c r="CU236" s="4">
        <f t="shared" si="249"/>
        <v>0</v>
      </c>
      <c r="CV236" s="4">
        <f t="shared" si="250"/>
        <v>0</v>
      </c>
      <c r="CW236" s="4">
        <f t="shared" si="251"/>
        <v>0</v>
      </c>
      <c r="CX236" s="4">
        <f t="shared" si="252"/>
        <v>-559</v>
      </c>
      <c r="CY236" s="4">
        <f t="shared" si="253"/>
        <v>0</v>
      </c>
      <c r="CZ236" s="4">
        <f t="shared" si="254"/>
        <v>0</v>
      </c>
      <c r="DA236" s="4">
        <f t="shared" si="255"/>
        <v>0</v>
      </c>
      <c r="DB236" s="4">
        <f t="shared" si="256"/>
        <v>0</v>
      </c>
      <c r="DC236" s="4">
        <f t="shared" si="257"/>
        <v>0</v>
      </c>
      <c r="DD236" s="4">
        <f t="shared" si="258"/>
        <v>0</v>
      </c>
      <c r="DE236" s="4">
        <f t="shared" si="259"/>
        <v>0</v>
      </c>
      <c r="DF236" s="4">
        <f t="shared" si="260"/>
        <v>0</v>
      </c>
      <c r="DG236" s="4">
        <f t="shared" si="261"/>
        <v>0</v>
      </c>
      <c r="DH236" s="4">
        <f t="shared" si="262"/>
        <v>0</v>
      </c>
      <c r="DI236" s="4">
        <f t="shared" si="263"/>
        <v>0</v>
      </c>
      <c r="DJ236" s="4">
        <f t="shared" si="264"/>
        <v>0</v>
      </c>
      <c r="DK236" s="4">
        <f t="shared" si="265"/>
        <v>0</v>
      </c>
      <c r="DL236" s="4">
        <f t="shared" si="266"/>
        <v>0</v>
      </c>
    </row>
    <row r="237" spans="1:116" x14ac:dyDescent="0.25">
      <c r="A237" s="5">
        <v>46188</v>
      </c>
      <c r="B237" s="6">
        <v>0.18750000056752469</v>
      </c>
      <c r="C237" s="3"/>
      <c r="D237" s="3"/>
      <c r="E237" s="3" t="s">
        <v>25</v>
      </c>
      <c r="F237" s="3">
        <v>8</v>
      </c>
      <c r="G237" s="3"/>
      <c r="H237" s="9"/>
      <c r="I237" s="9">
        <f>SUM(IFERROR(VLOOKUP($C:$C,Structure!$A:$AJ,I$1,0)*$D237,0),IFERROR(VLOOKUP($E:$E,Structure!$A:$AJ,I$1,0)*$F237,0),IFERROR(VLOOKUP($G:$G,Structure!$A:$AJ,I$1,0)*$H237,0))</f>
        <v>0</v>
      </c>
      <c r="J237" s="9">
        <f>SUM(IFERROR(VLOOKUP($C:$C,Structure!$A:$AJ,J$1,0)*$D237,0),IFERROR(VLOOKUP($E:$E,Structure!$A:$AJ,J$1,0)*$F237,0),IFERROR(VLOOKUP($G:$G,Structure!$A:$AJ,J$1,0)*$H237,0))</f>
        <v>0</v>
      </c>
      <c r="K237" s="9">
        <f>SUM(IFERROR(VLOOKUP($C:$C,Structure!$A:$AJ,K$1,0)*$D237,0),IFERROR(VLOOKUP($E:$E,Structure!$A:$AJ,K$1,0)*$F237,0),IFERROR(VLOOKUP($G:$G,Structure!$A:$AJ,K$1,0)*$H237,0))</f>
        <v>0</v>
      </c>
      <c r="L237" s="9">
        <f>SUM(IFERROR(VLOOKUP($C:$C,Structure!$A:$AJ,L$1,0)*$D237,0),IFERROR(VLOOKUP($E:$E,Structure!$A:$AJ,L$1,0)*$F237,0),IFERROR(VLOOKUP($G:$G,Structure!$A:$AJ,L$1,0)*$H237,0))</f>
        <v>0</v>
      </c>
      <c r="M237" s="9">
        <f>SUM(IFERROR(VLOOKUP($C:$C,Structure!$A:$AJ,M$1,0)*$D237,0),IFERROR(VLOOKUP($E:$E,Structure!$A:$AJ,M$1,0)*$F237,0),IFERROR(VLOOKUP($G:$G,Structure!$A:$AJ,M$1,0)*$H237,0))</f>
        <v>0</v>
      </c>
      <c r="N237" s="9">
        <f>SUM(IFERROR(VLOOKUP($C:$C,Structure!$A:$AJ,N$1,0)*$D237,0),IFERROR(VLOOKUP($E:$E,Structure!$A:$AJ,N$1,0)*$F237,0),IFERROR(VLOOKUP($G:$G,Structure!$A:$AJ,N$1,0)*$H237,0))</f>
        <v>0</v>
      </c>
      <c r="O237" s="9">
        <f>SUM(IFERROR(VLOOKUP($C:$C,Structure!$A:$AJ,O$1,0)*$D237,0),IFERROR(VLOOKUP($E:$E,Structure!$A:$AJ,O$1,0)*$F237,0),IFERROR(VLOOKUP($G:$G,Structure!$A:$AJ,O$1,0)*$H237,0))</f>
        <v>0</v>
      </c>
      <c r="P237" s="9">
        <f>SUM(IFERROR(VLOOKUP($C:$C,Structure!$A:$AJ,P$1,0)*$D237,0),IFERROR(VLOOKUP($E:$E,Structure!$A:$AJ,P$1,0)*$F237,0),IFERROR(VLOOKUP($G:$G,Structure!$A:$AJ,P$1,0)*$H237,0))</f>
        <v>0</v>
      </c>
      <c r="Q237" s="9">
        <f>SUM(IFERROR(VLOOKUP($C:$C,Structure!$A:$AJ,Q$1,0)*$D237,0),IFERROR(VLOOKUP($E:$E,Structure!$A:$AJ,Q$1,0)*$F237,0),IFERROR(VLOOKUP($G:$G,Structure!$A:$AJ,Q$1,0)*$H237,0))</f>
        <v>0</v>
      </c>
      <c r="R237" s="9">
        <f>SUM(IFERROR(VLOOKUP($C:$C,Structure!$A:$AJ,R$1,0)*$D237,0),IFERROR(VLOOKUP($E:$E,Structure!$A:$AJ,R$1,0)*$F237,0),IFERROR(VLOOKUP($G:$G,Structure!$A:$AJ,R$1,0)*$H237,0))</f>
        <v>0</v>
      </c>
      <c r="S237" s="9">
        <f>SUM(IFERROR(VLOOKUP($C:$C,Structure!$A:$AJ,S$1,0)*$D237,0),IFERROR(VLOOKUP($E:$E,Structure!$A:$AJ,S$1,0)*$F237,0),IFERROR(VLOOKUP($G:$G,Structure!$A:$AJ,S$1,0)*$H237,0))</f>
        <v>0</v>
      </c>
      <c r="T237" s="9">
        <f>SUM(IFERROR(VLOOKUP($C:$C,Structure!$A:$AJ,T$1,0)*$D237,0),IFERROR(VLOOKUP($E:$E,Structure!$A:$AJ,T$1,0)*$F237,0),IFERROR(VLOOKUP($G:$G,Structure!$A:$AJ,T$1,0)*$H237,0))</f>
        <v>0</v>
      </c>
      <c r="U237" s="9">
        <f>SUM(IFERROR(VLOOKUP($C:$C,Structure!$A:$AJ,U$1,0)*$D237,0),IFERROR(VLOOKUP($E:$E,Structure!$A:$AJ,U$1,0)*$F237,0),IFERROR(VLOOKUP($G:$G,Structure!$A:$AJ,U$1,0)*$H237,0))</f>
        <v>8</v>
      </c>
      <c r="V237" s="9">
        <f>SUM(IFERROR(VLOOKUP($C:$C,Structure!$A:$AJ,V$1,0)*$D237,0),IFERROR(VLOOKUP($E:$E,Structure!$A:$AJ,V$1,0)*$F237,0),IFERROR(VLOOKUP($G:$G,Structure!$A:$AJ,V$1,0)*$H237,0))</f>
        <v>0</v>
      </c>
      <c r="W237" s="9">
        <f>SUM(IFERROR(VLOOKUP($C:$C,Structure!$A:$AJ,W$1,0)*$D237,0),IFERROR(VLOOKUP($E:$E,Structure!$A:$AJ,W$1,0)*$F237,0),IFERROR(VLOOKUP($G:$G,Structure!$A:$AJ,W$1,0)*$H237,0))</f>
        <v>0</v>
      </c>
      <c r="X237" s="9">
        <f>SUM(IFERROR(VLOOKUP($C:$C,Structure!$A:$AJ,X$1,0)*$D237,0),IFERROR(VLOOKUP($E:$E,Structure!$A:$AJ,X$1,0)*$F237,0),IFERROR(VLOOKUP($G:$G,Structure!$A:$AJ,X$1,0)*$H237,0))</f>
        <v>0</v>
      </c>
      <c r="Y237" s="9">
        <f>SUM(IFERROR(VLOOKUP($C:$C,Structure!$A:$AJ,Y$1,0)*$D237,0),IFERROR(VLOOKUP($E:$E,Structure!$A:$AJ,Y$1,0)*$F237,0),IFERROR(VLOOKUP($G:$G,Structure!$A:$AJ,Y$1,0)*$H237,0))</f>
        <v>0</v>
      </c>
      <c r="Z237" s="9">
        <f>SUM(IFERROR(VLOOKUP($C:$C,Structure!$A:$AJ,Z$1,0)*$D237,0),IFERROR(VLOOKUP($E:$E,Structure!$A:$AJ,Z$1,0)*$F237,0),IFERROR(VLOOKUP($G:$G,Structure!$A:$AJ,Z$1,0)*$H237,0))</f>
        <v>0</v>
      </c>
      <c r="AA237" s="9">
        <f>SUM(IFERROR(VLOOKUP($C:$C,Structure!$A:$AJ,AA$1,0)*$D237,0),IFERROR(VLOOKUP($E:$E,Structure!$A:$AJ,AA$1,0)*$F237,0),IFERROR(VLOOKUP($G:$G,Structure!$A:$AJ,AA$1,0)*$H237,0))</f>
        <v>0</v>
      </c>
      <c r="AB237" s="9">
        <f>SUM(IFERROR(VLOOKUP($C:$C,Structure!$A:$AJ,AB$1,0)*$D237,0),IFERROR(VLOOKUP($E:$E,Structure!$A:$AJ,AB$1,0)*$F237,0),IFERROR(VLOOKUP($G:$G,Structure!$A:$AJ,AB$1,0)*$H237,0))</f>
        <v>0</v>
      </c>
      <c r="AC237" s="9">
        <f>SUM(IFERROR(VLOOKUP($C:$C,Structure!$A:$AJ,AC$1,0)*$D237,0),IFERROR(VLOOKUP($E:$E,Structure!$A:$AJ,AC$1,0)*$F237,0),IFERROR(VLOOKUP($G:$G,Structure!$A:$AJ,AC$1,0)*$H237,0))</f>
        <v>8</v>
      </c>
      <c r="AD237" s="9">
        <f>SUM(IFERROR(VLOOKUP($C:$C,Structure!$A:$AJ,AD$1,0)*$D237,0),IFERROR(VLOOKUP($E:$E,Structure!$A:$AJ,AD$1,0)*$F237,0),IFERROR(VLOOKUP($G:$G,Structure!$A:$AJ,AD$1,0)*$H237,0))</f>
        <v>0</v>
      </c>
      <c r="AE237" s="9">
        <f>SUM(IFERROR(VLOOKUP($C:$C,Structure!$A:$AJ,AE$1,0)*$D237,0),IFERROR(VLOOKUP($E:$E,Structure!$A:$AJ,AE$1,0)*$F237,0),IFERROR(VLOOKUP($G:$G,Structure!$A:$AJ,AE$1,0)*$H237,0))</f>
        <v>0</v>
      </c>
      <c r="AF237" s="9">
        <f>SUM(IFERROR(VLOOKUP($C:$C,Structure!$A:$AJ,AF$1,0)*$D237,0),IFERROR(VLOOKUP($E:$E,Structure!$A:$AJ,AF$1,0)*$F237,0),IFERROR(VLOOKUP($G:$G,Structure!$A:$AJ,AF$1,0)*$H237,0))</f>
        <v>0</v>
      </c>
      <c r="AG237" s="9">
        <f>SUM(IFERROR(VLOOKUP($C:$C,Structure!$A:$AJ,AG$1,0)*$D237,0),IFERROR(VLOOKUP($E:$E,Structure!$A:$AJ,AG$1,0)*$F237,0),IFERROR(VLOOKUP($G:$G,Structure!$A:$AJ,AG$1,0)*$H237,0))</f>
        <v>0</v>
      </c>
      <c r="AH237" s="9">
        <f>SUM(IFERROR(VLOOKUP($C:$C,Structure!$A:$AJ,AH$1,0)*$D237,0),IFERROR(VLOOKUP($E:$E,Structure!$A:$AJ,AH$1,0)*$F237,0),IFERROR(VLOOKUP($G:$G,Structure!$A:$AJ,AH$1,0)*$H237,0))</f>
        <v>0</v>
      </c>
      <c r="AI237" s="9">
        <f>SUM(IFERROR(VLOOKUP($C:$C,Structure!$A:$AJ,AI$1,0)*$D237,0),IFERROR(VLOOKUP($E:$E,Structure!$A:$AJ,AI$1,0)*$F237,0),IFERROR(VLOOKUP($G:$G,Structure!$A:$AJ,AI$1,0)*$H237,0))</f>
        <v>0</v>
      </c>
      <c r="AJ237" s="9">
        <f>SUM(IFERROR(VLOOKUP($C:$C,Structure!$A:$AJ,AJ$1,0)*$D237,0),IFERROR(VLOOKUP($E:$E,Structure!$A:$AJ,AJ$1,0)*$F237,0),IFERROR(VLOOKUP($G:$G,Structure!$A:$AJ,AJ$1,0)*$H237,0))</f>
        <v>0</v>
      </c>
      <c r="AK237" s="9">
        <f>SUM(IFERROR(VLOOKUP($C:$C,Structure!$A:$AJ,AK$1,0)*$D237,0),IFERROR(VLOOKUP($E:$E,Structure!$A:$AJ,AK$1,0)*$F237,0),IFERROR(VLOOKUP($G:$G,Structure!$A:$AJ,AK$1,0)*$H237,0))</f>
        <v>0</v>
      </c>
      <c r="AL237" s="9">
        <f>SUM(IFERROR(VLOOKUP($C:$C,Structure!$A:$AJ,AL$1,0)*$D237,0),IFERROR(VLOOKUP($E:$E,Structure!$A:$AJ,AL$1,0)*$F237,0),IFERROR(VLOOKUP($G:$G,Structure!$A:$AJ,AL$1,0)*$H237,0))</f>
        <v>0</v>
      </c>
      <c r="AM237" s="9">
        <f>SUM(IFERROR(VLOOKUP($C:$C,Structure!$A:$AJ,AM$1,0)*$D237,0),IFERROR(VLOOKUP($E:$E,Structure!$A:$AJ,AM$1,0)*$F237,0),IFERROR(VLOOKUP($G:$G,Structure!$A:$AJ,AM$1,0)*$H237,0))</f>
        <v>0</v>
      </c>
      <c r="AN237" s="9">
        <f>SUM(IFERROR(VLOOKUP($C:$C,Structure!$A:$AJ,AN$1,0)*$D237,0),IFERROR(VLOOKUP($E:$E,Structure!$A:$AJ,AN$1,0)*$F237,0),IFERROR(VLOOKUP($G:$G,Structure!$A:$AJ,AN$1,0)*$H237,0))</f>
        <v>0</v>
      </c>
      <c r="AO237" s="9">
        <f>SUM(IFERROR(VLOOKUP($C:$C,Structure!$A:$AJ,AO$1,0)*$D237,0),IFERROR(VLOOKUP($E:$E,Structure!$A:$AJ,AO$1,0)*$F237,0),IFERROR(VLOOKUP($G:$G,Structure!$A:$AJ,AO$1,0)*$H237,0))</f>
        <v>0</v>
      </c>
      <c r="AP237" s="9">
        <f>SUM(IFERROR(VLOOKUP($C:$C,Structure!$A:$AJ,AP$1,0)*$D237,0),IFERROR(VLOOKUP($E:$E,Structure!$A:$AJ,AP$1,0)*$F237,0),IFERROR(VLOOKUP($G:$G,Structure!$A:$AJ,AP$1,0)*$H237,0))</f>
        <v>0</v>
      </c>
      <c r="AQ237" s="9">
        <f>SUM(IFERROR(VLOOKUP($C:$C,Structure!$A:$AJ,AQ$1,0)*$D237,0),IFERROR(VLOOKUP($E:$E,Structure!$A:$AJ,AQ$1,0)*$F237,0),IFERROR(VLOOKUP($G:$G,Structure!$A:$AJ,AQ$1,0)*$H237,0))</f>
        <v>0</v>
      </c>
      <c r="AR237" s="21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4">
        <f t="shared" ref="CD237:CD300" si="267">CD236+AU237-I237</f>
        <v>0</v>
      </c>
      <c r="CE237" s="4">
        <f t="shared" ref="CE237:CE300" si="268">CE236+AV237-J237</f>
        <v>-180</v>
      </c>
      <c r="CF237" s="4">
        <f t="shared" ref="CF237:CF300" si="269">CF236+AW237-K237</f>
        <v>4</v>
      </c>
      <c r="CG237" s="4">
        <f t="shared" ref="CG237:CG300" si="270">CG236+AX237-L237</f>
        <v>11</v>
      </c>
      <c r="CH237" s="4">
        <f t="shared" ref="CH237:CH300" si="271">CH236+AY237-M237</f>
        <v>-7</v>
      </c>
      <c r="CI237" s="4">
        <f t="shared" ref="CI237:CI300" si="272">CI236+AZ237-N237</f>
        <v>103</v>
      </c>
      <c r="CJ237" s="4">
        <f t="shared" ref="CJ237:CJ300" si="273">CJ236+BA237-O237</f>
        <v>-367</v>
      </c>
      <c r="CK237" s="4">
        <f t="shared" ref="CK237:CK300" si="274">CK236+BB237-P237</f>
        <v>-1</v>
      </c>
      <c r="CL237" s="4">
        <f t="shared" ref="CL237:CL300" si="275">CL236+BC237-Q237</f>
        <v>0</v>
      </c>
      <c r="CM237" s="4">
        <f t="shared" ref="CM237:CM300" si="276">CM236+BD237-R237</f>
        <v>6</v>
      </c>
      <c r="CN237" s="4">
        <f t="shared" ref="CN237:CN300" si="277">CN236+BE237-S237</f>
        <v>-254</v>
      </c>
      <c r="CO237" s="4">
        <f t="shared" ref="CO237:CO300" si="278">CO236+BF237-T237</f>
        <v>0</v>
      </c>
      <c r="CP237" s="4">
        <f t="shared" ref="CP237:CP300" si="279">CP236+BG237-U237</f>
        <v>43</v>
      </c>
      <c r="CQ237" s="4">
        <f t="shared" ref="CQ237:CQ300" si="280">CQ236+BH237-V237</f>
        <v>-550</v>
      </c>
      <c r="CR237" s="4">
        <f t="shared" ref="CR237:CR300" si="281">CR236+BI237-W237</f>
        <v>12</v>
      </c>
      <c r="CS237" s="4">
        <f t="shared" ref="CS237:CS300" si="282">CS236+BJ237-X237</f>
        <v>-48</v>
      </c>
      <c r="CT237" s="4">
        <f t="shared" ref="CT237:CT300" si="283">CT236+BK237-Y237</f>
        <v>0</v>
      </c>
      <c r="CU237" s="4">
        <f t="shared" ref="CU237:CU300" si="284">CU236+BL237-Z237</f>
        <v>0</v>
      </c>
      <c r="CV237" s="4">
        <f t="shared" ref="CV237:CV300" si="285">CV236+BM237-AA237</f>
        <v>0</v>
      </c>
      <c r="CW237" s="4">
        <f t="shared" ref="CW237:CW300" si="286">CW236+BN237-AB237</f>
        <v>0</v>
      </c>
      <c r="CX237" s="4">
        <f t="shared" ref="CX237:CX300" si="287">CX236+BO237-AC237</f>
        <v>-567</v>
      </c>
      <c r="CY237" s="4">
        <f t="shared" ref="CY237:CY300" si="288">CY236+BP237-AD237</f>
        <v>0</v>
      </c>
      <c r="CZ237" s="4">
        <f t="shared" ref="CZ237:CZ300" si="289">CZ236+BQ237-AE237</f>
        <v>0</v>
      </c>
      <c r="DA237" s="4">
        <f t="shared" ref="DA237:DA300" si="290">DA236+BR237-AF237</f>
        <v>0</v>
      </c>
      <c r="DB237" s="4">
        <f t="shared" ref="DB237:DB300" si="291">DB236+BS237-AG237</f>
        <v>0</v>
      </c>
      <c r="DC237" s="4">
        <f t="shared" ref="DC237:DC300" si="292">DC236+BT237-AH237</f>
        <v>0</v>
      </c>
      <c r="DD237" s="4">
        <f t="shared" ref="DD237:DD300" si="293">DD236+BU237-AI237</f>
        <v>0</v>
      </c>
      <c r="DE237" s="4">
        <f t="shared" ref="DE237:DE300" si="294">DE236+BV237-AJ237</f>
        <v>0</v>
      </c>
      <c r="DF237" s="4">
        <f t="shared" ref="DF237:DF300" si="295">DF236+BW237-AK237</f>
        <v>0</v>
      </c>
      <c r="DG237" s="4">
        <f t="shared" ref="DG237:DG300" si="296">DG236+BX237-AL237</f>
        <v>0</v>
      </c>
      <c r="DH237" s="4">
        <f t="shared" ref="DH237:DH300" si="297">DH236+BY237-AM237</f>
        <v>0</v>
      </c>
      <c r="DI237" s="4">
        <f t="shared" ref="DI237:DI300" si="298">DI236+BZ237-AN237</f>
        <v>0</v>
      </c>
      <c r="DJ237" s="4">
        <f t="shared" ref="DJ237:DJ300" si="299">DJ236+CA237-AO237</f>
        <v>0</v>
      </c>
      <c r="DK237" s="4">
        <f t="shared" ref="DK237:DK300" si="300">DK236+CB237-AP237</f>
        <v>0</v>
      </c>
      <c r="DL237" s="4">
        <f t="shared" ref="DL237:DL300" si="301">DL236+CC237-AQ237</f>
        <v>0</v>
      </c>
    </row>
    <row r="238" spans="1:116" x14ac:dyDescent="0.25">
      <c r="A238" s="5">
        <v>46188</v>
      </c>
      <c r="B238" s="6">
        <v>0.20833333390328335</v>
      </c>
      <c r="C238" s="3"/>
      <c r="D238" s="3"/>
      <c r="E238" s="3" t="s">
        <v>25</v>
      </c>
      <c r="F238" s="3">
        <v>8</v>
      </c>
      <c r="G238" s="3"/>
      <c r="H238" s="9"/>
      <c r="I238" s="9">
        <f>SUM(IFERROR(VLOOKUP($C:$C,Structure!$A:$AJ,I$1,0)*$D238,0),IFERROR(VLOOKUP($E:$E,Structure!$A:$AJ,I$1,0)*$F238,0),IFERROR(VLOOKUP($G:$G,Structure!$A:$AJ,I$1,0)*$H238,0))</f>
        <v>0</v>
      </c>
      <c r="J238" s="9">
        <f>SUM(IFERROR(VLOOKUP($C:$C,Structure!$A:$AJ,J$1,0)*$D238,0),IFERROR(VLOOKUP($E:$E,Structure!$A:$AJ,J$1,0)*$F238,0),IFERROR(VLOOKUP($G:$G,Structure!$A:$AJ,J$1,0)*$H238,0))</f>
        <v>0</v>
      </c>
      <c r="K238" s="9">
        <f>SUM(IFERROR(VLOOKUP($C:$C,Structure!$A:$AJ,K$1,0)*$D238,0),IFERROR(VLOOKUP($E:$E,Structure!$A:$AJ,K$1,0)*$F238,0),IFERROR(VLOOKUP($G:$G,Structure!$A:$AJ,K$1,0)*$H238,0))</f>
        <v>0</v>
      </c>
      <c r="L238" s="9">
        <f>SUM(IFERROR(VLOOKUP($C:$C,Structure!$A:$AJ,L$1,0)*$D238,0),IFERROR(VLOOKUP($E:$E,Structure!$A:$AJ,L$1,0)*$F238,0),IFERROR(VLOOKUP($G:$G,Structure!$A:$AJ,L$1,0)*$H238,0))</f>
        <v>0</v>
      </c>
      <c r="M238" s="9">
        <f>SUM(IFERROR(VLOOKUP($C:$C,Structure!$A:$AJ,M$1,0)*$D238,0),IFERROR(VLOOKUP($E:$E,Structure!$A:$AJ,M$1,0)*$F238,0),IFERROR(VLOOKUP($G:$G,Structure!$A:$AJ,M$1,0)*$H238,0))</f>
        <v>0</v>
      </c>
      <c r="N238" s="9">
        <f>SUM(IFERROR(VLOOKUP($C:$C,Structure!$A:$AJ,N$1,0)*$D238,0),IFERROR(VLOOKUP($E:$E,Structure!$A:$AJ,N$1,0)*$F238,0),IFERROR(VLOOKUP($G:$G,Structure!$A:$AJ,N$1,0)*$H238,0))</f>
        <v>0</v>
      </c>
      <c r="O238" s="9">
        <f>SUM(IFERROR(VLOOKUP($C:$C,Structure!$A:$AJ,O$1,0)*$D238,0),IFERROR(VLOOKUP($E:$E,Structure!$A:$AJ,O$1,0)*$F238,0),IFERROR(VLOOKUP($G:$G,Structure!$A:$AJ,O$1,0)*$H238,0))</f>
        <v>0</v>
      </c>
      <c r="P238" s="9">
        <f>SUM(IFERROR(VLOOKUP($C:$C,Structure!$A:$AJ,P$1,0)*$D238,0),IFERROR(VLOOKUP($E:$E,Structure!$A:$AJ,P$1,0)*$F238,0),IFERROR(VLOOKUP($G:$G,Structure!$A:$AJ,P$1,0)*$H238,0))</f>
        <v>0</v>
      </c>
      <c r="Q238" s="9">
        <f>SUM(IFERROR(VLOOKUP($C:$C,Structure!$A:$AJ,Q$1,0)*$D238,0),IFERROR(VLOOKUP($E:$E,Structure!$A:$AJ,Q$1,0)*$F238,0),IFERROR(VLOOKUP($G:$G,Structure!$A:$AJ,Q$1,0)*$H238,0))</f>
        <v>0</v>
      </c>
      <c r="R238" s="9">
        <f>SUM(IFERROR(VLOOKUP($C:$C,Structure!$A:$AJ,R$1,0)*$D238,0),IFERROR(VLOOKUP($E:$E,Structure!$A:$AJ,R$1,0)*$F238,0),IFERROR(VLOOKUP($G:$G,Structure!$A:$AJ,R$1,0)*$H238,0))</f>
        <v>0</v>
      </c>
      <c r="S238" s="9">
        <f>SUM(IFERROR(VLOOKUP($C:$C,Structure!$A:$AJ,S$1,0)*$D238,0),IFERROR(VLOOKUP($E:$E,Structure!$A:$AJ,S$1,0)*$F238,0),IFERROR(VLOOKUP($G:$G,Structure!$A:$AJ,S$1,0)*$H238,0))</f>
        <v>0</v>
      </c>
      <c r="T238" s="9">
        <f>SUM(IFERROR(VLOOKUP($C:$C,Structure!$A:$AJ,T$1,0)*$D238,0),IFERROR(VLOOKUP($E:$E,Structure!$A:$AJ,T$1,0)*$F238,0),IFERROR(VLOOKUP($G:$G,Structure!$A:$AJ,T$1,0)*$H238,0))</f>
        <v>0</v>
      </c>
      <c r="U238" s="9">
        <f>SUM(IFERROR(VLOOKUP($C:$C,Structure!$A:$AJ,U$1,0)*$D238,0),IFERROR(VLOOKUP($E:$E,Structure!$A:$AJ,U$1,0)*$F238,0),IFERROR(VLOOKUP($G:$G,Structure!$A:$AJ,U$1,0)*$H238,0))</f>
        <v>8</v>
      </c>
      <c r="V238" s="9">
        <f>SUM(IFERROR(VLOOKUP($C:$C,Structure!$A:$AJ,V$1,0)*$D238,0),IFERROR(VLOOKUP($E:$E,Structure!$A:$AJ,V$1,0)*$F238,0),IFERROR(VLOOKUP($G:$G,Structure!$A:$AJ,V$1,0)*$H238,0))</f>
        <v>0</v>
      </c>
      <c r="W238" s="9">
        <f>SUM(IFERROR(VLOOKUP($C:$C,Structure!$A:$AJ,W$1,0)*$D238,0),IFERROR(VLOOKUP($E:$E,Structure!$A:$AJ,W$1,0)*$F238,0),IFERROR(VLOOKUP($G:$G,Structure!$A:$AJ,W$1,0)*$H238,0))</f>
        <v>0</v>
      </c>
      <c r="X238" s="9">
        <f>SUM(IFERROR(VLOOKUP($C:$C,Structure!$A:$AJ,X$1,0)*$D238,0),IFERROR(VLOOKUP($E:$E,Structure!$A:$AJ,X$1,0)*$F238,0),IFERROR(VLOOKUP($G:$G,Structure!$A:$AJ,X$1,0)*$H238,0))</f>
        <v>0</v>
      </c>
      <c r="Y238" s="9">
        <f>SUM(IFERROR(VLOOKUP($C:$C,Structure!$A:$AJ,Y$1,0)*$D238,0),IFERROR(VLOOKUP($E:$E,Structure!$A:$AJ,Y$1,0)*$F238,0),IFERROR(VLOOKUP($G:$G,Structure!$A:$AJ,Y$1,0)*$H238,0))</f>
        <v>0</v>
      </c>
      <c r="Z238" s="9">
        <f>SUM(IFERROR(VLOOKUP($C:$C,Structure!$A:$AJ,Z$1,0)*$D238,0),IFERROR(VLOOKUP($E:$E,Structure!$A:$AJ,Z$1,0)*$F238,0),IFERROR(VLOOKUP($G:$G,Structure!$A:$AJ,Z$1,0)*$H238,0))</f>
        <v>0</v>
      </c>
      <c r="AA238" s="9">
        <f>SUM(IFERROR(VLOOKUP($C:$C,Structure!$A:$AJ,AA$1,0)*$D238,0),IFERROR(VLOOKUP($E:$E,Structure!$A:$AJ,AA$1,0)*$F238,0),IFERROR(VLOOKUP($G:$G,Structure!$A:$AJ,AA$1,0)*$H238,0))</f>
        <v>0</v>
      </c>
      <c r="AB238" s="9">
        <f>SUM(IFERROR(VLOOKUP($C:$C,Structure!$A:$AJ,AB$1,0)*$D238,0),IFERROR(VLOOKUP($E:$E,Structure!$A:$AJ,AB$1,0)*$F238,0),IFERROR(VLOOKUP($G:$G,Structure!$A:$AJ,AB$1,0)*$H238,0))</f>
        <v>0</v>
      </c>
      <c r="AC238" s="9">
        <f>SUM(IFERROR(VLOOKUP($C:$C,Structure!$A:$AJ,AC$1,0)*$D238,0),IFERROR(VLOOKUP($E:$E,Structure!$A:$AJ,AC$1,0)*$F238,0),IFERROR(VLOOKUP($G:$G,Structure!$A:$AJ,AC$1,0)*$H238,0))</f>
        <v>8</v>
      </c>
      <c r="AD238" s="9">
        <f>SUM(IFERROR(VLOOKUP($C:$C,Structure!$A:$AJ,AD$1,0)*$D238,0),IFERROR(VLOOKUP($E:$E,Structure!$A:$AJ,AD$1,0)*$F238,0),IFERROR(VLOOKUP($G:$G,Structure!$A:$AJ,AD$1,0)*$H238,0))</f>
        <v>0</v>
      </c>
      <c r="AE238" s="9">
        <f>SUM(IFERROR(VLOOKUP($C:$C,Structure!$A:$AJ,AE$1,0)*$D238,0),IFERROR(VLOOKUP($E:$E,Structure!$A:$AJ,AE$1,0)*$F238,0),IFERROR(VLOOKUP($G:$G,Structure!$A:$AJ,AE$1,0)*$H238,0))</f>
        <v>0</v>
      </c>
      <c r="AF238" s="9">
        <f>SUM(IFERROR(VLOOKUP($C:$C,Structure!$A:$AJ,AF$1,0)*$D238,0),IFERROR(VLOOKUP($E:$E,Structure!$A:$AJ,AF$1,0)*$F238,0),IFERROR(VLOOKUP($G:$G,Structure!$A:$AJ,AF$1,0)*$H238,0))</f>
        <v>0</v>
      </c>
      <c r="AG238" s="9">
        <f>SUM(IFERROR(VLOOKUP($C:$C,Structure!$A:$AJ,AG$1,0)*$D238,0),IFERROR(VLOOKUP($E:$E,Structure!$A:$AJ,AG$1,0)*$F238,0),IFERROR(VLOOKUP($G:$G,Structure!$A:$AJ,AG$1,0)*$H238,0))</f>
        <v>0</v>
      </c>
      <c r="AH238" s="9">
        <f>SUM(IFERROR(VLOOKUP($C:$C,Structure!$A:$AJ,AH$1,0)*$D238,0),IFERROR(VLOOKUP($E:$E,Structure!$A:$AJ,AH$1,0)*$F238,0),IFERROR(VLOOKUP($G:$G,Structure!$A:$AJ,AH$1,0)*$H238,0))</f>
        <v>0</v>
      </c>
      <c r="AI238" s="9">
        <f>SUM(IFERROR(VLOOKUP($C:$C,Structure!$A:$AJ,AI$1,0)*$D238,0),IFERROR(VLOOKUP($E:$E,Structure!$A:$AJ,AI$1,0)*$F238,0),IFERROR(VLOOKUP($G:$G,Structure!$A:$AJ,AI$1,0)*$H238,0))</f>
        <v>0</v>
      </c>
      <c r="AJ238" s="9">
        <f>SUM(IFERROR(VLOOKUP($C:$C,Structure!$A:$AJ,AJ$1,0)*$D238,0),IFERROR(VLOOKUP($E:$E,Structure!$A:$AJ,AJ$1,0)*$F238,0),IFERROR(VLOOKUP($G:$G,Structure!$A:$AJ,AJ$1,0)*$H238,0))</f>
        <v>0</v>
      </c>
      <c r="AK238" s="9">
        <f>SUM(IFERROR(VLOOKUP($C:$C,Structure!$A:$AJ,AK$1,0)*$D238,0),IFERROR(VLOOKUP($E:$E,Structure!$A:$AJ,AK$1,0)*$F238,0),IFERROR(VLOOKUP($G:$G,Structure!$A:$AJ,AK$1,0)*$H238,0))</f>
        <v>0</v>
      </c>
      <c r="AL238" s="9">
        <f>SUM(IFERROR(VLOOKUP($C:$C,Structure!$A:$AJ,AL$1,0)*$D238,0),IFERROR(VLOOKUP($E:$E,Structure!$A:$AJ,AL$1,0)*$F238,0),IFERROR(VLOOKUP($G:$G,Structure!$A:$AJ,AL$1,0)*$H238,0))</f>
        <v>0</v>
      </c>
      <c r="AM238" s="9">
        <f>SUM(IFERROR(VLOOKUP($C:$C,Structure!$A:$AJ,AM$1,0)*$D238,0),IFERROR(VLOOKUP($E:$E,Structure!$A:$AJ,AM$1,0)*$F238,0),IFERROR(VLOOKUP($G:$G,Structure!$A:$AJ,AM$1,0)*$H238,0))</f>
        <v>0</v>
      </c>
      <c r="AN238" s="9">
        <f>SUM(IFERROR(VLOOKUP($C:$C,Structure!$A:$AJ,AN$1,0)*$D238,0),IFERROR(VLOOKUP($E:$E,Structure!$A:$AJ,AN$1,0)*$F238,0),IFERROR(VLOOKUP($G:$G,Structure!$A:$AJ,AN$1,0)*$H238,0))</f>
        <v>0</v>
      </c>
      <c r="AO238" s="9">
        <f>SUM(IFERROR(VLOOKUP($C:$C,Structure!$A:$AJ,AO$1,0)*$D238,0),IFERROR(VLOOKUP($E:$E,Structure!$A:$AJ,AO$1,0)*$F238,0),IFERROR(VLOOKUP($G:$G,Structure!$A:$AJ,AO$1,0)*$H238,0))</f>
        <v>0</v>
      </c>
      <c r="AP238" s="9">
        <f>SUM(IFERROR(VLOOKUP($C:$C,Structure!$A:$AJ,AP$1,0)*$D238,0),IFERROR(VLOOKUP($E:$E,Structure!$A:$AJ,AP$1,0)*$F238,0),IFERROR(VLOOKUP($G:$G,Structure!$A:$AJ,AP$1,0)*$H238,0))</f>
        <v>0</v>
      </c>
      <c r="AQ238" s="9">
        <f>SUM(IFERROR(VLOOKUP($C:$C,Structure!$A:$AJ,AQ$1,0)*$D238,0),IFERROR(VLOOKUP($E:$E,Structure!$A:$AJ,AQ$1,0)*$F238,0),IFERROR(VLOOKUP($G:$G,Structure!$A:$AJ,AQ$1,0)*$H238,0))</f>
        <v>0</v>
      </c>
      <c r="AR238" s="21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4">
        <f t="shared" si="267"/>
        <v>0</v>
      </c>
      <c r="CE238" s="4">
        <f t="shared" si="268"/>
        <v>-180</v>
      </c>
      <c r="CF238" s="4">
        <f t="shared" si="269"/>
        <v>4</v>
      </c>
      <c r="CG238" s="4">
        <f t="shared" si="270"/>
        <v>11</v>
      </c>
      <c r="CH238" s="4">
        <f t="shared" si="271"/>
        <v>-7</v>
      </c>
      <c r="CI238" s="4">
        <f t="shared" si="272"/>
        <v>103</v>
      </c>
      <c r="CJ238" s="4">
        <f t="shared" si="273"/>
        <v>-367</v>
      </c>
      <c r="CK238" s="4">
        <f t="shared" si="274"/>
        <v>-1</v>
      </c>
      <c r="CL238" s="4">
        <f t="shared" si="275"/>
        <v>0</v>
      </c>
      <c r="CM238" s="4">
        <f t="shared" si="276"/>
        <v>6</v>
      </c>
      <c r="CN238" s="4">
        <f t="shared" si="277"/>
        <v>-254</v>
      </c>
      <c r="CO238" s="4">
        <f t="shared" si="278"/>
        <v>0</v>
      </c>
      <c r="CP238" s="4">
        <f t="shared" si="279"/>
        <v>35</v>
      </c>
      <c r="CQ238" s="4">
        <f t="shared" si="280"/>
        <v>-550</v>
      </c>
      <c r="CR238" s="4">
        <f t="shared" si="281"/>
        <v>12</v>
      </c>
      <c r="CS238" s="4">
        <f t="shared" si="282"/>
        <v>-48</v>
      </c>
      <c r="CT238" s="4">
        <f t="shared" si="283"/>
        <v>0</v>
      </c>
      <c r="CU238" s="4">
        <f t="shared" si="284"/>
        <v>0</v>
      </c>
      <c r="CV238" s="4">
        <f t="shared" si="285"/>
        <v>0</v>
      </c>
      <c r="CW238" s="4">
        <f t="shared" si="286"/>
        <v>0</v>
      </c>
      <c r="CX238" s="4">
        <f t="shared" si="287"/>
        <v>-575</v>
      </c>
      <c r="CY238" s="4">
        <f t="shared" si="288"/>
        <v>0</v>
      </c>
      <c r="CZ238" s="4">
        <f t="shared" si="289"/>
        <v>0</v>
      </c>
      <c r="DA238" s="4">
        <f t="shared" si="290"/>
        <v>0</v>
      </c>
      <c r="DB238" s="4">
        <f t="shared" si="291"/>
        <v>0</v>
      </c>
      <c r="DC238" s="4">
        <f t="shared" si="292"/>
        <v>0</v>
      </c>
      <c r="DD238" s="4">
        <f t="shared" si="293"/>
        <v>0</v>
      </c>
      <c r="DE238" s="4">
        <f t="shared" si="294"/>
        <v>0</v>
      </c>
      <c r="DF238" s="4">
        <f t="shared" si="295"/>
        <v>0</v>
      </c>
      <c r="DG238" s="4">
        <f t="shared" si="296"/>
        <v>0</v>
      </c>
      <c r="DH238" s="4">
        <f t="shared" si="297"/>
        <v>0</v>
      </c>
      <c r="DI238" s="4">
        <f t="shared" si="298"/>
        <v>0</v>
      </c>
      <c r="DJ238" s="4">
        <f t="shared" si="299"/>
        <v>0</v>
      </c>
      <c r="DK238" s="4">
        <f t="shared" si="300"/>
        <v>0</v>
      </c>
      <c r="DL238" s="4">
        <f t="shared" si="301"/>
        <v>0</v>
      </c>
    </row>
    <row r="239" spans="1:116" x14ac:dyDescent="0.25">
      <c r="A239" s="5">
        <v>46188</v>
      </c>
      <c r="B239" s="6">
        <v>0.229166667239042</v>
      </c>
      <c r="C239" s="3"/>
      <c r="D239" s="3"/>
      <c r="E239" s="3" t="s">
        <v>25</v>
      </c>
      <c r="F239" s="3">
        <v>8</v>
      </c>
      <c r="G239" s="3"/>
      <c r="H239" s="9"/>
      <c r="I239" s="9">
        <f>SUM(IFERROR(VLOOKUP($C:$C,Structure!$A:$AJ,I$1,0)*$D239,0),IFERROR(VLOOKUP($E:$E,Structure!$A:$AJ,I$1,0)*$F239,0),IFERROR(VLOOKUP($G:$G,Structure!$A:$AJ,I$1,0)*$H239,0))</f>
        <v>0</v>
      </c>
      <c r="J239" s="9">
        <f>SUM(IFERROR(VLOOKUP($C:$C,Structure!$A:$AJ,J$1,0)*$D239,0),IFERROR(VLOOKUP($E:$E,Structure!$A:$AJ,J$1,0)*$F239,0),IFERROR(VLOOKUP($G:$G,Structure!$A:$AJ,J$1,0)*$H239,0))</f>
        <v>0</v>
      </c>
      <c r="K239" s="9">
        <f>SUM(IFERROR(VLOOKUP($C:$C,Structure!$A:$AJ,K$1,0)*$D239,0),IFERROR(VLOOKUP($E:$E,Structure!$A:$AJ,K$1,0)*$F239,0),IFERROR(VLOOKUP($G:$G,Structure!$A:$AJ,K$1,0)*$H239,0))</f>
        <v>0</v>
      </c>
      <c r="L239" s="9">
        <f>SUM(IFERROR(VLOOKUP($C:$C,Structure!$A:$AJ,L$1,0)*$D239,0),IFERROR(VLOOKUP($E:$E,Structure!$A:$AJ,L$1,0)*$F239,0),IFERROR(VLOOKUP($G:$G,Structure!$A:$AJ,L$1,0)*$H239,0))</f>
        <v>0</v>
      </c>
      <c r="M239" s="9">
        <f>SUM(IFERROR(VLOOKUP($C:$C,Structure!$A:$AJ,M$1,0)*$D239,0),IFERROR(VLOOKUP($E:$E,Structure!$A:$AJ,M$1,0)*$F239,0),IFERROR(VLOOKUP($G:$G,Structure!$A:$AJ,M$1,0)*$H239,0))</f>
        <v>0</v>
      </c>
      <c r="N239" s="9">
        <f>SUM(IFERROR(VLOOKUP($C:$C,Structure!$A:$AJ,N$1,0)*$D239,0),IFERROR(VLOOKUP($E:$E,Structure!$A:$AJ,N$1,0)*$F239,0),IFERROR(VLOOKUP($G:$G,Structure!$A:$AJ,N$1,0)*$H239,0))</f>
        <v>0</v>
      </c>
      <c r="O239" s="9">
        <f>SUM(IFERROR(VLOOKUP($C:$C,Structure!$A:$AJ,O$1,0)*$D239,0),IFERROR(VLOOKUP($E:$E,Structure!$A:$AJ,O$1,0)*$F239,0),IFERROR(VLOOKUP($G:$G,Structure!$A:$AJ,O$1,0)*$H239,0))</f>
        <v>0</v>
      </c>
      <c r="P239" s="9">
        <f>SUM(IFERROR(VLOOKUP($C:$C,Structure!$A:$AJ,P$1,0)*$D239,0),IFERROR(VLOOKUP($E:$E,Structure!$A:$AJ,P$1,0)*$F239,0),IFERROR(VLOOKUP($G:$G,Structure!$A:$AJ,P$1,0)*$H239,0))</f>
        <v>0</v>
      </c>
      <c r="Q239" s="9">
        <f>SUM(IFERROR(VLOOKUP($C:$C,Structure!$A:$AJ,Q$1,0)*$D239,0),IFERROR(VLOOKUP($E:$E,Structure!$A:$AJ,Q$1,0)*$F239,0),IFERROR(VLOOKUP($G:$G,Structure!$A:$AJ,Q$1,0)*$H239,0))</f>
        <v>0</v>
      </c>
      <c r="R239" s="9">
        <f>SUM(IFERROR(VLOOKUP($C:$C,Structure!$A:$AJ,R$1,0)*$D239,0),IFERROR(VLOOKUP($E:$E,Structure!$A:$AJ,R$1,0)*$F239,0),IFERROR(VLOOKUP($G:$G,Structure!$A:$AJ,R$1,0)*$H239,0))</f>
        <v>0</v>
      </c>
      <c r="S239" s="9">
        <f>SUM(IFERROR(VLOOKUP($C:$C,Structure!$A:$AJ,S$1,0)*$D239,0),IFERROR(VLOOKUP($E:$E,Structure!$A:$AJ,S$1,0)*$F239,0),IFERROR(VLOOKUP($G:$G,Structure!$A:$AJ,S$1,0)*$H239,0))</f>
        <v>0</v>
      </c>
      <c r="T239" s="9">
        <f>SUM(IFERROR(VLOOKUP($C:$C,Structure!$A:$AJ,T$1,0)*$D239,0),IFERROR(VLOOKUP($E:$E,Structure!$A:$AJ,T$1,0)*$F239,0),IFERROR(VLOOKUP($G:$G,Structure!$A:$AJ,T$1,0)*$H239,0))</f>
        <v>0</v>
      </c>
      <c r="U239" s="9">
        <f>SUM(IFERROR(VLOOKUP($C:$C,Structure!$A:$AJ,U$1,0)*$D239,0),IFERROR(VLOOKUP($E:$E,Structure!$A:$AJ,U$1,0)*$F239,0),IFERROR(VLOOKUP($G:$G,Structure!$A:$AJ,U$1,0)*$H239,0))</f>
        <v>8</v>
      </c>
      <c r="V239" s="9">
        <f>SUM(IFERROR(VLOOKUP($C:$C,Structure!$A:$AJ,V$1,0)*$D239,0),IFERROR(VLOOKUP($E:$E,Structure!$A:$AJ,V$1,0)*$F239,0),IFERROR(VLOOKUP($G:$G,Structure!$A:$AJ,V$1,0)*$H239,0))</f>
        <v>0</v>
      </c>
      <c r="W239" s="9">
        <f>SUM(IFERROR(VLOOKUP($C:$C,Structure!$A:$AJ,W$1,0)*$D239,0),IFERROR(VLOOKUP($E:$E,Structure!$A:$AJ,W$1,0)*$F239,0),IFERROR(VLOOKUP($G:$G,Structure!$A:$AJ,W$1,0)*$H239,0))</f>
        <v>0</v>
      </c>
      <c r="X239" s="9">
        <f>SUM(IFERROR(VLOOKUP($C:$C,Structure!$A:$AJ,X$1,0)*$D239,0),IFERROR(VLOOKUP($E:$E,Structure!$A:$AJ,X$1,0)*$F239,0),IFERROR(VLOOKUP($G:$G,Structure!$A:$AJ,X$1,0)*$H239,0))</f>
        <v>0</v>
      </c>
      <c r="Y239" s="9">
        <f>SUM(IFERROR(VLOOKUP($C:$C,Structure!$A:$AJ,Y$1,0)*$D239,0),IFERROR(VLOOKUP($E:$E,Structure!$A:$AJ,Y$1,0)*$F239,0),IFERROR(VLOOKUP($G:$G,Structure!$A:$AJ,Y$1,0)*$H239,0))</f>
        <v>0</v>
      </c>
      <c r="Z239" s="9">
        <f>SUM(IFERROR(VLOOKUP($C:$C,Structure!$A:$AJ,Z$1,0)*$D239,0),IFERROR(VLOOKUP($E:$E,Structure!$A:$AJ,Z$1,0)*$F239,0),IFERROR(VLOOKUP($G:$G,Structure!$A:$AJ,Z$1,0)*$H239,0))</f>
        <v>0</v>
      </c>
      <c r="AA239" s="9">
        <f>SUM(IFERROR(VLOOKUP($C:$C,Structure!$A:$AJ,AA$1,0)*$D239,0),IFERROR(VLOOKUP($E:$E,Structure!$A:$AJ,AA$1,0)*$F239,0),IFERROR(VLOOKUP($G:$G,Structure!$A:$AJ,AA$1,0)*$H239,0))</f>
        <v>0</v>
      </c>
      <c r="AB239" s="9">
        <f>SUM(IFERROR(VLOOKUP($C:$C,Structure!$A:$AJ,AB$1,0)*$D239,0),IFERROR(VLOOKUP($E:$E,Structure!$A:$AJ,AB$1,0)*$F239,0),IFERROR(VLOOKUP($G:$G,Structure!$A:$AJ,AB$1,0)*$H239,0))</f>
        <v>0</v>
      </c>
      <c r="AC239" s="9">
        <f>SUM(IFERROR(VLOOKUP($C:$C,Structure!$A:$AJ,AC$1,0)*$D239,0),IFERROR(VLOOKUP($E:$E,Structure!$A:$AJ,AC$1,0)*$F239,0),IFERROR(VLOOKUP($G:$G,Structure!$A:$AJ,AC$1,0)*$H239,0))</f>
        <v>8</v>
      </c>
      <c r="AD239" s="9">
        <f>SUM(IFERROR(VLOOKUP($C:$C,Structure!$A:$AJ,AD$1,0)*$D239,0),IFERROR(VLOOKUP($E:$E,Structure!$A:$AJ,AD$1,0)*$F239,0),IFERROR(VLOOKUP($G:$G,Structure!$A:$AJ,AD$1,0)*$H239,0))</f>
        <v>0</v>
      </c>
      <c r="AE239" s="9">
        <f>SUM(IFERROR(VLOOKUP($C:$C,Structure!$A:$AJ,AE$1,0)*$D239,0),IFERROR(VLOOKUP($E:$E,Structure!$A:$AJ,AE$1,0)*$F239,0),IFERROR(VLOOKUP($G:$G,Structure!$A:$AJ,AE$1,0)*$H239,0))</f>
        <v>0</v>
      </c>
      <c r="AF239" s="9">
        <f>SUM(IFERROR(VLOOKUP($C:$C,Structure!$A:$AJ,AF$1,0)*$D239,0),IFERROR(VLOOKUP($E:$E,Structure!$A:$AJ,AF$1,0)*$F239,0),IFERROR(VLOOKUP($G:$G,Structure!$A:$AJ,AF$1,0)*$H239,0))</f>
        <v>0</v>
      </c>
      <c r="AG239" s="9">
        <f>SUM(IFERROR(VLOOKUP($C:$C,Structure!$A:$AJ,AG$1,0)*$D239,0),IFERROR(VLOOKUP($E:$E,Structure!$A:$AJ,AG$1,0)*$F239,0),IFERROR(VLOOKUP($G:$G,Structure!$A:$AJ,AG$1,0)*$H239,0))</f>
        <v>0</v>
      </c>
      <c r="AH239" s="9">
        <f>SUM(IFERROR(VLOOKUP($C:$C,Structure!$A:$AJ,AH$1,0)*$D239,0),IFERROR(VLOOKUP($E:$E,Structure!$A:$AJ,AH$1,0)*$F239,0),IFERROR(VLOOKUP($G:$G,Structure!$A:$AJ,AH$1,0)*$H239,0))</f>
        <v>0</v>
      </c>
      <c r="AI239" s="9">
        <f>SUM(IFERROR(VLOOKUP($C:$C,Structure!$A:$AJ,AI$1,0)*$D239,0),IFERROR(VLOOKUP($E:$E,Structure!$A:$AJ,AI$1,0)*$F239,0),IFERROR(VLOOKUP($G:$G,Structure!$A:$AJ,AI$1,0)*$H239,0))</f>
        <v>0</v>
      </c>
      <c r="AJ239" s="9">
        <f>SUM(IFERROR(VLOOKUP($C:$C,Structure!$A:$AJ,AJ$1,0)*$D239,0),IFERROR(VLOOKUP($E:$E,Structure!$A:$AJ,AJ$1,0)*$F239,0),IFERROR(VLOOKUP($G:$G,Structure!$A:$AJ,AJ$1,0)*$H239,0))</f>
        <v>0</v>
      </c>
      <c r="AK239" s="9">
        <f>SUM(IFERROR(VLOOKUP($C:$C,Structure!$A:$AJ,AK$1,0)*$D239,0),IFERROR(VLOOKUP($E:$E,Structure!$A:$AJ,AK$1,0)*$F239,0),IFERROR(VLOOKUP($G:$G,Structure!$A:$AJ,AK$1,0)*$H239,0))</f>
        <v>0</v>
      </c>
      <c r="AL239" s="9">
        <f>SUM(IFERROR(VLOOKUP($C:$C,Structure!$A:$AJ,AL$1,0)*$D239,0),IFERROR(VLOOKUP($E:$E,Structure!$A:$AJ,AL$1,0)*$F239,0),IFERROR(VLOOKUP($G:$G,Structure!$A:$AJ,AL$1,0)*$H239,0))</f>
        <v>0</v>
      </c>
      <c r="AM239" s="9">
        <f>SUM(IFERROR(VLOOKUP($C:$C,Structure!$A:$AJ,AM$1,0)*$D239,0),IFERROR(VLOOKUP($E:$E,Structure!$A:$AJ,AM$1,0)*$F239,0),IFERROR(VLOOKUP($G:$G,Structure!$A:$AJ,AM$1,0)*$H239,0))</f>
        <v>0</v>
      </c>
      <c r="AN239" s="9">
        <f>SUM(IFERROR(VLOOKUP($C:$C,Structure!$A:$AJ,AN$1,0)*$D239,0),IFERROR(VLOOKUP($E:$E,Structure!$A:$AJ,AN$1,0)*$F239,0),IFERROR(VLOOKUP($G:$G,Structure!$A:$AJ,AN$1,0)*$H239,0))</f>
        <v>0</v>
      </c>
      <c r="AO239" s="9">
        <f>SUM(IFERROR(VLOOKUP($C:$C,Structure!$A:$AJ,AO$1,0)*$D239,0),IFERROR(VLOOKUP($E:$E,Structure!$A:$AJ,AO$1,0)*$F239,0),IFERROR(VLOOKUP($G:$G,Structure!$A:$AJ,AO$1,0)*$H239,0))</f>
        <v>0</v>
      </c>
      <c r="AP239" s="9">
        <f>SUM(IFERROR(VLOOKUP($C:$C,Structure!$A:$AJ,AP$1,0)*$D239,0),IFERROR(VLOOKUP($E:$E,Structure!$A:$AJ,AP$1,0)*$F239,0),IFERROR(VLOOKUP($G:$G,Structure!$A:$AJ,AP$1,0)*$H239,0))</f>
        <v>0</v>
      </c>
      <c r="AQ239" s="9">
        <f>SUM(IFERROR(VLOOKUP($C:$C,Structure!$A:$AJ,AQ$1,0)*$D239,0),IFERROR(VLOOKUP($E:$E,Structure!$A:$AJ,AQ$1,0)*$F239,0),IFERROR(VLOOKUP($G:$G,Structure!$A:$AJ,AQ$1,0)*$H239,0))</f>
        <v>0</v>
      </c>
      <c r="AR239" s="21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4">
        <f t="shared" si="267"/>
        <v>0</v>
      </c>
      <c r="CE239" s="4">
        <f t="shared" si="268"/>
        <v>-180</v>
      </c>
      <c r="CF239" s="4">
        <f t="shared" si="269"/>
        <v>4</v>
      </c>
      <c r="CG239" s="4">
        <f t="shared" si="270"/>
        <v>11</v>
      </c>
      <c r="CH239" s="4">
        <f t="shared" si="271"/>
        <v>-7</v>
      </c>
      <c r="CI239" s="4">
        <f t="shared" si="272"/>
        <v>103</v>
      </c>
      <c r="CJ239" s="4">
        <f t="shared" si="273"/>
        <v>-367</v>
      </c>
      <c r="CK239" s="4">
        <f t="shared" si="274"/>
        <v>-1</v>
      </c>
      <c r="CL239" s="4">
        <f t="shared" si="275"/>
        <v>0</v>
      </c>
      <c r="CM239" s="4">
        <f t="shared" si="276"/>
        <v>6</v>
      </c>
      <c r="CN239" s="4">
        <f t="shared" si="277"/>
        <v>-254</v>
      </c>
      <c r="CO239" s="4">
        <f t="shared" si="278"/>
        <v>0</v>
      </c>
      <c r="CP239" s="4">
        <f t="shared" si="279"/>
        <v>27</v>
      </c>
      <c r="CQ239" s="4">
        <f t="shared" si="280"/>
        <v>-550</v>
      </c>
      <c r="CR239" s="4">
        <f t="shared" si="281"/>
        <v>12</v>
      </c>
      <c r="CS239" s="4">
        <f t="shared" si="282"/>
        <v>-48</v>
      </c>
      <c r="CT239" s="4">
        <f t="shared" si="283"/>
        <v>0</v>
      </c>
      <c r="CU239" s="4">
        <f t="shared" si="284"/>
        <v>0</v>
      </c>
      <c r="CV239" s="4">
        <f t="shared" si="285"/>
        <v>0</v>
      </c>
      <c r="CW239" s="4">
        <f t="shared" si="286"/>
        <v>0</v>
      </c>
      <c r="CX239" s="4">
        <f t="shared" si="287"/>
        <v>-583</v>
      </c>
      <c r="CY239" s="4">
        <f t="shared" si="288"/>
        <v>0</v>
      </c>
      <c r="CZ239" s="4">
        <f t="shared" si="289"/>
        <v>0</v>
      </c>
      <c r="DA239" s="4">
        <f t="shared" si="290"/>
        <v>0</v>
      </c>
      <c r="DB239" s="4">
        <f t="shared" si="291"/>
        <v>0</v>
      </c>
      <c r="DC239" s="4">
        <f t="shared" si="292"/>
        <v>0</v>
      </c>
      <c r="DD239" s="4">
        <f t="shared" si="293"/>
        <v>0</v>
      </c>
      <c r="DE239" s="4">
        <f t="shared" si="294"/>
        <v>0</v>
      </c>
      <c r="DF239" s="4">
        <f t="shared" si="295"/>
        <v>0</v>
      </c>
      <c r="DG239" s="4">
        <f t="shared" si="296"/>
        <v>0</v>
      </c>
      <c r="DH239" s="4">
        <f t="shared" si="297"/>
        <v>0</v>
      </c>
      <c r="DI239" s="4">
        <f t="shared" si="298"/>
        <v>0</v>
      </c>
      <c r="DJ239" s="4">
        <f t="shared" si="299"/>
        <v>0</v>
      </c>
      <c r="DK239" s="4">
        <f t="shared" si="300"/>
        <v>0</v>
      </c>
      <c r="DL239" s="4">
        <f t="shared" si="301"/>
        <v>0</v>
      </c>
    </row>
    <row r="240" spans="1:116" x14ac:dyDescent="0.25">
      <c r="A240" s="5">
        <v>46188</v>
      </c>
      <c r="B240" s="6">
        <v>0.25000000057480065</v>
      </c>
      <c r="C240" s="3"/>
      <c r="D240" s="3"/>
      <c r="E240" s="3" t="s">
        <v>57</v>
      </c>
      <c r="F240" s="3">
        <v>8</v>
      </c>
      <c r="G240" s="3"/>
      <c r="H240" s="9"/>
      <c r="I240" s="9">
        <f>SUM(IFERROR(VLOOKUP($C:$C,Structure!$A:$AJ,I$1,0)*$D240,0),IFERROR(VLOOKUP($E:$E,Structure!$A:$AJ,I$1,0)*$F240,0),IFERROR(VLOOKUP($G:$G,Structure!$A:$AJ,I$1,0)*$H240,0))</f>
        <v>0</v>
      </c>
      <c r="J240" s="9">
        <f>SUM(IFERROR(VLOOKUP($C:$C,Structure!$A:$AJ,J$1,0)*$D240,0),IFERROR(VLOOKUP($E:$E,Structure!$A:$AJ,J$1,0)*$F240,0),IFERROR(VLOOKUP($G:$G,Structure!$A:$AJ,J$1,0)*$H240,0))</f>
        <v>0</v>
      </c>
      <c r="K240" s="9">
        <f>SUM(IFERROR(VLOOKUP($C:$C,Structure!$A:$AJ,K$1,0)*$D240,0),IFERROR(VLOOKUP($E:$E,Structure!$A:$AJ,K$1,0)*$F240,0),IFERROR(VLOOKUP($G:$G,Structure!$A:$AJ,K$1,0)*$H240,0))</f>
        <v>0</v>
      </c>
      <c r="L240" s="9">
        <f>SUM(IFERROR(VLOOKUP($C:$C,Structure!$A:$AJ,L$1,0)*$D240,0),IFERROR(VLOOKUP($E:$E,Structure!$A:$AJ,L$1,0)*$F240,0),IFERROR(VLOOKUP($G:$G,Structure!$A:$AJ,L$1,0)*$H240,0))</f>
        <v>0</v>
      </c>
      <c r="M240" s="9">
        <f>SUM(IFERROR(VLOOKUP($C:$C,Structure!$A:$AJ,M$1,0)*$D240,0),IFERROR(VLOOKUP($E:$E,Structure!$A:$AJ,M$1,0)*$F240,0),IFERROR(VLOOKUP($G:$G,Structure!$A:$AJ,M$1,0)*$H240,0))</f>
        <v>0</v>
      </c>
      <c r="N240" s="9">
        <f>SUM(IFERROR(VLOOKUP($C:$C,Structure!$A:$AJ,N$1,0)*$D240,0),IFERROR(VLOOKUP($E:$E,Structure!$A:$AJ,N$1,0)*$F240,0),IFERROR(VLOOKUP($G:$G,Structure!$A:$AJ,N$1,0)*$H240,0))</f>
        <v>0</v>
      </c>
      <c r="O240" s="9">
        <f>SUM(IFERROR(VLOOKUP($C:$C,Structure!$A:$AJ,O$1,0)*$D240,0),IFERROR(VLOOKUP($E:$E,Structure!$A:$AJ,O$1,0)*$F240,0),IFERROR(VLOOKUP($G:$G,Structure!$A:$AJ,O$1,0)*$H240,0))</f>
        <v>8</v>
      </c>
      <c r="P240" s="9">
        <f>SUM(IFERROR(VLOOKUP($C:$C,Structure!$A:$AJ,P$1,0)*$D240,0),IFERROR(VLOOKUP($E:$E,Structure!$A:$AJ,P$1,0)*$F240,0),IFERROR(VLOOKUP($G:$G,Structure!$A:$AJ,P$1,0)*$H240,0))</f>
        <v>0</v>
      </c>
      <c r="Q240" s="9">
        <f>SUM(IFERROR(VLOOKUP($C:$C,Structure!$A:$AJ,Q$1,0)*$D240,0),IFERROR(VLOOKUP($E:$E,Structure!$A:$AJ,Q$1,0)*$F240,0),IFERROR(VLOOKUP($G:$G,Structure!$A:$AJ,Q$1,0)*$H240,0))</f>
        <v>0</v>
      </c>
      <c r="R240" s="9">
        <f>SUM(IFERROR(VLOOKUP($C:$C,Structure!$A:$AJ,R$1,0)*$D240,0),IFERROR(VLOOKUP($E:$E,Structure!$A:$AJ,R$1,0)*$F240,0),IFERROR(VLOOKUP($G:$G,Structure!$A:$AJ,R$1,0)*$H240,0))</f>
        <v>0</v>
      </c>
      <c r="S240" s="9">
        <f>SUM(IFERROR(VLOOKUP($C:$C,Structure!$A:$AJ,S$1,0)*$D240,0),IFERROR(VLOOKUP($E:$E,Structure!$A:$AJ,S$1,0)*$F240,0),IFERROR(VLOOKUP($G:$G,Structure!$A:$AJ,S$1,0)*$H240,0))</f>
        <v>8</v>
      </c>
      <c r="T240" s="9">
        <f>SUM(IFERROR(VLOOKUP($C:$C,Structure!$A:$AJ,T$1,0)*$D240,0),IFERROR(VLOOKUP($E:$E,Structure!$A:$AJ,T$1,0)*$F240,0),IFERROR(VLOOKUP($G:$G,Structure!$A:$AJ,T$1,0)*$H240,0))</f>
        <v>0</v>
      </c>
      <c r="U240" s="9">
        <f>SUM(IFERROR(VLOOKUP($C:$C,Structure!$A:$AJ,U$1,0)*$D240,0),IFERROR(VLOOKUP($E:$E,Structure!$A:$AJ,U$1,0)*$F240,0),IFERROR(VLOOKUP($G:$G,Structure!$A:$AJ,U$1,0)*$H240,0))</f>
        <v>0</v>
      </c>
      <c r="V240" s="9">
        <f>SUM(IFERROR(VLOOKUP($C:$C,Structure!$A:$AJ,V$1,0)*$D240,0),IFERROR(VLOOKUP($E:$E,Structure!$A:$AJ,V$1,0)*$F240,0),IFERROR(VLOOKUP($G:$G,Structure!$A:$AJ,V$1,0)*$H240,0))</f>
        <v>0</v>
      </c>
      <c r="W240" s="9">
        <f>SUM(IFERROR(VLOOKUP($C:$C,Structure!$A:$AJ,W$1,0)*$D240,0),IFERROR(VLOOKUP($E:$E,Structure!$A:$AJ,W$1,0)*$F240,0),IFERROR(VLOOKUP($G:$G,Structure!$A:$AJ,W$1,0)*$H240,0))</f>
        <v>0</v>
      </c>
      <c r="X240" s="9">
        <f>SUM(IFERROR(VLOOKUP($C:$C,Structure!$A:$AJ,X$1,0)*$D240,0),IFERROR(VLOOKUP($E:$E,Structure!$A:$AJ,X$1,0)*$F240,0),IFERROR(VLOOKUP($G:$G,Structure!$A:$AJ,X$1,0)*$H240,0))</f>
        <v>0</v>
      </c>
      <c r="Y240" s="9">
        <f>SUM(IFERROR(VLOOKUP($C:$C,Structure!$A:$AJ,Y$1,0)*$D240,0),IFERROR(VLOOKUP($E:$E,Structure!$A:$AJ,Y$1,0)*$F240,0),IFERROR(VLOOKUP($G:$G,Structure!$A:$AJ,Y$1,0)*$H240,0))</f>
        <v>0</v>
      </c>
      <c r="Z240" s="9">
        <f>SUM(IFERROR(VLOOKUP($C:$C,Structure!$A:$AJ,Z$1,0)*$D240,0),IFERROR(VLOOKUP($E:$E,Structure!$A:$AJ,Z$1,0)*$F240,0),IFERROR(VLOOKUP($G:$G,Structure!$A:$AJ,Z$1,0)*$H240,0))</f>
        <v>0</v>
      </c>
      <c r="AA240" s="9">
        <f>SUM(IFERROR(VLOOKUP($C:$C,Structure!$A:$AJ,AA$1,0)*$D240,0),IFERROR(VLOOKUP($E:$E,Structure!$A:$AJ,AA$1,0)*$F240,0),IFERROR(VLOOKUP($G:$G,Structure!$A:$AJ,AA$1,0)*$H240,0))</f>
        <v>0</v>
      </c>
      <c r="AB240" s="9">
        <f>SUM(IFERROR(VLOOKUP($C:$C,Structure!$A:$AJ,AB$1,0)*$D240,0),IFERROR(VLOOKUP($E:$E,Structure!$A:$AJ,AB$1,0)*$F240,0),IFERROR(VLOOKUP($G:$G,Structure!$A:$AJ,AB$1,0)*$H240,0))</f>
        <v>0</v>
      </c>
      <c r="AC240" s="9">
        <f>SUM(IFERROR(VLOOKUP($C:$C,Structure!$A:$AJ,AC$1,0)*$D240,0),IFERROR(VLOOKUP($E:$E,Structure!$A:$AJ,AC$1,0)*$F240,0),IFERROR(VLOOKUP($G:$G,Structure!$A:$AJ,AC$1,0)*$H240,0))</f>
        <v>0</v>
      </c>
      <c r="AD240" s="9">
        <f>SUM(IFERROR(VLOOKUP($C:$C,Structure!$A:$AJ,AD$1,0)*$D240,0),IFERROR(VLOOKUP($E:$E,Structure!$A:$AJ,AD$1,0)*$F240,0),IFERROR(VLOOKUP($G:$G,Structure!$A:$AJ,AD$1,0)*$H240,0))</f>
        <v>0</v>
      </c>
      <c r="AE240" s="9">
        <f>SUM(IFERROR(VLOOKUP($C:$C,Structure!$A:$AJ,AE$1,0)*$D240,0),IFERROR(VLOOKUP($E:$E,Structure!$A:$AJ,AE$1,0)*$F240,0),IFERROR(VLOOKUP($G:$G,Structure!$A:$AJ,AE$1,0)*$H240,0))</f>
        <v>0</v>
      </c>
      <c r="AF240" s="9">
        <f>SUM(IFERROR(VLOOKUP($C:$C,Structure!$A:$AJ,AF$1,0)*$D240,0),IFERROR(VLOOKUP($E:$E,Structure!$A:$AJ,AF$1,0)*$F240,0),IFERROR(VLOOKUP($G:$G,Structure!$A:$AJ,AF$1,0)*$H240,0))</f>
        <v>0</v>
      </c>
      <c r="AG240" s="9">
        <f>SUM(IFERROR(VLOOKUP($C:$C,Structure!$A:$AJ,AG$1,0)*$D240,0),IFERROR(VLOOKUP($E:$E,Structure!$A:$AJ,AG$1,0)*$F240,0),IFERROR(VLOOKUP($G:$G,Structure!$A:$AJ,AG$1,0)*$H240,0))</f>
        <v>0</v>
      </c>
      <c r="AH240" s="9">
        <f>SUM(IFERROR(VLOOKUP($C:$C,Structure!$A:$AJ,AH$1,0)*$D240,0),IFERROR(VLOOKUP($E:$E,Structure!$A:$AJ,AH$1,0)*$F240,0),IFERROR(VLOOKUP($G:$G,Structure!$A:$AJ,AH$1,0)*$H240,0))</f>
        <v>0</v>
      </c>
      <c r="AI240" s="9">
        <f>SUM(IFERROR(VLOOKUP($C:$C,Structure!$A:$AJ,AI$1,0)*$D240,0),IFERROR(VLOOKUP($E:$E,Structure!$A:$AJ,AI$1,0)*$F240,0),IFERROR(VLOOKUP($G:$G,Structure!$A:$AJ,AI$1,0)*$H240,0))</f>
        <v>0</v>
      </c>
      <c r="AJ240" s="9">
        <f>SUM(IFERROR(VLOOKUP($C:$C,Structure!$A:$AJ,AJ$1,0)*$D240,0),IFERROR(VLOOKUP($E:$E,Structure!$A:$AJ,AJ$1,0)*$F240,0),IFERROR(VLOOKUP($G:$G,Structure!$A:$AJ,AJ$1,0)*$H240,0))</f>
        <v>0</v>
      </c>
      <c r="AK240" s="9">
        <f>SUM(IFERROR(VLOOKUP($C:$C,Structure!$A:$AJ,AK$1,0)*$D240,0),IFERROR(VLOOKUP($E:$E,Structure!$A:$AJ,AK$1,0)*$F240,0),IFERROR(VLOOKUP($G:$G,Structure!$A:$AJ,AK$1,0)*$H240,0))</f>
        <v>0</v>
      </c>
      <c r="AL240" s="9">
        <f>SUM(IFERROR(VLOOKUP($C:$C,Structure!$A:$AJ,AL$1,0)*$D240,0),IFERROR(VLOOKUP($E:$E,Structure!$A:$AJ,AL$1,0)*$F240,0),IFERROR(VLOOKUP($G:$G,Structure!$A:$AJ,AL$1,0)*$H240,0))</f>
        <v>0</v>
      </c>
      <c r="AM240" s="9">
        <f>SUM(IFERROR(VLOOKUP($C:$C,Structure!$A:$AJ,AM$1,0)*$D240,0),IFERROR(VLOOKUP($E:$E,Structure!$A:$AJ,AM$1,0)*$F240,0),IFERROR(VLOOKUP($G:$G,Structure!$A:$AJ,AM$1,0)*$H240,0))</f>
        <v>0</v>
      </c>
      <c r="AN240" s="9">
        <f>SUM(IFERROR(VLOOKUP($C:$C,Structure!$A:$AJ,AN$1,0)*$D240,0),IFERROR(VLOOKUP($E:$E,Structure!$A:$AJ,AN$1,0)*$F240,0),IFERROR(VLOOKUP($G:$G,Structure!$A:$AJ,AN$1,0)*$H240,0))</f>
        <v>0</v>
      </c>
      <c r="AO240" s="9">
        <f>SUM(IFERROR(VLOOKUP($C:$C,Structure!$A:$AJ,AO$1,0)*$D240,0),IFERROR(VLOOKUP($E:$E,Structure!$A:$AJ,AO$1,0)*$F240,0),IFERROR(VLOOKUP($G:$G,Structure!$A:$AJ,AO$1,0)*$H240,0))</f>
        <v>0</v>
      </c>
      <c r="AP240" s="9">
        <f>SUM(IFERROR(VLOOKUP($C:$C,Structure!$A:$AJ,AP$1,0)*$D240,0),IFERROR(VLOOKUP($E:$E,Structure!$A:$AJ,AP$1,0)*$F240,0),IFERROR(VLOOKUP($G:$G,Structure!$A:$AJ,AP$1,0)*$H240,0))</f>
        <v>0</v>
      </c>
      <c r="AQ240" s="9">
        <f>SUM(IFERROR(VLOOKUP($C:$C,Structure!$A:$AJ,AQ$1,0)*$D240,0),IFERROR(VLOOKUP($E:$E,Structure!$A:$AJ,AQ$1,0)*$F240,0),IFERROR(VLOOKUP($G:$G,Structure!$A:$AJ,AQ$1,0)*$H240,0))</f>
        <v>0</v>
      </c>
      <c r="AR240" s="21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4">
        <f t="shared" si="267"/>
        <v>0</v>
      </c>
      <c r="CE240" s="4">
        <f t="shared" si="268"/>
        <v>-180</v>
      </c>
      <c r="CF240" s="4">
        <f t="shared" si="269"/>
        <v>4</v>
      </c>
      <c r="CG240" s="4">
        <f t="shared" si="270"/>
        <v>11</v>
      </c>
      <c r="CH240" s="4">
        <f t="shared" si="271"/>
        <v>-7</v>
      </c>
      <c r="CI240" s="4">
        <f t="shared" si="272"/>
        <v>103</v>
      </c>
      <c r="CJ240" s="4">
        <f t="shared" si="273"/>
        <v>-375</v>
      </c>
      <c r="CK240" s="4">
        <f t="shared" si="274"/>
        <v>-1</v>
      </c>
      <c r="CL240" s="4">
        <f t="shared" si="275"/>
        <v>0</v>
      </c>
      <c r="CM240" s="4">
        <f t="shared" si="276"/>
        <v>6</v>
      </c>
      <c r="CN240" s="4">
        <f t="shared" si="277"/>
        <v>-262</v>
      </c>
      <c r="CO240" s="4">
        <f t="shared" si="278"/>
        <v>0</v>
      </c>
      <c r="CP240" s="4">
        <f t="shared" si="279"/>
        <v>27</v>
      </c>
      <c r="CQ240" s="4">
        <f t="shared" si="280"/>
        <v>-550</v>
      </c>
      <c r="CR240" s="4">
        <f t="shared" si="281"/>
        <v>12</v>
      </c>
      <c r="CS240" s="4">
        <f t="shared" si="282"/>
        <v>-48</v>
      </c>
      <c r="CT240" s="4">
        <f t="shared" si="283"/>
        <v>0</v>
      </c>
      <c r="CU240" s="4">
        <f t="shared" si="284"/>
        <v>0</v>
      </c>
      <c r="CV240" s="4">
        <f t="shared" si="285"/>
        <v>0</v>
      </c>
      <c r="CW240" s="4">
        <f t="shared" si="286"/>
        <v>0</v>
      </c>
      <c r="CX240" s="4">
        <f t="shared" si="287"/>
        <v>-583</v>
      </c>
      <c r="CY240" s="4">
        <f t="shared" si="288"/>
        <v>0</v>
      </c>
      <c r="CZ240" s="4">
        <f t="shared" si="289"/>
        <v>0</v>
      </c>
      <c r="DA240" s="4">
        <f t="shared" si="290"/>
        <v>0</v>
      </c>
      <c r="DB240" s="4">
        <f t="shared" si="291"/>
        <v>0</v>
      </c>
      <c r="DC240" s="4">
        <f t="shared" si="292"/>
        <v>0</v>
      </c>
      <c r="DD240" s="4">
        <f t="shared" si="293"/>
        <v>0</v>
      </c>
      <c r="DE240" s="4">
        <f t="shared" si="294"/>
        <v>0</v>
      </c>
      <c r="DF240" s="4">
        <f t="shared" si="295"/>
        <v>0</v>
      </c>
      <c r="DG240" s="4">
        <f t="shared" si="296"/>
        <v>0</v>
      </c>
      <c r="DH240" s="4">
        <f t="shared" si="297"/>
        <v>0</v>
      </c>
      <c r="DI240" s="4">
        <f t="shared" si="298"/>
        <v>0</v>
      </c>
      <c r="DJ240" s="4">
        <f t="shared" si="299"/>
        <v>0</v>
      </c>
      <c r="DK240" s="4">
        <f t="shared" si="300"/>
        <v>0</v>
      </c>
      <c r="DL240" s="4">
        <f t="shared" si="301"/>
        <v>0</v>
      </c>
    </row>
    <row r="241" spans="1:116" x14ac:dyDescent="0.25">
      <c r="A241" s="5">
        <v>46188</v>
      </c>
      <c r="B241" s="6">
        <v>0.2708333339105593</v>
      </c>
      <c r="C241" s="3"/>
      <c r="D241" s="3"/>
      <c r="E241" s="3" t="s">
        <v>57</v>
      </c>
      <c r="F241" s="3">
        <v>8</v>
      </c>
      <c r="G241" s="3"/>
      <c r="H241" s="9"/>
      <c r="I241" s="9">
        <f>SUM(IFERROR(VLOOKUP($C:$C,Structure!$A:$AJ,I$1,0)*$D241,0),IFERROR(VLOOKUP($E:$E,Structure!$A:$AJ,I$1,0)*$F241,0),IFERROR(VLOOKUP($G:$G,Structure!$A:$AJ,I$1,0)*$H241,0))</f>
        <v>0</v>
      </c>
      <c r="J241" s="9">
        <f>SUM(IFERROR(VLOOKUP($C:$C,Structure!$A:$AJ,J$1,0)*$D241,0),IFERROR(VLOOKUP($E:$E,Structure!$A:$AJ,J$1,0)*$F241,0),IFERROR(VLOOKUP($G:$G,Structure!$A:$AJ,J$1,0)*$H241,0))</f>
        <v>0</v>
      </c>
      <c r="K241" s="9">
        <f>SUM(IFERROR(VLOOKUP($C:$C,Structure!$A:$AJ,K$1,0)*$D241,0),IFERROR(VLOOKUP($E:$E,Structure!$A:$AJ,K$1,0)*$F241,0),IFERROR(VLOOKUP($G:$G,Structure!$A:$AJ,K$1,0)*$H241,0))</f>
        <v>0</v>
      </c>
      <c r="L241" s="9">
        <f>SUM(IFERROR(VLOOKUP($C:$C,Structure!$A:$AJ,L$1,0)*$D241,0),IFERROR(VLOOKUP($E:$E,Structure!$A:$AJ,L$1,0)*$F241,0),IFERROR(VLOOKUP($G:$G,Structure!$A:$AJ,L$1,0)*$H241,0))</f>
        <v>0</v>
      </c>
      <c r="M241" s="9">
        <f>SUM(IFERROR(VLOOKUP($C:$C,Structure!$A:$AJ,M$1,0)*$D241,0),IFERROR(VLOOKUP($E:$E,Structure!$A:$AJ,M$1,0)*$F241,0),IFERROR(VLOOKUP($G:$G,Structure!$A:$AJ,M$1,0)*$H241,0))</f>
        <v>0</v>
      </c>
      <c r="N241" s="9">
        <f>SUM(IFERROR(VLOOKUP($C:$C,Structure!$A:$AJ,N$1,0)*$D241,0),IFERROR(VLOOKUP($E:$E,Structure!$A:$AJ,N$1,0)*$F241,0),IFERROR(VLOOKUP($G:$G,Structure!$A:$AJ,N$1,0)*$H241,0))</f>
        <v>0</v>
      </c>
      <c r="O241" s="9">
        <f>SUM(IFERROR(VLOOKUP($C:$C,Structure!$A:$AJ,O$1,0)*$D241,0),IFERROR(VLOOKUP($E:$E,Structure!$A:$AJ,O$1,0)*$F241,0),IFERROR(VLOOKUP($G:$G,Structure!$A:$AJ,O$1,0)*$H241,0))</f>
        <v>8</v>
      </c>
      <c r="P241" s="9">
        <f>SUM(IFERROR(VLOOKUP($C:$C,Structure!$A:$AJ,P$1,0)*$D241,0),IFERROR(VLOOKUP($E:$E,Structure!$A:$AJ,P$1,0)*$F241,0),IFERROR(VLOOKUP($G:$G,Structure!$A:$AJ,P$1,0)*$H241,0))</f>
        <v>0</v>
      </c>
      <c r="Q241" s="9">
        <f>SUM(IFERROR(VLOOKUP($C:$C,Structure!$A:$AJ,Q$1,0)*$D241,0),IFERROR(VLOOKUP($E:$E,Structure!$A:$AJ,Q$1,0)*$F241,0),IFERROR(VLOOKUP($G:$G,Structure!$A:$AJ,Q$1,0)*$H241,0))</f>
        <v>0</v>
      </c>
      <c r="R241" s="9">
        <f>SUM(IFERROR(VLOOKUP($C:$C,Structure!$A:$AJ,R$1,0)*$D241,0),IFERROR(VLOOKUP($E:$E,Structure!$A:$AJ,R$1,0)*$F241,0),IFERROR(VLOOKUP($G:$G,Structure!$A:$AJ,R$1,0)*$H241,0))</f>
        <v>0</v>
      </c>
      <c r="S241" s="9">
        <f>SUM(IFERROR(VLOOKUP($C:$C,Structure!$A:$AJ,S$1,0)*$D241,0),IFERROR(VLOOKUP($E:$E,Structure!$A:$AJ,S$1,0)*$F241,0),IFERROR(VLOOKUP($G:$G,Structure!$A:$AJ,S$1,0)*$H241,0))</f>
        <v>8</v>
      </c>
      <c r="T241" s="9">
        <f>SUM(IFERROR(VLOOKUP($C:$C,Structure!$A:$AJ,T$1,0)*$D241,0),IFERROR(VLOOKUP($E:$E,Structure!$A:$AJ,T$1,0)*$F241,0),IFERROR(VLOOKUP($G:$G,Structure!$A:$AJ,T$1,0)*$H241,0))</f>
        <v>0</v>
      </c>
      <c r="U241" s="9">
        <f>SUM(IFERROR(VLOOKUP($C:$C,Structure!$A:$AJ,U$1,0)*$D241,0),IFERROR(VLOOKUP($E:$E,Structure!$A:$AJ,U$1,0)*$F241,0),IFERROR(VLOOKUP($G:$G,Structure!$A:$AJ,U$1,0)*$H241,0))</f>
        <v>0</v>
      </c>
      <c r="V241" s="9">
        <f>SUM(IFERROR(VLOOKUP($C:$C,Structure!$A:$AJ,V$1,0)*$D241,0),IFERROR(VLOOKUP($E:$E,Structure!$A:$AJ,V$1,0)*$F241,0),IFERROR(VLOOKUP($G:$G,Structure!$A:$AJ,V$1,0)*$H241,0))</f>
        <v>0</v>
      </c>
      <c r="W241" s="9">
        <f>SUM(IFERROR(VLOOKUP($C:$C,Structure!$A:$AJ,W$1,0)*$D241,0),IFERROR(VLOOKUP($E:$E,Structure!$A:$AJ,W$1,0)*$F241,0),IFERROR(VLOOKUP($G:$G,Structure!$A:$AJ,W$1,0)*$H241,0))</f>
        <v>0</v>
      </c>
      <c r="X241" s="9">
        <f>SUM(IFERROR(VLOOKUP($C:$C,Structure!$A:$AJ,X$1,0)*$D241,0),IFERROR(VLOOKUP($E:$E,Structure!$A:$AJ,X$1,0)*$F241,0),IFERROR(VLOOKUP($G:$G,Structure!$A:$AJ,X$1,0)*$H241,0))</f>
        <v>0</v>
      </c>
      <c r="Y241" s="9">
        <f>SUM(IFERROR(VLOOKUP($C:$C,Structure!$A:$AJ,Y$1,0)*$D241,0),IFERROR(VLOOKUP($E:$E,Structure!$A:$AJ,Y$1,0)*$F241,0),IFERROR(VLOOKUP($G:$G,Structure!$A:$AJ,Y$1,0)*$H241,0))</f>
        <v>0</v>
      </c>
      <c r="Z241" s="9">
        <f>SUM(IFERROR(VLOOKUP($C:$C,Structure!$A:$AJ,Z$1,0)*$D241,0),IFERROR(VLOOKUP($E:$E,Structure!$A:$AJ,Z$1,0)*$F241,0),IFERROR(VLOOKUP($G:$G,Structure!$A:$AJ,Z$1,0)*$H241,0))</f>
        <v>0</v>
      </c>
      <c r="AA241" s="9">
        <f>SUM(IFERROR(VLOOKUP($C:$C,Structure!$A:$AJ,AA$1,0)*$D241,0),IFERROR(VLOOKUP($E:$E,Structure!$A:$AJ,AA$1,0)*$F241,0),IFERROR(VLOOKUP($G:$G,Structure!$A:$AJ,AA$1,0)*$H241,0))</f>
        <v>0</v>
      </c>
      <c r="AB241" s="9">
        <f>SUM(IFERROR(VLOOKUP($C:$C,Structure!$A:$AJ,AB$1,0)*$D241,0),IFERROR(VLOOKUP($E:$E,Structure!$A:$AJ,AB$1,0)*$F241,0),IFERROR(VLOOKUP($G:$G,Structure!$A:$AJ,AB$1,0)*$H241,0))</f>
        <v>0</v>
      </c>
      <c r="AC241" s="9">
        <f>SUM(IFERROR(VLOOKUP($C:$C,Structure!$A:$AJ,AC$1,0)*$D241,0),IFERROR(VLOOKUP($E:$E,Structure!$A:$AJ,AC$1,0)*$F241,0),IFERROR(VLOOKUP($G:$G,Structure!$A:$AJ,AC$1,0)*$H241,0))</f>
        <v>0</v>
      </c>
      <c r="AD241" s="9">
        <f>SUM(IFERROR(VLOOKUP($C:$C,Structure!$A:$AJ,AD$1,0)*$D241,0),IFERROR(VLOOKUP($E:$E,Structure!$A:$AJ,AD$1,0)*$F241,0),IFERROR(VLOOKUP($G:$G,Structure!$A:$AJ,AD$1,0)*$H241,0))</f>
        <v>0</v>
      </c>
      <c r="AE241" s="9">
        <f>SUM(IFERROR(VLOOKUP($C:$C,Structure!$A:$AJ,AE$1,0)*$D241,0),IFERROR(VLOOKUP($E:$E,Structure!$A:$AJ,AE$1,0)*$F241,0),IFERROR(VLOOKUP($G:$G,Structure!$A:$AJ,AE$1,0)*$H241,0))</f>
        <v>0</v>
      </c>
      <c r="AF241" s="9">
        <f>SUM(IFERROR(VLOOKUP($C:$C,Structure!$A:$AJ,AF$1,0)*$D241,0),IFERROR(VLOOKUP($E:$E,Structure!$A:$AJ,AF$1,0)*$F241,0),IFERROR(VLOOKUP($G:$G,Structure!$A:$AJ,AF$1,0)*$H241,0))</f>
        <v>0</v>
      </c>
      <c r="AG241" s="9">
        <f>SUM(IFERROR(VLOOKUP($C:$C,Structure!$A:$AJ,AG$1,0)*$D241,0),IFERROR(VLOOKUP($E:$E,Structure!$A:$AJ,AG$1,0)*$F241,0),IFERROR(VLOOKUP($G:$G,Structure!$A:$AJ,AG$1,0)*$H241,0))</f>
        <v>0</v>
      </c>
      <c r="AH241" s="9">
        <f>SUM(IFERROR(VLOOKUP($C:$C,Structure!$A:$AJ,AH$1,0)*$D241,0),IFERROR(VLOOKUP($E:$E,Structure!$A:$AJ,AH$1,0)*$F241,0),IFERROR(VLOOKUP($G:$G,Structure!$A:$AJ,AH$1,0)*$H241,0))</f>
        <v>0</v>
      </c>
      <c r="AI241" s="9">
        <f>SUM(IFERROR(VLOOKUP($C:$C,Structure!$A:$AJ,AI$1,0)*$D241,0),IFERROR(VLOOKUP($E:$E,Structure!$A:$AJ,AI$1,0)*$F241,0),IFERROR(VLOOKUP($G:$G,Structure!$A:$AJ,AI$1,0)*$H241,0))</f>
        <v>0</v>
      </c>
      <c r="AJ241" s="9">
        <f>SUM(IFERROR(VLOOKUP($C:$C,Structure!$A:$AJ,AJ$1,0)*$D241,0),IFERROR(VLOOKUP($E:$E,Structure!$A:$AJ,AJ$1,0)*$F241,0),IFERROR(VLOOKUP($G:$G,Structure!$A:$AJ,AJ$1,0)*$H241,0))</f>
        <v>0</v>
      </c>
      <c r="AK241" s="9">
        <f>SUM(IFERROR(VLOOKUP($C:$C,Structure!$A:$AJ,AK$1,0)*$D241,0),IFERROR(VLOOKUP($E:$E,Structure!$A:$AJ,AK$1,0)*$F241,0),IFERROR(VLOOKUP($G:$G,Structure!$A:$AJ,AK$1,0)*$H241,0))</f>
        <v>0</v>
      </c>
      <c r="AL241" s="9">
        <f>SUM(IFERROR(VLOOKUP($C:$C,Structure!$A:$AJ,AL$1,0)*$D241,0),IFERROR(VLOOKUP($E:$E,Structure!$A:$AJ,AL$1,0)*$F241,0),IFERROR(VLOOKUP($G:$G,Structure!$A:$AJ,AL$1,0)*$H241,0))</f>
        <v>0</v>
      </c>
      <c r="AM241" s="9">
        <f>SUM(IFERROR(VLOOKUP($C:$C,Structure!$A:$AJ,AM$1,0)*$D241,0),IFERROR(VLOOKUP($E:$E,Structure!$A:$AJ,AM$1,0)*$F241,0),IFERROR(VLOOKUP($G:$G,Structure!$A:$AJ,AM$1,0)*$H241,0))</f>
        <v>0</v>
      </c>
      <c r="AN241" s="9">
        <f>SUM(IFERROR(VLOOKUP($C:$C,Structure!$A:$AJ,AN$1,0)*$D241,0),IFERROR(VLOOKUP($E:$E,Structure!$A:$AJ,AN$1,0)*$F241,0),IFERROR(VLOOKUP($G:$G,Structure!$A:$AJ,AN$1,0)*$H241,0))</f>
        <v>0</v>
      </c>
      <c r="AO241" s="9">
        <f>SUM(IFERROR(VLOOKUP($C:$C,Structure!$A:$AJ,AO$1,0)*$D241,0),IFERROR(VLOOKUP($E:$E,Structure!$A:$AJ,AO$1,0)*$F241,0),IFERROR(VLOOKUP($G:$G,Structure!$A:$AJ,AO$1,0)*$H241,0))</f>
        <v>0</v>
      </c>
      <c r="AP241" s="9">
        <f>SUM(IFERROR(VLOOKUP($C:$C,Structure!$A:$AJ,AP$1,0)*$D241,0),IFERROR(VLOOKUP($E:$E,Structure!$A:$AJ,AP$1,0)*$F241,0),IFERROR(VLOOKUP($G:$G,Structure!$A:$AJ,AP$1,0)*$H241,0))</f>
        <v>0</v>
      </c>
      <c r="AQ241" s="9">
        <f>SUM(IFERROR(VLOOKUP($C:$C,Structure!$A:$AJ,AQ$1,0)*$D241,0),IFERROR(VLOOKUP($E:$E,Structure!$A:$AJ,AQ$1,0)*$F241,0),IFERROR(VLOOKUP($G:$G,Structure!$A:$AJ,AQ$1,0)*$H241,0))</f>
        <v>0</v>
      </c>
      <c r="AR241" s="21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4">
        <f t="shared" si="267"/>
        <v>0</v>
      </c>
      <c r="CE241" s="4">
        <f t="shared" si="268"/>
        <v>-180</v>
      </c>
      <c r="CF241" s="4">
        <f t="shared" si="269"/>
        <v>4</v>
      </c>
      <c r="CG241" s="4">
        <f t="shared" si="270"/>
        <v>11</v>
      </c>
      <c r="CH241" s="4">
        <f t="shared" si="271"/>
        <v>-7</v>
      </c>
      <c r="CI241" s="4">
        <f t="shared" si="272"/>
        <v>103</v>
      </c>
      <c r="CJ241" s="4">
        <f t="shared" si="273"/>
        <v>-383</v>
      </c>
      <c r="CK241" s="4">
        <f t="shared" si="274"/>
        <v>-1</v>
      </c>
      <c r="CL241" s="4">
        <f t="shared" si="275"/>
        <v>0</v>
      </c>
      <c r="CM241" s="4">
        <f t="shared" si="276"/>
        <v>6</v>
      </c>
      <c r="CN241" s="4">
        <f t="shared" si="277"/>
        <v>-270</v>
      </c>
      <c r="CO241" s="4">
        <f t="shared" si="278"/>
        <v>0</v>
      </c>
      <c r="CP241" s="4">
        <f t="shared" si="279"/>
        <v>27</v>
      </c>
      <c r="CQ241" s="4">
        <f t="shared" si="280"/>
        <v>-550</v>
      </c>
      <c r="CR241" s="4">
        <f t="shared" si="281"/>
        <v>12</v>
      </c>
      <c r="CS241" s="4">
        <f t="shared" si="282"/>
        <v>-48</v>
      </c>
      <c r="CT241" s="4">
        <f t="shared" si="283"/>
        <v>0</v>
      </c>
      <c r="CU241" s="4">
        <f t="shared" si="284"/>
        <v>0</v>
      </c>
      <c r="CV241" s="4">
        <f t="shared" si="285"/>
        <v>0</v>
      </c>
      <c r="CW241" s="4">
        <f t="shared" si="286"/>
        <v>0</v>
      </c>
      <c r="CX241" s="4">
        <f t="shared" si="287"/>
        <v>-583</v>
      </c>
      <c r="CY241" s="4">
        <f t="shared" si="288"/>
        <v>0</v>
      </c>
      <c r="CZ241" s="4">
        <f t="shared" si="289"/>
        <v>0</v>
      </c>
      <c r="DA241" s="4">
        <f t="shared" si="290"/>
        <v>0</v>
      </c>
      <c r="DB241" s="4">
        <f t="shared" si="291"/>
        <v>0</v>
      </c>
      <c r="DC241" s="4">
        <f t="shared" si="292"/>
        <v>0</v>
      </c>
      <c r="DD241" s="4">
        <f t="shared" si="293"/>
        <v>0</v>
      </c>
      <c r="DE241" s="4">
        <f t="shared" si="294"/>
        <v>0</v>
      </c>
      <c r="DF241" s="4">
        <f t="shared" si="295"/>
        <v>0</v>
      </c>
      <c r="DG241" s="4">
        <f t="shared" si="296"/>
        <v>0</v>
      </c>
      <c r="DH241" s="4">
        <f t="shared" si="297"/>
        <v>0</v>
      </c>
      <c r="DI241" s="4">
        <f t="shared" si="298"/>
        <v>0</v>
      </c>
      <c r="DJ241" s="4">
        <f t="shared" si="299"/>
        <v>0</v>
      </c>
      <c r="DK241" s="4">
        <f t="shared" si="300"/>
        <v>0</v>
      </c>
      <c r="DL241" s="4">
        <f t="shared" si="301"/>
        <v>0</v>
      </c>
    </row>
    <row r="242" spans="1:116" x14ac:dyDescent="0.25">
      <c r="A242" s="5">
        <v>46188</v>
      </c>
      <c r="B242" s="6">
        <v>0.29166666724631796</v>
      </c>
      <c r="C242" s="3"/>
      <c r="D242" s="3"/>
      <c r="E242" s="3" t="s">
        <v>57</v>
      </c>
      <c r="F242" s="3">
        <v>8</v>
      </c>
      <c r="G242" s="3"/>
      <c r="H242" s="9"/>
      <c r="I242" s="9">
        <f>SUM(IFERROR(VLOOKUP($C:$C,Structure!$A:$AJ,I$1,0)*$D242,0),IFERROR(VLOOKUP($E:$E,Structure!$A:$AJ,I$1,0)*$F242,0),IFERROR(VLOOKUP($G:$G,Structure!$A:$AJ,I$1,0)*$H242,0))</f>
        <v>0</v>
      </c>
      <c r="J242" s="9">
        <f>SUM(IFERROR(VLOOKUP($C:$C,Structure!$A:$AJ,J$1,0)*$D242,0),IFERROR(VLOOKUP($E:$E,Structure!$A:$AJ,J$1,0)*$F242,0),IFERROR(VLOOKUP($G:$G,Structure!$A:$AJ,J$1,0)*$H242,0))</f>
        <v>0</v>
      </c>
      <c r="K242" s="9">
        <f>SUM(IFERROR(VLOOKUP($C:$C,Structure!$A:$AJ,K$1,0)*$D242,0),IFERROR(VLOOKUP($E:$E,Structure!$A:$AJ,K$1,0)*$F242,0),IFERROR(VLOOKUP($G:$G,Structure!$A:$AJ,K$1,0)*$H242,0))</f>
        <v>0</v>
      </c>
      <c r="L242" s="9">
        <f>SUM(IFERROR(VLOOKUP($C:$C,Structure!$A:$AJ,L$1,0)*$D242,0),IFERROR(VLOOKUP($E:$E,Structure!$A:$AJ,L$1,0)*$F242,0),IFERROR(VLOOKUP($G:$G,Structure!$A:$AJ,L$1,0)*$H242,0))</f>
        <v>0</v>
      </c>
      <c r="M242" s="9">
        <f>SUM(IFERROR(VLOOKUP($C:$C,Structure!$A:$AJ,M$1,0)*$D242,0),IFERROR(VLOOKUP($E:$E,Structure!$A:$AJ,M$1,0)*$F242,0),IFERROR(VLOOKUP($G:$G,Structure!$A:$AJ,M$1,0)*$H242,0))</f>
        <v>0</v>
      </c>
      <c r="N242" s="9">
        <f>SUM(IFERROR(VLOOKUP($C:$C,Structure!$A:$AJ,N$1,0)*$D242,0),IFERROR(VLOOKUP($E:$E,Structure!$A:$AJ,N$1,0)*$F242,0),IFERROR(VLOOKUP($G:$G,Structure!$A:$AJ,N$1,0)*$H242,0))</f>
        <v>0</v>
      </c>
      <c r="O242" s="9">
        <f>SUM(IFERROR(VLOOKUP($C:$C,Structure!$A:$AJ,O$1,0)*$D242,0),IFERROR(VLOOKUP($E:$E,Structure!$A:$AJ,O$1,0)*$F242,0),IFERROR(VLOOKUP($G:$G,Structure!$A:$AJ,O$1,0)*$H242,0))</f>
        <v>8</v>
      </c>
      <c r="P242" s="9">
        <f>SUM(IFERROR(VLOOKUP($C:$C,Structure!$A:$AJ,P$1,0)*$D242,0),IFERROR(VLOOKUP($E:$E,Structure!$A:$AJ,P$1,0)*$F242,0),IFERROR(VLOOKUP($G:$G,Structure!$A:$AJ,P$1,0)*$H242,0))</f>
        <v>0</v>
      </c>
      <c r="Q242" s="9">
        <f>SUM(IFERROR(VLOOKUP($C:$C,Structure!$A:$AJ,Q$1,0)*$D242,0),IFERROR(VLOOKUP($E:$E,Structure!$A:$AJ,Q$1,0)*$F242,0),IFERROR(VLOOKUP($G:$G,Structure!$A:$AJ,Q$1,0)*$H242,0))</f>
        <v>0</v>
      </c>
      <c r="R242" s="9">
        <f>SUM(IFERROR(VLOOKUP($C:$C,Structure!$A:$AJ,R$1,0)*$D242,0),IFERROR(VLOOKUP($E:$E,Structure!$A:$AJ,R$1,0)*$F242,0),IFERROR(VLOOKUP($G:$G,Structure!$A:$AJ,R$1,0)*$H242,0))</f>
        <v>0</v>
      </c>
      <c r="S242" s="9">
        <f>SUM(IFERROR(VLOOKUP($C:$C,Structure!$A:$AJ,S$1,0)*$D242,0),IFERROR(VLOOKUP($E:$E,Structure!$A:$AJ,S$1,0)*$F242,0),IFERROR(VLOOKUP($G:$G,Structure!$A:$AJ,S$1,0)*$H242,0))</f>
        <v>8</v>
      </c>
      <c r="T242" s="9">
        <f>SUM(IFERROR(VLOOKUP($C:$C,Structure!$A:$AJ,T$1,0)*$D242,0),IFERROR(VLOOKUP($E:$E,Structure!$A:$AJ,T$1,0)*$F242,0),IFERROR(VLOOKUP($G:$G,Structure!$A:$AJ,T$1,0)*$H242,0))</f>
        <v>0</v>
      </c>
      <c r="U242" s="9">
        <f>SUM(IFERROR(VLOOKUP($C:$C,Structure!$A:$AJ,U$1,0)*$D242,0),IFERROR(VLOOKUP($E:$E,Structure!$A:$AJ,U$1,0)*$F242,0),IFERROR(VLOOKUP($G:$G,Structure!$A:$AJ,U$1,0)*$H242,0))</f>
        <v>0</v>
      </c>
      <c r="V242" s="9">
        <f>SUM(IFERROR(VLOOKUP($C:$C,Structure!$A:$AJ,V$1,0)*$D242,0),IFERROR(VLOOKUP($E:$E,Structure!$A:$AJ,V$1,0)*$F242,0),IFERROR(VLOOKUP($G:$G,Structure!$A:$AJ,V$1,0)*$H242,0))</f>
        <v>0</v>
      </c>
      <c r="W242" s="9">
        <f>SUM(IFERROR(VLOOKUP($C:$C,Structure!$A:$AJ,W$1,0)*$D242,0),IFERROR(VLOOKUP($E:$E,Structure!$A:$AJ,W$1,0)*$F242,0),IFERROR(VLOOKUP($G:$G,Structure!$A:$AJ,W$1,0)*$H242,0))</f>
        <v>0</v>
      </c>
      <c r="X242" s="9">
        <f>SUM(IFERROR(VLOOKUP($C:$C,Structure!$A:$AJ,X$1,0)*$D242,0),IFERROR(VLOOKUP($E:$E,Structure!$A:$AJ,X$1,0)*$F242,0),IFERROR(VLOOKUP($G:$G,Structure!$A:$AJ,X$1,0)*$H242,0))</f>
        <v>0</v>
      </c>
      <c r="Y242" s="9">
        <f>SUM(IFERROR(VLOOKUP($C:$C,Structure!$A:$AJ,Y$1,0)*$D242,0),IFERROR(VLOOKUP($E:$E,Structure!$A:$AJ,Y$1,0)*$F242,0),IFERROR(VLOOKUP($G:$G,Structure!$A:$AJ,Y$1,0)*$H242,0))</f>
        <v>0</v>
      </c>
      <c r="Z242" s="9">
        <f>SUM(IFERROR(VLOOKUP($C:$C,Structure!$A:$AJ,Z$1,0)*$D242,0),IFERROR(VLOOKUP($E:$E,Structure!$A:$AJ,Z$1,0)*$F242,0),IFERROR(VLOOKUP($G:$G,Structure!$A:$AJ,Z$1,0)*$H242,0))</f>
        <v>0</v>
      </c>
      <c r="AA242" s="9">
        <f>SUM(IFERROR(VLOOKUP($C:$C,Structure!$A:$AJ,AA$1,0)*$D242,0),IFERROR(VLOOKUP($E:$E,Structure!$A:$AJ,AA$1,0)*$F242,0),IFERROR(VLOOKUP($G:$G,Structure!$A:$AJ,AA$1,0)*$H242,0))</f>
        <v>0</v>
      </c>
      <c r="AB242" s="9">
        <f>SUM(IFERROR(VLOOKUP($C:$C,Structure!$A:$AJ,AB$1,0)*$D242,0),IFERROR(VLOOKUP($E:$E,Structure!$A:$AJ,AB$1,0)*$F242,0),IFERROR(VLOOKUP($G:$G,Structure!$A:$AJ,AB$1,0)*$H242,0))</f>
        <v>0</v>
      </c>
      <c r="AC242" s="9">
        <f>SUM(IFERROR(VLOOKUP($C:$C,Structure!$A:$AJ,AC$1,0)*$D242,0),IFERROR(VLOOKUP($E:$E,Structure!$A:$AJ,AC$1,0)*$F242,0),IFERROR(VLOOKUP($G:$G,Structure!$A:$AJ,AC$1,0)*$H242,0))</f>
        <v>0</v>
      </c>
      <c r="AD242" s="9">
        <f>SUM(IFERROR(VLOOKUP($C:$C,Structure!$A:$AJ,AD$1,0)*$D242,0),IFERROR(VLOOKUP($E:$E,Structure!$A:$AJ,AD$1,0)*$F242,0),IFERROR(VLOOKUP($G:$G,Structure!$A:$AJ,AD$1,0)*$H242,0))</f>
        <v>0</v>
      </c>
      <c r="AE242" s="9">
        <f>SUM(IFERROR(VLOOKUP($C:$C,Structure!$A:$AJ,AE$1,0)*$D242,0),IFERROR(VLOOKUP($E:$E,Structure!$A:$AJ,AE$1,0)*$F242,0),IFERROR(VLOOKUP($G:$G,Structure!$A:$AJ,AE$1,0)*$H242,0))</f>
        <v>0</v>
      </c>
      <c r="AF242" s="9">
        <f>SUM(IFERROR(VLOOKUP($C:$C,Structure!$A:$AJ,AF$1,0)*$D242,0),IFERROR(VLOOKUP($E:$E,Structure!$A:$AJ,AF$1,0)*$F242,0),IFERROR(VLOOKUP($G:$G,Structure!$A:$AJ,AF$1,0)*$H242,0))</f>
        <v>0</v>
      </c>
      <c r="AG242" s="9">
        <f>SUM(IFERROR(VLOOKUP($C:$C,Structure!$A:$AJ,AG$1,0)*$D242,0),IFERROR(VLOOKUP($E:$E,Structure!$A:$AJ,AG$1,0)*$F242,0),IFERROR(VLOOKUP($G:$G,Structure!$A:$AJ,AG$1,0)*$H242,0))</f>
        <v>0</v>
      </c>
      <c r="AH242" s="9">
        <f>SUM(IFERROR(VLOOKUP($C:$C,Structure!$A:$AJ,AH$1,0)*$D242,0),IFERROR(VLOOKUP($E:$E,Structure!$A:$AJ,AH$1,0)*$F242,0),IFERROR(VLOOKUP($G:$G,Structure!$A:$AJ,AH$1,0)*$H242,0))</f>
        <v>0</v>
      </c>
      <c r="AI242" s="9">
        <f>SUM(IFERROR(VLOOKUP($C:$C,Structure!$A:$AJ,AI$1,0)*$D242,0),IFERROR(VLOOKUP($E:$E,Structure!$A:$AJ,AI$1,0)*$F242,0),IFERROR(VLOOKUP($G:$G,Structure!$A:$AJ,AI$1,0)*$H242,0))</f>
        <v>0</v>
      </c>
      <c r="AJ242" s="9">
        <f>SUM(IFERROR(VLOOKUP($C:$C,Structure!$A:$AJ,AJ$1,0)*$D242,0),IFERROR(VLOOKUP($E:$E,Structure!$A:$AJ,AJ$1,0)*$F242,0),IFERROR(VLOOKUP($G:$G,Structure!$A:$AJ,AJ$1,0)*$H242,0))</f>
        <v>0</v>
      </c>
      <c r="AK242" s="9">
        <f>SUM(IFERROR(VLOOKUP($C:$C,Structure!$A:$AJ,AK$1,0)*$D242,0),IFERROR(VLOOKUP($E:$E,Structure!$A:$AJ,AK$1,0)*$F242,0),IFERROR(VLOOKUP($G:$G,Structure!$A:$AJ,AK$1,0)*$H242,0))</f>
        <v>0</v>
      </c>
      <c r="AL242" s="9">
        <f>SUM(IFERROR(VLOOKUP($C:$C,Structure!$A:$AJ,AL$1,0)*$D242,0),IFERROR(VLOOKUP($E:$E,Structure!$A:$AJ,AL$1,0)*$F242,0),IFERROR(VLOOKUP($G:$G,Structure!$A:$AJ,AL$1,0)*$H242,0))</f>
        <v>0</v>
      </c>
      <c r="AM242" s="9">
        <f>SUM(IFERROR(VLOOKUP($C:$C,Structure!$A:$AJ,AM$1,0)*$D242,0),IFERROR(VLOOKUP($E:$E,Structure!$A:$AJ,AM$1,0)*$F242,0),IFERROR(VLOOKUP($G:$G,Structure!$A:$AJ,AM$1,0)*$H242,0))</f>
        <v>0</v>
      </c>
      <c r="AN242" s="9">
        <f>SUM(IFERROR(VLOOKUP($C:$C,Structure!$A:$AJ,AN$1,0)*$D242,0),IFERROR(VLOOKUP($E:$E,Structure!$A:$AJ,AN$1,0)*$F242,0),IFERROR(VLOOKUP($G:$G,Structure!$A:$AJ,AN$1,0)*$H242,0))</f>
        <v>0</v>
      </c>
      <c r="AO242" s="9">
        <f>SUM(IFERROR(VLOOKUP($C:$C,Structure!$A:$AJ,AO$1,0)*$D242,0),IFERROR(VLOOKUP($E:$E,Structure!$A:$AJ,AO$1,0)*$F242,0),IFERROR(VLOOKUP($G:$G,Structure!$A:$AJ,AO$1,0)*$H242,0))</f>
        <v>0</v>
      </c>
      <c r="AP242" s="9">
        <f>SUM(IFERROR(VLOOKUP($C:$C,Structure!$A:$AJ,AP$1,0)*$D242,0),IFERROR(VLOOKUP($E:$E,Structure!$A:$AJ,AP$1,0)*$F242,0),IFERROR(VLOOKUP($G:$G,Structure!$A:$AJ,AP$1,0)*$H242,0))</f>
        <v>0</v>
      </c>
      <c r="AQ242" s="9">
        <f>SUM(IFERROR(VLOOKUP($C:$C,Structure!$A:$AJ,AQ$1,0)*$D242,0),IFERROR(VLOOKUP($E:$E,Structure!$A:$AJ,AQ$1,0)*$F242,0),IFERROR(VLOOKUP($G:$G,Structure!$A:$AJ,AQ$1,0)*$H242,0))</f>
        <v>0</v>
      </c>
      <c r="AR242" s="21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4">
        <f t="shared" si="267"/>
        <v>0</v>
      </c>
      <c r="CE242" s="4">
        <f t="shared" si="268"/>
        <v>-180</v>
      </c>
      <c r="CF242" s="4">
        <f t="shared" si="269"/>
        <v>4</v>
      </c>
      <c r="CG242" s="4">
        <f t="shared" si="270"/>
        <v>11</v>
      </c>
      <c r="CH242" s="4">
        <f t="shared" si="271"/>
        <v>-7</v>
      </c>
      <c r="CI242" s="4">
        <f t="shared" si="272"/>
        <v>103</v>
      </c>
      <c r="CJ242" s="4">
        <f t="shared" si="273"/>
        <v>-391</v>
      </c>
      <c r="CK242" s="4">
        <f t="shared" si="274"/>
        <v>-1</v>
      </c>
      <c r="CL242" s="4">
        <f t="shared" si="275"/>
        <v>0</v>
      </c>
      <c r="CM242" s="4">
        <f t="shared" si="276"/>
        <v>6</v>
      </c>
      <c r="CN242" s="4">
        <f t="shared" si="277"/>
        <v>-278</v>
      </c>
      <c r="CO242" s="4">
        <f t="shared" si="278"/>
        <v>0</v>
      </c>
      <c r="CP242" s="4">
        <f t="shared" si="279"/>
        <v>27</v>
      </c>
      <c r="CQ242" s="4">
        <f t="shared" si="280"/>
        <v>-550</v>
      </c>
      <c r="CR242" s="4">
        <f t="shared" si="281"/>
        <v>12</v>
      </c>
      <c r="CS242" s="4">
        <f t="shared" si="282"/>
        <v>-48</v>
      </c>
      <c r="CT242" s="4">
        <f t="shared" si="283"/>
        <v>0</v>
      </c>
      <c r="CU242" s="4">
        <f t="shared" si="284"/>
        <v>0</v>
      </c>
      <c r="CV242" s="4">
        <f t="shared" si="285"/>
        <v>0</v>
      </c>
      <c r="CW242" s="4">
        <f t="shared" si="286"/>
        <v>0</v>
      </c>
      <c r="CX242" s="4">
        <f t="shared" si="287"/>
        <v>-583</v>
      </c>
      <c r="CY242" s="4">
        <f t="shared" si="288"/>
        <v>0</v>
      </c>
      <c r="CZ242" s="4">
        <f t="shared" si="289"/>
        <v>0</v>
      </c>
      <c r="DA242" s="4">
        <f t="shared" si="290"/>
        <v>0</v>
      </c>
      <c r="DB242" s="4">
        <f t="shared" si="291"/>
        <v>0</v>
      </c>
      <c r="DC242" s="4">
        <f t="shared" si="292"/>
        <v>0</v>
      </c>
      <c r="DD242" s="4">
        <f t="shared" si="293"/>
        <v>0</v>
      </c>
      <c r="DE242" s="4">
        <f t="shared" si="294"/>
        <v>0</v>
      </c>
      <c r="DF242" s="4">
        <f t="shared" si="295"/>
        <v>0</v>
      </c>
      <c r="DG242" s="4">
        <f t="shared" si="296"/>
        <v>0</v>
      </c>
      <c r="DH242" s="4">
        <f t="shared" si="297"/>
        <v>0</v>
      </c>
      <c r="DI242" s="4">
        <f t="shared" si="298"/>
        <v>0</v>
      </c>
      <c r="DJ242" s="4">
        <f t="shared" si="299"/>
        <v>0</v>
      </c>
      <c r="DK242" s="4">
        <f t="shared" si="300"/>
        <v>0</v>
      </c>
      <c r="DL242" s="4">
        <f t="shared" si="301"/>
        <v>0</v>
      </c>
    </row>
    <row r="243" spans="1:116" x14ac:dyDescent="0.25">
      <c r="A243" s="5">
        <v>46188</v>
      </c>
      <c r="B243" s="6">
        <v>0.31250000058207661</v>
      </c>
      <c r="C243" s="3"/>
      <c r="D243" s="3"/>
      <c r="E243" s="3" t="s">
        <v>49</v>
      </c>
      <c r="F243" s="3">
        <v>5</v>
      </c>
      <c r="G243" s="3"/>
      <c r="H243" s="9"/>
      <c r="I243" s="9">
        <f>SUM(IFERROR(VLOOKUP($C:$C,Structure!$A:$AJ,I$1,0)*$D243,0),IFERROR(VLOOKUP($E:$E,Structure!$A:$AJ,I$1,0)*$F243,0),IFERROR(VLOOKUP($G:$G,Structure!$A:$AJ,I$1,0)*$H243,0))</f>
        <v>0</v>
      </c>
      <c r="J243" s="9">
        <f>SUM(IFERROR(VLOOKUP($C:$C,Structure!$A:$AJ,J$1,0)*$D243,0),IFERROR(VLOOKUP($E:$E,Structure!$A:$AJ,J$1,0)*$F243,0),IFERROR(VLOOKUP($G:$G,Structure!$A:$AJ,J$1,0)*$H243,0))</f>
        <v>0</v>
      </c>
      <c r="K243" s="9">
        <f>SUM(IFERROR(VLOOKUP($C:$C,Structure!$A:$AJ,K$1,0)*$D243,0),IFERROR(VLOOKUP($E:$E,Structure!$A:$AJ,K$1,0)*$F243,0),IFERROR(VLOOKUP($G:$G,Structure!$A:$AJ,K$1,0)*$H243,0))</f>
        <v>0</v>
      </c>
      <c r="L243" s="9">
        <f>SUM(IFERROR(VLOOKUP($C:$C,Structure!$A:$AJ,L$1,0)*$D243,0),IFERROR(VLOOKUP($E:$E,Structure!$A:$AJ,L$1,0)*$F243,0),IFERROR(VLOOKUP($G:$G,Structure!$A:$AJ,L$1,0)*$H243,0))</f>
        <v>0</v>
      </c>
      <c r="M243" s="9">
        <f>SUM(IFERROR(VLOOKUP($C:$C,Structure!$A:$AJ,M$1,0)*$D243,0),IFERROR(VLOOKUP($E:$E,Structure!$A:$AJ,M$1,0)*$F243,0),IFERROR(VLOOKUP($G:$G,Structure!$A:$AJ,M$1,0)*$H243,0))</f>
        <v>0</v>
      </c>
      <c r="N243" s="9">
        <f>SUM(IFERROR(VLOOKUP($C:$C,Structure!$A:$AJ,N$1,0)*$D243,0),IFERROR(VLOOKUP($E:$E,Structure!$A:$AJ,N$1,0)*$F243,0),IFERROR(VLOOKUP($G:$G,Structure!$A:$AJ,N$1,0)*$H243,0))</f>
        <v>5</v>
      </c>
      <c r="O243" s="9">
        <f>SUM(IFERROR(VLOOKUP($C:$C,Structure!$A:$AJ,O$1,0)*$D243,0),IFERROR(VLOOKUP($E:$E,Structure!$A:$AJ,O$1,0)*$F243,0),IFERROR(VLOOKUP($G:$G,Structure!$A:$AJ,O$1,0)*$H243,0))</f>
        <v>0</v>
      </c>
      <c r="P243" s="9">
        <f>SUM(IFERROR(VLOOKUP($C:$C,Structure!$A:$AJ,P$1,0)*$D243,0),IFERROR(VLOOKUP($E:$E,Structure!$A:$AJ,P$1,0)*$F243,0),IFERROR(VLOOKUP($G:$G,Structure!$A:$AJ,P$1,0)*$H243,0))</f>
        <v>0</v>
      </c>
      <c r="Q243" s="9">
        <f>SUM(IFERROR(VLOOKUP($C:$C,Structure!$A:$AJ,Q$1,0)*$D243,0),IFERROR(VLOOKUP($E:$E,Structure!$A:$AJ,Q$1,0)*$F243,0),IFERROR(VLOOKUP($G:$G,Structure!$A:$AJ,Q$1,0)*$H243,0))</f>
        <v>0</v>
      </c>
      <c r="R243" s="9">
        <f>SUM(IFERROR(VLOOKUP($C:$C,Structure!$A:$AJ,R$1,0)*$D243,0),IFERROR(VLOOKUP($E:$E,Structure!$A:$AJ,R$1,0)*$F243,0),IFERROR(VLOOKUP($G:$G,Structure!$A:$AJ,R$1,0)*$H243,0))</f>
        <v>0</v>
      </c>
      <c r="S243" s="9">
        <f>SUM(IFERROR(VLOOKUP($C:$C,Structure!$A:$AJ,S$1,0)*$D243,0),IFERROR(VLOOKUP($E:$E,Structure!$A:$AJ,S$1,0)*$F243,0),IFERROR(VLOOKUP($G:$G,Structure!$A:$AJ,S$1,0)*$H243,0))</f>
        <v>0</v>
      </c>
      <c r="T243" s="9">
        <f>SUM(IFERROR(VLOOKUP($C:$C,Structure!$A:$AJ,T$1,0)*$D243,0),IFERROR(VLOOKUP($E:$E,Structure!$A:$AJ,T$1,0)*$F243,0),IFERROR(VLOOKUP($G:$G,Structure!$A:$AJ,T$1,0)*$H243,0))</f>
        <v>0</v>
      </c>
      <c r="U243" s="9">
        <f>SUM(IFERROR(VLOOKUP($C:$C,Structure!$A:$AJ,U$1,0)*$D243,0),IFERROR(VLOOKUP($E:$E,Structure!$A:$AJ,U$1,0)*$F243,0),IFERROR(VLOOKUP($G:$G,Structure!$A:$AJ,U$1,0)*$H243,0))</f>
        <v>0</v>
      </c>
      <c r="V243" s="9">
        <f>SUM(IFERROR(VLOOKUP($C:$C,Structure!$A:$AJ,V$1,0)*$D243,0),IFERROR(VLOOKUP($E:$E,Structure!$A:$AJ,V$1,0)*$F243,0),IFERROR(VLOOKUP($G:$G,Structure!$A:$AJ,V$1,0)*$H243,0))</f>
        <v>0</v>
      </c>
      <c r="W243" s="9">
        <f>SUM(IFERROR(VLOOKUP($C:$C,Structure!$A:$AJ,W$1,0)*$D243,0),IFERROR(VLOOKUP($E:$E,Structure!$A:$AJ,W$1,0)*$F243,0),IFERROR(VLOOKUP($G:$G,Structure!$A:$AJ,W$1,0)*$H243,0))</f>
        <v>0</v>
      </c>
      <c r="X243" s="9">
        <f>SUM(IFERROR(VLOOKUP($C:$C,Structure!$A:$AJ,X$1,0)*$D243,0),IFERROR(VLOOKUP($E:$E,Structure!$A:$AJ,X$1,0)*$F243,0),IFERROR(VLOOKUP($G:$G,Structure!$A:$AJ,X$1,0)*$H243,0))</f>
        <v>5</v>
      </c>
      <c r="Y243" s="9">
        <f>SUM(IFERROR(VLOOKUP($C:$C,Structure!$A:$AJ,Y$1,0)*$D243,0),IFERROR(VLOOKUP($E:$E,Structure!$A:$AJ,Y$1,0)*$F243,0),IFERROR(VLOOKUP($G:$G,Structure!$A:$AJ,Y$1,0)*$H243,0))</f>
        <v>0</v>
      </c>
      <c r="Z243" s="9">
        <f>SUM(IFERROR(VLOOKUP($C:$C,Structure!$A:$AJ,Z$1,0)*$D243,0),IFERROR(VLOOKUP($E:$E,Structure!$A:$AJ,Z$1,0)*$F243,0),IFERROR(VLOOKUP($G:$G,Structure!$A:$AJ,Z$1,0)*$H243,0))</f>
        <v>0</v>
      </c>
      <c r="AA243" s="9">
        <f>SUM(IFERROR(VLOOKUP($C:$C,Structure!$A:$AJ,AA$1,0)*$D243,0),IFERROR(VLOOKUP($E:$E,Structure!$A:$AJ,AA$1,0)*$F243,0),IFERROR(VLOOKUP($G:$G,Structure!$A:$AJ,AA$1,0)*$H243,0))</f>
        <v>0</v>
      </c>
      <c r="AB243" s="9">
        <f>SUM(IFERROR(VLOOKUP($C:$C,Structure!$A:$AJ,AB$1,0)*$D243,0),IFERROR(VLOOKUP($E:$E,Structure!$A:$AJ,AB$1,0)*$F243,0),IFERROR(VLOOKUP($G:$G,Structure!$A:$AJ,AB$1,0)*$H243,0))</f>
        <v>0</v>
      </c>
      <c r="AC243" s="9">
        <f>SUM(IFERROR(VLOOKUP($C:$C,Structure!$A:$AJ,AC$1,0)*$D243,0),IFERROR(VLOOKUP($E:$E,Structure!$A:$AJ,AC$1,0)*$F243,0),IFERROR(VLOOKUP($G:$G,Structure!$A:$AJ,AC$1,0)*$H243,0))</f>
        <v>0</v>
      </c>
      <c r="AD243" s="9">
        <f>SUM(IFERROR(VLOOKUP($C:$C,Structure!$A:$AJ,AD$1,0)*$D243,0),IFERROR(VLOOKUP($E:$E,Structure!$A:$AJ,AD$1,0)*$F243,0),IFERROR(VLOOKUP($G:$G,Structure!$A:$AJ,AD$1,0)*$H243,0))</f>
        <v>0</v>
      </c>
      <c r="AE243" s="9">
        <f>SUM(IFERROR(VLOOKUP($C:$C,Structure!$A:$AJ,AE$1,0)*$D243,0),IFERROR(VLOOKUP($E:$E,Structure!$A:$AJ,AE$1,0)*$F243,0),IFERROR(VLOOKUP($G:$G,Structure!$A:$AJ,AE$1,0)*$H243,0))</f>
        <v>0</v>
      </c>
      <c r="AF243" s="9">
        <f>SUM(IFERROR(VLOOKUP($C:$C,Structure!$A:$AJ,AF$1,0)*$D243,0),IFERROR(VLOOKUP($E:$E,Structure!$A:$AJ,AF$1,0)*$F243,0),IFERROR(VLOOKUP($G:$G,Structure!$A:$AJ,AF$1,0)*$H243,0))</f>
        <v>0</v>
      </c>
      <c r="AG243" s="9">
        <f>SUM(IFERROR(VLOOKUP($C:$C,Structure!$A:$AJ,AG$1,0)*$D243,0),IFERROR(VLOOKUP($E:$E,Structure!$A:$AJ,AG$1,0)*$F243,0),IFERROR(VLOOKUP($G:$G,Structure!$A:$AJ,AG$1,0)*$H243,0))</f>
        <v>0</v>
      </c>
      <c r="AH243" s="9">
        <f>SUM(IFERROR(VLOOKUP($C:$C,Structure!$A:$AJ,AH$1,0)*$D243,0),IFERROR(VLOOKUP($E:$E,Structure!$A:$AJ,AH$1,0)*$F243,0),IFERROR(VLOOKUP($G:$G,Structure!$A:$AJ,AH$1,0)*$H243,0))</f>
        <v>0</v>
      </c>
      <c r="AI243" s="9">
        <f>SUM(IFERROR(VLOOKUP($C:$C,Structure!$A:$AJ,AI$1,0)*$D243,0),IFERROR(VLOOKUP($E:$E,Structure!$A:$AJ,AI$1,0)*$F243,0),IFERROR(VLOOKUP($G:$G,Structure!$A:$AJ,AI$1,0)*$H243,0))</f>
        <v>0</v>
      </c>
      <c r="AJ243" s="9">
        <f>SUM(IFERROR(VLOOKUP($C:$C,Structure!$A:$AJ,AJ$1,0)*$D243,0),IFERROR(VLOOKUP($E:$E,Structure!$A:$AJ,AJ$1,0)*$F243,0),IFERROR(VLOOKUP($G:$G,Structure!$A:$AJ,AJ$1,0)*$H243,0))</f>
        <v>0</v>
      </c>
      <c r="AK243" s="9">
        <f>SUM(IFERROR(VLOOKUP($C:$C,Structure!$A:$AJ,AK$1,0)*$D243,0),IFERROR(VLOOKUP($E:$E,Structure!$A:$AJ,AK$1,0)*$F243,0),IFERROR(VLOOKUP($G:$G,Structure!$A:$AJ,AK$1,0)*$H243,0))</f>
        <v>0</v>
      </c>
      <c r="AL243" s="9">
        <f>SUM(IFERROR(VLOOKUP($C:$C,Structure!$A:$AJ,AL$1,0)*$D243,0),IFERROR(VLOOKUP($E:$E,Structure!$A:$AJ,AL$1,0)*$F243,0),IFERROR(VLOOKUP($G:$G,Structure!$A:$AJ,AL$1,0)*$H243,0))</f>
        <v>0</v>
      </c>
      <c r="AM243" s="9">
        <f>SUM(IFERROR(VLOOKUP($C:$C,Structure!$A:$AJ,AM$1,0)*$D243,0),IFERROR(VLOOKUP($E:$E,Structure!$A:$AJ,AM$1,0)*$F243,0),IFERROR(VLOOKUP($G:$G,Structure!$A:$AJ,AM$1,0)*$H243,0))</f>
        <v>0</v>
      </c>
      <c r="AN243" s="9">
        <f>SUM(IFERROR(VLOOKUP($C:$C,Structure!$A:$AJ,AN$1,0)*$D243,0),IFERROR(VLOOKUP($E:$E,Structure!$A:$AJ,AN$1,0)*$F243,0),IFERROR(VLOOKUP($G:$G,Structure!$A:$AJ,AN$1,0)*$H243,0))</f>
        <v>0</v>
      </c>
      <c r="AO243" s="9">
        <f>SUM(IFERROR(VLOOKUP($C:$C,Structure!$A:$AJ,AO$1,0)*$D243,0),IFERROR(VLOOKUP($E:$E,Structure!$A:$AJ,AO$1,0)*$F243,0),IFERROR(VLOOKUP($G:$G,Structure!$A:$AJ,AO$1,0)*$H243,0))</f>
        <v>0</v>
      </c>
      <c r="AP243" s="9">
        <f>SUM(IFERROR(VLOOKUP($C:$C,Structure!$A:$AJ,AP$1,0)*$D243,0),IFERROR(VLOOKUP($E:$E,Structure!$A:$AJ,AP$1,0)*$F243,0),IFERROR(VLOOKUP($G:$G,Structure!$A:$AJ,AP$1,0)*$H243,0))</f>
        <v>0</v>
      </c>
      <c r="AQ243" s="9">
        <f>SUM(IFERROR(VLOOKUP($C:$C,Structure!$A:$AJ,AQ$1,0)*$D243,0),IFERROR(VLOOKUP($E:$E,Structure!$A:$AJ,AQ$1,0)*$F243,0),IFERROR(VLOOKUP($G:$G,Structure!$A:$AJ,AQ$1,0)*$H243,0))</f>
        <v>0</v>
      </c>
      <c r="AR243" s="21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4">
        <f t="shared" si="267"/>
        <v>0</v>
      </c>
      <c r="CE243" s="4">
        <f t="shared" si="268"/>
        <v>-180</v>
      </c>
      <c r="CF243" s="4">
        <f t="shared" si="269"/>
        <v>4</v>
      </c>
      <c r="CG243" s="4">
        <f t="shared" si="270"/>
        <v>11</v>
      </c>
      <c r="CH243" s="4">
        <f t="shared" si="271"/>
        <v>-7</v>
      </c>
      <c r="CI243" s="4">
        <f t="shared" si="272"/>
        <v>98</v>
      </c>
      <c r="CJ243" s="4">
        <f t="shared" si="273"/>
        <v>-391</v>
      </c>
      <c r="CK243" s="4">
        <f t="shared" si="274"/>
        <v>-1</v>
      </c>
      <c r="CL243" s="4">
        <f t="shared" si="275"/>
        <v>0</v>
      </c>
      <c r="CM243" s="4">
        <f t="shared" si="276"/>
        <v>6</v>
      </c>
      <c r="CN243" s="4">
        <f t="shared" si="277"/>
        <v>-278</v>
      </c>
      <c r="CO243" s="4">
        <f t="shared" si="278"/>
        <v>0</v>
      </c>
      <c r="CP243" s="4">
        <f t="shared" si="279"/>
        <v>27</v>
      </c>
      <c r="CQ243" s="4">
        <f t="shared" si="280"/>
        <v>-550</v>
      </c>
      <c r="CR243" s="4">
        <f t="shared" si="281"/>
        <v>12</v>
      </c>
      <c r="CS243" s="4">
        <f t="shared" si="282"/>
        <v>-53</v>
      </c>
      <c r="CT243" s="4">
        <f t="shared" si="283"/>
        <v>0</v>
      </c>
      <c r="CU243" s="4">
        <f t="shared" si="284"/>
        <v>0</v>
      </c>
      <c r="CV243" s="4">
        <f t="shared" si="285"/>
        <v>0</v>
      </c>
      <c r="CW243" s="4">
        <f t="shared" si="286"/>
        <v>0</v>
      </c>
      <c r="CX243" s="4">
        <f t="shared" si="287"/>
        <v>-583</v>
      </c>
      <c r="CY243" s="4">
        <f t="shared" si="288"/>
        <v>0</v>
      </c>
      <c r="CZ243" s="4">
        <f t="shared" si="289"/>
        <v>0</v>
      </c>
      <c r="DA243" s="4">
        <f t="shared" si="290"/>
        <v>0</v>
      </c>
      <c r="DB243" s="4">
        <f t="shared" si="291"/>
        <v>0</v>
      </c>
      <c r="DC243" s="4">
        <f t="shared" si="292"/>
        <v>0</v>
      </c>
      <c r="DD243" s="4">
        <f t="shared" si="293"/>
        <v>0</v>
      </c>
      <c r="DE243" s="4">
        <f t="shared" si="294"/>
        <v>0</v>
      </c>
      <c r="DF243" s="4">
        <f t="shared" si="295"/>
        <v>0</v>
      </c>
      <c r="DG243" s="4">
        <f t="shared" si="296"/>
        <v>0</v>
      </c>
      <c r="DH243" s="4">
        <f t="shared" si="297"/>
        <v>0</v>
      </c>
      <c r="DI243" s="4">
        <f t="shared" si="298"/>
        <v>0</v>
      </c>
      <c r="DJ243" s="4">
        <f t="shared" si="299"/>
        <v>0</v>
      </c>
      <c r="DK243" s="4">
        <f t="shared" si="300"/>
        <v>0</v>
      </c>
      <c r="DL243" s="4">
        <f t="shared" si="301"/>
        <v>0</v>
      </c>
    </row>
    <row r="244" spans="1:116" x14ac:dyDescent="0.25">
      <c r="A244" s="5">
        <v>46188</v>
      </c>
      <c r="B244" s="6">
        <v>0.33333333391783526</v>
      </c>
      <c r="C244" s="3"/>
      <c r="D244" s="3"/>
      <c r="E244" s="3" t="s">
        <v>30</v>
      </c>
      <c r="F244" s="3">
        <v>8</v>
      </c>
      <c r="G244" s="3"/>
      <c r="H244" s="9"/>
      <c r="I244" s="9">
        <f>SUM(IFERROR(VLOOKUP($C:$C,Structure!$A:$AJ,I$1,0)*$D244,0),IFERROR(VLOOKUP($E:$E,Structure!$A:$AJ,I$1,0)*$F244,0),IFERROR(VLOOKUP($G:$G,Structure!$A:$AJ,I$1,0)*$H244,0))</f>
        <v>0</v>
      </c>
      <c r="J244" s="9">
        <f>SUM(IFERROR(VLOOKUP($C:$C,Structure!$A:$AJ,J$1,0)*$D244,0),IFERROR(VLOOKUP($E:$E,Structure!$A:$AJ,J$1,0)*$F244,0),IFERROR(VLOOKUP($G:$G,Structure!$A:$AJ,J$1,0)*$H244,0))</f>
        <v>0</v>
      </c>
      <c r="K244" s="9">
        <f>SUM(IFERROR(VLOOKUP($C:$C,Structure!$A:$AJ,K$1,0)*$D244,0),IFERROR(VLOOKUP($E:$E,Structure!$A:$AJ,K$1,0)*$F244,0),IFERROR(VLOOKUP($G:$G,Structure!$A:$AJ,K$1,0)*$H244,0))</f>
        <v>0</v>
      </c>
      <c r="L244" s="9">
        <f>SUM(IFERROR(VLOOKUP($C:$C,Structure!$A:$AJ,L$1,0)*$D244,0),IFERROR(VLOOKUP($E:$E,Structure!$A:$AJ,L$1,0)*$F244,0),IFERROR(VLOOKUP($G:$G,Structure!$A:$AJ,L$1,0)*$H244,0))</f>
        <v>0</v>
      </c>
      <c r="M244" s="9">
        <f>SUM(IFERROR(VLOOKUP($C:$C,Structure!$A:$AJ,M$1,0)*$D244,0),IFERROR(VLOOKUP($E:$E,Structure!$A:$AJ,M$1,0)*$F244,0),IFERROR(VLOOKUP($G:$G,Structure!$A:$AJ,M$1,0)*$H244,0))</f>
        <v>0</v>
      </c>
      <c r="N244" s="9">
        <f>SUM(IFERROR(VLOOKUP($C:$C,Structure!$A:$AJ,N$1,0)*$D244,0),IFERROR(VLOOKUP($E:$E,Structure!$A:$AJ,N$1,0)*$F244,0),IFERROR(VLOOKUP($G:$G,Structure!$A:$AJ,N$1,0)*$H244,0))</f>
        <v>0</v>
      </c>
      <c r="O244" s="9">
        <f>SUM(IFERROR(VLOOKUP($C:$C,Structure!$A:$AJ,O$1,0)*$D244,0),IFERROR(VLOOKUP($E:$E,Structure!$A:$AJ,O$1,0)*$F244,0),IFERROR(VLOOKUP($G:$G,Structure!$A:$AJ,O$1,0)*$H244,0))</f>
        <v>0</v>
      </c>
      <c r="P244" s="9">
        <f>SUM(IFERROR(VLOOKUP($C:$C,Structure!$A:$AJ,P$1,0)*$D244,0),IFERROR(VLOOKUP($E:$E,Structure!$A:$AJ,P$1,0)*$F244,0),IFERROR(VLOOKUP($G:$G,Structure!$A:$AJ,P$1,0)*$H244,0))</f>
        <v>0</v>
      </c>
      <c r="Q244" s="9">
        <f>SUM(IFERROR(VLOOKUP($C:$C,Structure!$A:$AJ,Q$1,0)*$D244,0),IFERROR(VLOOKUP($E:$E,Structure!$A:$AJ,Q$1,0)*$F244,0),IFERROR(VLOOKUP($G:$G,Structure!$A:$AJ,Q$1,0)*$H244,0))</f>
        <v>0</v>
      </c>
      <c r="R244" s="9">
        <f>SUM(IFERROR(VLOOKUP($C:$C,Structure!$A:$AJ,R$1,0)*$D244,0),IFERROR(VLOOKUP($E:$E,Structure!$A:$AJ,R$1,0)*$F244,0),IFERROR(VLOOKUP($G:$G,Structure!$A:$AJ,R$1,0)*$H244,0))</f>
        <v>0</v>
      </c>
      <c r="S244" s="9">
        <f>SUM(IFERROR(VLOOKUP($C:$C,Structure!$A:$AJ,S$1,0)*$D244,0),IFERROR(VLOOKUP($E:$E,Structure!$A:$AJ,S$1,0)*$F244,0),IFERROR(VLOOKUP($G:$G,Structure!$A:$AJ,S$1,0)*$H244,0))</f>
        <v>0</v>
      </c>
      <c r="T244" s="9">
        <f>SUM(IFERROR(VLOOKUP($C:$C,Structure!$A:$AJ,T$1,0)*$D244,0),IFERROR(VLOOKUP($E:$E,Structure!$A:$AJ,T$1,0)*$F244,0),IFERROR(VLOOKUP($G:$G,Structure!$A:$AJ,T$1,0)*$H244,0))</f>
        <v>0</v>
      </c>
      <c r="U244" s="9">
        <f>SUM(IFERROR(VLOOKUP($C:$C,Structure!$A:$AJ,U$1,0)*$D244,0),IFERROR(VLOOKUP($E:$E,Structure!$A:$AJ,U$1,0)*$F244,0),IFERROR(VLOOKUP($G:$G,Structure!$A:$AJ,U$1,0)*$H244,0))</f>
        <v>0</v>
      </c>
      <c r="V244" s="9">
        <f>SUM(IFERROR(VLOOKUP($C:$C,Structure!$A:$AJ,V$1,0)*$D244,0),IFERROR(VLOOKUP($E:$E,Structure!$A:$AJ,V$1,0)*$F244,0),IFERROR(VLOOKUP($G:$G,Structure!$A:$AJ,V$1,0)*$H244,0))</f>
        <v>8</v>
      </c>
      <c r="W244" s="9">
        <f>SUM(IFERROR(VLOOKUP($C:$C,Structure!$A:$AJ,W$1,0)*$D244,0),IFERROR(VLOOKUP($E:$E,Structure!$A:$AJ,W$1,0)*$F244,0),IFERROR(VLOOKUP($G:$G,Structure!$A:$AJ,W$1,0)*$H244,0))</f>
        <v>0</v>
      </c>
      <c r="X244" s="9">
        <f>SUM(IFERROR(VLOOKUP($C:$C,Structure!$A:$AJ,X$1,0)*$D244,0),IFERROR(VLOOKUP($E:$E,Structure!$A:$AJ,X$1,0)*$F244,0),IFERROR(VLOOKUP($G:$G,Structure!$A:$AJ,X$1,0)*$H244,0))</f>
        <v>0</v>
      </c>
      <c r="Y244" s="9">
        <f>SUM(IFERROR(VLOOKUP($C:$C,Structure!$A:$AJ,Y$1,0)*$D244,0),IFERROR(VLOOKUP($E:$E,Structure!$A:$AJ,Y$1,0)*$F244,0),IFERROR(VLOOKUP($G:$G,Structure!$A:$AJ,Y$1,0)*$H244,0))</f>
        <v>0</v>
      </c>
      <c r="Z244" s="9">
        <f>SUM(IFERROR(VLOOKUP($C:$C,Structure!$A:$AJ,Z$1,0)*$D244,0),IFERROR(VLOOKUP($E:$E,Structure!$A:$AJ,Z$1,0)*$F244,0),IFERROR(VLOOKUP($G:$G,Structure!$A:$AJ,Z$1,0)*$H244,0))</f>
        <v>0</v>
      </c>
      <c r="AA244" s="9">
        <f>SUM(IFERROR(VLOOKUP($C:$C,Structure!$A:$AJ,AA$1,0)*$D244,0),IFERROR(VLOOKUP($E:$E,Structure!$A:$AJ,AA$1,0)*$F244,0),IFERROR(VLOOKUP($G:$G,Structure!$A:$AJ,AA$1,0)*$H244,0))</f>
        <v>0</v>
      </c>
      <c r="AB244" s="9">
        <f>SUM(IFERROR(VLOOKUP($C:$C,Structure!$A:$AJ,AB$1,0)*$D244,0),IFERROR(VLOOKUP($E:$E,Structure!$A:$AJ,AB$1,0)*$F244,0),IFERROR(VLOOKUP($G:$G,Structure!$A:$AJ,AB$1,0)*$H244,0))</f>
        <v>0</v>
      </c>
      <c r="AC244" s="9">
        <f>SUM(IFERROR(VLOOKUP($C:$C,Structure!$A:$AJ,AC$1,0)*$D244,0),IFERROR(VLOOKUP($E:$E,Structure!$A:$AJ,AC$1,0)*$F244,0),IFERROR(VLOOKUP($G:$G,Structure!$A:$AJ,AC$1,0)*$H244,0))</f>
        <v>8</v>
      </c>
      <c r="AD244" s="9">
        <f>SUM(IFERROR(VLOOKUP($C:$C,Structure!$A:$AJ,AD$1,0)*$D244,0),IFERROR(VLOOKUP($E:$E,Structure!$A:$AJ,AD$1,0)*$F244,0),IFERROR(VLOOKUP($G:$G,Structure!$A:$AJ,AD$1,0)*$H244,0))</f>
        <v>0</v>
      </c>
      <c r="AE244" s="9">
        <f>SUM(IFERROR(VLOOKUP($C:$C,Structure!$A:$AJ,AE$1,0)*$D244,0),IFERROR(VLOOKUP($E:$E,Structure!$A:$AJ,AE$1,0)*$F244,0),IFERROR(VLOOKUP($G:$G,Structure!$A:$AJ,AE$1,0)*$H244,0))</f>
        <v>0</v>
      </c>
      <c r="AF244" s="9">
        <f>SUM(IFERROR(VLOOKUP($C:$C,Structure!$A:$AJ,AF$1,0)*$D244,0),IFERROR(VLOOKUP($E:$E,Structure!$A:$AJ,AF$1,0)*$F244,0),IFERROR(VLOOKUP($G:$G,Structure!$A:$AJ,AF$1,0)*$H244,0))</f>
        <v>0</v>
      </c>
      <c r="AG244" s="9">
        <f>SUM(IFERROR(VLOOKUP($C:$C,Structure!$A:$AJ,AG$1,0)*$D244,0),IFERROR(VLOOKUP($E:$E,Structure!$A:$AJ,AG$1,0)*$F244,0),IFERROR(VLOOKUP($G:$G,Structure!$A:$AJ,AG$1,0)*$H244,0))</f>
        <v>0</v>
      </c>
      <c r="AH244" s="9">
        <f>SUM(IFERROR(VLOOKUP($C:$C,Structure!$A:$AJ,AH$1,0)*$D244,0),IFERROR(VLOOKUP($E:$E,Structure!$A:$AJ,AH$1,0)*$F244,0),IFERROR(VLOOKUP($G:$G,Structure!$A:$AJ,AH$1,0)*$H244,0))</f>
        <v>0</v>
      </c>
      <c r="AI244" s="9">
        <f>SUM(IFERROR(VLOOKUP($C:$C,Structure!$A:$AJ,AI$1,0)*$D244,0),IFERROR(VLOOKUP($E:$E,Structure!$A:$AJ,AI$1,0)*$F244,0),IFERROR(VLOOKUP($G:$G,Structure!$A:$AJ,AI$1,0)*$H244,0))</f>
        <v>0</v>
      </c>
      <c r="AJ244" s="9">
        <f>SUM(IFERROR(VLOOKUP($C:$C,Structure!$A:$AJ,AJ$1,0)*$D244,0),IFERROR(VLOOKUP($E:$E,Structure!$A:$AJ,AJ$1,0)*$F244,0),IFERROR(VLOOKUP($G:$G,Structure!$A:$AJ,AJ$1,0)*$H244,0))</f>
        <v>0</v>
      </c>
      <c r="AK244" s="9">
        <f>SUM(IFERROR(VLOOKUP($C:$C,Structure!$A:$AJ,AK$1,0)*$D244,0),IFERROR(VLOOKUP($E:$E,Structure!$A:$AJ,AK$1,0)*$F244,0),IFERROR(VLOOKUP($G:$G,Structure!$A:$AJ,AK$1,0)*$H244,0))</f>
        <v>0</v>
      </c>
      <c r="AL244" s="9">
        <f>SUM(IFERROR(VLOOKUP($C:$C,Structure!$A:$AJ,AL$1,0)*$D244,0),IFERROR(VLOOKUP($E:$E,Structure!$A:$AJ,AL$1,0)*$F244,0),IFERROR(VLOOKUP($G:$G,Structure!$A:$AJ,AL$1,0)*$H244,0))</f>
        <v>0</v>
      </c>
      <c r="AM244" s="9">
        <f>SUM(IFERROR(VLOOKUP($C:$C,Structure!$A:$AJ,AM$1,0)*$D244,0),IFERROR(VLOOKUP($E:$E,Structure!$A:$AJ,AM$1,0)*$F244,0),IFERROR(VLOOKUP($G:$G,Structure!$A:$AJ,AM$1,0)*$H244,0))</f>
        <v>0</v>
      </c>
      <c r="AN244" s="9">
        <f>SUM(IFERROR(VLOOKUP($C:$C,Structure!$A:$AJ,AN$1,0)*$D244,0),IFERROR(VLOOKUP($E:$E,Structure!$A:$AJ,AN$1,0)*$F244,0),IFERROR(VLOOKUP($G:$G,Structure!$A:$AJ,AN$1,0)*$H244,0))</f>
        <v>0</v>
      </c>
      <c r="AO244" s="9">
        <f>SUM(IFERROR(VLOOKUP($C:$C,Structure!$A:$AJ,AO$1,0)*$D244,0),IFERROR(VLOOKUP($E:$E,Structure!$A:$AJ,AO$1,0)*$F244,0),IFERROR(VLOOKUP($G:$G,Structure!$A:$AJ,AO$1,0)*$H244,0))</f>
        <v>0</v>
      </c>
      <c r="AP244" s="9">
        <f>SUM(IFERROR(VLOOKUP($C:$C,Structure!$A:$AJ,AP$1,0)*$D244,0),IFERROR(VLOOKUP($E:$E,Structure!$A:$AJ,AP$1,0)*$F244,0),IFERROR(VLOOKUP($G:$G,Structure!$A:$AJ,AP$1,0)*$H244,0))</f>
        <v>0</v>
      </c>
      <c r="AQ244" s="9">
        <f>SUM(IFERROR(VLOOKUP($C:$C,Structure!$A:$AJ,AQ$1,0)*$D244,0),IFERROR(VLOOKUP($E:$E,Structure!$A:$AJ,AQ$1,0)*$F244,0),IFERROR(VLOOKUP($G:$G,Structure!$A:$AJ,AQ$1,0)*$H244,0))</f>
        <v>0</v>
      </c>
      <c r="AR244" s="21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4">
        <f t="shared" si="267"/>
        <v>0</v>
      </c>
      <c r="CE244" s="4">
        <f t="shared" si="268"/>
        <v>-180</v>
      </c>
      <c r="CF244" s="4">
        <f t="shared" si="269"/>
        <v>4</v>
      </c>
      <c r="CG244" s="4">
        <f t="shared" si="270"/>
        <v>11</v>
      </c>
      <c r="CH244" s="4">
        <f t="shared" si="271"/>
        <v>-7</v>
      </c>
      <c r="CI244" s="4">
        <f t="shared" si="272"/>
        <v>98</v>
      </c>
      <c r="CJ244" s="4">
        <f t="shared" si="273"/>
        <v>-391</v>
      </c>
      <c r="CK244" s="4">
        <f t="shared" si="274"/>
        <v>-1</v>
      </c>
      <c r="CL244" s="4">
        <f t="shared" si="275"/>
        <v>0</v>
      </c>
      <c r="CM244" s="4">
        <f t="shared" si="276"/>
        <v>6</v>
      </c>
      <c r="CN244" s="4">
        <f t="shared" si="277"/>
        <v>-278</v>
      </c>
      <c r="CO244" s="4">
        <f t="shared" si="278"/>
        <v>0</v>
      </c>
      <c r="CP244" s="4">
        <f t="shared" si="279"/>
        <v>27</v>
      </c>
      <c r="CQ244" s="4">
        <f t="shared" si="280"/>
        <v>-558</v>
      </c>
      <c r="CR244" s="4">
        <f t="shared" si="281"/>
        <v>12</v>
      </c>
      <c r="CS244" s="4">
        <f t="shared" si="282"/>
        <v>-53</v>
      </c>
      <c r="CT244" s="4">
        <f t="shared" si="283"/>
        <v>0</v>
      </c>
      <c r="CU244" s="4">
        <f t="shared" si="284"/>
        <v>0</v>
      </c>
      <c r="CV244" s="4">
        <f t="shared" si="285"/>
        <v>0</v>
      </c>
      <c r="CW244" s="4">
        <f t="shared" si="286"/>
        <v>0</v>
      </c>
      <c r="CX244" s="4">
        <f t="shared" si="287"/>
        <v>-591</v>
      </c>
      <c r="CY244" s="4">
        <f t="shared" si="288"/>
        <v>0</v>
      </c>
      <c r="CZ244" s="4">
        <f t="shared" si="289"/>
        <v>0</v>
      </c>
      <c r="DA244" s="4">
        <f t="shared" si="290"/>
        <v>0</v>
      </c>
      <c r="DB244" s="4">
        <f t="shared" si="291"/>
        <v>0</v>
      </c>
      <c r="DC244" s="4">
        <f t="shared" si="292"/>
        <v>0</v>
      </c>
      <c r="DD244" s="4">
        <f t="shared" si="293"/>
        <v>0</v>
      </c>
      <c r="DE244" s="4">
        <f t="shared" si="294"/>
        <v>0</v>
      </c>
      <c r="DF244" s="4">
        <f t="shared" si="295"/>
        <v>0</v>
      </c>
      <c r="DG244" s="4">
        <f t="shared" si="296"/>
        <v>0</v>
      </c>
      <c r="DH244" s="4">
        <f t="shared" si="297"/>
        <v>0</v>
      </c>
      <c r="DI244" s="4">
        <f t="shared" si="298"/>
        <v>0</v>
      </c>
      <c r="DJ244" s="4">
        <f t="shared" si="299"/>
        <v>0</v>
      </c>
      <c r="DK244" s="4">
        <f t="shared" si="300"/>
        <v>0</v>
      </c>
      <c r="DL244" s="4">
        <f t="shared" si="301"/>
        <v>0</v>
      </c>
    </row>
    <row r="245" spans="1:116" x14ac:dyDescent="0.25">
      <c r="A245" s="5">
        <v>46188</v>
      </c>
      <c r="B245" s="6">
        <v>0.35416666725359391</v>
      </c>
      <c r="C245" s="3"/>
      <c r="D245" s="3"/>
      <c r="E245" s="3" t="s">
        <v>30</v>
      </c>
      <c r="F245" s="3">
        <v>8</v>
      </c>
      <c r="G245" s="3"/>
      <c r="H245" s="9"/>
      <c r="I245" s="9">
        <f>SUM(IFERROR(VLOOKUP($C:$C,Structure!$A:$AJ,I$1,0)*$D245,0),IFERROR(VLOOKUP($E:$E,Structure!$A:$AJ,I$1,0)*$F245,0),IFERROR(VLOOKUP($G:$G,Structure!$A:$AJ,I$1,0)*$H245,0))</f>
        <v>0</v>
      </c>
      <c r="J245" s="9">
        <f>SUM(IFERROR(VLOOKUP($C:$C,Structure!$A:$AJ,J$1,0)*$D245,0),IFERROR(VLOOKUP($E:$E,Structure!$A:$AJ,J$1,0)*$F245,0),IFERROR(VLOOKUP($G:$G,Structure!$A:$AJ,J$1,0)*$H245,0))</f>
        <v>0</v>
      </c>
      <c r="K245" s="9">
        <f>SUM(IFERROR(VLOOKUP($C:$C,Structure!$A:$AJ,K$1,0)*$D245,0),IFERROR(VLOOKUP($E:$E,Structure!$A:$AJ,K$1,0)*$F245,0),IFERROR(VLOOKUP($G:$G,Structure!$A:$AJ,K$1,0)*$H245,0))</f>
        <v>0</v>
      </c>
      <c r="L245" s="9">
        <f>SUM(IFERROR(VLOOKUP($C:$C,Structure!$A:$AJ,L$1,0)*$D245,0),IFERROR(VLOOKUP($E:$E,Structure!$A:$AJ,L$1,0)*$F245,0),IFERROR(VLOOKUP($G:$G,Structure!$A:$AJ,L$1,0)*$H245,0))</f>
        <v>0</v>
      </c>
      <c r="M245" s="9">
        <f>SUM(IFERROR(VLOOKUP($C:$C,Structure!$A:$AJ,M$1,0)*$D245,0),IFERROR(VLOOKUP($E:$E,Structure!$A:$AJ,M$1,0)*$F245,0),IFERROR(VLOOKUP($G:$G,Structure!$A:$AJ,M$1,0)*$H245,0))</f>
        <v>0</v>
      </c>
      <c r="N245" s="9">
        <f>SUM(IFERROR(VLOOKUP($C:$C,Structure!$A:$AJ,N$1,0)*$D245,0),IFERROR(VLOOKUP($E:$E,Structure!$A:$AJ,N$1,0)*$F245,0),IFERROR(VLOOKUP($G:$G,Structure!$A:$AJ,N$1,0)*$H245,0))</f>
        <v>0</v>
      </c>
      <c r="O245" s="9">
        <f>SUM(IFERROR(VLOOKUP($C:$C,Structure!$A:$AJ,O$1,0)*$D245,0),IFERROR(VLOOKUP($E:$E,Structure!$A:$AJ,O$1,0)*$F245,0),IFERROR(VLOOKUP($G:$G,Structure!$A:$AJ,O$1,0)*$H245,0))</f>
        <v>0</v>
      </c>
      <c r="P245" s="9">
        <f>SUM(IFERROR(VLOOKUP($C:$C,Structure!$A:$AJ,P$1,0)*$D245,0),IFERROR(VLOOKUP($E:$E,Structure!$A:$AJ,P$1,0)*$F245,0),IFERROR(VLOOKUP($G:$G,Structure!$A:$AJ,P$1,0)*$H245,0))</f>
        <v>0</v>
      </c>
      <c r="Q245" s="9">
        <f>SUM(IFERROR(VLOOKUP($C:$C,Structure!$A:$AJ,Q$1,0)*$D245,0),IFERROR(VLOOKUP($E:$E,Structure!$A:$AJ,Q$1,0)*$F245,0),IFERROR(VLOOKUP($G:$G,Structure!$A:$AJ,Q$1,0)*$H245,0))</f>
        <v>0</v>
      </c>
      <c r="R245" s="9">
        <f>SUM(IFERROR(VLOOKUP($C:$C,Structure!$A:$AJ,R$1,0)*$D245,0),IFERROR(VLOOKUP($E:$E,Structure!$A:$AJ,R$1,0)*$F245,0),IFERROR(VLOOKUP($G:$G,Structure!$A:$AJ,R$1,0)*$H245,0))</f>
        <v>0</v>
      </c>
      <c r="S245" s="9">
        <f>SUM(IFERROR(VLOOKUP($C:$C,Structure!$A:$AJ,S$1,0)*$D245,0),IFERROR(VLOOKUP($E:$E,Structure!$A:$AJ,S$1,0)*$F245,0),IFERROR(VLOOKUP($G:$G,Structure!$A:$AJ,S$1,0)*$H245,0))</f>
        <v>0</v>
      </c>
      <c r="T245" s="9">
        <f>SUM(IFERROR(VLOOKUP($C:$C,Structure!$A:$AJ,T$1,0)*$D245,0),IFERROR(VLOOKUP($E:$E,Structure!$A:$AJ,T$1,0)*$F245,0),IFERROR(VLOOKUP($G:$G,Structure!$A:$AJ,T$1,0)*$H245,0))</f>
        <v>0</v>
      </c>
      <c r="U245" s="9">
        <f>SUM(IFERROR(VLOOKUP($C:$C,Structure!$A:$AJ,U$1,0)*$D245,0),IFERROR(VLOOKUP($E:$E,Structure!$A:$AJ,U$1,0)*$F245,0),IFERROR(VLOOKUP($G:$G,Structure!$A:$AJ,U$1,0)*$H245,0))</f>
        <v>0</v>
      </c>
      <c r="V245" s="9">
        <f>SUM(IFERROR(VLOOKUP($C:$C,Structure!$A:$AJ,V$1,0)*$D245,0),IFERROR(VLOOKUP($E:$E,Structure!$A:$AJ,V$1,0)*$F245,0),IFERROR(VLOOKUP($G:$G,Structure!$A:$AJ,V$1,0)*$H245,0))</f>
        <v>8</v>
      </c>
      <c r="W245" s="9">
        <f>SUM(IFERROR(VLOOKUP($C:$C,Structure!$A:$AJ,W$1,0)*$D245,0),IFERROR(VLOOKUP($E:$E,Structure!$A:$AJ,W$1,0)*$F245,0),IFERROR(VLOOKUP($G:$G,Structure!$A:$AJ,W$1,0)*$H245,0))</f>
        <v>0</v>
      </c>
      <c r="X245" s="9">
        <f>SUM(IFERROR(VLOOKUP($C:$C,Structure!$A:$AJ,X$1,0)*$D245,0),IFERROR(VLOOKUP($E:$E,Structure!$A:$AJ,X$1,0)*$F245,0),IFERROR(VLOOKUP($G:$G,Structure!$A:$AJ,X$1,0)*$H245,0))</f>
        <v>0</v>
      </c>
      <c r="Y245" s="9">
        <f>SUM(IFERROR(VLOOKUP($C:$C,Structure!$A:$AJ,Y$1,0)*$D245,0),IFERROR(VLOOKUP($E:$E,Structure!$A:$AJ,Y$1,0)*$F245,0),IFERROR(VLOOKUP($G:$G,Structure!$A:$AJ,Y$1,0)*$H245,0))</f>
        <v>0</v>
      </c>
      <c r="Z245" s="9">
        <f>SUM(IFERROR(VLOOKUP($C:$C,Structure!$A:$AJ,Z$1,0)*$D245,0),IFERROR(VLOOKUP($E:$E,Structure!$A:$AJ,Z$1,0)*$F245,0),IFERROR(VLOOKUP($G:$G,Structure!$A:$AJ,Z$1,0)*$H245,0))</f>
        <v>0</v>
      </c>
      <c r="AA245" s="9">
        <f>SUM(IFERROR(VLOOKUP($C:$C,Structure!$A:$AJ,AA$1,0)*$D245,0),IFERROR(VLOOKUP($E:$E,Structure!$A:$AJ,AA$1,0)*$F245,0),IFERROR(VLOOKUP($G:$G,Structure!$A:$AJ,AA$1,0)*$H245,0))</f>
        <v>0</v>
      </c>
      <c r="AB245" s="9">
        <f>SUM(IFERROR(VLOOKUP($C:$C,Structure!$A:$AJ,AB$1,0)*$D245,0),IFERROR(VLOOKUP($E:$E,Structure!$A:$AJ,AB$1,0)*$F245,0),IFERROR(VLOOKUP($G:$G,Structure!$A:$AJ,AB$1,0)*$H245,0))</f>
        <v>0</v>
      </c>
      <c r="AC245" s="9">
        <f>SUM(IFERROR(VLOOKUP($C:$C,Structure!$A:$AJ,AC$1,0)*$D245,0),IFERROR(VLOOKUP($E:$E,Structure!$A:$AJ,AC$1,0)*$F245,0),IFERROR(VLOOKUP($G:$G,Structure!$A:$AJ,AC$1,0)*$H245,0))</f>
        <v>8</v>
      </c>
      <c r="AD245" s="9">
        <f>SUM(IFERROR(VLOOKUP($C:$C,Structure!$A:$AJ,AD$1,0)*$D245,0),IFERROR(VLOOKUP($E:$E,Structure!$A:$AJ,AD$1,0)*$F245,0),IFERROR(VLOOKUP($G:$G,Structure!$A:$AJ,AD$1,0)*$H245,0))</f>
        <v>0</v>
      </c>
      <c r="AE245" s="9">
        <f>SUM(IFERROR(VLOOKUP($C:$C,Structure!$A:$AJ,AE$1,0)*$D245,0),IFERROR(VLOOKUP($E:$E,Structure!$A:$AJ,AE$1,0)*$F245,0),IFERROR(VLOOKUP($G:$G,Structure!$A:$AJ,AE$1,0)*$H245,0))</f>
        <v>0</v>
      </c>
      <c r="AF245" s="9">
        <f>SUM(IFERROR(VLOOKUP($C:$C,Structure!$A:$AJ,AF$1,0)*$D245,0),IFERROR(VLOOKUP($E:$E,Structure!$A:$AJ,AF$1,0)*$F245,0),IFERROR(VLOOKUP($G:$G,Structure!$A:$AJ,AF$1,0)*$H245,0))</f>
        <v>0</v>
      </c>
      <c r="AG245" s="9">
        <f>SUM(IFERROR(VLOOKUP($C:$C,Structure!$A:$AJ,AG$1,0)*$D245,0),IFERROR(VLOOKUP($E:$E,Structure!$A:$AJ,AG$1,0)*$F245,0),IFERROR(VLOOKUP($G:$G,Structure!$A:$AJ,AG$1,0)*$H245,0))</f>
        <v>0</v>
      </c>
      <c r="AH245" s="9">
        <f>SUM(IFERROR(VLOOKUP($C:$C,Structure!$A:$AJ,AH$1,0)*$D245,0),IFERROR(VLOOKUP($E:$E,Structure!$A:$AJ,AH$1,0)*$F245,0),IFERROR(VLOOKUP($G:$G,Structure!$A:$AJ,AH$1,0)*$H245,0))</f>
        <v>0</v>
      </c>
      <c r="AI245" s="9">
        <f>SUM(IFERROR(VLOOKUP($C:$C,Structure!$A:$AJ,AI$1,0)*$D245,0),IFERROR(VLOOKUP($E:$E,Structure!$A:$AJ,AI$1,0)*$F245,0),IFERROR(VLOOKUP($G:$G,Structure!$A:$AJ,AI$1,0)*$H245,0))</f>
        <v>0</v>
      </c>
      <c r="AJ245" s="9">
        <f>SUM(IFERROR(VLOOKUP($C:$C,Structure!$A:$AJ,AJ$1,0)*$D245,0),IFERROR(VLOOKUP($E:$E,Structure!$A:$AJ,AJ$1,0)*$F245,0),IFERROR(VLOOKUP($G:$G,Structure!$A:$AJ,AJ$1,0)*$H245,0))</f>
        <v>0</v>
      </c>
      <c r="AK245" s="9">
        <f>SUM(IFERROR(VLOOKUP($C:$C,Structure!$A:$AJ,AK$1,0)*$D245,0),IFERROR(VLOOKUP($E:$E,Structure!$A:$AJ,AK$1,0)*$F245,0),IFERROR(VLOOKUP($G:$G,Structure!$A:$AJ,AK$1,0)*$H245,0))</f>
        <v>0</v>
      </c>
      <c r="AL245" s="9">
        <f>SUM(IFERROR(VLOOKUP($C:$C,Structure!$A:$AJ,AL$1,0)*$D245,0),IFERROR(VLOOKUP($E:$E,Structure!$A:$AJ,AL$1,0)*$F245,0),IFERROR(VLOOKUP($G:$G,Structure!$A:$AJ,AL$1,0)*$H245,0))</f>
        <v>0</v>
      </c>
      <c r="AM245" s="9">
        <f>SUM(IFERROR(VLOOKUP($C:$C,Structure!$A:$AJ,AM$1,0)*$D245,0),IFERROR(VLOOKUP($E:$E,Structure!$A:$AJ,AM$1,0)*$F245,0),IFERROR(VLOOKUP($G:$G,Structure!$A:$AJ,AM$1,0)*$H245,0))</f>
        <v>0</v>
      </c>
      <c r="AN245" s="9">
        <f>SUM(IFERROR(VLOOKUP($C:$C,Structure!$A:$AJ,AN$1,0)*$D245,0),IFERROR(VLOOKUP($E:$E,Structure!$A:$AJ,AN$1,0)*$F245,0),IFERROR(VLOOKUP($G:$G,Structure!$A:$AJ,AN$1,0)*$H245,0))</f>
        <v>0</v>
      </c>
      <c r="AO245" s="9">
        <f>SUM(IFERROR(VLOOKUP($C:$C,Structure!$A:$AJ,AO$1,0)*$D245,0),IFERROR(VLOOKUP($E:$E,Structure!$A:$AJ,AO$1,0)*$F245,0),IFERROR(VLOOKUP($G:$G,Structure!$A:$AJ,AO$1,0)*$H245,0))</f>
        <v>0</v>
      </c>
      <c r="AP245" s="9">
        <f>SUM(IFERROR(VLOOKUP($C:$C,Structure!$A:$AJ,AP$1,0)*$D245,0),IFERROR(VLOOKUP($E:$E,Structure!$A:$AJ,AP$1,0)*$F245,0),IFERROR(VLOOKUP($G:$G,Structure!$A:$AJ,AP$1,0)*$H245,0))</f>
        <v>0</v>
      </c>
      <c r="AQ245" s="9">
        <f>SUM(IFERROR(VLOOKUP($C:$C,Structure!$A:$AJ,AQ$1,0)*$D245,0),IFERROR(VLOOKUP($E:$E,Structure!$A:$AJ,AQ$1,0)*$F245,0),IFERROR(VLOOKUP($G:$G,Structure!$A:$AJ,AQ$1,0)*$H245,0))</f>
        <v>0</v>
      </c>
      <c r="AR245" s="21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4">
        <f t="shared" si="267"/>
        <v>0</v>
      </c>
      <c r="CE245" s="4">
        <f t="shared" si="268"/>
        <v>-180</v>
      </c>
      <c r="CF245" s="4">
        <f t="shared" si="269"/>
        <v>4</v>
      </c>
      <c r="CG245" s="4">
        <f t="shared" si="270"/>
        <v>11</v>
      </c>
      <c r="CH245" s="4">
        <f t="shared" si="271"/>
        <v>-7</v>
      </c>
      <c r="CI245" s="4">
        <f t="shared" si="272"/>
        <v>98</v>
      </c>
      <c r="CJ245" s="4">
        <f t="shared" si="273"/>
        <v>-391</v>
      </c>
      <c r="CK245" s="4">
        <f t="shared" si="274"/>
        <v>-1</v>
      </c>
      <c r="CL245" s="4">
        <f t="shared" si="275"/>
        <v>0</v>
      </c>
      <c r="CM245" s="4">
        <f t="shared" si="276"/>
        <v>6</v>
      </c>
      <c r="CN245" s="4">
        <f t="shared" si="277"/>
        <v>-278</v>
      </c>
      <c r="CO245" s="4">
        <f t="shared" si="278"/>
        <v>0</v>
      </c>
      <c r="CP245" s="4">
        <f t="shared" si="279"/>
        <v>27</v>
      </c>
      <c r="CQ245" s="4">
        <f t="shared" si="280"/>
        <v>-566</v>
      </c>
      <c r="CR245" s="4">
        <f t="shared" si="281"/>
        <v>12</v>
      </c>
      <c r="CS245" s="4">
        <f t="shared" si="282"/>
        <v>-53</v>
      </c>
      <c r="CT245" s="4">
        <f t="shared" si="283"/>
        <v>0</v>
      </c>
      <c r="CU245" s="4">
        <f t="shared" si="284"/>
        <v>0</v>
      </c>
      <c r="CV245" s="4">
        <f t="shared" si="285"/>
        <v>0</v>
      </c>
      <c r="CW245" s="4">
        <f t="shared" si="286"/>
        <v>0</v>
      </c>
      <c r="CX245" s="4">
        <f t="shared" si="287"/>
        <v>-599</v>
      </c>
      <c r="CY245" s="4">
        <f t="shared" si="288"/>
        <v>0</v>
      </c>
      <c r="CZ245" s="4">
        <f t="shared" si="289"/>
        <v>0</v>
      </c>
      <c r="DA245" s="4">
        <f t="shared" si="290"/>
        <v>0</v>
      </c>
      <c r="DB245" s="4">
        <f t="shared" si="291"/>
        <v>0</v>
      </c>
      <c r="DC245" s="4">
        <f t="shared" si="292"/>
        <v>0</v>
      </c>
      <c r="DD245" s="4">
        <f t="shared" si="293"/>
        <v>0</v>
      </c>
      <c r="DE245" s="4">
        <f t="shared" si="294"/>
        <v>0</v>
      </c>
      <c r="DF245" s="4">
        <f t="shared" si="295"/>
        <v>0</v>
      </c>
      <c r="DG245" s="4">
        <f t="shared" si="296"/>
        <v>0</v>
      </c>
      <c r="DH245" s="4">
        <f t="shared" si="297"/>
        <v>0</v>
      </c>
      <c r="DI245" s="4">
        <f t="shared" si="298"/>
        <v>0</v>
      </c>
      <c r="DJ245" s="4">
        <f t="shared" si="299"/>
        <v>0</v>
      </c>
      <c r="DK245" s="4">
        <f t="shared" si="300"/>
        <v>0</v>
      </c>
      <c r="DL245" s="4">
        <f t="shared" si="301"/>
        <v>0</v>
      </c>
    </row>
    <row r="246" spans="1:116" x14ac:dyDescent="0.25">
      <c r="A246" s="5">
        <v>46188</v>
      </c>
      <c r="B246" s="6">
        <v>0.37500000058935257</v>
      </c>
      <c r="C246" s="3"/>
      <c r="D246" s="3"/>
      <c r="E246" s="3" t="s">
        <v>30</v>
      </c>
      <c r="F246" s="3">
        <v>8</v>
      </c>
      <c r="G246" s="3"/>
      <c r="H246" s="9"/>
      <c r="I246" s="9">
        <f>SUM(IFERROR(VLOOKUP($C:$C,Structure!$A:$AJ,I$1,0)*$D246,0),IFERROR(VLOOKUP($E:$E,Structure!$A:$AJ,I$1,0)*$F246,0),IFERROR(VLOOKUP($G:$G,Structure!$A:$AJ,I$1,0)*$H246,0))</f>
        <v>0</v>
      </c>
      <c r="J246" s="9">
        <f>SUM(IFERROR(VLOOKUP($C:$C,Structure!$A:$AJ,J$1,0)*$D246,0),IFERROR(VLOOKUP($E:$E,Structure!$A:$AJ,J$1,0)*$F246,0),IFERROR(VLOOKUP($G:$G,Structure!$A:$AJ,J$1,0)*$H246,0))</f>
        <v>0</v>
      </c>
      <c r="K246" s="9">
        <f>SUM(IFERROR(VLOOKUP($C:$C,Structure!$A:$AJ,K$1,0)*$D246,0),IFERROR(VLOOKUP($E:$E,Structure!$A:$AJ,K$1,0)*$F246,0),IFERROR(VLOOKUP($G:$G,Structure!$A:$AJ,K$1,0)*$H246,0))</f>
        <v>0</v>
      </c>
      <c r="L246" s="9">
        <f>SUM(IFERROR(VLOOKUP($C:$C,Structure!$A:$AJ,L$1,0)*$D246,0),IFERROR(VLOOKUP($E:$E,Structure!$A:$AJ,L$1,0)*$F246,0),IFERROR(VLOOKUP($G:$G,Structure!$A:$AJ,L$1,0)*$H246,0))</f>
        <v>0</v>
      </c>
      <c r="M246" s="9">
        <f>SUM(IFERROR(VLOOKUP($C:$C,Structure!$A:$AJ,M$1,0)*$D246,0),IFERROR(VLOOKUP($E:$E,Structure!$A:$AJ,M$1,0)*$F246,0),IFERROR(VLOOKUP($G:$G,Structure!$A:$AJ,M$1,0)*$H246,0))</f>
        <v>0</v>
      </c>
      <c r="N246" s="9">
        <f>SUM(IFERROR(VLOOKUP($C:$C,Structure!$A:$AJ,N$1,0)*$D246,0),IFERROR(VLOOKUP($E:$E,Structure!$A:$AJ,N$1,0)*$F246,0),IFERROR(VLOOKUP($G:$G,Structure!$A:$AJ,N$1,0)*$H246,0))</f>
        <v>0</v>
      </c>
      <c r="O246" s="9">
        <f>SUM(IFERROR(VLOOKUP($C:$C,Structure!$A:$AJ,O$1,0)*$D246,0),IFERROR(VLOOKUP($E:$E,Structure!$A:$AJ,O$1,0)*$F246,0),IFERROR(VLOOKUP($G:$G,Structure!$A:$AJ,O$1,0)*$H246,0))</f>
        <v>0</v>
      </c>
      <c r="P246" s="9">
        <f>SUM(IFERROR(VLOOKUP($C:$C,Structure!$A:$AJ,P$1,0)*$D246,0),IFERROR(VLOOKUP($E:$E,Structure!$A:$AJ,P$1,0)*$F246,0),IFERROR(VLOOKUP($G:$G,Structure!$A:$AJ,P$1,0)*$H246,0))</f>
        <v>0</v>
      </c>
      <c r="Q246" s="9">
        <f>SUM(IFERROR(VLOOKUP($C:$C,Structure!$A:$AJ,Q$1,0)*$D246,0),IFERROR(VLOOKUP($E:$E,Structure!$A:$AJ,Q$1,0)*$F246,0),IFERROR(VLOOKUP($G:$G,Structure!$A:$AJ,Q$1,0)*$H246,0))</f>
        <v>0</v>
      </c>
      <c r="R246" s="9">
        <f>SUM(IFERROR(VLOOKUP($C:$C,Structure!$A:$AJ,R$1,0)*$D246,0),IFERROR(VLOOKUP($E:$E,Structure!$A:$AJ,R$1,0)*$F246,0),IFERROR(VLOOKUP($G:$G,Structure!$A:$AJ,R$1,0)*$H246,0))</f>
        <v>0</v>
      </c>
      <c r="S246" s="9">
        <f>SUM(IFERROR(VLOOKUP($C:$C,Structure!$A:$AJ,S$1,0)*$D246,0),IFERROR(VLOOKUP($E:$E,Structure!$A:$AJ,S$1,0)*$F246,0),IFERROR(VLOOKUP($G:$G,Structure!$A:$AJ,S$1,0)*$H246,0))</f>
        <v>0</v>
      </c>
      <c r="T246" s="9">
        <f>SUM(IFERROR(VLOOKUP($C:$C,Structure!$A:$AJ,T$1,0)*$D246,0),IFERROR(VLOOKUP($E:$E,Structure!$A:$AJ,T$1,0)*$F246,0),IFERROR(VLOOKUP($G:$G,Structure!$A:$AJ,T$1,0)*$H246,0))</f>
        <v>0</v>
      </c>
      <c r="U246" s="9">
        <f>SUM(IFERROR(VLOOKUP($C:$C,Structure!$A:$AJ,U$1,0)*$D246,0),IFERROR(VLOOKUP($E:$E,Structure!$A:$AJ,U$1,0)*$F246,0),IFERROR(VLOOKUP($G:$G,Structure!$A:$AJ,U$1,0)*$H246,0))</f>
        <v>0</v>
      </c>
      <c r="V246" s="9">
        <f>SUM(IFERROR(VLOOKUP($C:$C,Structure!$A:$AJ,V$1,0)*$D246,0),IFERROR(VLOOKUP($E:$E,Structure!$A:$AJ,V$1,0)*$F246,0),IFERROR(VLOOKUP($G:$G,Structure!$A:$AJ,V$1,0)*$H246,0))</f>
        <v>8</v>
      </c>
      <c r="W246" s="9">
        <f>SUM(IFERROR(VLOOKUP($C:$C,Structure!$A:$AJ,W$1,0)*$D246,0),IFERROR(VLOOKUP($E:$E,Structure!$A:$AJ,W$1,0)*$F246,0),IFERROR(VLOOKUP($G:$G,Structure!$A:$AJ,W$1,0)*$H246,0))</f>
        <v>0</v>
      </c>
      <c r="X246" s="9">
        <f>SUM(IFERROR(VLOOKUP($C:$C,Structure!$A:$AJ,X$1,0)*$D246,0),IFERROR(VLOOKUP($E:$E,Structure!$A:$AJ,X$1,0)*$F246,0),IFERROR(VLOOKUP($G:$G,Structure!$A:$AJ,X$1,0)*$H246,0))</f>
        <v>0</v>
      </c>
      <c r="Y246" s="9">
        <f>SUM(IFERROR(VLOOKUP($C:$C,Structure!$A:$AJ,Y$1,0)*$D246,0),IFERROR(VLOOKUP($E:$E,Structure!$A:$AJ,Y$1,0)*$F246,0),IFERROR(VLOOKUP($G:$G,Structure!$A:$AJ,Y$1,0)*$H246,0))</f>
        <v>0</v>
      </c>
      <c r="Z246" s="9">
        <f>SUM(IFERROR(VLOOKUP($C:$C,Structure!$A:$AJ,Z$1,0)*$D246,0),IFERROR(VLOOKUP($E:$E,Structure!$A:$AJ,Z$1,0)*$F246,0),IFERROR(VLOOKUP($G:$G,Structure!$A:$AJ,Z$1,0)*$H246,0))</f>
        <v>0</v>
      </c>
      <c r="AA246" s="9">
        <f>SUM(IFERROR(VLOOKUP($C:$C,Structure!$A:$AJ,AA$1,0)*$D246,0),IFERROR(VLOOKUP($E:$E,Structure!$A:$AJ,AA$1,0)*$F246,0),IFERROR(VLOOKUP($G:$G,Structure!$A:$AJ,AA$1,0)*$H246,0))</f>
        <v>0</v>
      </c>
      <c r="AB246" s="9">
        <f>SUM(IFERROR(VLOOKUP($C:$C,Structure!$A:$AJ,AB$1,0)*$D246,0),IFERROR(VLOOKUP($E:$E,Structure!$A:$AJ,AB$1,0)*$F246,0),IFERROR(VLOOKUP($G:$G,Structure!$A:$AJ,AB$1,0)*$H246,0))</f>
        <v>0</v>
      </c>
      <c r="AC246" s="9">
        <f>SUM(IFERROR(VLOOKUP($C:$C,Structure!$A:$AJ,AC$1,0)*$D246,0),IFERROR(VLOOKUP($E:$E,Structure!$A:$AJ,AC$1,0)*$F246,0),IFERROR(VLOOKUP($G:$G,Structure!$A:$AJ,AC$1,0)*$H246,0))</f>
        <v>8</v>
      </c>
      <c r="AD246" s="9">
        <f>SUM(IFERROR(VLOOKUP($C:$C,Structure!$A:$AJ,AD$1,0)*$D246,0),IFERROR(VLOOKUP($E:$E,Structure!$A:$AJ,AD$1,0)*$F246,0),IFERROR(VLOOKUP($G:$G,Structure!$A:$AJ,AD$1,0)*$H246,0))</f>
        <v>0</v>
      </c>
      <c r="AE246" s="9">
        <f>SUM(IFERROR(VLOOKUP($C:$C,Structure!$A:$AJ,AE$1,0)*$D246,0),IFERROR(VLOOKUP($E:$E,Structure!$A:$AJ,AE$1,0)*$F246,0),IFERROR(VLOOKUP($G:$G,Structure!$A:$AJ,AE$1,0)*$H246,0))</f>
        <v>0</v>
      </c>
      <c r="AF246" s="9">
        <f>SUM(IFERROR(VLOOKUP($C:$C,Structure!$A:$AJ,AF$1,0)*$D246,0),IFERROR(VLOOKUP($E:$E,Structure!$A:$AJ,AF$1,0)*$F246,0),IFERROR(VLOOKUP($G:$G,Structure!$A:$AJ,AF$1,0)*$H246,0))</f>
        <v>0</v>
      </c>
      <c r="AG246" s="9">
        <f>SUM(IFERROR(VLOOKUP($C:$C,Structure!$A:$AJ,AG$1,0)*$D246,0),IFERROR(VLOOKUP($E:$E,Structure!$A:$AJ,AG$1,0)*$F246,0),IFERROR(VLOOKUP($G:$G,Structure!$A:$AJ,AG$1,0)*$H246,0))</f>
        <v>0</v>
      </c>
      <c r="AH246" s="9">
        <f>SUM(IFERROR(VLOOKUP($C:$C,Structure!$A:$AJ,AH$1,0)*$D246,0),IFERROR(VLOOKUP($E:$E,Structure!$A:$AJ,AH$1,0)*$F246,0),IFERROR(VLOOKUP($G:$G,Structure!$A:$AJ,AH$1,0)*$H246,0))</f>
        <v>0</v>
      </c>
      <c r="AI246" s="9">
        <f>SUM(IFERROR(VLOOKUP($C:$C,Structure!$A:$AJ,AI$1,0)*$D246,0),IFERROR(VLOOKUP($E:$E,Structure!$A:$AJ,AI$1,0)*$F246,0),IFERROR(VLOOKUP($G:$G,Structure!$A:$AJ,AI$1,0)*$H246,0))</f>
        <v>0</v>
      </c>
      <c r="AJ246" s="9">
        <f>SUM(IFERROR(VLOOKUP($C:$C,Structure!$A:$AJ,AJ$1,0)*$D246,0),IFERROR(VLOOKUP($E:$E,Structure!$A:$AJ,AJ$1,0)*$F246,0),IFERROR(VLOOKUP($G:$G,Structure!$A:$AJ,AJ$1,0)*$H246,0))</f>
        <v>0</v>
      </c>
      <c r="AK246" s="9">
        <f>SUM(IFERROR(VLOOKUP($C:$C,Structure!$A:$AJ,AK$1,0)*$D246,0),IFERROR(VLOOKUP($E:$E,Structure!$A:$AJ,AK$1,0)*$F246,0),IFERROR(VLOOKUP($G:$G,Structure!$A:$AJ,AK$1,0)*$H246,0))</f>
        <v>0</v>
      </c>
      <c r="AL246" s="9">
        <f>SUM(IFERROR(VLOOKUP($C:$C,Structure!$A:$AJ,AL$1,0)*$D246,0),IFERROR(VLOOKUP($E:$E,Structure!$A:$AJ,AL$1,0)*$F246,0),IFERROR(VLOOKUP($G:$G,Structure!$A:$AJ,AL$1,0)*$H246,0))</f>
        <v>0</v>
      </c>
      <c r="AM246" s="9">
        <f>SUM(IFERROR(VLOOKUP($C:$C,Structure!$A:$AJ,AM$1,0)*$D246,0),IFERROR(VLOOKUP($E:$E,Structure!$A:$AJ,AM$1,0)*$F246,0),IFERROR(VLOOKUP($G:$G,Structure!$A:$AJ,AM$1,0)*$H246,0))</f>
        <v>0</v>
      </c>
      <c r="AN246" s="9">
        <f>SUM(IFERROR(VLOOKUP($C:$C,Structure!$A:$AJ,AN$1,0)*$D246,0),IFERROR(VLOOKUP($E:$E,Structure!$A:$AJ,AN$1,0)*$F246,0),IFERROR(VLOOKUP($G:$G,Structure!$A:$AJ,AN$1,0)*$H246,0))</f>
        <v>0</v>
      </c>
      <c r="AO246" s="9">
        <f>SUM(IFERROR(VLOOKUP($C:$C,Structure!$A:$AJ,AO$1,0)*$D246,0),IFERROR(VLOOKUP($E:$E,Structure!$A:$AJ,AO$1,0)*$F246,0),IFERROR(VLOOKUP($G:$G,Structure!$A:$AJ,AO$1,0)*$H246,0))</f>
        <v>0</v>
      </c>
      <c r="AP246" s="9">
        <f>SUM(IFERROR(VLOOKUP($C:$C,Structure!$A:$AJ,AP$1,0)*$D246,0),IFERROR(VLOOKUP($E:$E,Structure!$A:$AJ,AP$1,0)*$F246,0),IFERROR(VLOOKUP($G:$G,Structure!$A:$AJ,AP$1,0)*$H246,0))</f>
        <v>0</v>
      </c>
      <c r="AQ246" s="9">
        <f>SUM(IFERROR(VLOOKUP($C:$C,Structure!$A:$AJ,AQ$1,0)*$D246,0),IFERROR(VLOOKUP($E:$E,Structure!$A:$AJ,AQ$1,0)*$F246,0),IFERROR(VLOOKUP($G:$G,Structure!$A:$AJ,AQ$1,0)*$H246,0))</f>
        <v>0</v>
      </c>
      <c r="AR246" s="21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4">
        <f t="shared" si="267"/>
        <v>0</v>
      </c>
      <c r="CE246" s="4">
        <f t="shared" si="268"/>
        <v>-180</v>
      </c>
      <c r="CF246" s="4">
        <f t="shared" si="269"/>
        <v>4</v>
      </c>
      <c r="CG246" s="4">
        <f t="shared" si="270"/>
        <v>11</v>
      </c>
      <c r="CH246" s="4">
        <f t="shared" si="271"/>
        <v>-7</v>
      </c>
      <c r="CI246" s="4">
        <f t="shared" si="272"/>
        <v>98</v>
      </c>
      <c r="CJ246" s="4">
        <f t="shared" si="273"/>
        <v>-391</v>
      </c>
      <c r="CK246" s="4">
        <f t="shared" si="274"/>
        <v>-1</v>
      </c>
      <c r="CL246" s="4">
        <f t="shared" si="275"/>
        <v>0</v>
      </c>
      <c r="CM246" s="4">
        <f t="shared" si="276"/>
        <v>6</v>
      </c>
      <c r="CN246" s="4">
        <f t="shared" si="277"/>
        <v>-278</v>
      </c>
      <c r="CO246" s="4">
        <f t="shared" si="278"/>
        <v>0</v>
      </c>
      <c r="CP246" s="4">
        <f t="shared" si="279"/>
        <v>27</v>
      </c>
      <c r="CQ246" s="4">
        <f t="shared" si="280"/>
        <v>-574</v>
      </c>
      <c r="CR246" s="4">
        <f t="shared" si="281"/>
        <v>12</v>
      </c>
      <c r="CS246" s="4">
        <f t="shared" si="282"/>
        <v>-53</v>
      </c>
      <c r="CT246" s="4">
        <f t="shared" si="283"/>
        <v>0</v>
      </c>
      <c r="CU246" s="4">
        <f t="shared" si="284"/>
        <v>0</v>
      </c>
      <c r="CV246" s="4">
        <f t="shared" si="285"/>
        <v>0</v>
      </c>
      <c r="CW246" s="4">
        <f t="shared" si="286"/>
        <v>0</v>
      </c>
      <c r="CX246" s="4">
        <f t="shared" si="287"/>
        <v>-607</v>
      </c>
      <c r="CY246" s="4">
        <f t="shared" si="288"/>
        <v>0</v>
      </c>
      <c r="CZ246" s="4">
        <f t="shared" si="289"/>
        <v>0</v>
      </c>
      <c r="DA246" s="4">
        <f t="shared" si="290"/>
        <v>0</v>
      </c>
      <c r="DB246" s="4">
        <f t="shared" si="291"/>
        <v>0</v>
      </c>
      <c r="DC246" s="4">
        <f t="shared" si="292"/>
        <v>0</v>
      </c>
      <c r="DD246" s="4">
        <f t="shared" si="293"/>
        <v>0</v>
      </c>
      <c r="DE246" s="4">
        <f t="shared" si="294"/>
        <v>0</v>
      </c>
      <c r="DF246" s="4">
        <f t="shared" si="295"/>
        <v>0</v>
      </c>
      <c r="DG246" s="4">
        <f t="shared" si="296"/>
        <v>0</v>
      </c>
      <c r="DH246" s="4">
        <f t="shared" si="297"/>
        <v>0</v>
      </c>
      <c r="DI246" s="4">
        <f t="shared" si="298"/>
        <v>0</v>
      </c>
      <c r="DJ246" s="4">
        <f t="shared" si="299"/>
        <v>0</v>
      </c>
      <c r="DK246" s="4">
        <f t="shared" si="300"/>
        <v>0</v>
      </c>
      <c r="DL246" s="4">
        <f t="shared" si="301"/>
        <v>0</v>
      </c>
    </row>
    <row r="247" spans="1:116" x14ac:dyDescent="0.25">
      <c r="A247" s="5">
        <v>46188</v>
      </c>
      <c r="B247" s="6">
        <v>0.39583333392511122</v>
      </c>
      <c r="C247" s="3"/>
      <c r="D247" s="3"/>
      <c r="E247" s="3" t="s">
        <v>30</v>
      </c>
      <c r="F247" s="3">
        <v>8</v>
      </c>
      <c r="G247" s="3"/>
      <c r="H247" s="9"/>
      <c r="I247" s="9">
        <f>SUM(IFERROR(VLOOKUP($C:$C,Structure!$A:$AJ,I$1,0)*$D247,0),IFERROR(VLOOKUP($E:$E,Structure!$A:$AJ,I$1,0)*$F247,0),IFERROR(VLOOKUP($G:$G,Structure!$A:$AJ,I$1,0)*$H247,0))</f>
        <v>0</v>
      </c>
      <c r="J247" s="9">
        <f>SUM(IFERROR(VLOOKUP($C:$C,Structure!$A:$AJ,J$1,0)*$D247,0),IFERROR(VLOOKUP($E:$E,Structure!$A:$AJ,J$1,0)*$F247,0),IFERROR(VLOOKUP($G:$G,Structure!$A:$AJ,J$1,0)*$H247,0))</f>
        <v>0</v>
      </c>
      <c r="K247" s="9">
        <f>SUM(IFERROR(VLOOKUP($C:$C,Structure!$A:$AJ,K$1,0)*$D247,0),IFERROR(VLOOKUP($E:$E,Structure!$A:$AJ,K$1,0)*$F247,0),IFERROR(VLOOKUP($G:$G,Structure!$A:$AJ,K$1,0)*$H247,0))</f>
        <v>0</v>
      </c>
      <c r="L247" s="9">
        <f>SUM(IFERROR(VLOOKUP($C:$C,Structure!$A:$AJ,L$1,0)*$D247,0),IFERROR(VLOOKUP($E:$E,Structure!$A:$AJ,L$1,0)*$F247,0),IFERROR(VLOOKUP($G:$G,Structure!$A:$AJ,L$1,0)*$H247,0))</f>
        <v>0</v>
      </c>
      <c r="M247" s="9">
        <f>SUM(IFERROR(VLOOKUP($C:$C,Structure!$A:$AJ,M$1,0)*$D247,0),IFERROR(VLOOKUP($E:$E,Structure!$A:$AJ,M$1,0)*$F247,0),IFERROR(VLOOKUP($G:$G,Structure!$A:$AJ,M$1,0)*$H247,0))</f>
        <v>0</v>
      </c>
      <c r="N247" s="9">
        <f>SUM(IFERROR(VLOOKUP($C:$C,Structure!$A:$AJ,N$1,0)*$D247,0),IFERROR(VLOOKUP($E:$E,Structure!$A:$AJ,N$1,0)*$F247,0),IFERROR(VLOOKUP($G:$G,Structure!$A:$AJ,N$1,0)*$H247,0))</f>
        <v>0</v>
      </c>
      <c r="O247" s="9">
        <f>SUM(IFERROR(VLOOKUP($C:$C,Structure!$A:$AJ,O$1,0)*$D247,0),IFERROR(VLOOKUP($E:$E,Structure!$A:$AJ,O$1,0)*$F247,0),IFERROR(VLOOKUP($G:$G,Structure!$A:$AJ,O$1,0)*$H247,0))</f>
        <v>0</v>
      </c>
      <c r="P247" s="9">
        <f>SUM(IFERROR(VLOOKUP($C:$C,Structure!$A:$AJ,P$1,0)*$D247,0),IFERROR(VLOOKUP($E:$E,Structure!$A:$AJ,P$1,0)*$F247,0),IFERROR(VLOOKUP($G:$G,Structure!$A:$AJ,P$1,0)*$H247,0))</f>
        <v>0</v>
      </c>
      <c r="Q247" s="9">
        <f>SUM(IFERROR(VLOOKUP($C:$C,Structure!$A:$AJ,Q$1,0)*$D247,0),IFERROR(VLOOKUP($E:$E,Structure!$A:$AJ,Q$1,0)*$F247,0),IFERROR(VLOOKUP($G:$G,Structure!$A:$AJ,Q$1,0)*$H247,0))</f>
        <v>0</v>
      </c>
      <c r="R247" s="9">
        <f>SUM(IFERROR(VLOOKUP($C:$C,Structure!$A:$AJ,R$1,0)*$D247,0),IFERROR(VLOOKUP($E:$E,Structure!$A:$AJ,R$1,0)*$F247,0),IFERROR(VLOOKUP($G:$G,Structure!$A:$AJ,R$1,0)*$H247,0))</f>
        <v>0</v>
      </c>
      <c r="S247" s="9">
        <f>SUM(IFERROR(VLOOKUP($C:$C,Structure!$A:$AJ,S$1,0)*$D247,0),IFERROR(VLOOKUP($E:$E,Structure!$A:$AJ,S$1,0)*$F247,0),IFERROR(VLOOKUP($G:$G,Structure!$A:$AJ,S$1,0)*$H247,0))</f>
        <v>0</v>
      </c>
      <c r="T247" s="9">
        <f>SUM(IFERROR(VLOOKUP($C:$C,Structure!$A:$AJ,T$1,0)*$D247,0),IFERROR(VLOOKUP($E:$E,Structure!$A:$AJ,T$1,0)*$F247,0),IFERROR(VLOOKUP($G:$G,Structure!$A:$AJ,T$1,0)*$H247,0))</f>
        <v>0</v>
      </c>
      <c r="U247" s="9">
        <f>SUM(IFERROR(VLOOKUP($C:$C,Structure!$A:$AJ,U$1,0)*$D247,0),IFERROR(VLOOKUP($E:$E,Structure!$A:$AJ,U$1,0)*$F247,0),IFERROR(VLOOKUP($G:$G,Structure!$A:$AJ,U$1,0)*$H247,0))</f>
        <v>0</v>
      </c>
      <c r="V247" s="9">
        <f>SUM(IFERROR(VLOOKUP($C:$C,Structure!$A:$AJ,V$1,0)*$D247,0),IFERROR(VLOOKUP($E:$E,Structure!$A:$AJ,V$1,0)*$F247,0),IFERROR(VLOOKUP($G:$G,Structure!$A:$AJ,V$1,0)*$H247,0))</f>
        <v>8</v>
      </c>
      <c r="W247" s="9">
        <f>SUM(IFERROR(VLOOKUP($C:$C,Structure!$A:$AJ,W$1,0)*$D247,0),IFERROR(VLOOKUP($E:$E,Structure!$A:$AJ,W$1,0)*$F247,0),IFERROR(VLOOKUP($G:$G,Structure!$A:$AJ,W$1,0)*$H247,0))</f>
        <v>0</v>
      </c>
      <c r="X247" s="9">
        <f>SUM(IFERROR(VLOOKUP($C:$C,Structure!$A:$AJ,X$1,0)*$D247,0),IFERROR(VLOOKUP($E:$E,Structure!$A:$AJ,X$1,0)*$F247,0),IFERROR(VLOOKUP($G:$G,Structure!$A:$AJ,X$1,0)*$H247,0))</f>
        <v>0</v>
      </c>
      <c r="Y247" s="9">
        <f>SUM(IFERROR(VLOOKUP($C:$C,Structure!$A:$AJ,Y$1,0)*$D247,0),IFERROR(VLOOKUP($E:$E,Structure!$A:$AJ,Y$1,0)*$F247,0),IFERROR(VLOOKUP($G:$G,Structure!$A:$AJ,Y$1,0)*$H247,0))</f>
        <v>0</v>
      </c>
      <c r="Z247" s="9">
        <f>SUM(IFERROR(VLOOKUP($C:$C,Structure!$A:$AJ,Z$1,0)*$D247,0),IFERROR(VLOOKUP($E:$E,Structure!$A:$AJ,Z$1,0)*$F247,0),IFERROR(VLOOKUP($G:$G,Structure!$A:$AJ,Z$1,0)*$H247,0))</f>
        <v>0</v>
      </c>
      <c r="AA247" s="9">
        <f>SUM(IFERROR(VLOOKUP($C:$C,Structure!$A:$AJ,AA$1,0)*$D247,0),IFERROR(VLOOKUP($E:$E,Structure!$A:$AJ,AA$1,0)*$F247,0),IFERROR(VLOOKUP($G:$G,Structure!$A:$AJ,AA$1,0)*$H247,0))</f>
        <v>0</v>
      </c>
      <c r="AB247" s="9">
        <f>SUM(IFERROR(VLOOKUP($C:$C,Structure!$A:$AJ,AB$1,0)*$D247,0),IFERROR(VLOOKUP($E:$E,Structure!$A:$AJ,AB$1,0)*$F247,0),IFERROR(VLOOKUP($G:$G,Structure!$A:$AJ,AB$1,0)*$H247,0))</f>
        <v>0</v>
      </c>
      <c r="AC247" s="9">
        <f>SUM(IFERROR(VLOOKUP($C:$C,Structure!$A:$AJ,AC$1,0)*$D247,0),IFERROR(VLOOKUP($E:$E,Structure!$A:$AJ,AC$1,0)*$F247,0),IFERROR(VLOOKUP($G:$G,Structure!$A:$AJ,AC$1,0)*$H247,0))</f>
        <v>8</v>
      </c>
      <c r="AD247" s="9">
        <f>SUM(IFERROR(VLOOKUP($C:$C,Structure!$A:$AJ,AD$1,0)*$D247,0),IFERROR(VLOOKUP($E:$E,Structure!$A:$AJ,AD$1,0)*$F247,0),IFERROR(VLOOKUP($G:$G,Structure!$A:$AJ,AD$1,0)*$H247,0))</f>
        <v>0</v>
      </c>
      <c r="AE247" s="9">
        <f>SUM(IFERROR(VLOOKUP($C:$C,Structure!$A:$AJ,AE$1,0)*$D247,0),IFERROR(VLOOKUP($E:$E,Structure!$A:$AJ,AE$1,0)*$F247,0),IFERROR(VLOOKUP($G:$G,Structure!$A:$AJ,AE$1,0)*$H247,0))</f>
        <v>0</v>
      </c>
      <c r="AF247" s="9">
        <f>SUM(IFERROR(VLOOKUP($C:$C,Structure!$A:$AJ,AF$1,0)*$D247,0),IFERROR(VLOOKUP($E:$E,Structure!$A:$AJ,AF$1,0)*$F247,0),IFERROR(VLOOKUP($G:$G,Structure!$A:$AJ,AF$1,0)*$H247,0))</f>
        <v>0</v>
      </c>
      <c r="AG247" s="9">
        <f>SUM(IFERROR(VLOOKUP($C:$C,Structure!$A:$AJ,AG$1,0)*$D247,0),IFERROR(VLOOKUP($E:$E,Structure!$A:$AJ,AG$1,0)*$F247,0),IFERROR(VLOOKUP($G:$G,Structure!$A:$AJ,AG$1,0)*$H247,0))</f>
        <v>0</v>
      </c>
      <c r="AH247" s="9">
        <f>SUM(IFERROR(VLOOKUP($C:$C,Structure!$A:$AJ,AH$1,0)*$D247,0),IFERROR(VLOOKUP($E:$E,Structure!$A:$AJ,AH$1,0)*$F247,0),IFERROR(VLOOKUP($G:$G,Structure!$A:$AJ,AH$1,0)*$H247,0))</f>
        <v>0</v>
      </c>
      <c r="AI247" s="9">
        <f>SUM(IFERROR(VLOOKUP($C:$C,Structure!$A:$AJ,AI$1,0)*$D247,0),IFERROR(VLOOKUP($E:$E,Structure!$A:$AJ,AI$1,0)*$F247,0),IFERROR(VLOOKUP($G:$G,Structure!$A:$AJ,AI$1,0)*$H247,0))</f>
        <v>0</v>
      </c>
      <c r="AJ247" s="9">
        <f>SUM(IFERROR(VLOOKUP($C:$C,Structure!$A:$AJ,AJ$1,0)*$D247,0),IFERROR(VLOOKUP($E:$E,Structure!$A:$AJ,AJ$1,0)*$F247,0),IFERROR(VLOOKUP($G:$G,Structure!$A:$AJ,AJ$1,0)*$H247,0))</f>
        <v>0</v>
      </c>
      <c r="AK247" s="9">
        <f>SUM(IFERROR(VLOOKUP($C:$C,Structure!$A:$AJ,AK$1,0)*$D247,0),IFERROR(VLOOKUP($E:$E,Structure!$A:$AJ,AK$1,0)*$F247,0),IFERROR(VLOOKUP($G:$G,Structure!$A:$AJ,AK$1,0)*$H247,0))</f>
        <v>0</v>
      </c>
      <c r="AL247" s="9">
        <f>SUM(IFERROR(VLOOKUP($C:$C,Structure!$A:$AJ,AL$1,0)*$D247,0),IFERROR(VLOOKUP($E:$E,Structure!$A:$AJ,AL$1,0)*$F247,0),IFERROR(VLOOKUP($G:$G,Structure!$A:$AJ,AL$1,0)*$H247,0))</f>
        <v>0</v>
      </c>
      <c r="AM247" s="9">
        <f>SUM(IFERROR(VLOOKUP($C:$C,Structure!$A:$AJ,AM$1,0)*$D247,0),IFERROR(VLOOKUP($E:$E,Structure!$A:$AJ,AM$1,0)*$F247,0),IFERROR(VLOOKUP($G:$G,Structure!$A:$AJ,AM$1,0)*$H247,0))</f>
        <v>0</v>
      </c>
      <c r="AN247" s="9">
        <f>SUM(IFERROR(VLOOKUP($C:$C,Structure!$A:$AJ,AN$1,0)*$D247,0),IFERROR(VLOOKUP($E:$E,Structure!$A:$AJ,AN$1,0)*$F247,0),IFERROR(VLOOKUP($G:$G,Structure!$A:$AJ,AN$1,0)*$H247,0))</f>
        <v>0</v>
      </c>
      <c r="AO247" s="9">
        <f>SUM(IFERROR(VLOOKUP($C:$C,Structure!$A:$AJ,AO$1,0)*$D247,0),IFERROR(VLOOKUP($E:$E,Structure!$A:$AJ,AO$1,0)*$F247,0),IFERROR(VLOOKUP($G:$G,Structure!$A:$AJ,AO$1,0)*$H247,0))</f>
        <v>0</v>
      </c>
      <c r="AP247" s="9">
        <f>SUM(IFERROR(VLOOKUP($C:$C,Structure!$A:$AJ,AP$1,0)*$D247,0),IFERROR(VLOOKUP($E:$E,Structure!$A:$AJ,AP$1,0)*$F247,0),IFERROR(VLOOKUP($G:$G,Structure!$A:$AJ,AP$1,0)*$H247,0))</f>
        <v>0</v>
      </c>
      <c r="AQ247" s="9">
        <f>SUM(IFERROR(VLOOKUP($C:$C,Structure!$A:$AJ,AQ$1,0)*$D247,0),IFERROR(VLOOKUP($E:$E,Structure!$A:$AJ,AQ$1,0)*$F247,0),IFERROR(VLOOKUP($G:$G,Structure!$A:$AJ,AQ$1,0)*$H247,0))</f>
        <v>0</v>
      </c>
      <c r="AR247" s="21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4">
        <f t="shared" si="267"/>
        <v>0</v>
      </c>
      <c r="CE247" s="4">
        <f t="shared" si="268"/>
        <v>-180</v>
      </c>
      <c r="CF247" s="4">
        <f t="shared" si="269"/>
        <v>4</v>
      </c>
      <c r="CG247" s="4">
        <f t="shared" si="270"/>
        <v>11</v>
      </c>
      <c r="CH247" s="4">
        <f t="shared" si="271"/>
        <v>-7</v>
      </c>
      <c r="CI247" s="4">
        <f t="shared" si="272"/>
        <v>98</v>
      </c>
      <c r="CJ247" s="4">
        <f t="shared" si="273"/>
        <v>-391</v>
      </c>
      <c r="CK247" s="4">
        <f t="shared" si="274"/>
        <v>-1</v>
      </c>
      <c r="CL247" s="4">
        <f t="shared" si="275"/>
        <v>0</v>
      </c>
      <c r="CM247" s="4">
        <f t="shared" si="276"/>
        <v>6</v>
      </c>
      <c r="CN247" s="4">
        <f t="shared" si="277"/>
        <v>-278</v>
      </c>
      <c r="CO247" s="4">
        <f t="shared" si="278"/>
        <v>0</v>
      </c>
      <c r="CP247" s="4">
        <f t="shared" si="279"/>
        <v>27</v>
      </c>
      <c r="CQ247" s="4">
        <f t="shared" si="280"/>
        <v>-582</v>
      </c>
      <c r="CR247" s="4">
        <f t="shared" si="281"/>
        <v>12</v>
      </c>
      <c r="CS247" s="4">
        <f t="shared" si="282"/>
        <v>-53</v>
      </c>
      <c r="CT247" s="4">
        <f t="shared" si="283"/>
        <v>0</v>
      </c>
      <c r="CU247" s="4">
        <f t="shared" si="284"/>
        <v>0</v>
      </c>
      <c r="CV247" s="4">
        <f t="shared" si="285"/>
        <v>0</v>
      </c>
      <c r="CW247" s="4">
        <f t="shared" si="286"/>
        <v>0</v>
      </c>
      <c r="CX247" s="4">
        <f t="shared" si="287"/>
        <v>-615</v>
      </c>
      <c r="CY247" s="4">
        <f t="shared" si="288"/>
        <v>0</v>
      </c>
      <c r="CZ247" s="4">
        <f t="shared" si="289"/>
        <v>0</v>
      </c>
      <c r="DA247" s="4">
        <f t="shared" si="290"/>
        <v>0</v>
      </c>
      <c r="DB247" s="4">
        <f t="shared" si="291"/>
        <v>0</v>
      </c>
      <c r="DC247" s="4">
        <f t="shared" si="292"/>
        <v>0</v>
      </c>
      <c r="DD247" s="4">
        <f t="shared" si="293"/>
        <v>0</v>
      </c>
      <c r="DE247" s="4">
        <f t="shared" si="294"/>
        <v>0</v>
      </c>
      <c r="DF247" s="4">
        <f t="shared" si="295"/>
        <v>0</v>
      </c>
      <c r="DG247" s="4">
        <f t="shared" si="296"/>
        <v>0</v>
      </c>
      <c r="DH247" s="4">
        <f t="shared" si="297"/>
        <v>0</v>
      </c>
      <c r="DI247" s="4">
        <f t="shared" si="298"/>
        <v>0</v>
      </c>
      <c r="DJ247" s="4">
        <f t="shared" si="299"/>
        <v>0</v>
      </c>
      <c r="DK247" s="4">
        <f t="shared" si="300"/>
        <v>0</v>
      </c>
      <c r="DL247" s="4">
        <f t="shared" si="301"/>
        <v>0</v>
      </c>
    </row>
    <row r="248" spans="1:116" x14ac:dyDescent="0.25">
      <c r="A248" s="5">
        <v>46188</v>
      </c>
      <c r="B248" s="6">
        <v>0.41666666726086987</v>
      </c>
      <c r="C248" s="3"/>
      <c r="D248" s="3"/>
      <c r="E248" s="3" t="s">
        <v>30</v>
      </c>
      <c r="F248" s="3">
        <v>8</v>
      </c>
      <c r="G248" s="3"/>
      <c r="H248" s="9"/>
      <c r="I248" s="9">
        <f>SUM(IFERROR(VLOOKUP($C:$C,Structure!$A:$AJ,I$1,0)*$D248,0),IFERROR(VLOOKUP($E:$E,Structure!$A:$AJ,I$1,0)*$F248,0),IFERROR(VLOOKUP($G:$G,Structure!$A:$AJ,I$1,0)*$H248,0))</f>
        <v>0</v>
      </c>
      <c r="J248" s="9">
        <f>SUM(IFERROR(VLOOKUP($C:$C,Structure!$A:$AJ,J$1,0)*$D248,0),IFERROR(VLOOKUP($E:$E,Structure!$A:$AJ,J$1,0)*$F248,0),IFERROR(VLOOKUP($G:$G,Structure!$A:$AJ,J$1,0)*$H248,0))</f>
        <v>0</v>
      </c>
      <c r="K248" s="9">
        <f>SUM(IFERROR(VLOOKUP($C:$C,Structure!$A:$AJ,K$1,0)*$D248,0),IFERROR(VLOOKUP($E:$E,Structure!$A:$AJ,K$1,0)*$F248,0),IFERROR(VLOOKUP($G:$G,Structure!$A:$AJ,K$1,0)*$H248,0))</f>
        <v>0</v>
      </c>
      <c r="L248" s="9">
        <f>SUM(IFERROR(VLOOKUP($C:$C,Structure!$A:$AJ,L$1,0)*$D248,0),IFERROR(VLOOKUP($E:$E,Structure!$A:$AJ,L$1,0)*$F248,0),IFERROR(VLOOKUP($G:$G,Structure!$A:$AJ,L$1,0)*$H248,0))</f>
        <v>0</v>
      </c>
      <c r="M248" s="9">
        <f>SUM(IFERROR(VLOOKUP($C:$C,Structure!$A:$AJ,M$1,0)*$D248,0),IFERROR(VLOOKUP($E:$E,Structure!$A:$AJ,M$1,0)*$F248,0),IFERROR(VLOOKUP($G:$G,Structure!$A:$AJ,M$1,0)*$H248,0))</f>
        <v>0</v>
      </c>
      <c r="N248" s="9">
        <f>SUM(IFERROR(VLOOKUP($C:$C,Structure!$A:$AJ,N$1,0)*$D248,0),IFERROR(VLOOKUP($E:$E,Structure!$A:$AJ,N$1,0)*$F248,0),IFERROR(VLOOKUP($G:$G,Structure!$A:$AJ,N$1,0)*$H248,0))</f>
        <v>0</v>
      </c>
      <c r="O248" s="9">
        <f>SUM(IFERROR(VLOOKUP($C:$C,Structure!$A:$AJ,O$1,0)*$D248,0),IFERROR(VLOOKUP($E:$E,Structure!$A:$AJ,O$1,0)*$F248,0),IFERROR(VLOOKUP($G:$G,Structure!$A:$AJ,O$1,0)*$H248,0))</f>
        <v>0</v>
      </c>
      <c r="P248" s="9">
        <f>SUM(IFERROR(VLOOKUP($C:$C,Structure!$A:$AJ,P$1,0)*$D248,0),IFERROR(VLOOKUP($E:$E,Structure!$A:$AJ,P$1,0)*$F248,0),IFERROR(VLOOKUP($G:$G,Structure!$A:$AJ,P$1,0)*$H248,0))</f>
        <v>0</v>
      </c>
      <c r="Q248" s="9">
        <f>SUM(IFERROR(VLOOKUP($C:$C,Structure!$A:$AJ,Q$1,0)*$D248,0),IFERROR(VLOOKUP($E:$E,Structure!$A:$AJ,Q$1,0)*$F248,0),IFERROR(VLOOKUP($G:$G,Structure!$A:$AJ,Q$1,0)*$H248,0))</f>
        <v>0</v>
      </c>
      <c r="R248" s="9">
        <f>SUM(IFERROR(VLOOKUP($C:$C,Structure!$A:$AJ,R$1,0)*$D248,0),IFERROR(VLOOKUP($E:$E,Structure!$A:$AJ,R$1,0)*$F248,0),IFERROR(VLOOKUP($G:$G,Structure!$A:$AJ,R$1,0)*$H248,0))</f>
        <v>0</v>
      </c>
      <c r="S248" s="9">
        <f>SUM(IFERROR(VLOOKUP($C:$C,Structure!$A:$AJ,S$1,0)*$D248,0),IFERROR(VLOOKUP($E:$E,Structure!$A:$AJ,S$1,0)*$F248,0),IFERROR(VLOOKUP($G:$G,Structure!$A:$AJ,S$1,0)*$H248,0))</f>
        <v>0</v>
      </c>
      <c r="T248" s="9">
        <f>SUM(IFERROR(VLOOKUP($C:$C,Structure!$A:$AJ,T$1,0)*$D248,0),IFERROR(VLOOKUP($E:$E,Structure!$A:$AJ,T$1,0)*$F248,0),IFERROR(VLOOKUP($G:$G,Structure!$A:$AJ,T$1,0)*$H248,0))</f>
        <v>0</v>
      </c>
      <c r="U248" s="9">
        <f>SUM(IFERROR(VLOOKUP($C:$C,Structure!$A:$AJ,U$1,0)*$D248,0),IFERROR(VLOOKUP($E:$E,Structure!$A:$AJ,U$1,0)*$F248,0),IFERROR(VLOOKUP($G:$G,Structure!$A:$AJ,U$1,0)*$H248,0))</f>
        <v>0</v>
      </c>
      <c r="V248" s="9">
        <f>SUM(IFERROR(VLOOKUP($C:$C,Structure!$A:$AJ,V$1,0)*$D248,0),IFERROR(VLOOKUP($E:$E,Structure!$A:$AJ,V$1,0)*$F248,0),IFERROR(VLOOKUP($G:$G,Structure!$A:$AJ,V$1,0)*$H248,0))</f>
        <v>8</v>
      </c>
      <c r="W248" s="9">
        <f>SUM(IFERROR(VLOOKUP($C:$C,Structure!$A:$AJ,W$1,0)*$D248,0),IFERROR(VLOOKUP($E:$E,Structure!$A:$AJ,W$1,0)*$F248,0),IFERROR(VLOOKUP($G:$G,Structure!$A:$AJ,W$1,0)*$H248,0))</f>
        <v>0</v>
      </c>
      <c r="X248" s="9">
        <f>SUM(IFERROR(VLOOKUP($C:$C,Structure!$A:$AJ,X$1,0)*$D248,0),IFERROR(VLOOKUP($E:$E,Structure!$A:$AJ,X$1,0)*$F248,0),IFERROR(VLOOKUP($G:$G,Structure!$A:$AJ,X$1,0)*$H248,0))</f>
        <v>0</v>
      </c>
      <c r="Y248" s="9">
        <f>SUM(IFERROR(VLOOKUP($C:$C,Structure!$A:$AJ,Y$1,0)*$D248,0),IFERROR(VLOOKUP($E:$E,Structure!$A:$AJ,Y$1,0)*$F248,0),IFERROR(VLOOKUP($G:$G,Structure!$A:$AJ,Y$1,0)*$H248,0))</f>
        <v>0</v>
      </c>
      <c r="Z248" s="9">
        <f>SUM(IFERROR(VLOOKUP($C:$C,Structure!$A:$AJ,Z$1,0)*$D248,0),IFERROR(VLOOKUP($E:$E,Structure!$A:$AJ,Z$1,0)*$F248,0),IFERROR(VLOOKUP($G:$G,Structure!$A:$AJ,Z$1,0)*$H248,0))</f>
        <v>0</v>
      </c>
      <c r="AA248" s="9">
        <f>SUM(IFERROR(VLOOKUP($C:$C,Structure!$A:$AJ,AA$1,0)*$D248,0),IFERROR(VLOOKUP($E:$E,Structure!$A:$AJ,AA$1,0)*$F248,0),IFERROR(VLOOKUP($G:$G,Structure!$A:$AJ,AA$1,0)*$H248,0))</f>
        <v>0</v>
      </c>
      <c r="AB248" s="9">
        <f>SUM(IFERROR(VLOOKUP($C:$C,Structure!$A:$AJ,AB$1,0)*$D248,0),IFERROR(VLOOKUP($E:$E,Structure!$A:$AJ,AB$1,0)*$F248,0),IFERROR(VLOOKUP($G:$G,Structure!$A:$AJ,AB$1,0)*$H248,0))</f>
        <v>0</v>
      </c>
      <c r="AC248" s="9">
        <f>SUM(IFERROR(VLOOKUP($C:$C,Structure!$A:$AJ,AC$1,0)*$D248,0),IFERROR(VLOOKUP($E:$E,Structure!$A:$AJ,AC$1,0)*$F248,0),IFERROR(VLOOKUP($G:$G,Structure!$A:$AJ,AC$1,0)*$H248,0))</f>
        <v>8</v>
      </c>
      <c r="AD248" s="9">
        <f>SUM(IFERROR(VLOOKUP($C:$C,Structure!$A:$AJ,AD$1,0)*$D248,0),IFERROR(VLOOKUP($E:$E,Structure!$A:$AJ,AD$1,0)*$F248,0),IFERROR(VLOOKUP($G:$G,Structure!$A:$AJ,AD$1,0)*$H248,0))</f>
        <v>0</v>
      </c>
      <c r="AE248" s="9">
        <f>SUM(IFERROR(VLOOKUP($C:$C,Structure!$A:$AJ,AE$1,0)*$D248,0),IFERROR(VLOOKUP($E:$E,Structure!$A:$AJ,AE$1,0)*$F248,0),IFERROR(VLOOKUP($G:$G,Structure!$A:$AJ,AE$1,0)*$H248,0))</f>
        <v>0</v>
      </c>
      <c r="AF248" s="9">
        <f>SUM(IFERROR(VLOOKUP($C:$C,Structure!$A:$AJ,AF$1,0)*$D248,0),IFERROR(VLOOKUP($E:$E,Structure!$A:$AJ,AF$1,0)*$F248,0),IFERROR(VLOOKUP($G:$G,Structure!$A:$AJ,AF$1,0)*$H248,0))</f>
        <v>0</v>
      </c>
      <c r="AG248" s="9">
        <f>SUM(IFERROR(VLOOKUP($C:$C,Structure!$A:$AJ,AG$1,0)*$D248,0),IFERROR(VLOOKUP($E:$E,Structure!$A:$AJ,AG$1,0)*$F248,0),IFERROR(VLOOKUP($G:$G,Structure!$A:$AJ,AG$1,0)*$H248,0))</f>
        <v>0</v>
      </c>
      <c r="AH248" s="9">
        <f>SUM(IFERROR(VLOOKUP($C:$C,Structure!$A:$AJ,AH$1,0)*$D248,0),IFERROR(VLOOKUP($E:$E,Structure!$A:$AJ,AH$1,0)*$F248,0),IFERROR(VLOOKUP($G:$G,Structure!$A:$AJ,AH$1,0)*$H248,0))</f>
        <v>0</v>
      </c>
      <c r="AI248" s="9">
        <f>SUM(IFERROR(VLOOKUP($C:$C,Structure!$A:$AJ,AI$1,0)*$D248,0),IFERROR(VLOOKUP($E:$E,Structure!$A:$AJ,AI$1,0)*$F248,0),IFERROR(VLOOKUP($G:$G,Structure!$A:$AJ,AI$1,0)*$H248,0))</f>
        <v>0</v>
      </c>
      <c r="AJ248" s="9">
        <f>SUM(IFERROR(VLOOKUP($C:$C,Structure!$A:$AJ,AJ$1,0)*$D248,0),IFERROR(VLOOKUP($E:$E,Structure!$A:$AJ,AJ$1,0)*$F248,0),IFERROR(VLOOKUP($G:$G,Structure!$A:$AJ,AJ$1,0)*$H248,0))</f>
        <v>0</v>
      </c>
      <c r="AK248" s="9">
        <f>SUM(IFERROR(VLOOKUP($C:$C,Structure!$A:$AJ,AK$1,0)*$D248,0),IFERROR(VLOOKUP($E:$E,Structure!$A:$AJ,AK$1,0)*$F248,0),IFERROR(VLOOKUP($G:$G,Structure!$A:$AJ,AK$1,0)*$H248,0))</f>
        <v>0</v>
      </c>
      <c r="AL248" s="9">
        <f>SUM(IFERROR(VLOOKUP($C:$C,Structure!$A:$AJ,AL$1,0)*$D248,0),IFERROR(VLOOKUP($E:$E,Structure!$A:$AJ,AL$1,0)*$F248,0),IFERROR(VLOOKUP($G:$G,Structure!$A:$AJ,AL$1,0)*$H248,0))</f>
        <v>0</v>
      </c>
      <c r="AM248" s="9">
        <f>SUM(IFERROR(VLOOKUP($C:$C,Structure!$A:$AJ,AM$1,0)*$D248,0),IFERROR(VLOOKUP($E:$E,Structure!$A:$AJ,AM$1,0)*$F248,0),IFERROR(VLOOKUP($G:$G,Structure!$A:$AJ,AM$1,0)*$H248,0))</f>
        <v>0</v>
      </c>
      <c r="AN248" s="9">
        <f>SUM(IFERROR(VLOOKUP($C:$C,Structure!$A:$AJ,AN$1,0)*$D248,0),IFERROR(VLOOKUP($E:$E,Structure!$A:$AJ,AN$1,0)*$F248,0),IFERROR(VLOOKUP($G:$G,Structure!$A:$AJ,AN$1,0)*$H248,0))</f>
        <v>0</v>
      </c>
      <c r="AO248" s="9">
        <f>SUM(IFERROR(VLOOKUP($C:$C,Structure!$A:$AJ,AO$1,0)*$D248,0),IFERROR(VLOOKUP($E:$E,Structure!$A:$AJ,AO$1,0)*$F248,0),IFERROR(VLOOKUP($G:$G,Structure!$A:$AJ,AO$1,0)*$H248,0))</f>
        <v>0</v>
      </c>
      <c r="AP248" s="9">
        <f>SUM(IFERROR(VLOOKUP($C:$C,Structure!$A:$AJ,AP$1,0)*$D248,0),IFERROR(VLOOKUP($E:$E,Structure!$A:$AJ,AP$1,0)*$F248,0),IFERROR(VLOOKUP($G:$G,Structure!$A:$AJ,AP$1,0)*$H248,0))</f>
        <v>0</v>
      </c>
      <c r="AQ248" s="9">
        <f>SUM(IFERROR(VLOOKUP($C:$C,Structure!$A:$AJ,AQ$1,0)*$D248,0),IFERROR(VLOOKUP($E:$E,Structure!$A:$AJ,AQ$1,0)*$F248,0),IFERROR(VLOOKUP($G:$G,Structure!$A:$AJ,AQ$1,0)*$H248,0))</f>
        <v>0</v>
      </c>
      <c r="AR248" s="21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4">
        <f t="shared" si="267"/>
        <v>0</v>
      </c>
      <c r="CE248" s="4">
        <f t="shared" si="268"/>
        <v>-180</v>
      </c>
      <c r="CF248" s="4">
        <f t="shared" si="269"/>
        <v>4</v>
      </c>
      <c r="CG248" s="4">
        <f t="shared" si="270"/>
        <v>11</v>
      </c>
      <c r="CH248" s="4">
        <f t="shared" si="271"/>
        <v>-7</v>
      </c>
      <c r="CI248" s="4">
        <f t="shared" si="272"/>
        <v>98</v>
      </c>
      <c r="CJ248" s="4">
        <f t="shared" si="273"/>
        <v>-391</v>
      </c>
      <c r="CK248" s="4">
        <f t="shared" si="274"/>
        <v>-1</v>
      </c>
      <c r="CL248" s="4">
        <f t="shared" si="275"/>
        <v>0</v>
      </c>
      <c r="CM248" s="4">
        <f t="shared" si="276"/>
        <v>6</v>
      </c>
      <c r="CN248" s="4">
        <f t="shared" si="277"/>
        <v>-278</v>
      </c>
      <c r="CO248" s="4">
        <f t="shared" si="278"/>
        <v>0</v>
      </c>
      <c r="CP248" s="4">
        <f t="shared" si="279"/>
        <v>27</v>
      </c>
      <c r="CQ248" s="4">
        <f t="shared" si="280"/>
        <v>-590</v>
      </c>
      <c r="CR248" s="4">
        <f t="shared" si="281"/>
        <v>12</v>
      </c>
      <c r="CS248" s="4">
        <f t="shared" si="282"/>
        <v>-53</v>
      </c>
      <c r="CT248" s="4">
        <f t="shared" si="283"/>
        <v>0</v>
      </c>
      <c r="CU248" s="4">
        <f t="shared" si="284"/>
        <v>0</v>
      </c>
      <c r="CV248" s="4">
        <f t="shared" si="285"/>
        <v>0</v>
      </c>
      <c r="CW248" s="4">
        <f t="shared" si="286"/>
        <v>0</v>
      </c>
      <c r="CX248" s="4">
        <f t="shared" si="287"/>
        <v>-623</v>
      </c>
      <c r="CY248" s="4">
        <f t="shared" si="288"/>
        <v>0</v>
      </c>
      <c r="CZ248" s="4">
        <f t="shared" si="289"/>
        <v>0</v>
      </c>
      <c r="DA248" s="4">
        <f t="shared" si="290"/>
        <v>0</v>
      </c>
      <c r="DB248" s="4">
        <f t="shared" si="291"/>
        <v>0</v>
      </c>
      <c r="DC248" s="4">
        <f t="shared" si="292"/>
        <v>0</v>
      </c>
      <c r="DD248" s="4">
        <f t="shared" si="293"/>
        <v>0</v>
      </c>
      <c r="DE248" s="4">
        <f t="shared" si="294"/>
        <v>0</v>
      </c>
      <c r="DF248" s="4">
        <f t="shared" si="295"/>
        <v>0</v>
      </c>
      <c r="DG248" s="4">
        <f t="shared" si="296"/>
        <v>0</v>
      </c>
      <c r="DH248" s="4">
        <f t="shared" si="297"/>
        <v>0</v>
      </c>
      <c r="DI248" s="4">
        <f t="shared" si="298"/>
        <v>0</v>
      </c>
      <c r="DJ248" s="4">
        <f t="shared" si="299"/>
        <v>0</v>
      </c>
      <c r="DK248" s="4">
        <f t="shared" si="300"/>
        <v>0</v>
      </c>
      <c r="DL248" s="4">
        <f t="shared" si="301"/>
        <v>0</v>
      </c>
    </row>
    <row r="249" spans="1:116" x14ac:dyDescent="0.25">
      <c r="A249" s="5">
        <v>46188</v>
      </c>
      <c r="B249" s="6">
        <v>0.43750000059662852</v>
      </c>
      <c r="C249" s="3"/>
      <c r="D249" s="3"/>
      <c r="E249" s="3" t="s">
        <v>30</v>
      </c>
      <c r="F249" s="3">
        <v>8</v>
      </c>
      <c r="G249" s="3"/>
      <c r="H249" s="9"/>
      <c r="I249" s="9">
        <f>SUM(IFERROR(VLOOKUP($C:$C,Structure!$A:$AJ,I$1,0)*$D249,0),IFERROR(VLOOKUP($E:$E,Structure!$A:$AJ,I$1,0)*$F249,0),IFERROR(VLOOKUP($G:$G,Structure!$A:$AJ,I$1,0)*$H249,0))</f>
        <v>0</v>
      </c>
      <c r="J249" s="9">
        <f>SUM(IFERROR(VLOOKUP($C:$C,Structure!$A:$AJ,J$1,0)*$D249,0),IFERROR(VLOOKUP($E:$E,Structure!$A:$AJ,J$1,0)*$F249,0),IFERROR(VLOOKUP($G:$G,Structure!$A:$AJ,J$1,0)*$H249,0))</f>
        <v>0</v>
      </c>
      <c r="K249" s="9">
        <f>SUM(IFERROR(VLOOKUP($C:$C,Structure!$A:$AJ,K$1,0)*$D249,0),IFERROR(VLOOKUP($E:$E,Structure!$A:$AJ,K$1,0)*$F249,0),IFERROR(VLOOKUP($G:$G,Structure!$A:$AJ,K$1,0)*$H249,0))</f>
        <v>0</v>
      </c>
      <c r="L249" s="9">
        <f>SUM(IFERROR(VLOOKUP($C:$C,Structure!$A:$AJ,L$1,0)*$D249,0),IFERROR(VLOOKUP($E:$E,Structure!$A:$AJ,L$1,0)*$F249,0),IFERROR(VLOOKUP($G:$G,Structure!$A:$AJ,L$1,0)*$H249,0))</f>
        <v>0</v>
      </c>
      <c r="M249" s="9">
        <f>SUM(IFERROR(VLOOKUP($C:$C,Structure!$A:$AJ,M$1,0)*$D249,0),IFERROR(VLOOKUP($E:$E,Structure!$A:$AJ,M$1,0)*$F249,0),IFERROR(VLOOKUP($G:$G,Structure!$A:$AJ,M$1,0)*$H249,0))</f>
        <v>0</v>
      </c>
      <c r="N249" s="9">
        <f>SUM(IFERROR(VLOOKUP($C:$C,Structure!$A:$AJ,N$1,0)*$D249,0),IFERROR(VLOOKUP($E:$E,Structure!$A:$AJ,N$1,0)*$F249,0),IFERROR(VLOOKUP($G:$G,Structure!$A:$AJ,N$1,0)*$H249,0))</f>
        <v>0</v>
      </c>
      <c r="O249" s="9">
        <f>SUM(IFERROR(VLOOKUP($C:$C,Structure!$A:$AJ,O$1,0)*$D249,0),IFERROR(VLOOKUP($E:$E,Structure!$A:$AJ,O$1,0)*$F249,0),IFERROR(VLOOKUP($G:$G,Structure!$A:$AJ,O$1,0)*$H249,0))</f>
        <v>0</v>
      </c>
      <c r="P249" s="9">
        <f>SUM(IFERROR(VLOOKUP($C:$C,Structure!$A:$AJ,P$1,0)*$D249,0),IFERROR(VLOOKUP($E:$E,Structure!$A:$AJ,P$1,0)*$F249,0),IFERROR(VLOOKUP($G:$G,Structure!$A:$AJ,P$1,0)*$H249,0))</f>
        <v>0</v>
      </c>
      <c r="Q249" s="9">
        <f>SUM(IFERROR(VLOOKUP($C:$C,Structure!$A:$AJ,Q$1,0)*$D249,0),IFERROR(VLOOKUP($E:$E,Structure!$A:$AJ,Q$1,0)*$F249,0),IFERROR(VLOOKUP($G:$G,Structure!$A:$AJ,Q$1,0)*$H249,0))</f>
        <v>0</v>
      </c>
      <c r="R249" s="9">
        <f>SUM(IFERROR(VLOOKUP($C:$C,Structure!$A:$AJ,R$1,0)*$D249,0),IFERROR(VLOOKUP($E:$E,Structure!$A:$AJ,R$1,0)*$F249,0),IFERROR(VLOOKUP($G:$G,Structure!$A:$AJ,R$1,0)*$H249,0))</f>
        <v>0</v>
      </c>
      <c r="S249" s="9">
        <f>SUM(IFERROR(VLOOKUP($C:$C,Structure!$A:$AJ,S$1,0)*$D249,0),IFERROR(VLOOKUP($E:$E,Structure!$A:$AJ,S$1,0)*$F249,0),IFERROR(VLOOKUP($G:$G,Structure!$A:$AJ,S$1,0)*$H249,0))</f>
        <v>0</v>
      </c>
      <c r="T249" s="9">
        <f>SUM(IFERROR(VLOOKUP($C:$C,Structure!$A:$AJ,T$1,0)*$D249,0),IFERROR(VLOOKUP($E:$E,Structure!$A:$AJ,T$1,0)*$F249,0),IFERROR(VLOOKUP($G:$G,Structure!$A:$AJ,T$1,0)*$H249,0))</f>
        <v>0</v>
      </c>
      <c r="U249" s="9">
        <f>SUM(IFERROR(VLOOKUP($C:$C,Structure!$A:$AJ,U$1,0)*$D249,0),IFERROR(VLOOKUP($E:$E,Structure!$A:$AJ,U$1,0)*$F249,0),IFERROR(VLOOKUP($G:$G,Structure!$A:$AJ,U$1,0)*$H249,0))</f>
        <v>0</v>
      </c>
      <c r="V249" s="9">
        <f>SUM(IFERROR(VLOOKUP($C:$C,Structure!$A:$AJ,V$1,0)*$D249,0),IFERROR(VLOOKUP($E:$E,Structure!$A:$AJ,V$1,0)*$F249,0),IFERROR(VLOOKUP($G:$G,Structure!$A:$AJ,V$1,0)*$H249,0))</f>
        <v>8</v>
      </c>
      <c r="W249" s="9">
        <f>SUM(IFERROR(VLOOKUP($C:$C,Structure!$A:$AJ,W$1,0)*$D249,0),IFERROR(VLOOKUP($E:$E,Structure!$A:$AJ,W$1,0)*$F249,0),IFERROR(VLOOKUP($G:$G,Structure!$A:$AJ,W$1,0)*$H249,0))</f>
        <v>0</v>
      </c>
      <c r="X249" s="9">
        <f>SUM(IFERROR(VLOOKUP($C:$C,Structure!$A:$AJ,X$1,0)*$D249,0),IFERROR(VLOOKUP($E:$E,Structure!$A:$AJ,X$1,0)*$F249,0),IFERROR(VLOOKUP($G:$G,Structure!$A:$AJ,X$1,0)*$H249,0))</f>
        <v>0</v>
      </c>
      <c r="Y249" s="9">
        <f>SUM(IFERROR(VLOOKUP($C:$C,Structure!$A:$AJ,Y$1,0)*$D249,0),IFERROR(VLOOKUP($E:$E,Structure!$A:$AJ,Y$1,0)*$F249,0),IFERROR(VLOOKUP($G:$G,Structure!$A:$AJ,Y$1,0)*$H249,0))</f>
        <v>0</v>
      </c>
      <c r="Z249" s="9">
        <f>SUM(IFERROR(VLOOKUP($C:$C,Structure!$A:$AJ,Z$1,0)*$D249,0),IFERROR(VLOOKUP($E:$E,Structure!$A:$AJ,Z$1,0)*$F249,0),IFERROR(VLOOKUP($G:$G,Structure!$A:$AJ,Z$1,0)*$H249,0))</f>
        <v>0</v>
      </c>
      <c r="AA249" s="9">
        <f>SUM(IFERROR(VLOOKUP($C:$C,Structure!$A:$AJ,AA$1,0)*$D249,0),IFERROR(VLOOKUP($E:$E,Structure!$A:$AJ,AA$1,0)*$F249,0),IFERROR(VLOOKUP($G:$G,Structure!$A:$AJ,AA$1,0)*$H249,0))</f>
        <v>0</v>
      </c>
      <c r="AB249" s="9">
        <f>SUM(IFERROR(VLOOKUP($C:$C,Structure!$A:$AJ,AB$1,0)*$D249,0),IFERROR(VLOOKUP($E:$E,Structure!$A:$AJ,AB$1,0)*$F249,0),IFERROR(VLOOKUP($G:$G,Structure!$A:$AJ,AB$1,0)*$H249,0))</f>
        <v>0</v>
      </c>
      <c r="AC249" s="9">
        <f>SUM(IFERROR(VLOOKUP($C:$C,Structure!$A:$AJ,AC$1,0)*$D249,0),IFERROR(VLOOKUP($E:$E,Structure!$A:$AJ,AC$1,0)*$F249,0),IFERROR(VLOOKUP($G:$G,Structure!$A:$AJ,AC$1,0)*$H249,0))</f>
        <v>8</v>
      </c>
      <c r="AD249" s="9">
        <f>SUM(IFERROR(VLOOKUP($C:$C,Structure!$A:$AJ,AD$1,0)*$D249,0),IFERROR(VLOOKUP($E:$E,Structure!$A:$AJ,AD$1,0)*$F249,0),IFERROR(VLOOKUP($G:$G,Structure!$A:$AJ,AD$1,0)*$H249,0))</f>
        <v>0</v>
      </c>
      <c r="AE249" s="9">
        <f>SUM(IFERROR(VLOOKUP($C:$C,Structure!$A:$AJ,AE$1,0)*$D249,0),IFERROR(VLOOKUP($E:$E,Structure!$A:$AJ,AE$1,0)*$F249,0),IFERROR(VLOOKUP($G:$G,Structure!$A:$AJ,AE$1,0)*$H249,0))</f>
        <v>0</v>
      </c>
      <c r="AF249" s="9">
        <f>SUM(IFERROR(VLOOKUP($C:$C,Structure!$A:$AJ,AF$1,0)*$D249,0),IFERROR(VLOOKUP($E:$E,Structure!$A:$AJ,AF$1,0)*$F249,0),IFERROR(VLOOKUP($G:$G,Structure!$A:$AJ,AF$1,0)*$H249,0))</f>
        <v>0</v>
      </c>
      <c r="AG249" s="9">
        <f>SUM(IFERROR(VLOOKUP($C:$C,Structure!$A:$AJ,AG$1,0)*$D249,0),IFERROR(VLOOKUP($E:$E,Structure!$A:$AJ,AG$1,0)*$F249,0),IFERROR(VLOOKUP($G:$G,Structure!$A:$AJ,AG$1,0)*$H249,0))</f>
        <v>0</v>
      </c>
      <c r="AH249" s="9">
        <f>SUM(IFERROR(VLOOKUP($C:$C,Structure!$A:$AJ,AH$1,0)*$D249,0),IFERROR(VLOOKUP($E:$E,Structure!$A:$AJ,AH$1,0)*$F249,0),IFERROR(VLOOKUP($G:$G,Structure!$A:$AJ,AH$1,0)*$H249,0))</f>
        <v>0</v>
      </c>
      <c r="AI249" s="9">
        <f>SUM(IFERROR(VLOOKUP($C:$C,Structure!$A:$AJ,AI$1,0)*$D249,0),IFERROR(VLOOKUP($E:$E,Structure!$A:$AJ,AI$1,0)*$F249,0),IFERROR(VLOOKUP($G:$G,Structure!$A:$AJ,AI$1,0)*$H249,0))</f>
        <v>0</v>
      </c>
      <c r="AJ249" s="9">
        <f>SUM(IFERROR(VLOOKUP($C:$C,Structure!$A:$AJ,AJ$1,0)*$D249,0),IFERROR(VLOOKUP($E:$E,Structure!$A:$AJ,AJ$1,0)*$F249,0),IFERROR(VLOOKUP($G:$G,Structure!$A:$AJ,AJ$1,0)*$H249,0))</f>
        <v>0</v>
      </c>
      <c r="AK249" s="9">
        <f>SUM(IFERROR(VLOOKUP($C:$C,Structure!$A:$AJ,AK$1,0)*$D249,0),IFERROR(VLOOKUP($E:$E,Structure!$A:$AJ,AK$1,0)*$F249,0),IFERROR(VLOOKUP($G:$G,Structure!$A:$AJ,AK$1,0)*$H249,0))</f>
        <v>0</v>
      </c>
      <c r="AL249" s="9">
        <f>SUM(IFERROR(VLOOKUP($C:$C,Structure!$A:$AJ,AL$1,0)*$D249,0),IFERROR(VLOOKUP($E:$E,Structure!$A:$AJ,AL$1,0)*$F249,0),IFERROR(VLOOKUP($G:$G,Structure!$A:$AJ,AL$1,0)*$H249,0))</f>
        <v>0</v>
      </c>
      <c r="AM249" s="9">
        <f>SUM(IFERROR(VLOOKUP($C:$C,Structure!$A:$AJ,AM$1,0)*$D249,0),IFERROR(VLOOKUP($E:$E,Structure!$A:$AJ,AM$1,0)*$F249,0),IFERROR(VLOOKUP($G:$G,Structure!$A:$AJ,AM$1,0)*$H249,0))</f>
        <v>0</v>
      </c>
      <c r="AN249" s="9">
        <f>SUM(IFERROR(VLOOKUP($C:$C,Structure!$A:$AJ,AN$1,0)*$D249,0),IFERROR(VLOOKUP($E:$E,Structure!$A:$AJ,AN$1,0)*$F249,0),IFERROR(VLOOKUP($G:$G,Structure!$A:$AJ,AN$1,0)*$H249,0))</f>
        <v>0</v>
      </c>
      <c r="AO249" s="9">
        <f>SUM(IFERROR(VLOOKUP($C:$C,Structure!$A:$AJ,AO$1,0)*$D249,0),IFERROR(VLOOKUP($E:$E,Structure!$A:$AJ,AO$1,0)*$F249,0),IFERROR(VLOOKUP($G:$G,Structure!$A:$AJ,AO$1,0)*$H249,0))</f>
        <v>0</v>
      </c>
      <c r="AP249" s="9">
        <f>SUM(IFERROR(VLOOKUP($C:$C,Structure!$A:$AJ,AP$1,0)*$D249,0),IFERROR(VLOOKUP($E:$E,Structure!$A:$AJ,AP$1,0)*$F249,0),IFERROR(VLOOKUP($G:$G,Structure!$A:$AJ,AP$1,0)*$H249,0))</f>
        <v>0</v>
      </c>
      <c r="AQ249" s="9">
        <f>SUM(IFERROR(VLOOKUP($C:$C,Structure!$A:$AJ,AQ$1,0)*$D249,0),IFERROR(VLOOKUP($E:$E,Structure!$A:$AJ,AQ$1,0)*$F249,0),IFERROR(VLOOKUP($G:$G,Structure!$A:$AJ,AQ$1,0)*$H249,0))</f>
        <v>0</v>
      </c>
      <c r="AR249" s="21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4">
        <f t="shared" si="267"/>
        <v>0</v>
      </c>
      <c r="CE249" s="4">
        <f t="shared" si="268"/>
        <v>-180</v>
      </c>
      <c r="CF249" s="4">
        <f t="shared" si="269"/>
        <v>4</v>
      </c>
      <c r="CG249" s="4">
        <f t="shared" si="270"/>
        <v>11</v>
      </c>
      <c r="CH249" s="4">
        <f t="shared" si="271"/>
        <v>-7</v>
      </c>
      <c r="CI249" s="4">
        <f t="shared" si="272"/>
        <v>98</v>
      </c>
      <c r="CJ249" s="4">
        <f t="shared" si="273"/>
        <v>-391</v>
      </c>
      <c r="CK249" s="4">
        <f t="shared" si="274"/>
        <v>-1</v>
      </c>
      <c r="CL249" s="4">
        <f t="shared" si="275"/>
        <v>0</v>
      </c>
      <c r="CM249" s="4">
        <f t="shared" si="276"/>
        <v>6</v>
      </c>
      <c r="CN249" s="4">
        <f t="shared" si="277"/>
        <v>-278</v>
      </c>
      <c r="CO249" s="4">
        <f t="shared" si="278"/>
        <v>0</v>
      </c>
      <c r="CP249" s="4">
        <f t="shared" si="279"/>
        <v>27</v>
      </c>
      <c r="CQ249" s="4">
        <f t="shared" si="280"/>
        <v>-598</v>
      </c>
      <c r="CR249" s="4">
        <f t="shared" si="281"/>
        <v>12</v>
      </c>
      <c r="CS249" s="4">
        <f t="shared" si="282"/>
        <v>-53</v>
      </c>
      <c r="CT249" s="4">
        <f t="shared" si="283"/>
        <v>0</v>
      </c>
      <c r="CU249" s="4">
        <f t="shared" si="284"/>
        <v>0</v>
      </c>
      <c r="CV249" s="4">
        <f t="shared" si="285"/>
        <v>0</v>
      </c>
      <c r="CW249" s="4">
        <f t="shared" si="286"/>
        <v>0</v>
      </c>
      <c r="CX249" s="4">
        <f t="shared" si="287"/>
        <v>-631</v>
      </c>
      <c r="CY249" s="4">
        <f t="shared" si="288"/>
        <v>0</v>
      </c>
      <c r="CZ249" s="4">
        <f t="shared" si="289"/>
        <v>0</v>
      </c>
      <c r="DA249" s="4">
        <f t="shared" si="290"/>
        <v>0</v>
      </c>
      <c r="DB249" s="4">
        <f t="shared" si="291"/>
        <v>0</v>
      </c>
      <c r="DC249" s="4">
        <f t="shared" si="292"/>
        <v>0</v>
      </c>
      <c r="DD249" s="4">
        <f t="shared" si="293"/>
        <v>0</v>
      </c>
      <c r="DE249" s="4">
        <f t="shared" si="294"/>
        <v>0</v>
      </c>
      <c r="DF249" s="4">
        <f t="shared" si="295"/>
        <v>0</v>
      </c>
      <c r="DG249" s="4">
        <f t="shared" si="296"/>
        <v>0</v>
      </c>
      <c r="DH249" s="4">
        <f t="shared" si="297"/>
        <v>0</v>
      </c>
      <c r="DI249" s="4">
        <f t="shared" si="298"/>
        <v>0</v>
      </c>
      <c r="DJ249" s="4">
        <f t="shared" si="299"/>
        <v>0</v>
      </c>
      <c r="DK249" s="4">
        <f t="shared" si="300"/>
        <v>0</v>
      </c>
      <c r="DL249" s="4">
        <f t="shared" si="301"/>
        <v>0</v>
      </c>
    </row>
    <row r="250" spans="1:116" x14ac:dyDescent="0.25">
      <c r="A250" s="5">
        <v>46188</v>
      </c>
      <c r="B250" s="6">
        <v>0.45833333393238718</v>
      </c>
      <c r="C250" s="3"/>
      <c r="D250" s="3"/>
      <c r="E250" s="3" t="s">
        <v>30</v>
      </c>
      <c r="F250" s="3">
        <v>8</v>
      </c>
      <c r="G250" s="3"/>
      <c r="H250" s="9"/>
      <c r="I250" s="9">
        <f>SUM(IFERROR(VLOOKUP($C:$C,Structure!$A:$AJ,I$1,0)*$D250,0),IFERROR(VLOOKUP($E:$E,Structure!$A:$AJ,I$1,0)*$F250,0),IFERROR(VLOOKUP($G:$G,Structure!$A:$AJ,I$1,0)*$H250,0))</f>
        <v>0</v>
      </c>
      <c r="J250" s="9">
        <f>SUM(IFERROR(VLOOKUP($C:$C,Structure!$A:$AJ,J$1,0)*$D250,0),IFERROR(VLOOKUP($E:$E,Structure!$A:$AJ,J$1,0)*$F250,0),IFERROR(VLOOKUP($G:$G,Structure!$A:$AJ,J$1,0)*$H250,0))</f>
        <v>0</v>
      </c>
      <c r="K250" s="9">
        <f>SUM(IFERROR(VLOOKUP($C:$C,Structure!$A:$AJ,K$1,0)*$D250,0),IFERROR(VLOOKUP($E:$E,Structure!$A:$AJ,K$1,0)*$F250,0),IFERROR(VLOOKUP($G:$G,Structure!$A:$AJ,K$1,0)*$H250,0))</f>
        <v>0</v>
      </c>
      <c r="L250" s="9">
        <f>SUM(IFERROR(VLOOKUP($C:$C,Structure!$A:$AJ,L$1,0)*$D250,0),IFERROR(VLOOKUP($E:$E,Structure!$A:$AJ,L$1,0)*$F250,0),IFERROR(VLOOKUP($G:$G,Structure!$A:$AJ,L$1,0)*$H250,0))</f>
        <v>0</v>
      </c>
      <c r="M250" s="9">
        <f>SUM(IFERROR(VLOOKUP($C:$C,Structure!$A:$AJ,M$1,0)*$D250,0),IFERROR(VLOOKUP($E:$E,Structure!$A:$AJ,M$1,0)*$F250,0),IFERROR(VLOOKUP($G:$G,Structure!$A:$AJ,M$1,0)*$H250,0))</f>
        <v>0</v>
      </c>
      <c r="N250" s="9">
        <f>SUM(IFERROR(VLOOKUP($C:$C,Structure!$A:$AJ,N$1,0)*$D250,0),IFERROR(VLOOKUP($E:$E,Structure!$A:$AJ,N$1,0)*$F250,0),IFERROR(VLOOKUP($G:$G,Structure!$A:$AJ,N$1,0)*$H250,0))</f>
        <v>0</v>
      </c>
      <c r="O250" s="9">
        <f>SUM(IFERROR(VLOOKUP($C:$C,Structure!$A:$AJ,O$1,0)*$D250,0),IFERROR(VLOOKUP($E:$E,Structure!$A:$AJ,O$1,0)*$F250,0),IFERROR(VLOOKUP($G:$G,Structure!$A:$AJ,O$1,0)*$H250,0))</f>
        <v>0</v>
      </c>
      <c r="P250" s="9">
        <f>SUM(IFERROR(VLOOKUP($C:$C,Structure!$A:$AJ,P$1,0)*$D250,0),IFERROR(VLOOKUP($E:$E,Structure!$A:$AJ,P$1,0)*$F250,0),IFERROR(VLOOKUP($G:$G,Structure!$A:$AJ,P$1,0)*$H250,0))</f>
        <v>0</v>
      </c>
      <c r="Q250" s="9">
        <f>SUM(IFERROR(VLOOKUP($C:$C,Structure!$A:$AJ,Q$1,0)*$D250,0),IFERROR(VLOOKUP($E:$E,Structure!$A:$AJ,Q$1,0)*$F250,0),IFERROR(VLOOKUP($G:$G,Structure!$A:$AJ,Q$1,0)*$H250,0))</f>
        <v>0</v>
      </c>
      <c r="R250" s="9">
        <f>SUM(IFERROR(VLOOKUP($C:$C,Structure!$A:$AJ,R$1,0)*$D250,0),IFERROR(VLOOKUP($E:$E,Structure!$A:$AJ,R$1,0)*$F250,0),IFERROR(VLOOKUP($G:$G,Structure!$A:$AJ,R$1,0)*$H250,0))</f>
        <v>0</v>
      </c>
      <c r="S250" s="9">
        <f>SUM(IFERROR(VLOOKUP($C:$C,Structure!$A:$AJ,S$1,0)*$D250,0),IFERROR(VLOOKUP($E:$E,Structure!$A:$AJ,S$1,0)*$F250,0),IFERROR(VLOOKUP($G:$G,Structure!$A:$AJ,S$1,0)*$H250,0))</f>
        <v>0</v>
      </c>
      <c r="T250" s="9">
        <f>SUM(IFERROR(VLOOKUP($C:$C,Structure!$A:$AJ,T$1,0)*$D250,0),IFERROR(VLOOKUP($E:$E,Structure!$A:$AJ,T$1,0)*$F250,0),IFERROR(VLOOKUP($G:$G,Structure!$A:$AJ,T$1,0)*$H250,0))</f>
        <v>0</v>
      </c>
      <c r="U250" s="9">
        <f>SUM(IFERROR(VLOOKUP($C:$C,Structure!$A:$AJ,U$1,0)*$D250,0),IFERROR(VLOOKUP($E:$E,Structure!$A:$AJ,U$1,0)*$F250,0),IFERROR(VLOOKUP($G:$G,Structure!$A:$AJ,U$1,0)*$H250,0))</f>
        <v>0</v>
      </c>
      <c r="V250" s="9">
        <f>SUM(IFERROR(VLOOKUP($C:$C,Structure!$A:$AJ,V$1,0)*$D250,0),IFERROR(VLOOKUP($E:$E,Structure!$A:$AJ,V$1,0)*$F250,0),IFERROR(VLOOKUP($G:$G,Structure!$A:$AJ,V$1,0)*$H250,0))</f>
        <v>8</v>
      </c>
      <c r="W250" s="9">
        <f>SUM(IFERROR(VLOOKUP($C:$C,Structure!$A:$AJ,W$1,0)*$D250,0),IFERROR(VLOOKUP($E:$E,Structure!$A:$AJ,W$1,0)*$F250,0),IFERROR(VLOOKUP($G:$G,Structure!$A:$AJ,W$1,0)*$H250,0))</f>
        <v>0</v>
      </c>
      <c r="X250" s="9">
        <f>SUM(IFERROR(VLOOKUP($C:$C,Structure!$A:$AJ,X$1,0)*$D250,0),IFERROR(VLOOKUP($E:$E,Structure!$A:$AJ,X$1,0)*$F250,0),IFERROR(VLOOKUP($G:$G,Structure!$A:$AJ,X$1,0)*$H250,0))</f>
        <v>0</v>
      </c>
      <c r="Y250" s="9">
        <f>SUM(IFERROR(VLOOKUP($C:$C,Structure!$A:$AJ,Y$1,0)*$D250,0),IFERROR(VLOOKUP($E:$E,Structure!$A:$AJ,Y$1,0)*$F250,0),IFERROR(VLOOKUP($G:$G,Structure!$A:$AJ,Y$1,0)*$H250,0))</f>
        <v>0</v>
      </c>
      <c r="Z250" s="9">
        <f>SUM(IFERROR(VLOOKUP($C:$C,Structure!$A:$AJ,Z$1,0)*$D250,0),IFERROR(VLOOKUP($E:$E,Structure!$A:$AJ,Z$1,0)*$F250,0),IFERROR(VLOOKUP($G:$G,Structure!$A:$AJ,Z$1,0)*$H250,0))</f>
        <v>0</v>
      </c>
      <c r="AA250" s="9">
        <f>SUM(IFERROR(VLOOKUP($C:$C,Structure!$A:$AJ,AA$1,0)*$D250,0),IFERROR(VLOOKUP($E:$E,Structure!$A:$AJ,AA$1,0)*$F250,0),IFERROR(VLOOKUP($G:$G,Structure!$A:$AJ,AA$1,0)*$H250,0))</f>
        <v>0</v>
      </c>
      <c r="AB250" s="9">
        <f>SUM(IFERROR(VLOOKUP($C:$C,Structure!$A:$AJ,AB$1,0)*$D250,0),IFERROR(VLOOKUP($E:$E,Structure!$A:$AJ,AB$1,0)*$F250,0),IFERROR(VLOOKUP($G:$G,Structure!$A:$AJ,AB$1,0)*$H250,0))</f>
        <v>0</v>
      </c>
      <c r="AC250" s="9">
        <f>SUM(IFERROR(VLOOKUP($C:$C,Structure!$A:$AJ,AC$1,0)*$D250,0),IFERROR(VLOOKUP($E:$E,Structure!$A:$AJ,AC$1,0)*$F250,0),IFERROR(VLOOKUP($G:$G,Structure!$A:$AJ,AC$1,0)*$H250,0))</f>
        <v>8</v>
      </c>
      <c r="AD250" s="9">
        <f>SUM(IFERROR(VLOOKUP($C:$C,Structure!$A:$AJ,AD$1,0)*$D250,0),IFERROR(VLOOKUP($E:$E,Structure!$A:$AJ,AD$1,0)*$F250,0),IFERROR(VLOOKUP($G:$G,Structure!$A:$AJ,AD$1,0)*$H250,0))</f>
        <v>0</v>
      </c>
      <c r="AE250" s="9">
        <f>SUM(IFERROR(VLOOKUP($C:$C,Structure!$A:$AJ,AE$1,0)*$D250,0),IFERROR(VLOOKUP($E:$E,Structure!$A:$AJ,AE$1,0)*$F250,0),IFERROR(VLOOKUP($G:$G,Structure!$A:$AJ,AE$1,0)*$H250,0))</f>
        <v>0</v>
      </c>
      <c r="AF250" s="9">
        <f>SUM(IFERROR(VLOOKUP($C:$C,Structure!$A:$AJ,AF$1,0)*$D250,0),IFERROR(VLOOKUP($E:$E,Structure!$A:$AJ,AF$1,0)*$F250,0),IFERROR(VLOOKUP($G:$G,Structure!$A:$AJ,AF$1,0)*$H250,0))</f>
        <v>0</v>
      </c>
      <c r="AG250" s="9">
        <f>SUM(IFERROR(VLOOKUP($C:$C,Structure!$A:$AJ,AG$1,0)*$D250,0),IFERROR(VLOOKUP($E:$E,Structure!$A:$AJ,AG$1,0)*$F250,0),IFERROR(VLOOKUP($G:$G,Structure!$A:$AJ,AG$1,0)*$H250,0))</f>
        <v>0</v>
      </c>
      <c r="AH250" s="9">
        <f>SUM(IFERROR(VLOOKUP($C:$C,Structure!$A:$AJ,AH$1,0)*$D250,0),IFERROR(VLOOKUP($E:$E,Structure!$A:$AJ,AH$1,0)*$F250,0),IFERROR(VLOOKUP($G:$G,Structure!$A:$AJ,AH$1,0)*$H250,0))</f>
        <v>0</v>
      </c>
      <c r="AI250" s="9">
        <f>SUM(IFERROR(VLOOKUP($C:$C,Structure!$A:$AJ,AI$1,0)*$D250,0),IFERROR(VLOOKUP($E:$E,Structure!$A:$AJ,AI$1,0)*$F250,0),IFERROR(VLOOKUP($G:$G,Structure!$A:$AJ,AI$1,0)*$H250,0))</f>
        <v>0</v>
      </c>
      <c r="AJ250" s="9">
        <f>SUM(IFERROR(VLOOKUP($C:$C,Structure!$A:$AJ,AJ$1,0)*$D250,0),IFERROR(VLOOKUP($E:$E,Structure!$A:$AJ,AJ$1,0)*$F250,0),IFERROR(VLOOKUP($G:$G,Structure!$A:$AJ,AJ$1,0)*$H250,0))</f>
        <v>0</v>
      </c>
      <c r="AK250" s="9">
        <f>SUM(IFERROR(VLOOKUP($C:$C,Structure!$A:$AJ,AK$1,0)*$D250,0),IFERROR(VLOOKUP($E:$E,Structure!$A:$AJ,AK$1,0)*$F250,0),IFERROR(VLOOKUP($G:$G,Structure!$A:$AJ,AK$1,0)*$H250,0))</f>
        <v>0</v>
      </c>
      <c r="AL250" s="9">
        <f>SUM(IFERROR(VLOOKUP($C:$C,Structure!$A:$AJ,AL$1,0)*$D250,0),IFERROR(VLOOKUP($E:$E,Structure!$A:$AJ,AL$1,0)*$F250,0),IFERROR(VLOOKUP($G:$G,Structure!$A:$AJ,AL$1,0)*$H250,0))</f>
        <v>0</v>
      </c>
      <c r="AM250" s="9">
        <f>SUM(IFERROR(VLOOKUP($C:$C,Structure!$A:$AJ,AM$1,0)*$D250,0),IFERROR(VLOOKUP($E:$E,Structure!$A:$AJ,AM$1,0)*$F250,0),IFERROR(VLOOKUP($G:$G,Structure!$A:$AJ,AM$1,0)*$H250,0))</f>
        <v>0</v>
      </c>
      <c r="AN250" s="9">
        <f>SUM(IFERROR(VLOOKUP($C:$C,Structure!$A:$AJ,AN$1,0)*$D250,0),IFERROR(VLOOKUP($E:$E,Structure!$A:$AJ,AN$1,0)*$F250,0),IFERROR(VLOOKUP($G:$G,Structure!$A:$AJ,AN$1,0)*$H250,0))</f>
        <v>0</v>
      </c>
      <c r="AO250" s="9">
        <f>SUM(IFERROR(VLOOKUP($C:$C,Structure!$A:$AJ,AO$1,0)*$D250,0),IFERROR(VLOOKUP($E:$E,Structure!$A:$AJ,AO$1,0)*$F250,0),IFERROR(VLOOKUP($G:$G,Structure!$A:$AJ,AO$1,0)*$H250,0))</f>
        <v>0</v>
      </c>
      <c r="AP250" s="9">
        <f>SUM(IFERROR(VLOOKUP($C:$C,Structure!$A:$AJ,AP$1,0)*$D250,0),IFERROR(VLOOKUP($E:$E,Structure!$A:$AJ,AP$1,0)*$F250,0),IFERROR(VLOOKUP($G:$G,Structure!$A:$AJ,AP$1,0)*$H250,0))</f>
        <v>0</v>
      </c>
      <c r="AQ250" s="9">
        <f>SUM(IFERROR(VLOOKUP($C:$C,Structure!$A:$AJ,AQ$1,0)*$D250,0),IFERROR(VLOOKUP($E:$E,Structure!$A:$AJ,AQ$1,0)*$F250,0),IFERROR(VLOOKUP($G:$G,Structure!$A:$AJ,AQ$1,0)*$H250,0))</f>
        <v>0</v>
      </c>
      <c r="AR250" s="21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4">
        <f t="shared" si="267"/>
        <v>0</v>
      </c>
      <c r="CE250" s="4">
        <f t="shared" si="268"/>
        <v>-180</v>
      </c>
      <c r="CF250" s="4">
        <f t="shared" si="269"/>
        <v>4</v>
      </c>
      <c r="CG250" s="4">
        <f t="shared" si="270"/>
        <v>11</v>
      </c>
      <c r="CH250" s="4">
        <f t="shared" si="271"/>
        <v>-7</v>
      </c>
      <c r="CI250" s="4">
        <f t="shared" si="272"/>
        <v>98</v>
      </c>
      <c r="CJ250" s="4">
        <f t="shared" si="273"/>
        <v>-391</v>
      </c>
      <c r="CK250" s="4">
        <f t="shared" si="274"/>
        <v>-1</v>
      </c>
      <c r="CL250" s="4">
        <f t="shared" si="275"/>
        <v>0</v>
      </c>
      <c r="CM250" s="4">
        <f t="shared" si="276"/>
        <v>6</v>
      </c>
      <c r="CN250" s="4">
        <f t="shared" si="277"/>
        <v>-278</v>
      </c>
      <c r="CO250" s="4">
        <f t="shared" si="278"/>
        <v>0</v>
      </c>
      <c r="CP250" s="4">
        <f t="shared" si="279"/>
        <v>27</v>
      </c>
      <c r="CQ250" s="4">
        <f t="shared" si="280"/>
        <v>-606</v>
      </c>
      <c r="CR250" s="4">
        <f t="shared" si="281"/>
        <v>12</v>
      </c>
      <c r="CS250" s="4">
        <f t="shared" si="282"/>
        <v>-53</v>
      </c>
      <c r="CT250" s="4">
        <f t="shared" si="283"/>
        <v>0</v>
      </c>
      <c r="CU250" s="4">
        <f t="shared" si="284"/>
        <v>0</v>
      </c>
      <c r="CV250" s="4">
        <f t="shared" si="285"/>
        <v>0</v>
      </c>
      <c r="CW250" s="4">
        <f t="shared" si="286"/>
        <v>0</v>
      </c>
      <c r="CX250" s="4">
        <f t="shared" si="287"/>
        <v>-639</v>
      </c>
      <c r="CY250" s="4">
        <f t="shared" si="288"/>
        <v>0</v>
      </c>
      <c r="CZ250" s="4">
        <f t="shared" si="289"/>
        <v>0</v>
      </c>
      <c r="DA250" s="4">
        <f t="shared" si="290"/>
        <v>0</v>
      </c>
      <c r="DB250" s="4">
        <f t="shared" si="291"/>
        <v>0</v>
      </c>
      <c r="DC250" s="4">
        <f t="shared" si="292"/>
        <v>0</v>
      </c>
      <c r="DD250" s="4">
        <f t="shared" si="293"/>
        <v>0</v>
      </c>
      <c r="DE250" s="4">
        <f t="shared" si="294"/>
        <v>0</v>
      </c>
      <c r="DF250" s="4">
        <f t="shared" si="295"/>
        <v>0</v>
      </c>
      <c r="DG250" s="4">
        <f t="shared" si="296"/>
        <v>0</v>
      </c>
      <c r="DH250" s="4">
        <f t="shared" si="297"/>
        <v>0</v>
      </c>
      <c r="DI250" s="4">
        <f t="shared" si="298"/>
        <v>0</v>
      </c>
      <c r="DJ250" s="4">
        <f t="shared" si="299"/>
        <v>0</v>
      </c>
      <c r="DK250" s="4">
        <f t="shared" si="300"/>
        <v>0</v>
      </c>
      <c r="DL250" s="4">
        <f t="shared" si="301"/>
        <v>0</v>
      </c>
    </row>
    <row r="251" spans="1:116" x14ac:dyDescent="0.25">
      <c r="A251" s="5">
        <v>46188</v>
      </c>
      <c r="B251" s="6">
        <v>0.47916666726814583</v>
      </c>
      <c r="C251" s="3"/>
      <c r="D251" s="3"/>
      <c r="E251" s="3" t="s">
        <v>30</v>
      </c>
      <c r="F251" s="3">
        <v>8</v>
      </c>
      <c r="G251" s="3"/>
      <c r="H251" s="9"/>
      <c r="I251" s="9">
        <f>SUM(IFERROR(VLOOKUP($C:$C,Structure!$A:$AJ,I$1,0)*$D251,0),IFERROR(VLOOKUP($E:$E,Structure!$A:$AJ,I$1,0)*$F251,0),IFERROR(VLOOKUP($G:$G,Structure!$A:$AJ,I$1,0)*$H251,0))</f>
        <v>0</v>
      </c>
      <c r="J251" s="9">
        <f>SUM(IFERROR(VLOOKUP($C:$C,Structure!$A:$AJ,J$1,0)*$D251,0),IFERROR(VLOOKUP($E:$E,Structure!$A:$AJ,J$1,0)*$F251,0),IFERROR(VLOOKUP($G:$G,Structure!$A:$AJ,J$1,0)*$H251,0))</f>
        <v>0</v>
      </c>
      <c r="K251" s="9">
        <f>SUM(IFERROR(VLOOKUP($C:$C,Structure!$A:$AJ,K$1,0)*$D251,0),IFERROR(VLOOKUP($E:$E,Structure!$A:$AJ,K$1,0)*$F251,0),IFERROR(VLOOKUP($G:$G,Structure!$A:$AJ,K$1,0)*$H251,0))</f>
        <v>0</v>
      </c>
      <c r="L251" s="9">
        <f>SUM(IFERROR(VLOOKUP($C:$C,Structure!$A:$AJ,L$1,0)*$D251,0),IFERROR(VLOOKUP($E:$E,Structure!$A:$AJ,L$1,0)*$F251,0),IFERROR(VLOOKUP($G:$G,Structure!$A:$AJ,L$1,0)*$H251,0))</f>
        <v>0</v>
      </c>
      <c r="M251" s="9">
        <f>SUM(IFERROR(VLOOKUP($C:$C,Structure!$A:$AJ,M$1,0)*$D251,0),IFERROR(VLOOKUP($E:$E,Structure!$A:$AJ,M$1,0)*$F251,0),IFERROR(VLOOKUP($G:$G,Structure!$A:$AJ,M$1,0)*$H251,0))</f>
        <v>0</v>
      </c>
      <c r="N251" s="9">
        <f>SUM(IFERROR(VLOOKUP($C:$C,Structure!$A:$AJ,N$1,0)*$D251,0),IFERROR(VLOOKUP($E:$E,Structure!$A:$AJ,N$1,0)*$F251,0),IFERROR(VLOOKUP($G:$G,Structure!$A:$AJ,N$1,0)*$H251,0))</f>
        <v>0</v>
      </c>
      <c r="O251" s="9">
        <f>SUM(IFERROR(VLOOKUP($C:$C,Structure!$A:$AJ,O$1,0)*$D251,0),IFERROR(VLOOKUP($E:$E,Structure!$A:$AJ,O$1,0)*$F251,0),IFERROR(VLOOKUP($G:$G,Structure!$A:$AJ,O$1,0)*$H251,0))</f>
        <v>0</v>
      </c>
      <c r="P251" s="9">
        <f>SUM(IFERROR(VLOOKUP($C:$C,Structure!$A:$AJ,P$1,0)*$D251,0),IFERROR(VLOOKUP($E:$E,Structure!$A:$AJ,P$1,0)*$F251,0),IFERROR(VLOOKUP($G:$G,Structure!$A:$AJ,P$1,0)*$H251,0))</f>
        <v>0</v>
      </c>
      <c r="Q251" s="9">
        <f>SUM(IFERROR(VLOOKUP($C:$C,Structure!$A:$AJ,Q$1,0)*$D251,0),IFERROR(VLOOKUP($E:$E,Structure!$A:$AJ,Q$1,0)*$F251,0),IFERROR(VLOOKUP($G:$G,Structure!$A:$AJ,Q$1,0)*$H251,0))</f>
        <v>0</v>
      </c>
      <c r="R251" s="9">
        <f>SUM(IFERROR(VLOOKUP($C:$C,Structure!$A:$AJ,R$1,0)*$D251,0),IFERROR(VLOOKUP($E:$E,Structure!$A:$AJ,R$1,0)*$F251,0),IFERROR(VLOOKUP($G:$G,Structure!$A:$AJ,R$1,0)*$H251,0))</f>
        <v>0</v>
      </c>
      <c r="S251" s="9">
        <f>SUM(IFERROR(VLOOKUP($C:$C,Structure!$A:$AJ,S$1,0)*$D251,0),IFERROR(VLOOKUP($E:$E,Structure!$A:$AJ,S$1,0)*$F251,0),IFERROR(VLOOKUP($G:$G,Structure!$A:$AJ,S$1,0)*$H251,0))</f>
        <v>0</v>
      </c>
      <c r="T251" s="9">
        <f>SUM(IFERROR(VLOOKUP($C:$C,Structure!$A:$AJ,T$1,0)*$D251,0),IFERROR(VLOOKUP($E:$E,Structure!$A:$AJ,T$1,0)*$F251,0),IFERROR(VLOOKUP($G:$G,Structure!$A:$AJ,T$1,0)*$H251,0))</f>
        <v>0</v>
      </c>
      <c r="U251" s="9">
        <f>SUM(IFERROR(VLOOKUP($C:$C,Structure!$A:$AJ,U$1,0)*$D251,0),IFERROR(VLOOKUP($E:$E,Structure!$A:$AJ,U$1,0)*$F251,0),IFERROR(VLOOKUP($G:$G,Structure!$A:$AJ,U$1,0)*$H251,0))</f>
        <v>0</v>
      </c>
      <c r="V251" s="9">
        <f>SUM(IFERROR(VLOOKUP($C:$C,Structure!$A:$AJ,V$1,0)*$D251,0),IFERROR(VLOOKUP($E:$E,Structure!$A:$AJ,V$1,0)*$F251,0),IFERROR(VLOOKUP($G:$G,Structure!$A:$AJ,V$1,0)*$H251,0))</f>
        <v>8</v>
      </c>
      <c r="W251" s="9">
        <f>SUM(IFERROR(VLOOKUP($C:$C,Structure!$A:$AJ,W$1,0)*$D251,0),IFERROR(VLOOKUP($E:$E,Structure!$A:$AJ,W$1,0)*$F251,0),IFERROR(VLOOKUP($G:$G,Structure!$A:$AJ,W$1,0)*$H251,0))</f>
        <v>0</v>
      </c>
      <c r="X251" s="9">
        <f>SUM(IFERROR(VLOOKUP($C:$C,Structure!$A:$AJ,X$1,0)*$D251,0),IFERROR(VLOOKUP($E:$E,Structure!$A:$AJ,X$1,0)*$F251,0),IFERROR(VLOOKUP($G:$G,Structure!$A:$AJ,X$1,0)*$H251,0))</f>
        <v>0</v>
      </c>
      <c r="Y251" s="9">
        <f>SUM(IFERROR(VLOOKUP($C:$C,Structure!$A:$AJ,Y$1,0)*$D251,0),IFERROR(VLOOKUP($E:$E,Structure!$A:$AJ,Y$1,0)*$F251,0),IFERROR(VLOOKUP($G:$G,Structure!$A:$AJ,Y$1,0)*$H251,0))</f>
        <v>0</v>
      </c>
      <c r="Z251" s="9">
        <f>SUM(IFERROR(VLOOKUP($C:$C,Structure!$A:$AJ,Z$1,0)*$D251,0),IFERROR(VLOOKUP($E:$E,Structure!$A:$AJ,Z$1,0)*$F251,0),IFERROR(VLOOKUP($G:$G,Structure!$A:$AJ,Z$1,0)*$H251,0))</f>
        <v>0</v>
      </c>
      <c r="AA251" s="9">
        <f>SUM(IFERROR(VLOOKUP($C:$C,Structure!$A:$AJ,AA$1,0)*$D251,0),IFERROR(VLOOKUP($E:$E,Structure!$A:$AJ,AA$1,0)*$F251,0),IFERROR(VLOOKUP($G:$G,Structure!$A:$AJ,AA$1,0)*$H251,0))</f>
        <v>0</v>
      </c>
      <c r="AB251" s="9">
        <f>SUM(IFERROR(VLOOKUP($C:$C,Structure!$A:$AJ,AB$1,0)*$D251,0),IFERROR(VLOOKUP($E:$E,Structure!$A:$AJ,AB$1,0)*$F251,0),IFERROR(VLOOKUP($G:$G,Structure!$A:$AJ,AB$1,0)*$H251,0))</f>
        <v>0</v>
      </c>
      <c r="AC251" s="9">
        <f>SUM(IFERROR(VLOOKUP($C:$C,Structure!$A:$AJ,AC$1,0)*$D251,0),IFERROR(VLOOKUP($E:$E,Structure!$A:$AJ,AC$1,0)*$F251,0),IFERROR(VLOOKUP($G:$G,Structure!$A:$AJ,AC$1,0)*$H251,0))</f>
        <v>8</v>
      </c>
      <c r="AD251" s="9">
        <f>SUM(IFERROR(VLOOKUP($C:$C,Structure!$A:$AJ,AD$1,0)*$D251,0),IFERROR(VLOOKUP($E:$E,Structure!$A:$AJ,AD$1,0)*$F251,0),IFERROR(VLOOKUP($G:$G,Structure!$A:$AJ,AD$1,0)*$H251,0))</f>
        <v>0</v>
      </c>
      <c r="AE251" s="9">
        <f>SUM(IFERROR(VLOOKUP($C:$C,Structure!$A:$AJ,AE$1,0)*$D251,0),IFERROR(VLOOKUP($E:$E,Structure!$A:$AJ,AE$1,0)*$F251,0),IFERROR(VLOOKUP($G:$G,Structure!$A:$AJ,AE$1,0)*$H251,0))</f>
        <v>0</v>
      </c>
      <c r="AF251" s="9">
        <f>SUM(IFERROR(VLOOKUP($C:$C,Structure!$A:$AJ,AF$1,0)*$D251,0),IFERROR(VLOOKUP($E:$E,Structure!$A:$AJ,AF$1,0)*$F251,0),IFERROR(VLOOKUP($G:$G,Structure!$A:$AJ,AF$1,0)*$H251,0))</f>
        <v>0</v>
      </c>
      <c r="AG251" s="9">
        <f>SUM(IFERROR(VLOOKUP($C:$C,Structure!$A:$AJ,AG$1,0)*$D251,0),IFERROR(VLOOKUP($E:$E,Structure!$A:$AJ,AG$1,0)*$F251,0),IFERROR(VLOOKUP($G:$G,Structure!$A:$AJ,AG$1,0)*$H251,0))</f>
        <v>0</v>
      </c>
      <c r="AH251" s="9">
        <f>SUM(IFERROR(VLOOKUP($C:$C,Structure!$A:$AJ,AH$1,0)*$D251,0),IFERROR(VLOOKUP($E:$E,Structure!$A:$AJ,AH$1,0)*$F251,0),IFERROR(VLOOKUP($G:$G,Structure!$A:$AJ,AH$1,0)*$H251,0))</f>
        <v>0</v>
      </c>
      <c r="AI251" s="9">
        <f>SUM(IFERROR(VLOOKUP($C:$C,Structure!$A:$AJ,AI$1,0)*$D251,0),IFERROR(VLOOKUP($E:$E,Structure!$A:$AJ,AI$1,0)*$F251,0),IFERROR(VLOOKUP($G:$G,Structure!$A:$AJ,AI$1,0)*$H251,0))</f>
        <v>0</v>
      </c>
      <c r="AJ251" s="9">
        <f>SUM(IFERROR(VLOOKUP($C:$C,Structure!$A:$AJ,AJ$1,0)*$D251,0),IFERROR(VLOOKUP($E:$E,Structure!$A:$AJ,AJ$1,0)*$F251,0),IFERROR(VLOOKUP($G:$G,Structure!$A:$AJ,AJ$1,0)*$H251,0))</f>
        <v>0</v>
      </c>
      <c r="AK251" s="9">
        <f>SUM(IFERROR(VLOOKUP($C:$C,Structure!$A:$AJ,AK$1,0)*$D251,0),IFERROR(VLOOKUP($E:$E,Structure!$A:$AJ,AK$1,0)*$F251,0),IFERROR(VLOOKUP($G:$G,Structure!$A:$AJ,AK$1,0)*$H251,0))</f>
        <v>0</v>
      </c>
      <c r="AL251" s="9">
        <f>SUM(IFERROR(VLOOKUP($C:$C,Structure!$A:$AJ,AL$1,0)*$D251,0),IFERROR(VLOOKUP($E:$E,Structure!$A:$AJ,AL$1,0)*$F251,0),IFERROR(VLOOKUP($G:$G,Structure!$A:$AJ,AL$1,0)*$H251,0))</f>
        <v>0</v>
      </c>
      <c r="AM251" s="9">
        <f>SUM(IFERROR(VLOOKUP($C:$C,Structure!$A:$AJ,AM$1,0)*$D251,0),IFERROR(VLOOKUP($E:$E,Structure!$A:$AJ,AM$1,0)*$F251,0),IFERROR(VLOOKUP($G:$G,Structure!$A:$AJ,AM$1,0)*$H251,0))</f>
        <v>0</v>
      </c>
      <c r="AN251" s="9">
        <f>SUM(IFERROR(VLOOKUP($C:$C,Structure!$A:$AJ,AN$1,0)*$D251,0),IFERROR(VLOOKUP($E:$E,Structure!$A:$AJ,AN$1,0)*$F251,0),IFERROR(VLOOKUP($G:$G,Structure!$A:$AJ,AN$1,0)*$H251,0))</f>
        <v>0</v>
      </c>
      <c r="AO251" s="9">
        <f>SUM(IFERROR(VLOOKUP($C:$C,Structure!$A:$AJ,AO$1,0)*$D251,0),IFERROR(VLOOKUP($E:$E,Structure!$A:$AJ,AO$1,0)*$F251,0),IFERROR(VLOOKUP($G:$G,Structure!$A:$AJ,AO$1,0)*$H251,0))</f>
        <v>0</v>
      </c>
      <c r="AP251" s="9">
        <f>SUM(IFERROR(VLOOKUP($C:$C,Structure!$A:$AJ,AP$1,0)*$D251,0),IFERROR(VLOOKUP($E:$E,Structure!$A:$AJ,AP$1,0)*$F251,0),IFERROR(VLOOKUP($G:$G,Structure!$A:$AJ,AP$1,0)*$H251,0))</f>
        <v>0</v>
      </c>
      <c r="AQ251" s="9">
        <f>SUM(IFERROR(VLOOKUP($C:$C,Structure!$A:$AJ,AQ$1,0)*$D251,0),IFERROR(VLOOKUP($E:$E,Structure!$A:$AJ,AQ$1,0)*$F251,0),IFERROR(VLOOKUP($G:$G,Structure!$A:$AJ,AQ$1,0)*$H251,0))</f>
        <v>0</v>
      </c>
      <c r="AR251" s="21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4">
        <f t="shared" si="267"/>
        <v>0</v>
      </c>
      <c r="CE251" s="4">
        <f t="shared" si="268"/>
        <v>-180</v>
      </c>
      <c r="CF251" s="4">
        <f t="shared" si="269"/>
        <v>4</v>
      </c>
      <c r="CG251" s="4">
        <f t="shared" si="270"/>
        <v>11</v>
      </c>
      <c r="CH251" s="4">
        <f t="shared" si="271"/>
        <v>-7</v>
      </c>
      <c r="CI251" s="4">
        <f t="shared" si="272"/>
        <v>98</v>
      </c>
      <c r="CJ251" s="4">
        <f t="shared" si="273"/>
        <v>-391</v>
      </c>
      <c r="CK251" s="4">
        <f t="shared" si="274"/>
        <v>-1</v>
      </c>
      <c r="CL251" s="4">
        <f t="shared" si="275"/>
        <v>0</v>
      </c>
      <c r="CM251" s="4">
        <f t="shared" si="276"/>
        <v>6</v>
      </c>
      <c r="CN251" s="4">
        <f t="shared" si="277"/>
        <v>-278</v>
      </c>
      <c r="CO251" s="4">
        <f t="shared" si="278"/>
        <v>0</v>
      </c>
      <c r="CP251" s="4">
        <f t="shared" si="279"/>
        <v>27</v>
      </c>
      <c r="CQ251" s="4">
        <f t="shared" si="280"/>
        <v>-614</v>
      </c>
      <c r="CR251" s="4">
        <f t="shared" si="281"/>
        <v>12</v>
      </c>
      <c r="CS251" s="4">
        <f t="shared" si="282"/>
        <v>-53</v>
      </c>
      <c r="CT251" s="4">
        <f t="shared" si="283"/>
        <v>0</v>
      </c>
      <c r="CU251" s="4">
        <f t="shared" si="284"/>
        <v>0</v>
      </c>
      <c r="CV251" s="4">
        <f t="shared" si="285"/>
        <v>0</v>
      </c>
      <c r="CW251" s="4">
        <f t="shared" si="286"/>
        <v>0</v>
      </c>
      <c r="CX251" s="4">
        <f t="shared" si="287"/>
        <v>-647</v>
      </c>
      <c r="CY251" s="4">
        <f t="shared" si="288"/>
        <v>0</v>
      </c>
      <c r="CZ251" s="4">
        <f t="shared" si="289"/>
        <v>0</v>
      </c>
      <c r="DA251" s="4">
        <f t="shared" si="290"/>
        <v>0</v>
      </c>
      <c r="DB251" s="4">
        <f t="shared" si="291"/>
        <v>0</v>
      </c>
      <c r="DC251" s="4">
        <f t="shared" si="292"/>
        <v>0</v>
      </c>
      <c r="DD251" s="4">
        <f t="shared" si="293"/>
        <v>0</v>
      </c>
      <c r="DE251" s="4">
        <f t="shared" si="294"/>
        <v>0</v>
      </c>
      <c r="DF251" s="4">
        <f t="shared" si="295"/>
        <v>0</v>
      </c>
      <c r="DG251" s="4">
        <f t="shared" si="296"/>
        <v>0</v>
      </c>
      <c r="DH251" s="4">
        <f t="shared" si="297"/>
        <v>0</v>
      </c>
      <c r="DI251" s="4">
        <f t="shared" si="298"/>
        <v>0</v>
      </c>
      <c r="DJ251" s="4">
        <f t="shared" si="299"/>
        <v>0</v>
      </c>
      <c r="DK251" s="4">
        <f t="shared" si="300"/>
        <v>0</v>
      </c>
      <c r="DL251" s="4">
        <f t="shared" si="301"/>
        <v>0</v>
      </c>
    </row>
    <row r="252" spans="1:116" x14ac:dyDescent="0.25">
      <c r="A252" s="5">
        <v>46188</v>
      </c>
      <c r="B252" s="6">
        <v>0.50000000060390448</v>
      </c>
      <c r="C252" s="3"/>
      <c r="D252" s="3"/>
      <c r="E252" s="3" t="s">
        <v>38</v>
      </c>
      <c r="F252" s="3">
        <v>8</v>
      </c>
      <c r="G252" s="3"/>
      <c r="H252" s="9"/>
      <c r="I252" s="9">
        <f>SUM(IFERROR(VLOOKUP($C:$C,Structure!$A:$AJ,I$1,0)*$D252,0),IFERROR(VLOOKUP($E:$E,Structure!$A:$AJ,I$1,0)*$F252,0),IFERROR(VLOOKUP($G:$G,Structure!$A:$AJ,I$1,0)*$H252,0))</f>
        <v>0</v>
      </c>
      <c r="J252" s="9">
        <f>SUM(IFERROR(VLOOKUP($C:$C,Structure!$A:$AJ,J$1,0)*$D252,0),IFERROR(VLOOKUP($E:$E,Structure!$A:$AJ,J$1,0)*$F252,0),IFERROR(VLOOKUP($G:$G,Structure!$A:$AJ,J$1,0)*$H252,0))</f>
        <v>8</v>
      </c>
      <c r="K252" s="9">
        <f>SUM(IFERROR(VLOOKUP($C:$C,Structure!$A:$AJ,K$1,0)*$D252,0),IFERROR(VLOOKUP($E:$E,Structure!$A:$AJ,K$1,0)*$F252,0),IFERROR(VLOOKUP($G:$G,Structure!$A:$AJ,K$1,0)*$H252,0))</f>
        <v>0</v>
      </c>
      <c r="L252" s="9">
        <f>SUM(IFERROR(VLOOKUP($C:$C,Structure!$A:$AJ,L$1,0)*$D252,0),IFERROR(VLOOKUP($E:$E,Structure!$A:$AJ,L$1,0)*$F252,0),IFERROR(VLOOKUP($G:$G,Structure!$A:$AJ,L$1,0)*$H252,0))</f>
        <v>0</v>
      </c>
      <c r="M252" s="9">
        <f>SUM(IFERROR(VLOOKUP($C:$C,Structure!$A:$AJ,M$1,0)*$D252,0),IFERROR(VLOOKUP($E:$E,Structure!$A:$AJ,M$1,0)*$F252,0),IFERROR(VLOOKUP($G:$G,Structure!$A:$AJ,M$1,0)*$H252,0))</f>
        <v>0</v>
      </c>
      <c r="N252" s="9">
        <f>SUM(IFERROR(VLOOKUP($C:$C,Structure!$A:$AJ,N$1,0)*$D252,0),IFERROR(VLOOKUP($E:$E,Structure!$A:$AJ,N$1,0)*$F252,0),IFERROR(VLOOKUP($G:$G,Structure!$A:$AJ,N$1,0)*$H252,0))</f>
        <v>0</v>
      </c>
      <c r="O252" s="9">
        <f>SUM(IFERROR(VLOOKUP($C:$C,Structure!$A:$AJ,O$1,0)*$D252,0),IFERROR(VLOOKUP($E:$E,Structure!$A:$AJ,O$1,0)*$F252,0),IFERROR(VLOOKUP($G:$G,Structure!$A:$AJ,O$1,0)*$H252,0))</f>
        <v>0</v>
      </c>
      <c r="P252" s="9">
        <f>SUM(IFERROR(VLOOKUP($C:$C,Structure!$A:$AJ,P$1,0)*$D252,0),IFERROR(VLOOKUP($E:$E,Structure!$A:$AJ,P$1,0)*$F252,0),IFERROR(VLOOKUP($G:$G,Structure!$A:$AJ,P$1,0)*$H252,0))</f>
        <v>8</v>
      </c>
      <c r="Q252" s="9">
        <f>SUM(IFERROR(VLOOKUP($C:$C,Structure!$A:$AJ,Q$1,0)*$D252,0),IFERROR(VLOOKUP($E:$E,Structure!$A:$AJ,Q$1,0)*$F252,0),IFERROR(VLOOKUP($G:$G,Structure!$A:$AJ,Q$1,0)*$H252,0))</f>
        <v>0</v>
      </c>
      <c r="R252" s="9">
        <f>SUM(IFERROR(VLOOKUP($C:$C,Structure!$A:$AJ,R$1,0)*$D252,0),IFERROR(VLOOKUP($E:$E,Structure!$A:$AJ,R$1,0)*$F252,0),IFERROR(VLOOKUP($G:$G,Structure!$A:$AJ,R$1,0)*$H252,0))</f>
        <v>0</v>
      </c>
      <c r="S252" s="9">
        <f>SUM(IFERROR(VLOOKUP($C:$C,Structure!$A:$AJ,S$1,0)*$D252,0),IFERROR(VLOOKUP($E:$E,Structure!$A:$AJ,S$1,0)*$F252,0),IFERROR(VLOOKUP($G:$G,Structure!$A:$AJ,S$1,0)*$H252,0))</f>
        <v>0</v>
      </c>
      <c r="T252" s="9">
        <f>SUM(IFERROR(VLOOKUP($C:$C,Structure!$A:$AJ,T$1,0)*$D252,0),IFERROR(VLOOKUP($E:$E,Structure!$A:$AJ,T$1,0)*$F252,0),IFERROR(VLOOKUP($G:$G,Structure!$A:$AJ,T$1,0)*$H252,0))</f>
        <v>0</v>
      </c>
      <c r="U252" s="9">
        <f>SUM(IFERROR(VLOOKUP($C:$C,Structure!$A:$AJ,U$1,0)*$D252,0),IFERROR(VLOOKUP($E:$E,Structure!$A:$AJ,U$1,0)*$F252,0),IFERROR(VLOOKUP($G:$G,Structure!$A:$AJ,U$1,0)*$H252,0))</f>
        <v>0</v>
      </c>
      <c r="V252" s="9">
        <f>SUM(IFERROR(VLOOKUP($C:$C,Structure!$A:$AJ,V$1,0)*$D252,0),IFERROR(VLOOKUP($E:$E,Structure!$A:$AJ,V$1,0)*$F252,0),IFERROR(VLOOKUP($G:$G,Structure!$A:$AJ,V$1,0)*$H252,0))</f>
        <v>0</v>
      </c>
      <c r="W252" s="9">
        <f>SUM(IFERROR(VLOOKUP($C:$C,Structure!$A:$AJ,W$1,0)*$D252,0),IFERROR(VLOOKUP($E:$E,Structure!$A:$AJ,W$1,0)*$F252,0),IFERROR(VLOOKUP($G:$G,Structure!$A:$AJ,W$1,0)*$H252,0))</f>
        <v>0</v>
      </c>
      <c r="X252" s="9">
        <f>SUM(IFERROR(VLOOKUP($C:$C,Structure!$A:$AJ,X$1,0)*$D252,0),IFERROR(VLOOKUP($E:$E,Structure!$A:$AJ,X$1,0)*$F252,0),IFERROR(VLOOKUP($G:$G,Structure!$A:$AJ,X$1,0)*$H252,0))</f>
        <v>0</v>
      </c>
      <c r="Y252" s="9">
        <f>SUM(IFERROR(VLOOKUP($C:$C,Structure!$A:$AJ,Y$1,0)*$D252,0),IFERROR(VLOOKUP($E:$E,Structure!$A:$AJ,Y$1,0)*$F252,0),IFERROR(VLOOKUP($G:$G,Structure!$A:$AJ,Y$1,0)*$H252,0))</f>
        <v>0</v>
      </c>
      <c r="Z252" s="9">
        <f>SUM(IFERROR(VLOOKUP($C:$C,Structure!$A:$AJ,Z$1,0)*$D252,0),IFERROR(VLOOKUP($E:$E,Structure!$A:$AJ,Z$1,0)*$F252,0),IFERROR(VLOOKUP($G:$G,Structure!$A:$AJ,Z$1,0)*$H252,0))</f>
        <v>0</v>
      </c>
      <c r="AA252" s="9">
        <f>SUM(IFERROR(VLOOKUP($C:$C,Structure!$A:$AJ,AA$1,0)*$D252,0),IFERROR(VLOOKUP($E:$E,Structure!$A:$AJ,AA$1,0)*$F252,0),IFERROR(VLOOKUP($G:$G,Structure!$A:$AJ,AA$1,0)*$H252,0))</f>
        <v>0</v>
      </c>
      <c r="AB252" s="9">
        <f>SUM(IFERROR(VLOOKUP($C:$C,Structure!$A:$AJ,AB$1,0)*$D252,0),IFERROR(VLOOKUP($E:$E,Structure!$A:$AJ,AB$1,0)*$F252,0),IFERROR(VLOOKUP($G:$G,Structure!$A:$AJ,AB$1,0)*$H252,0))</f>
        <v>0</v>
      </c>
      <c r="AC252" s="9">
        <f>SUM(IFERROR(VLOOKUP($C:$C,Structure!$A:$AJ,AC$1,0)*$D252,0),IFERROR(VLOOKUP($E:$E,Structure!$A:$AJ,AC$1,0)*$F252,0),IFERROR(VLOOKUP($G:$G,Structure!$A:$AJ,AC$1,0)*$H252,0))</f>
        <v>0</v>
      </c>
      <c r="AD252" s="9">
        <f>SUM(IFERROR(VLOOKUP($C:$C,Structure!$A:$AJ,AD$1,0)*$D252,0),IFERROR(VLOOKUP($E:$E,Structure!$A:$AJ,AD$1,0)*$F252,0),IFERROR(VLOOKUP($G:$G,Structure!$A:$AJ,AD$1,0)*$H252,0))</f>
        <v>0</v>
      </c>
      <c r="AE252" s="9">
        <f>SUM(IFERROR(VLOOKUP($C:$C,Structure!$A:$AJ,AE$1,0)*$D252,0),IFERROR(VLOOKUP($E:$E,Structure!$A:$AJ,AE$1,0)*$F252,0),IFERROR(VLOOKUP($G:$G,Structure!$A:$AJ,AE$1,0)*$H252,0))</f>
        <v>0</v>
      </c>
      <c r="AF252" s="9">
        <f>SUM(IFERROR(VLOOKUP($C:$C,Structure!$A:$AJ,AF$1,0)*$D252,0),IFERROR(VLOOKUP($E:$E,Structure!$A:$AJ,AF$1,0)*$F252,0),IFERROR(VLOOKUP($G:$G,Structure!$A:$AJ,AF$1,0)*$H252,0))</f>
        <v>0</v>
      </c>
      <c r="AG252" s="9">
        <f>SUM(IFERROR(VLOOKUP($C:$C,Structure!$A:$AJ,AG$1,0)*$D252,0),IFERROR(VLOOKUP($E:$E,Structure!$A:$AJ,AG$1,0)*$F252,0),IFERROR(VLOOKUP($G:$G,Structure!$A:$AJ,AG$1,0)*$H252,0))</f>
        <v>0</v>
      </c>
      <c r="AH252" s="9">
        <f>SUM(IFERROR(VLOOKUP($C:$C,Structure!$A:$AJ,AH$1,0)*$D252,0),IFERROR(VLOOKUP($E:$E,Structure!$A:$AJ,AH$1,0)*$F252,0),IFERROR(VLOOKUP($G:$G,Structure!$A:$AJ,AH$1,0)*$H252,0))</f>
        <v>0</v>
      </c>
      <c r="AI252" s="9">
        <f>SUM(IFERROR(VLOOKUP($C:$C,Structure!$A:$AJ,AI$1,0)*$D252,0),IFERROR(VLOOKUP($E:$E,Structure!$A:$AJ,AI$1,0)*$F252,0),IFERROR(VLOOKUP($G:$G,Structure!$A:$AJ,AI$1,0)*$H252,0))</f>
        <v>0</v>
      </c>
      <c r="AJ252" s="9">
        <f>SUM(IFERROR(VLOOKUP($C:$C,Structure!$A:$AJ,AJ$1,0)*$D252,0),IFERROR(VLOOKUP($E:$E,Structure!$A:$AJ,AJ$1,0)*$F252,0),IFERROR(VLOOKUP($G:$G,Structure!$A:$AJ,AJ$1,0)*$H252,0))</f>
        <v>0</v>
      </c>
      <c r="AK252" s="9">
        <f>SUM(IFERROR(VLOOKUP($C:$C,Structure!$A:$AJ,AK$1,0)*$D252,0),IFERROR(VLOOKUP($E:$E,Structure!$A:$AJ,AK$1,0)*$F252,0),IFERROR(VLOOKUP($G:$G,Structure!$A:$AJ,AK$1,0)*$H252,0))</f>
        <v>0</v>
      </c>
      <c r="AL252" s="9">
        <f>SUM(IFERROR(VLOOKUP($C:$C,Structure!$A:$AJ,AL$1,0)*$D252,0),IFERROR(VLOOKUP($E:$E,Structure!$A:$AJ,AL$1,0)*$F252,0),IFERROR(VLOOKUP($G:$G,Structure!$A:$AJ,AL$1,0)*$H252,0))</f>
        <v>0</v>
      </c>
      <c r="AM252" s="9">
        <f>SUM(IFERROR(VLOOKUP($C:$C,Structure!$A:$AJ,AM$1,0)*$D252,0),IFERROR(VLOOKUP($E:$E,Structure!$A:$AJ,AM$1,0)*$F252,0),IFERROR(VLOOKUP($G:$G,Structure!$A:$AJ,AM$1,0)*$H252,0))</f>
        <v>0</v>
      </c>
      <c r="AN252" s="9">
        <f>SUM(IFERROR(VLOOKUP($C:$C,Structure!$A:$AJ,AN$1,0)*$D252,0),IFERROR(VLOOKUP($E:$E,Structure!$A:$AJ,AN$1,0)*$F252,0),IFERROR(VLOOKUP($G:$G,Structure!$A:$AJ,AN$1,0)*$H252,0))</f>
        <v>0</v>
      </c>
      <c r="AO252" s="9">
        <f>SUM(IFERROR(VLOOKUP($C:$C,Structure!$A:$AJ,AO$1,0)*$D252,0),IFERROR(VLOOKUP($E:$E,Structure!$A:$AJ,AO$1,0)*$F252,0),IFERROR(VLOOKUP($G:$G,Structure!$A:$AJ,AO$1,0)*$H252,0))</f>
        <v>0</v>
      </c>
      <c r="AP252" s="9">
        <f>SUM(IFERROR(VLOOKUP($C:$C,Structure!$A:$AJ,AP$1,0)*$D252,0),IFERROR(VLOOKUP($E:$E,Structure!$A:$AJ,AP$1,0)*$F252,0),IFERROR(VLOOKUP($G:$G,Structure!$A:$AJ,AP$1,0)*$H252,0))</f>
        <v>0</v>
      </c>
      <c r="AQ252" s="9">
        <f>SUM(IFERROR(VLOOKUP($C:$C,Structure!$A:$AJ,AQ$1,0)*$D252,0),IFERROR(VLOOKUP($E:$E,Structure!$A:$AJ,AQ$1,0)*$F252,0),IFERROR(VLOOKUP($G:$G,Structure!$A:$AJ,AQ$1,0)*$H252,0))</f>
        <v>0</v>
      </c>
      <c r="AR252" s="21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4">
        <f t="shared" si="267"/>
        <v>0</v>
      </c>
      <c r="CE252" s="4">
        <f t="shared" si="268"/>
        <v>-188</v>
      </c>
      <c r="CF252" s="4">
        <f t="shared" si="269"/>
        <v>4</v>
      </c>
      <c r="CG252" s="4">
        <f t="shared" si="270"/>
        <v>11</v>
      </c>
      <c r="CH252" s="4">
        <f t="shared" si="271"/>
        <v>-7</v>
      </c>
      <c r="CI252" s="4">
        <f t="shared" si="272"/>
        <v>98</v>
      </c>
      <c r="CJ252" s="4">
        <f t="shared" si="273"/>
        <v>-391</v>
      </c>
      <c r="CK252" s="4">
        <f t="shared" si="274"/>
        <v>-9</v>
      </c>
      <c r="CL252" s="4">
        <f t="shared" si="275"/>
        <v>0</v>
      </c>
      <c r="CM252" s="4">
        <f t="shared" si="276"/>
        <v>6</v>
      </c>
      <c r="CN252" s="4">
        <f t="shared" si="277"/>
        <v>-278</v>
      </c>
      <c r="CO252" s="4">
        <f t="shared" si="278"/>
        <v>0</v>
      </c>
      <c r="CP252" s="4">
        <f t="shared" si="279"/>
        <v>27</v>
      </c>
      <c r="CQ252" s="4">
        <f t="shared" si="280"/>
        <v>-614</v>
      </c>
      <c r="CR252" s="4">
        <f t="shared" si="281"/>
        <v>12</v>
      </c>
      <c r="CS252" s="4">
        <f t="shared" si="282"/>
        <v>-53</v>
      </c>
      <c r="CT252" s="4">
        <f t="shared" si="283"/>
        <v>0</v>
      </c>
      <c r="CU252" s="4">
        <f t="shared" si="284"/>
        <v>0</v>
      </c>
      <c r="CV252" s="4">
        <f t="shared" si="285"/>
        <v>0</v>
      </c>
      <c r="CW252" s="4">
        <f t="shared" si="286"/>
        <v>0</v>
      </c>
      <c r="CX252" s="4">
        <f t="shared" si="287"/>
        <v>-647</v>
      </c>
      <c r="CY252" s="4">
        <f t="shared" si="288"/>
        <v>0</v>
      </c>
      <c r="CZ252" s="4">
        <f t="shared" si="289"/>
        <v>0</v>
      </c>
      <c r="DA252" s="4">
        <f t="shared" si="290"/>
        <v>0</v>
      </c>
      <c r="DB252" s="4">
        <f t="shared" si="291"/>
        <v>0</v>
      </c>
      <c r="DC252" s="4">
        <f t="shared" si="292"/>
        <v>0</v>
      </c>
      <c r="DD252" s="4">
        <f t="shared" si="293"/>
        <v>0</v>
      </c>
      <c r="DE252" s="4">
        <f t="shared" si="294"/>
        <v>0</v>
      </c>
      <c r="DF252" s="4">
        <f t="shared" si="295"/>
        <v>0</v>
      </c>
      <c r="DG252" s="4">
        <f t="shared" si="296"/>
        <v>0</v>
      </c>
      <c r="DH252" s="4">
        <f t="shared" si="297"/>
        <v>0</v>
      </c>
      <c r="DI252" s="4">
        <f t="shared" si="298"/>
        <v>0</v>
      </c>
      <c r="DJ252" s="4">
        <f t="shared" si="299"/>
        <v>0</v>
      </c>
      <c r="DK252" s="4">
        <f t="shared" si="300"/>
        <v>0</v>
      </c>
      <c r="DL252" s="4">
        <f t="shared" si="301"/>
        <v>0</v>
      </c>
    </row>
    <row r="253" spans="1:116" x14ac:dyDescent="0.25">
      <c r="A253" s="5">
        <v>46188</v>
      </c>
      <c r="B253" s="6">
        <v>0.52083333393966313</v>
      </c>
      <c r="C253" s="3"/>
      <c r="D253" s="3"/>
      <c r="E253" s="3" t="s">
        <v>38</v>
      </c>
      <c r="F253" s="3">
        <v>8</v>
      </c>
      <c r="G253" s="3"/>
      <c r="H253" s="9"/>
      <c r="I253" s="9">
        <f>SUM(IFERROR(VLOOKUP($C:$C,Structure!$A:$AJ,I$1,0)*$D253,0),IFERROR(VLOOKUP($E:$E,Structure!$A:$AJ,I$1,0)*$F253,0),IFERROR(VLOOKUP($G:$G,Structure!$A:$AJ,I$1,0)*$H253,0))</f>
        <v>0</v>
      </c>
      <c r="J253" s="9">
        <f>SUM(IFERROR(VLOOKUP($C:$C,Structure!$A:$AJ,J$1,0)*$D253,0),IFERROR(VLOOKUP($E:$E,Structure!$A:$AJ,J$1,0)*$F253,0),IFERROR(VLOOKUP($G:$G,Structure!$A:$AJ,J$1,0)*$H253,0))</f>
        <v>8</v>
      </c>
      <c r="K253" s="9">
        <f>SUM(IFERROR(VLOOKUP($C:$C,Structure!$A:$AJ,K$1,0)*$D253,0),IFERROR(VLOOKUP($E:$E,Structure!$A:$AJ,K$1,0)*$F253,0),IFERROR(VLOOKUP($G:$G,Structure!$A:$AJ,K$1,0)*$H253,0))</f>
        <v>0</v>
      </c>
      <c r="L253" s="9">
        <f>SUM(IFERROR(VLOOKUP($C:$C,Structure!$A:$AJ,L$1,0)*$D253,0),IFERROR(VLOOKUP($E:$E,Structure!$A:$AJ,L$1,0)*$F253,0),IFERROR(VLOOKUP($G:$G,Structure!$A:$AJ,L$1,0)*$H253,0))</f>
        <v>0</v>
      </c>
      <c r="M253" s="9">
        <f>SUM(IFERROR(VLOOKUP($C:$C,Structure!$A:$AJ,M$1,0)*$D253,0),IFERROR(VLOOKUP($E:$E,Structure!$A:$AJ,M$1,0)*$F253,0),IFERROR(VLOOKUP($G:$G,Structure!$A:$AJ,M$1,0)*$H253,0))</f>
        <v>0</v>
      </c>
      <c r="N253" s="9">
        <f>SUM(IFERROR(VLOOKUP($C:$C,Structure!$A:$AJ,N$1,0)*$D253,0),IFERROR(VLOOKUP($E:$E,Structure!$A:$AJ,N$1,0)*$F253,0),IFERROR(VLOOKUP($G:$G,Structure!$A:$AJ,N$1,0)*$H253,0))</f>
        <v>0</v>
      </c>
      <c r="O253" s="9">
        <f>SUM(IFERROR(VLOOKUP($C:$C,Structure!$A:$AJ,O$1,0)*$D253,0),IFERROR(VLOOKUP($E:$E,Structure!$A:$AJ,O$1,0)*$F253,0),IFERROR(VLOOKUP($G:$G,Structure!$A:$AJ,O$1,0)*$H253,0))</f>
        <v>0</v>
      </c>
      <c r="P253" s="9">
        <f>SUM(IFERROR(VLOOKUP($C:$C,Structure!$A:$AJ,P$1,0)*$D253,0),IFERROR(VLOOKUP($E:$E,Structure!$A:$AJ,P$1,0)*$F253,0),IFERROR(VLOOKUP($G:$G,Structure!$A:$AJ,P$1,0)*$H253,0))</f>
        <v>8</v>
      </c>
      <c r="Q253" s="9">
        <f>SUM(IFERROR(VLOOKUP($C:$C,Structure!$A:$AJ,Q$1,0)*$D253,0),IFERROR(VLOOKUP($E:$E,Structure!$A:$AJ,Q$1,0)*$F253,0),IFERROR(VLOOKUP($G:$G,Structure!$A:$AJ,Q$1,0)*$H253,0))</f>
        <v>0</v>
      </c>
      <c r="R253" s="9">
        <f>SUM(IFERROR(VLOOKUP($C:$C,Structure!$A:$AJ,R$1,0)*$D253,0),IFERROR(VLOOKUP($E:$E,Structure!$A:$AJ,R$1,0)*$F253,0),IFERROR(VLOOKUP($G:$G,Structure!$A:$AJ,R$1,0)*$H253,0))</f>
        <v>0</v>
      </c>
      <c r="S253" s="9">
        <f>SUM(IFERROR(VLOOKUP($C:$C,Structure!$A:$AJ,S$1,0)*$D253,0),IFERROR(VLOOKUP($E:$E,Structure!$A:$AJ,S$1,0)*$F253,0),IFERROR(VLOOKUP($G:$G,Structure!$A:$AJ,S$1,0)*$H253,0))</f>
        <v>0</v>
      </c>
      <c r="T253" s="9">
        <f>SUM(IFERROR(VLOOKUP($C:$C,Structure!$A:$AJ,T$1,0)*$D253,0),IFERROR(VLOOKUP($E:$E,Structure!$A:$AJ,T$1,0)*$F253,0),IFERROR(VLOOKUP($G:$G,Structure!$A:$AJ,T$1,0)*$H253,0))</f>
        <v>0</v>
      </c>
      <c r="U253" s="9">
        <f>SUM(IFERROR(VLOOKUP($C:$C,Structure!$A:$AJ,U$1,0)*$D253,0),IFERROR(VLOOKUP($E:$E,Structure!$A:$AJ,U$1,0)*$F253,0),IFERROR(VLOOKUP($G:$G,Structure!$A:$AJ,U$1,0)*$H253,0))</f>
        <v>0</v>
      </c>
      <c r="V253" s="9">
        <f>SUM(IFERROR(VLOOKUP($C:$C,Structure!$A:$AJ,V$1,0)*$D253,0),IFERROR(VLOOKUP($E:$E,Structure!$A:$AJ,V$1,0)*$F253,0),IFERROR(VLOOKUP($G:$G,Structure!$A:$AJ,V$1,0)*$H253,0))</f>
        <v>0</v>
      </c>
      <c r="W253" s="9">
        <f>SUM(IFERROR(VLOOKUP($C:$C,Structure!$A:$AJ,W$1,0)*$D253,0),IFERROR(VLOOKUP($E:$E,Structure!$A:$AJ,W$1,0)*$F253,0),IFERROR(VLOOKUP($G:$G,Structure!$A:$AJ,W$1,0)*$H253,0))</f>
        <v>0</v>
      </c>
      <c r="X253" s="9">
        <f>SUM(IFERROR(VLOOKUP($C:$C,Structure!$A:$AJ,X$1,0)*$D253,0),IFERROR(VLOOKUP($E:$E,Structure!$A:$AJ,X$1,0)*$F253,0),IFERROR(VLOOKUP($G:$G,Structure!$A:$AJ,X$1,0)*$H253,0))</f>
        <v>0</v>
      </c>
      <c r="Y253" s="9">
        <f>SUM(IFERROR(VLOOKUP($C:$C,Structure!$A:$AJ,Y$1,0)*$D253,0),IFERROR(VLOOKUP($E:$E,Structure!$A:$AJ,Y$1,0)*$F253,0),IFERROR(VLOOKUP($G:$G,Structure!$A:$AJ,Y$1,0)*$H253,0))</f>
        <v>0</v>
      </c>
      <c r="Z253" s="9">
        <f>SUM(IFERROR(VLOOKUP($C:$C,Structure!$A:$AJ,Z$1,0)*$D253,0),IFERROR(VLOOKUP($E:$E,Structure!$A:$AJ,Z$1,0)*$F253,0),IFERROR(VLOOKUP($G:$G,Structure!$A:$AJ,Z$1,0)*$H253,0))</f>
        <v>0</v>
      </c>
      <c r="AA253" s="9">
        <f>SUM(IFERROR(VLOOKUP($C:$C,Structure!$A:$AJ,AA$1,0)*$D253,0),IFERROR(VLOOKUP($E:$E,Structure!$A:$AJ,AA$1,0)*$F253,0),IFERROR(VLOOKUP($G:$G,Structure!$A:$AJ,AA$1,0)*$H253,0))</f>
        <v>0</v>
      </c>
      <c r="AB253" s="9">
        <f>SUM(IFERROR(VLOOKUP($C:$C,Structure!$A:$AJ,AB$1,0)*$D253,0),IFERROR(VLOOKUP($E:$E,Structure!$A:$AJ,AB$1,0)*$F253,0),IFERROR(VLOOKUP($G:$G,Structure!$A:$AJ,AB$1,0)*$H253,0))</f>
        <v>0</v>
      </c>
      <c r="AC253" s="9">
        <f>SUM(IFERROR(VLOOKUP($C:$C,Structure!$A:$AJ,AC$1,0)*$D253,0),IFERROR(VLOOKUP($E:$E,Structure!$A:$AJ,AC$1,0)*$F253,0),IFERROR(VLOOKUP($G:$G,Structure!$A:$AJ,AC$1,0)*$H253,0))</f>
        <v>0</v>
      </c>
      <c r="AD253" s="9">
        <f>SUM(IFERROR(VLOOKUP($C:$C,Structure!$A:$AJ,AD$1,0)*$D253,0),IFERROR(VLOOKUP($E:$E,Structure!$A:$AJ,AD$1,0)*$F253,0),IFERROR(VLOOKUP($G:$G,Structure!$A:$AJ,AD$1,0)*$H253,0))</f>
        <v>0</v>
      </c>
      <c r="AE253" s="9">
        <f>SUM(IFERROR(VLOOKUP($C:$C,Structure!$A:$AJ,AE$1,0)*$D253,0),IFERROR(VLOOKUP($E:$E,Structure!$A:$AJ,AE$1,0)*$F253,0),IFERROR(VLOOKUP($G:$G,Structure!$A:$AJ,AE$1,0)*$H253,0))</f>
        <v>0</v>
      </c>
      <c r="AF253" s="9">
        <f>SUM(IFERROR(VLOOKUP($C:$C,Structure!$A:$AJ,AF$1,0)*$D253,0),IFERROR(VLOOKUP($E:$E,Structure!$A:$AJ,AF$1,0)*$F253,0),IFERROR(VLOOKUP($G:$G,Structure!$A:$AJ,AF$1,0)*$H253,0))</f>
        <v>0</v>
      </c>
      <c r="AG253" s="9">
        <f>SUM(IFERROR(VLOOKUP($C:$C,Structure!$A:$AJ,AG$1,0)*$D253,0),IFERROR(VLOOKUP($E:$E,Structure!$A:$AJ,AG$1,0)*$F253,0),IFERROR(VLOOKUP($G:$G,Structure!$A:$AJ,AG$1,0)*$H253,0))</f>
        <v>0</v>
      </c>
      <c r="AH253" s="9">
        <f>SUM(IFERROR(VLOOKUP($C:$C,Structure!$A:$AJ,AH$1,0)*$D253,0),IFERROR(VLOOKUP($E:$E,Structure!$A:$AJ,AH$1,0)*$F253,0),IFERROR(VLOOKUP($G:$G,Structure!$A:$AJ,AH$1,0)*$H253,0))</f>
        <v>0</v>
      </c>
      <c r="AI253" s="9">
        <f>SUM(IFERROR(VLOOKUP($C:$C,Structure!$A:$AJ,AI$1,0)*$D253,0),IFERROR(VLOOKUP($E:$E,Structure!$A:$AJ,AI$1,0)*$F253,0),IFERROR(VLOOKUP($G:$G,Structure!$A:$AJ,AI$1,0)*$H253,0))</f>
        <v>0</v>
      </c>
      <c r="AJ253" s="9">
        <f>SUM(IFERROR(VLOOKUP($C:$C,Structure!$A:$AJ,AJ$1,0)*$D253,0),IFERROR(VLOOKUP($E:$E,Structure!$A:$AJ,AJ$1,0)*$F253,0),IFERROR(VLOOKUP($G:$G,Structure!$A:$AJ,AJ$1,0)*$H253,0))</f>
        <v>0</v>
      </c>
      <c r="AK253" s="9">
        <f>SUM(IFERROR(VLOOKUP($C:$C,Structure!$A:$AJ,AK$1,0)*$D253,0),IFERROR(VLOOKUP($E:$E,Structure!$A:$AJ,AK$1,0)*$F253,0),IFERROR(VLOOKUP($G:$G,Structure!$A:$AJ,AK$1,0)*$H253,0))</f>
        <v>0</v>
      </c>
      <c r="AL253" s="9">
        <f>SUM(IFERROR(VLOOKUP($C:$C,Structure!$A:$AJ,AL$1,0)*$D253,0),IFERROR(VLOOKUP($E:$E,Structure!$A:$AJ,AL$1,0)*$F253,0),IFERROR(VLOOKUP($G:$G,Structure!$A:$AJ,AL$1,0)*$H253,0))</f>
        <v>0</v>
      </c>
      <c r="AM253" s="9">
        <f>SUM(IFERROR(VLOOKUP($C:$C,Structure!$A:$AJ,AM$1,0)*$D253,0),IFERROR(VLOOKUP($E:$E,Structure!$A:$AJ,AM$1,0)*$F253,0),IFERROR(VLOOKUP($G:$G,Structure!$A:$AJ,AM$1,0)*$H253,0))</f>
        <v>0</v>
      </c>
      <c r="AN253" s="9">
        <f>SUM(IFERROR(VLOOKUP($C:$C,Structure!$A:$AJ,AN$1,0)*$D253,0),IFERROR(VLOOKUP($E:$E,Structure!$A:$AJ,AN$1,0)*$F253,0),IFERROR(VLOOKUP($G:$G,Structure!$A:$AJ,AN$1,0)*$H253,0))</f>
        <v>0</v>
      </c>
      <c r="AO253" s="9">
        <f>SUM(IFERROR(VLOOKUP($C:$C,Structure!$A:$AJ,AO$1,0)*$D253,0),IFERROR(VLOOKUP($E:$E,Structure!$A:$AJ,AO$1,0)*$F253,0),IFERROR(VLOOKUP($G:$G,Structure!$A:$AJ,AO$1,0)*$H253,0))</f>
        <v>0</v>
      </c>
      <c r="AP253" s="9">
        <f>SUM(IFERROR(VLOOKUP($C:$C,Structure!$A:$AJ,AP$1,0)*$D253,0),IFERROR(VLOOKUP($E:$E,Structure!$A:$AJ,AP$1,0)*$F253,0),IFERROR(VLOOKUP($G:$G,Structure!$A:$AJ,AP$1,0)*$H253,0))</f>
        <v>0</v>
      </c>
      <c r="AQ253" s="9">
        <f>SUM(IFERROR(VLOOKUP($C:$C,Structure!$A:$AJ,AQ$1,0)*$D253,0),IFERROR(VLOOKUP($E:$E,Structure!$A:$AJ,AQ$1,0)*$F253,0),IFERROR(VLOOKUP($G:$G,Structure!$A:$AJ,AQ$1,0)*$H253,0))</f>
        <v>0</v>
      </c>
      <c r="AR253" s="21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4">
        <f t="shared" si="267"/>
        <v>0</v>
      </c>
      <c r="CE253" s="4">
        <f t="shared" si="268"/>
        <v>-196</v>
      </c>
      <c r="CF253" s="4">
        <f t="shared" si="269"/>
        <v>4</v>
      </c>
      <c r="CG253" s="4">
        <f t="shared" si="270"/>
        <v>11</v>
      </c>
      <c r="CH253" s="4">
        <f t="shared" si="271"/>
        <v>-7</v>
      </c>
      <c r="CI253" s="4">
        <f t="shared" si="272"/>
        <v>98</v>
      </c>
      <c r="CJ253" s="4">
        <f t="shared" si="273"/>
        <v>-391</v>
      </c>
      <c r="CK253" s="4">
        <f t="shared" si="274"/>
        <v>-17</v>
      </c>
      <c r="CL253" s="4">
        <f t="shared" si="275"/>
        <v>0</v>
      </c>
      <c r="CM253" s="4">
        <f t="shared" si="276"/>
        <v>6</v>
      </c>
      <c r="CN253" s="4">
        <f t="shared" si="277"/>
        <v>-278</v>
      </c>
      <c r="CO253" s="4">
        <f t="shared" si="278"/>
        <v>0</v>
      </c>
      <c r="CP253" s="4">
        <f t="shared" si="279"/>
        <v>27</v>
      </c>
      <c r="CQ253" s="4">
        <f t="shared" si="280"/>
        <v>-614</v>
      </c>
      <c r="CR253" s="4">
        <f t="shared" si="281"/>
        <v>12</v>
      </c>
      <c r="CS253" s="4">
        <f t="shared" si="282"/>
        <v>-53</v>
      </c>
      <c r="CT253" s="4">
        <f t="shared" si="283"/>
        <v>0</v>
      </c>
      <c r="CU253" s="4">
        <f t="shared" si="284"/>
        <v>0</v>
      </c>
      <c r="CV253" s="4">
        <f t="shared" si="285"/>
        <v>0</v>
      </c>
      <c r="CW253" s="4">
        <f t="shared" si="286"/>
        <v>0</v>
      </c>
      <c r="CX253" s="4">
        <f t="shared" si="287"/>
        <v>-647</v>
      </c>
      <c r="CY253" s="4">
        <f t="shared" si="288"/>
        <v>0</v>
      </c>
      <c r="CZ253" s="4">
        <f t="shared" si="289"/>
        <v>0</v>
      </c>
      <c r="DA253" s="4">
        <f t="shared" si="290"/>
        <v>0</v>
      </c>
      <c r="DB253" s="4">
        <f t="shared" si="291"/>
        <v>0</v>
      </c>
      <c r="DC253" s="4">
        <f t="shared" si="292"/>
        <v>0</v>
      </c>
      <c r="DD253" s="4">
        <f t="shared" si="293"/>
        <v>0</v>
      </c>
      <c r="DE253" s="4">
        <f t="shared" si="294"/>
        <v>0</v>
      </c>
      <c r="DF253" s="4">
        <f t="shared" si="295"/>
        <v>0</v>
      </c>
      <c r="DG253" s="4">
        <f t="shared" si="296"/>
        <v>0</v>
      </c>
      <c r="DH253" s="4">
        <f t="shared" si="297"/>
        <v>0</v>
      </c>
      <c r="DI253" s="4">
        <f t="shared" si="298"/>
        <v>0</v>
      </c>
      <c r="DJ253" s="4">
        <f t="shared" si="299"/>
        <v>0</v>
      </c>
      <c r="DK253" s="4">
        <f t="shared" si="300"/>
        <v>0</v>
      </c>
      <c r="DL253" s="4">
        <f t="shared" si="301"/>
        <v>0</v>
      </c>
    </row>
    <row r="254" spans="1:116" x14ac:dyDescent="0.25">
      <c r="A254" s="5">
        <v>46188</v>
      </c>
      <c r="B254" s="6">
        <v>0.54166666727542179</v>
      </c>
      <c r="C254" s="3"/>
      <c r="D254" s="3"/>
      <c r="E254" s="3" t="s">
        <v>38</v>
      </c>
      <c r="F254" s="3">
        <v>8</v>
      </c>
      <c r="G254" s="3"/>
      <c r="H254" s="9"/>
      <c r="I254" s="9">
        <f>SUM(IFERROR(VLOOKUP($C:$C,Structure!$A:$AJ,I$1,0)*$D254,0),IFERROR(VLOOKUP($E:$E,Structure!$A:$AJ,I$1,0)*$F254,0),IFERROR(VLOOKUP($G:$G,Structure!$A:$AJ,I$1,0)*$H254,0))</f>
        <v>0</v>
      </c>
      <c r="J254" s="9">
        <f>SUM(IFERROR(VLOOKUP($C:$C,Structure!$A:$AJ,J$1,0)*$D254,0),IFERROR(VLOOKUP($E:$E,Structure!$A:$AJ,J$1,0)*$F254,0),IFERROR(VLOOKUP($G:$G,Structure!$A:$AJ,J$1,0)*$H254,0))</f>
        <v>8</v>
      </c>
      <c r="K254" s="9">
        <f>SUM(IFERROR(VLOOKUP($C:$C,Structure!$A:$AJ,K$1,0)*$D254,0),IFERROR(VLOOKUP($E:$E,Structure!$A:$AJ,K$1,0)*$F254,0),IFERROR(VLOOKUP($G:$G,Structure!$A:$AJ,K$1,0)*$H254,0))</f>
        <v>0</v>
      </c>
      <c r="L254" s="9">
        <f>SUM(IFERROR(VLOOKUP($C:$C,Structure!$A:$AJ,L$1,0)*$D254,0),IFERROR(VLOOKUP($E:$E,Structure!$A:$AJ,L$1,0)*$F254,0),IFERROR(VLOOKUP($G:$G,Structure!$A:$AJ,L$1,0)*$H254,0))</f>
        <v>0</v>
      </c>
      <c r="M254" s="9">
        <f>SUM(IFERROR(VLOOKUP($C:$C,Structure!$A:$AJ,M$1,0)*$D254,0),IFERROR(VLOOKUP($E:$E,Structure!$A:$AJ,M$1,0)*$F254,0),IFERROR(VLOOKUP($G:$G,Structure!$A:$AJ,M$1,0)*$H254,0))</f>
        <v>0</v>
      </c>
      <c r="N254" s="9">
        <f>SUM(IFERROR(VLOOKUP($C:$C,Structure!$A:$AJ,N$1,0)*$D254,0),IFERROR(VLOOKUP($E:$E,Structure!$A:$AJ,N$1,0)*$F254,0),IFERROR(VLOOKUP($G:$G,Structure!$A:$AJ,N$1,0)*$H254,0))</f>
        <v>0</v>
      </c>
      <c r="O254" s="9">
        <f>SUM(IFERROR(VLOOKUP($C:$C,Structure!$A:$AJ,O$1,0)*$D254,0),IFERROR(VLOOKUP($E:$E,Structure!$A:$AJ,O$1,0)*$F254,0),IFERROR(VLOOKUP($G:$G,Structure!$A:$AJ,O$1,0)*$H254,0))</f>
        <v>0</v>
      </c>
      <c r="P254" s="9">
        <f>SUM(IFERROR(VLOOKUP($C:$C,Structure!$A:$AJ,P$1,0)*$D254,0),IFERROR(VLOOKUP($E:$E,Structure!$A:$AJ,P$1,0)*$F254,0),IFERROR(VLOOKUP($G:$G,Structure!$A:$AJ,P$1,0)*$H254,0))</f>
        <v>8</v>
      </c>
      <c r="Q254" s="9">
        <f>SUM(IFERROR(VLOOKUP($C:$C,Structure!$A:$AJ,Q$1,0)*$D254,0),IFERROR(VLOOKUP($E:$E,Structure!$A:$AJ,Q$1,0)*$F254,0),IFERROR(VLOOKUP($G:$G,Structure!$A:$AJ,Q$1,0)*$H254,0))</f>
        <v>0</v>
      </c>
      <c r="R254" s="9">
        <f>SUM(IFERROR(VLOOKUP($C:$C,Structure!$A:$AJ,R$1,0)*$D254,0),IFERROR(VLOOKUP($E:$E,Structure!$A:$AJ,R$1,0)*$F254,0),IFERROR(VLOOKUP($G:$G,Structure!$A:$AJ,R$1,0)*$H254,0))</f>
        <v>0</v>
      </c>
      <c r="S254" s="9">
        <f>SUM(IFERROR(VLOOKUP($C:$C,Structure!$A:$AJ,S$1,0)*$D254,0),IFERROR(VLOOKUP($E:$E,Structure!$A:$AJ,S$1,0)*$F254,0),IFERROR(VLOOKUP($G:$G,Structure!$A:$AJ,S$1,0)*$H254,0))</f>
        <v>0</v>
      </c>
      <c r="T254" s="9">
        <f>SUM(IFERROR(VLOOKUP($C:$C,Structure!$A:$AJ,T$1,0)*$D254,0),IFERROR(VLOOKUP($E:$E,Structure!$A:$AJ,T$1,0)*$F254,0),IFERROR(VLOOKUP($G:$G,Structure!$A:$AJ,T$1,0)*$H254,0))</f>
        <v>0</v>
      </c>
      <c r="U254" s="9">
        <f>SUM(IFERROR(VLOOKUP($C:$C,Structure!$A:$AJ,U$1,0)*$D254,0),IFERROR(VLOOKUP($E:$E,Structure!$A:$AJ,U$1,0)*$F254,0),IFERROR(VLOOKUP($G:$G,Structure!$A:$AJ,U$1,0)*$H254,0))</f>
        <v>0</v>
      </c>
      <c r="V254" s="9">
        <f>SUM(IFERROR(VLOOKUP($C:$C,Structure!$A:$AJ,V$1,0)*$D254,0),IFERROR(VLOOKUP($E:$E,Structure!$A:$AJ,V$1,0)*$F254,0),IFERROR(VLOOKUP($G:$G,Structure!$A:$AJ,V$1,0)*$H254,0))</f>
        <v>0</v>
      </c>
      <c r="W254" s="9">
        <f>SUM(IFERROR(VLOOKUP($C:$C,Structure!$A:$AJ,W$1,0)*$D254,0),IFERROR(VLOOKUP($E:$E,Structure!$A:$AJ,W$1,0)*$F254,0),IFERROR(VLOOKUP($G:$G,Structure!$A:$AJ,W$1,0)*$H254,0))</f>
        <v>0</v>
      </c>
      <c r="X254" s="9">
        <f>SUM(IFERROR(VLOOKUP($C:$C,Structure!$A:$AJ,X$1,0)*$D254,0),IFERROR(VLOOKUP($E:$E,Structure!$A:$AJ,X$1,0)*$F254,0),IFERROR(VLOOKUP($G:$G,Structure!$A:$AJ,X$1,0)*$H254,0))</f>
        <v>0</v>
      </c>
      <c r="Y254" s="9">
        <f>SUM(IFERROR(VLOOKUP($C:$C,Structure!$A:$AJ,Y$1,0)*$D254,0),IFERROR(VLOOKUP($E:$E,Structure!$A:$AJ,Y$1,0)*$F254,0),IFERROR(VLOOKUP($G:$G,Structure!$A:$AJ,Y$1,0)*$H254,0))</f>
        <v>0</v>
      </c>
      <c r="Z254" s="9">
        <f>SUM(IFERROR(VLOOKUP($C:$C,Structure!$A:$AJ,Z$1,0)*$D254,0),IFERROR(VLOOKUP($E:$E,Structure!$A:$AJ,Z$1,0)*$F254,0),IFERROR(VLOOKUP($G:$G,Structure!$A:$AJ,Z$1,0)*$H254,0))</f>
        <v>0</v>
      </c>
      <c r="AA254" s="9">
        <f>SUM(IFERROR(VLOOKUP($C:$C,Structure!$A:$AJ,AA$1,0)*$D254,0),IFERROR(VLOOKUP($E:$E,Structure!$A:$AJ,AA$1,0)*$F254,0),IFERROR(VLOOKUP($G:$G,Structure!$A:$AJ,AA$1,0)*$H254,0))</f>
        <v>0</v>
      </c>
      <c r="AB254" s="9">
        <f>SUM(IFERROR(VLOOKUP($C:$C,Structure!$A:$AJ,AB$1,0)*$D254,0),IFERROR(VLOOKUP($E:$E,Structure!$A:$AJ,AB$1,0)*$F254,0),IFERROR(VLOOKUP($G:$G,Structure!$A:$AJ,AB$1,0)*$H254,0))</f>
        <v>0</v>
      </c>
      <c r="AC254" s="9">
        <f>SUM(IFERROR(VLOOKUP($C:$C,Structure!$A:$AJ,AC$1,0)*$D254,0),IFERROR(VLOOKUP($E:$E,Structure!$A:$AJ,AC$1,0)*$F254,0),IFERROR(VLOOKUP($G:$G,Structure!$A:$AJ,AC$1,0)*$H254,0))</f>
        <v>0</v>
      </c>
      <c r="AD254" s="9">
        <f>SUM(IFERROR(VLOOKUP($C:$C,Structure!$A:$AJ,AD$1,0)*$D254,0),IFERROR(VLOOKUP($E:$E,Structure!$A:$AJ,AD$1,0)*$F254,0),IFERROR(VLOOKUP($G:$G,Structure!$A:$AJ,AD$1,0)*$H254,0))</f>
        <v>0</v>
      </c>
      <c r="AE254" s="9">
        <f>SUM(IFERROR(VLOOKUP($C:$C,Structure!$A:$AJ,AE$1,0)*$D254,0),IFERROR(VLOOKUP($E:$E,Structure!$A:$AJ,AE$1,0)*$F254,0),IFERROR(VLOOKUP($G:$G,Structure!$A:$AJ,AE$1,0)*$H254,0))</f>
        <v>0</v>
      </c>
      <c r="AF254" s="9">
        <f>SUM(IFERROR(VLOOKUP($C:$C,Structure!$A:$AJ,AF$1,0)*$D254,0),IFERROR(VLOOKUP($E:$E,Structure!$A:$AJ,AF$1,0)*$F254,0),IFERROR(VLOOKUP($G:$G,Structure!$A:$AJ,AF$1,0)*$H254,0))</f>
        <v>0</v>
      </c>
      <c r="AG254" s="9">
        <f>SUM(IFERROR(VLOOKUP($C:$C,Structure!$A:$AJ,AG$1,0)*$D254,0),IFERROR(VLOOKUP($E:$E,Structure!$A:$AJ,AG$1,0)*$F254,0),IFERROR(VLOOKUP($G:$G,Structure!$A:$AJ,AG$1,0)*$H254,0))</f>
        <v>0</v>
      </c>
      <c r="AH254" s="9">
        <f>SUM(IFERROR(VLOOKUP($C:$C,Structure!$A:$AJ,AH$1,0)*$D254,0),IFERROR(VLOOKUP($E:$E,Structure!$A:$AJ,AH$1,0)*$F254,0),IFERROR(VLOOKUP($G:$G,Structure!$A:$AJ,AH$1,0)*$H254,0))</f>
        <v>0</v>
      </c>
      <c r="AI254" s="9">
        <f>SUM(IFERROR(VLOOKUP($C:$C,Structure!$A:$AJ,AI$1,0)*$D254,0),IFERROR(VLOOKUP($E:$E,Structure!$A:$AJ,AI$1,0)*$F254,0),IFERROR(VLOOKUP($G:$G,Structure!$A:$AJ,AI$1,0)*$H254,0))</f>
        <v>0</v>
      </c>
      <c r="AJ254" s="9">
        <f>SUM(IFERROR(VLOOKUP($C:$C,Structure!$A:$AJ,AJ$1,0)*$D254,0),IFERROR(VLOOKUP($E:$E,Structure!$A:$AJ,AJ$1,0)*$F254,0),IFERROR(VLOOKUP($G:$G,Structure!$A:$AJ,AJ$1,0)*$H254,0))</f>
        <v>0</v>
      </c>
      <c r="AK254" s="9">
        <f>SUM(IFERROR(VLOOKUP($C:$C,Structure!$A:$AJ,AK$1,0)*$D254,0),IFERROR(VLOOKUP($E:$E,Structure!$A:$AJ,AK$1,0)*$F254,0),IFERROR(VLOOKUP($G:$G,Structure!$A:$AJ,AK$1,0)*$H254,0))</f>
        <v>0</v>
      </c>
      <c r="AL254" s="9">
        <f>SUM(IFERROR(VLOOKUP($C:$C,Structure!$A:$AJ,AL$1,0)*$D254,0),IFERROR(VLOOKUP($E:$E,Structure!$A:$AJ,AL$1,0)*$F254,0),IFERROR(VLOOKUP($G:$G,Structure!$A:$AJ,AL$1,0)*$H254,0))</f>
        <v>0</v>
      </c>
      <c r="AM254" s="9">
        <f>SUM(IFERROR(VLOOKUP($C:$C,Structure!$A:$AJ,AM$1,0)*$D254,0),IFERROR(VLOOKUP($E:$E,Structure!$A:$AJ,AM$1,0)*$F254,0),IFERROR(VLOOKUP($G:$G,Structure!$A:$AJ,AM$1,0)*$H254,0))</f>
        <v>0</v>
      </c>
      <c r="AN254" s="9">
        <f>SUM(IFERROR(VLOOKUP($C:$C,Structure!$A:$AJ,AN$1,0)*$D254,0),IFERROR(VLOOKUP($E:$E,Structure!$A:$AJ,AN$1,0)*$F254,0),IFERROR(VLOOKUP($G:$G,Structure!$A:$AJ,AN$1,0)*$H254,0))</f>
        <v>0</v>
      </c>
      <c r="AO254" s="9">
        <f>SUM(IFERROR(VLOOKUP($C:$C,Structure!$A:$AJ,AO$1,0)*$D254,0),IFERROR(VLOOKUP($E:$E,Structure!$A:$AJ,AO$1,0)*$F254,0),IFERROR(VLOOKUP($G:$G,Structure!$A:$AJ,AO$1,0)*$H254,0))</f>
        <v>0</v>
      </c>
      <c r="AP254" s="9">
        <f>SUM(IFERROR(VLOOKUP($C:$C,Structure!$A:$AJ,AP$1,0)*$D254,0),IFERROR(VLOOKUP($E:$E,Structure!$A:$AJ,AP$1,0)*$F254,0),IFERROR(VLOOKUP($G:$G,Structure!$A:$AJ,AP$1,0)*$H254,0))</f>
        <v>0</v>
      </c>
      <c r="AQ254" s="9">
        <f>SUM(IFERROR(VLOOKUP($C:$C,Structure!$A:$AJ,AQ$1,0)*$D254,0),IFERROR(VLOOKUP($E:$E,Structure!$A:$AJ,AQ$1,0)*$F254,0),IFERROR(VLOOKUP($G:$G,Structure!$A:$AJ,AQ$1,0)*$H254,0))</f>
        <v>0</v>
      </c>
      <c r="AR254" s="21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4">
        <f t="shared" si="267"/>
        <v>0</v>
      </c>
      <c r="CE254" s="4">
        <f t="shared" si="268"/>
        <v>-204</v>
      </c>
      <c r="CF254" s="4">
        <f t="shared" si="269"/>
        <v>4</v>
      </c>
      <c r="CG254" s="4">
        <f t="shared" si="270"/>
        <v>11</v>
      </c>
      <c r="CH254" s="4">
        <f t="shared" si="271"/>
        <v>-7</v>
      </c>
      <c r="CI254" s="4">
        <f t="shared" si="272"/>
        <v>98</v>
      </c>
      <c r="CJ254" s="4">
        <f t="shared" si="273"/>
        <v>-391</v>
      </c>
      <c r="CK254" s="4">
        <f t="shared" si="274"/>
        <v>-25</v>
      </c>
      <c r="CL254" s="4">
        <f t="shared" si="275"/>
        <v>0</v>
      </c>
      <c r="CM254" s="4">
        <f t="shared" si="276"/>
        <v>6</v>
      </c>
      <c r="CN254" s="4">
        <f t="shared" si="277"/>
        <v>-278</v>
      </c>
      <c r="CO254" s="4">
        <f t="shared" si="278"/>
        <v>0</v>
      </c>
      <c r="CP254" s="4">
        <f t="shared" si="279"/>
        <v>27</v>
      </c>
      <c r="CQ254" s="4">
        <f t="shared" si="280"/>
        <v>-614</v>
      </c>
      <c r="CR254" s="4">
        <f t="shared" si="281"/>
        <v>12</v>
      </c>
      <c r="CS254" s="4">
        <f t="shared" si="282"/>
        <v>-53</v>
      </c>
      <c r="CT254" s="4">
        <f t="shared" si="283"/>
        <v>0</v>
      </c>
      <c r="CU254" s="4">
        <f t="shared" si="284"/>
        <v>0</v>
      </c>
      <c r="CV254" s="4">
        <f t="shared" si="285"/>
        <v>0</v>
      </c>
      <c r="CW254" s="4">
        <f t="shared" si="286"/>
        <v>0</v>
      </c>
      <c r="CX254" s="4">
        <f t="shared" si="287"/>
        <v>-647</v>
      </c>
      <c r="CY254" s="4">
        <f t="shared" si="288"/>
        <v>0</v>
      </c>
      <c r="CZ254" s="4">
        <f t="shared" si="289"/>
        <v>0</v>
      </c>
      <c r="DA254" s="4">
        <f t="shared" si="290"/>
        <v>0</v>
      </c>
      <c r="DB254" s="4">
        <f t="shared" si="291"/>
        <v>0</v>
      </c>
      <c r="DC254" s="4">
        <f t="shared" si="292"/>
        <v>0</v>
      </c>
      <c r="DD254" s="4">
        <f t="shared" si="293"/>
        <v>0</v>
      </c>
      <c r="DE254" s="4">
        <f t="shared" si="294"/>
        <v>0</v>
      </c>
      <c r="DF254" s="4">
        <f t="shared" si="295"/>
        <v>0</v>
      </c>
      <c r="DG254" s="4">
        <f t="shared" si="296"/>
        <v>0</v>
      </c>
      <c r="DH254" s="4">
        <f t="shared" si="297"/>
        <v>0</v>
      </c>
      <c r="DI254" s="4">
        <f t="shared" si="298"/>
        <v>0</v>
      </c>
      <c r="DJ254" s="4">
        <f t="shared" si="299"/>
        <v>0</v>
      </c>
      <c r="DK254" s="4">
        <f t="shared" si="300"/>
        <v>0</v>
      </c>
      <c r="DL254" s="4">
        <f t="shared" si="301"/>
        <v>0</v>
      </c>
    </row>
    <row r="255" spans="1:116" x14ac:dyDescent="0.25">
      <c r="A255" s="5">
        <v>46188</v>
      </c>
      <c r="B255" s="6">
        <v>0.56250000061118044</v>
      </c>
      <c r="C255" s="3"/>
      <c r="D255" s="3"/>
      <c r="E255" s="3" t="s">
        <v>38</v>
      </c>
      <c r="F255" s="3">
        <v>8</v>
      </c>
      <c r="G255" s="3"/>
      <c r="H255" s="9"/>
      <c r="I255" s="9">
        <f>SUM(IFERROR(VLOOKUP($C:$C,Structure!$A:$AJ,I$1,0)*$D255,0),IFERROR(VLOOKUP($E:$E,Structure!$A:$AJ,I$1,0)*$F255,0),IFERROR(VLOOKUP($G:$G,Structure!$A:$AJ,I$1,0)*$H255,0))</f>
        <v>0</v>
      </c>
      <c r="J255" s="9">
        <f>SUM(IFERROR(VLOOKUP($C:$C,Structure!$A:$AJ,J$1,0)*$D255,0),IFERROR(VLOOKUP($E:$E,Structure!$A:$AJ,J$1,0)*$F255,0),IFERROR(VLOOKUP($G:$G,Structure!$A:$AJ,J$1,0)*$H255,0))</f>
        <v>8</v>
      </c>
      <c r="K255" s="9">
        <f>SUM(IFERROR(VLOOKUP($C:$C,Structure!$A:$AJ,K$1,0)*$D255,0),IFERROR(VLOOKUP($E:$E,Structure!$A:$AJ,K$1,0)*$F255,0),IFERROR(VLOOKUP($G:$G,Structure!$A:$AJ,K$1,0)*$H255,0))</f>
        <v>0</v>
      </c>
      <c r="L255" s="9">
        <f>SUM(IFERROR(VLOOKUP($C:$C,Structure!$A:$AJ,L$1,0)*$D255,0),IFERROR(VLOOKUP($E:$E,Structure!$A:$AJ,L$1,0)*$F255,0),IFERROR(VLOOKUP($G:$G,Structure!$A:$AJ,L$1,0)*$H255,0))</f>
        <v>0</v>
      </c>
      <c r="M255" s="9">
        <f>SUM(IFERROR(VLOOKUP($C:$C,Structure!$A:$AJ,M$1,0)*$D255,0),IFERROR(VLOOKUP($E:$E,Structure!$A:$AJ,M$1,0)*$F255,0),IFERROR(VLOOKUP($G:$G,Structure!$A:$AJ,M$1,0)*$H255,0))</f>
        <v>0</v>
      </c>
      <c r="N255" s="9">
        <f>SUM(IFERROR(VLOOKUP($C:$C,Structure!$A:$AJ,N$1,0)*$D255,0),IFERROR(VLOOKUP($E:$E,Structure!$A:$AJ,N$1,0)*$F255,0),IFERROR(VLOOKUP($G:$G,Structure!$A:$AJ,N$1,0)*$H255,0))</f>
        <v>0</v>
      </c>
      <c r="O255" s="9">
        <f>SUM(IFERROR(VLOOKUP($C:$C,Structure!$A:$AJ,O$1,0)*$D255,0),IFERROR(VLOOKUP($E:$E,Structure!$A:$AJ,O$1,0)*$F255,0),IFERROR(VLOOKUP($G:$G,Structure!$A:$AJ,O$1,0)*$H255,0))</f>
        <v>0</v>
      </c>
      <c r="P255" s="9">
        <f>SUM(IFERROR(VLOOKUP($C:$C,Structure!$A:$AJ,P$1,0)*$D255,0),IFERROR(VLOOKUP($E:$E,Structure!$A:$AJ,P$1,0)*$F255,0),IFERROR(VLOOKUP($G:$G,Structure!$A:$AJ,P$1,0)*$H255,0))</f>
        <v>8</v>
      </c>
      <c r="Q255" s="9">
        <f>SUM(IFERROR(VLOOKUP($C:$C,Structure!$A:$AJ,Q$1,0)*$D255,0),IFERROR(VLOOKUP($E:$E,Structure!$A:$AJ,Q$1,0)*$F255,0),IFERROR(VLOOKUP($G:$G,Structure!$A:$AJ,Q$1,0)*$H255,0))</f>
        <v>0</v>
      </c>
      <c r="R255" s="9">
        <f>SUM(IFERROR(VLOOKUP($C:$C,Structure!$A:$AJ,R$1,0)*$D255,0),IFERROR(VLOOKUP($E:$E,Structure!$A:$AJ,R$1,0)*$F255,0),IFERROR(VLOOKUP($G:$G,Structure!$A:$AJ,R$1,0)*$H255,0))</f>
        <v>0</v>
      </c>
      <c r="S255" s="9">
        <f>SUM(IFERROR(VLOOKUP($C:$C,Structure!$A:$AJ,S$1,0)*$D255,0),IFERROR(VLOOKUP($E:$E,Structure!$A:$AJ,S$1,0)*$F255,0),IFERROR(VLOOKUP($G:$G,Structure!$A:$AJ,S$1,0)*$H255,0))</f>
        <v>0</v>
      </c>
      <c r="T255" s="9">
        <f>SUM(IFERROR(VLOOKUP($C:$C,Structure!$A:$AJ,T$1,0)*$D255,0),IFERROR(VLOOKUP($E:$E,Structure!$A:$AJ,T$1,0)*$F255,0),IFERROR(VLOOKUP($G:$G,Structure!$A:$AJ,T$1,0)*$H255,0))</f>
        <v>0</v>
      </c>
      <c r="U255" s="9">
        <f>SUM(IFERROR(VLOOKUP($C:$C,Structure!$A:$AJ,U$1,0)*$D255,0),IFERROR(VLOOKUP($E:$E,Structure!$A:$AJ,U$1,0)*$F255,0),IFERROR(VLOOKUP($G:$G,Structure!$A:$AJ,U$1,0)*$H255,0))</f>
        <v>0</v>
      </c>
      <c r="V255" s="9">
        <f>SUM(IFERROR(VLOOKUP($C:$C,Structure!$A:$AJ,V$1,0)*$D255,0),IFERROR(VLOOKUP($E:$E,Structure!$A:$AJ,V$1,0)*$F255,0),IFERROR(VLOOKUP($G:$G,Structure!$A:$AJ,V$1,0)*$H255,0))</f>
        <v>0</v>
      </c>
      <c r="W255" s="9">
        <f>SUM(IFERROR(VLOOKUP($C:$C,Structure!$A:$AJ,W$1,0)*$D255,0),IFERROR(VLOOKUP($E:$E,Structure!$A:$AJ,W$1,0)*$F255,0),IFERROR(VLOOKUP($G:$G,Structure!$A:$AJ,W$1,0)*$H255,0))</f>
        <v>0</v>
      </c>
      <c r="X255" s="9">
        <f>SUM(IFERROR(VLOOKUP($C:$C,Structure!$A:$AJ,X$1,0)*$D255,0),IFERROR(VLOOKUP($E:$E,Structure!$A:$AJ,X$1,0)*$F255,0),IFERROR(VLOOKUP($G:$G,Structure!$A:$AJ,X$1,0)*$H255,0))</f>
        <v>0</v>
      </c>
      <c r="Y255" s="9">
        <f>SUM(IFERROR(VLOOKUP($C:$C,Structure!$A:$AJ,Y$1,0)*$D255,0),IFERROR(VLOOKUP($E:$E,Structure!$A:$AJ,Y$1,0)*$F255,0),IFERROR(VLOOKUP($G:$G,Structure!$A:$AJ,Y$1,0)*$H255,0))</f>
        <v>0</v>
      </c>
      <c r="Z255" s="9">
        <f>SUM(IFERROR(VLOOKUP($C:$C,Structure!$A:$AJ,Z$1,0)*$D255,0),IFERROR(VLOOKUP($E:$E,Structure!$A:$AJ,Z$1,0)*$F255,0),IFERROR(VLOOKUP($G:$G,Structure!$A:$AJ,Z$1,0)*$H255,0))</f>
        <v>0</v>
      </c>
      <c r="AA255" s="9">
        <f>SUM(IFERROR(VLOOKUP($C:$C,Structure!$A:$AJ,AA$1,0)*$D255,0),IFERROR(VLOOKUP($E:$E,Structure!$A:$AJ,AA$1,0)*$F255,0),IFERROR(VLOOKUP($G:$G,Structure!$A:$AJ,AA$1,0)*$H255,0))</f>
        <v>0</v>
      </c>
      <c r="AB255" s="9">
        <f>SUM(IFERROR(VLOOKUP($C:$C,Structure!$A:$AJ,AB$1,0)*$D255,0),IFERROR(VLOOKUP($E:$E,Structure!$A:$AJ,AB$1,0)*$F255,0),IFERROR(VLOOKUP($G:$G,Structure!$A:$AJ,AB$1,0)*$H255,0))</f>
        <v>0</v>
      </c>
      <c r="AC255" s="9">
        <f>SUM(IFERROR(VLOOKUP($C:$C,Structure!$A:$AJ,AC$1,0)*$D255,0),IFERROR(VLOOKUP($E:$E,Structure!$A:$AJ,AC$1,0)*$F255,0),IFERROR(VLOOKUP($G:$G,Structure!$A:$AJ,AC$1,0)*$H255,0))</f>
        <v>0</v>
      </c>
      <c r="AD255" s="9">
        <f>SUM(IFERROR(VLOOKUP($C:$C,Structure!$A:$AJ,AD$1,0)*$D255,0),IFERROR(VLOOKUP($E:$E,Structure!$A:$AJ,AD$1,0)*$F255,0),IFERROR(VLOOKUP($G:$G,Structure!$A:$AJ,AD$1,0)*$H255,0))</f>
        <v>0</v>
      </c>
      <c r="AE255" s="9">
        <f>SUM(IFERROR(VLOOKUP($C:$C,Structure!$A:$AJ,AE$1,0)*$D255,0),IFERROR(VLOOKUP($E:$E,Structure!$A:$AJ,AE$1,0)*$F255,0),IFERROR(VLOOKUP($G:$G,Structure!$A:$AJ,AE$1,0)*$H255,0))</f>
        <v>0</v>
      </c>
      <c r="AF255" s="9">
        <f>SUM(IFERROR(VLOOKUP($C:$C,Structure!$A:$AJ,AF$1,0)*$D255,0),IFERROR(VLOOKUP($E:$E,Structure!$A:$AJ,AF$1,0)*$F255,0),IFERROR(VLOOKUP($G:$G,Structure!$A:$AJ,AF$1,0)*$H255,0))</f>
        <v>0</v>
      </c>
      <c r="AG255" s="9">
        <f>SUM(IFERROR(VLOOKUP($C:$C,Structure!$A:$AJ,AG$1,0)*$D255,0),IFERROR(VLOOKUP($E:$E,Structure!$A:$AJ,AG$1,0)*$F255,0),IFERROR(VLOOKUP($G:$G,Structure!$A:$AJ,AG$1,0)*$H255,0))</f>
        <v>0</v>
      </c>
      <c r="AH255" s="9">
        <f>SUM(IFERROR(VLOOKUP($C:$C,Structure!$A:$AJ,AH$1,0)*$D255,0),IFERROR(VLOOKUP($E:$E,Structure!$A:$AJ,AH$1,0)*$F255,0),IFERROR(VLOOKUP($G:$G,Structure!$A:$AJ,AH$1,0)*$H255,0))</f>
        <v>0</v>
      </c>
      <c r="AI255" s="9">
        <f>SUM(IFERROR(VLOOKUP($C:$C,Structure!$A:$AJ,AI$1,0)*$D255,0),IFERROR(VLOOKUP($E:$E,Structure!$A:$AJ,AI$1,0)*$F255,0),IFERROR(VLOOKUP($G:$G,Structure!$A:$AJ,AI$1,0)*$H255,0))</f>
        <v>0</v>
      </c>
      <c r="AJ255" s="9">
        <f>SUM(IFERROR(VLOOKUP($C:$C,Structure!$A:$AJ,AJ$1,0)*$D255,0),IFERROR(VLOOKUP($E:$E,Structure!$A:$AJ,AJ$1,0)*$F255,0),IFERROR(VLOOKUP($G:$G,Structure!$A:$AJ,AJ$1,0)*$H255,0))</f>
        <v>0</v>
      </c>
      <c r="AK255" s="9">
        <f>SUM(IFERROR(VLOOKUP($C:$C,Structure!$A:$AJ,AK$1,0)*$D255,0),IFERROR(VLOOKUP($E:$E,Structure!$A:$AJ,AK$1,0)*$F255,0),IFERROR(VLOOKUP($G:$G,Structure!$A:$AJ,AK$1,0)*$H255,0))</f>
        <v>0</v>
      </c>
      <c r="AL255" s="9">
        <f>SUM(IFERROR(VLOOKUP($C:$C,Structure!$A:$AJ,AL$1,0)*$D255,0),IFERROR(VLOOKUP($E:$E,Structure!$A:$AJ,AL$1,0)*$F255,0),IFERROR(VLOOKUP($G:$G,Structure!$A:$AJ,AL$1,0)*$H255,0))</f>
        <v>0</v>
      </c>
      <c r="AM255" s="9">
        <f>SUM(IFERROR(VLOOKUP($C:$C,Structure!$A:$AJ,AM$1,0)*$D255,0),IFERROR(VLOOKUP($E:$E,Structure!$A:$AJ,AM$1,0)*$F255,0),IFERROR(VLOOKUP($G:$G,Structure!$A:$AJ,AM$1,0)*$H255,0))</f>
        <v>0</v>
      </c>
      <c r="AN255" s="9">
        <f>SUM(IFERROR(VLOOKUP($C:$C,Structure!$A:$AJ,AN$1,0)*$D255,0),IFERROR(VLOOKUP($E:$E,Structure!$A:$AJ,AN$1,0)*$F255,0),IFERROR(VLOOKUP($G:$G,Structure!$A:$AJ,AN$1,0)*$H255,0))</f>
        <v>0</v>
      </c>
      <c r="AO255" s="9">
        <f>SUM(IFERROR(VLOOKUP($C:$C,Structure!$A:$AJ,AO$1,0)*$D255,0),IFERROR(VLOOKUP($E:$E,Structure!$A:$AJ,AO$1,0)*$F255,0),IFERROR(VLOOKUP($G:$G,Structure!$A:$AJ,AO$1,0)*$H255,0))</f>
        <v>0</v>
      </c>
      <c r="AP255" s="9">
        <f>SUM(IFERROR(VLOOKUP($C:$C,Structure!$A:$AJ,AP$1,0)*$D255,0),IFERROR(VLOOKUP($E:$E,Structure!$A:$AJ,AP$1,0)*$F255,0),IFERROR(VLOOKUP($G:$G,Structure!$A:$AJ,AP$1,0)*$H255,0))</f>
        <v>0</v>
      </c>
      <c r="AQ255" s="9">
        <f>SUM(IFERROR(VLOOKUP($C:$C,Structure!$A:$AJ,AQ$1,0)*$D255,0),IFERROR(VLOOKUP($E:$E,Structure!$A:$AJ,AQ$1,0)*$F255,0),IFERROR(VLOOKUP($G:$G,Structure!$A:$AJ,AQ$1,0)*$H255,0))</f>
        <v>0</v>
      </c>
      <c r="AR255" s="21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4">
        <f t="shared" si="267"/>
        <v>0</v>
      </c>
      <c r="CE255" s="4">
        <f t="shared" si="268"/>
        <v>-212</v>
      </c>
      <c r="CF255" s="4">
        <f t="shared" si="269"/>
        <v>4</v>
      </c>
      <c r="CG255" s="4">
        <f t="shared" si="270"/>
        <v>11</v>
      </c>
      <c r="CH255" s="4">
        <f t="shared" si="271"/>
        <v>-7</v>
      </c>
      <c r="CI255" s="4">
        <f t="shared" si="272"/>
        <v>98</v>
      </c>
      <c r="CJ255" s="4">
        <f t="shared" si="273"/>
        <v>-391</v>
      </c>
      <c r="CK255" s="4">
        <f t="shared" si="274"/>
        <v>-33</v>
      </c>
      <c r="CL255" s="4">
        <f t="shared" si="275"/>
        <v>0</v>
      </c>
      <c r="CM255" s="4">
        <f t="shared" si="276"/>
        <v>6</v>
      </c>
      <c r="CN255" s="4">
        <f t="shared" si="277"/>
        <v>-278</v>
      </c>
      <c r="CO255" s="4">
        <f t="shared" si="278"/>
        <v>0</v>
      </c>
      <c r="CP255" s="4">
        <f t="shared" si="279"/>
        <v>27</v>
      </c>
      <c r="CQ255" s="4">
        <f t="shared" si="280"/>
        <v>-614</v>
      </c>
      <c r="CR255" s="4">
        <f t="shared" si="281"/>
        <v>12</v>
      </c>
      <c r="CS255" s="4">
        <f t="shared" si="282"/>
        <v>-53</v>
      </c>
      <c r="CT255" s="4">
        <f t="shared" si="283"/>
        <v>0</v>
      </c>
      <c r="CU255" s="4">
        <f t="shared" si="284"/>
        <v>0</v>
      </c>
      <c r="CV255" s="4">
        <f t="shared" si="285"/>
        <v>0</v>
      </c>
      <c r="CW255" s="4">
        <f t="shared" si="286"/>
        <v>0</v>
      </c>
      <c r="CX255" s="4">
        <f t="shared" si="287"/>
        <v>-647</v>
      </c>
      <c r="CY255" s="4">
        <f t="shared" si="288"/>
        <v>0</v>
      </c>
      <c r="CZ255" s="4">
        <f t="shared" si="289"/>
        <v>0</v>
      </c>
      <c r="DA255" s="4">
        <f t="shared" si="290"/>
        <v>0</v>
      </c>
      <c r="DB255" s="4">
        <f t="shared" si="291"/>
        <v>0</v>
      </c>
      <c r="DC255" s="4">
        <f t="shared" si="292"/>
        <v>0</v>
      </c>
      <c r="DD255" s="4">
        <f t="shared" si="293"/>
        <v>0</v>
      </c>
      <c r="DE255" s="4">
        <f t="shared" si="294"/>
        <v>0</v>
      </c>
      <c r="DF255" s="4">
        <f t="shared" si="295"/>
        <v>0</v>
      </c>
      <c r="DG255" s="4">
        <f t="shared" si="296"/>
        <v>0</v>
      </c>
      <c r="DH255" s="4">
        <f t="shared" si="297"/>
        <v>0</v>
      </c>
      <c r="DI255" s="4">
        <f t="shared" si="298"/>
        <v>0</v>
      </c>
      <c r="DJ255" s="4">
        <f t="shared" si="299"/>
        <v>0</v>
      </c>
      <c r="DK255" s="4">
        <f t="shared" si="300"/>
        <v>0</v>
      </c>
      <c r="DL255" s="4">
        <f t="shared" si="301"/>
        <v>0</v>
      </c>
    </row>
    <row r="256" spans="1:116" x14ac:dyDescent="0.25">
      <c r="A256" s="5">
        <v>46188</v>
      </c>
      <c r="B256" s="6">
        <v>0.58333333394693909</v>
      </c>
      <c r="C256" s="3"/>
      <c r="D256" s="3"/>
      <c r="E256" s="3" t="s">
        <v>38</v>
      </c>
      <c r="F256" s="3">
        <v>8</v>
      </c>
      <c r="G256" s="3"/>
      <c r="H256" s="9"/>
      <c r="I256" s="9">
        <f>SUM(IFERROR(VLOOKUP($C:$C,Structure!$A:$AJ,I$1,0)*$D256,0),IFERROR(VLOOKUP($E:$E,Structure!$A:$AJ,I$1,0)*$F256,0),IFERROR(VLOOKUP($G:$G,Structure!$A:$AJ,I$1,0)*$H256,0))</f>
        <v>0</v>
      </c>
      <c r="J256" s="9">
        <f>SUM(IFERROR(VLOOKUP($C:$C,Structure!$A:$AJ,J$1,0)*$D256,0),IFERROR(VLOOKUP($E:$E,Structure!$A:$AJ,J$1,0)*$F256,0),IFERROR(VLOOKUP($G:$G,Structure!$A:$AJ,J$1,0)*$H256,0))</f>
        <v>8</v>
      </c>
      <c r="K256" s="9">
        <f>SUM(IFERROR(VLOOKUP($C:$C,Structure!$A:$AJ,K$1,0)*$D256,0),IFERROR(VLOOKUP($E:$E,Structure!$A:$AJ,K$1,0)*$F256,0),IFERROR(VLOOKUP($G:$G,Structure!$A:$AJ,K$1,0)*$H256,0))</f>
        <v>0</v>
      </c>
      <c r="L256" s="9">
        <f>SUM(IFERROR(VLOOKUP($C:$C,Structure!$A:$AJ,L$1,0)*$D256,0),IFERROR(VLOOKUP($E:$E,Structure!$A:$AJ,L$1,0)*$F256,0),IFERROR(VLOOKUP($G:$G,Structure!$A:$AJ,L$1,0)*$H256,0))</f>
        <v>0</v>
      </c>
      <c r="M256" s="9">
        <f>SUM(IFERROR(VLOOKUP($C:$C,Structure!$A:$AJ,M$1,0)*$D256,0),IFERROR(VLOOKUP($E:$E,Structure!$A:$AJ,M$1,0)*$F256,0),IFERROR(VLOOKUP($G:$G,Structure!$A:$AJ,M$1,0)*$H256,0))</f>
        <v>0</v>
      </c>
      <c r="N256" s="9">
        <f>SUM(IFERROR(VLOOKUP($C:$C,Structure!$A:$AJ,N$1,0)*$D256,0),IFERROR(VLOOKUP($E:$E,Structure!$A:$AJ,N$1,0)*$F256,0),IFERROR(VLOOKUP($G:$G,Structure!$A:$AJ,N$1,0)*$H256,0))</f>
        <v>0</v>
      </c>
      <c r="O256" s="9">
        <f>SUM(IFERROR(VLOOKUP($C:$C,Structure!$A:$AJ,O$1,0)*$D256,0),IFERROR(VLOOKUP($E:$E,Structure!$A:$AJ,O$1,0)*$F256,0),IFERROR(VLOOKUP($G:$G,Structure!$A:$AJ,O$1,0)*$H256,0))</f>
        <v>0</v>
      </c>
      <c r="P256" s="9">
        <f>SUM(IFERROR(VLOOKUP($C:$C,Structure!$A:$AJ,P$1,0)*$D256,0),IFERROR(VLOOKUP($E:$E,Structure!$A:$AJ,P$1,0)*$F256,0),IFERROR(VLOOKUP($G:$G,Structure!$A:$AJ,P$1,0)*$H256,0))</f>
        <v>8</v>
      </c>
      <c r="Q256" s="9">
        <f>SUM(IFERROR(VLOOKUP($C:$C,Structure!$A:$AJ,Q$1,0)*$D256,0),IFERROR(VLOOKUP($E:$E,Structure!$A:$AJ,Q$1,0)*$F256,0),IFERROR(VLOOKUP($G:$G,Structure!$A:$AJ,Q$1,0)*$H256,0))</f>
        <v>0</v>
      </c>
      <c r="R256" s="9">
        <f>SUM(IFERROR(VLOOKUP($C:$C,Structure!$A:$AJ,R$1,0)*$D256,0),IFERROR(VLOOKUP($E:$E,Structure!$A:$AJ,R$1,0)*$F256,0),IFERROR(VLOOKUP($G:$G,Structure!$A:$AJ,R$1,0)*$H256,0))</f>
        <v>0</v>
      </c>
      <c r="S256" s="9">
        <f>SUM(IFERROR(VLOOKUP($C:$C,Structure!$A:$AJ,S$1,0)*$D256,0),IFERROR(VLOOKUP($E:$E,Structure!$A:$AJ,S$1,0)*$F256,0),IFERROR(VLOOKUP($G:$G,Structure!$A:$AJ,S$1,0)*$H256,0))</f>
        <v>0</v>
      </c>
      <c r="T256" s="9">
        <f>SUM(IFERROR(VLOOKUP($C:$C,Structure!$A:$AJ,T$1,0)*$D256,0),IFERROR(VLOOKUP($E:$E,Structure!$A:$AJ,T$1,0)*$F256,0),IFERROR(VLOOKUP($G:$G,Structure!$A:$AJ,T$1,0)*$H256,0))</f>
        <v>0</v>
      </c>
      <c r="U256" s="9">
        <f>SUM(IFERROR(VLOOKUP($C:$C,Structure!$A:$AJ,U$1,0)*$D256,0),IFERROR(VLOOKUP($E:$E,Structure!$A:$AJ,U$1,0)*$F256,0),IFERROR(VLOOKUP($G:$G,Structure!$A:$AJ,U$1,0)*$H256,0))</f>
        <v>0</v>
      </c>
      <c r="V256" s="9">
        <f>SUM(IFERROR(VLOOKUP($C:$C,Structure!$A:$AJ,V$1,0)*$D256,0),IFERROR(VLOOKUP($E:$E,Structure!$A:$AJ,V$1,0)*$F256,0),IFERROR(VLOOKUP($G:$G,Structure!$A:$AJ,V$1,0)*$H256,0))</f>
        <v>0</v>
      </c>
      <c r="W256" s="9">
        <f>SUM(IFERROR(VLOOKUP($C:$C,Structure!$A:$AJ,W$1,0)*$D256,0),IFERROR(VLOOKUP($E:$E,Structure!$A:$AJ,W$1,0)*$F256,0),IFERROR(VLOOKUP($G:$G,Structure!$A:$AJ,W$1,0)*$H256,0))</f>
        <v>0</v>
      </c>
      <c r="X256" s="9">
        <f>SUM(IFERROR(VLOOKUP($C:$C,Structure!$A:$AJ,X$1,0)*$D256,0),IFERROR(VLOOKUP($E:$E,Structure!$A:$AJ,X$1,0)*$F256,0),IFERROR(VLOOKUP($G:$G,Structure!$A:$AJ,X$1,0)*$H256,0))</f>
        <v>0</v>
      </c>
      <c r="Y256" s="9">
        <f>SUM(IFERROR(VLOOKUP($C:$C,Structure!$A:$AJ,Y$1,0)*$D256,0),IFERROR(VLOOKUP($E:$E,Structure!$A:$AJ,Y$1,0)*$F256,0),IFERROR(VLOOKUP($G:$G,Structure!$A:$AJ,Y$1,0)*$H256,0))</f>
        <v>0</v>
      </c>
      <c r="Z256" s="9">
        <f>SUM(IFERROR(VLOOKUP($C:$C,Structure!$A:$AJ,Z$1,0)*$D256,0),IFERROR(VLOOKUP($E:$E,Structure!$A:$AJ,Z$1,0)*$F256,0),IFERROR(VLOOKUP($G:$G,Structure!$A:$AJ,Z$1,0)*$H256,0))</f>
        <v>0</v>
      </c>
      <c r="AA256" s="9">
        <f>SUM(IFERROR(VLOOKUP($C:$C,Structure!$A:$AJ,AA$1,0)*$D256,0),IFERROR(VLOOKUP($E:$E,Structure!$A:$AJ,AA$1,0)*$F256,0),IFERROR(VLOOKUP($G:$G,Structure!$A:$AJ,AA$1,0)*$H256,0))</f>
        <v>0</v>
      </c>
      <c r="AB256" s="9">
        <f>SUM(IFERROR(VLOOKUP($C:$C,Structure!$A:$AJ,AB$1,0)*$D256,0),IFERROR(VLOOKUP($E:$E,Structure!$A:$AJ,AB$1,0)*$F256,0),IFERROR(VLOOKUP($G:$G,Structure!$A:$AJ,AB$1,0)*$H256,0))</f>
        <v>0</v>
      </c>
      <c r="AC256" s="9">
        <f>SUM(IFERROR(VLOOKUP($C:$C,Structure!$A:$AJ,AC$1,0)*$D256,0),IFERROR(VLOOKUP($E:$E,Structure!$A:$AJ,AC$1,0)*$F256,0),IFERROR(VLOOKUP($G:$G,Structure!$A:$AJ,AC$1,0)*$H256,0))</f>
        <v>0</v>
      </c>
      <c r="AD256" s="9">
        <f>SUM(IFERROR(VLOOKUP($C:$C,Structure!$A:$AJ,AD$1,0)*$D256,0),IFERROR(VLOOKUP($E:$E,Structure!$A:$AJ,AD$1,0)*$F256,0),IFERROR(VLOOKUP($G:$G,Structure!$A:$AJ,AD$1,0)*$H256,0))</f>
        <v>0</v>
      </c>
      <c r="AE256" s="9">
        <f>SUM(IFERROR(VLOOKUP($C:$C,Structure!$A:$AJ,AE$1,0)*$D256,0),IFERROR(VLOOKUP($E:$E,Structure!$A:$AJ,AE$1,0)*$F256,0),IFERROR(VLOOKUP($G:$G,Structure!$A:$AJ,AE$1,0)*$H256,0))</f>
        <v>0</v>
      </c>
      <c r="AF256" s="9">
        <f>SUM(IFERROR(VLOOKUP($C:$C,Structure!$A:$AJ,AF$1,0)*$D256,0),IFERROR(VLOOKUP($E:$E,Structure!$A:$AJ,AF$1,0)*$F256,0),IFERROR(VLOOKUP($G:$G,Structure!$A:$AJ,AF$1,0)*$H256,0))</f>
        <v>0</v>
      </c>
      <c r="AG256" s="9">
        <f>SUM(IFERROR(VLOOKUP($C:$C,Structure!$A:$AJ,AG$1,0)*$D256,0),IFERROR(VLOOKUP($E:$E,Structure!$A:$AJ,AG$1,0)*$F256,0),IFERROR(VLOOKUP($G:$G,Structure!$A:$AJ,AG$1,0)*$H256,0))</f>
        <v>0</v>
      </c>
      <c r="AH256" s="9">
        <f>SUM(IFERROR(VLOOKUP($C:$C,Structure!$A:$AJ,AH$1,0)*$D256,0),IFERROR(VLOOKUP($E:$E,Structure!$A:$AJ,AH$1,0)*$F256,0),IFERROR(VLOOKUP($G:$G,Structure!$A:$AJ,AH$1,0)*$H256,0))</f>
        <v>0</v>
      </c>
      <c r="AI256" s="9">
        <f>SUM(IFERROR(VLOOKUP($C:$C,Structure!$A:$AJ,AI$1,0)*$D256,0),IFERROR(VLOOKUP($E:$E,Structure!$A:$AJ,AI$1,0)*$F256,0),IFERROR(VLOOKUP($G:$G,Structure!$A:$AJ,AI$1,0)*$H256,0))</f>
        <v>0</v>
      </c>
      <c r="AJ256" s="9">
        <f>SUM(IFERROR(VLOOKUP($C:$C,Structure!$A:$AJ,AJ$1,0)*$D256,0),IFERROR(VLOOKUP($E:$E,Structure!$A:$AJ,AJ$1,0)*$F256,0),IFERROR(VLOOKUP($G:$G,Structure!$A:$AJ,AJ$1,0)*$H256,0))</f>
        <v>0</v>
      </c>
      <c r="AK256" s="9">
        <f>SUM(IFERROR(VLOOKUP($C:$C,Structure!$A:$AJ,AK$1,0)*$D256,0),IFERROR(VLOOKUP($E:$E,Structure!$A:$AJ,AK$1,0)*$F256,0),IFERROR(VLOOKUP($G:$G,Structure!$A:$AJ,AK$1,0)*$H256,0))</f>
        <v>0</v>
      </c>
      <c r="AL256" s="9">
        <f>SUM(IFERROR(VLOOKUP($C:$C,Structure!$A:$AJ,AL$1,0)*$D256,0),IFERROR(VLOOKUP($E:$E,Structure!$A:$AJ,AL$1,0)*$F256,0),IFERROR(VLOOKUP($G:$G,Structure!$A:$AJ,AL$1,0)*$H256,0))</f>
        <v>0</v>
      </c>
      <c r="AM256" s="9">
        <f>SUM(IFERROR(VLOOKUP($C:$C,Structure!$A:$AJ,AM$1,0)*$D256,0),IFERROR(VLOOKUP($E:$E,Structure!$A:$AJ,AM$1,0)*$F256,0),IFERROR(VLOOKUP($G:$G,Structure!$A:$AJ,AM$1,0)*$H256,0))</f>
        <v>0</v>
      </c>
      <c r="AN256" s="9">
        <f>SUM(IFERROR(VLOOKUP($C:$C,Structure!$A:$AJ,AN$1,0)*$D256,0),IFERROR(VLOOKUP($E:$E,Structure!$A:$AJ,AN$1,0)*$F256,0),IFERROR(VLOOKUP($G:$G,Structure!$A:$AJ,AN$1,0)*$H256,0))</f>
        <v>0</v>
      </c>
      <c r="AO256" s="9">
        <f>SUM(IFERROR(VLOOKUP($C:$C,Structure!$A:$AJ,AO$1,0)*$D256,0),IFERROR(VLOOKUP($E:$E,Structure!$A:$AJ,AO$1,0)*$F256,0),IFERROR(VLOOKUP($G:$G,Structure!$A:$AJ,AO$1,0)*$H256,0))</f>
        <v>0</v>
      </c>
      <c r="AP256" s="9">
        <f>SUM(IFERROR(VLOOKUP($C:$C,Structure!$A:$AJ,AP$1,0)*$D256,0),IFERROR(VLOOKUP($E:$E,Structure!$A:$AJ,AP$1,0)*$F256,0),IFERROR(VLOOKUP($G:$G,Structure!$A:$AJ,AP$1,0)*$H256,0))</f>
        <v>0</v>
      </c>
      <c r="AQ256" s="9">
        <f>SUM(IFERROR(VLOOKUP($C:$C,Structure!$A:$AJ,AQ$1,0)*$D256,0),IFERROR(VLOOKUP($E:$E,Structure!$A:$AJ,AQ$1,0)*$F256,0),IFERROR(VLOOKUP($G:$G,Structure!$A:$AJ,AQ$1,0)*$H256,0))</f>
        <v>0</v>
      </c>
      <c r="AR256" s="21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4">
        <f t="shared" si="267"/>
        <v>0</v>
      </c>
      <c r="CE256" s="4">
        <f t="shared" si="268"/>
        <v>-220</v>
      </c>
      <c r="CF256" s="4">
        <f t="shared" si="269"/>
        <v>4</v>
      </c>
      <c r="CG256" s="4">
        <f t="shared" si="270"/>
        <v>11</v>
      </c>
      <c r="CH256" s="4">
        <f t="shared" si="271"/>
        <v>-7</v>
      </c>
      <c r="CI256" s="4">
        <f t="shared" si="272"/>
        <v>98</v>
      </c>
      <c r="CJ256" s="4">
        <f t="shared" si="273"/>
        <v>-391</v>
      </c>
      <c r="CK256" s="4">
        <f t="shared" si="274"/>
        <v>-41</v>
      </c>
      <c r="CL256" s="4">
        <f t="shared" si="275"/>
        <v>0</v>
      </c>
      <c r="CM256" s="4">
        <f t="shared" si="276"/>
        <v>6</v>
      </c>
      <c r="CN256" s="4">
        <f t="shared" si="277"/>
        <v>-278</v>
      </c>
      <c r="CO256" s="4">
        <f t="shared" si="278"/>
        <v>0</v>
      </c>
      <c r="CP256" s="4">
        <f t="shared" si="279"/>
        <v>27</v>
      </c>
      <c r="CQ256" s="4">
        <f t="shared" si="280"/>
        <v>-614</v>
      </c>
      <c r="CR256" s="4">
        <f t="shared" si="281"/>
        <v>12</v>
      </c>
      <c r="CS256" s="4">
        <f t="shared" si="282"/>
        <v>-53</v>
      </c>
      <c r="CT256" s="4">
        <f t="shared" si="283"/>
        <v>0</v>
      </c>
      <c r="CU256" s="4">
        <f t="shared" si="284"/>
        <v>0</v>
      </c>
      <c r="CV256" s="4">
        <f t="shared" si="285"/>
        <v>0</v>
      </c>
      <c r="CW256" s="4">
        <f t="shared" si="286"/>
        <v>0</v>
      </c>
      <c r="CX256" s="4">
        <f t="shared" si="287"/>
        <v>-647</v>
      </c>
      <c r="CY256" s="4">
        <f t="shared" si="288"/>
        <v>0</v>
      </c>
      <c r="CZ256" s="4">
        <f t="shared" si="289"/>
        <v>0</v>
      </c>
      <c r="DA256" s="4">
        <f t="shared" si="290"/>
        <v>0</v>
      </c>
      <c r="DB256" s="4">
        <f t="shared" si="291"/>
        <v>0</v>
      </c>
      <c r="DC256" s="4">
        <f t="shared" si="292"/>
        <v>0</v>
      </c>
      <c r="DD256" s="4">
        <f t="shared" si="293"/>
        <v>0</v>
      </c>
      <c r="DE256" s="4">
        <f t="shared" si="294"/>
        <v>0</v>
      </c>
      <c r="DF256" s="4">
        <f t="shared" si="295"/>
        <v>0</v>
      </c>
      <c r="DG256" s="4">
        <f t="shared" si="296"/>
        <v>0</v>
      </c>
      <c r="DH256" s="4">
        <f t="shared" si="297"/>
        <v>0</v>
      </c>
      <c r="DI256" s="4">
        <f t="shared" si="298"/>
        <v>0</v>
      </c>
      <c r="DJ256" s="4">
        <f t="shared" si="299"/>
        <v>0</v>
      </c>
      <c r="DK256" s="4">
        <f t="shared" si="300"/>
        <v>0</v>
      </c>
      <c r="DL256" s="4">
        <f t="shared" si="301"/>
        <v>0</v>
      </c>
    </row>
    <row r="257" spans="1:116" x14ac:dyDescent="0.25">
      <c r="A257" s="5">
        <v>46188</v>
      </c>
      <c r="B257" s="6">
        <v>0.60416666728269774</v>
      </c>
      <c r="C257" s="3"/>
      <c r="D257" s="3"/>
      <c r="E257" s="3" t="s">
        <v>38</v>
      </c>
      <c r="F257" s="3">
        <v>8</v>
      </c>
      <c r="G257" s="3"/>
      <c r="H257" s="9"/>
      <c r="I257" s="9">
        <f>SUM(IFERROR(VLOOKUP($C:$C,Structure!$A:$AJ,I$1,0)*$D257,0),IFERROR(VLOOKUP($E:$E,Structure!$A:$AJ,I$1,0)*$F257,0),IFERROR(VLOOKUP($G:$G,Structure!$A:$AJ,I$1,0)*$H257,0))</f>
        <v>0</v>
      </c>
      <c r="J257" s="9">
        <f>SUM(IFERROR(VLOOKUP($C:$C,Structure!$A:$AJ,J$1,0)*$D257,0),IFERROR(VLOOKUP($E:$E,Structure!$A:$AJ,J$1,0)*$F257,0),IFERROR(VLOOKUP($G:$G,Structure!$A:$AJ,J$1,0)*$H257,0))</f>
        <v>8</v>
      </c>
      <c r="K257" s="9">
        <f>SUM(IFERROR(VLOOKUP($C:$C,Structure!$A:$AJ,K$1,0)*$D257,0),IFERROR(VLOOKUP($E:$E,Structure!$A:$AJ,K$1,0)*$F257,0),IFERROR(VLOOKUP($G:$G,Structure!$A:$AJ,K$1,0)*$H257,0))</f>
        <v>0</v>
      </c>
      <c r="L257" s="9">
        <f>SUM(IFERROR(VLOOKUP($C:$C,Structure!$A:$AJ,L$1,0)*$D257,0),IFERROR(VLOOKUP($E:$E,Structure!$A:$AJ,L$1,0)*$F257,0),IFERROR(VLOOKUP($G:$G,Structure!$A:$AJ,L$1,0)*$H257,0))</f>
        <v>0</v>
      </c>
      <c r="M257" s="9">
        <f>SUM(IFERROR(VLOOKUP($C:$C,Structure!$A:$AJ,M$1,0)*$D257,0),IFERROR(VLOOKUP($E:$E,Structure!$A:$AJ,M$1,0)*$F257,0),IFERROR(VLOOKUP($G:$G,Structure!$A:$AJ,M$1,0)*$H257,0))</f>
        <v>0</v>
      </c>
      <c r="N257" s="9">
        <f>SUM(IFERROR(VLOOKUP($C:$C,Structure!$A:$AJ,N$1,0)*$D257,0),IFERROR(VLOOKUP($E:$E,Structure!$A:$AJ,N$1,0)*$F257,0),IFERROR(VLOOKUP($G:$G,Structure!$A:$AJ,N$1,0)*$H257,0))</f>
        <v>0</v>
      </c>
      <c r="O257" s="9">
        <f>SUM(IFERROR(VLOOKUP($C:$C,Structure!$A:$AJ,O$1,0)*$D257,0),IFERROR(VLOOKUP($E:$E,Structure!$A:$AJ,O$1,0)*$F257,0),IFERROR(VLOOKUP($G:$G,Structure!$A:$AJ,O$1,0)*$H257,0))</f>
        <v>0</v>
      </c>
      <c r="P257" s="9">
        <f>SUM(IFERROR(VLOOKUP($C:$C,Structure!$A:$AJ,P$1,0)*$D257,0),IFERROR(VLOOKUP($E:$E,Structure!$A:$AJ,P$1,0)*$F257,0),IFERROR(VLOOKUP($G:$G,Structure!$A:$AJ,P$1,0)*$H257,0))</f>
        <v>8</v>
      </c>
      <c r="Q257" s="9">
        <f>SUM(IFERROR(VLOOKUP($C:$C,Structure!$A:$AJ,Q$1,0)*$D257,0),IFERROR(VLOOKUP($E:$E,Structure!$A:$AJ,Q$1,0)*$F257,0),IFERROR(VLOOKUP($G:$G,Structure!$A:$AJ,Q$1,0)*$H257,0))</f>
        <v>0</v>
      </c>
      <c r="R257" s="9">
        <f>SUM(IFERROR(VLOOKUP($C:$C,Structure!$A:$AJ,R$1,0)*$D257,0),IFERROR(VLOOKUP($E:$E,Structure!$A:$AJ,R$1,0)*$F257,0),IFERROR(VLOOKUP($G:$G,Structure!$A:$AJ,R$1,0)*$H257,0))</f>
        <v>0</v>
      </c>
      <c r="S257" s="9">
        <f>SUM(IFERROR(VLOOKUP($C:$C,Structure!$A:$AJ,S$1,0)*$D257,0),IFERROR(VLOOKUP($E:$E,Structure!$A:$AJ,S$1,0)*$F257,0),IFERROR(VLOOKUP($G:$G,Structure!$A:$AJ,S$1,0)*$H257,0))</f>
        <v>0</v>
      </c>
      <c r="T257" s="9">
        <f>SUM(IFERROR(VLOOKUP($C:$C,Structure!$A:$AJ,T$1,0)*$D257,0),IFERROR(VLOOKUP($E:$E,Structure!$A:$AJ,T$1,0)*$F257,0),IFERROR(VLOOKUP($G:$G,Structure!$A:$AJ,T$1,0)*$H257,0))</f>
        <v>0</v>
      </c>
      <c r="U257" s="9">
        <f>SUM(IFERROR(VLOOKUP($C:$C,Structure!$A:$AJ,U$1,0)*$D257,0),IFERROR(VLOOKUP($E:$E,Structure!$A:$AJ,U$1,0)*$F257,0),IFERROR(VLOOKUP($G:$G,Structure!$A:$AJ,U$1,0)*$H257,0))</f>
        <v>0</v>
      </c>
      <c r="V257" s="9">
        <f>SUM(IFERROR(VLOOKUP($C:$C,Structure!$A:$AJ,V$1,0)*$D257,0),IFERROR(VLOOKUP($E:$E,Structure!$A:$AJ,V$1,0)*$F257,0),IFERROR(VLOOKUP($G:$G,Structure!$A:$AJ,V$1,0)*$H257,0))</f>
        <v>0</v>
      </c>
      <c r="W257" s="9">
        <f>SUM(IFERROR(VLOOKUP($C:$C,Structure!$A:$AJ,W$1,0)*$D257,0),IFERROR(VLOOKUP($E:$E,Structure!$A:$AJ,W$1,0)*$F257,0),IFERROR(VLOOKUP($G:$G,Structure!$A:$AJ,W$1,0)*$H257,0))</f>
        <v>0</v>
      </c>
      <c r="X257" s="9">
        <f>SUM(IFERROR(VLOOKUP($C:$C,Structure!$A:$AJ,X$1,0)*$D257,0),IFERROR(VLOOKUP($E:$E,Structure!$A:$AJ,X$1,0)*$F257,0),IFERROR(VLOOKUP($G:$G,Structure!$A:$AJ,X$1,0)*$H257,0))</f>
        <v>0</v>
      </c>
      <c r="Y257" s="9">
        <f>SUM(IFERROR(VLOOKUP($C:$C,Structure!$A:$AJ,Y$1,0)*$D257,0),IFERROR(VLOOKUP($E:$E,Structure!$A:$AJ,Y$1,0)*$F257,0),IFERROR(VLOOKUP($G:$G,Structure!$A:$AJ,Y$1,0)*$H257,0))</f>
        <v>0</v>
      </c>
      <c r="Z257" s="9">
        <f>SUM(IFERROR(VLOOKUP($C:$C,Structure!$A:$AJ,Z$1,0)*$D257,0),IFERROR(VLOOKUP($E:$E,Structure!$A:$AJ,Z$1,0)*$F257,0),IFERROR(VLOOKUP($G:$G,Structure!$A:$AJ,Z$1,0)*$H257,0))</f>
        <v>0</v>
      </c>
      <c r="AA257" s="9">
        <f>SUM(IFERROR(VLOOKUP($C:$C,Structure!$A:$AJ,AA$1,0)*$D257,0),IFERROR(VLOOKUP($E:$E,Structure!$A:$AJ,AA$1,0)*$F257,0),IFERROR(VLOOKUP($G:$G,Structure!$A:$AJ,AA$1,0)*$H257,0))</f>
        <v>0</v>
      </c>
      <c r="AB257" s="9">
        <f>SUM(IFERROR(VLOOKUP($C:$C,Structure!$A:$AJ,AB$1,0)*$D257,0),IFERROR(VLOOKUP($E:$E,Structure!$A:$AJ,AB$1,0)*$F257,0),IFERROR(VLOOKUP($G:$G,Structure!$A:$AJ,AB$1,0)*$H257,0))</f>
        <v>0</v>
      </c>
      <c r="AC257" s="9">
        <f>SUM(IFERROR(VLOOKUP($C:$C,Structure!$A:$AJ,AC$1,0)*$D257,0),IFERROR(VLOOKUP($E:$E,Structure!$A:$AJ,AC$1,0)*$F257,0),IFERROR(VLOOKUP($G:$G,Structure!$A:$AJ,AC$1,0)*$H257,0))</f>
        <v>0</v>
      </c>
      <c r="AD257" s="9">
        <f>SUM(IFERROR(VLOOKUP($C:$C,Structure!$A:$AJ,AD$1,0)*$D257,0),IFERROR(VLOOKUP($E:$E,Structure!$A:$AJ,AD$1,0)*$F257,0),IFERROR(VLOOKUP($G:$G,Structure!$A:$AJ,AD$1,0)*$H257,0))</f>
        <v>0</v>
      </c>
      <c r="AE257" s="9">
        <f>SUM(IFERROR(VLOOKUP($C:$C,Structure!$A:$AJ,AE$1,0)*$D257,0),IFERROR(VLOOKUP($E:$E,Structure!$A:$AJ,AE$1,0)*$F257,0),IFERROR(VLOOKUP($G:$G,Structure!$A:$AJ,AE$1,0)*$H257,0))</f>
        <v>0</v>
      </c>
      <c r="AF257" s="9">
        <f>SUM(IFERROR(VLOOKUP($C:$C,Structure!$A:$AJ,AF$1,0)*$D257,0),IFERROR(VLOOKUP($E:$E,Structure!$A:$AJ,AF$1,0)*$F257,0),IFERROR(VLOOKUP($G:$G,Structure!$A:$AJ,AF$1,0)*$H257,0))</f>
        <v>0</v>
      </c>
      <c r="AG257" s="9">
        <f>SUM(IFERROR(VLOOKUP($C:$C,Structure!$A:$AJ,AG$1,0)*$D257,0),IFERROR(VLOOKUP($E:$E,Structure!$A:$AJ,AG$1,0)*$F257,0),IFERROR(VLOOKUP($G:$G,Structure!$A:$AJ,AG$1,0)*$H257,0))</f>
        <v>0</v>
      </c>
      <c r="AH257" s="9">
        <f>SUM(IFERROR(VLOOKUP($C:$C,Structure!$A:$AJ,AH$1,0)*$D257,0),IFERROR(VLOOKUP($E:$E,Structure!$A:$AJ,AH$1,0)*$F257,0),IFERROR(VLOOKUP($G:$G,Structure!$A:$AJ,AH$1,0)*$H257,0))</f>
        <v>0</v>
      </c>
      <c r="AI257" s="9">
        <f>SUM(IFERROR(VLOOKUP($C:$C,Structure!$A:$AJ,AI$1,0)*$D257,0),IFERROR(VLOOKUP($E:$E,Structure!$A:$AJ,AI$1,0)*$F257,0),IFERROR(VLOOKUP($G:$G,Structure!$A:$AJ,AI$1,0)*$H257,0))</f>
        <v>0</v>
      </c>
      <c r="AJ257" s="9">
        <f>SUM(IFERROR(VLOOKUP($C:$C,Structure!$A:$AJ,AJ$1,0)*$D257,0),IFERROR(VLOOKUP($E:$E,Structure!$A:$AJ,AJ$1,0)*$F257,0),IFERROR(VLOOKUP($G:$G,Structure!$A:$AJ,AJ$1,0)*$H257,0))</f>
        <v>0</v>
      </c>
      <c r="AK257" s="9">
        <f>SUM(IFERROR(VLOOKUP($C:$C,Structure!$A:$AJ,AK$1,0)*$D257,0),IFERROR(VLOOKUP($E:$E,Structure!$A:$AJ,AK$1,0)*$F257,0),IFERROR(VLOOKUP($G:$G,Structure!$A:$AJ,AK$1,0)*$H257,0))</f>
        <v>0</v>
      </c>
      <c r="AL257" s="9">
        <f>SUM(IFERROR(VLOOKUP($C:$C,Structure!$A:$AJ,AL$1,0)*$D257,0),IFERROR(VLOOKUP($E:$E,Structure!$A:$AJ,AL$1,0)*$F257,0),IFERROR(VLOOKUP($G:$G,Structure!$A:$AJ,AL$1,0)*$H257,0))</f>
        <v>0</v>
      </c>
      <c r="AM257" s="9">
        <f>SUM(IFERROR(VLOOKUP($C:$C,Structure!$A:$AJ,AM$1,0)*$D257,0),IFERROR(VLOOKUP($E:$E,Structure!$A:$AJ,AM$1,0)*$F257,0),IFERROR(VLOOKUP($G:$G,Structure!$A:$AJ,AM$1,0)*$H257,0))</f>
        <v>0</v>
      </c>
      <c r="AN257" s="9">
        <f>SUM(IFERROR(VLOOKUP($C:$C,Structure!$A:$AJ,AN$1,0)*$D257,0),IFERROR(VLOOKUP($E:$E,Structure!$A:$AJ,AN$1,0)*$F257,0),IFERROR(VLOOKUP($G:$G,Structure!$A:$AJ,AN$1,0)*$H257,0))</f>
        <v>0</v>
      </c>
      <c r="AO257" s="9">
        <f>SUM(IFERROR(VLOOKUP($C:$C,Structure!$A:$AJ,AO$1,0)*$D257,0),IFERROR(VLOOKUP($E:$E,Structure!$A:$AJ,AO$1,0)*$F257,0),IFERROR(VLOOKUP($G:$G,Structure!$A:$AJ,AO$1,0)*$H257,0))</f>
        <v>0</v>
      </c>
      <c r="AP257" s="9">
        <f>SUM(IFERROR(VLOOKUP($C:$C,Structure!$A:$AJ,AP$1,0)*$D257,0),IFERROR(VLOOKUP($E:$E,Structure!$A:$AJ,AP$1,0)*$F257,0),IFERROR(VLOOKUP($G:$G,Structure!$A:$AJ,AP$1,0)*$H257,0))</f>
        <v>0</v>
      </c>
      <c r="AQ257" s="9">
        <f>SUM(IFERROR(VLOOKUP($C:$C,Structure!$A:$AJ,AQ$1,0)*$D257,0),IFERROR(VLOOKUP($E:$E,Structure!$A:$AJ,AQ$1,0)*$F257,0),IFERROR(VLOOKUP($G:$G,Structure!$A:$AJ,AQ$1,0)*$H257,0))</f>
        <v>0</v>
      </c>
      <c r="AR257" s="21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4">
        <f t="shared" si="267"/>
        <v>0</v>
      </c>
      <c r="CE257" s="4">
        <f t="shared" si="268"/>
        <v>-228</v>
      </c>
      <c r="CF257" s="4">
        <f t="shared" si="269"/>
        <v>4</v>
      </c>
      <c r="CG257" s="4">
        <f t="shared" si="270"/>
        <v>11</v>
      </c>
      <c r="CH257" s="4">
        <f t="shared" si="271"/>
        <v>-7</v>
      </c>
      <c r="CI257" s="4">
        <f t="shared" si="272"/>
        <v>98</v>
      </c>
      <c r="CJ257" s="4">
        <f t="shared" si="273"/>
        <v>-391</v>
      </c>
      <c r="CK257" s="4">
        <f t="shared" si="274"/>
        <v>-49</v>
      </c>
      <c r="CL257" s="4">
        <f t="shared" si="275"/>
        <v>0</v>
      </c>
      <c r="CM257" s="4">
        <f t="shared" si="276"/>
        <v>6</v>
      </c>
      <c r="CN257" s="4">
        <f t="shared" si="277"/>
        <v>-278</v>
      </c>
      <c r="CO257" s="4">
        <f t="shared" si="278"/>
        <v>0</v>
      </c>
      <c r="CP257" s="4">
        <f t="shared" si="279"/>
        <v>27</v>
      </c>
      <c r="CQ257" s="4">
        <f t="shared" si="280"/>
        <v>-614</v>
      </c>
      <c r="CR257" s="4">
        <f t="shared" si="281"/>
        <v>12</v>
      </c>
      <c r="CS257" s="4">
        <f t="shared" si="282"/>
        <v>-53</v>
      </c>
      <c r="CT257" s="4">
        <f t="shared" si="283"/>
        <v>0</v>
      </c>
      <c r="CU257" s="4">
        <f t="shared" si="284"/>
        <v>0</v>
      </c>
      <c r="CV257" s="4">
        <f t="shared" si="285"/>
        <v>0</v>
      </c>
      <c r="CW257" s="4">
        <f t="shared" si="286"/>
        <v>0</v>
      </c>
      <c r="CX257" s="4">
        <f t="shared" si="287"/>
        <v>-647</v>
      </c>
      <c r="CY257" s="4">
        <f t="shared" si="288"/>
        <v>0</v>
      </c>
      <c r="CZ257" s="4">
        <f t="shared" si="289"/>
        <v>0</v>
      </c>
      <c r="DA257" s="4">
        <f t="shared" si="290"/>
        <v>0</v>
      </c>
      <c r="DB257" s="4">
        <f t="shared" si="291"/>
        <v>0</v>
      </c>
      <c r="DC257" s="4">
        <f t="shared" si="292"/>
        <v>0</v>
      </c>
      <c r="DD257" s="4">
        <f t="shared" si="293"/>
        <v>0</v>
      </c>
      <c r="DE257" s="4">
        <f t="shared" si="294"/>
        <v>0</v>
      </c>
      <c r="DF257" s="4">
        <f t="shared" si="295"/>
        <v>0</v>
      </c>
      <c r="DG257" s="4">
        <f t="shared" si="296"/>
        <v>0</v>
      </c>
      <c r="DH257" s="4">
        <f t="shared" si="297"/>
        <v>0</v>
      </c>
      <c r="DI257" s="4">
        <f t="shared" si="298"/>
        <v>0</v>
      </c>
      <c r="DJ257" s="4">
        <f t="shared" si="299"/>
        <v>0</v>
      </c>
      <c r="DK257" s="4">
        <f t="shared" si="300"/>
        <v>0</v>
      </c>
      <c r="DL257" s="4">
        <f t="shared" si="301"/>
        <v>0</v>
      </c>
    </row>
    <row r="258" spans="1:116" x14ac:dyDescent="0.25">
      <c r="A258" s="5">
        <v>46188</v>
      </c>
      <c r="B258" s="6">
        <v>0.6250000006184564</v>
      </c>
      <c r="C258" s="3"/>
      <c r="D258" s="3"/>
      <c r="E258" s="3" t="s">
        <v>38</v>
      </c>
      <c r="F258" s="3">
        <v>8</v>
      </c>
      <c r="G258" s="3"/>
      <c r="H258" s="9"/>
      <c r="I258" s="9">
        <f>SUM(IFERROR(VLOOKUP($C:$C,Structure!$A:$AJ,I$1,0)*$D258,0),IFERROR(VLOOKUP($E:$E,Structure!$A:$AJ,I$1,0)*$F258,0),IFERROR(VLOOKUP($G:$G,Structure!$A:$AJ,I$1,0)*$H258,0))</f>
        <v>0</v>
      </c>
      <c r="J258" s="9">
        <f>SUM(IFERROR(VLOOKUP($C:$C,Structure!$A:$AJ,J$1,0)*$D258,0),IFERROR(VLOOKUP($E:$E,Structure!$A:$AJ,J$1,0)*$F258,0),IFERROR(VLOOKUP($G:$G,Structure!$A:$AJ,J$1,0)*$H258,0))</f>
        <v>8</v>
      </c>
      <c r="K258" s="9">
        <f>SUM(IFERROR(VLOOKUP($C:$C,Structure!$A:$AJ,K$1,0)*$D258,0),IFERROR(VLOOKUP($E:$E,Structure!$A:$AJ,K$1,0)*$F258,0),IFERROR(VLOOKUP($G:$G,Structure!$A:$AJ,K$1,0)*$H258,0))</f>
        <v>0</v>
      </c>
      <c r="L258" s="9">
        <f>SUM(IFERROR(VLOOKUP($C:$C,Structure!$A:$AJ,L$1,0)*$D258,0),IFERROR(VLOOKUP($E:$E,Structure!$A:$AJ,L$1,0)*$F258,0),IFERROR(VLOOKUP($G:$G,Structure!$A:$AJ,L$1,0)*$H258,0))</f>
        <v>0</v>
      </c>
      <c r="M258" s="9">
        <f>SUM(IFERROR(VLOOKUP($C:$C,Structure!$A:$AJ,M$1,0)*$D258,0),IFERROR(VLOOKUP($E:$E,Structure!$A:$AJ,M$1,0)*$F258,0),IFERROR(VLOOKUP($G:$G,Structure!$A:$AJ,M$1,0)*$H258,0))</f>
        <v>0</v>
      </c>
      <c r="N258" s="9">
        <f>SUM(IFERROR(VLOOKUP($C:$C,Structure!$A:$AJ,N$1,0)*$D258,0),IFERROR(VLOOKUP($E:$E,Structure!$A:$AJ,N$1,0)*$F258,0),IFERROR(VLOOKUP($G:$G,Structure!$A:$AJ,N$1,0)*$H258,0))</f>
        <v>0</v>
      </c>
      <c r="O258" s="9">
        <f>SUM(IFERROR(VLOOKUP($C:$C,Structure!$A:$AJ,O$1,0)*$D258,0),IFERROR(VLOOKUP($E:$E,Structure!$A:$AJ,O$1,0)*$F258,0),IFERROR(VLOOKUP($G:$G,Structure!$A:$AJ,O$1,0)*$H258,0))</f>
        <v>0</v>
      </c>
      <c r="P258" s="9">
        <f>SUM(IFERROR(VLOOKUP($C:$C,Structure!$A:$AJ,P$1,0)*$D258,0),IFERROR(VLOOKUP($E:$E,Structure!$A:$AJ,P$1,0)*$F258,0),IFERROR(VLOOKUP($G:$G,Structure!$A:$AJ,P$1,0)*$H258,0))</f>
        <v>8</v>
      </c>
      <c r="Q258" s="9">
        <f>SUM(IFERROR(VLOOKUP($C:$C,Structure!$A:$AJ,Q$1,0)*$D258,0),IFERROR(VLOOKUP($E:$E,Structure!$A:$AJ,Q$1,0)*$F258,0),IFERROR(VLOOKUP($G:$G,Structure!$A:$AJ,Q$1,0)*$H258,0))</f>
        <v>0</v>
      </c>
      <c r="R258" s="9">
        <f>SUM(IFERROR(VLOOKUP($C:$C,Structure!$A:$AJ,R$1,0)*$D258,0),IFERROR(VLOOKUP($E:$E,Structure!$A:$AJ,R$1,0)*$F258,0),IFERROR(VLOOKUP($G:$G,Structure!$A:$AJ,R$1,0)*$H258,0))</f>
        <v>0</v>
      </c>
      <c r="S258" s="9">
        <f>SUM(IFERROR(VLOOKUP($C:$C,Structure!$A:$AJ,S$1,0)*$D258,0),IFERROR(VLOOKUP($E:$E,Structure!$A:$AJ,S$1,0)*$F258,0),IFERROR(VLOOKUP($G:$G,Structure!$A:$AJ,S$1,0)*$H258,0))</f>
        <v>0</v>
      </c>
      <c r="T258" s="9">
        <f>SUM(IFERROR(VLOOKUP($C:$C,Structure!$A:$AJ,T$1,0)*$D258,0),IFERROR(VLOOKUP($E:$E,Structure!$A:$AJ,T$1,0)*$F258,0),IFERROR(VLOOKUP($G:$G,Structure!$A:$AJ,T$1,0)*$H258,0))</f>
        <v>0</v>
      </c>
      <c r="U258" s="9">
        <f>SUM(IFERROR(VLOOKUP($C:$C,Structure!$A:$AJ,U$1,0)*$D258,0),IFERROR(VLOOKUP($E:$E,Structure!$A:$AJ,U$1,0)*$F258,0),IFERROR(VLOOKUP($G:$G,Structure!$A:$AJ,U$1,0)*$H258,0))</f>
        <v>0</v>
      </c>
      <c r="V258" s="9">
        <f>SUM(IFERROR(VLOOKUP($C:$C,Structure!$A:$AJ,V$1,0)*$D258,0),IFERROR(VLOOKUP($E:$E,Structure!$A:$AJ,V$1,0)*$F258,0),IFERROR(VLOOKUP($G:$G,Structure!$A:$AJ,V$1,0)*$H258,0))</f>
        <v>0</v>
      </c>
      <c r="W258" s="9">
        <f>SUM(IFERROR(VLOOKUP($C:$C,Structure!$A:$AJ,W$1,0)*$D258,0),IFERROR(VLOOKUP($E:$E,Structure!$A:$AJ,W$1,0)*$F258,0),IFERROR(VLOOKUP($G:$G,Structure!$A:$AJ,W$1,0)*$H258,0))</f>
        <v>0</v>
      </c>
      <c r="X258" s="9">
        <f>SUM(IFERROR(VLOOKUP($C:$C,Structure!$A:$AJ,X$1,0)*$D258,0),IFERROR(VLOOKUP($E:$E,Structure!$A:$AJ,X$1,0)*$F258,0),IFERROR(VLOOKUP($G:$G,Structure!$A:$AJ,X$1,0)*$H258,0))</f>
        <v>0</v>
      </c>
      <c r="Y258" s="9">
        <f>SUM(IFERROR(VLOOKUP($C:$C,Structure!$A:$AJ,Y$1,0)*$D258,0),IFERROR(VLOOKUP($E:$E,Structure!$A:$AJ,Y$1,0)*$F258,0),IFERROR(VLOOKUP($G:$G,Structure!$A:$AJ,Y$1,0)*$H258,0))</f>
        <v>0</v>
      </c>
      <c r="Z258" s="9">
        <f>SUM(IFERROR(VLOOKUP($C:$C,Structure!$A:$AJ,Z$1,0)*$D258,0),IFERROR(VLOOKUP($E:$E,Structure!$A:$AJ,Z$1,0)*$F258,0),IFERROR(VLOOKUP($G:$G,Structure!$A:$AJ,Z$1,0)*$H258,0))</f>
        <v>0</v>
      </c>
      <c r="AA258" s="9">
        <f>SUM(IFERROR(VLOOKUP($C:$C,Structure!$A:$AJ,AA$1,0)*$D258,0),IFERROR(VLOOKUP($E:$E,Structure!$A:$AJ,AA$1,0)*$F258,0),IFERROR(VLOOKUP($G:$G,Structure!$A:$AJ,AA$1,0)*$H258,0))</f>
        <v>0</v>
      </c>
      <c r="AB258" s="9">
        <f>SUM(IFERROR(VLOOKUP($C:$C,Structure!$A:$AJ,AB$1,0)*$D258,0),IFERROR(VLOOKUP($E:$E,Structure!$A:$AJ,AB$1,0)*$F258,0),IFERROR(VLOOKUP($G:$G,Structure!$A:$AJ,AB$1,0)*$H258,0))</f>
        <v>0</v>
      </c>
      <c r="AC258" s="9">
        <f>SUM(IFERROR(VLOOKUP($C:$C,Structure!$A:$AJ,AC$1,0)*$D258,0),IFERROR(VLOOKUP($E:$E,Structure!$A:$AJ,AC$1,0)*$F258,0),IFERROR(VLOOKUP($G:$G,Structure!$A:$AJ,AC$1,0)*$H258,0))</f>
        <v>0</v>
      </c>
      <c r="AD258" s="9">
        <f>SUM(IFERROR(VLOOKUP($C:$C,Structure!$A:$AJ,AD$1,0)*$D258,0),IFERROR(VLOOKUP($E:$E,Structure!$A:$AJ,AD$1,0)*$F258,0),IFERROR(VLOOKUP($G:$G,Structure!$A:$AJ,AD$1,0)*$H258,0))</f>
        <v>0</v>
      </c>
      <c r="AE258" s="9">
        <f>SUM(IFERROR(VLOOKUP($C:$C,Structure!$A:$AJ,AE$1,0)*$D258,0),IFERROR(VLOOKUP($E:$E,Structure!$A:$AJ,AE$1,0)*$F258,0),IFERROR(VLOOKUP($G:$G,Structure!$A:$AJ,AE$1,0)*$H258,0))</f>
        <v>0</v>
      </c>
      <c r="AF258" s="9">
        <f>SUM(IFERROR(VLOOKUP($C:$C,Structure!$A:$AJ,AF$1,0)*$D258,0),IFERROR(VLOOKUP($E:$E,Structure!$A:$AJ,AF$1,0)*$F258,0),IFERROR(VLOOKUP($G:$G,Structure!$A:$AJ,AF$1,0)*$H258,0))</f>
        <v>0</v>
      </c>
      <c r="AG258" s="9">
        <f>SUM(IFERROR(VLOOKUP($C:$C,Structure!$A:$AJ,AG$1,0)*$D258,0),IFERROR(VLOOKUP($E:$E,Structure!$A:$AJ,AG$1,0)*$F258,0),IFERROR(VLOOKUP($G:$G,Structure!$A:$AJ,AG$1,0)*$H258,0))</f>
        <v>0</v>
      </c>
      <c r="AH258" s="9">
        <f>SUM(IFERROR(VLOOKUP($C:$C,Structure!$A:$AJ,AH$1,0)*$D258,0),IFERROR(VLOOKUP($E:$E,Structure!$A:$AJ,AH$1,0)*$F258,0),IFERROR(VLOOKUP($G:$G,Structure!$A:$AJ,AH$1,0)*$H258,0))</f>
        <v>0</v>
      </c>
      <c r="AI258" s="9">
        <f>SUM(IFERROR(VLOOKUP($C:$C,Structure!$A:$AJ,AI$1,0)*$D258,0),IFERROR(VLOOKUP($E:$E,Structure!$A:$AJ,AI$1,0)*$F258,0),IFERROR(VLOOKUP($G:$G,Structure!$A:$AJ,AI$1,0)*$H258,0))</f>
        <v>0</v>
      </c>
      <c r="AJ258" s="9">
        <f>SUM(IFERROR(VLOOKUP($C:$C,Structure!$A:$AJ,AJ$1,0)*$D258,0),IFERROR(VLOOKUP($E:$E,Structure!$A:$AJ,AJ$1,0)*$F258,0),IFERROR(VLOOKUP($G:$G,Structure!$A:$AJ,AJ$1,0)*$H258,0))</f>
        <v>0</v>
      </c>
      <c r="AK258" s="9">
        <f>SUM(IFERROR(VLOOKUP($C:$C,Structure!$A:$AJ,AK$1,0)*$D258,0),IFERROR(VLOOKUP($E:$E,Structure!$A:$AJ,AK$1,0)*$F258,0),IFERROR(VLOOKUP($G:$G,Structure!$A:$AJ,AK$1,0)*$H258,0))</f>
        <v>0</v>
      </c>
      <c r="AL258" s="9">
        <f>SUM(IFERROR(VLOOKUP($C:$C,Structure!$A:$AJ,AL$1,0)*$D258,0),IFERROR(VLOOKUP($E:$E,Structure!$A:$AJ,AL$1,0)*$F258,0),IFERROR(VLOOKUP($G:$G,Structure!$A:$AJ,AL$1,0)*$H258,0))</f>
        <v>0</v>
      </c>
      <c r="AM258" s="9">
        <f>SUM(IFERROR(VLOOKUP($C:$C,Structure!$A:$AJ,AM$1,0)*$D258,0),IFERROR(VLOOKUP($E:$E,Structure!$A:$AJ,AM$1,0)*$F258,0),IFERROR(VLOOKUP($G:$G,Structure!$A:$AJ,AM$1,0)*$H258,0))</f>
        <v>0</v>
      </c>
      <c r="AN258" s="9">
        <f>SUM(IFERROR(VLOOKUP($C:$C,Structure!$A:$AJ,AN$1,0)*$D258,0),IFERROR(VLOOKUP($E:$E,Structure!$A:$AJ,AN$1,0)*$F258,0),IFERROR(VLOOKUP($G:$G,Structure!$A:$AJ,AN$1,0)*$H258,0))</f>
        <v>0</v>
      </c>
      <c r="AO258" s="9">
        <f>SUM(IFERROR(VLOOKUP($C:$C,Structure!$A:$AJ,AO$1,0)*$D258,0),IFERROR(VLOOKUP($E:$E,Structure!$A:$AJ,AO$1,0)*$F258,0),IFERROR(VLOOKUP($G:$G,Structure!$A:$AJ,AO$1,0)*$H258,0))</f>
        <v>0</v>
      </c>
      <c r="AP258" s="9">
        <f>SUM(IFERROR(VLOOKUP($C:$C,Structure!$A:$AJ,AP$1,0)*$D258,0),IFERROR(VLOOKUP($E:$E,Structure!$A:$AJ,AP$1,0)*$F258,0),IFERROR(VLOOKUP($G:$G,Structure!$A:$AJ,AP$1,0)*$H258,0))</f>
        <v>0</v>
      </c>
      <c r="AQ258" s="9">
        <f>SUM(IFERROR(VLOOKUP($C:$C,Structure!$A:$AJ,AQ$1,0)*$D258,0),IFERROR(VLOOKUP($E:$E,Structure!$A:$AJ,AQ$1,0)*$F258,0),IFERROR(VLOOKUP($G:$G,Structure!$A:$AJ,AQ$1,0)*$H258,0))</f>
        <v>0</v>
      </c>
      <c r="AR258" s="21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4">
        <f t="shared" si="267"/>
        <v>0</v>
      </c>
      <c r="CE258" s="4">
        <f t="shared" si="268"/>
        <v>-236</v>
      </c>
      <c r="CF258" s="4">
        <f t="shared" si="269"/>
        <v>4</v>
      </c>
      <c r="CG258" s="4">
        <f t="shared" si="270"/>
        <v>11</v>
      </c>
      <c r="CH258" s="4">
        <f t="shared" si="271"/>
        <v>-7</v>
      </c>
      <c r="CI258" s="4">
        <f t="shared" si="272"/>
        <v>98</v>
      </c>
      <c r="CJ258" s="4">
        <f t="shared" si="273"/>
        <v>-391</v>
      </c>
      <c r="CK258" s="4">
        <f t="shared" si="274"/>
        <v>-57</v>
      </c>
      <c r="CL258" s="4">
        <f t="shared" si="275"/>
        <v>0</v>
      </c>
      <c r="CM258" s="4">
        <f t="shared" si="276"/>
        <v>6</v>
      </c>
      <c r="CN258" s="4">
        <f t="shared" si="277"/>
        <v>-278</v>
      </c>
      <c r="CO258" s="4">
        <f t="shared" si="278"/>
        <v>0</v>
      </c>
      <c r="CP258" s="4">
        <f t="shared" si="279"/>
        <v>27</v>
      </c>
      <c r="CQ258" s="4">
        <f t="shared" si="280"/>
        <v>-614</v>
      </c>
      <c r="CR258" s="4">
        <f t="shared" si="281"/>
        <v>12</v>
      </c>
      <c r="CS258" s="4">
        <f t="shared" si="282"/>
        <v>-53</v>
      </c>
      <c r="CT258" s="4">
        <f t="shared" si="283"/>
        <v>0</v>
      </c>
      <c r="CU258" s="4">
        <f t="shared" si="284"/>
        <v>0</v>
      </c>
      <c r="CV258" s="4">
        <f t="shared" si="285"/>
        <v>0</v>
      </c>
      <c r="CW258" s="4">
        <f t="shared" si="286"/>
        <v>0</v>
      </c>
      <c r="CX258" s="4">
        <f t="shared" si="287"/>
        <v>-647</v>
      </c>
      <c r="CY258" s="4">
        <f t="shared" si="288"/>
        <v>0</v>
      </c>
      <c r="CZ258" s="4">
        <f t="shared" si="289"/>
        <v>0</v>
      </c>
      <c r="DA258" s="4">
        <f t="shared" si="290"/>
        <v>0</v>
      </c>
      <c r="DB258" s="4">
        <f t="shared" si="291"/>
        <v>0</v>
      </c>
      <c r="DC258" s="4">
        <f t="shared" si="292"/>
        <v>0</v>
      </c>
      <c r="DD258" s="4">
        <f t="shared" si="293"/>
        <v>0</v>
      </c>
      <c r="DE258" s="4">
        <f t="shared" si="294"/>
        <v>0</v>
      </c>
      <c r="DF258" s="4">
        <f t="shared" si="295"/>
        <v>0</v>
      </c>
      <c r="DG258" s="4">
        <f t="shared" si="296"/>
        <v>0</v>
      </c>
      <c r="DH258" s="4">
        <f t="shared" si="297"/>
        <v>0</v>
      </c>
      <c r="DI258" s="4">
        <f t="shared" si="298"/>
        <v>0</v>
      </c>
      <c r="DJ258" s="4">
        <f t="shared" si="299"/>
        <v>0</v>
      </c>
      <c r="DK258" s="4">
        <f t="shared" si="300"/>
        <v>0</v>
      </c>
      <c r="DL258" s="4">
        <f t="shared" si="301"/>
        <v>0</v>
      </c>
    </row>
    <row r="259" spans="1:116" x14ac:dyDescent="0.25">
      <c r="A259" s="5">
        <v>46188</v>
      </c>
      <c r="B259" s="6">
        <v>0.64583333395421505</v>
      </c>
      <c r="C259" s="3"/>
      <c r="D259" s="3"/>
      <c r="E259" s="3" t="s">
        <v>25</v>
      </c>
      <c r="F259" s="3">
        <v>4</v>
      </c>
      <c r="G259" s="3"/>
      <c r="H259" s="9"/>
      <c r="I259" s="9">
        <f>SUM(IFERROR(VLOOKUP($C:$C,Structure!$A:$AJ,I$1,0)*$D259,0),IFERROR(VLOOKUP($E:$E,Structure!$A:$AJ,I$1,0)*$F259,0),IFERROR(VLOOKUP($G:$G,Structure!$A:$AJ,I$1,0)*$H259,0))</f>
        <v>0</v>
      </c>
      <c r="J259" s="9">
        <f>SUM(IFERROR(VLOOKUP($C:$C,Structure!$A:$AJ,J$1,0)*$D259,0),IFERROR(VLOOKUP($E:$E,Structure!$A:$AJ,J$1,0)*$F259,0),IFERROR(VLOOKUP($G:$G,Structure!$A:$AJ,J$1,0)*$H259,0))</f>
        <v>0</v>
      </c>
      <c r="K259" s="9">
        <f>SUM(IFERROR(VLOOKUP($C:$C,Structure!$A:$AJ,K$1,0)*$D259,0),IFERROR(VLOOKUP($E:$E,Structure!$A:$AJ,K$1,0)*$F259,0),IFERROR(VLOOKUP($G:$G,Structure!$A:$AJ,K$1,0)*$H259,0))</f>
        <v>0</v>
      </c>
      <c r="L259" s="9">
        <f>SUM(IFERROR(VLOOKUP($C:$C,Structure!$A:$AJ,L$1,0)*$D259,0),IFERROR(VLOOKUP($E:$E,Structure!$A:$AJ,L$1,0)*$F259,0),IFERROR(VLOOKUP($G:$G,Structure!$A:$AJ,L$1,0)*$H259,0))</f>
        <v>0</v>
      </c>
      <c r="M259" s="9">
        <f>SUM(IFERROR(VLOOKUP($C:$C,Structure!$A:$AJ,M$1,0)*$D259,0),IFERROR(VLOOKUP($E:$E,Structure!$A:$AJ,M$1,0)*$F259,0),IFERROR(VLOOKUP($G:$G,Structure!$A:$AJ,M$1,0)*$H259,0))</f>
        <v>0</v>
      </c>
      <c r="N259" s="9">
        <f>SUM(IFERROR(VLOOKUP($C:$C,Structure!$A:$AJ,N$1,0)*$D259,0),IFERROR(VLOOKUP($E:$E,Structure!$A:$AJ,N$1,0)*$F259,0),IFERROR(VLOOKUP($G:$G,Structure!$A:$AJ,N$1,0)*$H259,0))</f>
        <v>0</v>
      </c>
      <c r="O259" s="9">
        <f>SUM(IFERROR(VLOOKUP($C:$C,Structure!$A:$AJ,O$1,0)*$D259,0),IFERROR(VLOOKUP($E:$E,Structure!$A:$AJ,O$1,0)*$F259,0),IFERROR(VLOOKUP($G:$G,Structure!$A:$AJ,O$1,0)*$H259,0))</f>
        <v>0</v>
      </c>
      <c r="P259" s="9">
        <f>SUM(IFERROR(VLOOKUP($C:$C,Structure!$A:$AJ,P$1,0)*$D259,0),IFERROR(VLOOKUP($E:$E,Structure!$A:$AJ,P$1,0)*$F259,0),IFERROR(VLOOKUP($G:$G,Structure!$A:$AJ,P$1,0)*$H259,0))</f>
        <v>0</v>
      </c>
      <c r="Q259" s="9">
        <f>SUM(IFERROR(VLOOKUP($C:$C,Structure!$A:$AJ,Q$1,0)*$D259,0),IFERROR(VLOOKUP($E:$E,Structure!$A:$AJ,Q$1,0)*$F259,0),IFERROR(VLOOKUP($G:$G,Structure!$A:$AJ,Q$1,0)*$H259,0))</f>
        <v>0</v>
      </c>
      <c r="R259" s="9">
        <f>SUM(IFERROR(VLOOKUP($C:$C,Structure!$A:$AJ,R$1,0)*$D259,0),IFERROR(VLOOKUP($E:$E,Structure!$A:$AJ,R$1,0)*$F259,0),IFERROR(VLOOKUP($G:$G,Structure!$A:$AJ,R$1,0)*$H259,0))</f>
        <v>0</v>
      </c>
      <c r="S259" s="9">
        <f>SUM(IFERROR(VLOOKUP($C:$C,Structure!$A:$AJ,S$1,0)*$D259,0),IFERROR(VLOOKUP($E:$E,Structure!$A:$AJ,S$1,0)*$F259,0),IFERROR(VLOOKUP($G:$G,Structure!$A:$AJ,S$1,0)*$H259,0))</f>
        <v>0</v>
      </c>
      <c r="T259" s="9">
        <f>SUM(IFERROR(VLOOKUP($C:$C,Structure!$A:$AJ,T$1,0)*$D259,0),IFERROR(VLOOKUP($E:$E,Structure!$A:$AJ,T$1,0)*$F259,0),IFERROR(VLOOKUP($G:$G,Structure!$A:$AJ,T$1,0)*$H259,0))</f>
        <v>0</v>
      </c>
      <c r="U259" s="9">
        <f>SUM(IFERROR(VLOOKUP($C:$C,Structure!$A:$AJ,U$1,0)*$D259,0),IFERROR(VLOOKUP($E:$E,Structure!$A:$AJ,U$1,0)*$F259,0),IFERROR(VLOOKUP($G:$G,Structure!$A:$AJ,U$1,0)*$H259,0))</f>
        <v>4</v>
      </c>
      <c r="V259" s="9">
        <f>SUM(IFERROR(VLOOKUP($C:$C,Structure!$A:$AJ,V$1,0)*$D259,0),IFERROR(VLOOKUP($E:$E,Structure!$A:$AJ,V$1,0)*$F259,0),IFERROR(VLOOKUP($G:$G,Structure!$A:$AJ,V$1,0)*$H259,0))</f>
        <v>0</v>
      </c>
      <c r="W259" s="9">
        <f>SUM(IFERROR(VLOOKUP($C:$C,Structure!$A:$AJ,W$1,0)*$D259,0),IFERROR(VLOOKUP($E:$E,Structure!$A:$AJ,W$1,0)*$F259,0),IFERROR(VLOOKUP($G:$G,Structure!$A:$AJ,W$1,0)*$H259,0))</f>
        <v>0</v>
      </c>
      <c r="X259" s="9">
        <f>SUM(IFERROR(VLOOKUP($C:$C,Structure!$A:$AJ,X$1,0)*$D259,0),IFERROR(VLOOKUP($E:$E,Structure!$A:$AJ,X$1,0)*$F259,0),IFERROR(VLOOKUP($G:$G,Structure!$A:$AJ,X$1,0)*$H259,0))</f>
        <v>0</v>
      </c>
      <c r="Y259" s="9">
        <f>SUM(IFERROR(VLOOKUP($C:$C,Structure!$A:$AJ,Y$1,0)*$D259,0),IFERROR(VLOOKUP($E:$E,Structure!$A:$AJ,Y$1,0)*$F259,0),IFERROR(VLOOKUP($G:$G,Structure!$A:$AJ,Y$1,0)*$H259,0))</f>
        <v>0</v>
      </c>
      <c r="Z259" s="9">
        <f>SUM(IFERROR(VLOOKUP($C:$C,Structure!$A:$AJ,Z$1,0)*$D259,0),IFERROR(VLOOKUP($E:$E,Structure!$A:$AJ,Z$1,0)*$F259,0),IFERROR(VLOOKUP($G:$G,Structure!$A:$AJ,Z$1,0)*$H259,0))</f>
        <v>0</v>
      </c>
      <c r="AA259" s="9">
        <f>SUM(IFERROR(VLOOKUP($C:$C,Structure!$A:$AJ,AA$1,0)*$D259,0),IFERROR(VLOOKUP($E:$E,Structure!$A:$AJ,AA$1,0)*$F259,0),IFERROR(VLOOKUP($G:$G,Structure!$A:$AJ,AA$1,0)*$H259,0))</f>
        <v>0</v>
      </c>
      <c r="AB259" s="9">
        <f>SUM(IFERROR(VLOOKUP($C:$C,Structure!$A:$AJ,AB$1,0)*$D259,0),IFERROR(VLOOKUP($E:$E,Structure!$A:$AJ,AB$1,0)*$F259,0),IFERROR(VLOOKUP($G:$G,Structure!$A:$AJ,AB$1,0)*$H259,0))</f>
        <v>0</v>
      </c>
      <c r="AC259" s="9">
        <f>SUM(IFERROR(VLOOKUP($C:$C,Structure!$A:$AJ,AC$1,0)*$D259,0),IFERROR(VLOOKUP($E:$E,Structure!$A:$AJ,AC$1,0)*$F259,0),IFERROR(VLOOKUP($G:$G,Structure!$A:$AJ,AC$1,0)*$H259,0))</f>
        <v>4</v>
      </c>
      <c r="AD259" s="9">
        <f>SUM(IFERROR(VLOOKUP($C:$C,Structure!$A:$AJ,AD$1,0)*$D259,0),IFERROR(VLOOKUP($E:$E,Structure!$A:$AJ,AD$1,0)*$F259,0),IFERROR(VLOOKUP($G:$G,Structure!$A:$AJ,AD$1,0)*$H259,0))</f>
        <v>0</v>
      </c>
      <c r="AE259" s="9">
        <f>SUM(IFERROR(VLOOKUP($C:$C,Structure!$A:$AJ,AE$1,0)*$D259,0),IFERROR(VLOOKUP($E:$E,Structure!$A:$AJ,AE$1,0)*$F259,0),IFERROR(VLOOKUP($G:$G,Structure!$A:$AJ,AE$1,0)*$H259,0))</f>
        <v>0</v>
      </c>
      <c r="AF259" s="9">
        <f>SUM(IFERROR(VLOOKUP($C:$C,Structure!$A:$AJ,AF$1,0)*$D259,0),IFERROR(VLOOKUP($E:$E,Structure!$A:$AJ,AF$1,0)*$F259,0),IFERROR(VLOOKUP($G:$G,Structure!$A:$AJ,AF$1,0)*$H259,0))</f>
        <v>0</v>
      </c>
      <c r="AG259" s="9">
        <f>SUM(IFERROR(VLOOKUP($C:$C,Structure!$A:$AJ,AG$1,0)*$D259,0),IFERROR(VLOOKUP($E:$E,Structure!$A:$AJ,AG$1,0)*$F259,0),IFERROR(VLOOKUP($G:$G,Structure!$A:$AJ,AG$1,0)*$H259,0))</f>
        <v>0</v>
      </c>
      <c r="AH259" s="9">
        <f>SUM(IFERROR(VLOOKUP($C:$C,Structure!$A:$AJ,AH$1,0)*$D259,0),IFERROR(VLOOKUP($E:$E,Structure!$A:$AJ,AH$1,0)*$F259,0),IFERROR(VLOOKUP($G:$G,Structure!$A:$AJ,AH$1,0)*$H259,0))</f>
        <v>0</v>
      </c>
      <c r="AI259" s="9">
        <f>SUM(IFERROR(VLOOKUP($C:$C,Structure!$A:$AJ,AI$1,0)*$D259,0),IFERROR(VLOOKUP($E:$E,Structure!$A:$AJ,AI$1,0)*$F259,0),IFERROR(VLOOKUP($G:$G,Structure!$A:$AJ,AI$1,0)*$H259,0))</f>
        <v>0</v>
      </c>
      <c r="AJ259" s="9">
        <f>SUM(IFERROR(VLOOKUP($C:$C,Structure!$A:$AJ,AJ$1,0)*$D259,0),IFERROR(VLOOKUP($E:$E,Structure!$A:$AJ,AJ$1,0)*$F259,0),IFERROR(VLOOKUP($G:$G,Structure!$A:$AJ,AJ$1,0)*$H259,0))</f>
        <v>0</v>
      </c>
      <c r="AK259" s="9">
        <f>SUM(IFERROR(VLOOKUP($C:$C,Structure!$A:$AJ,AK$1,0)*$D259,0),IFERROR(VLOOKUP($E:$E,Structure!$A:$AJ,AK$1,0)*$F259,0),IFERROR(VLOOKUP($G:$G,Structure!$A:$AJ,AK$1,0)*$H259,0))</f>
        <v>0</v>
      </c>
      <c r="AL259" s="9">
        <f>SUM(IFERROR(VLOOKUP($C:$C,Structure!$A:$AJ,AL$1,0)*$D259,0),IFERROR(VLOOKUP($E:$E,Structure!$A:$AJ,AL$1,0)*$F259,0),IFERROR(VLOOKUP($G:$G,Structure!$A:$AJ,AL$1,0)*$H259,0))</f>
        <v>0</v>
      </c>
      <c r="AM259" s="9">
        <f>SUM(IFERROR(VLOOKUP($C:$C,Structure!$A:$AJ,AM$1,0)*$D259,0),IFERROR(VLOOKUP($E:$E,Structure!$A:$AJ,AM$1,0)*$F259,0),IFERROR(VLOOKUP($G:$G,Structure!$A:$AJ,AM$1,0)*$H259,0))</f>
        <v>0</v>
      </c>
      <c r="AN259" s="9">
        <f>SUM(IFERROR(VLOOKUP($C:$C,Structure!$A:$AJ,AN$1,0)*$D259,0),IFERROR(VLOOKUP($E:$E,Structure!$A:$AJ,AN$1,0)*$F259,0),IFERROR(VLOOKUP($G:$G,Structure!$A:$AJ,AN$1,0)*$H259,0))</f>
        <v>0</v>
      </c>
      <c r="AO259" s="9">
        <f>SUM(IFERROR(VLOOKUP($C:$C,Structure!$A:$AJ,AO$1,0)*$D259,0),IFERROR(VLOOKUP($E:$E,Structure!$A:$AJ,AO$1,0)*$F259,0),IFERROR(VLOOKUP($G:$G,Structure!$A:$AJ,AO$1,0)*$H259,0))</f>
        <v>0</v>
      </c>
      <c r="AP259" s="9">
        <f>SUM(IFERROR(VLOOKUP($C:$C,Structure!$A:$AJ,AP$1,0)*$D259,0),IFERROR(VLOOKUP($E:$E,Structure!$A:$AJ,AP$1,0)*$F259,0),IFERROR(VLOOKUP($G:$G,Structure!$A:$AJ,AP$1,0)*$H259,0))</f>
        <v>0</v>
      </c>
      <c r="AQ259" s="9">
        <f>SUM(IFERROR(VLOOKUP($C:$C,Structure!$A:$AJ,AQ$1,0)*$D259,0),IFERROR(VLOOKUP($E:$E,Structure!$A:$AJ,AQ$1,0)*$F259,0),IFERROR(VLOOKUP($G:$G,Structure!$A:$AJ,AQ$1,0)*$H259,0))</f>
        <v>0</v>
      </c>
      <c r="AR259" s="21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4">
        <f t="shared" si="267"/>
        <v>0</v>
      </c>
      <c r="CE259" s="4">
        <f t="shared" si="268"/>
        <v>-236</v>
      </c>
      <c r="CF259" s="4">
        <f t="shared" si="269"/>
        <v>4</v>
      </c>
      <c r="CG259" s="4">
        <f t="shared" si="270"/>
        <v>11</v>
      </c>
      <c r="CH259" s="4">
        <f t="shared" si="271"/>
        <v>-7</v>
      </c>
      <c r="CI259" s="4">
        <f t="shared" si="272"/>
        <v>98</v>
      </c>
      <c r="CJ259" s="4">
        <f t="shared" si="273"/>
        <v>-391</v>
      </c>
      <c r="CK259" s="4">
        <f t="shared" si="274"/>
        <v>-57</v>
      </c>
      <c r="CL259" s="4">
        <f t="shared" si="275"/>
        <v>0</v>
      </c>
      <c r="CM259" s="4">
        <f t="shared" si="276"/>
        <v>6</v>
      </c>
      <c r="CN259" s="4">
        <f t="shared" si="277"/>
        <v>-278</v>
      </c>
      <c r="CO259" s="4">
        <f t="shared" si="278"/>
        <v>0</v>
      </c>
      <c r="CP259" s="4">
        <f t="shared" si="279"/>
        <v>23</v>
      </c>
      <c r="CQ259" s="4">
        <f t="shared" si="280"/>
        <v>-614</v>
      </c>
      <c r="CR259" s="4">
        <f t="shared" si="281"/>
        <v>12</v>
      </c>
      <c r="CS259" s="4">
        <f t="shared" si="282"/>
        <v>-53</v>
      </c>
      <c r="CT259" s="4">
        <f t="shared" si="283"/>
        <v>0</v>
      </c>
      <c r="CU259" s="4">
        <f t="shared" si="284"/>
        <v>0</v>
      </c>
      <c r="CV259" s="4">
        <f t="shared" si="285"/>
        <v>0</v>
      </c>
      <c r="CW259" s="4">
        <f t="shared" si="286"/>
        <v>0</v>
      </c>
      <c r="CX259" s="4">
        <f t="shared" si="287"/>
        <v>-651</v>
      </c>
      <c r="CY259" s="4">
        <f t="shared" si="288"/>
        <v>0</v>
      </c>
      <c r="CZ259" s="4">
        <f t="shared" si="289"/>
        <v>0</v>
      </c>
      <c r="DA259" s="4">
        <f t="shared" si="290"/>
        <v>0</v>
      </c>
      <c r="DB259" s="4">
        <f t="shared" si="291"/>
        <v>0</v>
      </c>
      <c r="DC259" s="4">
        <f t="shared" si="292"/>
        <v>0</v>
      </c>
      <c r="DD259" s="4">
        <f t="shared" si="293"/>
        <v>0</v>
      </c>
      <c r="DE259" s="4">
        <f t="shared" si="294"/>
        <v>0</v>
      </c>
      <c r="DF259" s="4">
        <f t="shared" si="295"/>
        <v>0</v>
      </c>
      <c r="DG259" s="4">
        <f t="shared" si="296"/>
        <v>0</v>
      </c>
      <c r="DH259" s="4">
        <f t="shared" si="297"/>
        <v>0</v>
      </c>
      <c r="DI259" s="4">
        <f t="shared" si="298"/>
        <v>0</v>
      </c>
      <c r="DJ259" s="4">
        <f t="shared" si="299"/>
        <v>0</v>
      </c>
      <c r="DK259" s="4">
        <f t="shared" si="300"/>
        <v>0</v>
      </c>
      <c r="DL259" s="4">
        <f t="shared" si="301"/>
        <v>0</v>
      </c>
    </row>
    <row r="260" spans="1:116" x14ac:dyDescent="0.25">
      <c r="A260" s="5">
        <v>46188</v>
      </c>
      <c r="B260" s="6">
        <v>0.6666666672899737</v>
      </c>
      <c r="C260" s="3"/>
      <c r="D260" s="3"/>
      <c r="E260" s="3" t="s">
        <v>25</v>
      </c>
      <c r="F260" s="3">
        <v>8</v>
      </c>
      <c r="G260" s="3"/>
      <c r="H260" s="9"/>
      <c r="I260" s="9">
        <f>SUM(IFERROR(VLOOKUP($C:$C,Structure!$A:$AJ,I$1,0)*$D260,0),IFERROR(VLOOKUP($E:$E,Structure!$A:$AJ,I$1,0)*$F260,0),IFERROR(VLOOKUP($G:$G,Structure!$A:$AJ,I$1,0)*$H260,0))</f>
        <v>0</v>
      </c>
      <c r="J260" s="9">
        <f>SUM(IFERROR(VLOOKUP($C:$C,Structure!$A:$AJ,J$1,0)*$D260,0),IFERROR(VLOOKUP($E:$E,Structure!$A:$AJ,J$1,0)*$F260,0),IFERROR(VLOOKUP($G:$G,Structure!$A:$AJ,J$1,0)*$H260,0))</f>
        <v>0</v>
      </c>
      <c r="K260" s="9">
        <f>SUM(IFERROR(VLOOKUP($C:$C,Structure!$A:$AJ,K$1,0)*$D260,0),IFERROR(VLOOKUP($E:$E,Structure!$A:$AJ,K$1,0)*$F260,0),IFERROR(VLOOKUP($G:$G,Structure!$A:$AJ,K$1,0)*$H260,0))</f>
        <v>0</v>
      </c>
      <c r="L260" s="9">
        <f>SUM(IFERROR(VLOOKUP($C:$C,Structure!$A:$AJ,L$1,0)*$D260,0),IFERROR(VLOOKUP($E:$E,Structure!$A:$AJ,L$1,0)*$F260,0),IFERROR(VLOOKUP($G:$G,Structure!$A:$AJ,L$1,0)*$H260,0))</f>
        <v>0</v>
      </c>
      <c r="M260" s="9">
        <f>SUM(IFERROR(VLOOKUP($C:$C,Structure!$A:$AJ,M$1,0)*$D260,0),IFERROR(VLOOKUP($E:$E,Structure!$A:$AJ,M$1,0)*$F260,0),IFERROR(VLOOKUP($G:$G,Structure!$A:$AJ,M$1,0)*$H260,0))</f>
        <v>0</v>
      </c>
      <c r="N260" s="9">
        <f>SUM(IFERROR(VLOOKUP($C:$C,Structure!$A:$AJ,N$1,0)*$D260,0),IFERROR(VLOOKUP($E:$E,Structure!$A:$AJ,N$1,0)*$F260,0),IFERROR(VLOOKUP($G:$G,Structure!$A:$AJ,N$1,0)*$H260,0))</f>
        <v>0</v>
      </c>
      <c r="O260" s="9">
        <f>SUM(IFERROR(VLOOKUP($C:$C,Structure!$A:$AJ,O$1,0)*$D260,0),IFERROR(VLOOKUP($E:$E,Structure!$A:$AJ,O$1,0)*$F260,0),IFERROR(VLOOKUP($G:$G,Structure!$A:$AJ,O$1,0)*$H260,0))</f>
        <v>0</v>
      </c>
      <c r="P260" s="9">
        <f>SUM(IFERROR(VLOOKUP($C:$C,Structure!$A:$AJ,P$1,0)*$D260,0),IFERROR(VLOOKUP($E:$E,Structure!$A:$AJ,P$1,0)*$F260,0),IFERROR(VLOOKUP($G:$G,Structure!$A:$AJ,P$1,0)*$H260,0))</f>
        <v>0</v>
      </c>
      <c r="Q260" s="9">
        <f>SUM(IFERROR(VLOOKUP($C:$C,Structure!$A:$AJ,Q$1,0)*$D260,0),IFERROR(VLOOKUP($E:$E,Structure!$A:$AJ,Q$1,0)*$F260,0),IFERROR(VLOOKUP($G:$G,Structure!$A:$AJ,Q$1,0)*$H260,0))</f>
        <v>0</v>
      </c>
      <c r="R260" s="9">
        <f>SUM(IFERROR(VLOOKUP($C:$C,Structure!$A:$AJ,R$1,0)*$D260,0),IFERROR(VLOOKUP($E:$E,Structure!$A:$AJ,R$1,0)*$F260,0),IFERROR(VLOOKUP($G:$G,Structure!$A:$AJ,R$1,0)*$H260,0))</f>
        <v>0</v>
      </c>
      <c r="S260" s="9">
        <f>SUM(IFERROR(VLOOKUP($C:$C,Structure!$A:$AJ,S$1,0)*$D260,0),IFERROR(VLOOKUP($E:$E,Structure!$A:$AJ,S$1,0)*$F260,0),IFERROR(VLOOKUP($G:$G,Structure!$A:$AJ,S$1,0)*$H260,0))</f>
        <v>0</v>
      </c>
      <c r="T260" s="9">
        <f>SUM(IFERROR(VLOOKUP($C:$C,Structure!$A:$AJ,T$1,0)*$D260,0),IFERROR(VLOOKUP($E:$E,Structure!$A:$AJ,T$1,0)*$F260,0),IFERROR(VLOOKUP($G:$G,Structure!$A:$AJ,T$1,0)*$H260,0))</f>
        <v>0</v>
      </c>
      <c r="U260" s="9">
        <f>SUM(IFERROR(VLOOKUP($C:$C,Structure!$A:$AJ,U$1,0)*$D260,0),IFERROR(VLOOKUP($E:$E,Structure!$A:$AJ,U$1,0)*$F260,0),IFERROR(VLOOKUP($G:$G,Structure!$A:$AJ,U$1,0)*$H260,0))</f>
        <v>8</v>
      </c>
      <c r="V260" s="9">
        <f>SUM(IFERROR(VLOOKUP($C:$C,Structure!$A:$AJ,V$1,0)*$D260,0),IFERROR(VLOOKUP($E:$E,Structure!$A:$AJ,V$1,0)*$F260,0),IFERROR(VLOOKUP($G:$G,Structure!$A:$AJ,V$1,0)*$H260,0))</f>
        <v>0</v>
      </c>
      <c r="W260" s="9">
        <f>SUM(IFERROR(VLOOKUP($C:$C,Structure!$A:$AJ,W$1,0)*$D260,0),IFERROR(VLOOKUP($E:$E,Structure!$A:$AJ,W$1,0)*$F260,0),IFERROR(VLOOKUP($G:$G,Structure!$A:$AJ,W$1,0)*$H260,0))</f>
        <v>0</v>
      </c>
      <c r="X260" s="9">
        <f>SUM(IFERROR(VLOOKUP($C:$C,Structure!$A:$AJ,X$1,0)*$D260,0),IFERROR(VLOOKUP($E:$E,Structure!$A:$AJ,X$1,0)*$F260,0),IFERROR(VLOOKUP($G:$G,Structure!$A:$AJ,X$1,0)*$H260,0))</f>
        <v>0</v>
      </c>
      <c r="Y260" s="9">
        <f>SUM(IFERROR(VLOOKUP($C:$C,Structure!$A:$AJ,Y$1,0)*$D260,0),IFERROR(VLOOKUP($E:$E,Structure!$A:$AJ,Y$1,0)*$F260,0),IFERROR(VLOOKUP($G:$G,Structure!$A:$AJ,Y$1,0)*$H260,0))</f>
        <v>0</v>
      </c>
      <c r="Z260" s="9">
        <f>SUM(IFERROR(VLOOKUP($C:$C,Structure!$A:$AJ,Z$1,0)*$D260,0),IFERROR(VLOOKUP($E:$E,Structure!$A:$AJ,Z$1,0)*$F260,0),IFERROR(VLOOKUP($G:$G,Structure!$A:$AJ,Z$1,0)*$H260,0))</f>
        <v>0</v>
      </c>
      <c r="AA260" s="9">
        <f>SUM(IFERROR(VLOOKUP($C:$C,Structure!$A:$AJ,AA$1,0)*$D260,0),IFERROR(VLOOKUP($E:$E,Structure!$A:$AJ,AA$1,0)*$F260,0),IFERROR(VLOOKUP($G:$G,Structure!$A:$AJ,AA$1,0)*$H260,0))</f>
        <v>0</v>
      </c>
      <c r="AB260" s="9">
        <f>SUM(IFERROR(VLOOKUP($C:$C,Structure!$A:$AJ,AB$1,0)*$D260,0),IFERROR(VLOOKUP($E:$E,Structure!$A:$AJ,AB$1,0)*$F260,0),IFERROR(VLOOKUP($G:$G,Structure!$A:$AJ,AB$1,0)*$H260,0))</f>
        <v>0</v>
      </c>
      <c r="AC260" s="9">
        <f>SUM(IFERROR(VLOOKUP($C:$C,Structure!$A:$AJ,AC$1,0)*$D260,0),IFERROR(VLOOKUP($E:$E,Structure!$A:$AJ,AC$1,0)*$F260,0),IFERROR(VLOOKUP($G:$G,Structure!$A:$AJ,AC$1,0)*$H260,0))</f>
        <v>8</v>
      </c>
      <c r="AD260" s="9">
        <f>SUM(IFERROR(VLOOKUP($C:$C,Structure!$A:$AJ,AD$1,0)*$D260,0),IFERROR(VLOOKUP($E:$E,Structure!$A:$AJ,AD$1,0)*$F260,0),IFERROR(VLOOKUP($G:$G,Structure!$A:$AJ,AD$1,0)*$H260,0))</f>
        <v>0</v>
      </c>
      <c r="AE260" s="9">
        <f>SUM(IFERROR(VLOOKUP($C:$C,Structure!$A:$AJ,AE$1,0)*$D260,0),IFERROR(VLOOKUP($E:$E,Structure!$A:$AJ,AE$1,0)*$F260,0),IFERROR(VLOOKUP($G:$G,Structure!$A:$AJ,AE$1,0)*$H260,0))</f>
        <v>0</v>
      </c>
      <c r="AF260" s="9">
        <f>SUM(IFERROR(VLOOKUP($C:$C,Structure!$A:$AJ,AF$1,0)*$D260,0),IFERROR(VLOOKUP($E:$E,Structure!$A:$AJ,AF$1,0)*$F260,0),IFERROR(VLOOKUP($G:$G,Structure!$A:$AJ,AF$1,0)*$H260,0))</f>
        <v>0</v>
      </c>
      <c r="AG260" s="9">
        <f>SUM(IFERROR(VLOOKUP($C:$C,Structure!$A:$AJ,AG$1,0)*$D260,0),IFERROR(VLOOKUP($E:$E,Structure!$A:$AJ,AG$1,0)*$F260,0),IFERROR(VLOOKUP($G:$G,Structure!$A:$AJ,AG$1,0)*$H260,0))</f>
        <v>0</v>
      </c>
      <c r="AH260" s="9">
        <f>SUM(IFERROR(VLOOKUP($C:$C,Structure!$A:$AJ,AH$1,0)*$D260,0),IFERROR(VLOOKUP($E:$E,Structure!$A:$AJ,AH$1,0)*$F260,0),IFERROR(VLOOKUP($G:$G,Structure!$A:$AJ,AH$1,0)*$H260,0))</f>
        <v>0</v>
      </c>
      <c r="AI260" s="9">
        <f>SUM(IFERROR(VLOOKUP($C:$C,Structure!$A:$AJ,AI$1,0)*$D260,0),IFERROR(VLOOKUP($E:$E,Structure!$A:$AJ,AI$1,0)*$F260,0),IFERROR(VLOOKUP($G:$G,Structure!$A:$AJ,AI$1,0)*$H260,0))</f>
        <v>0</v>
      </c>
      <c r="AJ260" s="9">
        <f>SUM(IFERROR(VLOOKUP($C:$C,Structure!$A:$AJ,AJ$1,0)*$D260,0),IFERROR(VLOOKUP($E:$E,Structure!$A:$AJ,AJ$1,0)*$F260,0),IFERROR(VLOOKUP($G:$G,Structure!$A:$AJ,AJ$1,0)*$H260,0))</f>
        <v>0</v>
      </c>
      <c r="AK260" s="9">
        <f>SUM(IFERROR(VLOOKUP($C:$C,Structure!$A:$AJ,AK$1,0)*$D260,0),IFERROR(VLOOKUP($E:$E,Structure!$A:$AJ,AK$1,0)*$F260,0),IFERROR(VLOOKUP($G:$G,Structure!$A:$AJ,AK$1,0)*$H260,0))</f>
        <v>0</v>
      </c>
      <c r="AL260" s="9">
        <f>SUM(IFERROR(VLOOKUP($C:$C,Structure!$A:$AJ,AL$1,0)*$D260,0),IFERROR(VLOOKUP($E:$E,Structure!$A:$AJ,AL$1,0)*$F260,0),IFERROR(VLOOKUP($G:$G,Structure!$A:$AJ,AL$1,0)*$H260,0))</f>
        <v>0</v>
      </c>
      <c r="AM260" s="9">
        <f>SUM(IFERROR(VLOOKUP($C:$C,Structure!$A:$AJ,AM$1,0)*$D260,0),IFERROR(VLOOKUP($E:$E,Structure!$A:$AJ,AM$1,0)*$F260,0),IFERROR(VLOOKUP($G:$G,Structure!$A:$AJ,AM$1,0)*$H260,0))</f>
        <v>0</v>
      </c>
      <c r="AN260" s="9">
        <f>SUM(IFERROR(VLOOKUP($C:$C,Structure!$A:$AJ,AN$1,0)*$D260,0),IFERROR(VLOOKUP($E:$E,Structure!$A:$AJ,AN$1,0)*$F260,0),IFERROR(VLOOKUP($G:$G,Structure!$A:$AJ,AN$1,0)*$H260,0))</f>
        <v>0</v>
      </c>
      <c r="AO260" s="9">
        <f>SUM(IFERROR(VLOOKUP($C:$C,Structure!$A:$AJ,AO$1,0)*$D260,0),IFERROR(VLOOKUP($E:$E,Structure!$A:$AJ,AO$1,0)*$F260,0),IFERROR(VLOOKUP($G:$G,Structure!$A:$AJ,AO$1,0)*$H260,0))</f>
        <v>0</v>
      </c>
      <c r="AP260" s="9">
        <f>SUM(IFERROR(VLOOKUP($C:$C,Structure!$A:$AJ,AP$1,0)*$D260,0),IFERROR(VLOOKUP($E:$E,Structure!$A:$AJ,AP$1,0)*$F260,0),IFERROR(VLOOKUP($G:$G,Structure!$A:$AJ,AP$1,0)*$H260,0))</f>
        <v>0</v>
      </c>
      <c r="AQ260" s="9">
        <f>SUM(IFERROR(VLOOKUP($C:$C,Structure!$A:$AJ,AQ$1,0)*$D260,0),IFERROR(VLOOKUP($E:$E,Structure!$A:$AJ,AQ$1,0)*$F260,0),IFERROR(VLOOKUP($G:$G,Structure!$A:$AJ,AQ$1,0)*$H260,0))</f>
        <v>0</v>
      </c>
      <c r="AR260" s="21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4">
        <f t="shared" si="267"/>
        <v>0</v>
      </c>
      <c r="CE260" s="4">
        <f t="shared" si="268"/>
        <v>-236</v>
      </c>
      <c r="CF260" s="4">
        <f t="shared" si="269"/>
        <v>4</v>
      </c>
      <c r="CG260" s="4">
        <f t="shared" si="270"/>
        <v>11</v>
      </c>
      <c r="CH260" s="4">
        <f t="shared" si="271"/>
        <v>-7</v>
      </c>
      <c r="CI260" s="4">
        <f t="shared" si="272"/>
        <v>98</v>
      </c>
      <c r="CJ260" s="4">
        <f t="shared" si="273"/>
        <v>-391</v>
      </c>
      <c r="CK260" s="4">
        <f t="shared" si="274"/>
        <v>-57</v>
      </c>
      <c r="CL260" s="4">
        <f t="shared" si="275"/>
        <v>0</v>
      </c>
      <c r="CM260" s="4">
        <f t="shared" si="276"/>
        <v>6</v>
      </c>
      <c r="CN260" s="4">
        <f t="shared" si="277"/>
        <v>-278</v>
      </c>
      <c r="CO260" s="4">
        <f t="shared" si="278"/>
        <v>0</v>
      </c>
      <c r="CP260" s="4">
        <f t="shared" si="279"/>
        <v>15</v>
      </c>
      <c r="CQ260" s="4">
        <f t="shared" si="280"/>
        <v>-614</v>
      </c>
      <c r="CR260" s="4">
        <f t="shared" si="281"/>
        <v>12</v>
      </c>
      <c r="CS260" s="4">
        <f t="shared" si="282"/>
        <v>-53</v>
      </c>
      <c r="CT260" s="4">
        <f t="shared" si="283"/>
        <v>0</v>
      </c>
      <c r="CU260" s="4">
        <f t="shared" si="284"/>
        <v>0</v>
      </c>
      <c r="CV260" s="4">
        <f t="shared" si="285"/>
        <v>0</v>
      </c>
      <c r="CW260" s="4">
        <f t="shared" si="286"/>
        <v>0</v>
      </c>
      <c r="CX260" s="4">
        <f t="shared" si="287"/>
        <v>-659</v>
      </c>
      <c r="CY260" s="4">
        <f t="shared" si="288"/>
        <v>0</v>
      </c>
      <c r="CZ260" s="4">
        <f t="shared" si="289"/>
        <v>0</v>
      </c>
      <c r="DA260" s="4">
        <f t="shared" si="290"/>
        <v>0</v>
      </c>
      <c r="DB260" s="4">
        <f t="shared" si="291"/>
        <v>0</v>
      </c>
      <c r="DC260" s="4">
        <f t="shared" si="292"/>
        <v>0</v>
      </c>
      <c r="DD260" s="4">
        <f t="shared" si="293"/>
        <v>0</v>
      </c>
      <c r="DE260" s="4">
        <f t="shared" si="294"/>
        <v>0</v>
      </c>
      <c r="DF260" s="4">
        <f t="shared" si="295"/>
        <v>0</v>
      </c>
      <c r="DG260" s="4">
        <f t="shared" si="296"/>
        <v>0</v>
      </c>
      <c r="DH260" s="4">
        <f t="shared" si="297"/>
        <v>0</v>
      </c>
      <c r="DI260" s="4">
        <f t="shared" si="298"/>
        <v>0</v>
      </c>
      <c r="DJ260" s="4">
        <f t="shared" si="299"/>
        <v>0</v>
      </c>
      <c r="DK260" s="4">
        <f t="shared" si="300"/>
        <v>0</v>
      </c>
      <c r="DL260" s="4">
        <f t="shared" si="301"/>
        <v>0</v>
      </c>
    </row>
    <row r="261" spans="1:116" x14ac:dyDescent="0.25">
      <c r="A261" s="5">
        <v>46188</v>
      </c>
      <c r="B261" s="6">
        <v>0.68750000062573235</v>
      </c>
      <c r="C261" s="3"/>
      <c r="D261" s="3"/>
      <c r="E261" s="3" t="s">
        <v>25</v>
      </c>
      <c r="F261" s="3">
        <v>8</v>
      </c>
      <c r="G261" s="3"/>
      <c r="H261" s="9"/>
      <c r="I261" s="9">
        <f>SUM(IFERROR(VLOOKUP($C:$C,Structure!$A:$AJ,I$1,0)*$D261,0),IFERROR(VLOOKUP($E:$E,Structure!$A:$AJ,I$1,0)*$F261,0),IFERROR(VLOOKUP($G:$G,Structure!$A:$AJ,I$1,0)*$H261,0))</f>
        <v>0</v>
      </c>
      <c r="J261" s="9">
        <f>SUM(IFERROR(VLOOKUP($C:$C,Structure!$A:$AJ,J$1,0)*$D261,0),IFERROR(VLOOKUP($E:$E,Structure!$A:$AJ,J$1,0)*$F261,0),IFERROR(VLOOKUP($G:$G,Structure!$A:$AJ,J$1,0)*$H261,0))</f>
        <v>0</v>
      </c>
      <c r="K261" s="9">
        <f>SUM(IFERROR(VLOOKUP($C:$C,Structure!$A:$AJ,K$1,0)*$D261,0),IFERROR(VLOOKUP($E:$E,Structure!$A:$AJ,K$1,0)*$F261,0),IFERROR(VLOOKUP($G:$G,Structure!$A:$AJ,K$1,0)*$H261,0))</f>
        <v>0</v>
      </c>
      <c r="L261" s="9">
        <f>SUM(IFERROR(VLOOKUP($C:$C,Structure!$A:$AJ,L$1,0)*$D261,0),IFERROR(VLOOKUP($E:$E,Structure!$A:$AJ,L$1,0)*$F261,0),IFERROR(VLOOKUP($G:$G,Structure!$A:$AJ,L$1,0)*$H261,0))</f>
        <v>0</v>
      </c>
      <c r="M261" s="9">
        <f>SUM(IFERROR(VLOOKUP($C:$C,Structure!$A:$AJ,M$1,0)*$D261,0),IFERROR(VLOOKUP($E:$E,Structure!$A:$AJ,M$1,0)*$F261,0),IFERROR(VLOOKUP($G:$G,Structure!$A:$AJ,M$1,0)*$H261,0))</f>
        <v>0</v>
      </c>
      <c r="N261" s="9">
        <f>SUM(IFERROR(VLOOKUP($C:$C,Structure!$A:$AJ,N$1,0)*$D261,0),IFERROR(VLOOKUP($E:$E,Structure!$A:$AJ,N$1,0)*$F261,0),IFERROR(VLOOKUP($G:$G,Structure!$A:$AJ,N$1,0)*$H261,0))</f>
        <v>0</v>
      </c>
      <c r="O261" s="9">
        <f>SUM(IFERROR(VLOOKUP($C:$C,Structure!$A:$AJ,O$1,0)*$D261,0),IFERROR(VLOOKUP($E:$E,Structure!$A:$AJ,O$1,0)*$F261,0),IFERROR(VLOOKUP($G:$G,Structure!$A:$AJ,O$1,0)*$H261,0))</f>
        <v>0</v>
      </c>
      <c r="P261" s="9">
        <f>SUM(IFERROR(VLOOKUP($C:$C,Structure!$A:$AJ,P$1,0)*$D261,0),IFERROR(VLOOKUP($E:$E,Structure!$A:$AJ,P$1,0)*$F261,0),IFERROR(VLOOKUP($G:$G,Structure!$A:$AJ,P$1,0)*$H261,0))</f>
        <v>0</v>
      </c>
      <c r="Q261" s="9">
        <f>SUM(IFERROR(VLOOKUP($C:$C,Structure!$A:$AJ,Q$1,0)*$D261,0),IFERROR(VLOOKUP($E:$E,Structure!$A:$AJ,Q$1,0)*$F261,0),IFERROR(VLOOKUP($G:$G,Structure!$A:$AJ,Q$1,0)*$H261,0))</f>
        <v>0</v>
      </c>
      <c r="R261" s="9">
        <f>SUM(IFERROR(VLOOKUP($C:$C,Structure!$A:$AJ,R$1,0)*$D261,0),IFERROR(VLOOKUP($E:$E,Structure!$A:$AJ,R$1,0)*$F261,0),IFERROR(VLOOKUP($G:$G,Structure!$A:$AJ,R$1,0)*$H261,0))</f>
        <v>0</v>
      </c>
      <c r="S261" s="9">
        <f>SUM(IFERROR(VLOOKUP($C:$C,Structure!$A:$AJ,S$1,0)*$D261,0),IFERROR(VLOOKUP($E:$E,Structure!$A:$AJ,S$1,0)*$F261,0),IFERROR(VLOOKUP($G:$G,Structure!$A:$AJ,S$1,0)*$H261,0))</f>
        <v>0</v>
      </c>
      <c r="T261" s="9">
        <f>SUM(IFERROR(VLOOKUP($C:$C,Structure!$A:$AJ,T$1,0)*$D261,0),IFERROR(VLOOKUP($E:$E,Structure!$A:$AJ,T$1,0)*$F261,0),IFERROR(VLOOKUP($G:$G,Structure!$A:$AJ,T$1,0)*$H261,0))</f>
        <v>0</v>
      </c>
      <c r="U261" s="9">
        <f>SUM(IFERROR(VLOOKUP($C:$C,Structure!$A:$AJ,U$1,0)*$D261,0),IFERROR(VLOOKUP($E:$E,Structure!$A:$AJ,U$1,0)*$F261,0),IFERROR(VLOOKUP($G:$G,Structure!$A:$AJ,U$1,0)*$H261,0))</f>
        <v>8</v>
      </c>
      <c r="V261" s="9">
        <f>SUM(IFERROR(VLOOKUP($C:$C,Structure!$A:$AJ,V$1,0)*$D261,0),IFERROR(VLOOKUP($E:$E,Structure!$A:$AJ,V$1,0)*$F261,0),IFERROR(VLOOKUP($G:$G,Structure!$A:$AJ,V$1,0)*$H261,0))</f>
        <v>0</v>
      </c>
      <c r="W261" s="9">
        <f>SUM(IFERROR(VLOOKUP($C:$C,Structure!$A:$AJ,W$1,0)*$D261,0),IFERROR(VLOOKUP($E:$E,Structure!$A:$AJ,W$1,0)*$F261,0),IFERROR(VLOOKUP($G:$G,Structure!$A:$AJ,W$1,0)*$H261,0))</f>
        <v>0</v>
      </c>
      <c r="X261" s="9">
        <f>SUM(IFERROR(VLOOKUP($C:$C,Structure!$A:$AJ,X$1,0)*$D261,0),IFERROR(VLOOKUP($E:$E,Structure!$A:$AJ,X$1,0)*$F261,0),IFERROR(VLOOKUP($G:$G,Structure!$A:$AJ,X$1,0)*$H261,0))</f>
        <v>0</v>
      </c>
      <c r="Y261" s="9">
        <f>SUM(IFERROR(VLOOKUP($C:$C,Structure!$A:$AJ,Y$1,0)*$D261,0),IFERROR(VLOOKUP($E:$E,Structure!$A:$AJ,Y$1,0)*$F261,0),IFERROR(VLOOKUP($G:$G,Structure!$A:$AJ,Y$1,0)*$H261,0))</f>
        <v>0</v>
      </c>
      <c r="Z261" s="9">
        <f>SUM(IFERROR(VLOOKUP($C:$C,Structure!$A:$AJ,Z$1,0)*$D261,0),IFERROR(VLOOKUP($E:$E,Structure!$A:$AJ,Z$1,0)*$F261,0),IFERROR(VLOOKUP($G:$G,Structure!$A:$AJ,Z$1,0)*$H261,0))</f>
        <v>0</v>
      </c>
      <c r="AA261" s="9">
        <f>SUM(IFERROR(VLOOKUP($C:$C,Structure!$A:$AJ,AA$1,0)*$D261,0),IFERROR(VLOOKUP($E:$E,Structure!$A:$AJ,AA$1,0)*$F261,0),IFERROR(VLOOKUP($G:$G,Structure!$A:$AJ,AA$1,0)*$H261,0))</f>
        <v>0</v>
      </c>
      <c r="AB261" s="9">
        <f>SUM(IFERROR(VLOOKUP($C:$C,Structure!$A:$AJ,AB$1,0)*$D261,0),IFERROR(VLOOKUP($E:$E,Structure!$A:$AJ,AB$1,0)*$F261,0),IFERROR(VLOOKUP($G:$G,Structure!$A:$AJ,AB$1,0)*$H261,0))</f>
        <v>0</v>
      </c>
      <c r="AC261" s="9">
        <f>SUM(IFERROR(VLOOKUP($C:$C,Structure!$A:$AJ,AC$1,0)*$D261,0),IFERROR(VLOOKUP($E:$E,Structure!$A:$AJ,AC$1,0)*$F261,0),IFERROR(VLOOKUP($G:$G,Structure!$A:$AJ,AC$1,0)*$H261,0))</f>
        <v>8</v>
      </c>
      <c r="AD261" s="9">
        <f>SUM(IFERROR(VLOOKUP($C:$C,Structure!$A:$AJ,AD$1,0)*$D261,0),IFERROR(VLOOKUP($E:$E,Structure!$A:$AJ,AD$1,0)*$F261,0),IFERROR(VLOOKUP($G:$G,Structure!$A:$AJ,AD$1,0)*$H261,0))</f>
        <v>0</v>
      </c>
      <c r="AE261" s="9">
        <f>SUM(IFERROR(VLOOKUP($C:$C,Structure!$A:$AJ,AE$1,0)*$D261,0),IFERROR(VLOOKUP($E:$E,Structure!$A:$AJ,AE$1,0)*$F261,0),IFERROR(VLOOKUP($G:$G,Structure!$A:$AJ,AE$1,0)*$H261,0))</f>
        <v>0</v>
      </c>
      <c r="AF261" s="9">
        <f>SUM(IFERROR(VLOOKUP($C:$C,Structure!$A:$AJ,AF$1,0)*$D261,0),IFERROR(VLOOKUP($E:$E,Structure!$A:$AJ,AF$1,0)*$F261,0),IFERROR(VLOOKUP($G:$G,Structure!$A:$AJ,AF$1,0)*$H261,0))</f>
        <v>0</v>
      </c>
      <c r="AG261" s="9">
        <f>SUM(IFERROR(VLOOKUP($C:$C,Structure!$A:$AJ,AG$1,0)*$D261,0),IFERROR(VLOOKUP($E:$E,Structure!$A:$AJ,AG$1,0)*$F261,0),IFERROR(VLOOKUP($G:$G,Structure!$A:$AJ,AG$1,0)*$H261,0))</f>
        <v>0</v>
      </c>
      <c r="AH261" s="9">
        <f>SUM(IFERROR(VLOOKUP($C:$C,Structure!$A:$AJ,AH$1,0)*$D261,0),IFERROR(VLOOKUP($E:$E,Structure!$A:$AJ,AH$1,0)*$F261,0),IFERROR(VLOOKUP($G:$G,Structure!$A:$AJ,AH$1,0)*$H261,0))</f>
        <v>0</v>
      </c>
      <c r="AI261" s="9">
        <f>SUM(IFERROR(VLOOKUP($C:$C,Structure!$A:$AJ,AI$1,0)*$D261,0),IFERROR(VLOOKUP($E:$E,Structure!$A:$AJ,AI$1,0)*$F261,0),IFERROR(VLOOKUP($G:$G,Structure!$A:$AJ,AI$1,0)*$H261,0))</f>
        <v>0</v>
      </c>
      <c r="AJ261" s="9">
        <f>SUM(IFERROR(VLOOKUP($C:$C,Structure!$A:$AJ,AJ$1,0)*$D261,0),IFERROR(VLOOKUP($E:$E,Structure!$A:$AJ,AJ$1,0)*$F261,0),IFERROR(VLOOKUP($G:$G,Structure!$A:$AJ,AJ$1,0)*$H261,0))</f>
        <v>0</v>
      </c>
      <c r="AK261" s="9">
        <f>SUM(IFERROR(VLOOKUP($C:$C,Structure!$A:$AJ,AK$1,0)*$D261,0),IFERROR(VLOOKUP($E:$E,Structure!$A:$AJ,AK$1,0)*$F261,0),IFERROR(VLOOKUP($G:$G,Structure!$A:$AJ,AK$1,0)*$H261,0))</f>
        <v>0</v>
      </c>
      <c r="AL261" s="9">
        <f>SUM(IFERROR(VLOOKUP($C:$C,Structure!$A:$AJ,AL$1,0)*$D261,0),IFERROR(VLOOKUP($E:$E,Structure!$A:$AJ,AL$1,0)*$F261,0),IFERROR(VLOOKUP($G:$G,Structure!$A:$AJ,AL$1,0)*$H261,0))</f>
        <v>0</v>
      </c>
      <c r="AM261" s="9">
        <f>SUM(IFERROR(VLOOKUP($C:$C,Structure!$A:$AJ,AM$1,0)*$D261,0),IFERROR(VLOOKUP($E:$E,Structure!$A:$AJ,AM$1,0)*$F261,0),IFERROR(VLOOKUP($G:$G,Structure!$A:$AJ,AM$1,0)*$H261,0))</f>
        <v>0</v>
      </c>
      <c r="AN261" s="9">
        <f>SUM(IFERROR(VLOOKUP($C:$C,Structure!$A:$AJ,AN$1,0)*$D261,0),IFERROR(VLOOKUP($E:$E,Structure!$A:$AJ,AN$1,0)*$F261,0),IFERROR(VLOOKUP($G:$G,Structure!$A:$AJ,AN$1,0)*$H261,0))</f>
        <v>0</v>
      </c>
      <c r="AO261" s="9">
        <f>SUM(IFERROR(VLOOKUP($C:$C,Structure!$A:$AJ,AO$1,0)*$D261,0),IFERROR(VLOOKUP($E:$E,Structure!$A:$AJ,AO$1,0)*$F261,0),IFERROR(VLOOKUP($G:$G,Structure!$A:$AJ,AO$1,0)*$H261,0))</f>
        <v>0</v>
      </c>
      <c r="AP261" s="9">
        <f>SUM(IFERROR(VLOOKUP($C:$C,Structure!$A:$AJ,AP$1,0)*$D261,0),IFERROR(VLOOKUP($E:$E,Structure!$A:$AJ,AP$1,0)*$F261,0),IFERROR(VLOOKUP($G:$G,Structure!$A:$AJ,AP$1,0)*$H261,0))</f>
        <v>0</v>
      </c>
      <c r="AQ261" s="9">
        <f>SUM(IFERROR(VLOOKUP($C:$C,Structure!$A:$AJ,AQ$1,0)*$D261,0),IFERROR(VLOOKUP($E:$E,Structure!$A:$AJ,AQ$1,0)*$F261,0),IFERROR(VLOOKUP($G:$G,Structure!$A:$AJ,AQ$1,0)*$H261,0))</f>
        <v>0</v>
      </c>
      <c r="AR261" s="21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4">
        <f t="shared" si="267"/>
        <v>0</v>
      </c>
      <c r="CE261" s="4">
        <f t="shared" si="268"/>
        <v>-236</v>
      </c>
      <c r="CF261" s="4">
        <f t="shared" si="269"/>
        <v>4</v>
      </c>
      <c r="CG261" s="4">
        <f t="shared" si="270"/>
        <v>11</v>
      </c>
      <c r="CH261" s="4">
        <f t="shared" si="271"/>
        <v>-7</v>
      </c>
      <c r="CI261" s="4">
        <f t="shared" si="272"/>
        <v>98</v>
      </c>
      <c r="CJ261" s="4">
        <f t="shared" si="273"/>
        <v>-391</v>
      </c>
      <c r="CK261" s="4">
        <f t="shared" si="274"/>
        <v>-57</v>
      </c>
      <c r="CL261" s="4">
        <f t="shared" si="275"/>
        <v>0</v>
      </c>
      <c r="CM261" s="4">
        <f t="shared" si="276"/>
        <v>6</v>
      </c>
      <c r="CN261" s="4">
        <f t="shared" si="277"/>
        <v>-278</v>
      </c>
      <c r="CO261" s="4">
        <f t="shared" si="278"/>
        <v>0</v>
      </c>
      <c r="CP261" s="4">
        <f t="shared" si="279"/>
        <v>7</v>
      </c>
      <c r="CQ261" s="4">
        <f t="shared" si="280"/>
        <v>-614</v>
      </c>
      <c r="CR261" s="4">
        <f t="shared" si="281"/>
        <v>12</v>
      </c>
      <c r="CS261" s="4">
        <f t="shared" si="282"/>
        <v>-53</v>
      </c>
      <c r="CT261" s="4">
        <f t="shared" si="283"/>
        <v>0</v>
      </c>
      <c r="CU261" s="4">
        <f t="shared" si="284"/>
        <v>0</v>
      </c>
      <c r="CV261" s="4">
        <f t="shared" si="285"/>
        <v>0</v>
      </c>
      <c r="CW261" s="4">
        <f t="shared" si="286"/>
        <v>0</v>
      </c>
      <c r="CX261" s="4">
        <f t="shared" si="287"/>
        <v>-667</v>
      </c>
      <c r="CY261" s="4">
        <f t="shared" si="288"/>
        <v>0</v>
      </c>
      <c r="CZ261" s="4">
        <f t="shared" si="289"/>
        <v>0</v>
      </c>
      <c r="DA261" s="4">
        <f t="shared" si="290"/>
        <v>0</v>
      </c>
      <c r="DB261" s="4">
        <f t="shared" si="291"/>
        <v>0</v>
      </c>
      <c r="DC261" s="4">
        <f t="shared" si="292"/>
        <v>0</v>
      </c>
      <c r="DD261" s="4">
        <f t="shared" si="293"/>
        <v>0</v>
      </c>
      <c r="DE261" s="4">
        <f t="shared" si="294"/>
        <v>0</v>
      </c>
      <c r="DF261" s="4">
        <f t="shared" si="295"/>
        <v>0</v>
      </c>
      <c r="DG261" s="4">
        <f t="shared" si="296"/>
        <v>0</v>
      </c>
      <c r="DH261" s="4">
        <f t="shared" si="297"/>
        <v>0</v>
      </c>
      <c r="DI261" s="4">
        <f t="shared" si="298"/>
        <v>0</v>
      </c>
      <c r="DJ261" s="4">
        <f t="shared" si="299"/>
        <v>0</v>
      </c>
      <c r="DK261" s="4">
        <f t="shared" si="300"/>
        <v>0</v>
      </c>
      <c r="DL261" s="4">
        <f t="shared" si="301"/>
        <v>0</v>
      </c>
    </row>
    <row r="262" spans="1:116" x14ac:dyDescent="0.25">
      <c r="A262" s="5">
        <v>46188</v>
      </c>
      <c r="B262" s="6">
        <v>0.70833333396149101</v>
      </c>
      <c r="C262" s="3"/>
      <c r="D262" s="3"/>
      <c r="E262" s="3" t="s">
        <v>25</v>
      </c>
      <c r="F262" s="3">
        <v>8</v>
      </c>
      <c r="G262" s="3"/>
      <c r="H262" s="9"/>
      <c r="I262" s="9">
        <f>SUM(IFERROR(VLOOKUP($C:$C,Structure!$A:$AJ,I$1,0)*$D262,0),IFERROR(VLOOKUP($E:$E,Structure!$A:$AJ,I$1,0)*$F262,0),IFERROR(VLOOKUP($G:$G,Structure!$A:$AJ,I$1,0)*$H262,0))</f>
        <v>0</v>
      </c>
      <c r="J262" s="9">
        <f>SUM(IFERROR(VLOOKUP($C:$C,Structure!$A:$AJ,J$1,0)*$D262,0),IFERROR(VLOOKUP($E:$E,Structure!$A:$AJ,J$1,0)*$F262,0),IFERROR(VLOOKUP($G:$G,Structure!$A:$AJ,J$1,0)*$H262,0))</f>
        <v>0</v>
      </c>
      <c r="K262" s="9">
        <f>SUM(IFERROR(VLOOKUP($C:$C,Structure!$A:$AJ,K$1,0)*$D262,0),IFERROR(VLOOKUP($E:$E,Structure!$A:$AJ,K$1,0)*$F262,0),IFERROR(VLOOKUP($G:$G,Structure!$A:$AJ,K$1,0)*$H262,0))</f>
        <v>0</v>
      </c>
      <c r="L262" s="9">
        <f>SUM(IFERROR(VLOOKUP($C:$C,Structure!$A:$AJ,L$1,0)*$D262,0),IFERROR(VLOOKUP($E:$E,Structure!$A:$AJ,L$1,0)*$F262,0),IFERROR(VLOOKUP($G:$G,Structure!$A:$AJ,L$1,0)*$H262,0))</f>
        <v>0</v>
      </c>
      <c r="M262" s="9">
        <f>SUM(IFERROR(VLOOKUP($C:$C,Structure!$A:$AJ,M$1,0)*$D262,0),IFERROR(VLOOKUP($E:$E,Structure!$A:$AJ,M$1,0)*$F262,0),IFERROR(VLOOKUP($G:$G,Structure!$A:$AJ,M$1,0)*$H262,0))</f>
        <v>0</v>
      </c>
      <c r="N262" s="9">
        <f>SUM(IFERROR(VLOOKUP($C:$C,Structure!$A:$AJ,N$1,0)*$D262,0),IFERROR(VLOOKUP($E:$E,Structure!$A:$AJ,N$1,0)*$F262,0),IFERROR(VLOOKUP($G:$G,Structure!$A:$AJ,N$1,0)*$H262,0))</f>
        <v>0</v>
      </c>
      <c r="O262" s="9">
        <f>SUM(IFERROR(VLOOKUP($C:$C,Structure!$A:$AJ,O$1,0)*$D262,0),IFERROR(VLOOKUP($E:$E,Structure!$A:$AJ,O$1,0)*$F262,0),IFERROR(VLOOKUP($G:$G,Structure!$A:$AJ,O$1,0)*$H262,0))</f>
        <v>0</v>
      </c>
      <c r="P262" s="9">
        <f>SUM(IFERROR(VLOOKUP($C:$C,Structure!$A:$AJ,P$1,0)*$D262,0),IFERROR(VLOOKUP($E:$E,Structure!$A:$AJ,P$1,0)*$F262,0),IFERROR(VLOOKUP($G:$G,Structure!$A:$AJ,P$1,0)*$H262,0))</f>
        <v>0</v>
      </c>
      <c r="Q262" s="9">
        <f>SUM(IFERROR(VLOOKUP($C:$C,Structure!$A:$AJ,Q$1,0)*$D262,0),IFERROR(VLOOKUP($E:$E,Structure!$A:$AJ,Q$1,0)*$F262,0),IFERROR(VLOOKUP($G:$G,Structure!$A:$AJ,Q$1,0)*$H262,0))</f>
        <v>0</v>
      </c>
      <c r="R262" s="9">
        <f>SUM(IFERROR(VLOOKUP($C:$C,Structure!$A:$AJ,R$1,0)*$D262,0),IFERROR(VLOOKUP($E:$E,Structure!$A:$AJ,R$1,0)*$F262,0),IFERROR(VLOOKUP($G:$G,Structure!$A:$AJ,R$1,0)*$H262,0))</f>
        <v>0</v>
      </c>
      <c r="S262" s="9">
        <f>SUM(IFERROR(VLOOKUP($C:$C,Structure!$A:$AJ,S$1,0)*$D262,0),IFERROR(VLOOKUP($E:$E,Structure!$A:$AJ,S$1,0)*$F262,0),IFERROR(VLOOKUP($G:$G,Structure!$A:$AJ,S$1,0)*$H262,0))</f>
        <v>0</v>
      </c>
      <c r="T262" s="9">
        <f>SUM(IFERROR(VLOOKUP($C:$C,Structure!$A:$AJ,T$1,0)*$D262,0),IFERROR(VLOOKUP($E:$E,Structure!$A:$AJ,T$1,0)*$F262,0),IFERROR(VLOOKUP($G:$G,Structure!$A:$AJ,T$1,0)*$H262,0))</f>
        <v>0</v>
      </c>
      <c r="U262" s="9">
        <f>SUM(IFERROR(VLOOKUP($C:$C,Structure!$A:$AJ,U$1,0)*$D262,0),IFERROR(VLOOKUP($E:$E,Structure!$A:$AJ,U$1,0)*$F262,0),IFERROR(VLOOKUP($G:$G,Structure!$A:$AJ,U$1,0)*$H262,0))</f>
        <v>8</v>
      </c>
      <c r="V262" s="9">
        <f>SUM(IFERROR(VLOOKUP($C:$C,Structure!$A:$AJ,V$1,0)*$D262,0),IFERROR(VLOOKUP($E:$E,Structure!$A:$AJ,V$1,0)*$F262,0),IFERROR(VLOOKUP($G:$G,Structure!$A:$AJ,V$1,0)*$H262,0))</f>
        <v>0</v>
      </c>
      <c r="W262" s="9">
        <f>SUM(IFERROR(VLOOKUP($C:$C,Structure!$A:$AJ,W$1,0)*$D262,0),IFERROR(VLOOKUP($E:$E,Structure!$A:$AJ,W$1,0)*$F262,0),IFERROR(VLOOKUP($G:$G,Structure!$A:$AJ,W$1,0)*$H262,0))</f>
        <v>0</v>
      </c>
      <c r="X262" s="9">
        <f>SUM(IFERROR(VLOOKUP($C:$C,Structure!$A:$AJ,X$1,0)*$D262,0),IFERROR(VLOOKUP($E:$E,Structure!$A:$AJ,X$1,0)*$F262,0),IFERROR(VLOOKUP($G:$G,Structure!$A:$AJ,X$1,0)*$H262,0))</f>
        <v>0</v>
      </c>
      <c r="Y262" s="9">
        <f>SUM(IFERROR(VLOOKUP($C:$C,Structure!$A:$AJ,Y$1,0)*$D262,0),IFERROR(VLOOKUP($E:$E,Structure!$A:$AJ,Y$1,0)*$F262,0),IFERROR(VLOOKUP($G:$G,Structure!$A:$AJ,Y$1,0)*$H262,0))</f>
        <v>0</v>
      </c>
      <c r="Z262" s="9">
        <f>SUM(IFERROR(VLOOKUP($C:$C,Structure!$A:$AJ,Z$1,0)*$D262,0),IFERROR(VLOOKUP($E:$E,Structure!$A:$AJ,Z$1,0)*$F262,0),IFERROR(VLOOKUP($G:$G,Structure!$A:$AJ,Z$1,0)*$H262,0))</f>
        <v>0</v>
      </c>
      <c r="AA262" s="9">
        <f>SUM(IFERROR(VLOOKUP($C:$C,Structure!$A:$AJ,AA$1,0)*$D262,0),IFERROR(VLOOKUP($E:$E,Structure!$A:$AJ,AA$1,0)*$F262,0),IFERROR(VLOOKUP($G:$G,Structure!$A:$AJ,AA$1,0)*$H262,0))</f>
        <v>0</v>
      </c>
      <c r="AB262" s="9">
        <f>SUM(IFERROR(VLOOKUP($C:$C,Structure!$A:$AJ,AB$1,0)*$D262,0),IFERROR(VLOOKUP($E:$E,Structure!$A:$AJ,AB$1,0)*$F262,0),IFERROR(VLOOKUP($G:$G,Structure!$A:$AJ,AB$1,0)*$H262,0))</f>
        <v>0</v>
      </c>
      <c r="AC262" s="9">
        <f>SUM(IFERROR(VLOOKUP($C:$C,Structure!$A:$AJ,AC$1,0)*$D262,0),IFERROR(VLOOKUP($E:$E,Structure!$A:$AJ,AC$1,0)*$F262,0),IFERROR(VLOOKUP($G:$G,Structure!$A:$AJ,AC$1,0)*$H262,0))</f>
        <v>8</v>
      </c>
      <c r="AD262" s="9">
        <f>SUM(IFERROR(VLOOKUP($C:$C,Structure!$A:$AJ,AD$1,0)*$D262,0),IFERROR(VLOOKUP($E:$E,Structure!$A:$AJ,AD$1,0)*$F262,0),IFERROR(VLOOKUP($G:$G,Structure!$A:$AJ,AD$1,0)*$H262,0))</f>
        <v>0</v>
      </c>
      <c r="AE262" s="9">
        <f>SUM(IFERROR(VLOOKUP($C:$C,Structure!$A:$AJ,AE$1,0)*$D262,0),IFERROR(VLOOKUP($E:$E,Structure!$A:$AJ,AE$1,0)*$F262,0),IFERROR(VLOOKUP($G:$G,Structure!$A:$AJ,AE$1,0)*$H262,0))</f>
        <v>0</v>
      </c>
      <c r="AF262" s="9">
        <f>SUM(IFERROR(VLOOKUP($C:$C,Structure!$A:$AJ,AF$1,0)*$D262,0),IFERROR(VLOOKUP($E:$E,Structure!$A:$AJ,AF$1,0)*$F262,0),IFERROR(VLOOKUP($G:$G,Structure!$A:$AJ,AF$1,0)*$H262,0))</f>
        <v>0</v>
      </c>
      <c r="AG262" s="9">
        <f>SUM(IFERROR(VLOOKUP($C:$C,Structure!$A:$AJ,AG$1,0)*$D262,0),IFERROR(VLOOKUP($E:$E,Structure!$A:$AJ,AG$1,0)*$F262,0),IFERROR(VLOOKUP($G:$G,Structure!$A:$AJ,AG$1,0)*$H262,0))</f>
        <v>0</v>
      </c>
      <c r="AH262" s="9">
        <f>SUM(IFERROR(VLOOKUP($C:$C,Structure!$A:$AJ,AH$1,0)*$D262,0),IFERROR(VLOOKUP($E:$E,Structure!$A:$AJ,AH$1,0)*$F262,0),IFERROR(VLOOKUP($G:$G,Structure!$A:$AJ,AH$1,0)*$H262,0))</f>
        <v>0</v>
      </c>
      <c r="AI262" s="9">
        <f>SUM(IFERROR(VLOOKUP($C:$C,Structure!$A:$AJ,AI$1,0)*$D262,0),IFERROR(VLOOKUP($E:$E,Structure!$A:$AJ,AI$1,0)*$F262,0),IFERROR(VLOOKUP($G:$G,Structure!$A:$AJ,AI$1,0)*$H262,0))</f>
        <v>0</v>
      </c>
      <c r="AJ262" s="9">
        <f>SUM(IFERROR(VLOOKUP($C:$C,Structure!$A:$AJ,AJ$1,0)*$D262,0),IFERROR(VLOOKUP($E:$E,Structure!$A:$AJ,AJ$1,0)*$F262,0),IFERROR(VLOOKUP($G:$G,Structure!$A:$AJ,AJ$1,0)*$H262,0))</f>
        <v>0</v>
      </c>
      <c r="AK262" s="9">
        <f>SUM(IFERROR(VLOOKUP($C:$C,Structure!$A:$AJ,AK$1,0)*$D262,0),IFERROR(VLOOKUP($E:$E,Structure!$A:$AJ,AK$1,0)*$F262,0),IFERROR(VLOOKUP($G:$G,Structure!$A:$AJ,AK$1,0)*$H262,0))</f>
        <v>0</v>
      </c>
      <c r="AL262" s="9">
        <f>SUM(IFERROR(VLOOKUP($C:$C,Structure!$A:$AJ,AL$1,0)*$D262,0),IFERROR(VLOOKUP($E:$E,Structure!$A:$AJ,AL$1,0)*$F262,0),IFERROR(VLOOKUP($G:$G,Structure!$A:$AJ,AL$1,0)*$H262,0))</f>
        <v>0</v>
      </c>
      <c r="AM262" s="9">
        <f>SUM(IFERROR(VLOOKUP($C:$C,Structure!$A:$AJ,AM$1,0)*$D262,0),IFERROR(VLOOKUP($E:$E,Structure!$A:$AJ,AM$1,0)*$F262,0),IFERROR(VLOOKUP($G:$G,Structure!$A:$AJ,AM$1,0)*$H262,0))</f>
        <v>0</v>
      </c>
      <c r="AN262" s="9">
        <f>SUM(IFERROR(VLOOKUP($C:$C,Structure!$A:$AJ,AN$1,0)*$D262,0),IFERROR(VLOOKUP($E:$E,Structure!$A:$AJ,AN$1,0)*$F262,0),IFERROR(VLOOKUP($G:$G,Structure!$A:$AJ,AN$1,0)*$H262,0))</f>
        <v>0</v>
      </c>
      <c r="AO262" s="9">
        <f>SUM(IFERROR(VLOOKUP($C:$C,Structure!$A:$AJ,AO$1,0)*$D262,0),IFERROR(VLOOKUP($E:$E,Structure!$A:$AJ,AO$1,0)*$F262,0),IFERROR(VLOOKUP($G:$G,Structure!$A:$AJ,AO$1,0)*$H262,0))</f>
        <v>0</v>
      </c>
      <c r="AP262" s="9">
        <f>SUM(IFERROR(VLOOKUP($C:$C,Structure!$A:$AJ,AP$1,0)*$D262,0),IFERROR(VLOOKUP($E:$E,Structure!$A:$AJ,AP$1,0)*$F262,0),IFERROR(VLOOKUP($G:$G,Structure!$A:$AJ,AP$1,0)*$H262,0))</f>
        <v>0</v>
      </c>
      <c r="AQ262" s="9">
        <f>SUM(IFERROR(VLOOKUP($C:$C,Structure!$A:$AJ,AQ$1,0)*$D262,0),IFERROR(VLOOKUP($E:$E,Structure!$A:$AJ,AQ$1,0)*$F262,0),IFERROR(VLOOKUP($G:$G,Structure!$A:$AJ,AQ$1,0)*$H262,0))</f>
        <v>0</v>
      </c>
      <c r="AR262" s="21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4">
        <f t="shared" si="267"/>
        <v>0</v>
      </c>
      <c r="CE262" s="4">
        <f t="shared" si="268"/>
        <v>-236</v>
      </c>
      <c r="CF262" s="4">
        <f t="shared" si="269"/>
        <v>4</v>
      </c>
      <c r="CG262" s="4">
        <f t="shared" si="270"/>
        <v>11</v>
      </c>
      <c r="CH262" s="4">
        <f t="shared" si="271"/>
        <v>-7</v>
      </c>
      <c r="CI262" s="4">
        <f t="shared" si="272"/>
        <v>98</v>
      </c>
      <c r="CJ262" s="4">
        <f t="shared" si="273"/>
        <v>-391</v>
      </c>
      <c r="CK262" s="4">
        <f t="shared" si="274"/>
        <v>-57</v>
      </c>
      <c r="CL262" s="4">
        <f t="shared" si="275"/>
        <v>0</v>
      </c>
      <c r="CM262" s="4">
        <f t="shared" si="276"/>
        <v>6</v>
      </c>
      <c r="CN262" s="4">
        <f t="shared" si="277"/>
        <v>-278</v>
      </c>
      <c r="CO262" s="4">
        <f t="shared" si="278"/>
        <v>0</v>
      </c>
      <c r="CP262" s="4">
        <f t="shared" si="279"/>
        <v>-1</v>
      </c>
      <c r="CQ262" s="4">
        <f t="shared" si="280"/>
        <v>-614</v>
      </c>
      <c r="CR262" s="4">
        <f t="shared" si="281"/>
        <v>12</v>
      </c>
      <c r="CS262" s="4">
        <f t="shared" si="282"/>
        <v>-53</v>
      </c>
      <c r="CT262" s="4">
        <f t="shared" si="283"/>
        <v>0</v>
      </c>
      <c r="CU262" s="4">
        <f t="shared" si="284"/>
        <v>0</v>
      </c>
      <c r="CV262" s="4">
        <f t="shared" si="285"/>
        <v>0</v>
      </c>
      <c r="CW262" s="4">
        <f t="shared" si="286"/>
        <v>0</v>
      </c>
      <c r="CX262" s="4">
        <f t="shared" si="287"/>
        <v>-675</v>
      </c>
      <c r="CY262" s="4">
        <f t="shared" si="288"/>
        <v>0</v>
      </c>
      <c r="CZ262" s="4">
        <f t="shared" si="289"/>
        <v>0</v>
      </c>
      <c r="DA262" s="4">
        <f t="shared" si="290"/>
        <v>0</v>
      </c>
      <c r="DB262" s="4">
        <f t="shared" si="291"/>
        <v>0</v>
      </c>
      <c r="DC262" s="4">
        <f t="shared" si="292"/>
        <v>0</v>
      </c>
      <c r="DD262" s="4">
        <f t="shared" si="293"/>
        <v>0</v>
      </c>
      <c r="DE262" s="4">
        <f t="shared" si="294"/>
        <v>0</v>
      </c>
      <c r="DF262" s="4">
        <f t="shared" si="295"/>
        <v>0</v>
      </c>
      <c r="DG262" s="4">
        <f t="shared" si="296"/>
        <v>0</v>
      </c>
      <c r="DH262" s="4">
        <f t="shared" si="297"/>
        <v>0</v>
      </c>
      <c r="DI262" s="4">
        <f t="shared" si="298"/>
        <v>0</v>
      </c>
      <c r="DJ262" s="4">
        <f t="shared" si="299"/>
        <v>0</v>
      </c>
      <c r="DK262" s="4">
        <f t="shared" si="300"/>
        <v>0</v>
      </c>
      <c r="DL262" s="4">
        <f t="shared" si="301"/>
        <v>0</v>
      </c>
    </row>
    <row r="263" spans="1:116" x14ac:dyDescent="0.25">
      <c r="A263" s="5">
        <v>46188</v>
      </c>
      <c r="B263" s="6">
        <v>0.72916666729724966</v>
      </c>
      <c r="C263" s="3"/>
      <c r="D263" s="3"/>
      <c r="E263" s="3" t="s">
        <v>25</v>
      </c>
      <c r="F263" s="3">
        <v>8</v>
      </c>
      <c r="G263" s="3"/>
      <c r="H263" s="9"/>
      <c r="I263" s="9">
        <f>SUM(IFERROR(VLOOKUP($C:$C,Structure!$A:$AJ,I$1,0)*$D263,0),IFERROR(VLOOKUP($E:$E,Structure!$A:$AJ,I$1,0)*$F263,0),IFERROR(VLOOKUP($G:$G,Structure!$A:$AJ,I$1,0)*$H263,0))</f>
        <v>0</v>
      </c>
      <c r="J263" s="9">
        <f>SUM(IFERROR(VLOOKUP($C:$C,Structure!$A:$AJ,J$1,0)*$D263,0),IFERROR(VLOOKUP($E:$E,Structure!$A:$AJ,J$1,0)*$F263,0),IFERROR(VLOOKUP($G:$G,Structure!$A:$AJ,J$1,0)*$H263,0))</f>
        <v>0</v>
      </c>
      <c r="K263" s="9">
        <f>SUM(IFERROR(VLOOKUP($C:$C,Structure!$A:$AJ,K$1,0)*$D263,0),IFERROR(VLOOKUP($E:$E,Structure!$A:$AJ,K$1,0)*$F263,0),IFERROR(VLOOKUP($G:$G,Structure!$A:$AJ,K$1,0)*$H263,0))</f>
        <v>0</v>
      </c>
      <c r="L263" s="9">
        <f>SUM(IFERROR(VLOOKUP($C:$C,Structure!$A:$AJ,L$1,0)*$D263,0),IFERROR(VLOOKUP($E:$E,Structure!$A:$AJ,L$1,0)*$F263,0),IFERROR(VLOOKUP($G:$G,Structure!$A:$AJ,L$1,0)*$H263,0))</f>
        <v>0</v>
      </c>
      <c r="M263" s="9">
        <f>SUM(IFERROR(VLOOKUP($C:$C,Structure!$A:$AJ,M$1,0)*$D263,0),IFERROR(VLOOKUP($E:$E,Structure!$A:$AJ,M$1,0)*$F263,0),IFERROR(VLOOKUP($G:$G,Structure!$A:$AJ,M$1,0)*$H263,0))</f>
        <v>0</v>
      </c>
      <c r="N263" s="9">
        <f>SUM(IFERROR(VLOOKUP($C:$C,Structure!$A:$AJ,N$1,0)*$D263,0),IFERROR(VLOOKUP($E:$E,Structure!$A:$AJ,N$1,0)*$F263,0),IFERROR(VLOOKUP($G:$G,Structure!$A:$AJ,N$1,0)*$H263,0))</f>
        <v>0</v>
      </c>
      <c r="O263" s="9">
        <f>SUM(IFERROR(VLOOKUP($C:$C,Structure!$A:$AJ,O$1,0)*$D263,0),IFERROR(VLOOKUP($E:$E,Structure!$A:$AJ,O$1,0)*$F263,0),IFERROR(VLOOKUP($G:$G,Structure!$A:$AJ,O$1,0)*$H263,0))</f>
        <v>0</v>
      </c>
      <c r="P263" s="9">
        <f>SUM(IFERROR(VLOOKUP($C:$C,Structure!$A:$AJ,P$1,0)*$D263,0),IFERROR(VLOOKUP($E:$E,Structure!$A:$AJ,P$1,0)*$F263,0),IFERROR(VLOOKUP($G:$G,Structure!$A:$AJ,P$1,0)*$H263,0))</f>
        <v>0</v>
      </c>
      <c r="Q263" s="9">
        <f>SUM(IFERROR(VLOOKUP($C:$C,Structure!$A:$AJ,Q$1,0)*$D263,0),IFERROR(VLOOKUP($E:$E,Structure!$A:$AJ,Q$1,0)*$F263,0),IFERROR(VLOOKUP($G:$G,Structure!$A:$AJ,Q$1,0)*$H263,0))</f>
        <v>0</v>
      </c>
      <c r="R263" s="9">
        <f>SUM(IFERROR(VLOOKUP($C:$C,Structure!$A:$AJ,R$1,0)*$D263,0),IFERROR(VLOOKUP($E:$E,Structure!$A:$AJ,R$1,0)*$F263,0),IFERROR(VLOOKUP($G:$G,Structure!$A:$AJ,R$1,0)*$H263,0))</f>
        <v>0</v>
      </c>
      <c r="S263" s="9">
        <f>SUM(IFERROR(VLOOKUP($C:$C,Structure!$A:$AJ,S$1,0)*$D263,0),IFERROR(VLOOKUP($E:$E,Structure!$A:$AJ,S$1,0)*$F263,0),IFERROR(VLOOKUP($G:$G,Structure!$A:$AJ,S$1,0)*$H263,0))</f>
        <v>0</v>
      </c>
      <c r="T263" s="9">
        <f>SUM(IFERROR(VLOOKUP($C:$C,Structure!$A:$AJ,T$1,0)*$D263,0),IFERROR(VLOOKUP($E:$E,Structure!$A:$AJ,T$1,0)*$F263,0),IFERROR(VLOOKUP($G:$G,Structure!$A:$AJ,T$1,0)*$H263,0))</f>
        <v>0</v>
      </c>
      <c r="U263" s="9">
        <f>SUM(IFERROR(VLOOKUP($C:$C,Structure!$A:$AJ,U$1,0)*$D263,0),IFERROR(VLOOKUP($E:$E,Structure!$A:$AJ,U$1,0)*$F263,0),IFERROR(VLOOKUP($G:$G,Structure!$A:$AJ,U$1,0)*$H263,0))</f>
        <v>8</v>
      </c>
      <c r="V263" s="9">
        <f>SUM(IFERROR(VLOOKUP($C:$C,Structure!$A:$AJ,V$1,0)*$D263,0),IFERROR(VLOOKUP($E:$E,Structure!$A:$AJ,V$1,0)*$F263,0),IFERROR(VLOOKUP($G:$G,Structure!$A:$AJ,V$1,0)*$H263,0))</f>
        <v>0</v>
      </c>
      <c r="W263" s="9">
        <f>SUM(IFERROR(VLOOKUP($C:$C,Structure!$A:$AJ,W$1,0)*$D263,0),IFERROR(VLOOKUP($E:$E,Structure!$A:$AJ,W$1,0)*$F263,0),IFERROR(VLOOKUP($G:$G,Structure!$A:$AJ,W$1,0)*$H263,0))</f>
        <v>0</v>
      </c>
      <c r="X263" s="9">
        <f>SUM(IFERROR(VLOOKUP($C:$C,Structure!$A:$AJ,X$1,0)*$D263,0),IFERROR(VLOOKUP($E:$E,Structure!$A:$AJ,X$1,0)*$F263,0),IFERROR(VLOOKUP($G:$G,Structure!$A:$AJ,X$1,0)*$H263,0))</f>
        <v>0</v>
      </c>
      <c r="Y263" s="9">
        <f>SUM(IFERROR(VLOOKUP($C:$C,Structure!$A:$AJ,Y$1,0)*$D263,0),IFERROR(VLOOKUP($E:$E,Structure!$A:$AJ,Y$1,0)*$F263,0),IFERROR(VLOOKUP($G:$G,Structure!$A:$AJ,Y$1,0)*$H263,0))</f>
        <v>0</v>
      </c>
      <c r="Z263" s="9">
        <f>SUM(IFERROR(VLOOKUP($C:$C,Structure!$A:$AJ,Z$1,0)*$D263,0),IFERROR(VLOOKUP($E:$E,Structure!$A:$AJ,Z$1,0)*$F263,0),IFERROR(VLOOKUP($G:$G,Structure!$A:$AJ,Z$1,0)*$H263,0))</f>
        <v>0</v>
      </c>
      <c r="AA263" s="9">
        <f>SUM(IFERROR(VLOOKUP($C:$C,Structure!$A:$AJ,AA$1,0)*$D263,0),IFERROR(VLOOKUP($E:$E,Structure!$A:$AJ,AA$1,0)*$F263,0),IFERROR(VLOOKUP($G:$G,Structure!$A:$AJ,AA$1,0)*$H263,0))</f>
        <v>0</v>
      </c>
      <c r="AB263" s="9">
        <f>SUM(IFERROR(VLOOKUP($C:$C,Structure!$A:$AJ,AB$1,0)*$D263,0),IFERROR(VLOOKUP($E:$E,Structure!$A:$AJ,AB$1,0)*$F263,0),IFERROR(VLOOKUP($G:$G,Structure!$A:$AJ,AB$1,0)*$H263,0))</f>
        <v>0</v>
      </c>
      <c r="AC263" s="9">
        <f>SUM(IFERROR(VLOOKUP($C:$C,Structure!$A:$AJ,AC$1,0)*$D263,0),IFERROR(VLOOKUP($E:$E,Structure!$A:$AJ,AC$1,0)*$F263,0),IFERROR(VLOOKUP($G:$G,Structure!$A:$AJ,AC$1,0)*$H263,0))</f>
        <v>8</v>
      </c>
      <c r="AD263" s="9">
        <f>SUM(IFERROR(VLOOKUP($C:$C,Structure!$A:$AJ,AD$1,0)*$D263,0),IFERROR(VLOOKUP($E:$E,Structure!$A:$AJ,AD$1,0)*$F263,0),IFERROR(VLOOKUP($G:$G,Structure!$A:$AJ,AD$1,0)*$H263,0))</f>
        <v>0</v>
      </c>
      <c r="AE263" s="9">
        <f>SUM(IFERROR(VLOOKUP($C:$C,Structure!$A:$AJ,AE$1,0)*$D263,0),IFERROR(VLOOKUP($E:$E,Structure!$A:$AJ,AE$1,0)*$F263,0),IFERROR(VLOOKUP($G:$G,Structure!$A:$AJ,AE$1,0)*$H263,0))</f>
        <v>0</v>
      </c>
      <c r="AF263" s="9">
        <f>SUM(IFERROR(VLOOKUP($C:$C,Structure!$A:$AJ,AF$1,0)*$D263,0),IFERROR(VLOOKUP($E:$E,Structure!$A:$AJ,AF$1,0)*$F263,0),IFERROR(VLOOKUP($G:$G,Structure!$A:$AJ,AF$1,0)*$H263,0))</f>
        <v>0</v>
      </c>
      <c r="AG263" s="9">
        <f>SUM(IFERROR(VLOOKUP($C:$C,Structure!$A:$AJ,AG$1,0)*$D263,0),IFERROR(VLOOKUP($E:$E,Structure!$A:$AJ,AG$1,0)*$F263,0),IFERROR(VLOOKUP($G:$G,Structure!$A:$AJ,AG$1,0)*$H263,0))</f>
        <v>0</v>
      </c>
      <c r="AH263" s="9">
        <f>SUM(IFERROR(VLOOKUP($C:$C,Structure!$A:$AJ,AH$1,0)*$D263,0),IFERROR(VLOOKUP($E:$E,Structure!$A:$AJ,AH$1,0)*$F263,0),IFERROR(VLOOKUP($G:$G,Structure!$A:$AJ,AH$1,0)*$H263,0))</f>
        <v>0</v>
      </c>
      <c r="AI263" s="9">
        <f>SUM(IFERROR(VLOOKUP($C:$C,Structure!$A:$AJ,AI$1,0)*$D263,0),IFERROR(VLOOKUP($E:$E,Structure!$A:$AJ,AI$1,0)*$F263,0),IFERROR(VLOOKUP($G:$G,Structure!$A:$AJ,AI$1,0)*$H263,0))</f>
        <v>0</v>
      </c>
      <c r="AJ263" s="9">
        <f>SUM(IFERROR(VLOOKUP($C:$C,Structure!$A:$AJ,AJ$1,0)*$D263,0),IFERROR(VLOOKUP($E:$E,Structure!$A:$AJ,AJ$1,0)*$F263,0),IFERROR(VLOOKUP($G:$G,Structure!$A:$AJ,AJ$1,0)*$H263,0))</f>
        <v>0</v>
      </c>
      <c r="AK263" s="9">
        <f>SUM(IFERROR(VLOOKUP($C:$C,Structure!$A:$AJ,AK$1,0)*$D263,0),IFERROR(VLOOKUP($E:$E,Structure!$A:$AJ,AK$1,0)*$F263,0),IFERROR(VLOOKUP($G:$G,Structure!$A:$AJ,AK$1,0)*$H263,0))</f>
        <v>0</v>
      </c>
      <c r="AL263" s="9">
        <f>SUM(IFERROR(VLOOKUP($C:$C,Structure!$A:$AJ,AL$1,0)*$D263,0),IFERROR(VLOOKUP($E:$E,Structure!$A:$AJ,AL$1,0)*$F263,0),IFERROR(VLOOKUP($G:$G,Structure!$A:$AJ,AL$1,0)*$H263,0))</f>
        <v>0</v>
      </c>
      <c r="AM263" s="9">
        <f>SUM(IFERROR(VLOOKUP($C:$C,Structure!$A:$AJ,AM$1,0)*$D263,0),IFERROR(VLOOKUP($E:$E,Structure!$A:$AJ,AM$1,0)*$F263,0),IFERROR(VLOOKUP($G:$G,Structure!$A:$AJ,AM$1,0)*$H263,0))</f>
        <v>0</v>
      </c>
      <c r="AN263" s="9">
        <f>SUM(IFERROR(VLOOKUP($C:$C,Structure!$A:$AJ,AN$1,0)*$D263,0),IFERROR(VLOOKUP($E:$E,Structure!$A:$AJ,AN$1,0)*$F263,0),IFERROR(VLOOKUP($G:$G,Structure!$A:$AJ,AN$1,0)*$H263,0))</f>
        <v>0</v>
      </c>
      <c r="AO263" s="9">
        <f>SUM(IFERROR(VLOOKUP($C:$C,Structure!$A:$AJ,AO$1,0)*$D263,0),IFERROR(VLOOKUP($E:$E,Structure!$A:$AJ,AO$1,0)*$F263,0),IFERROR(VLOOKUP($G:$G,Structure!$A:$AJ,AO$1,0)*$H263,0))</f>
        <v>0</v>
      </c>
      <c r="AP263" s="9">
        <f>SUM(IFERROR(VLOOKUP($C:$C,Structure!$A:$AJ,AP$1,0)*$D263,0),IFERROR(VLOOKUP($E:$E,Structure!$A:$AJ,AP$1,0)*$F263,0),IFERROR(VLOOKUP($G:$G,Structure!$A:$AJ,AP$1,0)*$H263,0))</f>
        <v>0</v>
      </c>
      <c r="AQ263" s="9">
        <f>SUM(IFERROR(VLOOKUP($C:$C,Structure!$A:$AJ,AQ$1,0)*$D263,0),IFERROR(VLOOKUP($E:$E,Structure!$A:$AJ,AQ$1,0)*$F263,0),IFERROR(VLOOKUP($G:$G,Structure!$A:$AJ,AQ$1,0)*$H263,0))</f>
        <v>0</v>
      </c>
      <c r="AR263" s="21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4">
        <f t="shared" si="267"/>
        <v>0</v>
      </c>
      <c r="CE263" s="4">
        <f t="shared" si="268"/>
        <v>-236</v>
      </c>
      <c r="CF263" s="4">
        <f t="shared" si="269"/>
        <v>4</v>
      </c>
      <c r="CG263" s="4">
        <f t="shared" si="270"/>
        <v>11</v>
      </c>
      <c r="CH263" s="4">
        <f t="shared" si="271"/>
        <v>-7</v>
      </c>
      <c r="CI263" s="4">
        <f t="shared" si="272"/>
        <v>98</v>
      </c>
      <c r="CJ263" s="4">
        <f t="shared" si="273"/>
        <v>-391</v>
      </c>
      <c r="CK263" s="4">
        <f t="shared" si="274"/>
        <v>-57</v>
      </c>
      <c r="CL263" s="4">
        <f t="shared" si="275"/>
        <v>0</v>
      </c>
      <c r="CM263" s="4">
        <f t="shared" si="276"/>
        <v>6</v>
      </c>
      <c r="CN263" s="4">
        <f t="shared" si="277"/>
        <v>-278</v>
      </c>
      <c r="CO263" s="4">
        <f t="shared" si="278"/>
        <v>0</v>
      </c>
      <c r="CP263" s="4">
        <f t="shared" si="279"/>
        <v>-9</v>
      </c>
      <c r="CQ263" s="4">
        <f t="shared" si="280"/>
        <v>-614</v>
      </c>
      <c r="CR263" s="4">
        <f t="shared" si="281"/>
        <v>12</v>
      </c>
      <c r="CS263" s="4">
        <f t="shared" si="282"/>
        <v>-53</v>
      </c>
      <c r="CT263" s="4">
        <f t="shared" si="283"/>
        <v>0</v>
      </c>
      <c r="CU263" s="4">
        <f t="shared" si="284"/>
        <v>0</v>
      </c>
      <c r="CV263" s="4">
        <f t="shared" si="285"/>
        <v>0</v>
      </c>
      <c r="CW263" s="4">
        <f t="shared" si="286"/>
        <v>0</v>
      </c>
      <c r="CX263" s="4">
        <f t="shared" si="287"/>
        <v>-683</v>
      </c>
      <c r="CY263" s="4">
        <f t="shared" si="288"/>
        <v>0</v>
      </c>
      <c r="CZ263" s="4">
        <f t="shared" si="289"/>
        <v>0</v>
      </c>
      <c r="DA263" s="4">
        <f t="shared" si="290"/>
        <v>0</v>
      </c>
      <c r="DB263" s="4">
        <f t="shared" si="291"/>
        <v>0</v>
      </c>
      <c r="DC263" s="4">
        <f t="shared" si="292"/>
        <v>0</v>
      </c>
      <c r="DD263" s="4">
        <f t="shared" si="293"/>
        <v>0</v>
      </c>
      <c r="DE263" s="4">
        <f t="shared" si="294"/>
        <v>0</v>
      </c>
      <c r="DF263" s="4">
        <f t="shared" si="295"/>
        <v>0</v>
      </c>
      <c r="DG263" s="4">
        <f t="shared" si="296"/>
        <v>0</v>
      </c>
      <c r="DH263" s="4">
        <f t="shared" si="297"/>
        <v>0</v>
      </c>
      <c r="DI263" s="4">
        <f t="shared" si="298"/>
        <v>0</v>
      </c>
      <c r="DJ263" s="4">
        <f t="shared" si="299"/>
        <v>0</v>
      </c>
      <c r="DK263" s="4">
        <f t="shared" si="300"/>
        <v>0</v>
      </c>
      <c r="DL263" s="4">
        <f t="shared" si="301"/>
        <v>0</v>
      </c>
    </row>
    <row r="264" spans="1:116" x14ac:dyDescent="0.25">
      <c r="A264" s="5">
        <v>46188</v>
      </c>
      <c r="B264" s="6">
        <v>0.75000000063300831</v>
      </c>
      <c r="C264" s="3"/>
      <c r="D264" s="3"/>
      <c r="E264" s="3" t="s">
        <v>25</v>
      </c>
      <c r="F264" s="3">
        <v>8</v>
      </c>
      <c r="G264" s="3"/>
      <c r="H264" s="9"/>
      <c r="I264" s="9">
        <f>SUM(IFERROR(VLOOKUP($C:$C,Structure!$A:$AJ,I$1,0)*$D264,0),IFERROR(VLOOKUP($E:$E,Structure!$A:$AJ,I$1,0)*$F264,0),IFERROR(VLOOKUP($G:$G,Structure!$A:$AJ,I$1,0)*$H264,0))</f>
        <v>0</v>
      </c>
      <c r="J264" s="9">
        <f>SUM(IFERROR(VLOOKUP($C:$C,Structure!$A:$AJ,J$1,0)*$D264,0),IFERROR(VLOOKUP($E:$E,Structure!$A:$AJ,J$1,0)*$F264,0),IFERROR(VLOOKUP($G:$G,Structure!$A:$AJ,J$1,0)*$H264,0))</f>
        <v>0</v>
      </c>
      <c r="K264" s="9">
        <f>SUM(IFERROR(VLOOKUP($C:$C,Structure!$A:$AJ,K$1,0)*$D264,0),IFERROR(VLOOKUP($E:$E,Structure!$A:$AJ,K$1,0)*$F264,0),IFERROR(VLOOKUP($G:$G,Structure!$A:$AJ,K$1,0)*$H264,0))</f>
        <v>0</v>
      </c>
      <c r="L264" s="9">
        <f>SUM(IFERROR(VLOOKUP($C:$C,Structure!$A:$AJ,L$1,0)*$D264,0),IFERROR(VLOOKUP($E:$E,Structure!$A:$AJ,L$1,0)*$F264,0),IFERROR(VLOOKUP($G:$G,Structure!$A:$AJ,L$1,0)*$H264,0))</f>
        <v>0</v>
      </c>
      <c r="M264" s="9">
        <f>SUM(IFERROR(VLOOKUP($C:$C,Structure!$A:$AJ,M$1,0)*$D264,0),IFERROR(VLOOKUP($E:$E,Structure!$A:$AJ,M$1,0)*$F264,0),IFERROR(VLOOKUP($G:$G,Structure!$A:$AJ,M$1,0)*$H264,0))</f>
        <v>0</v>
      </c>
      <c r="N264" s="9">
        <f>SUM(IFERROR(VLOOKUP($C:$C,Structure!$A:$AJ,N$1,0)*$D264,0),IFERROR(VLOOKUP($E:$E,Structure!$A:$AJ,N$1,0)*$F264,0),IFERROR(VLOOKUP($G:$G,Structure!$A:$AJ,N$1,0)*$H264,0))</f>
        <v>0</v>
      </c>
      <c r="O264" s="9">
        <f>SUM(IFERROR(VLOOKUP($C:$C,Structure!$A:$AJ,O$1,0)*$D264,0),IFERROR(VLOOKUP($E:$E,Structure!$A:$AJ,O$1,0)*$F264,0),IFERROR(VLOOKUP($G:$G,Structure!$A:$AJ,O$1,0)*$H264,0))</f>
        <v>0</v>
      </c>
      <c r="P264" s="9">
        <f>SUM(IFERROR(VLOOKUP($C:$C,Structure!$A:$AJ,P$1,0)*$D264,0),IFERROR(VLOOKUP($E:$E,Structure!$A:$AJ,P$1,0)*$F264,0),IFERROR(VLOOKUP($G:$G,Structure!$A:$AJ,P$1,0)*$H264,0))</f>
        <v>0</v>
      </c>
      <c r="Q264" s="9">
        <f>SUM(IFERROR(VLOOKUP($C:$C,Structure!$A:$AJ,Q$1,0)*$D264,0),IFERROR(VLOOKUP($E:$E,Structure!$A:$AJ,Q$1,0)*$F264,0),IFERROR(VLOOKUP($G:$G,Structure!$A:$AJ,Q$1,0)*$H264,0))</f>
        <v>0</v>
      </c>
      <c r="R264" s="9">
        <f>SUM(IFERROR(VLOOKUP($C:$C,Structure!$A:$AJ,R$1,0)*$D264,0),IFERROR(VLOOKUP($E:$E,Structure!$A:$AJ,R$1,0)*$F264,0),IFERROR(VLOOKUP($G:$G,Structure!$A:$AJ,R$1,0)*$H264,0))</f>
        <v>0</v>
      </c>
      <c r="S264" s="9">
        <f>SUM(IFERROR(VLOOKUP($C:$C,Structure!$A:$AJ,S$1,0)*$D264,0),IFERROR(VLOOKUP($E:$E,Structure!$A:$AJ,S$1,0)*$F264,0),IFERROR(VLOOKUP($G:$G,Structure!$A:$AJ,S$1,0)*$H264,0))</f>
        <v>0</v>
      </c>
      <c r="T264" s="9">
        <f>SUM(IFERROR(VLOOKUP($C:$C,Structure!$A:$AJ,T$1,0)*$D264,0),IFERROR(VLOOKUP($E:$E,Structure!$A:$AJ,T$1,0)*$F264,0),IFERROR(VLOOKUP($G:$G,Structure!$A:$AJ,T$1,0)*$H264,0))</f>
        <v>0</v>
      </c>
      <c r="U264" s="9">
        <f>SUM(IFERROR(VLOOKUP($C:$C,Structure!$A:$AJ,U$1,0)*$D264,0),IFERROR(VLOOKUP($E:$E,Structure!$A:$AJ,U$1,0)*$F264,0),IFERROR(VLOOKUP($G:$G,Structure!$A:$AJ,U$1,0)*$H264,0))</f>
        <v>8</v>
      </c>
      <c r="V264" s="9">
        <f>SUM(IFERROR(VLOOKUP($C:$C,Structure!$A:$AJ,V$1,0)*$D264,0),IFERROR(VLOOKUP($E:$E,Structure!$A:$AJ,V$1,0)*$F264,0),IFERROR(VLOOKUP($G:$G,Structure!$A:$AJ,V$1,0)*$H264,0))</f>
        <v>0</v>
      </c>
      <c r="W264" s="9">
        <f>SUM(IFERROR(VLOOKUP($C:$C,Structure!$A:$AJ,W$1,0)*$D264,0),IFERROR(VLOOKUP($E:$E,Structure!$A:$AJ,W$1,0)*$F264,0),IFERROR(VLOOKUP($G:$G,Structure!$A:$AJ,W$1,0)*$H264,0))</f>
        <v>0</v>
      </c>
      <c r="X264" s="9">
        <f>SUM(IFERROR(VLOOKUP($C:$C,Structure!$A:$AJ,X$1,0)*$D264,0),IFERROR(VLOOKUP($E:$E,Structure!$A:$AJ,X$1,0)*$F264,0),IFERROR(VLOOKUP($G:$G,Structure!$A:$AJ,X$1,0)*$H264,0))</f>
        <v>0</v>
      </c>
      <c r="Y264" s="9">
        <f>SUM(IFERROR(VLOOKUP($C:$C,Structure!$A:$AJ,Y$1,0)*$D264,0),IFERROR(VLOOKUP($E:$E,Structure!$A:$AJ,Y$1,0)*$F264,0),IFERROR(VLOOKUP($G:$G,Structure!$A:$AJ,Y$1,0)*$H264,0))</f>
        <v>0</v>
      </c>
      <c r="Z264" s="9">
        <f>SUM(IFERROR(VLOOKUP($C:$C,Structure!$A:$AJ,Z$1,0)*$D264,0),IFERROR(VLOOKUP($E:$E,Structure!$A:$AJ,Z$1,0)*$F264,0),IFERROR(VLOOKUP($G:$G,Structure!$A:$AJ,Z$1,0)*$H264,0))</f>
        <v>0</v>
      </c>
      <c r="AA264" s="9">
        <f>SUM(IFERROR(VLOOKUP($C:$C,Structure!$A:$AJ,AA$1,0)*$D264,0),IFERROR(VLOOKUP($E:$E,Structure!$A:$AJ,AA$1,0)*$F264,0),IFERROR(VLOOKUP($G:$G,Structure!$A:$AJ,AA$1,0)*$H264,0))</f>
        <v>0</v>
      </c>
      <c r="AB264" s="9">
        <f>SUM(IFERROR(VLOOKUP($C:$C,Structure!$A:$AJ,AB$1,0)*$D264,0),IFERROR(VLOOKUP($E:$E,Structure!$A:$AJ,AB$1,0)*$F264,0),IFERROR(VLOOKUP($G:$G,Structure!$A:$AJ,AB$1,0)*$H264,0))</f>
        <v>0</v>
      </c>
      <c r="AC264" s="9">
        <f>SUM(IFERROR(VLOOKUP($C:$C,Structure!$A:$AJ,AC$1,0)*$D264,0),IFERROR(VLOOKUP($E:$E,Structure!$A:$AJ,AC$1,0)*$F264,0),IFERROR(VLOOKUP($G:$G,Structure!$A:$AJ,AC$1,0)*$H264,0))</f>
        <v>8</v>
      </c>
      <c r="AD264" s="9">
        <f>SUM(IFERROR(VLOOKUP($C:$C,Structure!$A:$AJ,AD$1,0)*$D264,0),IFERROR(VLOOKUP($E:$E,Structure!$A:$AJ,AD$1,0)*$F264,0),IFERROR(VLOOKUP($G:$G,Structure!$A:$AJ,AD$1,0)*$H264,0))</f>
        <v>0</v>
      </c>
      <c r="AE264" s="9">
        <f>SUM(IFERROR(VLOOKUP($C:$C,Structure!$A:$AJ,AE$1,0)*$D264,0),IFERROR(VLOOKUP($E:$E,Structure!$A:$AJ,AE$1,0)*$F264,0),IFERROR(VLOOKUP($G:$G,Structure!$A:$AJ,AE$1,0)*$H264,0))</f>
        <v>0</v>
      </c>
      <c r="AF264" s="9">
        <f>SUM(IFERROR(VLOOKUP($C:$C,Structure!$A:$AJ,AF$1,0)*$D264,0),IFERROR(VLOOKUP($E:$E,Structure!$A:$AJ,AF$1,0)*$F264,0),IFERROR(VLOOKUP($G:$G,Structure!$A:$AJ,AF$1,0)*$H264,0))</f>
        <v>0</v>
      </c>
      <c r="AG264" s="9">
        <f>SUM(IFERROR(VLOOKUP($C:$C,Structure!$A:$AJ,AG$1,0)*$D264,0),IFERROR(VLOOKUP($E:$E,Structure!$A:$AJ,AG$1,0)*$F264,0),IFERROR(VLOOKUP($G:$G,Structure!$A:$AJ,AG$1,0)*$H264,0))</f>
        <v>0</v>
      </c>
      <c r="AH264" s="9">
        <f>SUM(IFERROR(VLOOKUP($C:$C,Structure!$A:$AJ,AH$1,0)*$D264,0),IFERROR(VLOOKUP($E:$E,Structure!$A:$AJ,AH$1,0)*$F264,0),IFERROR(VLOOKUP($G:$G,Structure!$A:$AJ,AH$1,0)*$H264,0))</f>
        <v>0</v>
      </c>
      <c r="AI264" s="9">
        <f>SUM(IFERROR(VLOOKUP($C:$C,Structure!$A:$AJ,AI$1,0)*$D264,0),IFERROR(VLOOKUP($E:$E,Structure!$A:$AJ,AI$1,0)*$F264,0),IFERROR(VLOOKUP($G:$G,Structure!$A:$AJ,AI$1,0)*$H264,0))</f>
        <v>0</v>
      </c>
      <c r="AJ264" s="9">
        <f>SUM(IFERROR(VLOOKUP($C:$C,Structure!$A:$AJ,AJ$1,0)*$D264,0),IFERROR(VLOOKUP($E:$E,Structure!$A:$AJ,AJ$1,0)*$F264,0),IFERROR(VLOOKUP($G:$G,Structure!$A:$AJ,AJ$1,0)*$H264,0))</f>
        <v>0</v>
      </c>
      <c r="AK264" s="9">
        <f>SUM(IFERROR(VLOOKUP($C:$C,Structure!$A:$AJ,AK$1,0)*$D264,0),IFERROR(VLOOKUP($E:$E,Structure!$A:$AJ,AK$1,0)*$F264,0),IFERROR(VLOOKUP($G:$G,Structure!$A:$AJ,AK$1,0)*$H264,0))</f>
        <v>0</v>
      </c>
      <c r="AL264" s="9">
        <f>SUM(IFERROR(VLOOKUP($C:$C,Structure!$A:$AJ,AL$1,0)*$D264,0),IFERROR(VLOOKUP($E:$E,Structure!$A:$AJ,AL$1,0)*$F264,0),IFERROR(VLOOKUP($G:$G,Structure!$A:$AJ,AL$1,0)*$H264,0))</f>
        <v>0</v>
      </c>
      <c r="AM264" s="9">
        <f>SUM(IFERROR(VLOOKUP($C:$C,Structure!$A:$AJ,AM$1,0)*$D264,0),IFERROR(VLOOKUP($E:$E,Structure!$A:$AJ,AM$1,0)*$F264,0),IFERROR(VLOOKUP($G:$G,Structure!$A:$AJ,AM$1,0)*$H264,0))</f>
        <v>0</v>
      </c>
      <c r="AN264" s="9">
        <f>SUM(IFERROR(VLOOKUP($C:$C,Structure!$A:$AJ,AN$1,0)*$D264,0),IFERROR(VLOOKUP($E:$E,Structure!$A:$AJ,AN$1,0)*$F264,0),IFERROR(VLOOKUP($G:$G,Structure!$A:$AJ,AN$1,0)*$H264,0))</f>
        <v>0</v>
      </c>
      <c r="AO264" s="9">
        <f>SUM(IFERROR(VLOOKUP($C:$C,Structure!$A:$AJ,AO$1,0)*$D264,0),IFERROR(VLOOKUP($E:$E,Structure!$A:$AJ,AO$1,0)*$F264,0),IFERROR(VLOOKUP($G:$G,Structure!$A:$AJ,AO$1,0)*$H264,0))</f>
        <v>0</v>
      </c>
      <c r="AP264" s="9">
        <f>SUM(IFERROR(VLOOKUP($C:$C,Structure!$A:$AJ,AP$1,0)*$D264,0),IFERROR(VLOOKUP($E:$E,Structure!$A:$AJ,AP$1,0)*$F264,0),IFERROR(VLOOKUP($G:$G,Structure!$A:$AJ,AP$1,0)*$H264,0))</f>
        <v>0</v>
      </c>
      <c r="AQ264" s="9">
        <f>SUM(IFERROR(VLOOKUP($C:$C,Structure!$A:$AJ,AQ$1,0)*$D264,0),IFERROR(VLOOKUP($E:$E,Structure!$A:$AJ,AQ$1,0)*$F264,0),IFERROR(VLOOKUP($G:$G,Structure!$A:$AJ,AQ$1,0)*$H264,0))</f>
        <v>0</v>
      </c>
      <c r="AR264" s="21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4">
        <f t="shared" si="267"/>
        <v>0</v>
      </c>
      <c r="CE264" s="4">
        <f t="shared" si="268"/>
        <v>-236</v>
      </c>
      <c r="CF264" s="4">
        <f t="shared" si="269"/>
        <v>4</v>
      </c>
      <c r="CG264" s="4">
        <f t="shared" si="270"/>
        <v>11</v>
      </c>
      <c r="CH264" s="4">
        <f t="shared" si="271"/>
        <v>-7</v>
      </c>
      <c r="CI264" s="4">
        <f t="shared" si="272"/>
        <v>98</v>
      </c>
      <c r="CJ264" s="4">
        <f t="shared" si="273"/>
        <v>-391</v>
      </c>
      <c r="CK264" s="4">
        <f t="shared" si="274"/>
        <v>-57</v>
      </c>
      <c r="CL264" s="4">
        <f t="shared" si="275"/>
        <v>0</v>
      </c>
      <c r="CM264" s="4">
        <f t="shared" si="276"/>
        <v>6</v>
      </c>
      <c r="CN264" s="4">
        <f t="shared" si="277"/>
        <v>-278</v>
      </c>
      <c r="CO264" s="4">
        <f t="shared" si="278"/>
        <v>0</v>
      </c>
      <c r="CP264" s="4">
        <f t="shared" si="279"/>
        <v>-17</v>
      </c>
      <c r="CQ264" s="4">
        <f t="shared" si="280"/>
        <v>-614</v>
      </c>
      <c r="CR264" s="4">
        <f t="shared" si="281"/>
        <v>12</v>
      </c>
      <c r="CS264" s="4">
        <f t="shared" si="282"/>
        <v>-53</v>
      </c>
      <c r="CT264" s="4">
        <f t="shared" si="283"/>
        <v>0</v>
      </c>
      <c r="CU264" s="4">
        <f t="shared" si="284"/>
        <v>0</v>
      </c>
      <c r="CV264" s="4">
        <f t="shared" si="285"/>
        <v>0</v>
      </c>
      <c r="CW264" s="4">
        <f t="shared" si="286"/>
        <v>0</v>
      </c>
      <c r="CX264" s="4">
        <f t="shared" si="287"/>
        <v>-691</v>
      </c>
      <c r="CY264" s="4">
        <f t="shared" si="288"/>
        <v>0</v>
      </c>
      <c r="CZ264" s="4">
        <f t="shared" si="289"/>
        <v>0</v>
      </c>
      <c r="DA264" s="4">
        <f t="shared" si="290"/>
        <v>0</v>
      </c>
      <c r="DB264" s="4">
        <f t="shared" si="291"/>
        <v>0</v>
      </c>
      <c r="DC264" s="4">
        <f t="shared" si="292"/>
        <v>0</v>
      </c>
      <c r="DD264" s="4">
        <f t="shared" si="293"/>
        <v>0</v>
      </c>
      <c r="DE264" s="4">
        <f t="shared" si="294"/>
        <v>0</v>
      </c>
      <c r="DF264" s="4">
        <f t="shared" si="295"/>
        <v>0</v>
      </c>
      <c r="DG264" s="4">
        <f t="shared" si="296"/>
        <v>0</v>
      </c>
      <c r="DH264" s="4">
        <f t="shared" si="297"/>
        <v>0</v>
      </c>
      <c r="DI264" s="4">
        <f t="shared" si="298"/>
        <v>0</v>
      </c>
      <c r="DJ264" s="4">
        <f t="shared" si="299"/>
        <v>0</v>
      </c>
      <c r="DK264" s="4">
        <f t="shared" si="300"/>
        <v>0</v>
      </c>
      <c r="DL264" s="4">
        <f t="shared" si="301"/>
        <v>0</v>
      </c>
    </row>
    <row r="265" spans="1:116" x14ac:dyDescent="0.25">
      <c r="A265" s="5">
        <v>46188</v>
      </c>
      <c r="B265" s="6">
        <v>0.77083333396876696</v>
      </c>
      <c r="C265" s="3"/>
      <c r="D265" s="3"/>
      <c r="E265" s="3" t="s">
        <v>29</v>
      </c>
      <c r="F265" s="3">
        <v>4</v>
      </c>
      <c r="G265" s="3"/>
      <c r="H265" s="9"/>
      <c r="I265" s="9">
        <f>SUM(IFERROR(VLOOKUP($C:$C,Structure!$A:$AJ,I$1,0)*$D265,0),IFERROR(VLOOKUP($E:$E,Structure!$A:$AJ,I$1,0)*$F265,0),IFERROR(VLOOKUP($G:$G,Structure!$A:$AJ,I$1,0)*$H265,0))</f>
        <v>0</v>
      </c>
      <c r="J265" s="9">
        <f>SUM(IFERROR(VLOOKUP($C:$C,Structure!$A:$AJ,J$1,0)*$D265,0),IFERROR(VLOOKUP($E:$E,Structure!$A:$AJ,J$1,0)*$F265,0),IFERROR(VLOOKUP($G:$G,Structure!$A:$AJ,J$1,0)*$H265,0))</f>
        <v>0</v>
      </c>
      <c r="K265" s="9">
        <f>SUM(IFERROR(VLOOKUP($C:$C,Structure!$A:$AJ,K$1,0)*$D265,0),IFERROR(VLOOKUP($E:$E,Structure!$A:$AJ,K$1,0)*$F265,0),IFERROR(VLOOKUP($G:$G,Structure!$A:$AJ,K$1,0)*$H265,0))</f>
        <v>0</v>
      </c>
      <c r="L265" s="9">
        <f>SUM(IFERROR(VLOOKUP($C:$C,Structure!$A:$AJ,L$1,0)*$D265,0),IFERROR(VLOOKUP($E:$E,Structure!$A:$AJ,L$1,0)*$F265,0),IFERROR(VLOOKUP($G:$G,Structure!$A:$AJ,L$1,0)*$H265,0))</f>
        <v>0</v>
      </c>
      <c r="M265" s="9">
        <f>SUM(IFERROR(VLOOKUP($C:$C,Structure!$A:$AJ,M$1,0)*$D265,0),IFERROR(VLOOKUP($E:$E,Structure!$A:$AJ,M$1,0)*$F265,0),IFERROR(VLOOKUP($G:$G,Structure!$A:$AJ,M$1,0)*$H265,0))</f>
        <v>0</v>
      </c>
      <c r="N265" s="9">
        <f>SUM(IFERROR(VLOOKUP($C:$C,Structure!$A:$AJ,N$1,0)*$D265,0),IFERROR(VLOOKUP($E:$E,Structure!$A:$AJ,N$1,0)*$F265,0),IFERROR(VLOOKUP($G:$G,Structure!$A:$AJ,N$1,0)*$H265,0))</f>
        <v>0</v>
      </c>
      <c r="O265" s="9">
        <f>SUM(IFERROR(VLOOKUP($C:$C,Structure!$A:$AJ,O$1,0)*$D265,0),IFERROR(VLOOKUP($E:$E,Structure!$A:$AJ,O$1,0)*$F265,0),IFERROR(VLOOKUP($G:$G,Structure!$A:$AJ,O$1,0)*$H265,0))</f>
        <v>0</v>
      </c>
      <c r="P265" s="9">
        <f>SUM(IFERROR(VLOOKUP($C:$C,Structure!$A:$AJ,P$1,0)*$D265,0),IFERROR(VLOOKUP($E:$E,Structure!$A:$AJ,P$1,0)*$F265,0),IFERROR(VLOOKUP($G:$G,Structure!$A:$AJ,P$1,0)*$H265,0))</f>
        <v>0</v>
      </c>
      <c r="Q265" s="9">
        <f>SUM(IFERROR(VLOOKUP($C:$C,Structure!$A:$AJ,Q$1,0)*$D265,0),IFERROR(VLOOKUP($E:$E,Structure!$A:$AJ,Q$1,0)*$F265,0),IFERROR(VLOOKUP($G:$G,Structure!$A:$AJ,Q$1,0)*$H265,0))</f>
        <v>0</v>
      </c>
      <c r="R265" s="9">
        <f>SUM(IFERROR(VLOOKUP($C:$C,Structure!$A:$AJ,R$1,0)*$D265,0),IFERROR(VLOOKUP($E:$E,Structure!$A:$AJ,R$1,0)*$F265,0),IFERROR(VLOOKUP($G:$G,Structure!$A:$AJ,R$1,0)*$H265,0))</f>
        <v>0</v>
      </c>
      <c r="S265" s="9">
        <f>SUM(IFERROR(VLOOKUP($C:$C,Structure!$A:$AJ,S$1,0)*$D265,0),IFERROR(VLOOKUP($E:$E,Structure!$A:$AJ,S$1,0)*$F265,0),IFERROR(VLOOKUP($G:$G,Structure!$A:$AJ,S$1,0)*$H265,0))</f>
        <v>0</v>
      </c>
      <c r="T265" s="9">
        <f>SUM(IFERROR(VLOOKUP($C:$C,Structure!$A:$AJ,T$1,0)*$D265,0),IFERROR(VLOOKUP($E:$E,Structure!$A:$AJ,T$1,0)*$F265,0),IFERROR(VLOOKUP($G:$G,Structure!$A:$AJ,T$1,0)*$H265,0))</f>
        <v>0</v>
      </c>
      <c r="U265" s="9">
        <f>SUM(IFERROR(VLOOKUP($C:$C,Structure!$A:$AJ,U$1,0)*$D265,0),IFERROR(VLOOKUP($E:$E,Structure!$A:$AJ,U$1,0)*$F265,0),IFERROR(VLOOKUP($G:$G,Structure!$A:$AJ,U$1,0)*$H265,0))</f>
        <v>4</v>
      </c>
      <c r="V265" s="9">
        <f>SUM(IFERROR(VLOOKUP($C:$C,Structure!$A:$AJ,V$1,0)*$D265,0),IFERROR(VLOOKUP($E:$E,Structure!$A:$AJ,V$1,0)*$F265,0),IFERROR(VLOOKUP($G:$G,Structure!$A:$AJ,V$1,0)*$H265,0))</f>
        <v>0</v>
      </c>
      <c r="W265" s="9">
        <f>SUM(IFERROR(VLOOKUP($C:$C,Structure!$A:$AJ,W$1,0)*$D265,0),IFERROR(VLOOKUP($E:$E,Structure!$A:$AJ,W$1,0)*$F265,0),IFERROR(VLOOKUP($G:$G,Structure!$A:$AJ,W$1,0)*$H265,0))</f>
        <v>0</v>
      </c>
      <c r="X265" s="9">
        <f>SUM(IFERROR(VLOOKUP($C:$C,Structure!$A:$AJ,X$1,0)*$D265,0),IFERROR(VLOOKUP($E:$E,Structure!$A:$AJ,X$1,0)*$F265,0),IFERROR(VLOOKUP($G:$G,Structure!$A:$AJ,X$1,0)*$H265,0))</f>
        <v>0</v>
      </c>
      <c r="Y265" s="9">
        <f>SUM(IFERROR(VLOOKUP($C:$C,Structure!$A:$AJ,Y$1,0)*$D265,0),IFERROR(VLOOKUP($E:$E,Structure!$A:$AJ,Y$1,0)*$F265,0),IFERROR(VLOOKUP($G:$G,Structure!$A:$AJ,Y$1,0)*$H265,0))</f>
        <v>0</v>
      </c>
      <c r="Z265" s="9">
        <f>SUM(IFERROR(VLOOKUP($C:$C,Structure!$A:$AJ,Z$1,0)*$D265,0),IFERROR(VLOOKUP($E:$E,Structure!$A:$AJ,Z$1,0)*$F265,0),IFERROR(VLOOKUP($G:$G,Structure!$A:$AJ,Z$1,0)*$H265,0))</f>
        <v>0</v>
      </c>
      <c r="AA265" s="9">
        <f>SUM(IFERROR(VLOOKUP($C:$C,Structure!$A:$AJ,AA$1,0)*$D265,0),IFERROR(VLOOKUP($E:$E,Structure!$A:$AJ,AA$1,0)*$F265,0),IFERROR(VLOOKUP($G:$G,Structure!$A:$AJ,AA$1,0)*$H265,0))</f>
        <v>0</v>
      </c>
      <c r="AB265" s="9">
        <f>SUM(IFERROR(VLOOKUP($C:$C,Structure!$A:$AJ,AB$1,0)*$D265,0),IFERROR(VLOOKUP($E:$E,Structure!$A:$AJ,AB$1,0)*$F265,0),IFERROR(VLOOKUP($G:$G,Structure!$A:$AJ,AB$1,0)*$H265,0))</f>
        <v>0</v>
      </c>
      <c r="AC265" s="9">
        <f>SUM(IFERROR(VLOOKUP($C:$C,Structure!$A:$AJ,AC$1,0)*$D265,0),IFERROR(VLOOKUP($E:$E,Structure!$A:$AJ,AC$1,0)*$F265,0),IFERROR(VLOOKUP($G:$G,Structure!$A:$AJ,AC$1,0)*$H265,0))</f>
        <v>4</v>
      </c>
      <c r="AD265" s="9">
        <f>SUM(IFERROR(VLOOKUP($C:$C,Structure!$A:$AJ,AD$1,0)*$D265,0),IFERROR(VLOOKUP($E:$E,Structure!$A:$AJ,AD$1,0)*$F265,0),IFERROR(VLOOKUP($G:$G,Structure!$A:$AJ,AD$1,0)*$H265,0))</f>
        <v>0</v>
      </c>
      <c r="AE265" s="9">
        <f>SUM(IFERROR(VLOOKUP($C:$C,Structure!$A:$AJ,AE$1,0)*$D265,0),IFERROR(VLOOKUP($E:$E,Structure!$A:$AJ,AE$1,0)*$F265,0),IFERROR(VLOOKUP($G:$G,Structure!$A:$AJ,AE$1,0)*$H265,0))</f>
        <v>0</v>
      </c>
      <c r="AF265" s="9">
        <f>SUM(IFERROR(VLOOKUP($C:$C,Structure!$A:$AJ,AF$1,0)*$D265,0),IFERROR(VLOOKUP($E:$E,Structure!$A:$AJ,AF$1,0)*$F265,0),IFERROR(VLOOKUP($G:$G,Structure!$A:$AJ,AF$1,0)*$H265,0))</f>
        <v>0</v>
      </c>
      <c r="AG265" s="9">
        <f>SUM(IFERROR(VLOOKUP($C:$C,Structure!$A:$AJ,AG$1,0)*$D265,0),IFERROR(VLOOKUP($E:$E,Structure!$A:$AJ,AG$1,0)*$F265,0),IFERROR(VLOOKUP($G:$G,Structure!$A:$AJ,AG$1,0)*$H265,0))</f>
        <v>0</v>
      </c>
      <c r="AH265" s="9">
        <f>SUM(IFERROR(VLOOKUP($C:$C,Structure!$A:$AJ,AH$1,0)*$D265,0),IFERROR(VLOOKUP($E:$E,Structure!$A:$AJ,AH$1,0)*$F265,0),IFERROR(VLOOKUP($G:$G,Structure!$A:$AJ,AH$1,0)*$H265,0))</f>
        <v>0</v>
      </c>
      <c r="AI265" s="9">
        <f>SUM(IFERROR(VLOOKUP($C:$C,Structure!$A:$AJ,AI$1,0)*$D265,0),IFERROR(VLOOKUP($E:$E,Structure!$A:$AJ,AI$1,0)*$F265,0),IFERROR(VLOOKUP($G:$G,Structure!$A:$AJ,AI$1,0)*$H265,0))</f>
        <v>0</v>
      </c>
      <c r="AJ265" s="9">
        <f>SUM(IFERROR(VLOOKUP($C:$C,Structure!$A:$AJ,AJ$1,0)*$D265,0),IFERROR(VLOOKUP($E:$E,Structure!$A:$AJ,AJ$1,0)*$F265,0),IFERROR(VLOOKUP($G:$G,Structure!$A:$AJ,AJ$1,0)*$H265,0))</f>
        <v>0</v>
      </c>
      <c r="AK265" s="9">
        <f>SUM(IFERROR(VLOOKUP($C:$C,Structure!$A:$AJ,AK$1,0)*$D265,0),IFERROR(VLOOKUP($E:$E,Structure!$A:$AJ,AK$1,0)*$F265,0),IFERROR(VLOOKUP($G:$G,Structure!$A:$AJ,AK$1,0)*$H265,0))</f>
        <v>0</v>
      </c>
      <c r="AL265" s="9">
        <f>SUM(IFERROR(VLOOKUP($C:$C,Structure!$A:$AJ,AL$1,0)*$D265,0),IFERROR(VLOOKUP($E:$E,Structure!$A:$AJ,AL$1,0)*$F265,0),IFERROR(VLOOKUP($G:$G,Structure!$A:$AJ,AL$1,0)*$H265,0))</f>
        <v>0</v>
      </c>
      <c r="AM265" s="9">
        <f>SUM(IFERROR(VLOOKUP($C:$C,Structure!$A:$AJ,AM$1,0)*$D265,0),IFERROR(VLOOKUP($E:$E,Structure!$A:$AJ,AM$1,0)*$F265,0),IFERROR(VLOOKUP($G:$G,Structure!$A:$AJ,AM$1,0)*$H265,0))</f>
        <v>0</v>
      </c>
      <c r="AN265" s="9">
        <f>SUM(IFERROR(VLOOKUP($C:$C,Structure!$A:$AJ,AN$1,0)*$D265,0),IFERROR(VLOOKUP($E:$E,Structure!$A:$AJ,AN$1,0)*$F265,0),IFERROR(VLOOKUP($G:$G,Structure!$A:$AJ,AN$1,0)*$H265,0))</f>
        <v>0</v>
      </c>
      <c r="AO265" s="9">
        <f>SUM(IFERROR(VLOOKUP($C:$C,Structure!$A:$AJ,AO$1,0)*$D265,0),IFERROR(VLOOKUP($E:$E,Structure!$A:$AJ,AO$1,0)*$F265,0),IFERROR(VLOOKUP($G:$G,Structure!$A:$AJ,AO$1,0)*$H265,0))</f>
        <v>0</v>
      </c>
      <c r="AP265" s="9">
        <f>SUM(IFERROR(VLOOKUP($C:$C,Structure!$A:$AJ,AP$1,0)*$D265,0),IFERROR(VLOOKUP($E:$E,Structure!$A:$AJ,AP$1,0)*$F265,0),IFERROR(VLOOKUP($G:$G,Structure!$A:$AJ,AP$1,0)*$H265,0))</f>
        <v>0</v>
      </c>
      <c r="AQ265" s="9">
        <f>SUM(IFERROR(VLOOKUP($C:$C,Structure!$A:$AJ,AQ$1,0)*$D265,0),IFERROR(VLOOKUP($E:$E,Structure!$A:$AJ,AQ$1,0)*$F265,0),IFERROR(VLOOKUP($G:$G,Structure!$A:$AJ,AQ$1,0)*$H265,0))</f>
        <v>0</v>
      </c>
      <c r="AR265" s="21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4">
        <f t="shared" si="267"/>
        <v>0</v>
      </c>
      <c r="CE265" s="4">
        <f t="shared" si="268"/>
        <v>-236</v>
      </c>
      <c r="CF265" s="4">
        <f t="shared" si="269"/>
        <v>4</v>
      </c>
      <c r="CG265" s="4">
        <f t="shared" si="270"/>
        <v>11</v>
      </c>
      <c r="CH265" s="4">
        <f t="shared" si="271"/>
        <v>-7</v>
      </c>
      <c r="CI265" s="4">
        <f t="shared" si="272"/>
        <v>98</v>
      </c>
      <c r="CJ265" s="4">
        <f t="shared" si="273"/>
        <v>-391</v>
      </c>
      <c r="CK265" s="4">
        <f t="shared" si="274"/>
        <v>-57</v>
      </c>
      <c r="CL265" s="4">
        <f t="shared" si="275"/>
        <v>0</v>
      </c>
      <c r="CM265" s="4">
        <f t="shared" si="276"/>
        <v>6</v>
      </c>
      <c r="CN265" s="4">
        <f t="shared" si="277"/>
        <v>-278</v>
      </c>
      <c r="CO265" s="4">
        <f t="shared" si="278"/>
        <v>0</v>
      </c>
      <c r="CP265" s="4">
        <f t="shared" si="279"/>
        <v>-21</v>
      </c>
      <c r="CQ265" s="4">
        <f t="shared" si="280"/>
        <v>-614</v>
      </c>
      <c r="CR265" s="4">
        <f t="shared" si="281"/>
        <v>12</v>
      </c>
      <c r="CS265" s="4">
        <f t="shared" si="282"/>
        <v>-53</v>
      </c>
      <c r="CT265" s="4">
        <f t="shared" si="283"/>
        <v>0</v>
      </c>
      <c r="CU265" s="4">
        <f t="shared" si="284"/>
        <v>0</v>
      </c>
      <c r="CV265" s="4">
        <f t="shared" si="285"/>
        <v>0</v>
      </c>
      <c r="CW265" s="4">
        <f t="shared" si="286"/>
        <v>0</v>
      </c>
      <c r="CX265" s="4">
        <f t="shared" si="287"/>
        <v>-695</v>
      </c>
      <c r="CY265" s="4">
        <f t="shared" si="288"/>
        <v>0</v>
      </c>
      <c r="CZ265" s="4">
        <f t="shared" si="289"/>
        <v>0</v>
      </c>
      <c r="DA265" s="4">
        <f t="shared" si="290"/>
        <v>0</v>
      </c>
      <c r="DB265" s="4">
        <f t="shared" si="291"/>
        <v>0</v>
      </c>
      <c r="DC265" s="4">
        <f t="shared" si="292"/>
        <v>0</v>
      </c>
      <c r="DD265" s="4">
        <f t="shared" si="293"/>
        <v>0</v>
      </c>
      <c r="DE265" s="4">
        <f t="shared" si="294"/>
        <v>0</v>
      </c>
      <c r="DF265" s="4">
        <f t="shared" si="295"/>
        <v>0</v>
      </c>
      <c r="DG265" s="4">
        <f t="shared" si="296"/>
        <v>0</v>
      </c>
      <c r="DH265" s="4">
        <f t="shared" si="297"/>
        <v>0</v>
      </c>
      <c r="DI265" s="4">
        <f t="shared" si="298"/>
        <v>0</v>
      </c>
      <c r="DJ265" s="4">
        <f t="shared" si="299"/>
        <v>0</v>
      </c>
      <c r="DK265" s="4">
        <f t="shared" si="300"/>
        <v>0</v>
      </c>
      <c r="DL265" s="4">
        <f t="shared" si="301"/>
        <v>0</v>
      </c>
    </row>
    <row r="266" spans="1:116" x14ac:dyDescent="0.25">
      <c r="A266" s="5">
        <v>46188</v>
      </c>
      <c r="B266" s="6">
        <v>0.79166666730452562</v>
      </c>
      <c r="C266" s="3"/>
      <c r="D266" s="3"/>
      <c r="E266" s="3" t="s">
        <v>30</v>
      </c>
      <c r="F266" s="3">
        <v>8</v>
      </c>
      <c r="G266" s="3"/>
      <c r="H266" s="9"/>
      <c r="I266" s="9">
        <f>SUM(IFERROR(VLOOKUP($C:$C,Structure!$A:$AJ,I$1,0)*$D266,0),IFERROR(VLOOKUP($E:$E,Structure!$A:$AJ,I$1,0)*$F266,0),IFERROR(VLOOKUP($G:$G,Structure!$A:$AJ,I$1,0)*$H266,0))</f>
        <v>0</v>
      </c>
      <c r="J266" s="9">
        <f>SUM(IFERROR(VLOOKUP($C:$C,Structure!$A:$AJ,J$1,0)*$D266,0),IFERROR(VLOOKUP($E:$E,Structure!$A:$AJ,J$1,0)*$F266,0),IFERROR(VLOOKUP($G:$G,Structure!$A:$AJ,J$1,0)*$H266,0))</f>
        <v>0</v>
      </c>
      <c r="K266" s="9">
        <f>SUM(IFERROR(VLOOKUP($C:$C,Structure!$A:$AJ,K$1,0)*$D266,0),IFERROR(VLOOKUP($E:$E,Structure!$A:$AJ,K$1,0)*$F266,0),IFERROR(VLOOKUP($G:$G,Structure!$A:$AJ,K$1,0)*$H266,0))</f>
        <v>0</v>
      </c>
      <c r="L266" s="9">
        <f>SUM(IFERROR(VLOOKUP($C:$C,Structure!$A:$AJ,L$1,0)*$D266,0),IFERROR(VLOOKUP($E:$E,Structure!$A:$AJ,L$1,0)*$F266,0),IFERROR(VLOOKUP($G:$G,Structure!$A:$AJ,L$1,0)*$H266,0))</f>
        <v>0</v>
      </c>
      <c r="M266" s="9">
        <f>SUM(IFERROR(VLOOKUP($C:$C,Structure!$A:$AJ,M$1,0)*$D266,0),IFERROR(VLOOKUP($E:$E,Structure!$A:$AJ,M$1,0)*$F266,0),IFERROR(VLOOKUP($G:$G,Structure!$A:$AJ,M$1,0)*$H266,0))</f>
        <v>0</v>
      </c>
      <c r="N266" s="9">
        <f>SUM(IFERROR(VLOOKUP($C:$C,Structure!$A:$AJ,N$1,0)*$D266,0),IFERROR(VLOOKUP($E:$E,Structure!$A:$AJ,N$1,0)*$F266,0),IFERROR(VLOOKUP($G:$G,Structure!$A:$AJ,N$1,0)*$H266,0))</f>
        <v>0</v>
      </c>
      <c r="O266" s="9">
        <f>SUM(IFERROR(VLOOKUP($C:$C,Structure!$A:$AJ,O$1,0)*$D266,0),IFERROR(VLOOKUP($E:$E,Structure!$A:$AJ,O$1,0)*$F266,0),IFERROR(VLOOKUP($G:$G,Structure!$A:$AJ,O$1,0)*$H266,0))</f>
        <v>0</v>
      </c>
      <c r="P266" s="9">
        <f>SUM(IFERROR(VLOOKUP($C:$C,Structure!$A:$AJ,P$1,0)*$D266,0),IFERROR(VLOOKUP($E:$E,Structure!$A:$AJ,P$1,0)*$F266,0),IFERROR(VLOOKUP($G:$G,Structure!$A:$AJ,P$1,0)*$H266,0))</f>
        <v>0</v>
      </c>
      <c r="Q266" s="9">
        <f>SUM(IFERROR(VLOOKUP($C:$C,Structure!$A:$AJ,Q$1,0)*$D266,0),IFERROR(VLOOKUP($E:$E,Structure!$A:$AJ,Q$1,0)*$F266,0),IFERROR(VLOOKUP($G:$G,Structure!$A:$AJ,Q$1,0)*$H266,0))</f>
        <v>0</v>
      </c>
      <c r="R266" s="9">
        <f>SUM(IFERROR(VLOOKUP($C:$C,Structure!$A:$AJ,R$1,0)*$D266,0),IFERROR(VLOOKUP($E:$E,Structure!$A:$AJ,R$1,0)*$F266,0),IFERROR(VLOOKUP($G:$G,Structure!$A:$AJ,R$1,0)*$H266,0))</f>
        <v>0</v>
      </c>
      <c r="S266" s="9">
        <f>SUM(IFERROR(VLOOKUP($C:$C,Structure!$A:$AJ,S$1,0)*$D266,0),IFERROR(VLOOKUP($E:$E,Structure!$A:$AJ,S$1,0)*$F266,0),IFERROR(VLOOKUP($G:$G,Structure!$A:$AJ,S$1,0)*$H266,0))</f>
        <v>0</v>
      </c>
      <c r="T266" s="9">
        <f>SUM(IFERROR(VLOOKUP($C:$C,Structure!$A:$AJ,T$1,0)*$D266,0),IFERROR(VLOOKUP($E:$E,Structure!$A:$AJ,T$1,0)*$F266,0),IFERROR(VLOOKUP($G:$G,Structure!$A:$AJ,T$1,0)*$H266,0))</f>
        <v>0</v>
      </c>
      <c r="U266" s="9">
        <f>SUM(IFERROR(VLOOKUP($C:$C,Structure!$A:$AJ,U$1,0)*$D266,0),IFERROR(VLOOKUP($E:$E,Structure!$A:$AJ,U$1,0)*$F266,0),IFERROR(VLOOKUP($G:$G,Structure!$A:$AJ,U$1,0)*$H266,0))</f>
        <v>0</v>
      </c>
      <c r="V266" s="9">
        <f>SUM(IFERROR(VLOOKUP($C:$C,Structure!$A:$AJ,V$1,0)*$D266,0),IFERROR(VLOOKUP($E:$E,Structure!$A:$AJ,V$1,0)*$F266,0),IFERROR(VLOOKUP($G:$G,Structure!$A:$AJ,V$1,0)*$H266,0))</f>
        <v>8</v>
      </c>
      <c r="W266" s="9">
        <f>SUM(IFERROR(VLOOKUP($C:$C,Structure!$A:$AJ,W$1,0)*$D266,0),IFERROR(VLOOKUP($E:$E,Structure!$A:$AJ,W$1,0)*$F266,0),IFERROR(VLOOKUP($G:$G,Structure!$A:$AJ,W$1,0)*$H266,0))</f>
        <v>0</v>
      </c>
      <c r="X266" s="9">
        <f>SUM(IFERROR(VLOOKUP($C:$C,Structure!$A:$AJ,X$1,0)*$D266,0),IFERROR(VLOOKUP($E:$E,Structure!$A:$AJ,X$1,0)*$F266,0),IFERROR(VLOOKUP($G:$G,Structure!$A:$AJ,X$1,0)*$H266,0))</f>
        <v>0</v>
      </c>
      <c r="Y266" s="9">
        <f>SUM(IFERROR(VLOOKUP($C:$C,Structure!$A:$AJ,Y$1,0)*$D266,0),IFERROR(VLOOKUP($E:$E,Structure!$A:$AJ,Y$1,0)*$F266,0),IFERROR(VLOOKUP($G:$G,Structure!$A:$AJ,Y$1,0)*$H266,0))</f>
        <v>0</v>
      </c>
      <c r="Z266" s="9">
        <f>SUM(IFERROR(VLOOKUP($C:$C,Structure!$A:$AJ,Z$1,0)*$D266,0),IFERROR(VLOOKUP($E:$E,Structure!$A:$AJ,Z$1,0)*$F266,0),IFERROR(VLOOKUP($G:$G,Structure!$A:$AJ,Z$1,0)*$H266,0))</f>
        <v>0</v>
      </c>
      <c r="AA266" s="9">
        <f>SUM(IFERROR(VLOOKUP($C:$C,Structure!$A:$AJ,AA$1,0)*$D266,0),IFERROR(VLOOKUP($E:$E,Structure!$A:$AJ,AA$1,0)*$F266,0),IFERROR(VLOOKUP($G:$G,Structure!$A:$AJ,AA$1,0)*$H266,0))</f>
        <v>0</v>
      </c>
      <c r="AB266" s="9">
        <f>SUM(IFERROR(VLOOKUP($C:$C,Structure!$A:$AJ,AB$1,0)*$D266,0),IFERROR(VLOOKUP($E:$E,Structure!$A:$AJ,AB$1,0)*$F266,0),IFERROR(VLOOKUP($G:$G,Structure!$A:$AJ,AB$1,0)*$H266,0))</f>
        <v>0</v>
      </c>
      <c r="AC266" s="9">
        <f>SUM(IFERROR(VLOOKUP($C:$C,Structure!$A:$AJ,AC$1,0)*$D266,0),IFERROR(VLOOKUP($E:$E,Structure!$A:$AJ,AC$1,0)*$F266,0),IFERROR(VLOOKUP($G:$G,Structure!$A:$AJ,AC$1,0)*$H266,0))</f>
        <v>8</v>
      </c>
      <c r="AD266" s="9">
        <f>SUM(IFERROR(VLOOKUP($C:$C,Structure!$A:$AJ,AD$1,0)*$D266,0),IFERROR(VLOOKUP($E:$E,Structure!$A:$AJ,AD$1,0)*$F266,0),IFERROR(VLOOKUP($G:$G,Structure!$A:$AJ,AD$1,0)*$H266,0))</f>
        <v>0</v>
      </c>
      <c r="AE266" s="9">
        <f>SUM(IFERROR(VLOOKUP($C:$C,Structure!$A:$AJ,AE$1,0)*$D266,0),IFERROR(VLOOKUP($E:$E,Structure!$A:$AJ,AE$1,0)*$F266,0),IFERROR(VLOOKUP($G:$G,Structure!$A:$AJ,AE$1,0)*$H266,0))</f>
        <v>0</v>
      </c>
      <c r="AF266" s="9">
        <f>SUM(IFERROR(VLOOKUP($C:$C,Structure!$A:$AJ,AF$1,0)*$D266,0),IFERROR(VLOOKUP($E:$E,Structure!$A:$AJ,AF$1,0)*$F266,0),IFERROR(VLOOKUP($G:$G,Structure!$A:$AJ,AF$1,0)*$H266,0))</f>
        <v>0</v>
      </c>
      <c r="AG266" s="9">
        <f>SUM(IFERROR(VLOOKUP($C:$C,Structure!$A:$AJ,AG$1,0)*$D266,0),IFERROR(VLOOKUP($E:$E,Structure!$A:$AJ,AG$1,0)*$F266,0),IFERROR(VLOOKUP($G:$G,Structure!$A:$AJ,AG$1,0)*$H266,0))</f>
        <v>0</v>
      </c>
      <c r="AH266" s="9">
        <f>SUM(IFERROR(VLOOKUP($C:$C,Structure!$A:$AJ,AH$1,0)*$D266,0),IFERROR(VLOOKUP($E:$E,Structure!$A:$AJ,AH$1,0)*$F266,0),IFERROR(VLOOKUP($G:$G,Structure!$A:$AJ,AH$1,0)*$H266,0))</f>
        <v>0</v>
      </c>
      <c r="AI266" s="9">
        <f>SUM(IFERROR(VLOOKUP($C:$C,Structure!$A:$AJ,AI$1,0)*$D266,0),IFERROR(VLOOKUP($E:$E,Structure!$A:$AJ,AI$1,0)*$F266,0),IFERROR(VLOOKUP($G:$G,Structure!$A:$AJ,AI$1,0)*$H266,0))</f>
        <v>0</v>
      </c>
      <c r="AJ266" s="9">
        <f>SUM(IFERROR(VLOOKUP($C:$C,Structure!$A:$AJ,AJ$1,0)*$D266,0),IFERROR(VLOOKUP($E:$E,Structure!$A:$AJ,AJ$1,0)*$F266,0),IFERROR(VLOOKUP($G:$G,Structure!$A:$AJ,AJ$1,0)*$H266,0))</f>
        <v>0</v>
      </c>
      <c r="AK266" s="9">
        <f>SUM(IFERROR(VLOOKUP($C:$C,Structure!$A:$AJ,AK$1,0)*$D266,0),IFERROR(VLOOKUP($E:$E,Structure!$A:$AJ,AK$1,0)*$F266,0),IFERROR(VLOOKUP($G:$G,Structure!$A:$AJ,AK$1,0)*$H266,0))</f>
        <v>0</v>
      </c>
      <c r="AL266" s="9">
        <f>SUM(IFERROR(VLOOKUP($C:$C,Structure!$A:$AJ,AL$1,0)*$D266,0),IFERROR(VLOOKUP($E:$E,Structure!$A:$AJ,AL$1,0)*$F266,0),IFERROR(VLOOKUP($G:$G,Structure!$A:$AJ,AL$1,0)*$H266,0))</f>
        <v>0</v>
      </c>
      <c r="AM266" s="9">
        <f>SUM(IFERROR(VLOOKUP($C:$C,Structure!$A:$AJ,AM$1,0)*$D266,0),IFERROR(VLOOKUP($E:$E,Structure!$A:$AJ,AM$1,0)*$F266,0),IFERROR(VLOOKUP($G:$G,Structure!$A:$AJ,AM$1,0)*$H266,0))</f>
        <v>0</v>
      </c>
      <c r="AN266" s="9">
        <f>SUM(IFERROR(VLOOKUP($C:$C,Structure!$A:$AJ,AN$1,0)*$D266,0),IFERROR(VLOOKUP($E:$E,Structure!$A:$AJ,AN$1,0)*$F266,0),IFERROR(VLOOKUP($G:$G,Structure!$A:$AJ,AN$1,0)*$H266,0))</f>
        <v>0</v>
      </c>
      <c r="AO266" s="9">
        <f>SUM(IFERROR(VLOOKUP($C:$C,Structure!$A:$AJ,AO$1,0)*$D266,0),IFERROR(VLOOKUP($E:$E,Structure!$A:$AJ,AO$1,0)*$F266,0),IFERROR(VLOOKUP($G:$G,Structure!$A:$AJ,AO$1,0)*$H266,0))</f>
        <v>0</v>
      </c>
      <c r="AP266" s="9">
        <f>SUM(IFERROR(VLOOKUP($C:$C,Structure!$A:$AJ,AP$1,0)*$D266,0),IFERROR(VLOOKUP($E:$E,Structure!$A:$AJ,AP$1,0)*$F266,0),IFERROR(VLOOKUP($G:$G,Structure!$A:$AJ,AP$1,0)*$H266,0))</f>
        <v>0</v>
      </c>
      <c r="AQ266" s="9">
        <f>SUM(IFERROR(VLOOKUP($C:$C,Structure!$A:$AJ,AQ$1,0)*$D266,0),IFERROR(VLOOKUP($E:$E,Structure!$A:$AJ,AQ$1,0)*$F266,0),IFERROR(VLOOKUP($G:$G,Structure!$A:$AJ,AQ$1,0)*$H266,0))</f>
        <v>0</v>
      </c>
      <c r="AR266" s="21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4">
        <f t="shared" si="267"/>
        <v>0</v>
      </c>
      <c r="CE266" s="4">
        <f t="shared" si="268"/>
        <v>-236</v>
      </c>
      <c r="CF266" s="4">
        <f t="shared" si="269"/>
        <v>4</v>
      </c>
      <c r="CG266" s="4">
        <f t="shared" si="270"/>
        <v>11</v>
      </c>
      <c r="CH266" s="4">
        <f t="shared" si="271"/>
        <v>-7</v>
      </c>
      <c r="CI266" s="4">
        <f t="shared" si="272"/>
        <v>98</v>
      </c>
      <c r="CJ266" s="4">
        <f t="shared" si="273"/>
        <v>-391</v>
      </c>
      <c r="CK266" s="4">
        <f t="shared" si="274"/>
        <v>-57</v>
      </c>
      <c r="CL266" s="4">
        <f t="shared" si="275"/>
        <v>0</v>
      </c>
      <c r="CM266" s="4">
        <f t="shared" si="276"/>
        <v>6</v>
      </c>
      <c r="CN266" s="4">
        <f t="shared" si="277"/>
        <v>-278</v>
      </c>
      <c r="CO266" s="4">
        <f t="shared" si="278"/>
        <v>0</v>
      </c>
      <c r="CP266" s="4">
        <f t="shared" si="279"/>
        <v>-21</v>
      </c>
      <c r="CQ266" s="4">
        <f t="shared" si="280"/>
        <v>-622</v>
      </c>
      <c r="CR266" s="4">
        <f t="shared" si="281"/>
        <v>12</v>
      </c>
      <c r="CS266" s="4">
        <f t="shared" si="282"/>
        <v>-53</v>
      </c>
      <c r="CT266" s="4">
        <f t="shared" si="283"/>
        <v>0</v>
      </c>
      <c r="CU266" s="4">
        <f t="shared" si="284"/>
        <v>0</v>
      </c>
      <c r="CV266" s="4">
        <f t="shared" si="285"/>
        <v>0</v>
      </c>
      <c r="CW266" s="4">
        <f t="shared" si="286"/>
        <v>0</v>
      </c>
      <c r="CX266" s="4">
        <f t="shared" si="287"/>
        <v>-703</v>
      </c>
      <c r="CY266" s="4">
        <f t="shared" si="288"/>
        <v>0</v>
      </c>
      <c r="CZ266" s="4">
        <f t="shared" si="289"/>
        <v>0</v>
      </c>
      <c r="DA266" s="4">
        <f t="shared" si="290"/>
        <v>0</v>
      </c>
      <c r="DB266" s="4">
        <f t="shared" si="291"/>
        <v>0</v>
      </c>
      <c r="DC266" s="4">
        <f t="shared" si="292"/>
        <v>0</v>
      </c>
      <c r="DD266" s="4">
        <f t="shared" si="293"/>
        <v>0</v>
      </c>
      <c r="DE266" s="4">
        <f t="shared" si="294"/>
        <v>0</v>
      </c>
      <c r="DF266" s="4">
        <f t="shared" si="295"/>
        <v>0</v>
      </c>
      <c r="DG266" s="4">
        <f t="shared" si="296"/>
        <v>0</v>
      </c>
      <c r="DH266" s="4">
        <f t="shared" si="297"/>
        <v>0</v>
      </c>
      <c r="DI266" s="4">
        <f t="shared" si="298"/>
        <v>0</v>
      </c>
      <c r="DJ266" s="4">
        <f t="shared" si="299"/>
        <v>0</v>
      </c>
      <c r="DK266" s="4">
        <f t="shared" si="300"/>
        <v>0</v>
      </c>
      <c r="DL266" s="4">
        <f t="shared" si="301"/>
        <v>0</v>
      </c>
    </row>
    <row r="267" spans="1:116" x14ac:dyDescent="0.25">
      <c r="A267" s="5">
        <v>46188</v>
      </c>
      <c r="B267" s="6">
        <v>0.81250000064028427</v>
      </c>
      <c r="C267" s="3"/>
      <c r="D267" s="3"/>
      <c r="E267" s="3" t="s">
        <v>30</v>
      </c>
      <c r="F267" s="3">
        <v>8</v>
      </c>
      <c r="G267" s="3"/>
      <c r="H267" s="9"/>
      <c r="I267" s="9">
        <f>SUM(IFERROR(VLOOKUP($C:$C,Structure!$A:$AJ,I$1,0)*$D267,0),IFERROR(VLOOKUP($E:$E,Structure!$A:$AJ,I$1,0)*$F267,0),IFERROR(VLOOKUP($G:$G,Structure!$A:$AJ,I$1,0)*$H267,0))</f>
        <v>0</v>
      </c>
      <c r="J267" s="9">
        <f>SUM(IFERROR(VLOOKUP($C:$C,Structure!$A:$AJ,J$1,0)*$D267,0),IFERROR(VLOOKUP($E:$E,Structure!$A:$AJ,J$1,0)*$F267,0),IFERROR(VLOOKUP($G:$G,Structure!$A:$AJ,J$1,0)*$H267,0))</f>
        <v>0</v>
      </c>
      <c r="K267" s="9">
        <f>SUM(IFERROR(VLOOKUP($C:$C,Structure!$A:$AJ,K$1,0)*$D267,0),IFERROR(VLOOKUP($E:$E,Structure!$A:$AJ,K$1,0)*$F267,0),IFERROR(VLOOKUP($G:$G,Structure!$A:$AJ,K$1,0)*$H267,0))</f>
        <v>0</v>
      </c>
      <c r="L267" s="9">
        <f>SUM(IFERROR(VLOOKUP($C:$C,Structure!$A:$AJ,L$1,0)*$D267,0),IFERROR(VLOOKUP($E:$E,Structure!$A:$AJ,L$1,0)*$F267,0),IFERROR(VLOOKUP($G:$G,Structure!$A:$AJ,L$1,0)*$H267,0))</f>
        <v>0</v>
      </c>
      <c r="M267" s="9">
        <f>SUM(IFERROR(VLOOKUP($C:$C,Structure!$A:$AJ,M$1,0)*$D267,0),IFERROR(VLOOKUP($E:$E,Structure!$A:$AJ,M$1,0)*$F267,0),IFERROR(VLOOKUP($G:$G,Structure!$A:$AJ,M$1,0)*$H267,0))</f>
        <v>0</v>
      </c>
      <c r="N267" s="9">
        <f>SUM(IFERROR(VLOOKUP($C:$C,Structure!$A:$AJ,N$1,0)*$D267,0),IFERROR(VLOOKUP($E:$E,Structure!$A:$AJ,N$1,0)*$F267,0),IFERROR(VLOOKUP($G:$G,Structure!$A:$AJ,N$1,0)*$H267,0))</f>
        <v>0</v>
      </c>
      <c r="O267" s="9">
        <f>SUM(IFERROR(VLOOKUP($C:$C,Structure!$A:$AJ,O$1,0)*$D267,0),IFERROR(VLOOKUP($E:$E,Structure!$A:$AJ,O$1,0)*$F267,0),IFERROR(VLOOKUP($G:$G,Structure!$A:$AJ,O$1,0)*$H267,0))</f>
        <v>0</v>
      </c>
      <c r="P267" s="9">
        <f>SUM(IFERROR(VLOOKUP($C:$C,Structure!$A:$AJ,P$1,0)*$D267,0),IFERROR(VLOOKUP($E:$E,Structure!$A:$AJ,P$1,0)*$F267,0),IFERROR(VLOOKUP($G:$G,Structure!$A:$AJ,P$1,0)*$H267,0))</f>
        <v>0</v>
      </c>
      <c r="Q267" s="9">
        <f>SUM(IFERROR(VLOOKUP($C:$C,Structure!$A:$AJ,Q$1,0)*$D267,0),IFERROR(VLOOKUP($E:$E,Structure!$A:$AJ,Q$1,0)*$F267,0),IFERROR(VLOOKUP($G:$G,Structure!$A:$AJ,Q$1,0)*$H267,0))</f>
        <v>0</v>
      </c>
      <c r="R267" s="9">
        <f>SUM(IFERROR(VLOOKUP($C:$C,Structure!$A:$AJ,R$1,0)*$D267,0),IFERROR(VLOOKUP($E:$E,Structure!$A:$AJ,R$1,0)*$F267,0),IFERROR(VLOOKUP($G:$G,Structure!$A:$AJ,R$1,0)*$H267,0))</f>
        <v>0</v>
      </c>
      <c r="S267" s="9">
        <f>SUM(IFERROR(VLOOKUP($C:$C,Structure!$A:$AJ,S$1,0)*$D267,0),IFERROR(VLOOKUP($E:$E,Structure!$A:$AJ,S$1,0)*$F267,0),IFERROR(VLOOKUP($G:$G,Structure!$A:$AJ,S$1,0)*$H267,0))</f>
        <v>0</v>
      </c>
      <c r="T267" s="9">
        <f>SUM(IFERROR(VLOOKUP($C:$C,Structure!$A:$AJ,T$1,0)*$D267,0),IFERROR(VLOOKUP($E:$E,Structure!$A:$AJ,T$1,0)*$F267,0),IFERROR(VLOOKUP($G:$G,Structure!$A:$AJ,T$1,0)*$H267,0))</f>
        <v>0</v>
      </c>
      <c r="U267" s="9">
        <f>SUM(IFERROR(VLOOKUP($C:$C,Structure!$A:$AJ,U$1,0)*$D267,0),IFERROR(VLOOKUP($E:$E,Structure!$A:$AJ,U$1,0)*$F267,0),IFERROR(VLOOKUP($G:$G,Structure!$A:$AJ,U$1,0)*$H267,0))</f>
        <v>0</v>
      </c>
      <c r="V267" s="9">
        <f>SUM(IFERROR(VLOOKUP($C:$C,Structure!$A:$AJ,V$1,0)*$D267,0),IFERROR(VLOOKUP($E:$E,Structure!$A:$AJ,V$1,0)*$F267,0),IFERROR(VLOOKUP($G:$G,Structure!$A:$AJ,V$1,0)*$H267,0))</f>
        <v>8</v>
      </c>
      <c r="W267" s="9">
        <f>SUM(IFERROR(VLOOKUP($C:$C,Structure!$A:$AJ,W$1,0)*$D267,0),IFERROR(VLOOKUP($E:$E,Structure!$A:$AJ,W$1,0)*$F267,0),IFERROR(VLOOKUP($G:$G,Structure!$A:$AJ,W$1,0)*$H267,0))</f>
        <v>0</v>
      </c>
      <c r="X267" s="9">
        <f>SUM(IFERROR(VLOOKUP($C:$C,Structure!$A:$AJ,X$1,0)*$D267,0),IFERROR(VLOOKUP($E:$E,Structure!$A:$AJ,X$1,0)*$F267,0),IFERROR(VLOOKUP($G:$G,Structure!$A:$AJ,X$1,0)*$H267,0))</f>
        <v>0</v>
      </c>
      <c r="Y267" s="9">
        <f>SUM(IFERROR(VLOOKUP($C:$C,Structure!$A:$AJ,Y$1,0)*$D267,0),IFERROR(VLOOKUP($E:$E,Structure!$A:$AJ,Y$1,0)*$F267,0),IFERROR(VLOOKUP($G:$G,Structure!$A:$AJ,Y$1,0)*$H267,0))</f>
        <v>0</v>
      </c>
      <c r="Z267" s="9">
        <f>SUM(IFERROR(VLOOKUP($C:$C,Structure!$A:$AJ,Z$1,0)*$D267,0),IFERROR(VLOOKUP($E:$E,Structure!$A:$AJ,Z$1,0)*$F267,0),IFERROR(VLOOKUP($G:$G,Structure!$A:$AJ,Z$1,0)*$H267,0))</f>
        <v>0</v>
      </c>
      <c r="AA267" s="9">
        <f>SUM(IFERROR(VLOOKUP($C:$C,Structure!$A:$AJ,AA$1,0)*$D267,0),IFERROR(VLOOKUP($E:$E,Structure!$A:$AJ,AA$1,0)*$F267,0),IFERROR(VLOOKUP($G:$G,Structure!$A:$AJ,AA$1,0)*$H267,0))</f>
        <v>0</v>
      </c>
      <c r="AB267" s="9">
        <f>SUM(IFERROR(VLOOKUP($C:$C,Structure!$A:$AJ,AB$1,0)*$D267,0),IFERROR(VLOOKUP($E:$E,Structure!$A:$AJ,AB$1,0)*$F267,0),IFERROR(VLOOKUP($G:$G,Structure!$A:$AJ,AB$1,0)*$H267,0))</f>
        <v>0</v>
      </c>
      <c r="AC267" s="9">
        <f>SUM(IFERROR(VLOOKUP($C:$C,Structure!$A:$AJ,AC$1,0)*$D267,0),IFERROR(VLOOKUP($E:$E,Structure!$A:$AJ,AC$1,0)*$F267,0),IFERROR(VLOOKUP($G:$G,Structure!$A:$AJ,AC$1,0)*$H267,0))</f>
        <v>8</v>
      </c>
      <c r="AD267" s="9">
        <f>SUM(IFERROR(VLOOKUP($C:$C,Structure!$A:$AJ,AD$1,0)*$D267,0),IFERROR(VLOOKUP($E:$E,Structure!$A:$AJ,AD$1,0)*$F267,0),IFERROR(VLOOKUP($G:$G,Structure!$A:$AJ,AD$1,0)*$H267,0))</f>
        <v>0</v>
      </c>
      <c r="AE267" s="9">
        <f>SUM(IFERROR(VLOOKUP($C:$C,Structure!$A:$AJ,AE$1,0)*$D267,0),IFERROR(VLOOKUP($E:$E,Structure!$A:$AJ,AE$1,0)*$F267,0),IFERROR(VLOOKUP($G:$G,Structure!$A:$AJ,AE$1,0)*$H267,0))</f>
        <v>0</v>
      </c>
      <c r="AF267" s="9">
        <f>SUM(IFERROR(VLOOKUP($C:$C,Structure!$A:$AJ,AF$1,0)*$D267,0),IFERROR(VLOOKUP($E:$E,Structure!$A:$AJ,AF$1,0)*$F267,0),IFERROR(VLOOKUP($G:$G,Structure!$A:$AJ,AF$1,0)*$H267,0))</f>
        <v>0</v>
      </c>
      <c r="AG267" s="9">
        <f>SUM(IFERROR(VLOOKUP($C:$C,Structure!$A:$AJ,AG$1,0)*$D267,0),IFERROR(VLOOKUP($E:$E,Structure!$A:$AJ,AG$1,0)*$F267,0),IFERROR(VLOOKUP($G:$G,Structure!$A:$AJ,AG$1,0)*$H267,0))</f>
        <v>0</v>
      </c>
      <c r="AH267" s="9">
        <f>SUM(IFERROR(VLOOKUP($C:$C,Structure!$A:$AJ,AH$1,0)*$D267,0),IFERROR(VLOOKUP($E:$E,Structure!$A:$AJ,AH$1,0)*$F267,0),IFERROR(VLOOKUP($G:$G,Structure!$A:$AJ,AH$1,0)*$H267,0))</f>
        <v>0</v>
      </c>
      <c r="AI267" s="9">
        <f>SUM(IFERROR(VLOOKUP($C:$C,Structure!$A:$AJ,AI$1,0)*$D267,0),IFERROR(VLOOKUP($E:$E,Structure!$A:$AJ,AI$1,0)*$F267,0),IFERROR(VLOOKUP($G:$G,Structure!$A:$AJ,AI$1,0)*$H267,0))</f>
        <v>0</v>
      </c>
      <c r="AJ267" s="9">
        <f>SUM(IFERROR(VLOOKUP($C:$C,Structure!$A:$AJ,AJ$1,0)*$D267,0),IFERROR(VLOOKUP($E:$E,Structure!$A:$AJ,AJ$1,0)*$F267,0),IFERROR(VLOOKUP($G:$G,Structure!$A:$AJ,AJ$1,0)*$H267,0))</f>
        <v>0</v>
      </c>
      <c r="AK267" s="9">
        <f>SUM(IFERROR(VLOOKUP($C:$C,Structure!$A:$AJ,AK$1,0)*$D267,0),IFERROR(VLOOKUP($E:$E,Structure!$A:$AJ,AK$1,0)*$F267,0),IFERROR(VLOOKUP($G:$G,Structure!$A:$AJ,AK$1,0)*$H267,0))</f>
        <v>0</v>
      </c>
      <c r="AL267" s="9">
        <f>SUM(IFERROR(VLOOKUP($C:$C,Structure!$A:$AJ,AL$1,0)*$D267,0),IFERROR(VLOOKUP($E:$E,Structure!$A:$AJ,AL$1,0)*$F267,0),IFERROR(VLOOKUP($G:$G,Structure!$A:$AJ,AL$1,0)*$H267,0))</f>
        <v>0</v>
      </c>
      <c r="AM267" s="9">
        <f>SUM(IFERROR(VLOOKUP($C:$C,Structure!$A:$AJ,AM$1,0)*$D267,0),IFERROR(VLOOKUP($E:$E,Structure!$A:$AJ,AM$1,0)*$F267,0),IFERROR(VLOOKUP($G:$G,Structure!$A:$AJ,AM$1,0)*$H267,0))</f>
        <v>0</v>
      </c>
      <c r="AN267" s="9">
        <f>SUM(IFERROR(VLOOKUP($C:$C,Structure!$A:$AJ,AN$1,0)*$D267,0),IFERROR(VLOOKUP($E:$E,Structure!$A:$AJ,AN$1,0)*$F267,0),IFERROR(VLOOKUP($G:$G,Structure!$A:$AJ,AN$1,0)*$H267,0))</f>
        <v>0</v>
      </c>
      <c r="AO267" s="9">
        <f>SUM(IFERROR(VLOOKUP($C:$C,Structure!$A:$AJ,AO$1,0)*$D267,0),IFERROR(VLOOKUP($E:$E,Structure!$A:$AJ,AO$1,0)*$F267,0),IFERROR(VLOOKUP($G:$G,Structure!$A:$AJ,AO$1,0)*$H267,0))</f>
        <v>0</v>
      </c>
      <c r="AP267" s="9">
        <f>SUM(IFERROR(VLOOKUP($C:$C,Structure!$A:$AJ,AP$1,0)*$D267,0),IFERROR(VLOOKUP($E:$E,Structure!$A:$AJ,AP$1,0)*$F267,0),IFERROR(VLOOKUP($G:$G,Structure!$A:$AJ,AP$1,0)*$H267,0))</f>
        <v>0</v>
      </c>
      <c r="AQ267" s="9">
        <f>SUM(IFERROR(VLOOKUP($C:$C,Structure!$A:$AJ,AQ$1,0)*$D267,0),IFERROR(VLOOKUP($E:$E,Structure!$A:$AJ,AQ$1,0)*$F267,0),IFERROR(VLOOKUP($G:$G,Structure!$A:$AJ,AQ$1,0)*$H267,0))</f>
        <v>0</v>
      </c>
      <c r="AR267" s="21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4">
        <f t="shared" si="267"/>
        <v>0</v>
      </c>
      <c r="CE267" s="4">
        <f t="shared" si="268"/>
        <v>-236</v>
      </c>
      <c r="CF267" s="4">
        <f t="shared" si="269"/>
        <v>4</v>
      </c>
      <c r="CG267" s="4">
        <f t="shared" si="270"/>
        <v>11</v>
      </c>
      <c r="CH267" s="4">
        <f t="shared" si="271"/>
        <v>-7</v>
      </c>
      <c r="CI267" s="4">
        <f t="shared" si="272"/>
        <v>98</v>
      </c>
      <c r="CJ267" s="4">
        <f t="shared" si="273"/>
        <v>-391</v>
      </c>
      <c r="CK267" s="4">
        <f t="shared" si="274"/>
        <v>-57</v>
      </c>
      <c r="CL267" s="4">
        <f t="shared" si="275"/>
        <v>0</v>
      </c>
      <c r="CM267" s="4">
        <f t="shared" si="276"/>
        <v>6</v>
      </c>
      <c r="CN267" s="4">
        <f t="shared" si="277"/>
        <v>-278</v>
      </c>
      <c r="CO267" s="4">
        <f t="shared" si="278"/>
        <v>0</v>
      </c>
      <c r="CP267" s="4">
        <f t="shared" si="279"/>
        <v>-21</v>
      </c>
      <c r="CQ267" s="4">
        <f t="shared" si="280"/>
        <v>-630</v>
      </c>
      <c r="CR267" s="4">
        <f t="shared" si="281"/>
        <v>12</v>
      </c>
      <c r="CS267" s="4">
        <f t="shared" si="282"/>
        <v>-53</v>
      </c>
      <c r="CT267" s="4">
        <f t="shared" si="283"/>
        <v>0</v>
      </c>
      <c r="CU267" s="4">
        <f t="shared" si="284"/>
        <v>0</v>
      </c>
      <c r="CV267" s="4">
        <f t="shared" si="285"/>
        <v>0</v>
      </c>
      <c r="CW267" s="4">
        <f t="shared" si="286"/>
        <v>0</v>
      </c>
      <c r="CX267" s="4">
        <f t="shared" si="287"/>
        <v>-711</v>
      </c>
      <c r="CY267" s="4">
        <f t="shared" si="288"/>
        <v>0</v>
      </c>
      <c r="CZ267" s="4">
        <f t="shared" si="289"/>
        <v>0</v>
      </c>
      <c r="DA267" s="4">
        <f t="shared" si="290"/>
        <v>0</v>
      </c>
      <c r="DB267" s="4">
        <f t="shared" si="291"/>
        <v>0</v>
      </c>
      <c r="DC267" s="4">
        <f t="shared" si="292"/>
        <v>0</v>
      </c>
      <c r="DD267" s="4">
        <f t="shared" si="293"/>
        <v>0</v>
      </c>
      <c r="DE267" s="4">
        <f t="shared" si="294"/>
        <v>0</v>
      </c>
      <c r="DF267" s="4">
        <f t="shared" si="295"/>
        <v>0</v>
      </c>
      <c r="DG267" s="4">
        <f t="shared" si="296"/>
        <v>0</v>
      </c>
      <c r="DH267" s="4">
        <f t="shared" si="297"/>
        <v>0</v>
      </c>
      <c r="DI267" s="4">
        <f t="shared" si="298"/>
        <v>0</v>
      </c>
      <c r="DJ267" s="4">
        <f t="shared" si="299"/>
        <v>0</v>
      </c>
      <c r="DK267" s="4">
        <f t="shared" si="300"/>
        <v>0</v>
      </c>
      <c r="DL267" s="4">
        <f t="shared" si="301"/>
        <v>0</v>
      </c>
    </row>
    <row r="268" spans="1:116" x14ac:dyDescent="0.25">
      <c r="A268" s="5">
        <v>46188</v>
      </c>
      <c r="B268" s="6">
        <v>0.83333333397604292</v>
      </c>
      <c r="C268" s="3"/>
      <c r="D268" s="3"/>
      <c r="E268" s="3" t="s">
        <v>30</v>
      </c>
      <c r="F268" s="3">
        <v>8</v>
      </c>
      <c r="G268" s="3"/>
      <c r="H268" s="9"/>
      <c r="I268" s="9">
        <f>SUM(IFERROR(VLOOKUP($C:$C,Structure!$A:$AJ,I$1,0)*$D268,0),IFERROR(VLOOKUP($E:$E,Structure!$A:$AJ,I$1,0)*$F268,0),IFERROR(VLOOKUP($G:$G,Structure!$A:$AJ,I$1,0)*$H268,0))</f>
        <v>0</v>
      </c>
      <c r="J268" s="9">
        <f>SUM(IFERROR(VLOOKUP($C:$C,Structure!$A:$AJ,J$1,0)*$D268,0),IFERROR(VLOOKUP($E:$E,Structure!$A:$AJ,J$1,0)*$F268,0),IFERROR(VLOOKUP($G:$G,Structure!$A:$AJ,J$1,0)*$H268,0))</f>
        <v>0</v>
      </c>
      <c r="K268" s="9">
        <f>SUM(IFERROR(VLOOKUP($C:$C,Structure!$A:$AJ,K$1,0)*$D268,0),IFERROR(VLOOKUP($E:$E,Structure!$A:$AJ,K$1,0)*$F268,0),IFERROR(VLOOKUP($G:$G,Structure!$A:$AJ,K$1,0)*$H268,0))</f>
        <v>0</v>
      </c>
      <c r="L268" s="9">
        <f>SUM(IFERROR(VLOOKUP($C:$C,Structure!$A:$AJ,L$1,0)*$D268,0),IFERROR(VLOOKUP($E:$E,Structure!$A:$AJ,L$1,0)*$F268,0),IFERROR(VLOOKUP($G:$G,Structure!$A:$AJ,L$1,0)*$H268,0))</f>
        <v>0</v>
      </c>
      <c r="M268" s="9">
        <f>SUM(IFERROR(VLOOKUP($C:$C,Structure!$A:$AJ,M$1,0)*$D268,0),IFERROR(VLOOKUP($E:$E,Structure!$A:$AJ,M$1,0)*$F268,0),IFERROR(VLOOKUP($G:$G,Structure!$A:$AJ,M$1,0)*$H268,0))</f>
        <v>0</v>
      </c>
      <c r="N268" s="9">
        <f>SUM(IFERROR(VLOOKUP($C:$C,Structure!$A:$AJ,N$1,0)*$D268,0),IFERROR(VLOOKUP($E:$E,Structure!$A:$AJ,N$1,0)*$F268,0),IFERROR(VLOOKUP($G:$G,Structure!$A:$AJ,N$1,0)*$H268,0))</f>
        <v>0</v>
      </c>
      <c r="O268" s="9">
        <f>SUM(IFERROR(VLOOKUP($C:$C,Structure!$A:$AJ,O$1,0)*$D268,0),IFERROR(VLOOKUP($E:$E,Structure!$A:$AJ,O$1,0)*$F268,0),IFERROR(VLOOKUP($G:$G,Structure!$A:$AJ,O$1,0)*$H268,0))</f>
        <v>0</v>
      </c>
      <c r="P268" s="9">
        <f>SUM(IFERROR(VLOOKUP($C:$C,Structure!$A:$AJ,P$1,0)*$D268,0),IFERROR(VLOOKUP($E:$E,Structure!$A:$AJ,P$1,0)*$F268,0),IFERROR(VLOOKUP($G:$G,Structure!$A:$AJ,P$1,0)*$H268,0))</f>
        <v>0</v>
      </c>
      <c r="Q268" s="9">
        <f>SUM(IFERROR(VLOOKUP($C:$C,Structure!$A:$AJ,Q$1,0)*$D268,0),IFERROR(VLOOKUP($E:$E,Structure!$A:$AJ,Q$1,0)*$F268,0),IFERROR(VLOOKUP($G:$G,Structure!$A:$AJ,Q$1,0)*$H268,0))</f>
        <v>0</v>
      </c>
      <c r="R268" s="9">
        <f>SUM(IFERROR(VLOOKUP($C:$C,Structure!$A:$AJ,R$1,0)*$D268,0),IFERROR(VLOOKUP($E:$E,Structure!$A:$AJ,R$1,0)*$F268,0),IFERROR(VLOOKUP($G:$G,Structure!$A:$AJ,R$1,0)*$H268,0))</f>
        <v>0</v>
      </c>
      <c r="S268" s="9">
        <f>SUM(IFERROR(VLOOKUP($C:$C,Structure!$A:$AJ,S$1,0)*$D268,0),IFERROR(VLOOKUP($E:$E,Structure!$A:$AJ,S$1,0)*$F268,0),IFERROR(VLOOKUP($G:$G,Structure!$A:$AJ,S$1,0)*$H268,0))</f>
        <v>0</v>
      </c>
      <c r="T268" s="9">
        <f>SUM(IFERROR(VLOOKUP($C:$C,Structure!$A:$AJ,T$1,0)*$D268,0),IFERROR(VLOOKUP($E:$E,Structure!$A:$AJ,T$1,0)*$F268,0),IFERROR(VLOOKUP($G:$G,Structure!$A:$AJ,T$1,0)*$H268,0))</f>
        <v>0</v>
      </c>
      <c r="U268" s="9">
        <f>SUM(IFERROR(VLOOKUP($C:$C,Structure!$A:$AJ,U$1,0)*$D268,0),IFERROR(VLOOKUP($E:$E,Structure!$A:$AJ,U$1,0)*$F268,0),IFERROR(VLOOKUP($G:$G,Structure!$A:$AJ,U$1,0)*$H268,0))</f>
        <v>0</v>
      </c>
      <c r="V268" s="9">
        <f>SUM(IFERROR(VLOOKUP($C:$C,Structure!$A:$AJ,V$1,0)*$D268,0),IFERROR(VLOOKUP($E:$E,Structure!$A:$AJ,V$1,0)*$F268,0),IFERROR(VLOOKUP($G:$G,Structure!$A:$AJ,V$1,0)*$H268,0))</f>
        <v>8</v>
      </c>
      <c r="W268" s="9">
        <f>SUM(IFERROR(VLOOKUP($C:$C,Structure!$A:$AJ,W$1,0)*$D268,0),IFERROR(VLOOKUP($E:$E,Structure!$A:$AJ,W$1,0)*$F268,0),IFERROR(VLOOKUP($G:$G,Structure!$A:$AJ,W$1,0)*$H268,0))</f>
        <v>0</v>
      </c>
      <c r="X268" s="9">
        <f>SUM(IFERROR(VLOOKUP($C:$C,Structure!$A:$AJ,X$1,0)*$D268,0),IFERROR(VLOOKUP($E:$E,Structure!$A:$AJ,X$1,0)*$F268,0),IFERROR(VLOOKUP($G:$G,Structure!$A:$AJ,X$1,0)*$H268,0))</f>
        <v>0</v>
      </c>
      <c r="Y268" s="9">
        <f>SUM(IFERROR(VLOOKUP($C:$C,Structure!$A:$AJ,Y$1,0)*$D268,0),IFERROR(VLOOKUP($E:$E,Structure!$A:$AJ,Y$1,0)*$F268,0),IFERROR(VLOOKUP($G:$G,Structure!$A:$AJ,Y$1,0)*$H268,0))</f>
        <v>0</v>
      </c>
      <c r="Z268" s="9">
        <f>SUM(IFERROR(VLOOKUP($C:$C,Structure!$A:$AJ,Z$1,0)*$D268,0),IFERROR(VLOOKUP($E:$E,Structure!$A:$AJ,Z$1,0)*$F268,0),IFERROR(VLOOKUP($G:$G,Structure!$A:$AJ,Z$1,0)*$H268,0))</f>
        <v>0</v>
      </c>
      <c r="AA268" s="9">
        <f>SUM(IFERROR(VLOOKUP($C:$C,Structure!$A:$AJ,AA$1,0)*$D268,0),IFERROR(VLOOKUP($E:$E,Structure!$A:$AJ,AA$1,0)*$F268,0),IFERROR(VLOOKUP($G:$G,Structure!$A:$AJ,AA$1,0)*$H268,0))</f>
        <v>0</v>
      </c>
      <c r="AB268" s="9">
        <f>SUM(IFERROR(VLOOKUP($C:$C,Structure!$A:$AJ,AB$1,0)*$D268,0),IFERROR(VLOOKUP($E:$E,Structure!$A:$AJ,AB$1,0)*$F268,0),IFERROR(VLOOKUP($G:$G,Structure!$A:$AJ,AB$1,0)*$H268,0))</f>
        <v>0</v>
      </c>
      <c r="AC268" s="9">
        <f>SUM(IFERROR(VLOOKUP($C:$C,Structure!$A:$AJ,AC$1,0)*$D268,0),IFERROR(VLOOKUP($E:$E,Structure!$A:$AJ,AC$1,0)*$F268,0),IFERROR(VLOOKUP($G:$G,Structure!$A:$AJ,AC$1,0)*$H268,0))</f>
        <v>8</v>
      </c>
      <c r="AD268" s="9">
        <f>SUM(IFERROR(VLOOKUP($C:$C,Structure!$A:$AJ,AD$1,0)*$D268,0),IFERROR(VLOOKUP($E:$E,Structure!$A:$AJ,AD$1,0)*$F268,0),IFERROR(VLOOKUP($G:$G,Structure!$A:$AJ,AD$1,0)*$H268,0))</f>
        <v>0</v>
      </c>
      <c r="AE268" s="9">
        <f>SUM(IFERROR(VLOOKUP($C:$C,Structure!$A:$AJ,AE$1,0)*$D268,0),IFERROR(VLOOKUP($E:$E,Structure!$A:$AJ,AE$1,0)*$F268,0),IFERROR(VLOOKUP($G:$G,Structure!$A:$AJ,AE$1,0)*$H268,0))</f>
        <v>0</v>
      </c>
      <c r="AF268" s="9">
        <f>SUM(IFERROR(VLOOKUP($C:$C,Structure!$A:$AJ,AF$1,0)*$D268,0),IFERROR(VLOOKUP($E:$E,Structure!$A:$AJ,AF$1,0)*$F268,0),IFERROR(VLOOKUP($G:$G,Structure!$A:$AJ,AF$1,0)*$H268,0))</f>
        <v>0</v>
      </c>
      <c r="AG268" s="9">
        <f>SUM(IFERROR(VLOOKUP($C:$C,Structure!$A:$AJ,AG$1,0)*$D268,0),IFERROR(VLOOKUP($E:$E,Structure!$A:$AJ,AG$1,0)*$F268,0),IFERROR(VLOOKUP($G:$G,Structure!$A:$AJ,AG$1,0)*$H268,0))</f>
        <v>0</v>
      </c>
      <c r="AH268" s="9">
        <f>SUM(IFERROR(VLOOKUP($C:$C,Structure!$A:$AJ,AH$1,0)*$D268,0),IFERROR(VLOOKUP($E:$E,Structure!$A:$AJ,AH$1,0)*$F268,0),IFERROR(VLOOKUP($G:$G,Structure!$A:$AJ,AH$1,0)*$H268,0))</f>
        <v>0</v>
      </c>
      <c r="AI268" s="9">
        <f>SUM(IFERROR(VLOOKUP($C:$C,Structure!$A:$AJ,AI$1,0)*$D268,0),IFERROR(VLOOKUP($E:$E,Structure!$A:$AJ,AI$1,0)*$F268,0),IFERROR(VLOOKUP($G:$G,Structure!$A:$AJ,AI$1,0)*$H268,0))</f>
        <v>0</v>
      </c>
      <c r="AJ268" s="9">
        <f>SUM(IFERROR(VLOOKUP($C:$C,Structure!$A:$AJ,AJ$1,0)*$D268,0),IFERROR(VLOOKUP($E:$E,Structure!$A:$AJ,AJ$1,0)*$F268,0),IFERROR(VLOOKUP($G:$G,Structure!$A:$AJ,AJ$1,0)*$H268,0))</f>
        <v>0</v>
      </c>
      <c r="AK268" s="9">
        <f>SUM(IFERROR(VLOOKUP($C:$C,Structure!$A:$AJ,AK$1,0)*$D268,0),IFERROR(VLOOKUP($E:$E,Structure!$A:$AJ,AK$1,0)*$F268,0),IFERROR(VLOOKUP($G:$G,Structure!$A:$AJ,AK$1,0)*$H268,0))</f>
        <v>0</v>
      </c>
      <c r="AL268" s="9">
        <f>SUM(IFERROR(VLOOKUP($C:$C,Structure!$A:$AJ,AL$1,0)*$D268,0),IFERROR(VLOOKUP($E:$E,Structure!$A:$AJ,AL$1,0)*$F268,0),IFERROR(VLOOKUP($G:$G,Structure!$A:$AJ,AL$1,0)*$H268,0))</f>
        <v>0</v>
      </c>
      <c r="AM268" s="9">
        <f>SUM(IFERROR(VLOOKUP($C:$C,Structure!$A:$AJ,AM$1,0)*$D268,0),IFERROR(VLOOKUP($E:$E,Structure!$A:$AJ,AM$1,0)*$F268,0),IFERROR(VLOOKUP($G:$G,Structure!$A:$AJ,AM$1,0)*$H268,0))</f>
        <v>0</v>
      </c>
      <c r="AN268" s="9">
        <f>SUM(IFERROR(VLOOKUP($C:$C,Structure!$A:$AJ,AN$1,0)*$D268,0),IFERROR(VLOOKUP($E:$E,Structure!$A:$AJ,AN$1,0)*$F268,0),IFERROR(VLOOKUP($G:$G,Structure!$A:$AJ,AN$1,0)*$H268,0))</f>
        <v>0</v>
      </c>
      <c r="AO268" s="9">
        <f>SUM(IFERROR(VLOOKUP($C:$C,Structure!$A:$AJ,AO$1,0)*$D268,0),IFERROR(VLOOKUP($E:$E,Structure!$A:$AJ,AO$1,0)*$F268,0),IFERROR(VLOOKUP($G:$G,Structure!$A:$AJ,AO$1,0)*$H268,0))</f>
        <v>0</v>
      </c>
      <c r="AP268" s="9">
        <f>SUM(IFERROR(VLOOKUP($C:$C,Structure!$A:$AJ,AP$1,0)*$D268,0),IFERROR(VLOOKUP($E:$E,Structure!$A:$AJ,AP$1,0)*$F268,0),IFERROR(VLOOKUP($G:$G,Structure!$A:$AJ,AP$1,0)*$H268,0))</f>
        <v>0</v>
      </c>
      <c r="AQ268" s="9">
        <f>SUM(IFERROR(VLOOKUP($C:$C,Structure!$A:$AJ,AQ$1,0)*$D268,0),IFERROR(VLOOKUP($E:$E,Structure!$A:$AJ,AQ$1,0)*$F268,0),IFERROR(VLOOKUP($G:$G,Structure!$A:$AJ,AQ$1,0)*$H268,0))</f>
        <v>0</v>
      </c>
      <c r="AR268" s="21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4">
        <f t="shared" si="267"/>
        <v>0</v>
      </c>
      <c r="CE268" s="4">
        <f t="shared" si="268"/>
        <v>-236</v>
      </c>
      <c r="CF268" s="4">
        <f t="shared" si="269"/>
        <v>4</v>
      </c>
      <c r="CG268" s="4">
        <f t="shared" si="270"/>
        <v>11</v>
      </c>
      <c r="CH268" s="4">
        <f t="shared" si="271"/>
        <v>-7</v>
      </c>
      <c r="CI268" s="4">
        <f t="shared" si="272"/>
        <v>98</v>
      </c>
      <c r="CJ268" s="4">
        <f t="shared" si="273"/>
        <v>-391</v>
      </c>
      <c r="CK268" s="4">
        <f t="shared" si="274"/>
        <v>-57</v>
      </c>
      <c r="CL268" s="4">
        <f t="shared" si="275"/>
        <v>0</v>
      </c>
      <c r="CM268" s="4">
        <f t="shared" si="276"/>
        <v>6</v>
      </c>
      <c r="CN268" s="4">
        <f t="shared" si="277"/>
        <v>-278</v>
      </c>
      <c r="CO268" s="4">
        <f t="shared" si="278"/>
        <v>0</v>
      </c>
      <c r="CP268" s="4">
        <f t="shared" si="279"/>
        <v>-21</v>
      </c>
      <c r="CQ268" s="4">
        <f t="shared" si="280"/>
        <v>-638</v>
      </c>
      <c r="CR268" s="4">
        <f t="shared" si="281"/>
        <v>12</v>
      </c>
      <c r="CS268" s="4">
        <f t="shared" si="282"/>
        <v>-53</v>
      </c>
      <c r="CT268" s="4">
        <f t="shared" si="283"/>
        <v>0</v>
      </c>
      <c r="CU268" s="4">
        <f t="shared" si="284"/>
        <v>0</v>
      </c>
      <c r="CV268" s="4">
        <f t="shared" si="285"/>
        <v>0</v>
      </c>
      <c r="CW268" s="4">
        <f t="shared" si="286"/>
        <v>0</v>
      </c>
      <c r="CX268" s="4">
        <f t="shared" si="287"/>
        <v>-719</v>
      </c>
      <c r="CY268" s="4">
        <f t="shared" si="288"/>
        <v>0</v>
      </c>
      <c r="CZ268" s="4">
        <f t="shared" si="289"/>
        <v>0</v>
      </c>
      <c r="DA268" s="4">
        <f t="shared" si="290"/>
        <v>0</v>
      </c>
      <c r="DB268" s="4">
        <f t="shared" si="291"/>
        <v>0</v>
      </c>
      <c r="DC268" s="4">
        <f t="shared" si="292"/>
        <v>0</v>
      </c>
      <c r="DD268" s="4">
        <f t="shared" si="293"/>
        <v>0</v>
      </c>
      <c r="DE268" s="4">
        <f t="shared" si="294"/>
        <v>0</v>
      </c>
      <c r="DF268" s="4">
        <f t="shared" si="295"/>
        <v>0</v>
      </c>
      <c r="DG268" s="4">
        <f t="shared" si="296"/>
        <v>0</v>
      </c>
      <c r="DH268" s="4">
        <f t="shared" si="297"/>
        <v>0</v>
      </c>
      <c r="DI268" s="4">
        <f t="shared" si="298"/>
        <v>0</v>
      </c>
      <c r="DJ268" s="4">
        <f t="shared" si="299"/>
        <v>0</v>
      </c>
      <c r="DK268" s="4">
        <f t="shared" si="300"/>
        <v>0</v>
      </c>
      <c r="DL268" s="4">
        <f t="shared" si="301"/>
        <v>0</v>
      </c>
    </row>
    <row r="269" spans="1:116" x14ac:dyDescent="0.25">
      <c r="A269" s="5">
        <v>46188</v>
      </c>
      <c r="B269" s="6">
        <v>0.85416666731180158</v>
      </c>
      <c r="C269" s="3"/>
      <c r="D269" s="3"/>
      <c r="E269" s="3" t="s">
        <v>30</v>
      </c>
      <c r="F269" s="3">
        <v>8</v>
      </c>
      <c r="G269" s="3"/>
      <c r="H269" s="9"/>
      <c r="I269" s="9">
        <f>SUM(IFERROR(VLOOKUP($C:$C,Structure!$A:$AJ,I$1,0)*$D269,0),IFERROR(VLOOKUP($E:$E,Structure!$A:$AJ,I$1,0)*$F269,0),IFERROR(VLOOKUP($G:$G,Structure!$A:$AJ,I$1,0)*$H269,0))</f>
        <v>0</v>
      </c>
      <c r="J269" s="9">
        <f>SUM(IFERROR(VLOOKUP($C:$C,Structure!$A:$AJ,J$1,0)*$D269,0),IFERROR(VLOOKUP($E:$E,Structure!$A:$AJ,J$1,0)*$F269,0),IFERROR(VLOOKUP($G:$G,Structure!$A:$AJ,J$1,0)*$H269,0))</f>
        <v>0</v>
      </c>
      <c r="K269" s="9">
        <f>SUM(IFERROR(VLOOKUP($C:$C,Structure!$A:$AJ,K$1,0)*$D269,0),IFERROR(VLOOKUP($E:$E,Structure!$A:$AJ,K$1,0)*$F269,0),IFERROR(VLOOKUP($G:$G,Structure!$A:$AJ,K$1,0)*$H269,0))</f>
        <v>0</v>
      </c>
      <c r="L269" s="9">
        <f>SUM(IFERROR(VLOOKUP($C:$C,Structure!$A:$AJ,L$1,0)*$D269,0),IFERROR(VLOOKUP($E:$E,Structure!$A:$AJ,L$1,0)*$F269,0),IFERROR(VLOOKUP($G:$G,Structure!$A:$AJ,L$1,0)*$H269,0))</f>
        <v>0</v>
      </c>
      <c r="M269" s="9">
        <f>SUM(IFERROR(VLOOKUP($C:$C,Structure!$A:$AJ,M$1,0)*$D269,0),IFERROR(VLOOKUP($E:$E,Structure!$A:$AJ,M$1,0)*$F269,0),IFERROR(VLOOKUP($G:$G,Structure!$A:$AJ,M$1,0)*$H269,0))</f>
        <v>0</v>
      </c>
      <c r="N269" s="9">
        <f>SUM(IFERROR(VLOOKUP($C:$C,Structure!$A:$AJ,N$1,0)*$D269,0),IFERROR(VLOOKUP($E:$E,Structure!$A:$AJ,N$1,0)*$F269,0),IFERROR(VLOOKUP($G:$G,Structure!$A:$AJ,N$1,0)*$H269,0))</f>
        <v>0</v>
      </c>
      <c r="O269" s="9">
        <f>SUM(IFERROR(VLOOKUP($C:$C,Structure!$A:$AJ,O$1,0)*$D269,0),IFERROR(VLOOKUP($E:$E,Structure!$A:$AJ,O$1,0)*$F269,0),IFERROR(VLOOKUP($G:$G,Structure!$A:$AJ,O$1,0)*$H269,0))</f>
        <v>0</v>
      </c>
      <c r="P269" s="9">
        <f>SUM(IFERROR(VLOOKUP($C:$C,Structure!$A:$AJ,P$1,0)*$D269,0),IFERROR(VLOOKUP($E:$E,Structure!$A:$AJ,P$1,0)*$F269,0),IFERROR(VLOOKUP($G:$G,Structure!$A:$AJ,P$1,0)*$H269,0))</f>
        <v>0</v>
      </c>
      <c r="Q269" s="9">
        <f>SUM(IFERROR(VLOOKUP($C:$C,Structure!$A:$AJ,Q$1,0)*$D269,0),IFERROR(VLOOKUP($E:$E,Structure!$A:$AJ,Q$1,0)*$F269,0),IFERROR(VLOOKUP($G:$G,Structure!$A:$AJ,Q$1,0)*$H269,0))</f>
        <v>0</v>
      </c>
      <c r="R269" s="9">
        <f>SUM(IFERROR(VLOOKUP($C:$C,Structure!$A:$AJ,R$1,0)*$D269,0),IFERROR(VLOOKUP($E:$E,Structure!$A:$AJ,R$1,0)*$F269,0),IFERROR(VLOOKUP($G:$G,Structure!$A:$AJ,R$1,0)*$H269,0))</f>
        <v>0</v>
      </c>
      <c r="S269" s="9">
        <f>SUM(IFERROR(VLOOKUP($C:$C,Structure!$A:$AJ,S$1,0)*$D269,0),IFERROR(VLOOKUP($E:$E,Structure!$A:$AJ,S$1,0)*$F269,0),IFERROR(VLOOKUP($G:$G,Structure!$A:$AJ,S$1,0)*$H269,0))</f>
        <v>0</v>
      </c>
      <c r="T269" s="9">
        <f>SUM(IFERROR(VLOOKUP($C:$C,Structure!$A:$AJ,T$1,0)*$D269,0),IFERROR(VLOOKUP($E:$E,Structure!$A:$AJ,T$1,0)*$F269,0),IFERROR(VLOOKUP($G:$G,Structure!$A:$AJ,T$1,0)*$H269,0))</f>
        <v>0</v>
      </c>
      <c r="U269" s="9">
        <f>SUM(IFERROR(VLOOKUP($C:$C,Structure!$A:$AJ,U$1,0)*$D269,0),IFERROR(VLOOKUP($E:$E,Structure!$A:$AJ,U$1,0)*$F269,0),IFERROR(VLOOKUP($G:$G,Structure!$A:$AJ,U$1,0)*$H269,0))</f>
        <v>0</v>
      </c>
      <c r="V269" s="9">
        <f>SUM(IFERROR(VLOOKUP($C:$C,Structure!$A:$AJ,V$1,0)*$D269,0),IFERROR(VLOOKUP($E:$E,Structure!$A:$AJ,V$1,0)*$F269,0),IFERROR(VLOOKUP($G:$G,Structure!$A:$AJ,V$1,0)*$H269,0))</f>
        <v>8</v>
      </c>
      <c r="W269" s="9">
        <f>SUM(IFERROR(VLOOKUP($C:$C,Structure!$A:$AJ,W$1,0)*$D269,0),IFERROR(VLOOKUP($E:$E,Structure!$A:$AJ,W$1,0)*$F269,0),IFERROR(VLOOKUP($G:$G,Structure!$A:$AJ,W$1,0)*$H269,0))</f>
        <v>0</v>
      </c>
      <c r="X269" s="9">
        <f>SUM(IFERROR(VLOOKUP($C:$C,Structure!$A:$AJ,X$1,0)*$D269,0),IFERROR(VLOOKUP($E:$E,Structure!$A:$AJ,X$1,0)*$F269,0),IFERROR(VLOOKUP($G:$G,Structure!$A:$AJ,X$1,0)*$H269,0))</f>
        <v>0</v>
      </c>
      <c r="Y269" s="9">
        <f>SUM(IFERROR(VLOOKUP($C:$C,Structure!$A:$AJ,Y$1,0)*$D269,0),IFERROR(VLOOKUP($E:$E,Structure!$A:$AJ,Y$1,0)*$F269,0),IFERROR(VLOOKUP($G:$G,Structure!$A:$AJ,Y$1,0)*$H269,0))</f>
        <v>0</v>
      </c>
      <c r="Z269" s="9">
        <f>SUM(IFERROR(VLOOKUP($C:$C,Structure!$A:$AJ,Z$1,0)*$D269,0),IFERROR(VLOOKUP($E:$E,Structure!$A:$AJ,Z$1,0)*$F269,0),IFERROR(VLOOKUP($G:$G,Structure!$A:$AJ,Z$1,0)*$H269,0))</f>
        <v>0</v>
      </c>
      <c r="AA269" s="9">
        <f>SUM(IFERROR(VLOOKUP($C:$C,Structure!$A:$AJ,AA$1,0)*$D269,0),IFERROR(VLOOKUP($E:$E,Structure!$A:$AJ,AA$1,0)*$F269,0),IFERROR(VLOOKUP($G:$G,Structure!$A:$AJ,AA$1,0)*$H269,0))</f>
        <v>0</v>
      </c>
      <c r="AB269" s="9">
        <f>SUM(IFERROR(VLOOKUP($C:$C,Structure!$A:$AJ,AB$1,0)*$D269,0),IFERROR(VLOOKUP($E:$E,Structure!$A:$AJ,AB$1,0)*$F269,0),IFERROR(VLOOKUP($G:$G,Structure!$A:$AJ,AB$1,0)*$H269,0))</f>
        <v>0</v>
      </c>
      <c r="AC269" s="9">
        <f>SUM(IFERROR(VLOOKUP($C:$C,Structure!$A:$AJ,AC$1,0)*$D269,0),IFERROR(VLOOKUP($E:$E,Structure!$A:$AJ,AC$1,0)*$F269,0),IFERROR(VLOOKUP($G:$G,Structure!$A:$AJ,AC$1,0)*$H269,0))</f>
        <v>8</v>
      </c>
      <c r="AD269" s="9">
        <f>SUM(IFERROR(VLOOKUP($C:$C,Structure!$A:$AJ,AD$1,0)*$D269,0),IFERROR(VLOOKUP($E:$E,Structure!$A:$AJ,AD$1,0)*$F269,0),IFERROR(VLOOKUP($G:$G,Structure!$A:$AJ,AD$1,0)*$H269,0))</f>
        <v>0</v>
      </c>
      <c r="AE269" s="9">
        <f>SUM(IFERROR(VLOOKUP($C:$C,Structure!$A:$AJ,AE$1,0)*$D269,0),IFERROR(VLOOKUP($E:$E,Structure!$A:$AJ,AE$1,0)*$F269,0),IFERROR(VLOOKUP($G:$G,Structure!$A:$AJ,AE$1,0)*$H269,0))</f>
        <v>0</v>
      </c>
      <c r="AF269" s="9">
        <f>SUM(IFERROR(VLOOKUP($C:$C,Structure!$A:$AJ,AF$1,0)*$D269,0),IFERROR(VLOOKUP($E:$E,Structure!$A:$AJ,AF$1,0)*$F269,0),IFERROR(VLOOKUP($G:$G,Structure!$A:$AJ,AF$1,0)*$H269,0))</f>
        <v>0</v>
      </c>
      <c r="AG269" s="9">
        <f>SUM(IFERROR(VLOOKUP($C:$C,Structure!$A:$AJ,AG$1,0)*$D269,0),IFERROR(VLOOKUP($E:$E,Structure!$A:$AJ,AG$1,0)*$F269,0),IFERROR(VLOOKUP($G:$G,Structure!$A:$AJ,AG$1,0)*$H269,0))</f>
        <v>0</v>
      </c>
      <c r="AH269" s="9">
        <f>SUM(IFERROR(VLOOKUP($C:$C,Structure!$A:$AJ,AH$1,0)*$D269,0),IFERROR(VLOOKUP($E:$E,Structure!$A:$AJ,AH$1,0)*$F269,0),IFERROR(VLOOKUP($G:$G,Structure!$A:$AJ,AH$1,0)*$H269,0))</f>
        <v>0</v>
      </c>
      <c r="AI269" s="9">
        <f>SUM(IFERROR(VLOOKUP($C:$C,Structure!$A:$AJ,AI$1,0)*$D269,0),IFERROR(VLOOKUP($E:$E,Structure!$A:$AJ,AI$1,0)*$F269,0),IFERROR(VLOOKUP($G:$G,Structure!$A:$AJ,AI$1,0)*$H269,0))</f>
        <v>0</v>
      </c>
      <c r="AJ269" s="9">
        <f>SUM(IFERROR(VLOOKUP($C:$C,Structure!$A:$AJ,AJ$1,0)*$D269,0),IFERROR(VLOOKUP($E:$E,Structure!$A:$AJ,AJ$1,0)*$F269,0),IFERROR(VLOOKUP($G:$G,Structure!$A:$AJ,AJ$1,0)*$H269,0))</f>
        <v>0</v>
      </c>
      <c r="AK269" s="9">
        <f>SUM(IFERROR(VLOOKUP($C:$C,Structure!$A:$AJ,AK$1,0)*$D269,0),IFERROR(VLOOKUP($E:$E,Structure!$A:$AJ,AK$1,0)*$F269,0),IFERROR(VLOOKUP($G:$G,Structure!$A:$AJ,AK$1,0)*$H269,0))</f>
        <v>0</v>
      </c>
      <c r="AL269" s="9">
        <f>SUM(IFERROR(VLOOKUP($C:$C,Structure!$A:$AJ,AL$1,0)*$D269,0),IFERROR(VLOOKUP($E:$E,Structure!$A:$AJ,AL$1,0)*$F269,0),IFERROR(VLOOKUP($G:$G,Structure!$A:$AJ,AL$1,0)*$H269,0))</f>
        <v>0</v>
      </c>
      <c r="AM269" s="9">
        <f>SUM(IFERROR(VLOOKUP($C:$C,Structure!$A:$AJ,AM$1,0)*$D269,0),IFERROR(VLOOKUP($E:$E,Structure!$A:$AJ,AM$1,0)*$F269,0),IFERROR(VLOOKUP($G:$G,Structure!$A:$AJ,AM$1,0)*$H269,0))</f>
        <v>0</v>
      </c>
      <c r="AN269" s="9">
        <f>SUM(IFERROR(VLOOKUP($C:$C,Structure!$A:$AJ,AN$1,0)*$D269,0),IFERROR(VLOOKUP($E:$E,Structure!$A:$AJ,AN$1,0)*$F269,0),IFERROR(VLOOKUP($G:$G,Structure!$A:$AJ,AN$1,0)*$H269,0))</f>
        <v>0</v>
      </c>
      <c r="AO269" s="9">
        <f>SUM(IFERROR(VLOOKUP($C:$C,Structure!$A:$AJ,AO$1,0)*$D269,0),IFERROR(VLOOKUP($E:$E,Structure!$A:$AJ,AO$1,0)*$F269,0),IFERROR(VLOOKUP($G:$G,Structure!$A:$AJ,AO$1,0)*$H269,0))</f>
        <v>0</v>
      </c>
      <c r="AP269" s="9">
        <f>SUM(IFERROR(VLOOKUP($C:$C,Structure!$A:$AJ,AP$1,0)*$D269,0),IFERROR(VLOOKUP($E:$E,Structure!$A:$AJ,AP$1,0)*$F269,0),IFERROR(VLOOKUP($G:$G,Structure!$A:$AJ,AP$1,0)*$H269,0))</f>
        <v>0</v>
      </c>
      <c r="AQ269" s="9">
        <f>SUM(IFERROR(VLOOKUP($C:$C,Structure!$A:$AJ,AQ$1,0)*$D269,0),IFERROR(VLOOKUP($E:$E,Structure!$A:$AJ,AQ$1,0)*$F269,0),IFERROR(VLOOKUP($G:$G,Structure!$A:$AJ,AQ$1,0)*$H269,0))</f>
        <v>0</v>
      </c>
      <c r="AR269" s="21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4">
        <f t="shared" si="267"/>
        <v>0</v>
      </c>
      <c r="CE269" s="4">
        <f t="shared" si="268"/>
        <v>-236</v>
      </c>
      <c r="CF269" s="4">
        <f t="shared" si="269"/>
        <v>4</v>
      </c>
      <c r="CG269" s="4">
        <f t="shared" si="270"/>
        <v>11</v>
      </c>
      <c r="CH269" s="4">
        <f t="shared" si="271"/>
        <v>-7</v>
      </c>
      <c r="CI269" s="4">
        <f t="shared" si="272"/>
        <v>98</v>
      </c>
      <c r="CJ269" s="4">
        <f t="shared" si="273"/>
        <v>-391</v>
      </c>
      <c r="CK269" s="4">
        <f t="shared" si="274"/>
        <v>-57</v>
      </c>
      <c r="CL269" s="4">
        <f t="shared" si="275"/>
        <v>0</v>
      </c>
      <c r="CM269" s="4">
        <f t="shared" si="276"/>
        <v>6</v>
      </c>
      <c r="CN269" s="4">
        <f t="shared" si="277"/>
        <v>-278</v>
      </c>
      <c r="CO269" s="4">
        <f t="shared" si="278"/>
        <v>0</v>
      </c>
      <c r="CP269" s="4">
        <f t="shared" si="279"/>
        <v>-21</v>
      </c>
      <c r="CQ269" s="4">
        <f t="shared" si="280"/>
        <v>-646</v>
      </c>
      <c r="CR269" s="4">
        <f t="shared" si="281"/>
        <v>12</v>
      </c>
      <c r="CS269" s="4">
        <f t="shared" si="282"/>
        <v>-53</v>
      </c>
      <c r="CT269" s="4">
        <f t="shared" si="283"/>
        <v>0</v>
      </c>
      <c r="CU269" s="4">
        <f t="shared" si="284"/>
        <v>0</v>
      </c>
      <c r="CV269" s="4">
        <f t="shared" si="285"/>
        <v>0</v>
      </c>
      <c r="CW269" s="4">
        <f t="shared" si="286"/>
        <v>0</v>
      </c>
      <c r="CX269" s="4">
        <f t="shared" si="287"/>
        <v>-727</v>
      </c>
      <c r="CY269" s="4">
        <f t="shared" si="288"/>
        <v>0</v>
      </c>
      <c r="CZ269" s="4">
        <f t="shared" si="289"/>
        <v>0</v>
      </c>
      <c r="DA269" s="4">
        <f t="shared" si="290"/>
        <v>0</v>
      </c>
      <c r="DB269" s="4">
        <f t="shared" si="291"/>
        <v>0</v>
      </c>
      <c r="DC269" s="4">
        <f t="shared" si="292"/>
        <v>0</v>
      </c>
      <c r="DD269" s="4">
        <f t="shared" si="293"/>
        <v>0</v>
      </c>
      <c r="DE269" s="4">
        <f t="shared" si="294"/>
        <v>0</v>
      </c>
      <c r="DF269" s="4">
        <f t="shared" si="295"/>
        <v>0</v>
      </c>
      <c r="DG269" s="4">
        <f t="shared" si="296"/>
        <v>0</v>
      </c>
      <c r="DH269" s="4">
        <f t="shared" si="297"/>
        <v>0</v>
      </c>
      <c r="DI269" s="4">
        <f t="shared" si="298"/>
        <v>0</v>
      </c>
      <c r="DJ269" s="4">
        <f t="shared" si="299"/>
        <v>0</v>
      </c>
      <c r="DK269" s="4">
        <f t="shared" si="300"/>
        <v>0</v>
      </c>
      <c r="DL269" s="4">
        <f t="shared" si="301"/>
        <v>0</v>
      </c>
    </row>
    <row r="270" spans="1:116" x14ac:dyDescent="0.25">
      <c r="A270" s="5">
        <v>46188</v>
      </c>
      <c r="B270" s="6">
        <v>0.87500000064756023</v>
      </c>
      <c r="C270" s="3"/>
      <c r="D270" s="3"/>
      <c r="E270" s="3" t="s">
        <v>30</v>
      </c>
      <c r="F270" s="3">
        <v>8</v>
      </c>
      <c r="G270" s="3"/>
      <c r="H270" s="9"/>
      <c r="I270" s="9">
        <f>SUM(IFERROR(VLOOKUP($C:$C,Structure!$A:$AJ,I$1,0)*$D270,0),IFERROR(VLOOKUP($E:$E,Structure!$A:$AJ,I$1,0)*$F270,0),IFERROR(VLOOKUP($G:$G,Structure!$A:$AJ,I$1,0)*$H270,0))</f>
        <v>0</v>
      </c>
      <c r="J270" s="9">
        <f>SUM(IFERROR(VLOOKUP($C:$C,Structure!$A:$AJ,J$1,0)*$D270,0),IFERROR(VLOOKUP($E:$E,Structure!$A:$AJ,J$1,0)*$F270,0),IFERROR(VLOOKUP($G:$G,Structure!$A:$AJ,J$1,0)*$H270,0))</f>
        <v>0</v>
      </c>
      <c r="K270" s="9">
        <f>SUM(IFERROR(VLOOKUP($C:$C,Structure!$A:$AJ,K$1,0)*$D270,0),IFERROR(VLOOKUP($E:$E,Structure!$A:$AJ,K$1,0)*$F270,0),IFERROR(VLOOKUP($G:$G,Structure!$A:$AJ,K$1,0)*$H270,0))</f>
        <v>0</v>
      </c>
      <c r="L270" s="9">
        <f>SUM(IFERROR(VLOOKUP($C:$C,Structure!$A:$AJ,L$1,0)*$D270,0),IFERROR(VLOOKUP($E:$E,Structure!$A:$AJ,L$1,0)*$F270,0),IFERROR(VLOOKUP($G:$G,Structure!$A:$AJ,L$1,0)*$H270,0))</f>
        <v>0</v>
      </c>
      <c r="M270" s="9">
        <f>SUM(IFERROR(VLOOKUP($C:$C,Structure!$A:$AJ,M$1,0)*$D270,0),IFERROR(VLOOKUP($E:$E,Structure!$A:$AJ,M$1,0)*$F270,0),IFERROR(VLOOKUP($G:$G,Structure!$A:$AJ,M$1,0)*$H270,0))</f>
        <v>0</v>
      </c>
      <c r="N270" s="9">
        <f>SUM(IFERROR(VLOOKUP($C:$C,Structure!$A:$AJ,N$1,0)*$D270,0),IFERROR(VLOOKUP($E:$E,Structure!$A:$AJ,N$1,0)*$F270,0),IFERROR(VLOOKUP($G:$G,Structure!$A:$AJ,N$1,0)*$H270,0))</f>
        <v>0</v>
      </c>
      <c r="O270" s="9">
        <f>SUM(IFERROR(VLOOKUP($C:$C,Structure!$A:$AJ,O$1,0)*$D270,0),IFERROR(VLOOKUP($E:$E,Structure!$A:$AJ,O$1,0)*$F270,0),IFERROR(VLOOKUP($G:$G,Structure!$A:$AJ,O$1,0)*$H270,0))</f>
        <v>0</v>
      </c>
      <c r="P270" s="9">
        <f>SUM(IFERROR(VLOOKUP($C:$C,Structure!$A:$AJ,P$1,0)*$D270,0),IFERROR(VLOOKUP($E:$E,Structure!$A:$AJ,P$1,0)*$F270,0),IFERROR(VLOOKUP($G:$G,Structure!$A:$AJ,P$1,0)*$H270,0))</f>
        <v>0</v>
      </c>
      <c r="Q270" s="9">
        <f>SUM(IFERROR(VLOOKUP($C:$C,Structure!$A:$AJ,Q$1,0)*$D270,0),IFERROR(VLOOKUP($E:$E,Structure!$A:$AJ,Q$1,0)*$F270,0),IFERROR(VLOOKUP($G:$G,Structure!$A:$AJ,Q$1,0)*$H270,0))</f>
        <v>0</v>
      </c>
      <c r="R270" s="9">
        <f>SUM(IFERROR(VLOOKUP($C:$C,Structure!$A:$AJ,R$1,0)*$D270,0),IFERROR(VLOOKUP($E:$E,Structure!$A:$AJ,R$1,0)*$F270,0),IFERROR(VLOOKUP($G:$G,Structure!$A:$AJ,R$1,0)*$H270,0))</f>
        <v>0</v>
      </c>
      <c r="S270" s="9">
        <f>SUM(IFERROR(VLOOKUP($C:$C,Structure!$A:$AJ,S$1,0)*$D270,0),IFERROR(VLOOKUP($E:$E,Structure!$A:$AJ,S$1,0)*$F270,0),IFERROR(VLOOKUP($G:$G,Structure!$A:$AJ,S$1,0)*$H270,0))</f>
        <v>0</v>
      </c>
      <c r="T270" s="9">
        <f>SUM(IFERROR(VLOOKUP($C:$C,Structure!$A:$AJ,T$1,0)*$D270,0),IFERROR(VLOOKUP($E:$E,Structure!$A:$AJ,T$1,0)*$F270,0),IFERROR(VLOOKUP($G:$G,Structure!$A:$AJ,T$1,0)*$H270,0))</f>
        <v>0</v>
      </c>
      <c r="U270" s="9">
        <f>SUM(IFERROR(VLOOKUP($C:$C,Structure!$A:$AJ,U$1,0)*$D270,0),IFERROR(VLOOKUP($E:$E,Structure!$A:$AJ,U$1,0)*$F270,0),IFERROR(VLOOKUP($G:$G,Structure!$A:$AJ,U$1,0)*$H270,0))</f>
        <v>0</v>
      </c>
      <c r="V270" s="9">
        <f>SUM(IFERROR(VLOOKUP($C:$C,Structure!$A:$AJ,V$1,0)*$D270,0),IFERROR(VLOOKUP($E:$E,Structure!$A:$AJ,V$1,0)*$F270,0),IFERROR(VLOOKUP($G:$G,Structure!$A:$AJ,V$1,0)*$H270,0))</f>
        <v>8</v>
      </c>
      <c r="W270" s="9">
        <f>SUM(IFERROR(VLOOKUP($C:$C,Structure!$A:$AJ,W$1,0)*$D270,0),IFERROR(VLOOKUP($E:$E,Structure!$A:$AJ,W$1,0)*$F270,0),IFERROR(VLOOKUP($G:$G,Structure!$A:$AJ,W$1,0)*$H270,0))</f>
        <v>0</v>
      </c>
      <c r="X270" s="9">
        <f>SUM(IFERROR(VLOOKUP($C:$C,Structure!$A:$AJ,X$1,0)*$D270,0),IFERROR(VLOOKUP($E:$E,Structure!$A:$AJ,X$1,0)*$F270,0),IFERROR(VLOOKUP($G:$G,Structure!$A:$AJ,X$1,0)*$H270,0))</f>
        <v>0</v>
      </c>
      <c r="Y270" s="9">
        <f>SUM(IFERROR(VLOOKUP($C:$C,Structure!$A:$AJ,Y$1,0)*$D270,0),IFERROR(VLOOKUP($E:$E,Structure!$A:$AJ,Y$1,0)*$F270,0),IFERROR(VLOOKUP($G:$G,Structure!$A:$AJ,Y$1,0)*$H270,0))</f>
        <v>0</v>
      </c>
      <c r="Z270" s="9">
        <f>SUM(IFERROR(VLOOKUP($C:$C,Structure!$A:$AJ,Z$1,0)*$D270,0),IFERROR(VLOOKUP($E:$E,Structure!$A:$AJ,Z$1,0)*$F270,0),IFERROR(VLOOKUP($G:$G,Structure!$A:$AJ,Z$1,0)*$H270,0))</f>
        <v>0</v>
      </c>
      <c r="AA270" s="9">
        <f>SUM(IFERROR(VLOOKUP($C:$C,Structure!$A:$AJ,AA$1,0)*$D270,0),IFERROR(VLOOKUP($E:$E,Structure!$A:$AJ,AA$1,0)*$F270,0),IFERROR(VLOOKUP($G:$G,Structure!$A:$AJ,AA$1,0)*$H270,0))</f>
        <v>0</v>
      </c>
      <c r="AB270" s="9">
        <f>SUM(IFERROR(VLOOKUP($C:$C,Structure!$A:$AJ,AB$1,0)*$D270,0),IFERROR(VLOOKUP($E:$E,Structure!$A:$AJ,AB$1,0)*$F270,0),IFERROR(VLOOKUP($G:$G,Structure!$A:$AJ,AB$1,0)*$H270,0))</f>
        <v>0</v>
      </c>
      <c r="AC270" s="9">
        <f>SUM(IFERROR(VLOOKUP($C:$C,Structure!$A:$AJ,AC$1,0)*$D270,0),IFERROR(VLOOKUP($E:$E,Structure!$A:$AJ,AC$1,0)*$F270,0),IFERROR(VLOOKUP($G:$G,Structure!$A:$AJ,AC$1,0)*$H270,0))</f>
        <v>8</v>
      </c>
      <c r="AD270" s="9">
        <f>SUM(IFERROR(VLOOKUP($C:$C,Structure!$A:$AJ,AD$1,0)*$D270,0),IFERROR(VLOOKUP($E:$E,Structure!$A:$AJ,AD$1,0)*$F270,0),IFERROR(VLOOKUP($G:$G,Structure!$A:$AJ,AD$1,0)*$H270,0))</f>
        <v>0</v>
      </c>
      <c r="AE270" s="9">
        <f>SUM(IFERROR(VLOOKUP($C:$C,Structure!$A:$AJ,AE$1,0)*$D270,0),IFERROR(VLOOKUP($E:$E,Structure!$A:$AJ,AE$1,0)*$F270,0),IFERROR(VLOOKUP($G:$G,Structure!$A:$AJ,AE$1,0)*$H270,0))</f>
        <v>0</v>
      </c>
      <c r="AF270" s="9">
        <f>SUM(IFERROR(VLOOKUP($C:$C,Structure!$A:$AJ,AF$1,0)*$D270,0),IFERROR(VLOOKUP($E:$E,Structure!$A:$AJ,AF$1,0)*$F270,0),IFERROR(VLOOKUP($G:$G,Structure!$A:$AJ,AF$1,0)*$H270,0))</f>
        <v>0</v>
      </c>
      <c r="AG270" s="9">
        <f>SUM(IFERROR(VLOOKUP($C:$C,Structure!$A:$AJ,AG$1,0)*$D270,0),IFERROR(VLOOKUP($E:$E,Structure!$A:$AJ,AG$1,0)*$F270,0),IFERROR(VLOOKUP($G:$G,Structure!$A:$AJ,AG$1,0)*$H270,0))</f>
        <v>0</v>
      </c>
      <c r="AH270" s="9">
        <f>SUM(IFERROR(VLOOKUP($C:$C,Structure!$A:$AJ,AH$1,0)*$D270,0),IFERROR(VLOOKUP($E:$E,Structure!$A:$AJ,AH$1,0)*$F270,0),IFERROR(VLOOKUP($G:$G,Structure!$A:$AJ,AH$1,0)*$H270,0))</f>
        <v>0</v>
      </c>
      <c r="AI270" s="9">
        <f>SUM(IFERROR(VLOOKUP($C:$C,Structure!$A:$AJ,AI$1,0)*$D270,0),IFERROR(VLOOKUP($E:$E,Structure!$A:$AJ,AI$1,0)*$F270,0),IFERROR(VLOOKUP($G:$G,Structure!$A:$AJ,AI$1,0)*$H270,0))</f>
        <v>0</v>
      </c>
      <c r="AJ270" s="9">
        <f>SUM(IFERROR(VLOOKUP($C:$C,Structure!$A:$AJ,AJ$1,0)*$D270,0),IFERROR(VLOOKUP($E:$E,Structure!$A:$AJ,AJ$1,0)*$F270,0),IFERROR(VLOOKUP($G:$G,Structure!$A:$AJ,AJ$1,0)*$H270,0))</f>
        <v>0</v>
      </c>
      <c r="AK270" s="9">
        <f>SUM(IFERROR(VLOOKUP($C:$C,Structure!$A:$AJ,AK$1,0)*$D270,0),IFERROR(VLOOKUP($E:$E,Structure!$A:$AJ,AK$1,0)*$F270,0),IFERROR(VLOOKUP($G:$G,Structure!$A:$AJ,AK$1,0)*$H270,0))</f>
        <v>0</v>
      </c>
      <c r="AL270" s="9">
        <f>SUM(IFERROR(VLOOKUP($C:$C,Structure!$A:$AJ,AL$1,0)*$D270,0),IFERROR(VLOOKUP($E:$E,Structure!$A:$AJ,AL$1,0)*$F270,0),IFERROR(VLOOKUP($G:$G,Structure!$A:$AJ,AL$1,0)*$H270,0))</f>
        <v>0</v>
      </c>
      <c r="AM270" s="9">
        <f>SUM(IFERROR(VLOOKUP($C:$C,Structure!$A:$AJ,AM$1,0)*$D270,0),IFERROR(VLOOKUP($E:$E,Structure!$A:$AJ,AM$1,0)*$F270,0),IFERROR(VLOOKUP($G:$G,Structure!$A:$AJ,AM$1,0)*$H270,0))</f>
        <v>0</v>
      </c>
      <c r="AN270" s="9">
        <f>SUM(IFERROR(VLOOKUP($C:$C,Structure!$A:$AJ,AN$1,0)*$D270,0),IFERROR(VLOOKUP($E:$E,Structure!$A:$AJ,AN$1,0)*$F270,0),IFERROR(VLOOKUP($G:$G,Structure!$A:$AJ,AN$1,0)*$H270,0))</f>
        <v>0</v>
      </c>
      <c r="AO270" s="9">
        <f>SUM(IFERROR(VLOOKUP($C:$C,Structure!$A:$AJ,AO$1,0)*$D270,0),IFERROR(VLOOKUP($E:$E,Structure!$A:$AJ,AO$1,0)*$F270,0),IFERROR(VLOOKUP($G:$G,Structure!$A:$AJ,AO$1,0)*$H270,0))</f>
        <v>0</v>
      </c>
      <c r="AP270" s="9">
        <f>SUM(IFERROR(VLOOKUP($C:$C,Structure!$A:$AJ,AP$1,0)*$D270,0),IFERROR(VLOOKUP($E:$E,Structure!$A:$AJ,AP$1,0)*$F270,0),IFERROR(VLOOKUP($G:$G,Structure!$A:$AJ,AP$1,0)*$H270,0))</f>
        <v>0</v>
      </c>
      <c r="AQ270" s="9">
        <f>SUM(IFERROR(VLOOKUP($C:$C,Structure!$A:$AJ,AQ$1,0)*$D270,0),IFERROR(VLOOKUP($E:$E,Structure!$A:$AJ,AQ$1,0)*$F270,0),IFERROR(VLOOKUP($G:$G,Structure!$A:$AJ,AQ$1,0)*$H270,0))</f>
        <v>0</v>
      </c>
      <c r="AR270" s="21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4">
        <f t="shared" si="267"/>
        <v>0</v>
      </c>
      <c r="CE270" s="4">
        <f t="shared" si="268"/>
        <v>-236</v>
      </c>
      <c r="CF270" s="4">
        <f t="shared" si="269"/>
        <v>4</v>
      </c>
      <c r="CG270" s="4">
        <f t="shared" si="270"/>
        <v>11</v>
      </c>
      <c r="CH270" s="4">
        <f t="shared" si="271"/>
        <v>-7</v>
      </c>
      <c r="CI270" s="4">
        <f t="shared" si="272"/>
        <v>98</v>
      </c>
      <c r="CJ270" s="4">
        <f t="shared" si="273"/>
        <v>-391</v>
      </c>
      <c r="CK270" s="4">
        <f t="shared" si="274"/>
        <v>-57</v>
      </c>
      <c r="CL270" s="4">
        <f t="shared" si="275"/>
        <v>0</v>
      </c>
      <c r="CM270" s="4">
        <f t="shared" si="276"/>
        <v>6</v>
      </c>
      <c r="CN270" s="4">
        <f t="shared" si="277"/>
        <v>-278</v>
      </c>
      <c r="CO270" s="4">
        <f t="shared" si="278"/>
        <v>0</v>
      </c>
      <c r="CP270" s="4">
        <f t="shared" si="279"/>
        <v>-21</v>
      </c>
      <c r="CQ270" s="4">
        <f t="shared" si="280"/>
        <v>-654</v>
      </c>
      <c r="CR270" s="4">
        <f t="shared" si="281"/>
        <v>12</v>
      </c>
      <c r="CS270" s="4">
        <f t="shared" si="282"/>
        <v>-53</v>
      </c>
      <c r="CT270" s="4">
        <f t="shared" si="283"/>
        <v>0</v>
      </c>
      <c r="CU270" s="4">
        <f t="shared" si="284"/>
        <v>0</v>
      </c>
      <c r="CV270" s="4">
        <f t="shared" si="285"/>
        <v>0</v>
      </c>
      <c r="CW270" s="4">
        <f t="shared" si="286"/>
        <v>0</v>
      </c>
      <c r="CX270" s="4">
        <f t="shared" si="287"/>
        <v>-735</v>
      </c>
      <c r="CY270" s="4">
        <f t="shared" si="288"/>
        <v>0</v>
      </c>
      <c r="CZ270" s="4">
        <f t="shared" si="289"/>
        <v>0</v>
      </c>
      <c r="DA270" s="4">
        <f t="shared" si="290"/>
        <v>0</v>
      </c>
      <c r="DB270" s="4">
        <f t="shared" si="291"/>
        <v>0</v>
      </c>
      <c r="DC270" s="4">
        <f t="shared" si="292"/>
        <v>0</v>
      </c>
      <c r="DD270" s="4">
        <f t="shared" si="293"/>
        <v>0</v>
      </c>
      <c r="DE270" s="4">
        <f t="shared" si="294"/>
        <v>0</v>
      </c>
      <c r="DF270" s="4">
        <f t="shared" si="295"/>
        <v>0</v>
      </c>
      <c r="DG270" s="4">
        <f t="shared" si="296"/>
        <v>0</v>
      </c>
      <c r="DH270" s="4">
        <f t="shared" si="297"/>
        <v>0</v>
      </c>
      <c r="DI270" s="4">
        <f t="shared" si="298"/>
        <v>0</v>
      </c>
      <c r="DJ270" s="4">
        <f t="shared" si="299"/>
        <v>0</v>
      </c>
      <c r="DK270" s="4">
        <f t="shared" si="300"/>
        <v>0</v>
      </c>
      <c r="DL270" s="4">
        <f t="shared" si="301"/>
        <v>0</v>
      </c>
    </row>
    <row r="271" spans="1:116" x14ac:dyDescent="0.25">
      <c r="A271" s="5">
        <v>46188</v>
      </c>
      <c r="B271" s="6">
        <v>0.89583333398331888</v>
      </c>
      <c r="C271" s="3"/>
      <c r="D271" s="3"/>
      <c r="E271" s="3" t="s">
        <v>30</v>
      </c>
      <c r="F271" s="3">
        <v>8</v>
      </c>
      <c r="G271" s="3"/>
      <c r="H271" s="9"/>
      <c r="I271" s="9">
        <f>SUM(IFERROR(VLOOKUP($C:$C,Structure!$A:$AJ,I$1,0)*$D271,0),IFERROR(VLOOKUP($E:$E,Structure!$A:$AJ,I$1,0)*$F271,0),IFERROR(VLOOKUP($G:$G,Structure!$A:$AJ,I$1,0)*$H271,0))</f>
        <v>0</v>
      </c>
      <c r="J271" s="9">
        <f>SUM(IFERROR(VLOOKUP($C:$C,Structure!$A:$AJ,J$1,0)*$D271,0),IFERROR(VLOOKUP($E:$E,Structure!$A:$AJ,J$1,0)*$F271,0),IFERROR(VLOOKUP($G:$G,Structure!$A:$AJ,J$1,0)*$H271,0))</f>
        <v>0</v>
      </c>
      <c r="K271" s="9">
        <f>SUM(IFERROR(VLOOKUP($C:$C,Structure!$A:$AJ,K$1,0)*$D271,0),IFERROR(VLOOKUP($E:$E,Structure!$A:$AJ,K$1,0)*$F271,0),IFERROR(VLOOKUP($G:$G,Structure!$A:$AJ,K$1,0)*$H271,0))</f>
        <v>0</v>
      </c>
      <c r="L271" s="9">
        <f>SUM(IFERROR(VLOOKUP($C:$C,Structure!$A:$AJ,L$1,0)*$D271,0),IFERROR(VLOOKUP($E:$E,Structure!$A:$AJ,L$1,0)*$F271,0),IFERROR(VLOOKUP($G:$G,Structure!$A:$AJ,L$1,0)*$H271,0))</f>
        <v>0</v>
      </c>
      <c r="M271" s="9">
        <f>SUM(IFERROR(VLOOKUP($C:$C,Structure!$A:$AJ,M$1,0)*$D271,0),IFERROR(VLOOKUP($E:$E,Structure!$A:$AJ,M$1,0)*$F271,0),IFERROR(VLOOKUP($G:$G,Structure!$A:$AJ,M$1,0)*$H271,0))</f>
        <v>0</v>
      </c>
      <c r="N271" s="9">
        <f>SUM(IFERROR(VLOOKUP($C:$C,Structure!$A:$AJ,N$1,0)*$D271,0),IFERROR(VLOOKUP($E:$E,Structure!$A:$AJ,N$1,0)*$F271,0),IFERROR(VLOOKUP($G:$G,Structure!$A:$AJ,N$1,0)*$H271,0))</f>
        <v>0</v>
      </c>
      <c r="O271" s="9">
        <f>SUM(IFERROR(VLOOKUP($C:$C,Structure!$A:$AJ,O$1,0)*$D271,0),IFERROR(VLOOKUP($E:$E,Structure!$A:$AJ,O$1,0)*$F271,0),IFERROR(VLOOKUP($G:$G,Structure!$A:$AJ,O$1,0)*$H271,0))</f>
        <v>0</v>
      </c>
      <c r="P271" s="9">
        <f>SUM(IFERROR(VLOOKUP($C:$C,Structure!$A:$AJ,P$1,0)*$D271,0),IFERROR(VLOOKUP($E:$E,Structure!$A:$AJ,P$1,0)*$F271,0),IFERROR(VLOOKUP($G:$G,Structure!$A:$AJ,P$1,0)*$H271,0))</f>
        <v>0</v>
      </c>
      <c r="Q271" s="9">
        <f>SUM(IFERROR(VLOOKUP($C:$C,Structure!$A:$AJ,Q$1,0)*$D271,0),IFERROR(VLOOKUP($E:$E,Structure!$A:$AJ,Q$1,0)*$F271,0),IFERROR(VLOOKUP($G:$G,Structure!$A:$AJ,Q$1,0)*$H271,0))</f>
        <v>0</v>
      </c>
      <c r="R271" s="9">
        <f>SUM(IFERROR(VLOOKUP($C:$C,Structure!$A:$AJ,R$1,0)*$D271,0),IFERROR(VLOOKUP($E:$E,Structure!$A:$AJ,R$1,0)*$F271,0),IFERROR(VLOOKUP($G:$G,Structure!$A:$AJ,R$1,0)*$H271,0))</f>
        <v>0</v>
      </c>
      <c r="S271" s="9">
        <f>SUM(IFERROR(VLOOKUP($C:$C,Structure!$A:$AJ,S$1,0)*$D271,0),IFERROR(VLOOKUP($E:$E,Structure!$A:$AJ,S$1,0)*$F271,0),IFERROR(VLOOKUP($G:$G,Structure!$A:$AJ,S$1,0)*$H271,0))</f>
        <v>0</v>
      </c>
      <c r="T271" s="9">
        <f>SUM(IFERROR(VLOOKUP($C:$C,Structure!$A:$AJ,T$1,0)*$D271,0),IFERROR(VLOOKUP($E:$E,Structure!$A:$AJ,T$1,0)*$F271,0),IFERROR(VLOOKUP($G:$G,Structure!$A:$AJ,T$1,0)*$H271,0))</f>
        <v>0</v>
      </c>
      <c r="U271" s="9">
        <f>SUM(IFERROR(VLOOKUP($C:$C,Structure!$A:$AJ,U$1,0)*$D271,0),IFERROR(VLOOKUP($E:$E,Structure!$A:$AJ,U$1,0)*$F271,0),IFERROR(VLOOKUP($G:$G,Structure!$A:$AJ,U$1,0)*$H271,0))</f>
        <v>0</v>
      </c>
      <c r="V271" s="9">
        <f>SUM(IFERROR(VLOOKUP($C:$C,Structure!$A:$AJ,V$1,0)*$D271,0),IFERROR(VLOOKUP($E:$E,Structure!$A:$AJ,V$1,0)*$F271,0),IFERROR(VLOOKUP($G:$G,Structure!$A:$AJ,V$1,0)*$H271,0))</f>
        <v>8</v>
      </c>
      <c r="W271" s="9">
        <f>SUM(IFERROR(VLOOKUP($C:$C,Structure!$A:$AJ,W$1,0)*$D271,0),IFERROR(VLOOKUP($E:$E,Structure!$A:$AJ,W$1,0)*$F271,0),IFERROR(VLOOKUP($G:$G,Structure!$A:$AJ,W$1,0)*$H271,0))</f>
        <v>0</v>
      </c>
      <c r="X271" s="9">
        <f>SUM(IFERROR(VLOOKUP($C:$C,Structure!$A:$AJ,X$1,0)*$D271,0),IFERROR(VLOOKUP($E:$E,Structure!$A:$AJ,X$1,0)*$F271,0),IFERROR(VLOOKUP($G:$G,Structure!$A:$AJ,X$1,0)*$H271,0))</f>
        <v>0</v>
      </c>
      <c r="Y271" s="9">
        <f>SUM(IFERROR(VLOOKUP($C:$C,Structure!$A:$AJ,Y$1,0)*$D271,0),IFERROR(VLOOKUP($E:$E,Structure!$A:$AJ,Y$1,0)*$F271,0),IFERROR(VLOOKUP($G:$G,Structure!$A:$AJ,Y$1,0)*$H271,0))</f>
        <v>0</v>
      </c>
      <c r="Z271" s="9">
        <f>SUM(IFERROR(VLOOKUP($C:$C,Structure!$A:$AJ,Z$1,0)*$D271,0),IFERROR(VLOOKUP($E:$E,Structure!$A:$AJ,Z$1,0)*$F271,0),IFERROR(VLOOKUP($G:$G,Structure!$A:$AJ,Z$1,0)*$H271,0))</f>
        <v>0</v>
      </c>
      <c r="AA271" s="9">
        <f>SUM(IFERROR(VLOOKUP($C:$C,Structure!$A:$AJ,AA$1,0)*$D271,0),IFERROR(VLOOKUP($E:$E,Structure!$A:$AJ,AA$1,0)*$F271,0),IFERROR(VLOOKUP($G:$G,Structure!$A:$AJ,AA$1,0)*$H271,0))</f>
        <v>0</v>
      </c>
      <c r="AB271" s="9">
        <f>SUM(IFERROR(VLOOKUP($C:$C,Structure!$A:$AJ,AB$1,0)*$D271,0),IFERROR(VLOOKUP($E:$E,Structure!$A:$AJ,AB$1,0)*$F271,0),IFERROR(VLOOKUP($G:$G,Structure!$A:$AJ,AB$1,0)*$H271,0))</f>
        <v>0</v>
      </c>
      <c r="AC271" s="9">
        <f>SUM(IFERROR(VLOOKUP($C:$C,Structure!$A:$AJ,AC$1,0)*$D271,0),IFERROR(VLOOKUP($E:$E,Structure!$A:$AJ,AC$1,0)*$F271,0),IFERROR(VLOOKUP($G:$G,Structure!$A:$AJ,AC$1,0)*$H271,0))</f>
        <v>8</v>
      </c>
      <c r="AD271" s="9">
        <f>SUM(IFERROR(VLOOKUP($C:$C,Structure!$A:$AJ,AD$1,0)*$D271,0),IFERROR(VLOOKUP($E:$E,Structure!$A:$AJ,AD$1,0)*$F271,0),IFERROR(VLOOKUP($G:$G,Structure!$A:$AJ,AD$1,0)*$H271,0))</f>
        <v>0</v>
      </c>
      <c r="AE271" s="9">
        <f>SUM(IFERROR(VLOOKUP($C:$C,Structure!$A:$AJ,AE$1,0)*$D271,0),IFERROR(VLOOKUP($E:$E,Structure!$A:$AJ,AE$1,0)*$F271,0),IFERROR(VLOOKUP($G:$G,Structure!$A:$AJ,AE$1,0)*$H271,0))</f>
        <v>0</v>
      </c>
      <c r="AF271" s="9">
        <f>SUM(IFERROR(VLOOKUP($C:$C,Structure!$A:$AJ,AF$1,0)*$D271,0),IFERROR(VLOOKUP($E:$E,Structure!$A:$AJ,AF$1,0)*$F271,0),IFERROR(VLOOKUP($G:$G,Structure!$A:$AJ,AF$1,0)*$H271,0))</f>
        <v>0</v>
      </c>
      <c r="AG271" s="9">
        <f>SUM(IFERROR(VLOOKUP($C:$C,Structure!$A:$AJ,AG$1,0)*$D271,0),IFERROR(VLOOKUP($E:$E,Structure!$A:$AJ,AG$1,0)*$F271,0),IFERROR(VLOOKUP($G:$G,Structure!$A:$AJ,AG$1,0)*$H271,0))</f>
        <v>0</v>
      </c>
      <c r="AH271" s="9">
        <f>SUM(IFERROR(VLOOKUP($C:$C,Structure!$A:$AJ,AH$1,0)*$D271,0),IFERROR(VLOOKUP($E:$E,Structure!$A:$AJ,AH$1,0)*$F271,0),IFERROR(VLOOKUP($G:$G,Structure!$A:$AJ,AH$1,0)*$H271,0))</f>
        <v>0</v>
      </c>
      <c r="AI271" s="9">
        <f>SUM(IFERROR(VLOOKUP($C:$C,Structure!$A:$AJ,AI$1,0)*$D271,0),IFERROR(VLOOKUP($E:$E,Structure!$A:$AJ,AI$1,0)*$F271,0),IFERROR(VLOOKUP($G:$G,Structure!$A:$AJ,AI$1,0)*$H271,0))</f>
        <v>0</v>
      </c>
      <c r="AJ271" s="9">
        <f>SUM(IFERROR(VLOOKUP($C:$C,Structure!$A:$AJ,AJ$1,0)*$D271,0),IFERROR(VLOOKUP($E:$E,Structure!$A:$AJ,AJ$1,0)*$F271,0),IFERROR(VLOOKUP($G:$G,Structure!$A:$AJ,AJ$1,0)*$H271,0))</f>
        <v>0</v>
      </c>
      <c r="AK271" s="9">
        <f>SUM(IFERROR(VLOOKUP($C:$C,Structure!$A:$AJ,AK$1,0)*$D271,0),IFERROR(VLOOKUP($E:$E,Structure!$A:$AJ,AK$1,0)*$F271,0),IFERROR(VLOOKUP($G:$G,Structure!$A:$AJ,AK$1,0)*$H271,0))</f>
        <v>0</v>
      </c>
      <c r="AL271" s="9">
        <f>SUM(IFERROR(VLOOKUP($C:$C,Structure!$A:$AJ,AL$1,0)*$D271,0),IFERROR(VLOOKUP($E:$E,Structure!$A:$AJ,AL$1,0)*$F271,0),IFERROR(VLOOKUP($G:$G,Structure!$A:$AJ,AL$1,0)*$H271,0))</f>
        <v>0</v>
      </c>
      <c r="AM271" s="9">
        <f>SUM(IFERROR(VLOOKUP($C:$C,Structure!$A:$AJ,AM$1,0)*$D271,0),IFERROR(VLOOKUP($E:$E,Structure!$A:$AJ,AM$1,0)*$F271,0),IFERROR(VLOOKUP($G:$G,Structure!$A:$AJ,AM$1,0)*$H271,0))</f>
        <v>0</v>
      </c>
      <c r="AN271" s="9">
        <f>SUM(IFERROR(VLOOKUP($C:$C,Structure!$A:$AJ,AN$1,0)*$D271,0),IFERROR(VLOOKUP($E:$E,Structure!$A:$AJ,AN$1,0)*$F271,0),IFERROR(VLOOKUP($G:$G,Structure!$A:$AJ,AN$1,0)*$H271,0))</f>
        <v>0</v>
      </c>
      <c r="AO271" s="9">
        <f>SUM(IFERROR(VLOOKUP($C:$C,Structure!$A:$AJ,AO$1,0)*$D271,0),IFERROR(VLOOKUP($E:$E,Structure!$A:$AJ,AO$1,0)*$F271,0),IFERROR(VLOOKUP($G:$G,Structure!$A:$AJ,AO$1,0)*$H271,0))</f>
        <v>0</v>
      </c>
      <c r="AP271" s="9">
        <f>SUM(IFERROR(VLOOKUP($C:$C,Structure!$A:$AJ,AP$1,0)*$D271,0),IFERROR(VLOOKUP($E:$E,Structure!$A:$AJ,AP$1,0)*$F271,0),IFERROR(VLOOKUP($G:$G,Structure!$A:$AJ,AP$1,0)*$H271,0))</f>
        <v>0</v>
      </c>
      <c r="AQ271" s="9">
        <f>SUM(IFERROR(VLOOKUP($C:$C,Structure!$A:$AJ,AQ$1,0)*$D271,0),IFERROR(VLOOKUP($E:$E,Structure!$A:$AJ,AQ$1,0)*$F271,0),IFERROR(VLOOKUP($G:$G,Structure!$A:$AJ,AQ$1,0)*$H271,0))</f>
        <v>0</v>
      </c>
      <c r="AR271" s="21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4">
        <f t="shared" si="267"/>
        <v>0</v>
      </c>
      <c r="CE271" s="4">
        <f t="shared" si="268"/>
        <v>-236</v>
      </c>
      <c r="CF271" s="4">
        <f t="shared" si="269"/>
        <v>4</v>
      </c>
      <c r="CG271" s="4">
        <f t="shared" si="270"/>
        <v>11</v>
      </c>
      <c r="CH271" s="4">
        <f t="shared" si="271"/>
        <v>-7</v>
      </c>
      <c r="CI271" s="4">
        <f t="shared" si="272"/>
        <v>98</v>
      </c>
      <c r="CJ271" s="4">
        <f t="shared" si="273"/>
        <v>-391</v>
      </c>
      <c r="CK271" s="4">
        <f t="shared" si="274"/>
        <v>-57</v>
      </c>
      <c r="CL271" s="4">
        <f t="shared" si="275"/>
        <v>0</v>
      </c>
      <c r="CM271" s="4">
        <f t="shared" si="276"/>
        <v>6</v>
      </c>
      <c r="CN271" s="4">
        <f t="shared" si="277"/>
        <v>-278</v>
      </c>
      <c r="CO271" s="4">
        <f t="shared" si="278"/>
        <v>0</v>
      </c>
      <c r="CP271" s="4">
        <f t="shared" si="279"/>
        <v>-21</v>
      </c>
      <c r="CQ271" s="4">
        <f t="shared" si="280"/>
        <v>-662</v>
      </c>
      <c r="CR271" s="4">
        <f t="shared" si="281"/>
        <v>12</v>
      </c>
      <c r="CS271" s="4">
        <f t="shared" si="282"/>
        <v>-53</v>
      </c>
      <c r="CT271" s="4">
        <f t="shared" si="283"/>
        <v>0</v>
      </c>
      <c r="CU271" s="4">
        <f t="shared" si="284"/>
        <v>0</v>
      </c>
      <c r="CV271" s="4">
        <f t="shared" si="285"/>
        <v>0</v>
      </c>
      <c r="CW271" s="4">
        <f t="shared" si="286"/>
        <v>0</v>
      </c>
      <c r="CX271" s="4">
        <f t="shared" si="287"/>
        <v>-743</v>
      </c>
      <c r="CY271" s="4">
        <f t="shared" si="288"/>
        <v>0</v>
      </c>
      <c r="CZ271" s="4">
        <f t="shared" si="289"/>
        <v>0</v>
      </c>
      <c r="DA271" s="4">
        <f t="shared" si="290"/>
        <v>0</v>
      </c>
      <c r="DB271" s="4">
        <f t="shared" si="291"/>
        <v>0</v>
      </c>
      <c r="DC271" s="4">
        <f t="shared" si="292"/>
        <v>0</v>
      </c>
      <c r="DD271" s="4">
        <f t="shared" si="293"/>
        <v>0</v>
      </c>
      <c r="DE271" s="4">
        <f t="shared" si="294"/>
        <v>0</v>
      </c>
      <c r="DF271" s="4">
        <f t="shared" si="295"/>
        <v>0</v>
      </c>
      <c r="DG271" s="4">
        <f t="shared" si="296"/>
        <v>0</v>
      </c>
      <c r="DH271" s="4">
        <f t="shared" si="297"/>
        <v>0</v>
      </c>
      <c r="DI271" s="4">
        <f t="shared" si="298"/>
        <v>0</v>
      </c>
      <c r="DJ271" s="4">
        <f t="shared" si="299"/>
        <v>0</v>
      </c>
      <c r="DK271" s="4">
        <f t="shared" si="300"/>
        <v>0</v>
      </c>
      <c r="DL271" s="4">
        <f t="shared" si="301"/>
        <v>0</v>
      </c>
    </row>
    <row r="272" spans="1:116" x14ac:dyDescent="0.25">
      <c r="A272" s="5">
        <v>46188</v>
      </c>
      <c r="B272" s="6">
        <v>0.91666666731907753</v>
      </c>
      <c r="C272" s="3"/>
      <c r="D272" s="3"/>
      <c r="E272" s="3" t="s">
        <v>30</v>
      </c>
      <c r="F272" s="3">
        <v>8</v>
      </c>
      <c r="G272" s="3"/>
      <c r="H272" s="9"/>
      <c r="I272" s="9">
        <f>SUM(IFERROR(VLOOKUP($C:$C,Structure!$A:$AJ,I$1,0)*$D272,0),IFERROR(VLOOKUP($E:$E,Structure!$A:$AJ,I$1,0)*$F272,0),IFERROR(VLOOKUP($G:$G,Structure!$A:$AJ,I$1,0)*$H272,0))</f>
        <v>0</v>
      </c>
      <c r="J272" s="9">
        <f>SUM(IFERROR(VLOOKUP($C:$C,Structure!$A:$AJ,J$1,0)*$D272,0),IFERROR(VLOOKUP($E:$E,Structure!$A:$AJ,J$1,0)*$F272,0),IFERROR(VLOOKUP($G:$G,Structure!$A:$AJ,J$1,0)*$H272,0))</f>
        <v>0</v>
      </c>
      <c r="K272" s="9">
        <f>SUM(IFERROR(VLOOKUP($C:$C,Structure!$A:$AJ,K$1,0)*$D272,0),IFERROR(VLOOKUP($E:$E,Structure!$A:$AJ,K$1,0)*$F272,0),IFERROR(VLOOKUP($G:$G,Structure!$A:$AJ,K$1,0)*$H272,0))</f>
        <v>0</v>
      </c>
      <c r="L272" s="9">
        <f>SUM(IFERROR(VLOOKUP($C:$C,Structure!$A:$AJ,L$1,0)*$D272,0),IFERROR(VLOOKUP($E:$E,Structure!$A:$AJ,L$1,0)*$F272,0),IFERROR(VLOOKUP($G:$G,Structure!$A:$AJ,L$1,0)*$H272,0))</f>
        <v>0</v>
      </c>
      <c r="M272" s="9">
        <f>SUM(IFERROR(VLOOKUP($C:$C,Structure!$A:$AJ,M$1,0)*$D272,0),IFERROR(VLOOKUP($E:$E,Structure!$A:$AJ,M$1,0)*$F272,0),IFERROR(VLOOKUP($G:$G,Structure!$A:$AJ,M$1,0)*$H272,0))</f>
        <v>0</v>
      </c>
      <c r="N272" s="9">
        <f>SUM(IFERROR(VLOOKUP($C:$C,Structure!$A:$AJ,N$1,0)*$D272,0),IFERROR(VLOOKUP($E:$E,Structure!$A:$AJ,N$1,0)*$F272,0),IFERROR(VLOOKUP($G:$G,Structure!$A:$AJ,N$1,0)*$H272,0))</f>
        <v>0</v>
      </c>
      <c r="O272" s="9">
        <f>SUM(IFERROR(VLOOKUP($C:$C,Structure!$A:$AJ,O$1,0)*$D272,0),IFERROR(VLOOKUP($E:$E,Structure!$A:$AJ,O$1,0)*$F272,0),IFERROR(VLOOKUP($G:$G,Structure!$A:$AJ,O$1,0)*$H272,0))</f>
        <v>0</v>
      </c>
      <c r="P272" s="9">
        <f>SUM(IFERROR(VLOOKUP($C:$C,Structure!$A:$AJ,P$1,0)*$D272,0),IFERROR(VLOOKUP($E:$E,Structure!$A:$AJ,P$1,0)*$F272,0),IFERROR(VLOOKUP($G:$G,Structure!$A:$AJ,P$1,0)*$H272,0))</f>
        <v>0</v>
      </c>
      <c r="Q272" s="9">
        <f>SUM(IFERROR(VLOOKUP($C:$C,Structure!$A:$AJ,Q$1,0)*$D272,0),IFERROR(VLOOKUP($E:$E,Structure!$A:$AJ,Q$1,0)*$F272,0),IFERROR(VLOOKUP($G:$G,Structure!$A:$AJ,Q$1,0)*$H272,0))</f>
        <v>0</v>
      </c>
      <c r="R272" s="9">
        <f>SUM(IFERROR(VLOOKUP($C:$C,Structure!$A:$AJ,R$1,0)*$D272,0),IFERROR(VLOOKUP($E:$E,Structure!$A:$AJ,R$1,0)*$F272,0),IFERROR(VLOOKUP($G:$G,Structure!$A:$AJ,R$1,0)*$H272,0))</f>
        <v>0</v>
      </c>
      <c r="S272" s="9">
        <f>SUM(IFERROR(VLOOKUP($C:$C,Structure!$A:$AJ,S$1,0)*$D272,0),IFERROR(VLOOKUP($E:$E,Structure!$A:$AJ,S$1,0)*$F272,0),IFERROR(VLOOKUP($G:$G,Structure!$A:$AJ,S$1,0)*$H272,0))</f>
        <v>0</v>
      </c>
      <c r="T272" s="9">
        <f>SUM(IFERROR(VLOOKUP($C:$C,Structure!$A:$AJ,T$1,0)*$D272,0),IFERROR(VLOOKUP($E:$E,Structure!$A:$AJ,T$1,0)*$F272,0),IFERROR(VLOOKUP($G:$G,Structure!$A:$AJ,T$1,0)*$H272,0))</f>
        <v>0</v>
      </c>
      <c r="U272" s="9">
        <f>SUM(IFERROR(VLOOKUP($C:$C,Structure!$A:$AJ,U$1,0)*$D272,0),IFERROR(VLOOKUP($E:$E,Structure!$A:$AJ,U$1,0)*$F272,0),IFERROR(VLOOKUP($G:$G,Structure!$A:$AJ,U$1,0)*$H272,0))</f>
        <v>0</v>
      </c>
      <c r="V272" s="9">
        <f>SUM(IFERROR(VLOOKUP($C:$C,Structure!$A:$AJ,V$1,0)*$D272,0),IFERROR(VLOOKUP($E:$E,Structure!$A:$AJ,V$1,0)*$F272,0),IFERROR(VLOOKUP($G:$G,Structure!$A:$AJ,V$1,0)*$H272,0))</f>
        <v>8</v>
      </c>
      <c r="W272" s="9">
        <f>SUM(IFERROR(VLOOKUP($C:$C,Structure!$A:$AJ,W$1,0)*$D272,0),IFERROR(VLOOKUP($E:$E,Structure!$A:$AJ,W$1,0)*$F272,0),IFERROR(VLOOKUP($G:$G,Structure!$A:$AJ,W$1,0)*$H272,0))</f>
        <v>0</v>
      </c>
      <c r="X272" s="9">
        <f>SUM(IFERROR(VLOOKUP($C:$C,Structure!$A:$AJ,X$1,0)*$D272,0),IFERROR(VLOOKUP($E:$E,Structure!$A:$AJ,X$1,0)*$F272,0),IFERROR(VLOOKUP($G:$G,Structure!$A:$AJ,X$1,0)*$H272,0))</f>
        <v>0</v>
      </c>
      <c r="Y272" s="9">
        <f>SUM(IFERROR(VLOOKUP($C:$C,Structure!$A:$AJ,Y$1,0)*$D272,0),IFERROR(VLOOKUP($E:$E,Structure!$A:$AJ,Y$1,0)*$F272,0),IFERROR(VLOOKUP($G:$G,Structure!$A:$AJ,Y$1,0)*$H272,0))</f>
        <v>0</v>
      </c>
      <c r="Z272" s="9">
        <f>SUM(IFERROR(VLOOKUP($C:$C,Structure!$A:$AJ,Z$1,0)*$D272,0),IFERROR(VLOOKUP($E:$E,Structure!$A:$AJ,Z$1,0)*$F272,0),IFERROR(VLOOKUP($G:$G,Structure!$A:$AJ,Z$1,0)*$H272,0))</f>
        <v>0</v>
      </c>
      <c r="AA272" s="9">
        <f>SUM(IFERROR(VLOOKUP($C:$C,Structure!$A:$AJ,AA$1,0)*$D272,0),IFERROR(VLOOKUP($E:$E,Structure!$A:$AJ,AA$1,0)*$F272,0),IFERROR(VLOOKUP($G:$G,Structure!$A:$AJ,AA$1,0)*$H272,0))</f>
        <v>0</v>
      </c>
      <c r="AB272" s="9">
        <f>SUM(IFERROR(VLOOKUP($C:$C,Structure!$A:$AJ,AB$1,0)*$D272,0),IFERROR(VLOOKUP($E:$E,Structure!$A:$AJ,AB$1,0)*$F272,0),IFERROR(VLOOKUP($G:$G,Structure!$A:$AJ,AB$1,0)*$H272,0))</f>
        <v>0</v>
      </c>
      <c r="AC272" s="9">
        <f>SUM(IFERROR(VLOOKUP($C:$C,Structure!$A:$AJ,AC$1,0)*$D272,0),IFERROR(VLOOKUP($E:$E,Structure!$A:$AJ,AC$1,0)*$F272,0),IFERROR(VLOOKUP($G:$G,Structure!$A:$AJ,AC$1,0)*$H272,0))</f>
        <v>8</v>
      </c>
      <c r="AD272" s="9">
        <f>SUM(IFERROR(VLOOKUP($C:$C,Structure!$A:$AJ,AD$1,0)*$D272,0),IFERROR(VLOOKUP($E:$E,Structure!$A:$AJ,AD$1,0)*$F272,0),IFERROR(VLOOKUP($G:$G,Structure!$A:$AJ,AD$1,0)*$H272,0))</f>
        <v>0</v>
      </c>
      <c r="AE272" s="9">
        <f>SUM(IFERROR(VLOOKUP($C:$C,Structure!$A:$AJ,AE$1,0)*$D272,0),IFERROR(VLOOKUP($E:$E,Structure!$A:$AJ,AE$1,0)*$F272,0),IFERROR(VLOOKUP($G:$G,Structure!$A:$AJ,AE$1,0)*$H272,0))</f>
        <v>0</v>
      </c>
      <c r="AF272" s="9">
        <f>SUM(IFERROR(VLOOKUP($C:$C,Structure!$A:$AJ,AF$1,0)*$D272,0),IFERROR(VLOOKUP($E:$E,Structure!$A:$AJ,AF$1,0)*$F272,0),IFERROR(VLOOKUP($G:$G,Structure!$A:$AJ,AF$1,0)*$H272,0))</f>
        <v>0</v>
      </c>
      <c r="AG272" s="9">
        <f>SUM(IFERROR(VLOOKUP($C:$C,Structure!$A:$AJ,AG$1,0)*$D272,0),IFERROR(VLOOKUP($E:$E,Structure!$A:$AJ,AG$1,0)*$F272,0),IFERROR(VLOOKUP($G:$G,Structure!$A:$AJ,AG$1,0)*$H272,0))</f>
        <v>0</v>
      </c>
      <c r="AH272" s="9">
        <f>SUM(IFERROR(VLOOKUP($C:$C,Structure!$A:$AJ,AH$1,0)*$D272,0),IFERROR(VLOOKUP($E:$E,Structure!$A:$AJ,AH$1,0)*$F272,0),IFERROR(VLOOKUP($G:$G,Structure!$A:$AJ,AH$1,0)*$H272,0))</f>
        <v>0</v>
      </c>
      <c r="AI272" s="9">
        <f>SUM(IFERROR(VLOOKUP($C:$C,Structure!$A:$AJ,AI$1,0)*$D272,0),IFERROR(VLOOKUP($E:$E,Structure!$A:$AJ,AI$1,0)*$F272,0),IFERROR(VLOOKUP($G:$G,Structure!$A:$AJ,AI$1,0)*$H272,0))</f>
        <v>0</v>
      </c>
      <c r="AJ272" s="9">
        <f>SUM(IFERROR(VLOOKUP($C:$C,Structure!$A:$AJ,AJ$1,0)*$D272,0),IFERROR(VLOOKUP($E:$E,Structure!$A:$AJ,AJ$1,0)*$F272,0),IFERROR(VLOOKUP($G:$G,Structure!$A:$AJ,AJ$1,0)*$H272,0))</f>
        <v>0</v>
      </c>
      <c r="AK272" s="9">
        <f>SUM(IFERROR(VLOOKUP($C:$C,Structure!$A:$AJ,AK$1,0)*$D272,0),IFERROR(VLOOKUP($E:$E,Structure!$A:$AJ,AK$1,0)*$F272,0),IFERROR(VLOOKUP($G:$G,Structure!$A:$AJ,AK$1,0)*$H272,0))</f>
        <v>0</v>
      </c>
      <c r="AL272" s="9">
        <f>SUM(IFERROR(VLOOKUP($C:$C,Structure!$A:$AJ,AL$1,0)*$D272,0),IFERROR(VLOOKUP($E:$E,Structure!$A:$AJ,AL$1,0)*$F272,0),IFERROR(VLOOKUP($G:$G,Structure!$A:$AJ,AL$1,0)*$H272,0))</f>
        <v>0</v>
      </c>
      <c r="AM272" s="9">
        <f>SUM(IFERROR(VLOOKUP($C:$C,Structure!$A:$AJ,AM$1,0)*$D272,0),IFERROR(VLOOKUP($E:$E,Structure!$A:$AJ,AM$1,0)*$F272,0),IFERROR(VLOOKUP($G:$G,Structure!$A:$AJ,AM$1,0)*$H272,0))</f>
        <v>0</v>
      </c>
      <c r="AN272" s="9">
        <f>SUM(IFERROR(VLOOKUP($C:$C,Structure!$A:$AJ,AN$1,0)*$D272,0),IFERROR(VLOOKUP($E:$E,Structure!$A:$AJ,AN$1,0)*$F272,0),IFERROR(VLOOKUP($G:$G,Structure!$A:$AJ,AN$1,0)*$H272,0))</f>
        <v>0</v>
      </c>
      <c r="AO272" s="9">
        <f>SUM(IFERROR(VLOOKUP($C:$C,Structure!$A:$AJ,AO$1,0)*$D272,0),IFERROR(VLOOKUP($E:$E,Structure!$A:$AJ,AO$1,0)*$F272,0),IFERROR(VLOOKUP($G:$G,Structure!$A:$AJ,AO$1,0)*$H272,0))</f>
        <v>0</v>
      </c>
      <c r="AP272" s="9">
        <f>SUM(IFERROR(VLOOKUP($C:$C,Structure!$A:$AJ,AP$1,0)*$D272,0),IFERROR(VLOOKUP($E:$E,Structure!$A:$AJ,AP$1,0)*$F272,0),IFERROR(VLOOKUP($G:$G,Structure!$A:$AJ,AP$1,0)*$H272,0))</f>
        <v>0</v>
      </c>
      <c r="AQ272" s="9">
        <f>SUM(IFERROR(VLOOKUP($C:$C,Structure!$A:$AJ,AQ$1,0)*$D272,0),IFERROR(VLOOKUP($E:$E,Structure!$A:$AJ,AQ$1,0)*$F272,0),IFERROR(VLOOKUP($G:$G,Structure!$A:$AJ,AQ$1,0)*$H272,0))</f>
        <v>0</v>
      </c>
      <c r="AR272" s="21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4">
        <f t="shared" si="267"/>
        <v>0</v>
      </c>
      <c r="CE272" s="4">
        <f t="shared" si="268"/>
        <v>-236</v>
      </c>
      <c r="CF272" s="4">
        <f t="shared" si="269"/>
        <v>4</v>
      </c>
      <c r="CG272" s="4">
        <f t="shared" si="270"/>
        <v>11</v>
      </c>
      <c r="CH272" s="4">
        <f t="shared" si="271"/>
        <v>-7</v>
      </c>
      <c r="CI272" s="4">
        <f t="shared" si="272"/>
        <v>98</v>
      </c>
      <c r="CJ272" s="4">
        <f t="shared" si="273"/>
        <v>-391</v>
      </c>
      <c r="CK272" s="4">
        <f t="shared" si="274"/>
        <v>-57</v>
      </c>
      <c r="CL272" s="4">
        <f t="shared" si="275"/>
        <v>0</v>
      </c>
      <c r="CM272" s="4">
        <f t="shared" si="276"/>
        <v>6</v>
      </c>
      <c r="CN272" s="4">
        <f t="shared" si="277"/>
        <v>-278</v>
      </c>
      <c r="CO272" s="4">
        <f t="shared" si="278"/>
        <v>0</v>
      </c>
      <c r="CP272" s="4">
        <f t="shared" si="279"/>
        <v>-21</v>
      </c>
      <c r="CQ272" s="4">
        <f t="shared" si="280"/>
        <v>-670</v>
      </c>
      <c r="CR272" s="4">
        <f t="shared" si="281"/>
        <v>12</v>
      </c>
      <c r="CS272" s="4">
        <f t="shared" si="282"/>
        <v>-53</v>
      </c>
      <c r="CT272" s="4">
        <f t="shared" si="283"/>
        <v>0</v>
      </c>
      <c r="CU272" s="4">
        <f t="shared" si="284"/>
        <v>0</v>
      </c>
      <c r="CV272" s="4">
        <f t="shared" si="285"/>
        <v>0</v>
      </c>
      <c r="CW272" s="4">
        <f t="shared" si="286"/>
        <v>0</v>
      </c>
      <c r="CX272" s="4">
        <f t="shared" si="287"/>
        <v>-751</v>
      </c>
      <c r="CY272" s="4">
        <f t="shared" si="288"/>
        <v>0</v>
      </c>
      <c r="CZ272" s="4">
        <f t="shared" si="289"/>
        <v>0</v>
      </c>
      <c r="DA272" s="4">
        <f t="shared" si="290"/>
        <v>0</v>
      </c>
      <c r="DB272" s="4">
        <f t="shared" si="291"/>
        <v>0</v>
      </c>
      <c r="DC272" s="4">
        <f t="shared" si="292"/>
        <v>0</v>
      </c>
      <c r="DD272" s="4">
        <f t="shared" si="293"/>
        <v>0</v>
      </c>
      <c r="DE272" s="4">
        <f t="shared" si="294"/>
        <v>0</v>
      </c>
      <c r="DF272" s="4">
        <f t="shared" si="295"/>
        <v>0</v>
      </c>
      <c r="DG272" s="4">
        <f t="shared" si="296"/>
        <v>0</v>
      </c>
      <c r="DH272" s="4">
        <f t="shared" si="297"/>
        <v>0</v>
      </c>
      <c r="DI272" s="4">
        <f t="shared" si="298"/>
        <v>0</v>
      </c>
      <c r="DJ272" s="4">
        <f t="shared" si="299"/>
        <v>0</v>
      </c>
      <c r="DK272" s="4">
        <f t="shared" si="300"/>
        <v>0</v>
      </c>
      <c r="DL272" s="4">
        <f t="shared" si="301"/>
        <v>0</v>
      </c>
    </row>
    <row r="273" spans="1:116" x14ac:dyDescent="0.25">
      <c r="A273" s="5">
        <v>46188</v>
      </c>
      <c r="B273" s="6">
        <v>0.93750000065483619</v>
      </c>
      <c r="C273" s="3"/>
      <c r="D273" s="3"/>
      <c r="E273" s="3" t="s">
        <v>30</v>
      </c>
      <c r="F273" s="3">
        <v>8</v>
      </c>
      <c r="G273" s="3"/>
      <c r="H273" s="9"/>
      <c r="I273" s="9">
        <f>SUM(IFERROR(VLOOKUP($C:$C,Structure!$A:$AJ,I$1,0)*$D273,0),IFERROR(VLOOKUP($E:$E,Structure!$A:$AJ,I$1,0)*$F273,0),IFERROR(VLOOKUP($G:$G,Structure!$A:$AJ,I$1,0)*$H273,0))</f>
        <v>0</v>
      </c>
      <c r="J273" s="9">
        <f>SUM(IFERROR(VLOOKUP($C:$C,Structure!$A:$AJ,J$1,0)*$D273,0),IFERROR(VLOOKUP($E:$E,Structure!$A:$AJ,J$1,0)*$F273,0),IFERROR(VLOOKUP($G:$G,Structure!$A:$AJ,J$1,0)*$H273,0))</f>
        <v>0</v>
      </c>
      <c r="K273" s="9">
        <f>SUM(IFERROR(VLOOKUP($C:$C,Structure!$A:$AJ,K$1,0)*$D273,0),IFERROR(VLOOKUP($E:$E,Structure!$A:$AJ,K$1,0)*$F273,0),IFERROR(VLOOKUP($G:$G,Structure!$A:$AJ,K$1,0)*$H273,0))</f>
        <v>0</v>
      </c>
      <c r="L273" s="9">
        <f>SUM(IFERROR(VLOOKUP($C:$C,Structure!$A:$AJ,L$1,0)*$D273,0),IFERROR(VLOOKUP($E:$E,Structure!$A:$AJ,L$1,0)*$F273,0),IFERROR(VLOOKUP($G:$G,Structure!$A:$AJ,L$1,0)*$H273,0))</f>
        <v>0</v>
      </c>
      <c r="M273" s="9">
        <f>SUM(IFERROR(VLOOKUP($C:$C,Structure!$A:$AJ,M$1,0)*$D273,0),IFERROR(VLOOKUP($E:$E,Structure!$A:$AJ,M$1,0)*$F273,0),IFERROR(VLOOKUP($G:$G,Structure!$A:$AJ,M$1,0)*$H273,0))</f>
        <v>0</v>
      </c>
      <c r="N273" s="9">
        <f>SUM(IFERROR(VLOOKUP($C:$C,Structure!$A:$AJ,N$1,0)*$D273,0),IFERROR(VLOOKUP($E:$E,Structure!$A:$AJ,N$1,0)*$F273,0),IFERROR(VLOOKUP($G:$G,Structure!$A:$AJ,N$1,0)*$H273,0))</f>
        <v>0</v>
      </c>
      <c r="O273" s="9">
        <f>SUM(IFERROR(VLOOKUP($C:$C,Structure!$A:$AJ,O$1,0)*$D273,0),IFERROR(VLOOKUP($E:$E,Structure!$A:$AJ,O$1,0)*$F273,0),IFERROR(VLOOKUP($G:$G,Structure!$A:$AJ,O$1,0)*$H273,0))</f>
        <v>0</v>
      </c>
      <c r="P273" s="9">
        <f>SUM(IFERROR(VLOOKUP($C:$C,Structure!$A:$AJ,P$1,0)*$D273,0),IFERROR(VLOOKUP($E:$E,Structure!$A:$AJ,P$1,0)*$F273,0),IFERROR(VLOOKUP($G:$G,Structure!$A:$AJ,P$1,0)*$H273,0))</f>
        <v>0</v>
      </c>
      <c r="Q273" s="9">
        <f>SUM(IFERROR(VLOOKUP($C:$C,Structure!$A:$AJ,Q$1,0)*$D273,0),IFERROR(VLOOKUP($E:$E,Structure!$A:$AJ,Q$1,0)*$F273,0),IFERROR(VLOOKUP($G:$G,Structure!$A:$AJ,Q$1,0)*$H273,0))</f>
        <v>0</v>
      </c>
      <c r="R273" s="9">
        <f>SUM(IFERROR(VLOOKUP($C:$C,Structure!$A:$AJ,R$1,0)*$D273,0),IFERROR(VLOOKUP($E:$E,Structure!$A:$AJ,R$1,0)*$F273,0),IFERROR(VLOOKUP($G:$G,Structure!$A:$AJ,R$1,0)*$H273,0))</f>
        <v>0</v>
      </c>
      <c r="S273" s="9">
        <f>SUM(IFERROR(VLOOKUP($C:$C,Structure!$A:$AJ,S$1,0)*$D273,0),IFERROR(VLOOKUP($E:$E,Structure!$A:$AJ,S$1,0)*$F273,0),IFERROR(VLOOKUP($G:$G,Structure!$A:$AJ,S$1,0)*$H273,0))</f>
        <v>0</v>
      </c>
      <c r="T273" s="9">
        <f>SUM(IFERROR(VLOOKUP($C:$C,Structure!$A:$AJ,T$1,0)*$D273,0),IFERROR(VLOOKUP($E:$E,Structure!$A:$AJ,T$1,0)*$F273,0),IFERROR(VLOOKUP($G:$G,Structure!$A:$AJ,T$1,0)*$H273,0))</f>
        <v>0</v>
      </c>
      <c r="U273" s="9">
        <f>SUM(IFERROR(VLOOKUP($C:$C,Structure!$A:$AJ,U$1,0)*$D273,0),IFERROR(VLOOKUP($E:$E,Structure!$A:$AJ,U$1,0)*$F273,0),IFERROR(VLOOKUP($G:$G,Structure!$A:$AJ,U$1,0)*$H273,0))</f>
        <v>0</v>
      </c>
      <c r="V273" s="9">
        <f>SUM(IFERROR(VLOOKUP($C:$C,Structure!$A:$AJ,V$1,0)*$D273,0),IFERROR(VLOOKUP($E:$E,Structure!$A:$AJ,V$1,0)*$F273,0),IFERROR(VLOOKUP($G:$G,Structure!$A:$AJ,V$1,0)*$H273,0))</f>
        <v>8</v>
      </c>
      <c r="W273" s="9">
        <f>SUM(IFERROR(VLOOKUP($C:$C,Structure!$A:$AJ,W$1,0)*$D273,0),IFERROR(VLOOKUP($E:$E,Structure!$A:$AJ,W$1,0)*$F273,0),IFERROR(VLOOKUP($G:$G,Structure!$A:$AJ,W$1,0)*$H273,0))</f>
        <v>0</v>
      </c>
      <c r="X273" s="9">
        <f>SUM(IFERROR(VLOOKUP($C:$C,Structure!$A:$AJ,X$1,0)*$D273,0),IFERROR(VLOOKUP($E:$E,Structure!$A:$AJ,X$1,0)*$F273,0),IFERROR(VLOOKUP($G:$G,Structure!$A:$AJ,X$1,0)*$H273,0))</f>
        <v>0</v>
      </c>
      <c r="Y273" s="9">
        <f>SUM(IFERROR(VLOOKUP($C:$C,Structure!$A:$AJ,Y$1,0)*$D273,0),IFERROR(VLOOKUP($E:$E,Structure!$A:$AJ,Y$1,0)*$F273,0),IFERROR(VLOOKUP($G:$G,Structure!$A:$AJ,Y$1,0)*$H273,0))</f>
        <v>0</v>
      </c>
      <c r="Z273" s="9">
        <f>SUM(IFERROR(VLOOKUP($C:$C,Structure!$A:$AJ,Z$1,0)*$D273,0),IFERROR(VLOOKUP($E:$E,Structure!$A:$AJ,Z$1,0)*$F273,0),IFERROR(VLOOKUP($G:$G,Structure!$A:$AJ,Z$1,0)*$H273,0))</f>
        <v>0</v>
      </c>
      <c r="AA273" s="9">
        <f>SUM(IFERROR(VLOOKUP($C:$C,Structure!$A:$AJ,AA$1,0)*$D273,0),IFERROR(VLOOKUP($E:$E,Structure!$A:$AJ,AA$1,0)*$F273,0),IFERROR(VLOOKUP($G:$G,Structure!$A:$AJ,AA$1,0)*$H273,0))</f>
        <v>0</v>
      </c>
      <c r="AB273" s="9">
        <f>SUM(IFERROR(VLOOKUP($C:$C,Structure!$A:$AJ,AB$1,0)*$D273,0),IFERROR(VLOOKUP($E:$E,Structure!$A:$AJ,AB$1,0)*$F273,0),IFERROR(VLOOKUP($G:$G,Structure!$A:$AJ,AB$1,0)*$H273,0))</f>
        <v>0</v>
      </c>
      <c r="AC273" s="9">
        <f>SUM(IFERROR(VLOOKUP($C:$C,Structure!$A:$AJ,AC$1,0)*$D273,0),IFERROR(VLOOKUP($E:$E,Structure!$A:$AJ,AC$1,0)*$F273,0),IFERROR(VLOOKUP($G:$G,Structure!$A:$AJ,AC$1,0)*$H273,0))</f>
        <v>8</v>
      </c>
      <c r="AD273" s="9">
        <f>SUM(IFERROR(VLOOKUP($C:$C,Structure!$A:$AJ,AD$1,0)*$D273,0),IFERROR(VLOOKUP($E:$E,Structure!$A:$AJ,AD$1,0)*$F273,0),IFERROR(VLOOKUP($G:$G,Structure!$A:$AJ,AD$1,0)*$H273,0))</f>
        <v>0</v>
      </c>
      <c r="AE273" s="9">
        <f>SUM(IFERROR(VLOOKUP($C:$C,Structure!$A:$AJ,AE$1,0)*$D273,0),IFERROR(VLOOKUP($E:$E,Structure!$A:$AJ,AE$1,0)*$F273,0),IFERROR(VLOOKUP($G:$G,Structure!$A:$AJ,AE$1,0)*$H273,0))</f>
        <v>0</v>
      </c>
      <c r="AF273" s="9">
        <f>SUM(IFERROR(VLOOKUP($C:$C,Structure!$A:$AJ,AF$1,0)*$D273,0),IFERROR(VLOOKUP($E:$E,Structure!$A:$AJ,AF$1,0)*$F273,0),IFERROR(VLOOKUP($G:$G,Structure!$A:$AJ,AF$1,0)*$H273,0))</f>
        <v>0</v>
      </c>
      <c r="AG273" s="9">
        <f>SUM(IFERROR(VLOOKUP($C:$C,Structure!$A:$AJ,AG$1,0)*$D273,0),IFERROR(VLOOKUP($E:$E,Structure!$A:$AJ,AG$1,0)*$F273,0),IFERROR(VLOOKUP($G:$G,Structure!$A:$AJ,AG$1,0)*$H273,0))</f>
        <v>0</v>
      </c>
      <c r="AH273" s="9">
        <f>SUM(IFERROR(VLOOKUP($C:$C,Structure!$A:$AJ,AH$1,0)*$D273,0),IFERROR(VLOOKUP($E:$E,Structure!$A:$AJ,AH$1,0)*$F273,0),IFERROR(VLOOKUP($G:$G,Structure!$A:$AJ,AH$1,0)*$H273,0))</f>
        <v>0</v>
      </c>
      <c r="AI273" s="9">
        <f>SUM(IFERROR(VLOOKUP($C:$C,Structure!$A:$AJ,AI$1,0)*$D273,0),IFERROR(VLOOKUP($E:$E,Structure!$A:$AJ,AI$1,0)*$F273,0),IFERROR(VLOOKUP($G:$G,Structure!$A:$AJ,AI$1,0)*$H273,0))</f>
        <v>0</v>
      </c>
      <c r="AJ273" s="9">
        <f>SUM(IFERROR(VLOOKUP($C:$C,Structure!$A:$AJ,AJ$1,0)*$D273,0),IFERROR(VLOOKUP($E:$E,Structure!$A:$AJ,AJ$1,0)*$F273,0),IFERROR(VLOOKUP($G:$G,Structure!$A:$AJ,AJ$1,0)*$H273,0))</f>
        <v>0</v>
      </c>
      <c r="AK273" s="9">
        <f>SUM(IFERROR(VLOOKUP($C:$C,Structure!$A:$AJ,AK$1,0)*$D273,0),IFERROR(VLOOKUP($E:$E,Structure!$A:$AJ,AK$1,0)*$F273,0),IFERROR(VLOOKUP($G:$G,Structure!$A:$AJ,AK$1,0)*$H273,0))</f>
        <v>0</v>
      </c>
      <c r="AL273" s="9">
        <f>SUM(IFERROR(VLOOKUP($C:$C,Structure!$A:$AJ,AL$1,0)*$D273,0),IFERROR(VLOOKUP($E:$E,Structure!$A:$AJ,AL$1,0)*$F273,0),IFERROR(VLOOKUP($G:$G,Structure!$A:$AJ,AL$1,0)*$H273,0))</f>
        <v>0</v>
      </c>
      <c r="AM273" s="9">
        <f>SUM(IFERROR(VLOOKUP($C:$C,Structure!$A:$AJ,AM$1,0)*$D273,0),IFERROR(VLOOKUP($E:$E,Structure!$A:$AJ,AM$1,0)*$F273,0),IFERROR(VLOOKUP($G:$G,Structure!$A:$AJ,AM$1,0)*$H273,0))</f>
        <v>0</v>
      </c>
      <c r="AN273" s="9">
        <f>SUM(IFERROR(VLOOKUP($C:$C,Structure!$A:$AJ,AN$1,0)*$D273,0),IFERROR(VLOOKUP($E:$E,Structure!$A:$AJ,AN$1,0)*$F273,0),IFERROR(VLOOKUP($G:$G,Structure!$A:$AJ,AN$1,0)*$H273,0))</f>
        <v>0</v>
      </c>
      <c r="AO273" s="9">
        <f>SUM(IFERROR(VLOOKUP($C:$C,Structure!$A:$AJ,AO$1,0)*$D273,0),IFERROR(VLOOKUP($E:$E,Structure!$A:$AJ,AO$1,0)*$F273,0),IFERROR(VLOOKUP($G:$G,Structure!$A:$AJ,AO$1,0)*$H273,0))</f>
        <v>0</v>
      </c>
      <c r="AP273" s="9">
        <f>SUM(IFERROR(VLOOKUP($C:$C,Structure!$A:$AJ,AP$1,0)*$D273,0),IFERROR(VLOOKUP($E:$E,Structure!$A:$AJ,AP$1,0)*$F273,0),IFERROR(VLOOKUP($G:$G,Structure!$A:$AJ,AP$1,0)*$H273,0))</f>
        <v>0</v>
      </c>
      <c r="AQ273" s="9">
        <f>SUM(IFERROR(VLOOKUP($C:$C,Structure!$A:$AJ,AQ$1,0)*$D273,0),IFERROR(VLOOKUP($E:$E,Structure!$A:$AJ,AQ$1,0)*$F273,0),IFERROR(VLOOKUP($G:$G,Structure!$A:$AJ,AQ$1,0)*$H273,0))</f>
        <v>0</v>
      </c>
      <c r="AR273" s="21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4">
        <f t="shared" si="267"/>
        <v>0</v>
      </c>
      <c r="CE273" s="4">
        <f t="shared" si="268"/>
        <v>-236</v>
      </c>
      <c r="CF273" s="4">
        <f t="shared" si="269"/>
        <v>4</v>
      </c>
      <c r="CG273" s="4">
        <f t="shared" si="270"/>
        <v>11</v>
      </c>
      <c r="CH273" s="4">
        <f t="shared" si="271"/>
        <v>-7</v>
      </c>
      <c r="CI273" s="4">
        <f t="shared" si="272"/>
        <v>98</v>
      </c>
      <c r="CJ273" s="4">
        <f t="shared" si="273"/>
        <v>-391</v>
      </c>
      <c r="CK273" s="4">
        <f t="shared" si="274"/>
        <v>-57</v>
      </c>
      <c r="CL273" s="4">
        <f t="shared" si="275"/>
        <v>0</v>
      </c>
      <c r="CM273" s="4">
        <f t="shared" si="276"/>
        <v>6</v>
      </c>
      <c r="CN273" s="4">
        <f t="shared" si="277"/>
        <v>-278</v>
      </c>
      <c r="CO273" s="4">
        <f t="shared" si="278"/>
        <v>0</v>
      </c>
      <c r="CP273" s="4">
        <f t="shared" si="279"/>
        <v>-21</v>
      </c>
      <c r="CQ273" s="4">
        <f t="shared" si="280"/>
        <v>-678</v>
      </c>
      <c r="CR273" s="4">
        <f t="shared" si="281"/>
        <v>12</v>
      </c>
      <c r="CS273" s="4">
        <f t="shared" si="282"/>
        <v>-53</v>
      </c>
      <c r="CT273" s="4">
        <f t="shared" si="283"/>
        <v>0</v>
      </c>
      <c r="CU273" s="4">
        <f t="shared" si="284"/>
        <v>0</v>
      </c>
      <c r="CV273" s="4">
        <f t="shared" si="285"/>
        <v>0</v>
      </c>
      <c r="CW273" s="4">
        <f t="shared" si="286"/>
        <v>0</v>
      </c>
      <c r="CX273" s="4">
        <f t="shared" si="287"/>
        <v>-759</v>
      </c>
      <c r="CY273" s="4">
        <f t="shared" si="288"/>
        <v>0</v>
      </c>
      <c r="CZ273" s="4">
        <f t="shared" si="289"/>
        <v>0</v>
      </c>
      <c r="DA273" s="4">
        <f t="shared" si="290"/>
        <v>0</v>
      </c>
      <c r="DB273" s="4">
        <f t="shared" si="291"/>
        <v>0</v>
      </c>
      <c r="DC273" s="4">
        <f t="shared" si="292"/>
        <v>0</v>
      </c>
      <c r="DD273" s="4">
        <f t="shared" si="293"/>
        <v>0</v>
      </c>
      <c r="DE273" s="4">
        <f t="shared" si="294"/>
        <v>0</v>
      </c>
      <c r="DF273" s="4">
        <f t="shared" si="295"/>
        <v>0</v>
      </c>
      <c r="DG273" s="4">
        <f t="shared" si="296"/>
        <v>0</v>
      </c>
      <c r="DH273" s="4">
        <f t="shared" si="297"/>
        <v>0</v>
      </c>
      <c r="DI273" s="4">
        <f t="shared" si="298"/>
        <v>0</v>
      </c>
      <c r="DJ273" s="4">
        <f t="shared" si="299"/>
        <v>0</v>
      </c>
      <c r="DK273" s="4">
        <f t="shared" si="300"/>
        <v>0</v>
      </c>
      <c r="DL273" s="4">
        <f t="shared" si="301"/>
        <v>0</v>
      </c>
    </row>
    <row r="274" spans="1:116" x14ac:dyDescent="0.25">
      <c r="A274" s="5">
        <v>46188</v>
      </c>
      <c r="B274" s="6">
        <v>0.95833333399059484</v>
      </c>
      <c r="C274" s="3"/>
      <c r="D274" s="3"/>
      <c r="E274" s="3" t="s">
        <v>30</v>
      </c>
      <c r="F274" s="3">
        <v>8</v>
      </c>
      <c r="G274" s="3"/>
      <c r="H274" s="9"/>
      <c r="I274" s="9">
        <f>SUM(IFERROR(VLOOKUP($C:$C,Structure!$A:$AJ,I$1,0)*$D274,0),IFERROR(VLOOKUP($E:$E,Structure!$A:$AJ,I$1,0)*$F274,0),IFERROR(VLOOKUP($G:$G,Structure!$A:$AJ,I$1,0)*$H274,0))</f>
        <v>0</v>
      </c>
      <c r="J274" s="9">
        <f>SUM(IFERROR(VLOOKUP($C:$C,Structure!$A:$AJ,J$1,0)*$D274,0),IFERROR(VLOOKUP($E:$E,Structure!$A:$AJ,J$1,0)*$F274,0),IFERROR(VLOOKUP($G:$G,Structure!$A:$AJ,J$1,0)*$H274,0))</f>
        <v>0</v>
      </c>
      <c r="K274" s="9">
        <f>SUM(IFERROR(VLOOKUP($C:$C,Structure!$A:$AJ,K$1,0)*$D274,0),IFERROR(VLOOKUP($E:$E,Structure!$A:$AJ,K$1,0)*$F274,0),IFERROR(VLOOKUP($G:$G,Structure!$A:$AJ,K$1,0)*$H274,0))</f>
        <v>0</v>
      </c>
      <c r="L274" s="9">
        <f>SUM(IFERROR(VLOOKUP($C:$C,Structure!$A:$AJ,L$1,0)*$D274,0),IFERROR(VLOOKUP($E:$E,Structure!$A:$AJ,L$1,0)*$F274,0),IFERROR(VLOOKUP($G:$G,Structure!$A:$AJ,L$1,0)*$H274,0))</f>
        <v>0</v>
      </c>
      <c r="M274" s="9">
        <f>SUM(IFERROR(VLOOKUP($C:$C,Structure!$A:$AJ,M$1,0)*$D274,0),IFERROR(VLOOKUP($E:$E,Structure!$A:$AJ,M$1,0)*$F274,0),IFERROR(VLOOKUP($G:$G,Structure!$A:$AJ,M$1,0)*$H274,0))</f>
        <v>0</v>
      </c>
      <c r="N274" s="9">
        <f>SUM(IFERROR(VLOOKUP($C:$C,Structure!$A:$AJ,N$1,0)*$D274,0),IFERROR(VLOOKUP($E:$E,Structure!$A:$AJ,N$1,0)*$F274,0),IFERROR(VLOOKUP($G:$G,Structure!$A:$AJ,N$1,0)*$H274,0))</f>
        <v>0</v>
      </c>
      <c r="O274" s="9">
        <f>SUM(IFERROR(VLOOKUP($C:$C,Structure!$A:$AJ,O$1,0)*$D274,0),IFERROR(VLOOKUP($E:$E,Structure!$A:$AJ,O$1,0)*$F274,0),IFERROR(VLOOKUP($G:$G,Structure!$A:$AJ,O$1,0)*$H274,0))</f>
        <v>0</v>
      </c>
      <c r="P274" s="9">
        <f>SUM(IFERROR(VLOOKUP($C:$C,Structure!$A:$AJ,P$1,0)*$D274,0),IFERROR(VLOOKUP($E:$E,Structure!$A:$AJ,P$1,0)*$F274,0),IFERROR(VLOOKUP($G:$G,Structure!$A:$AJ,P$1,0)*$H274,0))</f>
        <v>0</v>
      </c>
      <c r="Q274" s="9">
        <f>SUM(IFERROR(VLOOKUP($C:$C,Structure!$A:$AJ,Q$1,0)*$D274,0),IFERROR(VLOOKUP($E:$E,Structure!$A:$AJ,Q$1,0)*$F274,0),IFERROR(VLOOKUP($G:$G,Structure!$A:$AJ,Q$1,0)*$H274,0))</f>
        <v>0</v>
      </c>
      <c r="R274" s="9">
        <f>SUM(IFERROR(VLOOKUP($C:$C,Structure!$A:$AJ,R$1,0)*$D274,0),IFERROR(VLOOKUP($E:$E,Structure!$A:$AJ,R$1,0)*$F274,0),IFERROR(VLOOKUP($G:$G,Structure!$A:$AJ,R$1,0)*$H274,0))</f>
        <v>0</v>
      </c>
      <c r="S274" s="9">
        <f>SUM(IFERROR(VLOOKUP($C:$C,Structure!$A:$AJ,S$1,0)*$D274,0),IFERROR(VLOOKUP($E:$E,Structure!$A:$AJ,S$1,0)*$F274,0),IFERROR(VLOOKUP($G:$G,Structure!$A:$AJ,S$1,0)*$H274,0))</f>
        <v>0</v>
      </c>
      <c r="T274" s="9">
        <f>SUM(IFERROR(VLOOKUP($C:$C,Structure!$A:$AJ,T$1,0)*$D274,0),IFERROR(VLOOKUP($E:$E,Structure!$A:$AJ,T$1,0)*$F274,0),IFERROR(VLOOKUP($G:$G,Structure!$A:$AJ,T$1,0)*$H274,0))</f>
        <v>0</v>
      </c>
      <c r="U274" s="9">
        <f>SUM(IFERROR(VLOOKUP($C:$C,Structure!$A:$AJ,U$1,0)*$D274,0),IFERROR(VLOOKUP($E:$E,Structure!$A:$AJ,U$1,0)*$F274,0),IFERROR(VLOOKUP($G:$G,Structure!$A:$AJ,U$1,0)*$H274,0))</f>
        <v>0</v>
      </c>
      <c r="V274" s="9">
        <f>SUM(IFERROR(VLOOKUP($C:$C,Structure!$A:$AJ,V$1,0)*$D274,0),IFERROR(VLOOKUP($E:$E,Structure!$A:$AJ,V$1,0)*$F274,0),IFERROR(VLOOKUP($G:$G,Structure!$A:$AJ,V$1,0)*$H274,0))</f>
        <v>8</v>
      </c>
      <c r="W274" s="9">
        <f>SUM(IFERROR(VLOOKUP($C:$C,Structure!$A:$AJ,W$1,0)*$D274,0),IFERROR(VLOOKUP($E:$E,Structure!$A:$AJ,W$1,0)*$F274,0),IFERROR(VLOOKUP($G:$G,Structure!$A:$AJ,W$1,0)*$H274,0))</f>
        <v>0</v>
      </c>
      <c r="X274" s="9">
        <f>SUM(IFERROR(VLOOKUP($C:$C,Structure!$A:$AJ,X$1,0)*$D274,0),IFERROR(VLOOKUP($E:$E,Structure!$A:$AJ,X$1,0)*$F274,0),IFERROR(VLOOKUP($G:$G,Structure!$A:$AJ,X$1,0)*$H274,0))</f>
        <v>0</v>
      </c>
      <c r="Y274" s="9">
        <f>SUM(IFERROR(VLOOKUP($C:$C,Structure!$A:$AJ,Y$1,0)*$D274,0),IFERROR(VLOOKUP($E:$E,Structure!$A:$AJ,Y$1,0)*$F274,0),IFERROR(VLOOKUP($G:$G,Structure!$A:$AJ,Y$1,0)*$H274,0))</f>
        <v>0</v>
      </c>
      <c r="Z274" s="9">
        <f>SUM(IFERROR(VLOOKUP($C:$C,Structure!$A:$AJ,Z$1,0)*$D274,0),IFERROR(VLOOKUP($E:$E,Structure!$A:$AJ,Z$1,0)*$F274,0),IFERROR(VLOOKUP($G:$G,Structure!$A:$AJ,Z$1,0)*$H274,0))</f>
        <v>0</v>
      </c>
      <c r="AA274" s="9">
        <f>SUM(IFERROR(VLOOKUP($C:$C,Structure!$A:$AJ,AA$1,0)*$D274,0),IFERROR(VLOOKUP($E:$E,Structure!$A:$AJ,AA$1,0)*$F274,0),IFERROR(VLOOKUP($G:$G,Structure!$A:$AJ,AA$1,0)*$H274,0))</f>
        <v>0</v>
      </c>
      <c r="AB274" s="9">
        <f>SUM(IFERROR(VLOOKUP($C:$C,Structure!$A:$AJ,AB$1,0)*$D274,0),IFERROR(VLOOKUP($E:$E,Structure!$A:$AJ,AB$1,0)*$F274,0),IFERROR(VLOOKUP($G:$G,Structure!$A:$AJ,AB$1,0)*$H274,0))</f>
        <v>0</v>
      </c>
      <c r="AC274" s="9">
        <f>SUM(IFERROR(VLOOKUP($C:$C,Structure!$A:$AJ,AC$1,0)*$D274,0),IFERROR(VLOOKUP($E:$E,Structure!$A:$AJ,AC$1,0)*$F274,0),IFERROR(VLOOKUP($G:$G,Structure!$A:$AJ,AC$1,0)*$H274,0))</f>
        <v>8</v>
      </c>
      <c r="AD274" s="9">
        <f>SUM(IFERROR(VLOOKUP($C:$C,Structure!$A:$AJ,AD$1,0)*$D274,0),IFERROR(VLOOKUP($E:$E,Structure!$A:$AJ,AD$1,0)*$F274,0),IFERROR(VLOOKUP($G:$G,Structure!$A:$AJ,AD$1,0)*$H274,0))</f>
        <v>0</v>
      </c>
      <c r="AE274" s="9">
        <f>SUM(IFERROR(VLOOKUP($C:$C,Structure!$A:$AJ,AE$1,0)*$D274,0),IFERROR(VLOOKUP($E:$E,Structure!$A:$AJ,AE$1,0)*$F274,0),IFERROR(VLOOKUP($G:$G,Structure!$A:$AJ,AE$1,0)*$H274,0))</f>
        <v>0</v>
      </c>
      <c r="AF274" s="9">
        <f>SUM(IFERROR(VLOOKUP($C:$C,Structure!$A:$AJ,AF$1,0)*$D274,0),IFERROR(VLOOKUP($E:$E,Structure!$A:$AJ,AF$1,0)*$F274,0),IFERROR(VLOOKUP($G:$G,Structure!$A:$AJ,AF$1,0)*$H274,0))</f>
        <v>0</v>
      </c>
      <c r="AG274" s="9">
        <f>SUM(IFERROR(VLOOKUP($C:$C,Structure!$A:$AJ,AG$1,0)*$D274,0),IFERROR(VLOOKUP($E:$E,Structure!$A:$AJ,AG$1,0)*$F274,0),IFERROR(VLOOKUP($G:$G,Structure!$A:$AJ,AG$1,0)*$H274,0))</f>
        <v>0</v>
      </c>
      <c r="AH274" s="9">
        <f>SUM(IFERROR(VLOOKUP($C:$C,Structure!$A:$AJ,AH$1,0)*$D274,0),IFERROR(VLOOKUP($E:$E,Structure!$A:$AJ,AH$1,0)*$F274,0),IFERROR(VLOOKUP($G:$G,Structure!$A:$AJ,AH$1,0)*$H274,0))</f>
        <v>0</v>
      </c>
      <c r="AI274" s="9">
        <f>SUM(IFERROR(VLOOKUP($C:$C,Structure!$A:$AJ,AI$1,0)*$D274,0),IFERROR(VLOOKUP($E:$E,Structure!$A:$AJ,AI$1,0)*$F274,0),IFERROR(VLOOKUP($G:$G,Structure!$A:$AJ,AI$1,0)*$H274,0))</f>
        <v>0</v>
      </c>
      <c r="AJ274" s="9">
        <f>SUM(IFERROR(VLOOKUP($C:$C,Structure!$A:$AJ,AJ$1,0)*$D274,0),IFERROR(VLOOKUP($E:$E,Structure!$A:$AJ,AJ$1,0)*$F274,0),IFERROR(VLOOKUP($G:$G,Structure!$A:$AJ,AJ$1,0)*$H274,0))</f>
        <v>0</v>
      </c>
      <c r="AK274" s="9">
        <f>SUM(IFERROR(VLOOKUP($C:$C,Structure!$A:$AJ,AK$1,0)*$D274,0),IFERROR(VLOOKUP($E:$E,Structure!$A:$AJ,AK$1,0)*$F274,0),IFERROR(VLOOKUP($G:$G,Structure!$A:$AJ,AK$1,0)*$H274,0))</f>
        <v>0</v>
      </c>
      <c r="AL274" s="9">
        <f>SUM(IFERROR(VLOOKUP($C:$C,Structure!$A:$AJ,AL$1,0)*$D274,0),IFERROR(VLOOKUP($E:$E,Structure!$A:$AJ,AL$1,0)*$F274,0),IFERROR(VLOOKUP($G:$G,Structure!$A:$AJ,AL$1,0)*$H274,0))</f>
        <v>0</v>
      </c>
      <c r="AM274" s="9">
        <f>SUM(IFERROR(VLOOKUP($C:$C,Structure!$A:$AJ,AM$1,0)*$D274,0),IFERROR(VLOOKUP($E:$E,Structure!$A:$AJ,AM$1,0)*$F274,0),IFERROR(VLOOKUP($G:$G,Structure!$A:$AJ,AM$1,0)*$H274,0))</f>
        <v>0</v>
      </c>
      <c r="AN274" s="9">
        <f>SUM(IFERROR(VLOOKUP($C:$C,Structure!$A:$AJ,AN$1,0)*$D274,0),IFERROR(VLOOKUP($E:$E,Structure!$A:$AJ,AN$1,0)*$F274,0),IFERROR(VLOOKUP($G:$G,Structure!$A:$AJ,AN$1,0)*$H274,0))</f>
        <v>0</v>
      </c>
      <c r="AO274" s="9">
        <f>SUM(IFERROR(VLOOKUP($C:$C,Structure!$A:$AJ,AO$1,0)*$D274,0),IFERROR(VLOOKUP($E:$E,Structure!$A:$AJ,AO$1,0)*$F274,0),IFERROR(VLOOKUP($G:$G,Structure!$A:$AJ,AO$1,0)*$H274,0))</f>
        <v>0</v>
      </c>
      <c r="AP274" s="9">
        <f>SUM(IFERROR(VLOOKUP($C:$C,Structure!$A:$AJ,AP$1,0)*$D274,0),IFERROR(VLOOKUP($E:$E,Structure!$A:$AJ,AP$1,0)*$F274,0),IFERROR(VLOOKUP($G:$G,Structure!$A:$AJ,AP$1,0)*$H274,0))</f>
        <v>0</v>
      </c>
      <c r="AQ274" s="9">
        <f>SUM(IFERROR(VLOOKUP($C:$C,Structure!$A:$AJ,AQ$1,0)*$D274,0),IFERROR(VLOOKUP($E:$E,Structure!$A:$AJ,AQ$1,0)*$F274,0),IFERROR(VLOOKUP($G:$G,Structure!$A:$AJ,AQ$1,0)*$H274,0))</f>
        <v>0</v>
      </c>
      <c r="AR274" s="21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4">
        <f t="shared" si="267"/>
        <v>0</v>
      </c>
      <c r="CE274" s="4">
        <f t="shared" si="268"/>
        <v>-236</v>
      </c>
      <c r="CF274" s="4">
        <f t="shared" si="269"/>
        <v>4</v>
      </c>
      <c r="CG274" s="4">
        <f t="shared" si="270"/>
        <v>11</v>
      </c>
      <c r="CH274" s="4">
        <f t="shared" si="271"/>
        <v>-7</v>
      </c>
      <c r="CI274" s="4">
        <f t="shared" si="272"/>
        <v>98</v>
      </c>
      <c r="CJ274" s="4">
        <f t="shared" si="273"/>
        <v>-391</v>
      </c>
      <c r="CK274" s="4">
        <f t="shared" si="274"/>
        <v>-57</v>
      </c>
      <c r="CL274" s="4">
        <f t="shared" si="275"/>
        <v>0</v>
      </c>
      <c r="CM274" s="4">
        <f t="shared" si="276"/>
        <v>6</v>
      </c>
      <c r="CN274" s="4">
        <f t="shared" si="277"/>
        <v>-278</v>
      </c>
      <c r="CO274" s="4">
        <f t="shared" si="278"/>
        <v>0</v>
      </c>
      <c r="CP274" s="4">
        <f t="shared" si="279"/>
        <v>-21</v>
      </c>
      <c r="CQ274" s="4">
        <f t="shared" si="280"/>
        <v>-686</v>
      </c>
      <c r="CR274" s="4">
        <f t="shared" si="281"/>
        <v>12</v>
      </c>
      <c r="CS274" s="4">
        <f t="shared" si="282"/>
        <v>-53</v>
      </c>
      <c r="CT274" s="4">
        <f t="shared" si="283"/>
        <v>0</v>
      </c>
      <c r="CU274" s="4">
        <f t="shared" si="284"/>
        <v>0</v>
      </c>
      <c r="CV274" s="4">
        <f t="shared" si="285"/>
        <v>0</v>
      </c>
      <c r="CW274" s="4">
        <f t="shared" si="286"/>
        <v>0</v>
      </c>
      <c r="CX274" s="4">
        <f t="shared" si="287"/>
        <v>-767</v>
      </c>
      <c r="CY274" s="4">
        <f t="shared" si="288"/>
        <v>0</v>
      </c>
      <c r="CZ274" s="4">
        <f t="shared" si="289"/>
        <v>0</v>
      </c>
      <c r="DA274" s="4">
        <f t="shared" si="290"/>
        <v>0</v>
      </c>
      <c r="DB274" s="4">
        <f t="shared" si="291"/>
        <v>0</v>
      </c>
      <c r="DC274" s="4">
        <f t="shared" si="292"/>
        <v>0</v>
      </c>
      <c r="DD274" s="4">
        <f t="shared" si="293"/>
        <v>0</v>
      </c>
      <c r="DE274" s="4">
        <f t="shared" si="294"/>
        <v>0</v>
      </c>
      <c r="DF274" s="4">
        <f t="shared" si="295"/>
        <v>0</v>
      </c>
      <c r="DG274" s="4">
        <f t="shared" si="296"/>
        <v>0</v>
      </c>
      <c r="DH274" s="4">
        <f t="shared" si="297"/>
        <v>0</v>
      </c>
      <c r="DI274" s="4">
        <f t="shared" si="298"/>
        <v>0</v>
      </c>
      <c r="DJ274" s="4">
        <f t="shared" si="299"/>
        <v>0</v>
      </c>
      <c r="DK274" s="4">
        <f t="shared" si="300"/>
        <v>0</v>
      </c>
      <c r="DL274" s="4">
        <f t="shared" si="301"/>
        <v>0</v>
      </c>
    </row>
    <row r="275" spans="1:116" x14ac:dyDescent="0.25">
      <c r="A275" s="5">
        <v>46188</v>
      </c>
      <c r="B275" s="6">
        <v>0.97916666732635349</v>
      </c>
      <c r="C275" s="3"/>
      <c r="D275" s="3"/>
      <c r="E275" s="3" t="s">
        <v>30</v>
      </c>
      <c r="F275" s="3">
        <v>8</v>
      </c>
      <c r="G275" s="3"/>
      <c r="H275" s="9"/>
      <c r="I275" s="9">
        <f>SUM(IFERROR(VLOOKUP($C:$C,Structure!$A:$AJ,I$1,0)*$D275,0),IFERROR(VLOOKUP($E:$E,Structure!$A:$AJ,I$1,0)*$F275,0),IFERROR(VLOOKUP($G:$G,Structure!$A:$AJ,I$1,0)*$H275,0))</f>
        <v>0</v>
      </c>
      <c r="J275" s="9">
        <f>SUM(IFERROR(VLOOKUP($C:$C,Structure!$A:$AJ,J$1,0)*$D275,0),IFERROR(VLOOKUP($E:$E,Structure!$A:$AJ,J$1,0)*$F275,0),IFERROR(VLOOKUP($G:$G,Structure!$A:$AJ,J$1,0)*$H275,0))</f>
        <v>0</v>
      </c>
      <c r="K275" s="9">
        <f>SUM(IFERROR(VLOOKUP($C:$C,Structure!$A:$AJ,K$1,0)*$D275,0),IFERROR(VLOOKUP($E:$E,Structure!$A:$AJ,K$1,0)*$F275,0),IFERROR(VLOOKUP($G:$G,Structure!$A:$AJ,K$1,0)*$H275,0))</f>
        <v>0</v>
      </c>
      <c r="L275" s="9">
        <f>SUM(IFERROR(VLOOKUP($C:$C,Structure!$A:$AJ,L$1,0)*$D275,0),IFERROR(VLOOKUP($E:$E,Structure!$A:$AJ,L$1,0)*$F275,0),IFERROR(VLOOKUP($G:$G,Structure!$A:$AJ,L$1,0)*$H275,0))</f>
        <v>0</v>
      </c>
      <c r="M275" s="9">
        <f>SUM(IFERROR(VLOOKUP($C:$C,Structure!$A:$AJ,M$1,0)*$D275,0),IFERROR(VLOOKUP($E:$E,Structure!$A:$AJ,M$1,0)*$F275,0),IFERROR(VLOOKUP($G:$G,Structure!$A:$AJ,M$1,0)*$H275,0))</f>
        <v>0</v>
      </c>
      <c r="N275" s="9">
        <f>SUM(IFERROR(VLOOKUP($C:$C,Structure!$A:$AJ,N$1,0)*$D275,0),IFERROR(VLOOKUP($E:$E,Structure!$A:$AJ,N$1,0)*$F275,0),IFERROR(VLOOKUP($G:$G,Structure!$A:$AJ,N$1,0)*$H275,0))</f>
        <v>0</v>
      </c>
      <c r="O275" s="9">
        <f>SUM(IFERROR(VLOOKUP($C:$C,Structure!$A:$AJ,O$1,0)*$D275,0),IFERROR(VLOOKUP($E:$E,Structure!$A:$AJ,O$1,0)*$F275,0),IFERROR(VLOOKUP($G:$G,Structure!$A:$AJ,O$1,0)*$H275,0))</f>
        <v>0</v>
      </c>
      <c r="P275" s="9">
        <f>SUM(IFERROR(VLOOKUP($C:$C,Structure!$A:$AJ,P$1,0)*$D275,0),IFERROR(VLOOKUP($E:$E,Structure!$A:$AJ,P$1,0)*$F275,0),IFERROR(VLOOKUP($G:$G,Structure!$A:$AJ,P$1,0)*$H275,0))</f>
        <v>0</v>
      </c>
      <c r="Q275" s="9">
        <f>SUM(IFERROR(VLOOKUP($C:$C,Structure!$A:$AJ,Q$1,0)*$D275,0),IFERROR(VLOOKUP($E:$E,Structure!$A:$AJ,Q$1,0)*$F275,0),IFERROR(VLOOKUP($G:$G,Structure!$A:$AJ,Q$1,0)*$H275,0))</f>
        <v>0</v>
      </c>
      <c r="R275" s="9">
        <f>SUM(IFERROR(VLOOKUP($C:$C,Structure!$A:$AJ,R$1,0)*$D275,0),IFERROR(VLOOKUP($E:$E,Structure!$A:$AJ,R$1,0)*$F275,0),IFERROR(VLOOKUP($G:$G,Structure!$A:$AJ,R$1,0)*$H275,0))</f>
        <v>0</v>
      </c>
      <c r="S275" s="9">
        <f>SUM(IFERROR(VLOOKUP($C:$C,Structure!$A:$AJ,S$1,0)*$D275,0),IFERROR(VLOOKUP($E:$E,Structure!$A:$AJ,S$1,0)*$F275,0),IFERROR(VLOOKUP($G:$G,Structure!$A:$AJ,S$1,0)*$H275,0))</f>
        <v>0</v>
      </c>
      <c r="T275" s="9">
        <f>SUM(IFERROR(VLOOKUP($C:$C,Structure!$A:$AJ,T$1,0)*$D275,0),IFERROR(VLOOKUP($E:$E,Structure!$A:$AJ,T$1,0)*$F275,0),IFERROR(VLOOKUP($G:$G,Structure!$A:$AJ,T$1,0)*$H275,0))</f>
        <v>0</v>
      </c>
      <c r="U275" s="9">
        <f>SUM(IFERROR(VLOOKUP($C:$C,Structure!$A:$AJ,U$1,0)*$D275,0),IFERROR(VLOOKUP($E:$E,Structure!$A:$AJ,U$1,0)*$F275,0),IFERROR(VLOOKUP($G:$G,Structure!$A:$AJ,U$1,0)*$H275,0))</f>
        <v>0</v>
      </c>
      <c r="V275" s="9">
        <f>SUM(IFERROR(VLOOKUP($C:$C,Structure!$A:$AJ,V$1,0)*$D275,0),IFERROR(VLOOKUP($E:$E,Structure!$A:$AJ,V$1,0)*$F275,0),IFERROR(VLOOKUP($G:$G,Structure!$A:$AJ,V$1,0)*$H275,0))</f>
        <v>8</v>
      </c>
      <c r="W275" s="9">
        <f>SUM(IFERROR(VLOOKUP($C:$C,Structure!$A:$AJ,W$1,0)*$D275,0),IFERROR(VLOOKUP($E:$E,Structure!$A:$AJ,W$1,0)*$F275,0),IFERROR(VLOOKUP($G:$G,Structure!$A:$AJ,W$1,0)*$H275,0))</f>
        <v>0</v>
      </c>
      <c r="X275" s="9">
        <f>SUM(IFERROR(VLOOKUP($C:$C,Structure!$A:$AJ,X$1,0)*$D275,0),IFERROR(VLOOKUP($E:$E,Structure!$A:$AJ,X$1,0)*$F275,0),IFERROR(VLOOKUP($G:$G,Structure!$A:$AJ,X$1,0)*$H275,0))</f>
        <v>0</v>
      </c>
      <c r="Y275" s="9">
        <f>SUM(IFERROR(VLOOKUP($C:$C,Structure!$A:$AJ,Y$1,0)*$D275,0),IFERROR(VLOOKUP($E:$E,Structure!$A:$AJ,Y$1,0)*$F275,0),IFERROR(VLOOKUP($G:$G,Structure!$A:$AJ,Y$1,0)*$H275,0))</f>
        <v>0</v>
      </c>
      <c r="Z275" s="9">
        <f>SUM(IFERROR(VLOOKUP($C:$C,Structure!$A:$AJ,Z$1,0)*$D275,0),IFERROR(VLOOKUP($E:$E,Structure!$A:$AJ,Z$1,0)*$F275,0),IFERROR(VLOOKUP($G:$G,Structure!$A:$AJ,Z$1,0)*$H275,0))</f>
        <v>0</v>
      </c>
      <c r="AA275" s="9">
        <f>SUM(IFERROR(VLOOKUP($C:$C,Structure!$A:$AJ,AA$1,0)*$D275,0),IFERROR(VLOOKUP($E:$E,Structure!$A:$AJ,AA$1,0)*$F275,0),IFERROR(VLOOKUP($G:$G,Structure!$A:$AJ,AA$1,0)*$H275,0))</f>
        <v>0</v>
      </c>
      <c r="AB275" s="9">
        <f>SUM(IFERROR(VLOOKUP($C:$C,Structure!$A:$AJ,AB$1,0)*$D275,0),IFERROR(VLOOKUP($E:$E,Structure!$A:$AJ,AB$1,0)*$F275,0),IFERROR(VLOOKUP($G:$G,Structure!$A:$AJ,AB$1,0)*$H275,0))</f>
        <v>0</v>
      </c>
      <c r="AC275" s="9">
        <f>SUM(IFERROR(VLOOKUP($C:$C,Structure!$A:$AJ,AC$1,0)*$D275,0),IFERROR(VLOOKUP($E:$E,Structure!$A:$AJ,AC$1,0)*$F275,0),IFERROR(VLOOKUP($G:$G,Structure!$A:$AJ,AC$1,0)*$H275,0))</f>
        <v>8</v>
      </c>
      <c r="AD275" s="9">
        <f>SUM(IFERROR(VLOOKUP($C:$C,Structure!$A:$AJ,AD$1,0)*$D275,0),IFERROR(VLOOKUP($E:$E,Structure!$A:$AJ,AD$1,0)*$F275,0),IFERROR(VLOOKUP($G:$G,Structure!$A:$AJ,AD$1,0)*$H275,0))</f>
        <v>0</v>
      </c>
      <c r="AE275" s="9">
        <f>SUM(IFERROR(VLOOKUP($C:$C,Structure!$A:$AJ,AE$1,0)*$D275,0),IFERROR(VLOOKUP($E:$E,Structure!$A:$AJ,AE$1,0)*$F275,0),IFERROR(VLOOKUP($G:$G,Structure!$A:$AJ,AE$1,0)*$H275,0))</f>
        <v>0</v>
      </c>
      <c r="AF275" s="9">
        <f>SUM(IFERROR(VLOOKUP($C:$C,Structure!$A:$AJ,AF$1,0)*$D275,0),IFERROR(VLOOKUP($E:$E,Structure!$A:$AJ,AF$1,0)*$F275,0),IFERROR(VLOOKUP($G:$G,Structure!$A:$AJ,AF$1,0)*$H275,0))</f>
        <v>0</v>
      </c>
      <c r="AG275" s="9">
        <f>SUM(IFERROR(VLOOKUP($C:$C,Structure!$A:$AJ,AG$1,0)*$D275,0),IFERROR(VLOOKUP($E:$E,Structure!$A:$AJ,AG$1,0)*$F275,0),IFERROR(VLOOKUP($G:$G,Structure!$A:$AJ,AG$1,0)*$H275,0))</f>
        <v>0</v>
      </c>
      <c r="AH275" s="9">
        <f>SUM(IFERROR(VLOOKUP($C:$C,Structure!$A:$AJ,AH$1,0)*$D275,0),IFERROR(VLOOKUP($E:$E,Structure!$A:$AJ,AH$1,0)*$F275,0),IFERROR(VLOOKUP($G:$G,Structure!$A:$AJ,AH$1,0)*$H275,0))</f>
        <v>0</v>
      </c>
      <c r="AI275" s="9">
        <f>SUM(IFERROR(VLOOKUP($C:$C,Structure!$A:$AJ,AI$1,0)*$D275,0),IFERROR(VLOOKUP($E:$E,Structure!$A:$AJ,AI$1,0)*$F275,0),IFERROR(VLOOKUP($G:$G,Structure!$A:$AJ,AI$1,0)*$H275,0))</f>
        <v>0</v>
      </c>
      <c r="AJ275" s="9">
        <f>SUM(IFERROR(VLOOKUP($C:$C,Structure!$A:$AJ,AJ$1,0)*$D275,0),IFERROR(VLOOKUP($E:$E,Structure!$A:$AJ,AJ$1,0)*$F275,0),IFERROR(VLOOKUP($G:$G,Structure!$A:$AJ,AJ$1,0)*$H275,0))</f>
        <v>0</v>
      </c>
      <c r="AK275" s="9">
        <f>SUM(IFERROR(VLOOKUP($C:$C,Structure!$A:$AJ,AK$1,0)*$D275,0),IFERROR(VLOOKUP($E:$E,Structure!$A:$AJ,AK$1,0)*$F275,0),IFERROR(VLOOKUP($G:$G,Structure!$A:$AJ,AK$1,0)*$H275,0))</f>
        <v>0</v>
      </c>
      <c r="AL275" s="9">
        <f>SUM(IFERROR(VLOOKUP($C:$C,Structure!$A:$AJ,AL$1,0)*$D275,0),IFERROR(VLOOKUP($E:$E,Structure!$A:$AJ,AL$1,0)*$F275,0),IFERROR(VLOOKUP($G:$G,Structure!$A:$AJ,AL$1,0)*$H275,0))</f>
        <v>0</v>
      </c>
      <c r="AM275" s="9">
        <f>SUM(IFERROR(VLOOKUP($C:$C,Structure!$A:$AJ,AM$1,0)*$D275,0),IFERROR(VLOOKUP($E:$E,Structure!$A:$AJ,AM$1,0)*$F275,0),IFERROR(VLOOKUP($G:$G,Structure!$A:$AJ,AM$1,0)*$H275,0))</f>
        <v>0</v>
      </c>
      <c r="AN275" s="9">
        <f>SUM(IFERROR(VLOOKUP($C:$C,Structure!$A:$AJ,AN$1,0)*$D275,0),IFERROR(VLOOKUP($E:$E,Structure!$A:$AJ,AN$1,0)*$F275,0),IFERROR(VLOOKUP($G:$G,Structure!$A:$AJ,AN$1,0)*$H275,0))</f>
        <v>0</v>
      </c>
      <c r="AO275" s="9">
        <f>SUM(IFERROR(VLOOKUP($C:$C,Structure!$A:$AJ,AO$1,0)*$D275,0),IFERROR(VLOOKUP($E:$E,Structure!$A:$AJ,AO$1,0)*$F275,0),IFERROR(VLOOKUP($G:$G,Structure!$A:$AJ,AO$1,0)*$H275,0))</f>
        <v>0</v>
      </c>
      <c r="AP275" s="9">
        <f>SUM(IFERROR(VLOOKUP($C:$C,Structure!$A:$AJ,AP$1,0)*$D275,0),IFERROR(VLOOKUP($E:$E,Structure!$A:$AJ,AP$1,0)*$F275,0),IFERROR(VLOOKUP($G:$G,Structure!$A:$AJ,AP$1,0)*$H275,0))</f>
        <v>0</v>
      </c>
      <c r="AQ275" s="9">
        <f>SUM(IFERROR(VLOOKUP($C:$C,Structure!$A:$AJ,AQ$1,0)*$D275,0),IFERROR(VLOOKUP($E:$E,Structure!$A:$AJ,AQ$1,0)*$F275,0),IFERROR(VLOOKUP($G:$G,Structure!$A:$AJ,AQ$1,0)*$H275,0))</f>
        <v>0</v>
      </c>
      <c r="AR275" s="21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4">
        <f t="shared" si="267"/>
        <v>0</v>
      </c>
      <c r="CE275" s="4">
        <f t="shared" si="268"/>
        <v>-236</v>
      </c>
      <c r="CF275" s="4">
        <f t="shared" si="269"/>
        <v>4</v>
      </c>
      <c r="CG275" s="4">
        <f t="shared" si="270"/>
        <v>11</v>
      </c>
      <c r="CH275" s="4">
        <f t="shared" si="271"/>
        <v>-7</v>
      </c>
      <c r="CI275" s="4">
        <f t="shared" si="272"/>
        <v>98</v>
      </c>
      <c r="CJ275" s="4">
        <f t="shared" si="273"/>
        <v>-391</v>
      </c>
      <c r="CK275" s="4">
        <f t="shared" si="274"/>
        <v>-57</v>
      </c>
      <c r="CL275" s="4">
        <f t="shared" si="275"/>
        <v>0</v>
      </c>
      <c r="CM275" s="4">
        <f t="shared" si="276"/>
        <v>6</v>
      </c>
      <c r="CN275" s="4">
        <f t="shared" si="277"/>
        <v>-278</v>
      </c>
      <c r="CO275" s="4">
        <f t="shared" si="278"/>
        <v>0</v>
      </c>
      <c r="CP275" s="4">
        <f t="shared" si="279"/>
        <v>-21</v>
      </c>
      <c r="CQ275" s="4">
        <f t="shared" si="280"/>
        <v>-694</v>
      </c>
      <c r="CR275" s="4">
        <f t="shared" si="281"/>
        <v>12</v>
      </c>
      <c r="CS275" s="4">
        <f t="shared" si="282"/>
        <v>-53</v>
      </c>
      <c r="CT275" s="4">
        <f t="shared" si="283"/>
        <v>0</v>
      </c>
      <c r="CU275" s="4">
        <f t="shared" si="284"/>
        <v>0</v>
      </c>
      <c r="CV275" s="4">
        <f t="shared" si="285"/>
        <v>0</v>
      </c>
      <c r="CW275" s="4">
        <f t="shared" si="286"/>
        <v>0</v>
      </c>
      <c r="CX275" s="4">
        <f t="shared" si="287"/>
        <v>-775</v>
      </c>
      <c r="CY275" s="4">
        <f t="shared" si="288"/>
        <v>0</v>
      </c>
      <c r="CZ275" s="4">
        <f t="shared" si="289"/>
        <v>0</v>
      </c>
      <c r="DA275" s="4">
        <f t="shared" si="290"/>
        <v>0</v>
      </c>
      <c r="DB275" s="4">
        <f t="shared" si="291"/>
        <v>0</v>
      </c>
      <c r="DC275" s="4">
        <f t="shared" si="292"/>
        <v>0</v>
      </c>
      <c r="DD275" s="4">
        <f t="shared" si="293"/>
        <v>0</v>
      </c>
      <c r="DE275" s="4">
        <f t="shared" si="294"/>
        <v>0</v>
      </c>
      <c r="DF275" s="4">
        <f t="shared" si="295"/>
        <v>0</v>
      </c>
      <c r="DG275" s="4">
        <f t="shared" si="296"/>
        <v>0</v>
      </c>
      <c r="DH275" s="4">
        <f t="shared" si="297"/>
        <v>0</v>
      </c>
      <c r="DI275" s="4">
        <f t="shared" si="298"/>
        <v>0</v>
      </c>
      <c r="DJ275" s="4">
        <f t="shared" si="299"/>
        <v>0</v>
      </c>
      <c r="DK275" s="4">
        <f t="shared" si="300"/>
        <v>0</v>
      </c>
      <c r="DL275" s="4">
        <f t="shared" si="301"/>
        <v>0</v>
      </c>
    </row>
    <row r="276" spans="1:116" x14ac:dyDescent="0.25">
      <c r="A276" s="5">
        <v>46189</v>
      </c>
      <c r="B276" s="6">
        <v>6.6211214289069176E-10</v>
      </c>
      <c r="C276" s="3"/>
      <c r="D276" s="3"/>
      <c r="E276" s="3" t="s">
        <v>30</v>
      </c>
      <c r="F276" s="3">
        <v>8</v>
      </c>
      <c r="G276" s="3"/>
      <c r="H276" s="9"/>
      <c r="I276" s="9">
        <f>SUM(IFERROR(VLOOKUP($C:$C,Structure!$A:$AJ,I$1,0)*$D276,0),IFERROR(VLOOKUP($E:$E,Structure!$A:$AJ,I$1,0)*$F276,0),IFERROR(VLOOKUP($G:$G,Structure!$A:$AJ,I$1,0)*$H276,0))</f>
        <v>0</v>
      </c>
      <c r="J276" s="9">
        <f>SUM(IFERROR(VLOOKUP($C:$C,Structure!$A:$AJ,J$1,0)*$D276,0),IFERROR(VLOOKUP($E:$E,Structure!$A:$AJ,J$1,0)*$F276,0),IFERROR(VLOOKUP($G:$G,Structure!$A:$AJ,J$1,0)*$H276,0))</f>
        <v>0</v>
      </c>
      <c r="K276" s="9">
        <f>SUM(IFERROR(VLOOKUP($C:$C,Structure!$A:$AJ,K$1,0)*$D276,0),IFERROR(VLOOKUP($E:$E,Structure!$A:$AJ,K$1,0)*$F276,0),IFERROR(VLOOKUP($G:$G,Structure!$A:$AJ,K$1,0)*$H276,0))</f>
        <v>0</v>
      </c>
      <c r="L276" s="9">
        <f>SUM(IFERROR(VLOOKUP($C:$C,Structure!$A:$AJ,L$1,0)*$D276,0),IFERROR(VLOOKUP($E:$E,Structure!$A:$AJ,L$1,0)*$F276,0),IFERROR(VLOOKUP($G:$G,Structure!$A:$AJ,L$1,0)*$H276,0))</f>
        <v>0</v>
      </c>
      <c r="M276" s="9">
        <f>SUM(IFERROR(VLOOKUP($C:$C,Structure!$A:$AJ,M$1,0)*$D276,0),IFERROR(VLOOKUP($E:$E,Structure!$A:$AJ,M$1,0)*$F276,0),IFERROR(VLOOKUP($G:$G,Structure!$A:$AJ,M$1,0)*$H276,0))</f>
        <v>0</v>
      </c>
      <c r="N276" s="9">
        <f>SUM(IFERROR(VLOOKUP($C:$C,Structure!$A:$AJ,N$1,0)*$D276,0),IFERROR(VLOOKUP($E:$E,Structure!$A:$AJ,N$1,0)*$F276,0),IFERROR(VLOOKUP($G:$G,Structure!$A:$AJ,N$1,0)*$H276,0))</f>
        <v>0</v>
      </c>
      <c r="O276" s="9">
        <f>SUM(IFERROR(VLOOKUP($C:$C,Structure!$A:$AJ,O$1,0)*$D276,0),IFERROR(VLOOKUP($E:$E,Structure!$A:$AJ,O$1,0)*$F276,0),IFERROR(VLOOKUP($G:$G,Structure!$A:$AJ,O$1,0)*$H276,0))</f>
        <v>0</v>
      </c>
      <c r="P276" s="9">
        <f>SUM(IFERROR(VLOOKUP($C:$C,Structure!$A:$AJ,P$1,0)*$D276,0),IFERROR(VLOOKUP($E:$E,Structure!$A:$AJ,P$1,0)*$F276,0),IFERROR(VLOOKUP($G:$G,Structure!$A:$AJ,P$1,0)*$H276,0))</f>
        <v>0</v>
      </c>
      <c r="Q276" s="9">
        <f>SUM(IFERROR(VLOOKUP($C:$C,Structure!$A:$AJ,Q$1,0)*$D276,0),IFERROR(VLOOKUP($E:$E,Structure!$A:$AJ,Q$1,0)*$F276,0),IFERROR(VLOOKUP($G:$G,Structure!$A:$AJ,Q$1,0)*$H276,0))</f>
        <v>0</v>
      </c>
      <c r="R276" s="9">
        <f>SUM(IFERROR(VLOOKUP($C:$C,Structure!$A:$AJ,R$1,0)*$D276,0),IFERROR(VLOOKUP($E:$E,Structure!$A:$AJ,R$1,0)*$F276,0),IFERROR(VLOOKUP($G:$G,Structure!$A:$AJ,R$1,0)*$H276,0))</f>
        <v>0</v>
      </c>
      <c r="S276" s="9">
        <f>SUM(IFERROR(VLOOKUP($C:$C,Structure!$A:$AJ,S$1,0)*$D276,0),IFERROR(VLOOKUP($E:$E,Structure!$A:$AJ,S$1,0)*$F276,0),IFERROR(VLOOKUP($G:$G,Structure!$A:$AJ,S$1,0)*$H276,0))</f>
        <v>0</v>
      </c>
      <c r="T276" s="9">
        <f>SUM(IFERROR(VLOOKUP($C:$C,Structure!$A:$AJ,T$1,0)*$D276,0),IFERROR(VLOOKUP($E:$E,Structure!$A:$AJ,T$1,0)*$F276,0),IFERROR(VLOOKUP($G:$G,Structure!$A:$AJ,T$1,0)*$H276,0))</f>
        <v>0</v>
      </c>
      <c r="U276" s="9">
        <f>SUM(IFERROR(VLOOKUP($C:$C,Structure!$A:$AJ,U$1,0)*$D276,0),IFERROR(VLOOKUP($E:$E,Structure!$A:$AJ,U$1,0)*$F276,0),IFERROR(VLOOKUP($G:$G,Structure!$A:$AJ,U$1,0)*$H276,0))</f>
        <v>0</v>
      </c>
      <c r="V276" s="9">
        <f>SUM(IFERROR(VLOOKUP($C:$C,Structure!$A:$AJ,V$1,0)*$D276,0),IFERROR(VLOOKUP($E:$E,Structure!$A:$AJ,V$1,0)*$F276,0),IFERROR(VLOOKUP($G:$G,Structure!$A:$AJ,V$1,0)*$H276,0))</f>
        <v>8</v>
      </c>
      <c r="W276" s="9">
        <f>SUM(IFERROR(VLOOKUP($C:$C,Structure!$A:$AJ,W$1,0)*$D276,0),IFERROR(VLOOKUP($E:$E,Structure!$A:$AJ,W$1,0)*$F276,0),IFERROR(VLOOKUP($G:$G,Structure!$A:$AJ,W$1,0)*$H276,0))</f>
        <v>0</v>
      </c>
      <c r="X276" s="9">
        <f>SUM(IFERROR(VLOOKUP($C:$C,Structure!$A:$AJ,X$1,0)*$D276,0),IFERROR(VLOOKUP($E:$E,Structure!$A:$AJ,X$1,0)*$F276,0),IFERROR(VLOOKUP($G:$G,Structure!$A:$AJ,X$1,0)*$H276,0))</f>
        <v>0</v>
      </c>
      <c r="Y276" s="9">
        <f>SUM(IFERROR(VLOOKUP($C:$C,Structure!$A:$AJ,Y$1,0)*$D276,0),IFERROR(VLOOKUP($E:$E,Structure!$A:$AJ,Y$1,0)*$F276,0),IFERROR(VLOOKUP($G:$G,Structure!$A:$AJ,Y$1,0)*$H276,0))</f>
        <v>0</v>
      </c>
      <c r="Z276" s="9">
        <f>SUM(IFERROR(VLOOKUP($C:$C,Structure!$A:$AJ,Z$1,0)*$D276,0),IFERROR(VLOOKUP($E:$E,Structure!$A:$AJ,Z$1,0)*$F276,0),IFERROR(VLOOKUP($G:$G,Structure!$A:$AJ,Z$1,0)*$H276,0))</f>
        <v>0</v>
      </c>
      <c r="AA276" s="9">
        <f>SUM(IFERROR(VLOOKUP($C:$C,Structure!$A:$AJ,AA$1,0)*$D276,0),IFERROR(VLOOKUP($E:$E,Structure!$A:$AJ,AA$1,0)*$F276,0),IFERROR(VLOOKUP($G:$G,Structure!$A:$AJ,AA$1,0)*$H276,0))</f>
        <v>0</v>
      </c>
      <c r="AB276" s="9">
        <f>SUM(IFERROR(VLOOKUP($C:$C,Structure!$A:$AJ,AB$1,0)*$D276,0),IFERROR(VLOOKUP($E:$E,Structure!$A:$AJ,AB$1,0)*$F276,0),IFERROR(VLOOKUP($G:$G,Structure!$A:$AJ,AB$1,0)*$H276,0))</f>
        <v>0</v>
      </c>
      <c r="AC276" s="9">
        <f>SUM(IFERROR(VLOOKUP($C:$C,Structure!$A:$AJ,AC$1,0)*$D276,0),IFERROR(VLOOKUP($E:$E,Structure!$A:$AJ,AC$1,0)*$F276,0),IFERROR(VLOOKUP($G:$G,Structure!$A:$AJ,AC$1,0)*$H276,0))</f>
        <v>8</v>
      </c>
      <c r="AD276" s="9">
        <f>SUM(IFERROR(VLOOKUP($C:$C,Structure!$A:$AJ,AD$1,0)*$D276,0),IFERROR(VLOOKUP($E:$E,Structure!$A:$AJ,AD$1,0)*$F276,0),IFERROR(VLOOKUP($G:$G,Structure!$A:$AJ,AD$1,0)*$H276,0))</f>
        <v>0</v>
      </c>
      <c r="AE276" s="9">
        <f>SUM(IFERROR(VLOOKUP($C:$C,Structure!$A:$AJ,AE$1,0)*$D276,0),IFERROR(VLOOKUP($E:$E,Structure!$A:$AJ,AE$1,0)*$F276,0),IFERROR(VLOOKUP($G:$G,Structure!$A:$AJ,AE$1,0)*$H276,0))</f>
        <v>0</v>
      </c>
      <c r="AF276" s="9">
        <f>SUM(IFERROR(VLOOKUP($C:$C,Structure!$A:$AJ,AF$1,0)*$D276,0),IFERROR(VLOOKUP($E:$E,Structure!$A:$AJ,AF$1,0)*$F276,0),IFERROR(VLOOKUP($G:$G,Structure!$A:$AJ,AF$1,0)*$H276,0))</f>
        <v>0</v>
      </c>
      <c r="AG276" s="9">
        <f>SUM(IFERROR(VLOOKUP($C:$C,Structure!$A:$AJ,AG$1,0)*$D276,0),IFERROR(VLOOKUP($E:$E,Structure!$A:$AJ,AG$1,0)*$F276,0),IFERROR(VLOOKUP($G:$G,Structure!$A:$AJ,AG$1,0)*$H276,0))</f>
        <v>0</v>
      </c>
      <c r="AH276" s="9">
        <f>SUM(IFERROR(VLOOKUP($C:$C,Structure!$A:$AJ,AH$1,0)*$D276,0),IFERROR(VLOOKUP($E:$E,Structure!$A:$AJ,AH$1,0)*$F276,0),IFERROR(VLOOKUP($G:$G,Structure!$A:$AJ,AH$1,0)*$H276,0))</f>
        <v>0</v>
      </c>
      <c r="AI276" s="9">
        <f>SUM(IFERROR(VLOOKUP($C:$C,Structure!$A:$AJ,AI$1,0)*$D276,0),IFERROR(VLOOKUP($E:$E,Structure!$A:$AJ,AI$1,0)*$F276,0),IFERROR(VLOOKUP($G:$G,Structure!$A:$AJ,AI$1,0)*$H276,0))</f>
        <v>0</v>
      </c>
      <c r="AJ276" s="9">
        <f>SUM(IFERROR(VLOOKUP($C:$C,Structure!$A:$AJ,AJ$1,0)*$D276,0),IFERROR(VLOOKUP($E:$E,Structure!$A:$AJ,AJ$1,0)*$F276,0),IFERROR(VLOOKUP($G:$G,Structure!$A:$AJ,AJ$1,0)*$H276,0))</f>
        <v>0</v>
      </c>
      <c r="AK276" s="9">
        <f>SUM(IFERROR(VLOOKUP($C:$C,Structure!$A:$AJ,AK$1,0)*$D276,0),IFERROR(VLOOKUP($E:$E,Structure!$A:$AJ,AK$1,0)*$F276,0),IFERROR(VLOOKUP($G:$G,Structure!$A:$AJ,AK$1,0)*$H276,0))</f>
        <v>0</v>
      </c>
      <c r="AL276" s="9">
        <f>SUM(IFERROR(VLOOKUP($C:$C,Structure!$A:$AJ,AL$1,0)*$D276,0),IFERROR(VLOOKUP($E:$E,Structure!$A:$AJ,AL$1,0)*$F276,0),IFERROR(VLOOKUP($G:$G,Structure!$A:$AJ,AL$1,0)*$H276,0))</f>
        <v>0</v>
      </c>
      <c r="AM276" s="9">
        <f>SUM(IFERROR(VLOOKUP($C:$C,Structure!$A:$AJ,AM$1,0)*$D276,0),IFERROR(VLOOKUP($E:$E,Structure!$A:$AJ,AM$1,0)*$F276,0),IFERROR(VLOOKUP($G:$G,Structure!$A:$AJ,AM$1,0)*$H276,0))</f>
        <v>0</v>
      </c>
      <c r="AN276" s="9">
        <f>SUM(IFERROR(VLOOKUP($C:$C,Structure!$A:$AJ,AN$1,0)*$D276,0),IFERROR(VLOOKUP($E:$E,Structure!$A:$AJ,AN$1,0)*$F276,0),IFERROR(VLOOKUP($G:$G,Structure!$A:$AJ,AN$1,0)*$H276,0))</f>
        <v>0</v>
      </c>
      <c r="AO276" s="9">
        <f>SUM(IFERROR(VLOOKUP($C:$C,Structure!$A:$AJ,AO$1,0)*$D276,0),IFERROR(VLOOKUP($E:$E,Structure!$A:$AJ,AO$1,0)*$F276,0),IFERROR(VLOOKUP($G:$G,Structure!$A:$AJ,AO$1,0)*$H276,0))</f>
        <v>0</v>
      </c>
      <c r="AP276" s="9">
        <f>SUM(IFERROR(VLOOKUP($C:$C,Structure!$A:$AJ,AP$1,0)*$D276,0),IFERROR(VLOOKUP($E:$E,Structure!$A:$AJ,AP$1,0)*$F276,0),IFERROR(VLOOKUP($G:$G,Structure!$A:$AJ,AP$1,0)*$H276,0))</f>
        <v>0</v>
      </c>
      <c r="AQ276" s="9">
        <f>SUM(IFERROR(VLOOKUP($C:$C,Structure!$A:$AJ,AQ$1,0)*$D276,0),IFERROR(VLOOKUP($E:$E,Structure!$A:$AJ,AQ$1,0)*$F276,0),IFERROR(VLOOKUP($G:$G,Structure!$A:$AJ,AQ$1,0)*$H276,0))</f>
        <v>0</v>
      </c>
      <c r="AR276" s="21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4">
        <f t="shared" si="267"/>
        <v>0</v>
      </c>
      <c r="CE276" s="4">
        <f t="shared" si="268"/>
        <v>-236</v>
      </c>
      <c r="CF276" s="4">
        <f t="shared" si="269"/>
        <v>4</v>
      </c>
      <c r="CG276" s="4">
        <f t="shared" si="270"/>
        <v>11</v>
      </c>
      <c r="CH276" s="4">
        <f t="shared" si="271"/>
        <v>-7</v>
      </c>
      <c r="CI276" s="4">
        <f t="shared" si="272"/>
        <v>98</v>
      </c>
      <c r="CJ276" s="4">
        <f t="shared" si="273"/>
        <v>-391</v>
      </c>
      <c r="CK276" s="4">
        <f t="shared" si="274"/>
        <v>-57</v>
      </c>
      <c r="CL276" s="4">
        <f t="shared" si="275"/>
        <v>0</v>
      </c>
      <c r="CM276" s="4">
        <f t="shared" si="276"/>
        <v>6</v>
      </c>
      <c r="CN276" s="4">
        <f t="shared" si="277"/>
        <v>-278</v>
      </c>
      <c r="CO276" s="4">
        <f t="shared" si="278"/>
        <v>0</v>
      </c>
      <c r="CP276" s="4">
        <f t="shared" si="279"/>
        <v>-21</v>
      </c>
      <c r="CQ276" s="4">
        <f t="shared" si="280"/>
        <v>-702</v>
      </c>
      <c r="CR276" s="4">
        <f t="shared" si="281"/>
        <v>12</v>
      </c>
      <c r="CS276" s="4">
        <f t="shared" si="282"/>
        <v>-53</v>
      </c>
      <c r="CT276" s="4">
        <f t="shared" si="283"/>
        <v>0</v>
      </c>
      <c r="CU276" s="4">
        <f t="shared" si="284"/>
        <v>0</v>
      </c>
      <c r="CV276" s="4">
        <f t="shared" si="285"/>
        <v>0</v>
      </c>
      <c r="CW276" s="4">
        <f t="shared" si="286"/>
        <v>0</v>
      </c>
      <c r="CX276" s="4">
        <f t="shared" si="287"/>
        <v>-783</v>
      </c>
      <c r="CY276" s="4">
        <f t="shared" si="288"/>
        <v>0</v>
      </c>
      <c r="CZ276" s="4">
        <f t="shared" si="289"/>
        <v>0</v>
      </c>
      <c r="DA276" s="4">
        <f t="shared" si="290"/>
        <v>0</v>
      </c>
      <c r="DB276" s="4">
        <f t="shared" si="291"/>
        <v>0</v>
      </c>
      <c r="DC276" s="4">
        <f t="shared" si="292"/>
        <v>0</v>
      </c>
      <c r="DD276" s="4">
        <f t="shared" si="293"/>
        <v>0</v>
      </c>
      <c r="DE276" s="4">
        <f t="shared" si="294"/>
        <v>0</v>
      </c>
      <c r="DF276" s="4">
        <f t="shared" si="295"/>
        <v>0</v>
      </c>
      <c r="DG276" s="4">
        <f t="shared" si="296"/>
        <v>0</v>
      </c>
      <c r="DH276" s="4">
        <f t="shared" si="297"/>
        <v>0</v>
      </c>
      <c r="DI276" s="4">
        <f t="shared" si="298"/>
        <v>0</v>
      </c>
      <c r="DJ276" s="4">
        <f t="shared" si="299"/>
        <v>0</v>
      </c>
      <c r="DK276" s="4">
        <f t="shared" si="300"/>
        <v>0</v>
      </c>
      <c r="DL276" s="4">
        <f t="shared" si="301"/>
        <v>0</v>
      </c>
    </row>
    <row r="277" spans="1:116" x14ac:dyDescent="0.25">
      <c r="A277" s="5">
        <v>46189</v>
      </c>
      <c r="B277" s="6">
        <v>2.0833333997870795E-2</v>
      </c>
      <c r="C277" s="3"/>
      <c r="D277" s="3"/>
      <c r="E277" s="3" t="s">
        <v>30</v>
      </c>
      <c r="F277" s="3">
        <v>8</v>
      </c>
      <c r="G277" s="3"/>
      <c r="H277" s="9"/>
      <c r="I277" s="9">
        <f>SUM(IFERROR(VLOOKUP($C:$C,Structure!$A:$AJ,I$1,0)*$D277,0),IFERROR(VLOOKUP($E:$E,Structure!$A:$AJ,I$1,0)*$F277,0),IFERROR(VLOOKUP($G:$G,Structure!$A:$AJ,I$1,0)*$H277,0))</f>
        <v>0</v>
      </c>
      <c r="J277" s="9">
        <f>SUM(IFERROR(VLOOKUP($C:$C,Structure!$A:$AJ,J$1,0)*$D277,0),IFERROR(VLOOKUP($E:$E,Structure!$A:$AJ,J$1,0)*$F277,0),IFERROR(VLOOKUP($G:$G,Structure!$A:$AJ,J$1,0)*$H277,0))</f>
        <v>0</v>
      </c>
      <c r="K277" s="9">
        <f>SUM(IFERROR(VLOOKUP($C:$C,Structure!$A:$AJ,K$1,0)*$D277,0),IFERROR(VLOOKUP($E:$E,Structure!$A:$AJ,K$1,0)*$F277,0),IFERROR(VLOOKUP($G:$G,Structure!$A:$AJ,K$1,0)*$H277,0))</f>
        <v>0</v>
      </c>
      <c r="L277" s="9">
        <f>SUM(IFERROR(VLOOKUP($C:$C,Structure!$A:$AJ,L$1,0)*$D277,0),IFERROR(VLOOKUP($E:$E,Structure!$A:$AJ,L$1,0)*$F277,0),IFERROR(VLOOKUP($G:$G,Structure!$A:$AJ,L$1,0)*$H277,0))</f>
        <v>0</v>
      </c>
      <c r="M277" s="9">
        <f>SUM(IFERROR(VLOOKUP($C:$C,Structure!$A:$AJ,M$1,0)*$D277,0),IFERROR(VLOOKUP($E:$E,Structure!$A:$AJ,M$1,0)*$F277,0),IFERROR(VLOOKUP($G:$G,Structure!$A:$AJ,M$1,0)*$H277,0))</f>
        <v>0</v>
      </c>
      <c r="N277" s="9">
        <f>SUM(IFERROR(VLOOKUP($C:$C,Structure!$A:$AJ,N$1,0)*$D277,0),IFERROR(VLOOKUP($E:$E,Structure!$A:$AJ,N$1,0)*$F277,0),IFERROR(VLOOKUP($G:$G,Structure!$A:$AJ,N$1,0)*$H277,0))</f>
        <v>0</v>
      </c>
      <c r="O277" s="9">
        <f>SUM(IFERROR(VLOOKUP($C:$C,Structure!$A:$AJ,O$1,0)*$D277,0),IFERROR(VLOOKUP($E:$E,Structure!$A:$AJ,O$1,0)*$F277,0),IFERROR(VLOOKUP($G:$G,Structure!$A:$AJ,O$1,0)*$H277,0))</f>
        <v>0</v>
      </c>
      <c r="P277" s="9">
        <f>SUM(IFERROR(VLOOKUP($C:$C,Structure!$A:$AJ,P$1,0)*$D277,0),IFERROR(VLOOKUP($E:$E,Structure!$A:$AJ,P$1,0)*$F277,0),IFERROR(VLOOKUP($G:$G,Structure!$A:$AJ,P$1,0)*$H277,0))</f>
        <v>0</v>
      </c>
      <c r="Q277" s="9">
        <f>SUM(IFERROR(VLOOKUP($C:$C,Structure!$A:$AJ,Q$1,0)*$D277,0),IFERROR(VLOOKUP($E:$E,Structure!$A:$AJ,Q$1,0)*$F277,0),IFERROR(VLOOKUP($G:$G,Structure!$A:$AJ,Q$1,0)*$H277,0))</f>
        <v>0</v>
      </c>
      <c r="R277" s="9">
        <f>SUM(IFERROR(VLOOKUP($C:$C,Structure!$A:$AJ,R$1,0)*$D277,0),IFERROR(VLOOKUP($E:$E,Structure!$A:$AJ,R$1,0)*$F277,0),IFERROR(VLOOKUP($G:$G,Structure!$A:$AJ,R$1,0)*$H277,0))</f>
        <v>0</v>
      </c>
      <c r="S277" s="9">
        <f>SUM(IFERROR(VLOOKUP($C:$C,Structure!$A:$AJ,S$1,0)*$D277,0),IFERROR(VLOOKUP($E:$E,Structure!$A:$AJ,S$1,0)*$F277,0),IFERROR(VLOOKUP($G:$G,Structure!$A:$AJ,S$1,0)*$H277,0))</f>
        <v>0</v>
      </c>
      <c r="T277" s="9">
        <f>SUM(IFERROR(VLOOKUP($C:$C,Structure!$A:$AJ,T$1,0)*$D277,0),IFERROR(VLOOKUP($E:$E,Structure!$A:$AJ,T$1,0)*$F277,0),IFERROR(VLOOKUP($G:$G,Structure!$A:$AJ,T$1,0)*$H277,0))</f>
        <v>0</v>
      </c>
      <c r="U277" s="9">
        <f>SUM(IFERROR(VLOOKUP($C:$C,Structure!$A:$AJ,U$1,0)*$D277,0),IFERROR(VLOOKUP($E:$E,Structure!$A:$AJ,U$1,0)*$F277,0),IFERROR(VLOOKUP($G:$G,Structure!$A:$AJ,U$1,0)*$H277,0))</f>
        <v>0</v>
      </c>
      <c r="V277" s="9">
        <f>SUM(IFERROR(VLOOKUP($C:$C,Structure!$A:$AJ,V$1,0)*$D277,0),IFERROR(VLOOKUP($E:$E,Structure!$A:$AJ,V$1,0)*$F277,0),IFERROR(VLOOKUP($G:$G,Structure!$A:$AJ,V$1,0)*$H277,0))</f>
        <v>8</v>
      </c>
      <c r="W277" s="9">
        <f>SUM(IFERROR(VLOOKUP($C:$C,Structure!$A:$AJ,W$1,0)*$D277,0),IFERROR(VLOOKUP($E:$E,Structure!$A:$AJ,W$1,0)*$F277,0),IFERROR(VLOOKUP($G:$G,Structure!$A:$AJ,W$1,0)*$H277,0))</f>
        <v>0</v>
      </c>
      <c r="X277" s="9">
        <f>SUM(IFERROR(VLOOKUP($C:$C,Structure!$A:$AJ,X$1,0)*$D277,0),IFERROR(VLOOKUP($E:$E,Structure!$A:$AJ,X$1,0)*$F277,0),IFERROR(VLOOKUP($G:$G,Structure!$A:$AJ,X$1,0)*$H277,0))</f>
        <v>0</v>
      </c>
      <c r="Y277" s="9">
        <f>SUM(IFERROR(VLOOKUP($C:$C,Structure!$A:$AJ,Y$1,0)*$D277,0),IFERROR(VLOOKUP($E:$E,Structure!$A:$AJ,Y$1,0)*$F277,0),IFERROR(VLOOKUP($G:$G,Structure!$A:$AJ,Y$1,0)*$H277,0))</f>
        <v>0</v>
      </c>
      <c r="Z277" s="9">
        <f>SUM(IFERROR(VLOOKUP($C:$C,Structure!$A:$AJ,Z$1,0)*$D277,0),IFERROR(VLOOKUP($E:$E,Structure!$A:$AJ,Z$1,0)*$F277,0),IFERROR(VLOOKUP($G:$G,Structure!$A:$AJ,Z$1,0)*$H277,0))</f>
        <v>0</v>
      </c>
      <c r="AA277" s="9">
        <f>SUM(IFERROR(VLOOKUP($C:$C,Structure!$A:$AJ,AA$1,0)*$D277,0),IFERROR(VLOOKUP($E:$E,Structure!$A:$AJ,AA$1,0)*$F277,0),IFERROR(VLOOKUP($G:$G,Structure!$A:$AJ,AA$1,0)*$H277,0))</f>
        <v>0</v>
      </c>
      <c r="AB277" s="9">
        <f>SUM(IFERROR(VLOOKUP($C:$C,Structure!$A:$AJ,AB$1,0)*$D277,0),IFERROR(VLOOKUP($E:$E,Structure!$A:$AJ,AB$1,0)*$F277,0),IFERROR(VLOOKUP($G:$G,Structure!$A:$AJ,AB$1,0)*$H277,0))</f>
        <v>0</v>
      </c>
      <c r="AC277" s="9">
        <f>SUM(IFERROR(VLOOKUP($C:$C,Structure!$A:$AJ,AC$1,0)*$D277,0),IFERROR(VLOOKUP($E:$E,Structure!$A:$AJ,AC$1,0)*$F277,0),IFERROR(VLOOKUP($G:$G,Structure!$A:$AJ,AC$1,0)*$H277,0))</f>
        <v>8</v>
      </c>
      <c r="AD277" s="9">
        <f>SUM(IFERROR(VLOOKUP($C:$C,Structure!$A:$AJ,AD$1,0)*$D277,0),IFERROR(VLOOKUP($E:$E,Structure!$A:$AJ,AD$1,0)*$F277,0),IFERROR(VLOOKUP($G:$G,Structure!$A:$AJ,AD$1,0)*$H277,0))</f>
        <v>0</v>
      </c>
      <c r="AE277" s="9">
        <f>SUM(IFERROR(VLOOKUP($C:$C,Structure!$A:$AJ,AE$1,0)*$D277,0),IFERROR(VLOOKUP($E:$E,Structure!$A:$AJ,AE$1,0)*$F277,0),IFERROR(VLOOKUP($G:$G,Structure!$A:$AJ,AE$1,0)*$H277,0))</f>
        <v>0</v>
      </c>
      <c r="AF277" s="9">
        <f>SUM(IFERROR(VLOOKUP($C:$C,Structure!$A:$AJ,AF$1,0)*$D277,0),IFERROR(VLOOKUP($E:$E,Structure!$A:$AJ,AF$1,0)*$F277,0),IFERROR(VLOOKUP($G:$G,Structure!$A:$AJ,AF$1,0)*$H277,0))</f>
        <v>0</v>
      </c>
      <c r="AG277" s="9">
        <f>SUM(IFERROR(VLOOKUP($C:$C,Structure!$A:$AJ,AG$1,0)*$D277,0),IFERROR(VLOOKUP($E:$E,Structure!$A:$AJ,AG$1,0)*$F277,0),IFERROR(VLOOKUP($G:$G,Structure!$A:$AJ,AG$1,0)*$H277,0))</f>
        <v>0</v>
      </c>
      <c r="AH277" s="9">
        <f>SUM(IFERROR(VLOOKUP($C:$C,Structure!$A:$AJ,AH$1,0)*$D277,0),IFERROR(VLOOKUP($E:$E,Structure!$A:$AJ,AH$1,0)*$F277,0),IFERROR(VLOOKUP($G:$G,Structure!$A:$AJ,AH$1,0)*$H277,0))</f>
        <v>0</v>
      </c>
      <c r="AI277" s="9">
        <f>SUM(IFERROR(VLOOKUP($C:$C,Structure!$A:$AJ,AI$1,0)*$D277,0),IFERROR(VLOOKUP($E:$E,Structure!$A:$AJ,AI$1,0)*$F277,0),IFERROR(VLOOKUP($G:$G,Structure!$A:$AJ,AI$1,0)*$H277,0))</f>
        <v>0</v>
      </c>
      <c r="AJ277" s="9">
        <f>SUM(IFERROR(VLOOKUP($C:$C,Structure!$A:$AJ,AJ$1,0)*$D277,0),IFERROR(VLOOKUP($E:$E,Structure!$A:$AJ,AJ$1,0)*$F277,0),IFERROR(VLOOKUP($G:$G,Structure!$A:$AJ,AJ$1,0)*$H277,0))</f>
        <v>0</v>
      </c>
      <c r="AK277" s="9">
        <f>SUM(IFERROR(VLOOKUP($C:$C,Structure!$A:$AJ,AK$1,0)*$D277,0),IFERROR(VLOOKUP($E:$E,Structure!$A:$AJ,AK$1,0)*$F277,0),IFERROR(VLOOKUP($G:$G,Structure!$A:$AJ,AK$1,0)*$H277,0))</f>
        <v>0</v>
      </c>
      <c r="AL277" s="9">
        <f>SUM(IFERROR(VLOOKUP($C:$C,Structure!$A:$AJ,AL$1,0)*$D277,0),IFERROR(VLOOKUP($E:$E,Structure!$A:$AJ,AL$1,0)*$F277,0),IFERROR(VLOOKUP($G:$G,Structure!$A:$AJ,AL$1,0)*$H277,0))</f>
        <v>0</v>
      </c>
      <c r="AM277" s="9">
        <f>SUM(IFERROR(VLOOKUP($C:$C,Structure!$A:$AJ,AM$1,0)*$D277,0),IFERROR(VLOOKUP($E:$E,Structure!$A:$AJ,AM$1,0)*$F277,0),IFERROR(VLOOKUP($G:$G,Structure!$A:$AJ,AM$1,0)*$H277,0))</f>
        <v>0</v>
      </c>
      <c r="AN277" s="9">
        <f>SUM(IFERROR(VLOOKUP($C:$C,Structure!$A:$AJ,AN$1,0)*$D277,0),IFERROR(VLOOKUP($E:$E,Structure!$A:$AJ,AN$1,0)*$F277,0),IFERROR(VLOOKUP($G:$G,Structure!$A:$AJ,AN$1,0)*$H277,0))</f>
        <v>0</v>
      </c>
      <c r="AO277" s="9">
        <f>SUM(IFERROR(VLOOKUP($C:$C,Structure!$A:$AJ,AO$1,0)*$D277,0),IFERROR(VLOOKUP($E:$E,Structure!$A:$AJ,AO$1,0)*$F277,0),IFERROR(VLOOKUP($G:$G,Structure!$A:$AJ,AO$1,0)*$H277,0))</f>
        <v>0</v>
      </c>
      <c r="AP277" s="9">
        <f>SUM(IFERROR(VLOOKUP($C:$C,Structure!$A:$AJ,AP$1,0)*$D277,0),IFERROR(VLOOKUP($E:$E,Structure!$A:$AJ,AP$1,0)*$F277,0),IFERROR(VLOOKUP($G:$G,Structure!$A:$AJ,AP$1,0)*$H277,0))</f>
        <v>0</v>
      </c>
      <c r="AQ277" s="9">
        <f>SUM(IFERROR(VLOOKUP($C:$C,Structure!$A:$AJ,AQ$1,0)*$D277,0),IFERROR(VLOOKUP($E:$E,Structure!$A:$AJ,AQ$1,0)*$F277,0),IFERROR(VLOOKUP($G:$G,Structure!$A:$AJ,AQ$1,0)*$H277,0))</f>
        <v>0</v>
      </c>
      <c r="AR277" s="21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4">
        <f t="shared" si="267"/>
        <v>0</v>
      </c>
      <c r="CE277" s="4">
        <f t="shared" si="268"/>
        <v>-236</v>
      </c>
      <c r="CF277" s="4">
        <f t="shared" si="269"/>
        <v>4</v>
      </c>
      <c r="CG277" s="4">
        <f t="shared" si="270"/>
        <v>11</v>
      </c>
      <c r="CH277" s="4">
        <f t="shared" si="271"/>
        <v>-7</v>
      </c>
      <c r="CI277" s="4">
        <f t="shared" si="272"/>
        <v>98</v>
      </c>
      <c r="CJ277" s="4">
        <f t="shared" si="273"/>
        <v>-391</v>
      </c>
      <c r="CK277" s="4">
        <f t="shared" si="274"/>
        <v>-57</v>
      </c>
      <c r="CL277" s="4">
        <f t="shared" si="275"/>
        <v>0</v>
      </c>
      <c r="CM277" s="4">
        <f t="shared" si="276"/>
        <v>6</v>
      </c>
      <c r="CN277" s="4">
        <f t="shared" si="277"/>
        <v>-278</v>
      </c>
      <c r="CO277" s="4">
        <f t="shared" si="278"/>
        <v>0</v>
      </c>
      <c r="CP277" s="4">
        <f t="shared" si="279"/>
        <v>-21</v>
      </c>
      <c r="CQ277" s="4">
        <f t="shared" si="280"/>
        <v>-710</v>
      </c>
      <c r="CR277" s="4">
        <f t="shared" si="281"/>
        <v>12</v>
      </c>
      <c r="CS277" s="4">
        <f t="shared" si="282"/>
        <v>-53</v>
      </c>
      <c r="CT277" s="4">
        <f t="shared" si="283"/>
        <v>0</v>
      </c>
      <c r="CU277" s="4">
        <f t="shared" si="284"/>
        <v>0</v>
      </c>
      <c r="CV277" s="4">
        <f t="shared" si="285"/>
        <v>0</v>
      </c>
      <c r="CW277" s="4">
        <f t="shared" si="286"/>
        <v>0</v>
      </c>
      <c r="CX277" s="4">
        <f t="shared" si="287"/>
        <v>-791</v>
      </c>
      <c r="CY277" s="4">
        <f t="shared" si="288"/>
        <v>0</v>
      </c>
      <c r="CZ277" s="4">
        <f t="shared" si="289"/>
        <v>0</v>
      </c>
      <c r="DA277" s="4">
        <f t="shared" si="290"/>
        <v>0</v>
      </c>
      <c r="DB277" s="4">
        <f t="shared" si="291"/>
        <v>0</v>
      </c>
      <c r="DC277" s="4">
        <f t="shared" si="292"/>
        <v>0</v>
      </c>
      <c r="DD277" s="4">
        <f t="shared" si="293"/>
        <v>0</v>
      </c>
      <c r="DE277" s="4">
        <f t="shared" si="294"/>
        <v>0</v>
      </c>
      <c r="DF277" s="4">
        <f t="shared" si="295"/>
        <v>0</v>
      </c>
      <c r="DG277" s="4">
        <f t="shared" si="296"/>
        <v>0</v>
      </c>
      <c r="DH277" s="4">
        <f t="shared" si="297"/>
        <v>0</v>
      </c>
      <c r="DI277" s="4">
        <f t="shared" si="298"/>
        <v>0</v>
      </c>
      <c r="DJ277" s="4">
        <f t="shared" si="299"/>
        <v>0</v>
      </c>
      <c r="DK277" s="4">
        <f t="shared" si="300"/>
        <v>0</v>
      </c>
      <c r="DL277" s="4">
        <f t="shared" si="301"/>
        <v>0</v>
      </c>
    </row>
    <row r="278" spans="1:116" x14ac:dyDescent="0.25">
      <c r="A278" s="5">
        <v>46189</v>
      </c>
      <c r="B278" s="6">
        <v>4.1666667333629448E-2</v>
      </c>
      <c r="C278" s="3"/>
      <c r="D278" s="3"/>
      <c r="E278" s="3" t="s">
        <v>30</v>
      </c>
      <c r="F278" s="3">
        <v>8</v>
      </c>
      <c r="G278" s="3"/>
      <c r="H278" s="9"/>
      <c r="I278" s="9">
        <f>SUM(IFERROR(VLOOKUP($C:$C,Structure!$A:$AJ,I$1,0)*$D278,0),IFERROR(VLOOKUP($E:$E,Structure!$A:$AJ,I$1,0)*$F278,0),IFERROR(VLOOKUP($G:$G,Structure!$A:$AJ,I$1,0)*$H278,0))</f>
        <v>0</v>
      </c>
      <c r="J278" s="9">
        <f>SUM(IFERROR(VLOOKUP($C:$C,Structure!$A:$AJ,J$1,0)*$D278,0),IFERROR(VLOOKUP($E:$E,Structure!$A:$AJ,J$1,0)*$F278,0),IFERROR(VLOOKUP($G:$G,Structure!$A:$AJ,J$1,0)*$H278,0))</f>
        <v>0</v>
      </c>
      <c r="K278" s="9">
        <f>SUM(IFERROR(VLOOKUP($C:$C,Structure!$A:$AJ,K$1,0)*$D278,0),IFERROR(VLOOKUP($E:$E,Structure!$A:$AJ,K$1,0)*$F278,0),IFERROR(VLOOKUP($G:$G,Structure!$A:$AJ,K$1,0)*$H278,0))</f>
        <v>0</v>
      </c>
      <c r="L278" s="9">
        <f>SUM(IFERROR(VLOOKUP($C:$C,Structure!$A:$AJ,L$1,0)*$D278,0),IFERROR(VLOOKUP($E:$E,Structure!$A:$AJ,L$1,0)*$F278,0),IFERROR(VLOOKUP($G:$G,Structure!$A:$AJ,L$1,0)*$H278,0))</f>
        <v>0</v>
      </c>
      <c r="M278" s="9">
        <f>SUM(IFERROR(VLOOKUP($C:$C,Structure!$A:$AJ,M$1,0)*$D278,0),IFERROR(VLOOKUP($E:$E,Structure!$A:$AJ,M$1,0)*$F278,0),IFERROR(VLOOKUP($G:$G,Structure!$A:$AJ,M$1,0)*$H278,0))</f>
        <v>0</v>
      </c>
      <c r="N278" s="9">
        <f>SUM(IFERROR(VLOOKUP($C:$C,Structure!$A:$AJ,N$1,0)*$D278,0),IFERROR(VLOOKUP($E:$E,Structure!$A:$AJ,N$1,0)*$F278,0),IFERROR(VLOOKUP($G:$G,Structure!$A:$AJ,N$1,0)*$H278,0))</f>
        <v>0</v>
      </c>
      <c r="O278" s="9">
        <f>SUM(IFERROR(VLOOKUP($C:$C,Structure!$A:$AJ,O$1,0)*$D278,0),IFERROR(VLOOKUP($E:$E,Structure!$A:$AJ,O$1,0)*$F278,0),IFERROR(VLOOKUP($G:$G,Structure!$A:$AJ,O$1,0)*$H278,0))</f>
        <v>0</v>
      </c>
      <c r="P278" s="9">
        <f>SUM(IFERROR(VLOOKUP($C:$C,Structure!$A:$AJ,P$1,0)*$D278,0),IFERROR(VLOOKUP($E:$E,Structure!$A:$AJ,P$1,0)*$F278,0),IFERROR(VLOOKUP($G:$G,Structure!$A:$AJ,P$1,0)*$H278,0))</f>
        <v>0</v>
      </c>
      <c r="Q278" s="9">
        <f>SUM(IFERROR(VLOOKUP($C:$C,Structure!$A:$AJ,Q$1,0)*$D278,0),IFERROR(VLOOKUP($E:$E,Structure!$A:$AJ,Q$1,0)*$F278,0),IFERROR(VLOOKUP($G:$G,Structure!$A:$AJ,Q$1,0)*$H278,0))</f>
        <v>0</v>
      </c>
      <c r="R278" s="9">
        <f>SUM(IFERROR(VLOOKUP($C:$C,Structure!$A:$AJ,R$1,0)*$D278,0),IFERROR(VLOOKUP($E:$E,Structure!$A:$AJ,R$1,0)*$F278,0),IFERROR(VLOOKUP($G:$G,Structure!$A:$AJ,R$1,0)*$H278,0))</f>
        <v>0</v>
      </c>
      <c r="S278" s="9">
        <f>SUM(IFERROR(VLOOKUP($C:$C,Structure!$A:$AJ,S$1,0)*$D278,0),IFERROR(VLOOKUP($E:$E,Structure!$A:$AJ,S$1,0)*$F278,0),IFERROR(VLOOKUP($G:$G,Structure!$A:$AJ,S$1,0)*$H278,0))</f>
        <v>0</v>
      </c>
      <c r="T278" s="9">
        <f>SUM(IFERROR(VLOOKUP($C:$C,Structure!$A:$AJ,T$1,0)*$D278,0),IFERROR(VLOOKUP($E:$E,Structure!$A:$AJ,T$1,0)*$F278,0),IFERROR(VLOOKUP($G:$G,Structure!$A:$AJ,T$1,0)*$H278,0))</f>
        <v>0</v>
      </c>
      <c r="U278" s="9">
        <f>SUM(IFERROR(VLOOKUP($C:$C,Structure!$A:$AJ,U$1,0)*$D278,0),IFERROR(VLOOKUP($E:$E,Structure!$A:$AJ,U$1,0)*$F278,0),IFERROR(VLOOKUP($G:$G,Structure!$A:$AJ,U$1,0)*$H278,0))</f>
        <v>0</v>
      </c>
      <c r="V278" s="9">
        <f>SUM(IFERROR(VLOOKUP($C:$C,Structure!$A:$AJ,V$1,0)*$D278,0),IFERROR(VLOOKUP($E:$E,Structure!$A:$AJ,V$1,0)*$F278,0),IFERROR(VLOOKUP($G:$G,Structure!$A:$AJ,V$1,0)*$H278,0))</f>
        <v>8</v>
      </c>
      <c r="W278" s="9">
        <f>SUM(IFERROR(VLOOKUP($C:$C,Structure!$A:$AJ,W$1,0)*$D278,0),IFERROR(VLOOKUP($E:$E,Structure!$A:$AJ,W$1,0)*$F278,0),IFERROR(VLOOKUP($G:$G,Structure!$A:$AJ,W$1,0)*$H278,0))</f>
        <v>0</v>
      </c>
      <c r="X278" s="9">
        <f>SUM(IFERROR(VLOOKUP($C:$C,Structure!$A:$AJ,X$1,0)*$D278,0),IFERROR(VLOOKUP($E:$E,Structure!$A:$AJ,X$1,0)*$F278,0),IFERROR(VLOOKUP($G:$G,Structure!$A:$AJ,X$1,0)*$H278,0))</f>
        <v>0</v>
      </c>
      <c r="Y278" s="9">
        <f>SUM(IFERROR(VLOOKUP($C:$C,Structure!$A:$AJ,Y$1,0)*$D278,0),IFERROR(VLOOKUP($E:$E,Structure!$A:$AJ,Y$1,0)*$F278,0),IFERROR(VLOOKUP($G:$G,Structure!$A:$AJ,Y$1,0)*$H278,0))</f>
        <v>0</v>
      </c>
      <c r="Z278" s="9">
        <f>SUM(IFERROR(VLOOKUP($C:$C,Structure!$A:$AJ,Z$1,0)*$D278,0),IFERROR(VLOOKUP($E:$E,Structure!$A:$AJ,Z$1,0)*$F278,0),IFERROR(VLOOKUP($G:$G,Structure!$A:$AJ,Z$1,0)*$H278,0))</f>
        <v>0</v>
      </c>
      <c r="AA278" s="9">
        <f>SUM(IFERROR(VLOOKUP($C:$C,Structure!$A:$AJ,AA$1,0)*$D278,0),IFERROR(VLOOKUP($E:$E,Structure!$A:$AJ,AA$1,0)*$F278,0),IFERROR(VLOOKUP($G:$G,Structure!$A:$AJ,AA$1,0)*$H278,0))</f>
        <v>0</v>
      </c>
      <c r="AB278" s="9">
        <f>SUM(IFERROR(VLOOKUP($C:$C,Structure!$A:$AJ,AB$1,0)*$D278,0),IFERROR(VLOOKUP($E:$E,Structure!$A:$AJ,AB$1,0)*$F278,0),IFERROR(VLOOKUP($G:$G,Structure!$A:$AJ,AB$1,0)*$H278,0))</f>
        <v>0</v>
      </c>
      <c r="AC278" s="9">
        <f>SUM(IFERROR(VLOOKUP($C:$C,Structure!$A:$AJ,AC$1,0)*$D278,0),IFERROR(VLOOKUP($E:$E,Structure!$A:$AJ,AC$1,0)*$F278,0),IFERROR(VLOOKUP($G:$G,Structure!$A:$AJ,AC$1,0)*$H278,0))</f>
        <v>8</v>
      </c>
      <c r="AD278" s="9">
        <f>SUM(IFERROR(VLOOKUP($C:$C,Structure!$A:$AJ,AD$1,0)*$D278,0),IFERROR(VLOOKUP($E:$E,Structure!$A:$AJ,AD$1,0)*$F278,0),IFERROR(VLOOKUP($G:$G,Structure!$A:$AJ,AD$1,0)*$H278,0))</f>
        <v>0</v>
      </c>
      <c r="AE278" s="9">
        <f>SUM(IFERROR(VLOOKUP($C:$C,Structure!$A:$AJ,AE$1,0)*$D278,0),IFERROR(VLOOKUP($E:$E,Structure!$A:$AJ,AE$1,0)*$F278,0),IFERROR(VLOOKUP($G:$G,Structure!$A:$AJ,AE$1,0)*$H278,0))</f>
        <v>0</v>
      </c>
      <c r="AF278" s="9">
        <f>SUM(IFERROR(VLOOKUP($C:$C,Structure!$A:$AJ,AF$1,0)*$D278,0),IFERROR(VLOOKUP($E:$E,Structure!$A:$AJ,AF$1,0)*$F278,0),IFERROR(VLOOKUP($G:$G,Structure!$A:$AJ,AF$1,0)*$H278,0))</f>
        <v>0</v>
      </c>
      <c r="AG278" s="9">
        <f>SUM(IFERROR(VLOOKUP($C:$C,Structure!$A:$AJ,AG$1,0)*$D278,0),IFERROR(VLOOKUP($E:$E,Structure!$A:$AJ,AG$1,0)*$F278,0),IFERROR(VLOOKUP($G:$G,Structure!$A:$AJ,AG$1,0)*$H278,0))</f>
        <v>0</v>
      </c>
      <c r="AH278" s="9">
        <f>SUM(IFERROR(VLOOKUP($C:$C,Structure!$A:$AJ,AH$1,0)*$D278,0),IFERROR(VLOOKUP($E:$E,Structure!$A:$AJ,AH$1,0)*$F278,0),IFERROR(VLOOKUP($G:$G,Structure!$A:$AJ,AH$1,0)*$H278,0))</f>
        <v>0</v>
      </c>
      <c r="AI278" s="9">
        <f>SUM(IFERROR(VLOOKUP($C:$C,Structure!$A:$AJ,AI$1,0)*$D278,0),IFERROR(VLOOKUP($E:$E,Structure!$A:$AJ,AI$1,0)*$F278,0),IFERROR(VLOOKUP($G:$G,Structure!$A:$AJ,AI$1,0)*$H278,0))</f>
        <v>0</v>
      </c>
      <c r="AJ278" s="9">
        <f>SUM(IFERROR(VLOOKUP($C:$C,Structure!$A:$AJ,AJ$1,0)*$D278,0),IFERROR(VLOOKUP($E:$E,Structure!$A:$AJ,AJ$1,0)*$F278,0),IFERROR(VLOOKUP($G:$G,Structure!$A:$AJ,AJ$1,0)*$H278,0))</f>
        <v>0</v>
      </c>
      <c r="AK278" s="9">
        <f>SUM(IFERROR(VLOOKUP($C:$C,Structure!$A:$AJ,AK$1,0)*$D278,0),IFERROR(VLOOKUP($E:$E,Structure!$A:$AJ,AK$1,0)*$F278,0),IFERROR(VLOOKUP($G:$G,Structure!$A:$AJ,AK$1,0)*$H278,0))</f>
        <v>0</v>
      </c>
      <c r="AL278" s="9">
        <f>SUM(IFERROR(VLOOKUP($C:$C,Structure!$A:$AJ,AL$1,0)*$D278,0),IFERROR(VLOOKUP($E:$E,Structure!$A:$AJ,AL$1,0)*$F278,0),IFERROR(VLOOKUP($G:$G,Structure!$A:$AJ,AL$1,0)*$H278,0))</f>
        <v>0</v>
      </c>
      <c r="AM278" s="9">
        <f>SUM(IFERROR(VLOOKUP($C:$C,Structure!$A:$AJ,AM$1,0)*$D278,0),IFERROR(VLOOKUP($E:$E,Structure!$A:$AJ,AM$1,0)*$F278,0),IFERROR(VLOOKUP($G:$G,Structure!$A:$AJ,AM$1,0)*$H278,0))</f>
        <v>0</v>
      </c>
      <c r="AN278" s="9">
        <f>SUM(IFERROR(VLOOKUP($C:$C,Structure!$A:$AJ,AN$1,0)*$D278,0),IFERROR(VLOOKUP($E:$E,Structure!$A:$AJ,AN$1,0)*$F278,0),IFERROR(VLOOKUP($G:$G,Structure!$A:$AJ,AN$1,0)*$H278,0))</f>
        <v>0</v>
      </c>
      <c r="AO278" s="9">
        <f>SUM(IFERROR(VLOOKUP($C:$C,Structure!$A:$AJ,AO$1,0)*$D278,0),IFERROR(VLOOKUP($E:$E,Structure!$A:$AJ,AO$1,0)*$F278,0),IFERROR(VLOOKUP($G:$G,Structure!$A:$AJ,AO$1,0)*$H278,0))</f>
        <v>0</v>
      </c>
      <c r="AP278" s="9">
        <f>SUM(IFERROR(VLOOKUP($C:$C,Structure!$A:$AJ,AP$1,0)*$D278,0),IFERROR(VLOOKUP($E:$E,Structure!$A:$AJ,AP$1,0)*$F278,0),IFERROR(VLOOKUP($G:$G,Structure!$A:$AJ,AP$1,0)*$H278,0))</f>
        <v>0</v>
      </c>
      <c r="AQ278" s="9">
        <f>SUM(IFERROR(VLOOKUP($C:$C,Structure!$A:$AJ,AQ$1,0)*$D278,0),IFERROR(VLOOKUP($E:$E,Structure!$A:$AJ,AQ$1,0)*$F278,0),IFERROR(VLOOKUP($G:$G,Structure!$A:$AJ,AQ$1,0)*$H278,0))</f>
        <v>0</v>
      </c>
      <c r="AR278" s="21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4">
        <f t="shared" si="267"/>
        <v>0</v>
      </c>
      <c r="CE278" s="4">
        <f t="shared" si="268"/>
        <v>-236</v>
      </c>
      <c r="CF278" s="4">
        <f t="shared" si="269"/>
        <v>4</v>
      </c>
      <c r="CG278" s="4">
        <f t="shared" si="270"/>
        <v>11</v>
      </c>
      <c r="CH278" s="4">
        <f t="shared" si="271"/>
        <v>-7</v>
      </c>
      <c r="CI278" s="4">
        <f t="shared" si="272"/>
        <v>98</v>
      </c>
      <c r="CJ278" s="4">
        <f t="shared" si="273"/>
        <v>-391</v>
      </c>
      <c r="CK278" s="4">
        <f t="shared" si="274"/>
        <v>-57</v>
      </c>
      <c r="CL278" s="4">
        <f t="shared" si="275"/>
        <v>0</v>
      </c>
      <c r="CM278" s="4">
        <f t="shared" si="276"/>
        <v>6</v>
      </c>
      <c r="CN278" s="4">
        <f t="shared" si="277"/>
        <v>-278</v>
      </c>
      <c r="CO278" s="4">
        <f t="shared" si="278"/>
        <v>0</v>
      </c>
      <c r="CP278" s="4">
        <f t="shared" si="279"/>
        <v>-21</v>
      </c>
      <c r="CQ278" s="4">
        <f t="shared" si="280"/>
        <v>-718</v>
      </c>
      <c r="CR278" s="4">
        <f t="shared" si="281"/>
        <v>12</v>
      </c>
      <c r="CS278" s="4">
        <f t="shared" si="282"/>
        <v>-53</v>
      </c>
      <c r="CT278" s="4">
        <f t="shared" si="283"/>
        <v>0</v>
      </c>
      <c r="CU278" s="4">
        <f t="shared" si="284"/>
        <v>0</v>
      </c>
      <c r="CV278" s="4">
        <f t="shared" si="285"/>
        <v>0</v>
      </c>
      <c r="CW278" s="4">
        <f t="shared" si="286"/>
        <v>0</v>
      </c>
      <c r="CX278" s="4">
        <f t="shared" si="287"/>
        <v>-799</v>
      </c>
      <c r="CY278" s="4">
        <f t="shared" si="288"/>
        <v>0</v>
      </c>
      <c r="CZ278" s="4">
        <f t="shared" si="289"/>
        <v>0</v>
      </c>
      <c r="DA278" s="4">
        <f t="shared" si="290"/>
        <v>0</v>
      </c>
      <c r="DB278" s="4">
        <f t="shared" si="291"/>
        <v>0</v>
      </c>
      <c r="DC278" s="4">
        <f t="shared" si="292"/>
        <v>0</v>
      </c>
      <c r="DD278" s="4">
        <f t="shared" si="293"/>
        <v>0</v>
      </c>
      <c r="DE278" s="4">
        <f t="shared" si="294"/>
        <v>0</v>
      </c>
      <c r="DF278" s="4">
        <f t="shared" si="295"/>
        <v>0</v>
      </c>
      <c r="DG278" s="4">
        <f t="shared" si="296"/>
        <v>0</v>
      </c>
      <c r="DH278" s="4">
        <f t="shared" si="297"/>
        <v>0</v>
      </c>
      <c r="DI278" s="4">
        <f t="shared" si="298"/>
        <v>0</v>
      </c>
      <c r="DJ278" s="4">
        <f t="shared" si="299"/>
        <v>0</v>
      </c>
      <c r="DK278" s="4">
        <f t="shared" si="300"/>
        <v>0</v>
      </c>
      <c r="DL278" s="4">
        <f t="shared" si="301"/>
        <v>0</v>
      </c>
    </row>
    <row r="279" spans="1:116" x14ac:dyDescent="0.25">
      <c r="A279" s="5">
        <v>46189</v>
      </c>
      <c r="B279" s="6">
        <v>6.2500000669388101E-2</v>
      </c>
      <c r="C279" s="3"/>
      <c r="D279" s="3"/>
      <c r="E279" s="3" t="s">
        <v>30</v>
      </c>
      <c r="F279" s="3">
        <v>8</v>
      </c>
      <c r="G279" s="3"/>
      <c r="H279" s="9"/>
      <c r="I279" s="9">
        <f>SUM(IFERROR(VLOOKUP($C:$C,Structure!$A:$AJ,I$1,0)*$D279,0),IFERROR(VLOOKUP($E:$E,Structure!$A:$AJ,I$1,0)*$F279,0),IFERROR(VLOOKUP($G:$G,Structure!$A:$AJ,I$1,0)*$H279,0))</f>
        <v>0</v>
      </c>
      <c r="J279" s="9">
        <f>SUM(IFERROR(VLOOKUP($C:$C,Structure!$A:$AJ,J$1,0)*$D279,0),IFERROR(VLOOKUP($E:$E,Structure!$A:$AJ,J$1,0)*$F279,0),IFERROR(VLOOKUP($G:$G,Structure!$A:$AJ,J$1,0)*$H279,0))</f>
        <v>0</v>
      </c>
      <c r="K279" s="9">
        <f>SUM(IFERROR(VLOOKUP($C:$C,Structure!$A:$AJ,K$1,0)*$D279,0),IFERROR(VLOOKUP($E:$E,Structure!$A:$AJ,K$1,0)*$F279,0),IFERROR(VLOOKUP($G:$G,Structure!$A:$AJ,K$1,0)*$H279,0))</f>
        <v>0</v>
      </c>
      <c r="L279" s="9">
        <f>SUM(IFERROR(VLOOKUP($C:$C,Structure!$A:$AJ,L$1,0)*$D279,0),IFERROR(VLOOKUP($E:$E,Structure!$A:$AJ,L$1,0)*$F279,0),IFERROR(VLOOKUP($G:$G,Structure!$A:$AJ,L$1,0)*$H279,0))</f>
        <v>0</v>
      </c>
      <c r="M279" s="9">
        <f>SUM(IFERROR(VLOOKUP($C:$C,Structure!$A:$AJ,M$1,0)*$D279,0),IFERROR(VLOOKUP($E:$E,Structure!$A:$AJ,M$1,0)*$F279,0),IFERROR(VLOOKUP($G:$G,Structure!$A:$AJ,M$1,0)*$H279,0))</f>
        <v>0</v>
      </c>
      <c r="N279" s="9">
        <f>SUM(IFERROR(VLOOKUP($C:$C,Structure!$A:$AJ,N$1,0)*$D279,0),IFERROR(VLOOKUP($E:$E,Structure!$A:$AJ,N$1,0)*$F279,0),IFERROR(VLOOKUP($G:$G,Structure!$A:$AJ,N$1,0)*$H279,0))</f>
        <v>0</v>
      </c>
      <c r="O279" s="9">
        <f>SUM(IFERROR(VLOOKUP($C:$C,Structure!$A:$AJ,O$1,0)*$D279,0),IFERROR(VLOOKUP($E:$E,Structure!$A:$AJ,O$1,0)*$F279,0),IFERROR(VLOOKUP($G:$G,Structure!$A:$AJ,O$1,0)*$H279,0))</f>
        <v>0</v>
      </c>
      <c r="P279" s="9">
        <f>SUM(IFERROR(VLOOKUP($C:$C,Structure!$A:$AJ,P$1,0)*$D279,0),IFERROR(VLOOKUP($E:$E,Structure!$A:$AJ,P$1,0)*$F279,0),IFERROR(VLOOKUP($G:$G,Structure!$A:$AJ,P$1,0)*$H279,0))</f>
        <v>0</v>
      </c>
      <c r="Q279" s="9">
        <f>SUM(IFERROR(VLOOKUP($C:$C,Structure!$A:$AJ,Q$1,0)*$D279,0),IFERROR(VLOOKUP($E:$E,Structure!$A:$AJ,Q$1,0)*$F279,0),IFERROR(VLOOKUP($G:$G,Structure!$A:$AJ,Q$1,0)*$H279,0))</f>
        <v>0</v>
      </c>
      <c r="R279" s="9">
        <f>SUM(IFERROR(VLOOKUP($C:$C,Structure!$A:$AJ,R$1,0)*$D279,0),IFERROR(VLOOKUP($E:$E,Structure!$A:$AJ,R$1,0)*$F279,0),IFERROR(VLOOKUP($G:$G,Structure!$A:$AJ,R$1,0)*$H279,0))</f>
        <v>0</v>
      </c>
      <c r="S279" s="9">
        <f>SUM(IFERROR(VLOOKUP($C:$C,Structure!$A:$AJ,S$1,0)*$D279,0),IFERROR(VLOOKUP($E:$E,Structure!$A:$AJ,S$1,0)*$F279,0),IFERROR(VLOOKUP($G:$G,Structure!$A:$AJ,S$1,0)*$H279,0))</f>
        <v>0</v>
      </c>
      <c r="T279" s="9">
        <f>SUM(IFERROR(VLOOKUP($C:$C,Structure!$A:$AJ,T$1,0)*$D279,0),IFERROR(VLOOKUP($E:$E,Structure!$A:$AJ,T$1,0)*$F279,0),IFERROR(VLOOKUP($G:$G,Structure!$A:$AJ,T$1,0)*$H279,0))</f>
        <v>0</v>
      </c>
      <c r="U279" s="9">
        <f>SUM(IFERROR(VLOOKUP($C:$C,Structure!$A:$AJ,U$1,0)*$D279,0),IFERROR(VLOOKUP($E:$E,Structure!$A:$AJ,U$1,0)*$F279,0),IFERROR(VLOOKUP($G:$G,Structure!$A:$AJ,U$1,0)*$H279,0))</f>
        <v>0</v>
      </c>
      <c r="V279" s="9">
        <f>SUM(IFERROR(VLOOKUP($C:$C,Structure!$A:$AJ,V$1,0)*$D279,0),IFERROR(VLOOKUP($E:$E,Structure!$A:$AJ,V$1,0)*$F279,0),IFERROR(VLOOKUP($G:$G,Structure!$A:$AJ,V$1,0)*$H279,0))</f>
        <v>8</v>
      </c>
      <c r="W279" s="9">
        <f>SUM(IFERROR(VLOOKUP($C:$C,Structure!$A:$AJ,W$1,0)*$D279,0),IFERROR(VLOOKUP($E:$E,Structure!$A:$AJ,W$1,0)*$F279,0),IFERROR(VLOOKUP($G:$G,Structure!$A:$AJ,W$1,0)*$H279,0))</f>
        <v>0</v>
      </c>
      <c r="X279" s="9">
        <f>SUM(IFERROR(VLOOKUP($C:$C,Structure!$A:$AJ,X$1,0)*$D279,0),IFERROR(VLOOKUP($E:$E,Structure!$A:$AJ,X$1,0)*$F279,0),IFERROR(VLOOKUP($G:$G,Structure!$A:$AJ,X$1,0)*$H279,0))</f>
        <v>0</v>
      </c>
      <c r="Y279" s="9">
        <f>SUM(IFERROR(VLOOKUP($C:$C,Structure!$A:$AJ,Y$1,0)*$D279,0),IFERROR(VLOOKUP($E:$E,Structure!$A:$AJ,Y$1,0)*$F279,0),IFERROR(VLOOKUP($G:$G,Structure!$A:$AJ,Y$1,0)*$H279,0))</f>
        <v>0</v>
      </c>
      <c r="Z279" s="9">
        <f>SUM(IFERROR(VLOOKUP($C:$C,Structure!$A:$AJ,Z$1,0)*$D279,0),IFERROR(VLOOKUP($E:$E,Structure!$A:$AJ,Z$1,0)*$F279,0),IFERROR(VLOOKUP($G:$G,Structure!$A:$AJ,Z$1,0)*$H279,0))</f>
        <v>0</v>
      </c>
      <c r="AA279" s="9">
        <f>SUM(IFERROR(VLOOKUP($C:$C,Structure!$A:$AJ,AA$1,0)*$D279,0),IFERROR(VLOOKUP($E:$E,Structure!$A:$AJ,AA$1,0)*$F279,0),IFERROR(VLOOKUP($G:$G,Structure!$A:$AJ,AA$1,0)*$H279,0))</f>
        <v>0</v>
      </c>
      <c r="AB279" s="9">
        <f>SUM(IFERROR(VLOOKUP($C:$C,Structure!$A:$AJ,AB$1,0)*$D279,0),IFERROR(VLOOKUP($E:$E,Structure!$A:$AJ,AB$1,0)*$F279,0),IFERROR(VLOOKUP($G:$G,Structure!$A:$AJ,AB$1,0)*$H279,0))</f>
        <v>0</v>
      </c>
      <c r="AC279" s="9">
        <f>SUM(IFERROR(VLOOKUP($C:$C,Structure!$A:$AJ,AC$1,0)*$D279,0),IFERROR(VLOOKUP($E:$E,Structure!$A:$AJ,AC$1,0)*$F279,0),IFERROR(VLOOKUP($G:$G,Structure!$A:$AJ,AC$1,0)*$H279,0))</f>
        <v>8</v>
      </c>
      <c r="AD279" s="9">
        <f>SUM(IFERROR(VLOOKUP($C:$C,Structure!$A:$AJ,AD$1,0)*$D279,0),IFERROR(VLOOKUP($E:$E,Structure!$A:$AJ,AD$1,0)*$F279,0),IFERROR(VLOOKUP($G:$G,Structure!$A:$AJ,AD$1,0)*$H279,0))</f>
        <v>0</v>
      </c>
      <c r="AE279" s="9">
        <f>SUM(IFERROR(VLOOKUP($C:$C,Structure!$A:$AJ,AE$1,0)*$D279,0),IFERROR(VLOOKUP($E:$E,Structure!$A:$AJ,AE$1,0)*$F279,0),IFERROR(VLOOKUP($G:$G,Structure!$A:$AJ,AE$1,0)*$H279,0))</f>
        <v>0</v>
      </c>
      <c r="AF279" s="9">
        <f>SUM(IFERROR(VLOOKUP($C:$C,Structure!$A:$AJ,AF$1,0)*$D279,0),IFERROR(VLOOKUP($E:$E,Structure!$A:$AJ,AF$1,0)*$F279,0),IFERROR(VLOOKUP($G:$G,Structure!$A:$AJ,AF$1,0)*$H279,0))</f>
        <v>0</v>
      </c>
      <c r="AG279" s="9">
        <f>SUM(IFERROR(VLOOKUP($C:$C,Structure!$A:$AJ,AG$1,0)*$D279,0),IFERROR(VLOOKUP($E:$E,Structure!$A:$AJ,AG$1,0)*$F279,0),IFERROR(VLOOKUP($G:$G,Structure!$A:$AJ,AG$1,0)*$H279,0))</f>
        <v>0</v>
      </c>
      <c r="AH279" s="9">
        <f>SUM(IFERROR(VLOOKUP($C:$C,Structure!$A:$AJ,AH$1,0)*$D279,0),IFERROR(VLOOKUP($E:$E,Structure!$A:$AJ,AH$1,0)*$F279,0),IFERROR(VLOOKUP($G:$G,Structure!$A:$AJ,AH$1,0)*$H279,0))</f>
        <v>0</v>
      </c>
      <c r="AI279" s="9">
        <f>SUM(IFERROR(VLOOKUP($C:$C,Structure!$A:$AJ,AI$1,0)*$D279,0),IFERROR(VLOOKUP($E:$E,Structure!$A:$AJ,AI$1,0)*$F279,0),IFERROR(VLOOKUP($G:$G,Structure!$A:$AJ,AI$1,0)*$H279,0))</f>
        <v>0</v>
      </c>
      <c r="AJ279" s="9">
        <f>SUM(IFERROR(VLOOKUP($C:$C,Structure!$A:$AJ,AJ$1,0)*$D279,0),IFERROR(VLOOKUP($E:$E,Structure!$A:$AJ,AJ$1,0)*$F279,0),IFERROR(VLOOKUP($G:$G,Structure!$A:$AJ,AJ$1,0)*$H279,0))</f>
        <v>0</v>
      </c>
      <c r="AK279" s="9">
        <f>SUM(IFERROR(VLOOKUP($C:$C,Structure!$A:$AJ,AK$1,0)*$D279,0),IFERROR(VLOOKUP($E:$E,Structure!$A:$AJ,AK$1,0)*$F279,0),IFERROR(VLOOKUP($G:$G,Structure!$A:$AJ,AK$1,0)*$H279,0))</f>
        <v>0</v>
      </c>
      <c r="AL279" s="9">
        <f>SUM(IFERROR(VLOOKUP($C:$C,Structure!$A:$AJ,AL$1,0)*$D279,0),IFERROR(VLOOKUP($E:$E,Structure!$A:$AJ,AL$1,0)*$F279,0),IFERROR(VLOOKUP($G:$G,Structure!$A:$AJ,AL$1,0)*$H279,0))</f>
        <v>0</v>
      </c>
      <c r="AM279" s="9">
        <f>SUM(IFERROR(VLOOKUP($C:$C,Structure!$A:$AJ,AM$1,0)*$D279,0),IFERROR(VLOOKUP($E:$E,Structure!$A:$AJ,AM$1,0)*$F279,0),IFERROR(VLOOKUP($G:$G,Structure!$A:$AJ,AM$1,0)*$H279,0))</f>
        <v>0</v>
      </c>
      <c r="AN279" s="9">
        <f>SUM(IFERROR(VLOOKUP($C:$C,Structure!$A:$AJ,AN$1,0)*$D279,0),IFERROR(VLOOKUP($E:$E,Structure!$A:$AJ,AN$1,0)*$F279,0),IFERROR(VLOOKUP($G:$G,Structure!$A:$AJ,AN$1,0)*$H279,0))</f>
        <v>0</v>
      </c>
      <c r="AO279" s="9">
        <f>SUM(IFERROR(VLOOKUP($C:$C,Structure!$A:$AJ,AO$1,0)*$D279,0),IFERROR(VLOOKUP($E:$E,Structure!$A:$AJ,AO$1,0)*$F279,0),IFERROR(VLOOKUP($G:$G,Structure!$A:$AJ,AO$1,0)*$H279,0))</f>
        <v>0</v>
      </c>
      <c r="AP279" s="9">
        <f>SUM(IFERROR(VLOOKUP($C:$C,Structure!$A:$AJ,AP$1,0)*$D279,0),IFERROR(VLOOKUP($E:$E,Structure!$A:$AJ,AP$1,0)*$F279,0),IFERROR(VLOOKUP($G:$G,Structure!$A:$AJ,AP$1,0)*$H279,0))</f>
        <v>0</v>
      </c>
      <c r="AQ279" s="9">
        <f>SUM(IFERROR(VLOOKUP($C:$C,Structure!$A:$AJ,AQ$1,0)*$D279,0),IFERROR(VLOOKUP($E:$E,Structure!$A:$AJ,AQ$1,0)*$F279,0),IFERROR(VLOOKUP($G:$G,Structure!$A:$AJ,AQ$1,0)*$H279,0))</f>
        <v>0</v>
      </c>
      <c r="AR279" s="21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4">
        <f t="shared" si="267"/>
        <v>0</v>
      </c>
      <c r="CE279" s="4">
        <f t="shared" si="268"/>
        <v>-236</v>
      </c>
      <c r="CF279" s="4">
        <f t="shared" si="269"/>
        <v>4</v>
      </c>
      <c r="CG279" s="4">
        <f t="shared" si="270"/>
        <v>11</v>
      </c>
      <c r="CH279" s="4">
        <f t="shared" si="271"/>
        <v>-7</v>
      </c>
      <c r="CI279" s="4">
        <f t="shared" si="272"/>
        <v>98</v>
      </c>
      <c r="CJ279" s="4">
        <f t="shared" si="273"/>
        <v>-391</v>
      </c>
      <c r="CK279" s="4">
        <f t="shared" si="274"/>
        <v>-57</v>
      </c>
      <c r="CL279" s="4">
        <f t="shared" si="275"/>
        <v>0</v>
      </c>
      <c r="CM279" s="4">
        <f t="shared" si="276"/>
        <v>6</v>
      </c>
      <c r="CN279" s="4">
        <f t="shared" si="277"/>
        <v>-278</v>
      </c>
      <c r="CO279" s="4">
        <f t="shared" si="278"/>
        <v>0</v>
      </c>
      <c r="CP279" s="4">
        <f t="shared" si="279"/>
        <v>-21</v>
      </c>
      <c r="CQ279" s="4">
        <f t="shared" si="280"/>
        <v>-726</v>
      </c>
      <c r="CR279" s="4">
        <f t="shared" si="281"/>
        <v>12</v>
      </c>
      <c r="CS279" s="4">
        <f t="shared" si="282"/>
        <v>-53</v>
      </c>
      <c r="CT279" s="4">
        <f t="shared" si="283"/>
        <v>0</v>
      </c>
      <c r="CU279" s="4">
        <f t="shared" si="284"/>
        <v>0</v>
      </c>
      <c r="CV279" s="4">
        <f t="shared" si="285"/>
        <v>0</v>
      </c>
      <c r="CW279" s="4">
        <f t="shared" si="286"/>
        <v>0</v>
      </c>
      <c r="CX279" s="4">
        <f t="shared" si="287"/>
        <v>-807</v>
      </c>
      <c r="CY279" s="4">
        <f t="shared" si="288"/>
        <v>0</v>
      </c>
      <c r="CZ279" s="4">
        <f t="shared" si="289"/>
        <v>0</v>
      </c>
      <c r="DA279" s="4">
        <f t="shared" si="290"/>
        <v>0</v>
      </c>
      <c r="DB279" s="4">
        <f t="shared" si="291"/>
        <v>0</v>
      </c>
      <c r="DC279" s="4">
        <f t="shared" si="292"/>
        <v>0</v>
      </c>
      <c r="DD279" s="4">
        <f t="shared" si="293"/>
        <v>0</v>
      </c>
      <c r="DE279" s="4">
        <f t="shared" si="294"/>
        <v>0</v>
      </c>
      <c r="DF279" s="4">
        <f t="shared" si="295"/>
        <v>0</v>
      </c>
      <c r="DG279" s="4">
        <f t="shared" si="296"/>
        <v>0</v>
      </c>
      <c r="DH279" s="4">
        <f t="shared" si="297"/>
        <v>0</v>
      </c>
      <c r="DI279" s="4">
        <f t="shared" si="298"/>
        <v>0</v>
      </c>
      <c r="DJ279" s="4">
        <f t="shared" si="299"/>
        <v>0</v>
      </c>
      <c r="DK279" s="4">
        <f t="shared" si="300"/>
        <v>0</v>
      </c>
      <c r="DL279" s="4">
        <f t="shared" si="301"/>
        <v>0</v>
      </c>
    </row>
    <row r="280" spans="1:116" x14ac:dyDescent="0.25">
      <c r="A280" s="5">
        <v>46189</v>
      </c>
      <c r="B280" s="6">
        <v>8.3333334005146753E-2</v>
      </c>
      <c r="C280" s="3"/>
      <c r="D280" s="3"/>
      <c r="E280" s="3" t="s">
        <v>49</v>
      </c>
      <c r="F280" s="3">
        <v>5</v>
      </c>
      <c r="G280" s="3"/>
      <c r="H280" s="9"/>
      <c r="I280" s="9">
        <f>SUM(IFERROR(VLOOKUP($C:$C,Structure!$A:$AJ,I$1,0)*$D280,0),IFERROR(VLOOKUP($E:$E,Structure!$A:$AJ,I$1,0)*$F280,0),IFERROR(VLOOKUP($G:$G,Structure!$A:$AJ,I$1,0)*$H280,0))</f>
        <v>0</v>
      </c>
      <c r="J280" s="9">
        <f>SUM(IFERROR(VLOOKUP($C:$C,Structure!$A:$AJ,J$1,0)*$D280,0),IFERROR(VLOOKUP($E:$E,Structure!$A:$AJ,J$1,0)*$F280,0),IFERROR(VLOOKUP($G:$G,Structure!$A:$AJ,J$1,0)*$H280,0))</f>
        <v>0</v>
      </c>
      <c r="K280" s="9">
        <f>SUM(IFERROR(VLOOKUP($C:$C,Structure!$A:$AJ,K$1,0)*$D280,0),IFERROR(VLOOKUP($E:$E,Structure!$A:$AJ,K$1,0)*$F280,0),IFERROR(VLOOKUP($G:$G,Structure!$A:$AJ,K$1,0)*$H280,0))</f>
        <v>0</v>
      </c>
      <c r="L280" s="9">
        <f>SUM(IFERROR(VLOOKUP($C:$C,Structure!$A:$AJ,L$1,0)*$D280,0),IFERROR(VLOOKUP($E:$E,Structure!$A:$AJ,L$1,0)*$F280,0),IFERROR(VLOOKUP($G:$G,Structure!$A:$AJ,L$1,0)*$H280,0))</f>
        <v>0</v>
      </c>
      <c r="M280" s="9">
        <f>SUM(IFERROR(VLOOKUP($C:$C,Structure!$A:$AJ,M$1,0)*$D280,0),IFERROR(VLOOKUP($E:$E,Structure!$A:$AJ,M$1,0)*$F280,0),IFERROR(VLOOKUP($G:$G,Structure!$A:$AJ,M$1,0)*$H280,0))</f>
        <v>0</v>
      </c>
      <c r="N280" s="9">
        <f>SUM(IFERROR(VLOOKUP($C:$C,Structure!$A:$AJ,N$1,0)*$D280,0),IFERROR(VLOOKUP($E:$E,Structure!$A:$AJ,N$1,0)*$F280,0),IFERROR(VLOOKUP($G:$G,Structure!$A:$AJ,N$1,0)*$H280,0))</f>
        <v>5</v>
      </c>
      <c r="O280" s="9">
        <f>SUM(IFERROR(VLOOKUP($C:$C,Structure!$A:$AJ,O$1,0)*$D280,0),IFERROR(VLOOKUP($E:$E,Structure!$A:$AJ,O$1,0)*$F280,0),IFERROR(VLOOKUP($G:$G,Structure!$A:$AJ,O$1,0)*$H280,0))</f>
        <v>0</v>
      </c>
      <c r="P280" s="9">
        <f>SUM(IFERROR(VLOOKUP($C:$C,Structure!$A:$AJ,P$1,0)*$D280,0),IFERROR(VLOOKUP($E:$E,Structure!$A:$AJ,P$1,0)*$F280,0),IFERROR(VLOOKUP($G:$G,Structure!$A:$AJ,P$1,0)*$H280,0))</f>
        <v>0</v>
      </c>
      <c r="Q280" s="9">
        <f>SUM(IFERROR(VLOOKUP($C:$C,Structure!$A:$AJ,Q$1,0)*$D280,0),IFERROR(VLOOKUP($E:$E,Structure!$A:$AJ,Q$1,0)*$F280,0),IFERROR(VLOOKUP($G:$G,Structure!$A:$AJ,Q$1,0)*$H280,0))</f>
        <v>0</v>
      </c>
      <c r="R280" s="9">
        <f>SUM(IFERROR(VLOOKUP($C:$C,Structure!$A:$AJ,R$1,0)*$D280,0),IFERROR(VLOOKUP($E:$E,Structure!$A:$AJ,R$1,0)*$F280,0),IFERROR(VLOOKUP($G:$G,Structure!$A:$AJ,R$1,0)*$H280,0))</f>
        <v>0</v>
      </c>
      <c r="S280" s="9">
        <f>SUM(IFERROR(VLOOKUP($C:$C,Structure!$A:$AJ,S$1,0)*$D280,0),IFERROR(VLOOKUP($E:$E,Structure!$A:$AJ,S$1,0)*$F280,0),IFERROR(VLOOKUP($G:$G,Structure!$A:$AJ,S$1,0)*$H280,0))</f>
        <v>0</v>
      </c>
      <c r="T280" s="9">
        <f>SUM(IFERROR(VLOOKUP($C:$C,Structure!$A:$AJ,T$1,0)*$D280,0),IFERROR(VLOOKUP($E:$E,Structure!$A:$AJ,T$1,0)*$F280,0),IFERROR(VLOOKUP($G:$G,Structure!$A:$AJ,T$1,0)*$H280,0))</f>
        <v>0</v>
      </c>
      <c r="U280" s="9">
        <f>SUM(IFERROR(VLOOKUP($C:$C,Structure!$A:$AJ,U$1,0)*$D280,0),IFERROR(VLOOKUP($E:$E,Structure!$A:$AJ,U$1,0)*$F280,0),IFERROR(VLOOKUP($G:$G,Structure!$A:$AJ,U$1,0)*$H280,0))</f>
        <v>0</v>
      </c>
      <c r="V280" s="9">
        <f>SUM(IFERROR(VLOOKUP($C:$C,Structure!$A:$AJ,V$1,0)*$D280,0),IFERROR(VLOOKUP($E:$E,Structure!$A:$AJ,V$1,0)*$F280,0),IFERROR(VLOOKUP($G:$G,Structure!$A:$AJ,V$1,0)*$H280,0))</f>
        <v>0</v>
      </c>
      <c r="W280" s="9">
        <f>SUM(IFERROR(VLOOKUP($C:$C,Structure!$A:$AJ,W$1,0)*$D280,0),IFERROR(VLOOKUP($E:$E,Structure!$A:$AJ,W$1,0)*$F280,0),IFERROR(VLOOKUP($G:$G,Structure!$A:$AJ,W$1,0)*$H280,0))</f>
        <v>0</v>
      </c>
      <c r="X280" s="9">
        <f>SUM(IFERROR(VLOOKUP($C:$C,Structure!$A:$AJ,X$1,0)*$D280,0),IFERROR(VLOOKUP($E:$E,Structure!$A:$AJ,X$1,0)*$F280,0),IFERROR(VLOOKUP($G:$G,Structure!$A:$AJ,X$1,0)*$H280,0))</f>
        <v>5</v>
      </c>
      <c r="Y280" s="9">
        <f>SUM(IFERROR(VLOOKUP($C:$C,Structure!$A:$AJ,Y$1,0)*$D280,0),IFERROR(VLOOKUP($E:$E,Structure!$A:$AJ,Y$1,0)*$F280,0),IFERROR(VLOOKUP($G:$G,Structure!$A:$AJ,Y$1,0)*$H280,0))</f>
        <v>0</v>
      </c>
      <c r="Z280" s="9">
        <f>SUM(IFERROR(VLOOKUP($C:$C,Structure!$A:$AJ,Z$1,0)*$D280,0),IFERROR(VLOOKUP($E:$E,Structure!$A:$AJ,Z$1,0)*$F280,0),IFERROR(VLOOKUP($G:$G,Structure!$A:$AJ,Z$1,0)*$H280,0))</f>
        <v>0</v>
      </c>
      <c r="AA280" s="9">
        <f>SUM(IFERROR(VLOOKUP($C:$C,Structure!$A:$AJ,AA$1,0)*$D280,0),IFERROR(VLOOKUP($E:$E,Structure!$A:$AJ,AA$1,0)*$F280,0),IFERROR(VLOOKUP($G:$G,Structure!$A:$AJ,AA$1,0)*$H280,0))</f>
        <v>0</v>
      </c>
      <c r="AB280" s="9">
        <f>SUM(IFERROR(VLOOKUP($C:$C,Structure!$A:$AJ,AB$1,0)*$D280,0),IFERROR(VLOOKUP($E:$E,Structure!$A:$AJ,AB$1,0)*$F280,0),IFERROR(VLOOKUP($G:$G,Structure!$A:$AJ,AB$1,0)*$H280,0))</f>
        <v>0</v>
      </c>
      <c r="AC280" s="9">
        <f>SUM(IFERROR(VLOOKUP($C:$C,Structure!$A:$AJ,AC$1,0)*$D280,0),IFERROR(VLOOKUP($E:$E,Structure!$A:$AJ,AC$1,0)*$F280,0),IFERROR(VLOOKUP($G:$G,Structure!$A:$AJ,AC$1,0)*$H280,0))</f>
        <v>0</v>
      </c>
      <c r="AD280" s="9">
        <f>SUM(IFERROR(VLOOKUP($C:$C,Structure!$A:$AJ,AD$1,0)*$D280,0),IFERROR(VLOOKUP($E:$E,Structure!$A:$AJ,AD$1,0)*$F280,0),IFERROR(VLOOKUP($G:$G,Structure!$A:$AJ,AD$1,0)*$H280,0))</f>
        <v>0</v>
      </c>
      <c r="AE280" s="9">
        <f>SUM(IFERROR(VLOOKUP($C:$C,Structure!$A:$AJ,AE$1,0)*$D280,0),IFERROR(VLOOKUP($E:$E,Structure!$A:$AJ,AE$1,0)*$F280,0),IFERROR(VLOOKUP($G:$G,Structure!$A:$AJ,AE$1,0)*$H280,0))</f>
        <v>0</v>
      </c>
      <c r="AF280" s="9">
        <f>SUM(IFERROR(VLOOKUP($C:$C,Structure!$A:$AJ,AF$1,0)*$D280,0),IFERROR(VLOOKUP($E:$E,Structure!$A:$AJ,AF$1,0)*$F280,0),IFERROR(VLOOKUP($G:$G,Structure!$A:$AJ,AF$1,0)*$H280,0))</f>
        <v>0</v>
      </c>
      <c r="AG280" s="9">
        <f>SUM(IFERROR(VLOOKUP($C:$C,Structure!$A:$AJ,AG$1,0)*$D280,0),IFERROR(VLOOKUP($E:$E,Structure!$A:$AJ,AG$1,0)*$F280,0),IFERROR(VLOOKUP($G:$G,Structure!$A:$AJ,AG$1,0)*$H280,0))</f>
        <v>0</v>
      </c>
      <c r="AH280" s="9">
        <f>SUM(IFERROR(VLOOKUP($C:$C,Structure!$A:$AJ,AH$1,0)*$D280,0),IFERROR(VLOOKUP($E:$E,Structure!$A:$AJ,AH$1,0)*$F280,0),IFERROR(VLOOKUP($G:$G,Structure!$A:$AJ,AH$1,0)*$H280,0))</f>
        <v>0</v>
      </c>
      <c r="AI280" s="9">
        <f>SUM(IFERROR(VLOOKUP($C:$C,Structure!$A:$AJ,AI$1,0)*$D280,0),IFERROR(VLOOKUP($E:$E,Structure!$A:$AJ,AI$1,0)*$F280,0),IFERROR(VLOOKUP($G:$G,Structure!$A:$AJ,AI$1,0)*$H280,0))</f>
        <v>0</v>
      </c>
      <c r="AJ280" s="9">
        <f>SUM(IFERROR(VLOOKUP($C:$C,Structure!$A:$AJ,AJ$1,0)*$D280,0),IFERROR(VLOOKUP($E:$E,Structure!$A:$AJ,AJ$1,0)*$F280,0),IFERROR(VLOOKUP($G:$G,Structure!$A:$AJ,AJ$1,0)*$H280,0))</f>
        <v>0</v>
      </c>
      <c r="AK280" s="9">
        <f>SUM(IFERROR(VLOOKUP($C:$C,Structure!$A:$AJ,AK$1,0)*$D280,0),IFERROR(VLOOKUP($E:$E,Structure!$A:$AJ,AK$1,0)*$F280,0),IFERROR(VLOOKUP($G:$G,Structure!$A:$AJ,AK$1,0)*$H280,0))</f>
        <v>0</v>
      </c>
      <c r="AL280" s="9">
        <f>SUM(IFERROR(VLOOKUP($C:$C,Structure!$A:$AJ,AL$1,0)*$D280,0),IFERROR(VLOOKUP($E:$E,Structure!$A:$AJ,AL$1,0)*$F280,0),IFERROR(VLOOKUP($G:$G,Structure!$A:$AJ,AL$1,0)*$H280,0))</f>
        <v>0</v>
      </c>
      <c r="AM280" s="9">
        <f>SUM(IFERROR(VLOOKUP($C:$C,Structure!$A:$AJ,AM$1,0)*$D280,0),IFERROR(VLOOKUP($E:$E,Structure!$A:$AJ,AM$1,0)*$F280,0),IFERROR(VLOOKUP($G:$G,Structure!$A:$AJ,AM$1,0)*$H280,0))</f>
        <v>0</v>
      </c>
      <c r="AN280" s="9">
        <f>SUM(IFERROR(VLOOKUP($C:$C,Structure!$A:$AJ,AN$1,0)*$D280,0),IFERROR(VLOOKUP($E:$E,Structure!$A:$AJ,AN$1,0)*$F280,0),IFERROR(VLOOKUP($G:$G,Structure!$A:$AJ,AN$1,0)*$H280,0))</f>
        <v>0</v>
      </c>
      <c r="AO280" s="9">
        <f>SUM(IFERROR(VLOOKUP($C:$C,Structure!$A:$AJ,AO$1,0)*$D280,0),IFERROR(VLOOKUP($E:$E,Structure!$A:$AJ,AO$1,0)*$F280,0),IFERROR(VLOOKUP($G:$G,Structure!$A:$AJ,AO$1,0)*$H280,0))</f>
        <v>0</v>
      </c>
      <c r="AP280" s="9">
        <f>SUM(IFERROR(VLOOKUP($C:$C,Structure!$A:$AJ,AP$1,0)*$D280,0),IFERROR(VLOOKUP($E:$E,Structure!$A:$AJ,AP$1,0)*$F280,0),IFERROR(VLOOKUP($G:$G,Structure!$A:$AJ,AP$1,0)*$H280,0))</f>
        <v>0</v>
      </c>
      <c r="AQ280" s="9">
        <f>SUM(IFERROR(VLOOKUP($C:$C,Structure!$A:$AJ,AQ$1,0)*$D280,0),IFERROR(VLOOKUP($E:$E,Structure!$A:$AJ,AQ$1,0)*$F280,0),IFERROR(VLOOKUP($G:$G,Structure!$A:$AJ,AQ$1,0)*$H280,0))</f>
        <v>0</v>
      </c>
      <c r="AR280" s="21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4">
        <f t="shared" si="267"/>
        <v>0</v>
      </c>
      <c r="CE280" s="4">
        <f t="shared" si="268"/>
        <v>-236</v>
      </c>
      <c r="CF280" s="4">
        <f t="shared" si="269"/>
        <v>4</v>
      </c>
      <c r="CG280" s="4">
        <f t="shared" si="270"/>
        <v>11</v>
      </c>
      <c r="CH280" s="4">
        <f t="shared" si="271"/>
        <v>-7</v>
      </c>
      <c r="CI280" s="4">
        <f t="shared" si="272"/>
        <v>93</v>
      </c>
      <c r="CJ280" s="4">
        <f t="shared" si="273"/>
        <v>-391</v>
      </c>
      <c r="CK280" s="4">
        <f t="shared" si="274"/>
        <v>-57</v>
      </c>
      <c r="CL280" s="4">
        <f t="shared" si="275"/>
        <v>0</v>
      </c>
      <c r="CM280" s="4">
        <f t="shared" si="276"/>
        <v>6</v>
      </c>
      <c r="CN280" s="4">
        <f t="shared" si="277"/>
        <v>-278</v>
      </c>
      <c r="CO280" s="4">
        <f t="shared" si="278"/>
        <v>0</v>
      </c>
      <c r="CP280" s="4">
        <f t="shared" si="279"/>
        <v>-21</v>
      </c>
      <c r="CQ280" s="4">
        <f t="shared" si="280"/>
        <v>-726</v>
      </c>
      <c r="CR280" s="4">
        <f t="shared" si="281"/>
        <v>12</v>
      </c>
      <c r="CS280" s="4">
        <f t="shared" si="282"/>
        <v>-58</v>
      </c>
      <c r="CT280" s="4">
        <f t="shared" si="283"/>
        <v>0</v>
      </c>
      <c r="CU280" s="4">
        <f t="shared" si="284"/>
        <v>0</v>
      </c>
      <c r="CV280" s="4">
        <f t="shared" si="285"/>
        <v>0</v>
      </c>
      <c r="CW280" s="4">
        <f t="shared" si="286"/>
        <v>0</v>
      </c>
      <c r="CX280" s="4">
        <f t="shared" si="287"/>
        <v>-807</v>
      </c>
      <c r="CY280" s="4">
        <f t="shared" si="288"/>
        <v>0</v>
      </c>
      <c r="CZ280" s="4">
        <f t="shared" si="289"/>
        <v>0</v>
      </c>
      <c r="DA280" s="4">
        <f t="shared" si="290"/>
        <v>0</v>
      </c>
      <c r="DB280" s="4">
        <f t="shared" si="291"/>
        <v>0</v>
      </c>
      <c r="DC280" s="4">
        <f t="shared" si="292"/>
        <v>0</v>
      </c>
      <c r="DD280" s="4">
        <f t="shared" si="293"/>
        <v>0</v>
      </c>
      <c r="DE280" s="4">
        <f t="shared" si="294"/>
        <v>0</v>
      </c>
      <c r="DF280" s="4">
        <f t="shared" si="295"/>
        <v>0</v>
      </c>
      <c r="DG280" s="4">
        <f t="shared" si="296"/>
        <v>0</v>
      </c>
      <c r="DH280" s="4">
        <f t="shared" si="297"/>
        <v>0</v>
      </c>
      <c r="DI280" s="4">
        <f t="shared" si="298"/>
        <v>0</v>
      </c>
      <c r="DJ280" s="4">
        <f t="shared" si="299"/>
        <v>0</v>
      </c>
      <c r="DK280" s="4">
        <f t="shared" si="300"/>
        <v>0</v>
      </c>
      <c r="DL280" s="4">
        <f t="shared" si="301"/>
        <v>0</v>
      </c>
    </row>
    <row r="281" spans="1:116" x14ac:dyDescent="0.25">
      <c r="A281" s="5">
        <v>46189</v>
      </c>
      <c r="B281" s="6">
        <v>0.10416666734090541</v>
      </c>
      <c r="C281" s="3"/>
      <c r="D281" s="3"/>
      <c r="E281" s="3" t="s">
        <v>57</v>
      </c>
      <c r="F281" s="3">
        <v>8</v>
      </c>
      <c r="G281" s="3"/>
      <c r="H281" s="9"/>
      <c r="I281" s="9">
        <f>SUM(IFERROR(VLOOKUP($C:$C,Structure!$A:$AJ,I$1,0)*$D281,0),IFERROR(VLOOKUP($E:$E,Structure!$A:$AJ,I$1,0)*$F281,0),IFERROR(VLOOKUP($G:$G,Structure!$A:$AJ,I$1,0)*$H281,0))</f>
        <v>0</v>
      </c>
      <c r="J281" s="9">
        <f>SUM(IFERROR(VLOOKUP($C:$C,Structure!$A:$AJ,J$1,0)*$D281,0),IFERROR(VLOOKUP($E:$E,Structure!$A:$AJ,J$1,0)*$F281,0),IFERROR(VLOOKUP($G:$G,Structure!$A:$AJ,J$1,0)*$H281,0))</f>
        <v>0</v>
      </c>
      <c r="K281" s="9">
        <f>SUM(IFERROR(VLOOKUP($C:$C,Structure!$A:$AJ,K$1,0)*$D281,0),IFERROR(VLOOKUP($E:$E,Structure!$A:$AJ,K$1,0)*$F281,0),IFERROR(VLOOKUP($G:$G,Structure!$A:$AJ,K$1,0)*$H281,0))</f>
        <v>0</v>
      </c>
      <c r="L281" s="9">
        <f>SUM(IFERROR(VLOOKUP($C:$C,Structure!$A:$AJ,L$1,0)*$D281,0),IFERROR(VLOOKUP($E:$E,Structure!$A:$AJ,L$1,0)*$F281,0),IFERROR(VLOOKUP($G:$G,Structure!$A:$AJ,L$1,0)*$H281,0))</f>
        <v>0</v>
      </c>
      <c r="M281" s="9">
        <f>SUM(IFERROR(VLOOKUP($C:$C,Structure!$A:$AJ,M$1,0)*$D281,0),IFERROR(VLOOKUP($E:$E,Structure!$A:$AJ,M$1,0)*$F281,0),IFERROR(VLOOKUP($G:$G,Structure!$A:$AJ,M$1,0)*$H281,0))</f>
        <v>0</v>
      </c>
      <c r="N281" s="9">
        <f>SUM(IFERROR(VLOOKUP($C:$C,Structure!$A:$AJ,N$1,0)*$D281,0),IFERROR(VLOOKUP($E:$E,Structure!$A:$AJ,N$1,0)*$F281,0),IFERROR(VLOOKUP($G:$G,Structure!$A:$AJ,N$1,0)*$H281,0))</f>
        <v>0</v>
      </c>
      <c r="O281" s="9">
        <f>SUM(IFERROR(VLOOKUP($C:$C,Structure!$A:$AJ,O$1,0)*$D281,0),IFERROR(VLOOKUP($E:$E,Structure!$A:$AJ,O$1,0)*$F281,0),IFERROR(VLOOKUP($G:$G,Structure!$A:$AJ,O$1,0)*$H281,0))</f>
        <v>8</v>
      </c>
      <c r="P281" s="9">
        <f>SUM(IFERROR(VLOOKUP($C:$C,Structure!$A:$AJ,P$1,0)*$D281,0),IFERROR(VLOOKUP($E:$E,Structure!$A:$AJ,P$1,0)*$F281,0),IFERROR(VLOOKUP($G:$G,Structure!$A:$AJ,P$1,0)*$H281,0))</f>
        <v>0</v>
      </c>
      <c r="Q281" s="9">
        <f>SUM(IFERROR(VLOOKUP($C:$C,Structure!$A:$AJ,Q$1,0)*$D281,0),IFERROR(VLOOKUP($E:$E,Structure!$A:$AJ,Q$1,0)*$F281,0),IFERROR(VLOOKUP($G:$G,Structure!$A:$AJ,Q$1,0)*$H281,0))</f>
        <v>0</v>
      </c>
      <c r="R281" s="9">
        <f>SUM(IFERROR(VLOOKUP($C:$C,Structure!$A:$AJ,R$1,0)*$D281,0),IFERROR(VLOOKUP($E:$E,Structure!$A:$AJ,R$1,0)*$F281,0),IFERROR(VLOOKUP($G:$G,Structure!$A:$AJ,R$1,0)*$H281,0))</f>
        <v>0</v>
      </c>
      <c r="S281" s="9">
        <f>SUM(IFERROR(VLOOKUP($C:$C,Structure!$A:$AJ,S$1,0)*$D281,0),IFERROR(VLOOKUP($E:$E,Structure!$A:$AJ,S$1,0)*$F281,0),IFERROR(VLOOKUP($G:$G,Structure!$A:$AJ,S$1,0)*$H281,0))</f>
        <v>8</v>
      </c>
      <c r="T281" s="9">
        <f>SUM(IFERROR(VLOOKUP($C:$C,Structure!$A:$AJ,T$1,0)*$D281,0),IFERROR(VLOOKUP($E:$E,Structure!$A:$AJ,T$1,0)*$F281,0),IFERROR(VLOOKUP($G:$G,Structure!$A:$AJ,T$1,0)*$H281,0))</f>
        <v>0</v>
      </c>
      <c r="U281" s="9">
        <f>SUM(IFERROR(VLOOKUP($C:$C,Structure!$A:$AJ,U$1,0)*$D281,0),IFERROR(VLOOKUP($E:$E,Structure!$A:$AJ,U$1,0)*$F281,0),IFERROR(VLOOKUP($G:$G,Structure!$A:$AJ,U$1,0)*$H281,0))</f>
        <v>0</v>
      </c>
      <c r="V281" s="9">
        <f>SUM(IFERROR(VLOOKUP($C:$C,Structure!$A:$AJ,V$1,0)*$D281,0),IFERROR(VLOOKUP($E:$E,Structure!$A:$AJ,V$1,0)*$F281,0),IFERROR(VLOOKUP($G:$G,Structure!$A:$AJ,V$1,0)*$H281,0))</f>
        <v>0</v>
      </c>
      <c r="W281" s="9">
        <f>SUM(IFERROR(VLOOKUP($C:$C,Structure!$A:$AJ,W$1,0)*$D281,0),IFERROR(VLOOKUP($E:$E,Structure!$A:$AJ,W$1,0)*$F281,0),IFERROR(VLOOKUP($G:$G,Structure!$A:$AJ,W$1,0)*$H281,0))</f>
        <v>0</v>
      </c>
      <c r="X281" s="9">
        <f>SUM(IFERROR(VLOOKUP($C:$C,Structure!$A:$AJ,X$1,0)*$D281,0),IFERROR(VLOOKUP($E:$E,Structure!$A:$AJ,X$1,0)*$F281,0),IFERROR(VLOOKUP($G:$G,Structure!$A:$AJ,X$1,0)*$H281,0))</f>
        <v>0</v>
      </c>
      <c r="Y281" s="9">
        <f>SUM(IFERROR(VLOOKUP($C:$C,Structure!$A:$AJ,Y$1,0)*$D281,0),IFERROR(VLOOKUP($E:$E,Structure!$A:$AJ,Y$1,0)*$F281,0),IFERROR(VLOOKUP($G:$G,Structure!$A:$AJ,Y$1,0)*$H281,0))</f>
        <v>0</v>
      </c>
      <c r="Z281" s="9">
        <f>SUM(IFERROR(VLOOKUP($C:$C,Structure!$A:$AJ,Z$1,0)*$D281,0),IFERROR(VLOOKUP($E:$E,Structure!$A:$AJ,Z$1,0)*$F281,0),IFERROR(VLOOKUP($G:$G,Structure!$A:$AJ,Z$1,0)*$H281,0))</f>
        <v>0</v>
      </c>
      <c r="AA281" s="9">
        <f>SUM(IFERROR(VLOOKUP($C:$C,Structure!$A:$AJ,AA$1,0)*$D281,0),IFERROR(VLOOKUP($E:$E,Structure!$A:$AJ,AA$1,0)*$F281,0),IFERROR(VLOOKUP($G:$G,Structure!$A:$AJ,AA$1,0)*$H281,0))</f>
        <v>0</v>
      </c>
      <c r="AB281" s="9">
        <f>SUM(IFERROR(VLOOKUP($C:$C,Structure!$A:$AJ,AB$1,0)*$D281,0),IFERROR(VLOOKUP($E:$E,Structure!$A:$AJ,AB$1,0)*$F281,0),IFERROR(VLOOKUP($G:$G,Structure!$A:$AJ,AB$1,0)*$H281,0))</f>
        <v>0</v>
      </c>
      <c r="AC281" s="9">
        <f>SUM(IFERROR(VLOOKUP($C:$C,Structure!$A:$AJ,AC$1,0)*$D281,0),IFERROR(VLOOKUP($E:$E,Structure!$A:$AJ,AC$1,0)*$F281,0),IFERROR(VLOOKUP($G:$G,Structure!$A:$AJ,AC$1,0)*$H281,0))</f>
        <v>0</v>
      </c>
      <c r="AD281" s="9">
        <f>SUM(IFERROR(VLOOKUP($C:$C,Structure!$A:$AJ,AD$1,0)*$D281,0),IFERROR(VLOOKUP($E:$E,Structure!$A:$AJ,AD$1,0)*$F281,0),IFERROR(VLOOKUP($G:$G,Structure!$A:$AJ,AD$1,0)*$H281,0))</f>
        <v>0</v>
      </c>
      <c r="AE281" s="9">
        <f>SUM(IFERROR(VLOOKUP($C:$C,Structure!$A:$AJ,AE$1,0)*$D281,0),IFERROR(VLOOKUP($E:$E,Structure!$A:$AJ,AE$1,0)*$F281,0),IFERROR(VLOOKUP($G:$G,Structure!$A:$AJ,AE$1,0)*$H281,0))</f>
        <v>0</v>
      </c>
      <c r="AF281" s="9">
        <f>SUM(IFERROR(VLOOKUP($C:$C,Structure!$A:$AJ,AF$1,0)*$D281,0),IFERROR(VLOOKUP($E:$E,Structure!$A:$AJ,AF$1,0)*$F281,0),IFERROR(VLOOKUP($G:$G,Structure!$A:$AJ,AF$1,0)*$H281,0))</f>
        <v>0</v>
      </c>
      <c r="AG281" s="9">
        <f>SUM(IFERROR(VLOOKUP($C:$C,Structure!$A:$AJ,AG$1,0)*$D281,0),IFERROR(VLOOKUP($E:$E,Structure!$A:$AJ,AG$1,0)*$F281,0),IFERROR(VLOOKUP($G:$G,Structure!$A:$AJ,AG$1,0)*$H281,0))</f>
        <v>0</v>
      </c>
      <c r="AH281" s="9">
        <f>SUM(IFERROR(VLOOKUP($C:$C,Structure!$A:$AJ,AH$1,0)*$D281,0),IFERROR(VLOOKUP($E:$E,Structure!$A:$AJ,AH$1,0)*$F281,0),IFERROR(VLOOKUP($G:$G,Structure!$A:$AJ,AH$1,0)*$H281,0))</f>
        <v>0</v>
      </c>
      <c r="AI281" s="9">
        <f>SUM(IFERROR(VLOOKUP($C:$C,Structure!$A:$AJ,AI$1,0)*$D281,0),IFERROR(VLOOKUP($E:$E,Structure!$A:$AJ,AI$1,0)*$F281,0),IFERROR(VLOOKUP($G:$G,Structure!$A:$AJ,AI$1,0)*$H281,0))</f>
        <v>0</v>
      </c>
      <c r="AJ281" s="9">
        <f>SUM(IFERROR(VLOOKUP($C:$C,Structure!$A:$AJ,AJ$1,0)*$D281,0),IFERROR(VLOOKUP($E:$E,Structure!$A:$AJ,AJ$1,0)*$F281,0),IFERROR(VLOOKUP($G:$G,Structure!$A:$AJ,AJ$1,0)*$H281,0))</f>
        <v>0</v>
      </c>
      <c r="AK281" s="9">
        <f>SUM(IFERROR(VLOOKUP($C:$C,Structure!$A:$AJ,AK$1,0)*$D281,0),IFERROR(VLOOKUP($E:$E,Structure!$A:$AJ,AK$1,0)*$F281,0),IFERROR(VLOOKUP($G:$G,Structure!$A:$AJ,AK$1,0)*$H281,0))</f>
        <v>0</v>
      </c>
      <c r="AL281" s="9">
        <f>SUM(IFERROR(VLOOKUP($C:$C,Structure!$A:$AJ,AL$1,0)*$D281,0),IFERROR(VLOOKUP($E:$E,Structure!$A:$AJ,AL$1,0)*$F281,0),IFERROR(VLOOKUP($G:$G,Structure!$A:$AJ,AL$1,0)*$H281,0))</f>
        <v>0</v>
      </c>
      <c r="AM281" s="9">
        <f>SUM(IFERROR(VLOOKUP($C:$C,Structure!$A:$AJ,AM$1,0)*$D281,0),IFERROR(VLOOKUP($E:$E,Structure!$A:$AJ,AM$1,0)*$F281,0),IFERROR(VLOOKUP($G:$G,Structure!$A:$AJ,AM$1,0)*$H281,0))</f>
        <v>0</v>
      </c>
      <c r="AN281" s="9">
        <f>SUM(IFERROR(VLOOKUP($C:$C,Structure!$A:$AJ,AN$1,0)*$D281,0),IFERROR(VLOOKUP($E:$E,Structure!$A:$AJ,AN$1,0)*$F281,0),IFERROR(VLOOKUP($G:$G,Structure!$A:$AJ,AN$1,0)*$H281,0))</f>
        <v>0</v>
      </c>
      <c r="AO281" s="9">
        <f>SUM(IFERROR(VLOOKUP($C:$C,Structure!$A:$AJ,AO$1,0)*$D281,0),IFERROR(VLOOKUP($E:$E,Structure!$A:$AJ,AO$1,0)*$F281,0),IFERROR(VLOOKUP($G:$G,Structure!$A:$AJ,AO$1,0)*$H281,0))</f>
        <v>0</v>
      </c>
      <c r="AP281" s="9">
        <f>SUM(IFERROR(VLOOKUP($C:$C,Structure!$A:$AJ,AP$1,0)*$D281,0),IFERROR(VLOOKUP($E:$E,Structure!$A:$AJ,AP$1,0)*$F281,0),IFERROR(VLOOKUP($G:$G,Structure!$A:$AJ,AP$1,0)*$H281,0))</f>
        <v>0</v>
      </c>
      <c r="AQ281" s="9">
        <f>SUM(IFERROR(VLOOKUP($C:$C,Structure!$A:$AJ,AQ$1,0)*$D281,0),IFERROR(VLOOKUP($E:$E,Structure!$A:$AJ,AQ$1,0)*$F281,0),IFERROR(VLOOKUP($G:$G,Structure!$A:$AJ,AQ$1,0)*$H281,0))</f>
        <v>0</v>
      </c>
      <c r="AR281" s="21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4">
        <f t="shared" si="267"/>
        <v>0</v>
      </c>
      <c r="CE281" s="4">
        <f t="shared" si="268"/>
        <v>-236</v>
      </c>
      <c r="CF281" s="4">
        <f t="shared" si="269"/>
        <v>4</v>
      </c>
      <c r="CG281" s="4">
        <f t="shared" si="270"/>
        <v>11</v>
      </c>
      <c r="CH281" s="4">
        <f t="shared" si="271"/>
        <v>-7</v>
      </c>
      <c r="CI281" s="4">
        <f t="shared" si="272"/>
        <v>93</v>
      </c>
      <c r="CJ281" s="4">
        <f t="shared" si="273"/>
        <v>-399</v>
      </c>
      <c r="CK281" s="4">
        <f t="shared" si="274"/>
        <v>-57</v>
      </c>
      <c r="CL281" s="4">
        <f t="shared" si="275"/>
        <v>0</v>
      </c>
      <c r="CM281" s="4">
        <f t="shared" si="276"/>
        <v>6</v>
      </c>
      <c r="CN281" s="4">
        <f t="shared" si="277"/>
        <v>-286</v>
      </c>
      <c r="CO281" s="4">
        <f t="shared" si="278"/>
        <v>0</v>
      </c>
      <c r="CP281" s="4">
        <f t="shared" si="279"/>
        <v>-21</v>
      </c>
      <c r="CQ281" s="4">
        <f t="shared" si="280"/>
        <v>-726</v>
      </c>
      <c r="CR281" s="4">
        <f t="shared" si="281"/>
        <v>12</v>
      </c>
      <c r="CS281" s="4">
        <f t="shared" si="282"/>
        <v>-58</v>
      </c>
      <c r="CT281" s="4">
        <f t="shared" si="283"/>
        <v>0</v>
      </c>
      <c r="CU281" s="4">
        <f t="shared" si="284"/>
        <v>0</v>
      </c>
      <c r="CV281" s="4">
        <f t="shared" si="285"/>
        <v>0</v>
      </c>
      <c r="CW281" s="4">
        <f t="shared" si="286"/>
        <v>0</v>
      </c>
      <c r="CX281" s="4">
        <f t="shared" si="287"/>
        <v>-807</v>
      </c>
      <c r="CY281" s="4">
        <f t="shared" si="288"/>
        <v>0</v>
      </c>
      <c r="CZ281" s="4">
        <f t="shared" si="289"/>
        <v>0</v>
      </c>
      <c r="DA281" s="4">
        <f t="shared" si="290"/>
        <v>0</v>
      </c>
      <c r="DB281" s="4">
        <f t="shared" si="291"/>
        <v>0</v>
      </c>
      <c r="DC281" s="4">
        <f t="shared" si="292"/>
        <v>0</v>
      </c>
      <c r="DD281" s="4">
        <f t="shared" si="293"/>
        <v>0</v>
      </c>
      <c r="DE281" s="4">
        <f t="shared" si="294"/>
        <v>0</v>
      </c>
      <c r="DF281" s="4">
        <f t="shared" si="295"/>
        <v>0</v>
      </c>
      <c r="DG281" s="4">
        <f t="shared" si="296"/>
        <v>0</v>
      </c>
      <c r="DH281" s="4">
        <f t="shared" si="297"/>
        <v>0</v>
      </c>
      <c r="DI281" s="4">
        <f t="shared" si="298"/>
        <v>0</v>
      </c>
      <c r="DJ281" s="4">
        <f t="shared" si="299"/>
        <v>0</v>
      </c>
      <c r="DK281" s="4">
        <f t="shared" si="300"/>
        <v>0</v>
      </c>
      <c r="DL281" s="4">
        <f t="shared" si="301"/>
        <v>0</v>
      </c>
    </row>
    <row r="282" spans="1:116" x14ac:dyDescent="0.25">
      <c r="A282" s="5">
        <v>46189</v>
      </c>
      <c r="B282" s="6">
        <v>0.12500000067666406</v>
      </c>
      <c r="C282" s="3"/>
      <c r="D282" s="3"/>
      <c r="E282" s="3" t="s">
        <v>57</v>
      </c>
      <c r="F282" s="3">
        <v>8</v>
      </c>
      <c r="G282" s="3"/>
      <c r="H282" s="9"/>
      <c r="I282" s="9">
        <f>SUM(IFERROR(VLOOKUP($C:$C,Structure!$A:$AJ,I$1,0)*$D282,0),IFERROR(VLOOKUP($E:$E,Structure!$A:$AJ,I$1,0)*$F282,0),IFERROR(VLOOKUP($G:$G,Structure!$A:$AJ,I$1,0)*$H282,0))</f>
        <v>0</v>
      </c>
      <c r="J282" s="9">
        <f>SUM(IFERROR(VLOOKUP($C:$C,Structure!$A:$AJ,J$1,0)*$D282,0),IFERROR(VLOOKUP($E:$E,Structure!$A:$AJ,J$1,0)*$F282,0),IFERROR(VLOOKUP($G:$G,Structure!$A:$AJ,J$1,0)*$H282,0))</f>
        <v>0</v>
      </c>
      <c r="K282" s="9">
        <f>SUM(IFERROR(VLOOKUP($C:$C,Structure!$A:$AJ,K$1,0)*$D282,0),IFERROR(VLOOKUP($E:$E,Structure!$A:$AJ,K$1,0)*$F282,0),IFERROR(VLOOKUP($G:$G,Structure!$A:$AJ,K$1,0)*$H282,0))</f>
        <v>0</v>
      </c>
      <c r="L282" s="9">
        <f>SUM(IFERROR(VLOOKUP($C:$C,Structure!$A:$AJ,L$1,0)*$D282,0),IFERROR(VLOOKUP($E:$E,Structure!$A:$AJ,L$1,0)*$F282,0),IFERROR(VLOOKUP($G:$G,Structure!$A:$AJ,L$1,0)*$H282,0))</f>
        <v>0</v>
      </c>
      <c r="M282" s="9">
        <f>SUM(IFERROR(VLOOKUP($C:$C,Structure!$A:$AJ,M$1,0)*$D282,0),IFERROR(VLOOKUP($E:$E,Structure!$A:$AJ,M$1,0)*$F282,0),IFERROR(VLOOKUP($G:$G,Structure!$A:$AJ,M$1,0)*$H282,0))</f>
        <v>0</v>
      </c>
      <c r="N282" s="9">
        <f>SUM(IFERROR(VLOOKUP($C:$C,Structure!$A:$AJ,N$1,0)*$D282,0),IFERROR(VLOOKUP($E:$E,Structure!$A:$AJ,N$1,0)*$F282,0),IFERROR(VLOOKUP($G:$G,Structure!$A:$AJ,N$1,0)*$H282,0))</f>
        <v>0</v>
      </c>
      <c r="O282" s="9">
        <f>SUM(IFERROR(VLOOKUP($C:$C,Structure!$A:$AJ,O$1,0)*$D282,0),IFERROR(VLOOKUP($E:$E,Structure!$A:$AJ,O$1,0)*$F282,0),IFERROR(VLOOKUP($G:$G,Structure!$A:$AJ,O$1,0)*$H282,0))</f>
        <v>8</v>
      </c>
      <c r="P282" s="9">
        <f>SUM(IFERROR(VLOOKUP($C:$C,Structure!$A:$AJ,P$1,0)*$D282,0),IFERROR(VLOOKUP($E:$E,Structure!$A:$AJ,P$1,0)*$F282,0),IFERROR(VLOOKUP($G:$G,Structure!$A:$AJ,P$1,0)*$H282,0))</f>
        <v>0</v>
      </c>
      <c r="Q282" s="9">
        <f>SUM(IFERROR(VLOOKUP($C:$C,Structure!$A:$AJ,Q$1,0)*$D282,0),IFERROR(VLOOKUP($E:$E,Structure!$A:$AJ,Q$1,0)*$F282,0),IFERROR(VLOOKUP($G:$G,Structure!$A:$AJ,Q$1,0)*$H282,0))</f>
        <v>0</v>
      </c>
      <c r="R282" s="9">
        <f>SUM(IFERROR(VLOOKUP($C:$C,Structure!$A:$AJ,R$1,0)*$D282,0),IFERROR(VLOOKUP($E:$E,Structure!$A:$AJ,R$1,0)*$F282,0),IFERROR(VLOOKUP($G:$G,Structure!$A:$AJ,R$1,0)*$H282,0))</f>
        <v>0</v>
      </c>
      <c r="S282" s="9">
        <f>SUM(IFERROR(VLOOKUP($C:$C,Structure!$A:$AJ,S$1,0)*$D282,0),IFERROR(VLOOKUP($E:$E,Structure!$A:$AJ,S$1,0)*$F282,0),IFERROR(VLOOKUP($G:$G,Structure!$A:$AJ,S$1,0)*$H282,0))</f>
        <v>8</v>
      </c>
      <c r="T282" s="9">
        <f>SUM(IFERROR(VLOOKUP($C:$C,Structure!$A:$AJ,T$1,0)*$D282,0),IFERROR(VLOOKUP($E:$E,Structure!$A:$AJ,T$1,0)*$F282,0),IFERROR(VLOOKUP($G:$G,Structure!$A:$AJ,T$1,0)*$H282,0))</f>
        <v>0</v>
      </c>
      <c r="U282" s="9">
        <f>SUM(IFERROR(VLOOKUP($C:$C,Structure!$A:$AJ,U$1,0)*$D282,0),IFERROR(VLOOKUP($E:$E,Structure!$A:$AJ,U$1,0)*$F282,0),IFERROR(VLOOKUP($G:$G,Structure!$A:$AJ,U$1,0)*$H282,0))</f>
        <v>0</v>
      </c>
      <c r="V282" s="9">
        <f>SUM(IFERROR(VLOOKUP($C:$C,Structure!$A:$AJ,V$1,0)*$D282,0),IFERROR(VLOOKUP($E:$E,Structure!$A:$AJ,V$1,0)*$F282,0),IFERROR(VLOOKUP($G:$G,Structure!$A:$AJ,V$1,0)*$H282,0))</f>
        <v>0</v>
      </c>
      <c r="W282" s="9">
        <f>SUM(IFERROR(VLOOKUP($C:$C,Structure!$A:$AJ,W$1,0)*$D282,0),IFERROR(VLOOKUP($E:$E,Structure!$A:$AJ,W$1,0)*$F282,0),IFERROR(VLOOKUP($G:$G,Structure!$A:$AJ,W$1,0)*$H282,0))</f>
        <v>0</v>
      </c>
      <c r="X282" s="9">
        <f>SUM(IFERROR(VLOOKUP($C:$C,Structure!$A:$AJ,X$1,0)*$D282,0),IFERROR(VLOOKUP($E:$E,Structure!$A:$AJ,X$1,0)*$F282,0),IFERROR(VLOOKUP($G:$G,Structure!$A:$AJ,X$1,0)*$H282,0))</f>
        <v>0</v>
      </c>
      <c r="Y282" s="9">
        <f>SUM(IFERROR(VLOOKUP($C:$C,Structure!$A:$AJ,Y$1,0)*$D282,0),IFERROR(VLOOKUP($E:$E,Structure!$A:$AJ,Y$1,0)*$F282,0),IFERROR(VLOOKUP($G:$G,Structure!$A:$AJ,Y$1,0)*$H282,0))</f>
        <v>0</v>
      </c>
      <c r="Z282" s="9">
        <f>SUM(IFERROR(VLOOKUP($C:$C,Structure!$A:$AJ,Z$1,0)*$D282,0),IFERROR(VLOOKUP($E:$E,Structure!$A:$AJ,Z$1,0)*$F282,0),IFERROR(VLOOKUP($G:$G,Structure!$A:$AJ,Z$1,0)*$H282,0))</f>
        <v>0</v>
      </c>
      <c r="AA282" s="9">
        <f>SUM(IFERROR(VLOOKUP($C:$C,Structure!$A:$AJ,AA$1,0)*$D282,0),IFERROR(VLOOKUP($E:$E,Structure!$A:$AJ,AA$1,0)*$F282,0),IFERROR(VLOOKUP($G:$G,Structure!$A:$AJ,AA$1,0)*$H282,0))</f>
        <v>0</v>
      </c>
      <c r="AB282" s="9">
        <f>SUM(IFERROR(VLOOKUP($C:$C,Structure!$A:$AJ,AB$1,0)*$D282,0),IFERROR(VLOOKUP($E:$E,Structure!$A:$AJ,AB$1,0)*$F282,0),IFERROR(VLOOKUP($G:$G,Structure!$A:$AJ,AB$1,0)*$H282,0))</f>
        <v>0</v>
      </c>
      <c r="AC282" s="9">
        <f>SUM(IFERROR(VLOOKUP($C:$C,Structure!$A:$AJ,AC$1,0)*$D282,0),IFERROR(VLOOKUP($E:$E,Structure!$A:$AJ,AC$1,0)*$F282,0),IFERROR(VLOOKUP($G:$G,Structure!$A:$AJ,AC$1,0)*$H282,0))</f>
        <v>0</v>
      </c>
      <c r="AD282" s="9">
        <f>SUM(IFERROR(VLOOKUP($C:$C,Structure!$A:$AJ,AD$1,0)*$D282,0),IFERROR(VLOOKUP($E:$E,Structure!$A:$AJ,AD$1,0)*$F282,0),IFERROR(VLOOKUP($G:$G,Structure!$A:$AJ,AD$1,0)*$H282,0))</f>
        <v>0</v>
      </c>
      <c r="AE282" s="9">
        <f>SUM(IFERROR(VLOOKUP($C:$C,Structure!$A:$AJ,AE$1,0)*$D282,0),IFERROR(VLOOKUP($E:$E,Structure!$A:$AJ,AE$1,0)*$F282,0),IFERROR(VLOOKUP($G:$G,Structure!$A:$AJ,AE$1,0)*$H282,0))</f>
        <v>0</v>
      </c>
      <c r="AF282" s="9">
        <f>SUM(IFERROR(VLOOKUP($C:$C,Structure!$A:$AJ,AF$1,0)*$D282,0),IFERROR(VLOOKUP($E:$E,Structure!$A:$AJ,AF$1,0)*$F282,0),IFERROR(VLOOKUP($G:$G,Structure!$A:$AJ,AF$1,0)*$H282,0))</f>
        <v>0</v>
      </c>
      <c r="AG282" s="9">
        <f>SUM(IFERROR(VLOOKUP($C:$C,Structure!$A:$AJ,AG$1,0)*$D282,0),IFERROR(VLOOKUP($E:$E,Structure!$A:$AJ,AG$1,0)*$F282,0),IFERROR(VLOOKUP($G:$G,Structure!$A:$AJ,AG$1,0)*$H282,0))</f>
        <v>0</v>
      </c>
      <c r="AH282" s="9">
        <f>SUM(IFERROR(VLOOKUP($C:$C,Structure!$A:$AJ,AH$1,0)*$D282,0),IFERROR(VLOOKUP($E:$E,Structure!$A:$AJ,AH$1,0)*$F282,0),IFERROR(VLOOKUP($G:$G,Structure!$A:$AJ,AH$1,0)*$H282,0))</f>
        <v>0</v>
      </c>
      <c r="AI282" s="9">
        <f>SUM(IFERROR(VLOOKUP($C:$C,Structure!$A:$AJ,AI$1,0)*$D282,0),IFERROR(VLOOKUP($E:$E,Structure!$A:$AJ,AI$1,0)*$F282,0),IFERROR(VLOOKUP($G:$G,Structure!$A:$AJ,AI$1,0)*$H282,0))</f>
        <v>0</v>
      </c>
      <c r="AJ282" s="9">
        <f>SUM(IFERROR(VLOOKUP($C:$C,Structure!$A:$AJ,AJ$1,0)*$D282,0),IFERROR(VLOOKUP($E:$E,Structure!$A:$AJ,AJ$1,0)*$F282,0),IFERROR(VLOOKUP($G:$G,Structure!$A:$AJ,AJ$1,0)*$H282,0))</f>
        <v>0</v>
      </c>
      <c r="AK282" s="9">
        <f>SUM(IFERROR(VLOOKUP($C:$C,Structure!$A:$AJ,AK$1,0)*$D282,0),IFERROR(VLOOKUP($E:$E,Structure!$A:$AJ,AK$1,0)*$F282,0),IFERROR(VLOOKUP($G:$G,Structure!$A:$AJ,AK$1,0)*$H282,0))</f>
        <v>0</v>
      </c>
      <c r="AL282" s="9">
        <f>SUM(IFERROR(VLOOKUP($C:$C,Structure!$A:$AJ,AL$1,0)*$D282,0),IFERROR(VLOOKUP($E:$E,Structure!$A:$AJ,AL$1,0)*$F282,0),IFERROR(VLOOKUP($G:$G,Structure!$A:$AJ,AL$1,0)*$H282,0))</f>
        <v>0</v>
      </c>
      <c r="AM282" s="9">
        <f>SUM(IFERROR(VLOOKUP($C:$C,Structure!$A:$AJ,AM$1,0)*$D282,0),IFERROR(VLOOKUP($E:$E,Structure!$A:$AJ,AM$1,0)*$F282,0),IFERROR(VLOOKUP($G:$G,Structure!$A:$AJ,AM$1,0)*$H282,0))</f>
        <v>0</v>
      </c>
      <c r="AN282" s="9">
        <f>SUM(IFERROR(VLOOKUP($C:$C,Structure!$A:$AJ,AN$1,0)*$D282,0),IFERROR(VLOOKUP($E:$E,Structure!$A:$AJ,AN$1,0)*$F282,0),IFERROR(VLOOKUP($G:$G,Structure!$A:$AJ,AN$1,0)*$H282,0))</f>
        <v>0</v>
      </c>
      <c r="AO282" s="9">
        <f>SUM(IFERROR(VLOOKUP($C:$C,Structure!$A:$AJ,AO$1,0)*$D282,0),IFERROR(VLOOKUP($E:$E,Structure!$A:$AJ,AO$1,0)*$F282,0),IFERROR(VLOOKUP($G:$G,Structure!$A:$AJ,AO$1,0)*$H282,0))</f>
        <v>0</v>
      </c>
      <c r="AP282" s="9">
        <f>SUM(IFERROR(VLOOKUP($C:$C,Structure!$A:$AJ,AP$1,0)*$D282,0),IFERROR(VLOOKUP($E:$E,Structure!$A:$AJ,AP$1,0)*$F282,0),IFERROR(VLOOKUP($G:$G,Structure!$A:$AJ,AP$1,0)*$H282,0))</f>
        <v>0</v>
      </c>
      <c r="AQ282" s="9">
        <f>SUM(IFERROR(VLOOKUP($C:$C,Structure!$A:$AJ,AQ$1,0)*$D282,0),IFERROR(VLOOKUP($E:$E,Structure!$A:$AJ,AQ$1,0)*$F282,0),IFERROR(VLOOKUP($G:$G,Structure!$A:$AJ,AQ$1,0)*$H282,0))</f>
        <v>0</v>
      </c>
      <c r="AR282" s="21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4">
        <f t="shared" si="267"/>
        <v>0</v>
      </c>
      <c r="CE282" s="4">
        <f t="shared" si="268"/>
        <v>-236</v>
      </c>
      <c r="CF282" s="4">
        <f t="shared" si="269"/>
        <v>4</v>
      </c>
      <c r="CG282" s="4">
        <f t="shared" si="270"/>
        <v>11</v>
      </c>
      <c r="CH282" s="4">
        <f t="shared" si="271"/>
        <v>-7</v>
      </c>
      <c r="CI282" s="4">
        <f t="shared" si="272"/>
        <v>93</v>
      </c>
      <c r="CJ282" s="4">
        <f t="shared" si="273"/>
        <v>-407</v>
      </c>
      <c r="CK282" s="4">
        <f t="shared" si="274"/>
        <v>-57</v>
      </c>
      <c r="CL282" s="4">
        <f t="shared" si="275"/>
        <v>0</v>
      </c>
      <c r="CM282" s="4">
        <f t="shared" si="276"/>
        <v>6</v>
      </c>
      <c r="CN282" s="4">
        <f t="shared" si="277"/>
        <v>-294</v>
      </c>
      <c r="CO282" s="4">
        <f t="shared" si="278"/>
        <v>0</v>
      </c>
      <c r="CP282" s="4">
        <f t="shared" si="279"/>
        <v>-21</v>
      </c>
      <c r="CQ282" s="4">
        <f t="shared" si="280"/>
        <v>-726</v>
      </c>
      <c r="CR282" s="4">
        <f t="shared" si="281"/>
        <v>12</v>
      </c>
      <c r="CS282" s="4">
        <f t="shared" si="282"/>
        <v>-58</v>
      </c>
      <c r="CT282" s="4">
        <f t="shared" si="283"/>
        <v>0</v>
      </c>
      <c r="CU282" s="4">
        <f t="shared" si="284"/>
        <v>0</v>
      </c>
      <c r="CV282" s="4">
        <f t="shared" si="285"/>
        <v>0</v>
      </c>
      <c r="CW282" s="4">
        <f t="shared" si="286"/>
        <v>0</v>
      </c>
      <c r="CX282" s="4">
        <f t="shared" si="287"/>
        <v>-807</v>
      </c>
      <c r="CY282" s="4">
        <f t="shared" si="288"/>
        <v>0</v>
      </c>
      <c r="CZ282" s="4">
        <f t="shared" si="289"/>
        <v>0</v>
      </c>
      <c r="DA282" s="4">
        <f t="shared" si="290"/>
        <v>0</v>
      </c>
      <c r="DB282" s="4">
        <f t="shared" si="291"/>
        <v>0</v>
      </c>
      <c r="DC282" s="4">
        <f t="shared" si="292"/>
        <v>0</v>
      </c>
      <c r="DD282" s="4">
        <f t="shared" si="293"/>
        <v>0</v>
      </c>
      <c r="DE282" s="4">
        <f t="shared" si="294"/>
        <v>0</v>
      </c>
      <c r="DF282" s="4">
        <f t="shared" si="295"/>
        <v>0</v>
      </c>
      <c r="DG282" s="4">
        <f t="shared" si="296"/>
        <v>0</v>
      </c>
      <c r="DH282" s="4">
        <f t="shared" si="297"/>
        <v>0</v>
      </c>
      <c r="DI282" s="4">
        <f t="shared" si="298"/>
        <v>0</v>
      </c>
      <c r="DJ282" s="4">
        <f t="shared" si="299"/>
        <v>0</v>
      </c>
      <c r="DK282" s="4">
        <f t="shared" si="300"/>
        <v>0</v>
      </c>
      <c r="DL282" s="4">
        <f t="shared" si="301"/>
        <v>0</v>
      </c>
    </row>
    <row r="283" spans="1:116" x14ac:dyDescent="0.25">
      <c r="A283" s="5">
        <v>46189</v>
      </c>
      <c r="B283" s="6">
        <v>0.14583333401242271</v>
      </c>
      <c r="C283" s="3"/>
      <c r="D283" s="3"/>
      <c r="E283" s="3" t="s">
        <v>57</v>
      </c>
      <c r="F283" s="3">
        <v>8</v>
      </c>
      <c r="G283" s="3"/>
      <c r="H283" s="9"/>
      <c r="I283" s="9">
        <f>SUM(IFERROR(VLOOKUP($C:$C,Structure!$A:$AJ,I$1,0)*$D283,0),IFERROR(VLOOKUP($E:$E,Structure!$A:$AJ,I$1,0)*$F283,0),IFERROR(VLOOKUP($G:$G,Structure!$A:$AJ,I$1,0)*$H283,0))</f>
        <v>0</v>
      </c>
      <c r="J283" s="9">
        <f>SUM(IFERROR(VLOOKUP($C:$C,Structure!$A:$AJ,J$1,0)*$D283,0),IFERROR(VLOOKUP($E:$E,Structure!$A:$AJ,J$1,0)*$F283,0),IFERROR(VLOOKUP($G:$G,Structure!$A:$AJ,J$1,0)*$H283,0))</f>
        <v>0</v>
      </c>
      <c r="K283" s="9">
        <f>SUM(IFERROR(VLOOKUP($C:$C,Structure!$A:$AJ,K$1,0)*$D283,0),IFERROR(VLOOKUP($E:$E,Structure!$A:$AJ,K$1,0)*$F283,0),IFERROR(VLOOKUP($G:$G,Structure!$A:$AJ,K$1,0)*$H283,0))</f>
        <v>0</v>
      </c>
      <c r="L283" s="9">
        <f>SUM(IFERROR(VLOOKUP($C:$C,Structure!$A:$AJ,L$1,0)*$D283,0),IFERROR(VLOOKUP($E:$E,Structure!$A:$AJ,L$1,0)*$F283,0),IFERROR(VLOOKUP($G:$G,Structure!$A:$AJ,L$1,0)*$H283,0))</f>
        <v>0</v>
      </c>
      <c r="M283" s="9">
        <f>SUM(IFERROR(VLOOKUP($C:$C,Structure!$A:$AJ,M$1,0)*$D283,0),IFERROR(VLOOKUP($E:$E,Structure!$A:$AJ,M$1,0)*$F283,0),IFERROR(VLOOKUP($G:$G,Structure!$A:$AJ,M$1,0)*$H283,0))</f>
        <v>0</v>
      </c>
      <c r="N283" s="9">
        <f>SUM(IFERROR(VLOOKUP($C:$C,Structure!$A:$AJ,N$1,0)*$D283,0),IFERROR(VLOOKUP($E:$E,Structure!$A:$AJ,N$1,0)*$F283,0),IFERROR(VLOOKUP($G:$G,Structure!$A:$AJ,N$1,0)*$H283,0))</f>
        <v>0</v>
      </c>
      <c r="O283" s="9">
        <f>SUM(IFERROR(VLOOKUP($C:$C,Structure!$A:$AJ,O$1,0)*$D283,0),IFERROR(VLOOKUP($E:$E,Structure!$A:$AJ,O$1,0)*$F283,0),IFERROR(VLOOKUP($G:$G,Structure!$A:$AJ,O$1,0)*$H283,0))</f>
        <v>8</v>
      </c>
      <c r="P283" s="9">
        <f>SUM(IFERROR(VLOOKUP($C:$C,Structure!$A:$AJ,P$1,0)*$D283,0),IFERROR(VLOOKUP($E:$E,Structure!$A:$AJ,P$1,0)*$F283,0),IFERROR(VLOOKUP($G:$G,Structure!$A:$AJ,P$1,0)*$H283,0))</f>
        <v>0</v>
      </c>
      <c r="Q283" s="9">
        <f>SUM(IFERROR(VLOOKUP($C:$C,Structure!$A:$AJ,Q$1,0)*$D283,0),IFERROR(VLOOKUP($E:$E,Structure!$A:$AJ,Q$1,0)*$F283,0),IFERROR(VLOOKUP($G:$G,Structure!$A:$AJ,Q$1,0)*$H283,0))</f>
        <v>0</v>
      </c>
      <c r="R283" s="9">
        <f>SUM(IFERROR(VLOOKUP($C:$C,Structure!$A:$AJ,R$1,0)*$D283,0),IFERROR(VLOOKUP($E:$E,Structure!$A:$AJ,R$1,0)*$F283,0),IFERROR(VLOOKUP($G:$G,Structure!$A:$AJ,R$1,0)*$H283,0))</f>
        <v>0</v>
      </c>
      <c r="S283" s="9">
        <f>SUM(IFERROR(VLOOKUP($C:$C,Structure!$A:$AJ,S$1,0)*$D283,0),IFERROR(VLOOKUP($E:$E,Structure!$A:$AJ,S$1,0)*$F283,0),IFERROR(VLOOKUP($G:$G,Structure!$A:$AJ,S$1,0)*$H283,0))</f>
        <v>8</v>
      </c>
      <c r="T283" s="9">
        <f>SUM(IFERROR(VLOOKUP($C:$C,Structure!$A:$AJ,T$1,0)*$D283,0),IFERROR(VLOOKUP($E:$E,Structure!$A:$AJ,T$1,0)*$F283,0),IFERROR(VLOOKUP($G:$G,Structure!$A:$AJ,T$1,0)*$H283,0))</f>
        <v>0</v>
      </c>
      <c r="U283" s="9">
        <f>SUM(IFERROR(VLOOKUP($C:$C,Structure!$A:$AJ,U$1,0)*$D283,0),IFERROR(VLOOKUP($E:$E,Structure!$A:$AJ,U$1,0)*$F283,0),IFERROR(VLOOKUP($G:$G,Structure!$A:$AJ,U$1,0)*$H283,0))</f>
        <v>0</v>
      </c>
      <c r="V283" s="9">
        <f>SUM(IFERROR(VLOOKUP($C:$C,Structure!$A:$AJ,V$1,0)*$D283,0),IFERROR(VLOOKUP($E:$E,Structure!$A:$AJ,V$1,0)*$F283,0),IFERROR(VLOOKUP($G:$G,Structure!$A:$AJ,V$1,0)*$H283,0))</f>
        <v>0</v>
      </c>
      <c r="W283" s="9">
        <f>SUM(IFERROR(VLOOKUP($C:$C,Structure!$A:$AJ,W$1,0)*$D283,0),IFERROR(VLOOKUP($E:$E,Structure!$A:$AJ,W$1,0)*$F283,0),IFERROR(VLOOKUP($G:$G,Structure!$A:$AJ,W$1,0)*$H283,0))</f>
        <v>0</v>
      </c>
      <c r="X283" s="9">
        <f>SUM(IFERROR(VLOOKUP($C:$C,Structure!$A:$AJ,X$1,0)*$D283,0),IFERROR(VLOOKUP($E:$E,Structure!$A:$AJ,X$1,0)*$F283,0),IFERROR(VLOOKUP($G:$G,Structure!$A:$AJ,X$1,0)*$H283,0))</f>
        <v>0</v>
      </c>
      <c r="Y283" s="9">
        <f>SUM(IFERROR(VLOOKUP($C:$C,Structure!$A:$AJ,Y$1,0)*$D283,0),IFERROR(VLOOKUP($E:$E,Structure!$A:$AJ,Y$1,0)*$F283,0),IFERROR(VLOOKUP($G:$G,Structure!$A:$AJ,Y$1,0)*$H283,0))</f>
        <v>0</v>
      </c>
      <c r="Z283" s="9">
        <f>SUM(IFERROR(VLOOKUP($C:$C,Structure!$A:$AJ,Z$1,0)*$D283,0),IFERROR(VLOOKUP($E:$E,Structure!$A:$AJ,Z$1,0)*$F283,0),IFERROR(VLOOKUP($G:$G,Structure!$A:$AJ,Z$1,0)*$H283,0))</f>
        <v>0</v>
      </c>
      <c r="AA283" s="9">
        <f>SUM(IFERROR(VLOOKUP($C:$C,Structure!$A:$AJ,AA$1,0)*$D283,0),IFERROR(VLOOKUP($E:$E,Structure!$A:$AJ,AA$1,0)*$F283,0),IFERROR(VLOOKUP($G:$G,Structure!$A:$AJ,AA$1,0)*$H283,0))</f>
        <v>0</v>
      </c>
      <c r="AB283" s="9">
        <f>SUM(IFERROR(VLOOKUP($C:$C,Structure!$A:$AJ,AB$1,0)*$D283,0),IFERROR(VLOOKUP($E:$E,Structure!$A:$AJ,AB$1,0)*$F283,0),IFERROR(VLOOKUP($G:$G,Structure!$A:$AJ,AB$1,0)*$H283,0))</f>
        <v>0</v>
      </c>
      <c r="AC283" s="9">
        <f>SUM(IFERROR(VLOOKUP($C:$C,Structure!$A:$AJ,AC$1,0)*$D283,0),IFERROR(VLOOKUP($E:$E,Structure!$A:$AJ,AC$1,0)*$F283,0),IFERROR(VLOOKUP($G:$G,Structure!$A:$AJ,AC$1,0)*$H283,0))</f>
        <v>0</v>
      </c>
      <c r="AD283" s="9">
        <f>SUM(IFERROR(VLOOKUP($C:$C,Structure!$A:$AJ,AD$1,0)*$D283,0),IFERROR(VLOOKUP($E:$E,Structure!$A:$AJ,AD$1,0)*$F283,0),IFERROR(VLOOKUP($G:$G,Structure!$A:$AJ,AD$1,0)*$H283,0))</f>
        <v>0</v>
      </c>
      <c r="AE283" s="9">
        <f>SUM(IFERROR(VLOOKUP($C:$C,Structure!$A:$AJ,AE$1,0)*$D283,0),IFERROR(VLOOKUP($E:$E,Structure!$A:$AJ,AE$1,0)*$F283,0),IFERROR(VLOOKUP($G:$G,Structure!$A:$AJ,AE$1,0)*$H283,0))</f>
        <v>0</v>
      </c>
      <c r="AF283" s="9">
        <f>SUM(IFERROR(VLOOKUP($C:$C,Structure!$A:$AJ,AF$1,0)*$D283,0),IFERROR(VLOOKUP($E:$E,Structure!$A:$AJ,AF$1,0)*$F283,0),IFERROR(VLOOKUP($G:$G,Structure!$A:$AJ,AF$1,0)*$H283,0))</f>
        <v>0</v>
      </c>
      <c r="AG283" s="9">
        <f>SUM(IFERROR(VLOOKUP($C:$C,Structure!$A:$AJ,AG$1,0)*$D283,0),IFERROR(VLOOKUP($E:$E,Structure!$A:$AJ,AG$1,0)*$F283,0),IFERROR(VLOOKUP($G:$G,Structure!$A:$AJ,AG$1,0)*$H283,0))</f>
        <v>0</v>
      </c>
      <c r="AH283" s="9">
        <f>SUM(IFERROR(VLOOKUP($C:$C,Structure!$A:$AJ,AH$1,0)*$D283,0),IFERROR(VLOOKUP($E:$E,Structure!$A:$AJ,AH$1,0)*$F283,0),IFERROR(VLOOKUP($G:$G,Structure!$A:$AJ,AH$1,0)*$H283,0))</f>
        <v>0</v>
      </c>
      <c r="AI283" s="9">
        <f>SUM(IFERROR(VLOOKUP($C:$C,Structure!$A:$AJ,AI$1,0)*$D283,0),IFERROR(VLOOKUP($E:$E,Structure!$A:$AJ,AI$1,0)*$F283,0),IFERROR(VLOOKUP($G:$G,Structure!$A:$AJ,AI$1,0)*$H283,0))</f>
        <v>0</v>
      </c>
      <c r="AJ283" s="9">
        <f>SUM(IFERROR(VLOOKUP($C:$C,Structure!$A:$AJ,AJ$1,0)*$D283,0),IFERROR(VLOOKUP($E:$E,Structure!$A:$AJ,AJ$1,0)*$F283,0),IFERROR(VLOOKUP($G:$G,Structure!$A:$AJ,AJ$1,0)*$H283,0))</f>
        <v>0</v>
      </c>
      <c r="AK283" s="9">
        <f>SUM(IFERROR(VLOOKUP($C:$C,Structure!$A:$AJ,AK$1,0)*$D283,0),IFERROR(VLOOKUP($E:$E,Structure!$A:$AJ,AK$1,0)*$F283,0),IFERROR(VLOOKUP($G:$G,Structure!$A:$AJ,AK$1,0)*$H283,0))</f>
        <v>0</v>
      </c>
      <c r="AL283" s="9">
        <f>SUM(IFERROR(VLOOKUP($C:$C,Structure!$A:$AJ,AL$1,0)*$D283,0),IFERROR(VLOOKUP($E:$E,Structure!$A:$AJ,AL$1,0)*$F283,0),IFERROR(VLOOKUP($G:$G,Structure!$A:$AJ,AL$1,0)*$H283,0))</f>
        <v>0</v>
      </c>
      <c r="AM283" s="9">
        <f>SUM(IFERROR(VLOOKUP($C:$C,Structure!$A:$AJ,AM$1,0)*$D283,0),IFERROR(VLOOKUP($E:$E,Structure!$A:$AJ,AM$1,0)*$F283,0),IFERROR(VLOOKUP($G:$G,Structure!$A:$AJ,AM$1,0)*$H283,0))</f>
        <v>0</v>
      </c>
      <c r="AN283" s="9">
        <f>SUM(IFERROR(VLOOKUP($C:$C,Structure!$A:$AJ,AN$1,0)*$D283,0),IFERROR(VLOOKUP($E:$E,Structure!$A:$AJ,AN$1,0)*$F283,0),IFERROR(VLOOKUP($G:$G,Structure!$A:$AJ,AN$1,0)*$H283,0))</f>
        <v>0</v>
      </c>
      <c r="AO283" s="9">
        <f>SUM(IFERROR(VLOOKUP($C:$C,Structure!$A:$AJ,AO$1,0)*$D283,0),IFERROR(VLOOKUP($E:$E,Structure!$A:$AJ,AO$1,0)*$F283,0),IFERROR(VLOOKUP($G:$G,Structure!$A:$AJ,AO$1,0)*$H283,0))</f>
        <v>0</v>
      </c>
      <c r="AP283" s="9">
        <f>SUM(IFERROR(VLOOKUP($C:$C,Structure!$A:$AJ,AP$1,0)*$D283,0),IFERROR(VLOOKUP($E:$E,Structure!$A:$AJ,AP$1,0)*$F283,0),IFERROR(VLOOKUP($G:$G,Structure!$A:$AJ,AP$1,0)*$H283,0))</f>
        <v>0</v>
      </c>
      <c r="AQ283" s="9">
        <f>SUM(IFERROR(VLOOKUP($C:$C,Structure!$A:$AJ,AQ$1,0)*$D283,0),IFERROR(VLOOKUP($E:$E,Structure!$A:$AJ,AQ$1,0)*$F283,0),IFERROR(VLOOKUP($G:$G,Structure!$A:$AJ,AQ$1,0)*$H283,0))</f>
        <v>0</v>
      </c>
      <c r="AR283" s="21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4">
        <f t="shared" si="267"/>
        <v>0</v>
      </c>
      <c r="CE283" s="4">
        <f t="shared" si="268"/>
        <v>-236</v>
      </c>
      <c r="CF283" s="4">
        <f t="shared" si="269"/>
        <v>4</v>
      </c>
      <c r="CG283" s="4">
        <f t="shared" si="270"/>
        <v>11</v>
      </c>
      <c r="CH283" s="4">
        <f t="shared" si="271"/>
        <v>-7</v>
      </c>
      <c r="CI283" s="4">
        <f t="shared" si="272"/>
        <v>93</v>
      </c>
      <c r="CJ283" s="4">
        <f t="shared" si="273"/>
        <v>-415</v>
      </c>
      <c r="CK283" s="4">
        <f t="shared" si="274"/>
        <v>-57</v>
      </c>
      <c r="CL283" s="4">
        <f t="shared" si="275"/>
        <v>0</v>
      </c>
      <c r="CM283" s="4">
        <f t="shared" si="276"/>
        <v>6</v>
      </c>
      <c r="CN283" s="4">
        <f t="shared" si="277"/>
        <v>-302</v>
      </c>
      <c r="CO283" s="4">
        <f t="shared" si="278"/>
        <v>0</v>
      </c>
      <c r="CP283" s="4">
        <f t="shared" si="279"/>
        <v>-21</v>
      </c>
      <c r="CQ283" s="4">
        <f t="shared" si="280"/>
        <v>-726</v>
      </c>
      <c r="CR283" s="4">
        <f t="shared" si="281"/>
        <v>12</v>
      </c>
      <c r="CS283" s="4">
        <f t="shared" si="282"/>
        <v>-58</v>
      </c>
      <c r="CT283" s="4">
        <f t="shared" si="283"/>
        <v>0</v>
      </c>
      <c r="CU283" s="4">
        <f t="shared" si="284"/>
        <v>0</v>
      </c>
      <c r="CV283" s="4">
        <f t="shared" si="285"/>
        <v>0</v>
      </c>
      <c r="CW283" s="4">
        <f t="shared" si="286"/>
        <v>0</v>
      </c>
      <c r="CX283" s="4">
        <f t="shared" si="287"/>
        <v>-807</v>
      </c>
      <c r="CY283" s="4">
        <f t="shared" si="288"/>
        <v>0</v>
      </c>
      <c r="CZ283" s="4">
        <f t="shared" si="289"/>
        <v>0</v>
      </c>
      <c r="DA283" s="4">
        <f t="shared" si="290"/>
        <v>0</v>
      </c>
      <c r="DB283" s="4">
        <f t="shared" si="291"/>
        <v>0</v>
      </c>
      <c r="DC283" s="4">
        <f t="shared" si="292"/>
        <v>0</v>
      </c>
      <c r="DD283" s="4">
        <f t="shared" si="293"/>
        <v>0</v>
      </c>
      <c r="DE283" s="4">
        <f t="shared" si="294"/>
        <v>0</v>
      </c>
      <c r="DF283" s="4">
        <f t="shared" si="295"/>
        <v>0</v>
      </c>
      <c r="DG283" s="4">
        <f t="shared" si="296"/>
        <v>0</v>
      </c>
      <c r="DH283" s="4">
        <f t="shared" si="297"/>
        <v>0</v>
      </c>
      <c r="DI283" s="4">
        <f t="shared" si="298"/>
        <v>0</v>
      </c>
      <c r="DJ283" s="4">
        <f t="shared" si="299"/>
        <v>0</v>
      </c>
      <c r="DK283" s="4">
        <f t="shared" si="300"/>
        <v>0</v>
      </c>
      <c r="DL283" s="4">
        <f t="shared" si="301"/>
        <v>0</v>
      </c>
    </row>
    <row r="284" spans="1:116" x14ac:dyDescent="0.25">
      <c r="A284" s="5">
        <v>46189</v>
      </c>
      <c r="B284" s="6">
        <v>0.16666666734818136</v>
      </c>
      <c r="C284" s="3"/>
      <c r="D284" s="3"/>
      <c r="E284" s="3" t="s">
        <v>57</v>
      </c>
      <c r="F284" s="3">
        <v>8</v>
      </c>
      <c r="G284" s="3"/>
      <c r="H284" s="9"/>
      <c r="I284" s="9">
        <f>SUM(IFERROR(VLOOKUP($C:$C,Structure!$A:$AJ,I$1,0)*$D284,0),IFERROR(VLOOKUP($E:$E,Structure!$A:$AJ,I$1,0)*$F284,0),IFERROR(VLOOKUP($G:$G,Structure!$A:$AJ,I$1,0)*$H284,0))</f>
        <v>0</v>
      </c>
      <c r="J284" s="9">
        <f>SUM(IFERROR(VLOOKUP($C:$C,Structure!$A:$AJ,J$1,0)*$D284,0),IFERROR(VLOOKUP($E:$E,Structure!$A:$AJ,J$1,0)*$F284,0),IFERROR(VLOOKUP($G:$G,Structure!$A:$AJ,J$1,0)*$H284,0))</f>
        <v>0</v>
      </c>
      <c r="K284" s="9">
        <f>SUM(IFERROR(VLOOKUP($C:$C,Structure!$A:$AJ,K$1,0)*$D284,0),IFERROR(VLOOKUP($E:$E,Structure!$A:$AJ,K$1,0)*$F284,0),IFERROR(VLOOKUP($G:$G,Structure!$A:$AJ,K$1,0)*$H284,0))</f>
        <v>0</v>
      </c>
      <c r="L284" s="9">
        <f>SUM(IFERROR(VLOOKUP($C:$C,Structure!$A:$AJ,L$1,0)*$D284,0),IFERROR(VLOOKUP($E:$E,Structure!$A:$AJ,L$1,0)*$F284,0),IFERROR(VLOOKUP($G:$G,Structure!$A:$AJ,L$1,0)*$H284,0))</f>
        <v>0</v>
      </c>
      <c r="M284" s="9">
        <f>SUM(IFERROR(VLOOKUP($C:$C,Structure!$A:$AJ,M$1,0)*$D284,0),IFERROR(VLOOKUP($E:$E,Structure!$A:$AJ,M$1,0)*$F284,0),IFERROR(VLOOKUP($G:$G,Structure!$A:$AJ,M$1,0)*$H284,0))</f>
        <v>0</v>
      </c>
      <c r="N284" s="9">
        <f>SUM(IFERROR(VLOOKUP($C:$C,Structure!$A:$AJ,N$1,0)*$D284,0),IFERROR(VLOOKUP($E:$E,Structure!$A:$AJ,N$1,0)*$F284,0),IFERROR(VLOOKUP($G:$G,Structure!$A:$AJ,N$1,0)*$H284,0))</f>
        <v>0</v>
      </c>
      <c r="O284" s="9">
        <f>SUM(IFERROR(VLOOKUP($C:$C,Structure!$A:$AJ,O$1,0)*$D284,0),IFERROR(VLOOKUP($E:$E,Structure!$A:$AJ,O$1,0)*$F284,0),IFERROR(VLOOKUP($G:$G,Structure!$A:$AJ,O$1,0)*$H284,0))</f>
        <v>8</v>
      </c>
      <c r="P284" s="9">
        <f>SUM(IFERROR(VLOOKUP($C:$C,Structure!$A:$AJ,P$1,0)*$D284,0),IFERROR(VLOOKUP($E:$E,Structure!$A:$AJ,P$1,0)*$F284,0),IFERROR(VLOOKUP($G:$G,Structure!$A:$AJ,P$1,0)*$H284,0))</f>
        <v>0</v>
      </c>
      <c r="Q284" s="9">
        <f>SUM(IFERROR(VLOOKUP($C:$C,Structure!$A:$AJ,Q$1,0)*$D284,0),IFERROR(VLOOKUP($E:$E,Structure!$A:$AJ,Q$1,0)*$F284,0),IFERROR(VLOOKUP($G:$G,Structure!$A:$AJ,Q$1,0)*$H284,0))</f>
        <v>0</v>
      </c>
      <c r="R284" s="9">
        <f>SUM(IFERROR(VLOOKUP($C:$C,Structure!$A:$AJ,R$1,0)*$D284,0),IFERROR(VLOOKUP($E:$E,Structure!$A:$AJ,R$1,0)*$F284,0),IFERROR(VLOOKUP($G:$G,Structure!$A:$AJ,R$1,0)*$H284,0))</f>
        <v>0</v>
      </c>
      <c r="S284" s="9">
        <f>SUM(IFERROR(VLOOKUP($C:$C,Structure!$A:$AJ,S$1,0)*$D284,0),IFERROR(VLOOKUP($E:$E,Structure!$A:$AJ,S$1,0)*$F284,0),IFERROR(VLOOKUP($G:$G,Structure!$A:$AJ,S$1,0)*$H284,0))</f>
        <v>8</v>
      </c>
      <c r="T284" s="9">
        <f>SUM(IFERROR(VLOOKUP($C:$C,Structure!$A:$AJ,T$1,0)*$D284,0),IFERROR(VLOOKUP($E:$E,Structure!$A:$AJ,T$1,0)*$F284,0),IFERROR(VLOOKUP($G:$G,Structure!$A:$AJ,T$1,0)*$H284,0))</f>
        <v>0</v>
      </c>
      <c r="U284" s="9">
        <f>SUM(IFERROR(VLOOKUP($C:$C,Structure!$A:$AJ,U$1,0)*$D284,0),IFERROR(VLOOKUP($E:$E,Structure!$A:$AJ,U$1,0)*$F284,0),IFERROR(VLOOKUP($G:$G,Structure!$A:$AJ,U$1,0)*$H284,0))</f>
        <v>0</v>
      </c>
      <c r="V284" s="9">
        <f>SUM(IFERROR(VLOOKUP($C:$C,Structure!$A:$AJ,V$1,0)*$D284,0),IFERROR(VLOOKUP($E:$E,Structure!$A:$AJ,V$1,0)*$F284,0),IFERROR(VLOOKUP($G:$G,Structure!$A:$AJ,V$1,0)*$H284,0))</f>
        <v>0</v>
      </c>
      <c r="W284" s="9">
        <f>SUM(IFERROR(VLOOKUP($C:$C,Structure!$A:$AJ,W$1,0)*$D284,0),IFERROR(VLOOKUP($E:$E,Structure!$A:$AJ,W$1,0)*$F284,0),IFERROR(VLOOKUP($G:$G,Structure!$A:$AJ,W$1,0)*$H284,0))</f>
        <v>0</v>
      </c>
      <c r="X284" s="9">
        <f>SUM(IFERROR(VLOOKUP($C:$C,Structure!$A:$AJ,X$1,0)*$D284,0),IFERROR(VLOOKUP($E:$E,Structure!$A:$AJ,X$1,0)*$F284,0),IFERROR(VLOOKUP($G:$G,Structure!$A:$AJ,X$1,0)*$H284,0))</f>
        <v>0</v>
      </c>
      <c r="Y284" s="9">
        <f>SUM(IFERROR(VLOOKUP($C:$C,Structure!$A:$AJ,Y$1,0)*$D284,0),IFERROR(VLOOKUP($E:$E,Structure!$A:$AJ,Y$1,0)*$F284,0),IFERROR(VLOOKUP($G:$G,Structure!$A:$AJ,Y$1,0)*$H284,0))</f>
        <v>0</v>
      </c>
      <c r="Z284" s="9">
        <f>SUM(IFERROR(VLOOKUP($C:$C,Structure!$A:$AJ,Z$1,0)*$D284,0),IFERROR(VLOOKUP($E:$E,Structure!$A:$AJ,Z$1,0)*$F284,0),IFERROR(VLOOKUP($G:$G,Structure!$A:$AJ,Z$1,0)*$H284,0))</f>
        <v>0</v>
      </c>
      <c r="AA284" s="9">
        <f>SUM(IFERROR(VLOOKUP($C:$C,Structure!$A:$AJ,AA$1,0)*$D284,0),IFERROR(VLOOKUP($E:$E,Structure!$A:$AJ,AA$1,0)*$F284,0),IFERROR(VLOOKUP($G:$G,Structure!$A:$AJ,AA$1,0)*$H284,0))</f>
        <v>0</v>
      </c>
      <c r="AB284" s="9">
        <f>SUM(IFERROR(VLOOKUP($C:$C,Structure!$A:$AJ,AB$1,0)*$D284,0),IFERROR(VLOOKUP($E:$E,Structure!$A:$AJ,AB$1,0)*$F284,0),IFERROR(VLOOKUP($G:$G,Structure!$A:$AJ,AB$1,0)*$H284,0))</f>
        <v>0</v>
      </c>
      <c r="AC284" s="9">
        <f>SUM(IFERROR(VLOOKUP($C:$C,Structure!$A:$AJ,AC$1,0)*$D284,0),IFERROR(VLOOKUP($E:$E,Structure!$A:$AJ,AC$1,0)*$F284,0),IFERROR(VLOOKUP($G:$G,Structure!$A:$AJ,AC$1,0)*$H284,0))</f>
        <v>0</v>
      </c>
      <c r="AD284" s="9">
        <f>SUM(IFERROR(VLOOKUP($C:$C,Structure!$A:$AJ,AD$1,0)*$D284,0),IFERROR(VLOOKUP($E:$E,Structure!$A:$AJ,AD$1,0)*$F284,0),IFERROR(VLOOKUP($G:$G,Structure!$A:$AJ,AD$1,0)*$H284,0))</f>
        <v>0</v>
      </c>
      <c r="AE284" s="9">
        <f>SUM(IFERROR(VLOOKUP($C:$C,Structure!$A:$AJ,AE$1,0)*$D284,0),IFERROR(VLOOKUP($E:$E,Structure!$A:$AJ,AE$1,0)*$F284,0),IFERROR(VLOOKUP($G:$G,Structure!$A:$AJ,AE$1,0)*$H284,0))</f>
        <v>0</v>
      </c>
      <c r="AF284" s="9">
        <f>SUM(IFERROR(VLOOKUP($C:$C,Structure!$A:$AJ,AF$1,0)*$D284,0),IFERROR(VLOOKUP($E:$E,Structure!$A:$AJ,AF$1,0)*$F284,0),IFERROR(VLOOKUP($G:$G,Structure!$A:$AJ,AF$1,0)*$H284,0))</f>
        <v>0</v>
      </c>
      <c r="AG284" s="9">
        <f>SUM(IFERROR(VLOOKUP($C:$C,Structure!$A:$AJ,AG$1,0)*$D284,0),IFERROR(VLOOKUP($E:$E,Structure!$A:$AJ,AG$1,0)*$F284,0),IFERROR(VLOOKUP($G:$G,Structure!$A:$AJ,AG$1,0)*$H284,0))</f>
        <v>0</v>
      </c>
      <c r="AH284" s="9">
        <f>SUM(IFERROR(VLOOKUP($C:$C,Structure!$A:$AJ,AH$1,0)*$D284,0),IFERROR(VLOOKUP($E:$E,Structure!$A:$AJ,AH$1,0)*$F284,0),IFERROR(VLOOKUP($G:$G,Structure!$A:$AJ,AH$1,0)*$H284,0))</f>
        <v>0</v>
      </c>
      <c r="AI284" s="9">
        <f>SUM(IFERROR(VLOOKUP($C:$C,Structure!$A:$AJ,AI$1,0)*$D284,0),IFERROR(VLOOKUP($E:$E,Structure!$A:$AJ,AI$1,0)*$F284,0),IFERROR(VLOOKUP($G:$G,Structure!$A:$AJ,AI$1,0)*$H284,0))</f>
        <v>0</v>
      </c>
      <c r="AJ284" s="9">
        <f>SUM(IFERROR(VLOOKUP($C:$C,Structure!$A:$AJ,AJ$1,0)*$D284,0),IFERROR(VLOOKUP($E:$E,Structure!$A:$AJ,AJ$1,0)*$F284,0),IFERROR(VLOOKUP($G:$G,Structure!$A:$AJ,AJ$1,0)*$H284,0))</f>
        <v>0</v>
      </c>
      <c r="AK284" s="9">
        <f>SUM(IFERROR(VLOOKUP($C:$C,Structure!$A:$AJ,AK$1,0)*$D284,0),IFERROR(VLOOKUP($E:$E,Structure!$A:$AJ,AK$1,0)*$F284,0),IFERROR(VLOOKUP($G:$G,Structure!$A:$AJ,AK$1,0)*$H284,0))</f>
        <v>0</v>
      </c>
      <c r="AL284" s="9">
        <f>SUM(IFERROR(VLOOKUP($C:$C,Structure!$A:$AJ,AL$1,0)*$D284,0),IFERROR(VLOOKUP($E:$E,Structure!$A:$AJ,AL$1,0)*$F284,0),IFERROR(VLOOKUP($G:$G,Structure!$A:$AJ,AL$1,0)*$H284,0))</f>
        <v>0</v>
      </c>
      <c r="AM284" s="9">
        <f>SUM(IFERROR(VLOOKUP($C:$C,Structure!$A:$AJ,AM$1,0)*$D284,0),IFERROR(VLOOKUP($E:$E,Structure!$A:$AJ,AM$1,0)*$F284,0),IFERROR(VLOOKUP($G:$G,Structure!$A:$AJ,AM$1,0)*$H284,0))</f>
        <v>0</v>
      </c>
      <c r="AN284" s="9">
        <f>SUM(IFERROR(VLOOKUP($C:$C,Structure!$A:$AJ,AN$1,0)*$D284,0),IFERROR(VLOOKUP($E:$E,Structure!$A:$AJ,AN$1,0)*$F284,0),IFERROR(VLOOKUP($G:$G,Structure!$A:$AJ,AN$1,0)*$H284,0))</f>
        <v>0</v>
      </c>
      <c r="AO284" s="9">
        <f>SUM(IFERROR(VLOOKUP($C:$C,Structure!$A:$AJ,AO$1,0)*$D284,0),IFERROR(VLOOKUP($E:$E,Structure!$A:$AJ,AO$1,0)*$F284,0),IFERROR(VLOOKUP($G:$G,Structure!$A:$AJ,AO$1,0)*$H284,0))</f>
        <v>0</v>
      </c>
      <c r="AP284" s="9">
        <f>SUM(IFERROR(VLOOKUP($C:$C,Structure!$A:$AJ,AP$1,0)*$D284,0),IFERROR(VLOOKUP($E:$E,Structure!$A:$AJ,AP$1,0)*$F284,0),IFERROR(VLOOKUP($G:$G,Structure!$A:$AJ,AP$1,0)*$H284,0))</f>
        <v>0</v>
      </c>
      <c r="AQ284" s="9">
        <f>SUM(IFERROR(VLOOKUP($C:$C,Structure!$A:$AJ,AQ$1,0)*$D284,0),IFERROR(VLOOKUP($E:$E,Structure!$A:$AJ,AQ$1,0)*$F284,0),IFERROR(VLOOKUP($G:$G,Structure!$A:$AJ,AQ$1,0)*$H284,0))</f>
        <v>0</v>
      </c>
      <c r="AR284" s="21" t="s">
        <v>829</v>
      </c>
      <c r="AS284" s="3" t="s">
        <v>352</v>
      </c>
      <c r="AT284" s="3" t="s">
        <v>825</v>
      </c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>
        <v>100</v>
      </c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4">
        <f t="shared" si="267"/>
        <v>0</v>
      </c>
      <c r="CE284" s="4">
        <f t="shared" si="268"/>
        <v>-236</v>
      </c>
      <c r="CF284" s="4">
        <f t="shared" si="269"/>
        <v>4</v>
      </c>
      <c r="CG284" s="4">
        <f t="shared" si="270"/>
        <v>11</v>
      </c>
      <c r="CH284" s="4">
        <f t="shared" si="271"/>
        <v>-7</v>
      </c>
      <c r="CI284" s="4">
        <f t="shared" si="272"/>
        <v>93</v>
      </c>
      <c r="CJ284" s="4">
        <f t="shared" si="273"/>
        <v>-423</v>
      </c>
      <c r="CK284" s="4">
        <f t="shared" si="274"/>
        <v>-57</v>
      </c>
      <c r="CL284" s="4">
        <f t="shared" si="275"/>
        <v>0</v>
      </c>
      <c r="CM284" s="4">
        <f t="shared" si="276"/>
        <v>6</v>
      </c>
      <c r="CN284" s="4">
        <f t="shared" si="277"/>
        <v>-310</v>
      </c>
      <c r="CO284" s="4">
        <f t="shared" si="278"/>
        <v>0</v>
      </c>
      <c r="CP284" s="4">
        <f t="shared" si="279"/>
        <v>-21</v>
      </c>
      <c r="CQ284" s="4">
        <f t="shared" si="280"/>
        <v>-626</v>
      </c>
      <c r="CR284" s="4">
        <f t="shared" si="281"/>
        <v>12</v>
      </c>
      <c r="CS284" s="4">
        <f t="shared" si="282"/>
        <v>-58</v>
      </c>
      <c r="CT284" s="4">
        <f t="shared" si="283"/>
        <v>0</v>
      </c>
      <c r="CU284" s="4">
        <f t="shared" si="284"/>
        <v>0</v>
      </c>
      <c r="CV284" s="4">
        <f t="shared" si="285"/>
        <v>0</v>
      </c>
      <c r="CW284" s="4">
        <f t="shared" si="286"/>
        <v>0</v>
      </c>
      <c r="CX284" s="4">
        <f t="shared" si="287"/>
        <v>-807</v>
      </c>
      <c r="CY284" s="4">
        <f t="shared" si="288"/>
        <v>0</v>
      </c>
      <c r="CZ284" s="4">
        <f t="shared" si="289"/>
        <v>0</v>
      </c>
      <c r="DA284" s="4">
        <f t="shared" si="290"/>
        <v>0</v>
      </c>
      <c r="DB284" s="4">
        <f t="shared" si="291"/>
        <v>0</v>
      </c>
      <c r="DC284" s="4">
        <f t="shared" si="292"/>
        <v>0</v>
      </c>
      <c r="DD284" s="4">
        <f t="shared" si="293"/>
        <v>0</v>
      </c>
      <c r="DE284" s="4">
        <f t="shared" si="294"/>
        <v>0</v>
      </c>
      <c r="DF284" s="4">
        <f t="shared" si="295"/>
        <v>0</v>
      </c>
      <c r="DG284" s="4">
        <f t="shared" si="296"/>
        <v>0</v>
      </c>
      <c r="DH284" s="4">
        <f t="shared" si="297"/>
        <v>0</v>
      </c>
      <c r="DI284" s="4">
        <f t="shared" si="298"/>
        <v>0</v>
      </c>
      <c r="DJ284" s="4">
        <f t="shared" si="299"/>
        <v>0</v>
      </c>
      <c r="DK284" s="4">
        <f t="shared" si="300"/>
        <v>0</v>
      </c>
      <c r="DL284" s="4">
        <f t="shared" si="301"/>
        <v>0</v>
      </c>
    </row>
    <row r="285" spans="1:116" x14ac:dyDescent="0.25">
      <c r="A285" s="5">
        <v>46189</v>
      </c>
      <c r="B285" s="6">
        <v>0.18750000068394002</v>
      </c>
      <c r="C285" s="3"/>
      <c r="D285" s="3"/>
      <c r="E285" s="3" t="s">
        <v>57</v>
      </c>
      <c r="F285" s="3">
        <v>8</v>
      </c>
      <c r="G285" s="3"/>
      <c r="H285" s="9"/>
      <c r="I285" s="9">
        <f>SUM(IFERROR(VLOOKUP($C:$C,Structure!$A:$AJ,I$1,0)*$D285,0),IFERROR(VLOOKUP($E:$E,Structure!$A:$AJ,I$1,0)*$F285,0),IFERROR(VLOOKUP($G:$G,Structure!$A:$AJ,I$1,0)*$H285,0))</f>
        <v>0</v>
      </c>
      <c r="J285" s="9">
        <f>SUM(IFERROR(VLOOKUP($C:$C,Structure!$A:$AJ,J$1,0)*$D285,0),IFERROR(VLOOKUP($E:$E,Structure!$A:$AJ,J$1,0)*$F285,0),IFERROR(VLOOKUP($G:$G,Structure!$A:$AJ,J$1,0)*$H285,0))</f>
        <v>0</v>
      </c>
      <c r="K285" s="9">
        <f>SUM(IFERROR(VLOOKUP($C:$C,Structure!$A:$AJ,K$1,0)*$D285,0),IFERROR(VLOOKUP($E:$E,Structure!$A:$AJ,K$1,0)*$F285,0),IFERROR(VLOOKUP($G:$G,Structure!$A:$AJ,K$1,0)*$H285,0))</f>
        <v>0</v>
      </c>
      <c r="L285" s="9">
        <f>SUM(IFERROR(VLOOKUP($C:$C,Structure!$A:$AJ,L$1,0)*$D285,0),IFERROR(VLOOKUP($E:$E,Structure!$A:$AJ,L$1,0)*$F285,0),IFERROR(VLOOKUP($G:$G,Structure!$A:$AJ,L$1,0)*$H285,0))</f>
        <v>0</v>
      </c>
      <c r="M285" s="9">
        <f>SUM(IFERROR(VLOOKUP($C:$C,Structure!$A:$AJ,M$1,0)*$D285,0),IFERROR(VLOOKUP($E:$E,Structure!$A:$AJ,M$1,0)*$F285,0),IFERROR(VLOOKUP($G:$G,Structure!$A:$AJ,M$1,0)*$H285,0))</f>
        <v>0</v>
      </c>
      <c r="N285" s="9">
        <f>SUM(IFERROR(VLOOKUP($C:$C,Structure!$A:$AJ,N$1,0)*$D285,0),IFERROR(VLOOKUP($E:$E,Structure!$A:$AJ,N$1,0)*$F285,0),IFERROR(VLOOKUP($G:$G,Structure!$A:$AJ,N$1,0)*$H285,0))</f>
        <v>0</v>
      </c>
      <c r="O285" s="9">
        <f>SUM(IFERROR(VLOOKUP($C:$C,Structure!$A:$AJ,O$1,0)*$D285,0),IFERROR(VLOOKUP($E:$E,Structure!$A:$AJ,O$1,0)*$F285,0),IFERROR(VLOOKUP($G:$G,Structure!$A:$AJ,O$1,0)*$H285,0))</f>
        <v>8</v>
      </c>
      <c r="P285" s="9">
        <f>SUM(IFERROR(VLOOKUP($C:$C,Structure!$A:$AJ,P$1,0)*$D285,0),IFERROR(VLOOKUP($E:$E,Structure!$A:$AJ,P$1,0)*$F285,0),IFERROR(VLOOKUP($G:$G,Structure!$A:$AJ,P$1,0)*$H285,0))</f>
        <v>0</v>
      </c>
      <c r="Q285" s="9">
        <f>SUM(IFERROR(VLOOKUP($C:$C,Structure!$A:$AJ,Q$1,0)*$D285,0),IFERROR(VLOOKUP($E:$E,Structure!$A:$AJ,Q$1,0)*$F285,0),IFERROR(VLOOKUP($G:$G,Structure!$A:$AJ,Q$1,0)*$H285,0))</f>
        <v>0</v>
      </c>
      <c r="R285" s="9">
        <f>SUM(IFERROR(VLOOKUP($C:$C,Structure!$A:$AJ,R$1,0)*$D285,0),IFERROR(VLOOKUP($E:$E,Structure!$A:$AJ,R$1,0)*$F285,0),IFERROR(VLOOKUP($G:$G,Structure!$A:$AJ,R$1,0)*$H285,0))</f>
        <v>0</v>
      </c>
      <c r="S285" s="9">
        <f>SUM(IFERROR(VLOOKUP($C:$C,Structure!$A:$AJ,S$1,0)*$D285,0),IFERROR(VLOOKUP($E:$E,Structure!$A:$AJ,S$1,0)*$F285,0),IFERROR(VLOOKUP($G:$G,Structure!$A:$AJ,S$1,0)*$H285,0))</f>
        <v>8</v>
      </c>
      <c r="T285" s="9">
        <f>SUM(IFERROR(VLOOKUP($C:$C,Structure!$A:$AJ,T$1,0)*$D285,0),IFERROR(VLOOKUP($E:$E,Structure!$A:$AJ,T$1,0)*$F285,0),IFERROR(VLOOKUP($G:$G,Structure!$A:$AJ,T$1,0)*$H285,0))</f>
        <v>0</v>
      </c>
      <c r="U285" s="9">
        <f>SUM(IFERROR(VLOOKUP($C:$C,Structure!$A:$AJ,U$1,0)*$D285,0),IFERROR(VLOOKUP($E:$E,Structure!$A:$AJ,U$1,0)*$F285,0),IFERROR(VLOOKUP($G:$G,Structure!$A:$AJ,U$1,0)*$H285,0))</f>
        <v>0</v>
      </c>
      <c r="V285" s="9">
        <f>SUM(IFERROR(VLOOKUP($C:$C,Structure!$A:$AJ,V$1,0)*$D285,0),IFERROR(VLOOKUP($E:$E,Structure!$A:$AJ,V$1,0)*$F285,0),IFERROR(VLOOKUP($G:$G,Structure!$A:$AJ,V$1,0)*$H285,0))</f>
        <v>0</v>
      </c>
      <c r="W285" s="9">
        <f>SUM(IFERROR(VLOOKUP($C:$C,Structure!$A:$AJ,W$1,0)*$D285,0),IFERROR(VLOOKUP($E:$E,Structure!$A:$AJ,W$1,0)*$F285,0),IFERROR(VLOOKUP($G:$G,Structure!$A:$AJ,W$1,0)*$H285,0))</f>
        <v>0</v>
      </c>
      <c r="X285" s="9">
        <f>SUM(IFERROR(VLOOKUP($C:$C,Structure!$A:$AJ,X$1,0)*$D285,0),IFERROR(VLOOKUP($E:$E,Structure!$A:$AJ,X$1,0)*$F285,0),IFERROR(VLOOKUP($G:$G,Structure!$A:$AJ,X$1,0)*$H285,0))</f>
        <v>0</v>
      </c>
      <c r="Y285" s="9">
        <f>SUM(IFERROR(VLOOKUP($C:$C,Structure!$A:$AJ,Y$1,0)*$D285,0),IFERROR(VLOOKUP($E:$E,Structure!$A:$AJ,Y$1,0)*$F285,0),IFERROR(VLOOKUP($G:$G,Structure!$A:$AJ,Y$1,0)*$H285,0))</f>
        <v>0</v>
      </c>
      <c r="Z285" s="9">
        <f>SUM(IFERROR(VLOOKUP($C:$C,Structure!$A:$AJ,Z$1,0)*$D285,0),IFERROR(VLOOKUP($E:$E,Structure!$A:$AJ,Z$1,0)*$F285,0),IFERROR(VLOOKUP($G:$G,Structure!$A:$AJ,Z$1,0)*$H285,0))</f>
        <v>0</v>
      </c>
      <c r="AA285" s="9">
        <f>SUM(IFERROR(VLOOKUP($C:$C,Structure!$A:$AJ,AA$1,0)*$D285,0),IFERROR(VLOOKUP($E:$E,Structure!$A:$AJ,AA$1,0)*$F285,0),IFERROR(VLOOKUP($G:$G,Structure!$A:$AJ,AA$1,0)*$H285,0))</f>
        <v>0</v>
      </c>
      <c r="AB285" s="9">
        <f>SUM(IFERROR(VLOOKUP($C:$C,Structure!$A:$AJ,AB$1,0)*$D285,0),IFERROR(VLOOKUP($E:$E,Structure!$A:$AJ,AB$1,0)*$F285,0),IFERROR(VLOOKUP($G:$G,Structure!$A:$AJ,AB$1,0)*$H285,0))</f>
        <v>0</v>
      </c>
      <c r="AC285" s="9">
        <f>SUM(IFERROR(VLOOKUP($C:$C,Structure!$A:$AJ,AC$1,0)*$D285,0),IFERROR(VLOOKUP($E:$E,Structure!$A:$AJ,AC$1,0)*$F285,0),IFERROR(VLOOKUP($G:$G,Structure!$A:$AJ,AC$1,0)*$H285,0))</f>
        <v>0</v>
      </c>
      <c r="AD285" s="9">
        <f>SUM(IFERROR(VLOOKUP($C:$C,Structure!$A:$AJ,AD$1,0)*$D285,0),IFERROR(VLOOKUP($E:$E,Structure!$A:$AJ,AD$1,0)*$F285,0),IFERROR(VLOOKUP($G:$G,Structure!$A:$AJ,AD$1,0)*$H285,0))</f>
        <v>0</v>
      </c>
      <c r="AE285" s="9">
        <f>SUM(IFERROR(VLOOKUP($C:$C,Structure!$A:$AJ,AE$1,0)*$D285,0),IFERROR(VLOOKUP($E:$E,Structure!$A:$AJ,AE$1,0)*$F285,0),IFERROR(VLOOKUP($G:$G,Structure!$A:$AJ,AE$1,0)*$H285,0))</f>
        <v>0</v>
      </c>
      <c r="AF285" s="9">
        <f>SUM(IFERROR(VLOOKUP($C:$C,Structure!$A:$AJ,AF$1,0)*$D285,0),IFERROR(VLOOKUP($E:$E,Structure!$A:$AJ,AF$1,0)*$F285,0),IFERROR(VLOOKUP($G:$G,Structure!$A:$AJ,AF$1,0)*$H285,0))</f>
        <v>0</v>
      </c>
      <c r="AG285" s="9">
        <f>SUM(IFERROR(VLOOKUP($C:$C,Structure!$A:$AJ,AG$1,0)*$D285,0),IFERROR(VLOOKUP($E:$E,Structure!$A:$AJ,AG$1,0)*$F285,0),IFERROR(VLOOKUP($G:$G,Structure!$A:$AJ,AG$1,0)*$H285,0))</f>
        <v>0</v>
      </c>
      <c r="AH285" s="9">
        <f>SUM(IFERROR(VLOOKUP($C:$C,Structure!$A:$AJ,AH$1,0)*$D285,0),IFERROR(VLOOKUP($E:$E,Structure!$A:$AJ,AH$1,0)*$F285,0),IFERROR(VLOOKUP($G:$G,Structure!$A:$AJ,AH$1,0)*$H285,0))</f>
        <v>0</v>
      </c>
      <c r="AI285" s="9">
        <f>SUM(IFERROR(VLOOKUP($C:$C,Structure!$A:$AJ,AI$1,0)*$D285,0),IFERROR(VLOOKUP($E:$E,Structure!$A:$AJ,AI$1,0)*$F285,0),IFERROR(VLOOKUP($G:$G,Structure!$A:$AJ,AI$1,0)*$H285,0))</f>
        <v>0</v>
      </c>
      <c r="AJ285" s="9">
        <f>SUM(IFERROR(VLOOKUP($C:$C,Structure!$A:$AJ,AJ$1,0)*$D285,0),IFERROR(VLOOKUP($E:$E,Structure!$A:$AJ,AJ$1,0)*$F285,0),IFERROR(VLOOKUP($G:$G,Structure!$A:$AJ,AJ$1,0)*$H285,0))</f>
        <v>0</v>
      </c>
      <c r="AK285" s="9">
        <f>SUM(IFERROR(VLOOKUP($C:$C,Structure!$A:$AJ,AK$1,0)*$D285,0),IFERROR(VLOOKUP($E:$E,Structure!$A:$AJ,AK$1,0)*$F285,0),IFERROR(VLOOKUP($G:$G,Structure!$A:$AJ,AK$1,0)*$H285,0))</f>
        <v>0</v>
      </c>
      <c r="AL285" s="9">
        <f>SUM(IFERROR(VLOOKUP($C:$C,Structure!$A:$AJ,AL$1,0)*$D285,0),IFERROR(VLOOKUP($E:$E,Structure!$A:$AJ,AL$1,0)*$F285,0),IFERROR(VLOOKUP($G:$G,Structure!$A:$AJ,AL$1,0)*$H285,0))</f>
        <v>0</v>
      </c>
      <c r="AM285" s="9">
        <f>SUM(IFERROR(VLOOKUP($C:$C,Structure!$A:$AJ,AM$1,0)*$D285,0),IFERROR(VLOOKUP($E:$E,Structure!$A:$AJ,AM$1,0)*$F285,0),IFERROR(VLOOKUP($G:$G,Structure!$A:$AJ,AM$1,0)*$H285,0))</f>
        <v>0</v>
      </c>
      <c r="AN285" s="9">
        <f>SUM(IFERROR(VLOOKUP($C:$C,Structure!$A:$AJ,AN$1,0)*$D285,0),IFERROR(VLOOKUP($E:$E,Structure!$A:$AJ,AN$1,0)*$F285,0),IFERROR(VLOOKUP($G:$G,Structure!$A:$AJ,AN$1,0)*$H285,0))</f>
        <v>0</v>
      </c>
      <c r="AO285" s="9">
        <f>SUM(IFERROR(VLOOKUP($C:$C,Structure!$A:$AJ,AO$1,0)*$D285,0),IFERROR(VLOOKUP($E:$E,Structure!$A:$AJ,AO$1,0)*$F285,0),IFERROR(VLOOKUP($G:$G,Structure!$A:$AJ,AO$1,0)*$H285,0))</f>
        <v>0</v>
      </c>
      <c r="AP285" s="9">
        <f>SUM(IFERROR(VLOOKUP($C:$C,Structure!$A:$AJ,AP$1,0)*$D285,0),IFERROR(VLOOKUP($E:$E,Structure!$A:$AJ,AP$1,0)*$F285,0),IFERROR(VLOOKUP($G:$G,Structure!$A:$AJ,AP$1,0)*$H285,0))</f>
        <v>0</v>
      </c>
      <c r="AQ285" s="9">
        <f>SUM(IFERROR(VLOOKUP($C:$C,Structure!$A:$AJ,AQ$1,0)*$D285,0),IFERROR(VLOOKUP($E:$E,Structure!$A:$AJ,AQ$1,0)*$F285,0),IFERROR(VLOOKUP($G:$G,Structure!$A:$AJ,AQ$1,0)*$H285,0))</f>
        <v>0</v>
      </c>
      <c r="AR285" s="21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4">
        <f t="shared" si="267"/>
        <v>0</v>
      </c>
      <c r="CE285" s="4">
        <f t="shared" si="268"/>
        <v>-236</v>
      </c>
      <c r="CF285" s="4">
        <f t="shared" si="269"/>
        <v>4</v>
      </c>
      <c r="CG285" s="4">
        <f t="shared" si="270"/>
        <v>11</v>
      </c>
      <c r="CH285" s="4">
        <f t="shared" si="271"/>
        <v>-7</v>
      </c>
      <c r="CI285" s="4">
        <f t="shared" si="272"/>
        <v>93</v>
      </c>
      <c r="CJ285" s="4">
        <f t="shared" si="273"/>
        <v>-431</v>
      </c>
      <c r="CK285" s="4">
        <f t="shared" si="274"/>
        <v>-57</v>
      </c>
      <c r="CL285" s="4">
        <f t="shared" si="275"/>
        <v>0</v>
      </c>
      <c r="CM285" s="4">
        <f t="shared" si="276"/>
        <v>6</v>
      </c>
      <c r="CN285" s="4">
        <f t="shared" si="277"/>
        <v>-318</v>
      </c>
      <c r="CO285" s="4">
        <f t="shared" si="278"/>
        <v>0</v>
      </c>
      <c r="CP285" s="4">
        <f t="shared" si="279"/>
        <v>-21</v>
      </c>
      <c r="CQ285" s="4">
        <f t="shared" si="280"/>
        <v>-626</v>
      </c>
      <c r="CR285" s="4">
        <f t="shared" si="281"/>
        <v>12</v>
      </c>
      <c r="CS285" s="4">
        <f t="shared" si="282"/>
        <v>-58</v>
      </c>
      <c r="CT285" s="4">
        <f t="shared" si="283"/>
        <v>0</v>
      </c>
      <c r="CU285" s="4">
        <f t="shared" si="284"/>
        <v>0</v>
      </c>
      <c r="CV285" s="4">
        <f t="shared" si="285"/>
        <v>0</v>
      </c>
      <c r="CW285" s="4">
        <f t="shared" si="286"/>
        <v>0</v>
      </c>
      <c r="CX285" s="4">
        <f t="shared" si="287"/>
        <v>-807</v>
      </c>
      <c r="CY285" s="4">
        <f t="shared" si="288"/>
        <v>0</v>
      </c>
      <c r="CZ285" s="4">
        <f t="shared" si="289"/>
        <v>0</v>
      </c>
      <c r="DA285" s="4">
        <f t="shared" si="290"/>
        <v>0</v>
      </c>
      <c r="DB285" s="4">
        <f t="shared" si="291"/>
        <v>0</v>
      </c>
      <c r="DC285" s="4">
        <f t="shared" si="292"/>
        <v>0</v>
      </c>
      <c r="DD285" s="4">
        <f t="shared" si="293"/>
        <v>0</v>
      </c>
      <c r="DE285" s="4">
        <f t="shared" si="294"/>
        <v>0</v>
      </c>
      <c r="DF285" s="4">
        <f t="shared" si="295"/>
        <v>0</v>
      </c>
      <c r="DG285" s="4">
        <f t="shared" si="296"/>
        <v>0</v>
      </c>
      <c r="DH285" s="4">
        <f t="shared" si="297"/>
        <v>0</v>
      </c>
      <c r="DI285" s="4">
        <f t="shared" si="298"/>
        <v>0</v>
      </c>
      <c r="DJ285" s="4">
        <f t="shared" si="299"/>
        <v>0</v>
      </c>
      <c r="DK285" s="4">
        <f t="shared" si="300"/>
        <v>0</v>
      </c>
      <c r="DL285" s="4">
        <f t="shared" si="301"/>
        <v>0</v>
      </c>
    </row>
    <row r="286" spans="1:116" x14ac:dyDescent="0.25">
      <c r="A286" s="5">
        <v>46189</v>
      </c>
      <c r="B286" s="6">
        <v>0.20833333401969867</v>
      </c>
      <c r="C286" s="3"/>
      <c r="D286" s="3"/>
      <c r="E286" s="3" t="s">
        <v>57</v>
      </c>
      <c r="F286" s="3">
        <v>8</v>
      </c>
      <c r="G286" s="3"/>
      <c r="H286" s="9"/>
      <c r="I286" s="9">
        <f>SUM(IFERROR(VLOOKUP($C:$C,Structure!$A:$AJ,I$1,0)*$D286,0),IFERROR(VLOOKUP($E:$E,Structure!$A:$AJ,I$1,0)*$F286,0),IFERROR(VLOOKUP($G:$G,Structure!$A:$AJ,I$1,0)*$H286,0))</f>
        <v>0</v>
      </c>
      <c r="J286" s="9">
        <f>SUM(IFERROR(VLOOKUP($C:$C,Structure!$A:$AJ,J$1,0)*$D286,0),IFERROR(VLOOKUP($E:$E,Structure!$A:$AJ,J$1,0)*$F286,0),IFERROR(VLOOKUP($G:$G,Structure!$A:$AJ,J$1,0)*$H286,0))</f>
        <v>0</v>
      </c>
      <c r="K286" s="9">
        <f>SUM(IFERROR(VLOOKUP($C:$C,Structure!$A:$AJ,K$1,0)*$D286,0),IFERROR(VLOOKUP($E:$E,Structure!$A:$AJ,K$1,0)*$F286,0),IFERROR(VLOOKUP($G:$G,Structure!$A:$AJ,K$1,0)*$H286,0))</f>
        <v>0</v>
      </c>
      <c r="L286" s="9">
        <f>SUM(IFERROR(VLOOKUP($C:$C,Structure!$A:$AJ,L$1,0)*$D286,0),IFERROR(VLOOKUP($E:$E,Structure!$A:$AJ,L$1,0)*$F286,0),IFERROR(VLOOKUP($G:$G,Structure!$A:$AJ,L$1,0)*$H286,0))</f>
        <v>0</v>
      </c>
      <c r="M286" s="9">
        <f>SUM(IFERROR(VLOOKUP($C:$C,Structure!$A:$AJ,M$1,0)*$D286,0),IFERROR(VLOOKUP($E:$E,Structure!$A:$AJ,M$1,0)*$F286,0),IFERROR(VLOOKUP($G:$G,Structure!$A:$AJ,M$1,0)*$H286,0))</f>
        <v>0</v>
      </c>
      <c r="N286" s="9">
        <f>SUM(IFERROR(VLOOKUP($C:$C,Structure!$A:$AJ,N$1,0)*$D286,0),IFERROR(VLOOKUP($E:$E,Structure!$A:$AJ,N$1,0)*$F286,0),IFERROR(VLOOKUP($G:$G,Structure!$A:$AJ,N$1,0)*$H286,0))</f>
        <v>0</v>
      </c>
      <c r="O286" s="9">
        <f>SUM(IFERROR(VLOOKUP($C:$C,Structure!$A:$AJ,O$1,0)*$D286,0),IFERROR(VLOOKUP($E:$E,Structure!$A:$AJ,O$1,0)*$F286,0),IFERROR(VLOOKUP($G:$G,Structure!$A:$AJ,O$1,0)*$H286,0))</f>
        <v>8</v>
      </c>
      <c r="P286" s="9">
        <f>SUM(IFERROR(VLOOKUP($C:$C,Structure!$A:$AJ,P$1,0)*$D286,0),IFERROR(VLOOKUP($E:$E,Structure!$A:$AJ,P$1,0)*$F286,0),IFERROR(VLOOKUP($G:$G,Structure!$A:$AJ,P$1,0)*$H286,0))</f>
        <v>0</v>
      </c>
      <c r="Q286" s="9">
        <f>SUM(IFERROR(VLOOKUP($C:$C,Structure!$A:$AJ,Q$1,0)*$D286,0),IFERROR(VLOOKUP($E:$E,Structure!$A:$AJ,Q$1,0)*$F286,0),IFERROR(VLOOKUP($G:$G,Structure!$A:$AJ,Q$1,0)*$H286,0))</f>
        <v>0</v>
      </c>
      <c r="R286" s="9">
        <f>SUM(IFERROR(VLOOKUP($C:$C,Structure!$A:$AJ,R$1,0)*$D286,0),IFERROR(VLOOKUP($E:$E,Structure!$A:$AJ,R$1,0)*$F286,0),IFERROR(VLOOKUP($G:$G,Structure!$A:$AJ,R$1,0)*$H286,0))</f>
        <v>0</v>
      </c>
      <c r="S286" s="9">
        <f>SUM(IFERROR(VLOOKUP($C:$C,Structure!$A:$AJ,S$1,0)*$D286,0),IFERROR(VLOOKUP($E:$E,Structure!$A:$AJ,S$1,0)*$F286,0),IFERROR(VLOOKUP($G:$G,Structure!$A:$AJ,S$1,0)*$H286,0))</f>
        <v>8</v>
      </c>
      <c r="T286" s="9">
        <f>SUM(IFERROR(VLOOKUP($C:$C,Structure!$A:$AJ,T$1,0)*$D286,0),IFERROR(VLOOKUP($E:$E,Structure!$A:$AJ,T$1,0)*$F286,0),IFERROR(VLOOKUP($G:$G,Structure!$A:$AJ,T$1,0)*$H286,0))</f>
        <v>0</v>
      </c>
      <c r="U286" s="9">
        <f>SUM(IFERROR(VLOOKUP($C:$C,Structure!$A:$AJ,U$1,0)*$D286,0),IFERROR(VLOOKUP($E:$E,Structure!$A:$AJ,U$1,0)*$F286,0),IFERROR(VLOOKUP($G:$G,Structure!$A:$AJ,U$1,0)*$H286,0))</f>
        <v>0</v>
      </c>
      <c r="V286" s="9">
        <f>SUM(IFERROR(VLOOKUP($C:$C,Structure!$A:$AJ,V$1,0)*$D286,0),IFERROR(VLOOKUP($E:$E,Structure!$A:$AJ,V$1,0)*$F286,0),IFERROR(VLOOKUP($G:$G,Structure!$A:$AJ,V$1,0)*$H286,0))</f>
        <v>0</v>
      </c>
      <c r="W286" s="9">
        <f>SUM(IFERROR(VLOOKUP($C:$C,Structure!$A:$AJ,W$1,0)*$D286,0),IFERROR(VLOOKUP($E:$E,Structure!$A:$AJ,W$1,0)*$F286,0),IFERROR(VLOOKUP($G:$G,Structure!$A:$AJ,W$1,0)*$H286,0))</f>
        <v>0</v>
      </c>
      <c r="X286" s="9">
        <f>SUM(IFERROR(VLOOKUP($C:$C,Structure!$A:$AJ,X$1,0)*$D286,0),IFERROR(VLOOKUP($E:$E,Structure!$A:$AJ,X$1,0)*$F286,0),IFERROR(VLOOKUP($G:$G,Structure!$A:$AJ,X$1,0)*$H286,0))</f>
        <v>0</v>
      </c>
      <c r="Y286" s="9">
        <f>SUM(IFERROR(VLOOKUP($C:$C,Structure!$A:$AJ,Y$1,0)*$D286,0),IFERROR(VLOOKUP($E:$E,Structure!$A:$AJ,Y$1,0)*$F286,0),IFERROR(VLOOKUP($G:$G,Structure!$A:$AJ,Y$1,0)*$H286,0))</f>
        <v>0</v>
      </c>
      <c r="Z286" s="9">
        <f>SUM(IFERROR(VLOOKUP($C:$C,Structure!$A:$AJ,Z$1,0)*$D286,0),IFERROR(VLOOKUP($E:$E,Structure!$A:$AJ,Z$1,0)*$F286,0),IFERROR(VLOOKUP($G:$G,Structure!$A:$AJ,Z$1,0)*$H286,0))</f>
        <v>0</v>
      </c>
      <c r="AA286" s="9">
        <f>SUM(IFERROR(VLOOKUP($C:$C,Structure!$A:$AJ,AA$1,0)*$D286,0),IFERROR(VLOOKUP($E:$E,Structure!$A:$AJ,AA$1,0)*$F286,0),IFERROR(VLOOKUP($G:$G,Structure!$A:$AJ,AA$1,0)*$H286,0))</f>
        <v>0</v>
      </c>
      <c r="AB286" s="9">
        <f>SUM(IFERROR(VLOOKUP($C:$C,Structure!$A:$AJ,AB$1,0)*$D286,0),IFERROR(VLOOKUP($E:$E,Structure!$A:$AJ,AB$1,0)*$F286,0),IFERROR(VLOOKUP($G:$G,Structure!$A:$AJ,AB$1,0)*$H286,0))</f>
        <v>0</v>
      </c>
      <c r="AC286" s="9">
        <f>SUM(IFERROR(VLOOKUP($C:$C,Structure!$A:$AJ,AC$1,0)*$D286,0),IFERROR(VLOOKUP($E:$E,Structure!$A:$AJ,AC$1,0)*$F286,0),IFERROR(VLOOKUP($G:$G,Structure!$A:$AJ,AC$1,0)*$H286,0))</f>
        <v>0</v>
      </c>
      <c r="AD286" s="9">
        <f>SUM(IFERROR(VLOOKUP($C:$C,Structure!$A:$AJ,AD$1,0)*$D286,0),IFERROR(VLOOKUP($E:$E,Structure!$A:$AJ,AD$1,0)*$F286,0),IFERROR(VLOOKUP($G:$G,Structure!$A:$AJ,AD$1,0)*$H286,0))</f>
        <v>0</v>
      </c>
      <c r="AE286" s="9">
        <f>SUM(IFERROR(VLOOKUP($C:$C,Structure!$A:$AJ,AE$1,0)*$D286,0),IFERROR(VLOOKUP($E:$E,Structure!$A:$AJ,AE$1,0)*$F286,0),IFERROR(VLOOKUP($G:$G,Structure!$A:$AJ,AE$1,0)*$H286,0))</f>
        <v>0</v>
      </c>
      <c r="AF286" s="9">
        <f>SUM(IFERROR(VLOOKUP($C:$C,Structure!$A:$AJ,AF$1,0)*$D286,0),IFERROR(VLOOKUP($E:$E,Structure!$A:$AJ,AF$1,0)*$F286,0),IFERROR(VLOOKUP($G:$G,Structure!$A:$AJ,AF$1,0)*$H286,0))</f>
        <v>0</v>
      </c>
      <c r="AG286" s="9">
        <f>SUM(IFERROR(VLOOKUP($C:$C,Structure!$A:$AJ,AG$1,0)*$D286,0),IFERROR(VLOOKUP($E:$E,Structure!$A:$AJ,AG$1,0)*$F286,0),IFERROR(VLOOKUP($G:$G,Structure!$A:$AJ,AG$1,0)*$H286,0))</f>
        <v>0</v>
      </c>
      <c r="AH286" s="9">
        <f>SUM(IFERROR(VLOOKUP($C:$C,Structure!$A:$AJ,AH$1,0)*$D286,0),IFERROR(VLOOKUP($E:$E,Structure!$A:$AJ,AH$1,0)*$F286,0),IFERROR(VLOOKUP($G:$G,Structure!$A:$AJ,AH$1,0)*$H286,0))</f>
        <v>0</v>
      </c>
      <c r="AI286" s="9">
        <f>SUM(IFERROR(VLOOKUP($C:$C,Structure!$A:$AJ,AI$1,0)*$D286,0),IFERROR(VLOOKUP($E:$E,Structure!$A:$AJ,AI$1,0)*$F286,0),IFERROR(VLOOKUP($G:$G,Structure!$A:$AJ,AI$1,0)*$H286,0))</f>
        <v>0</v>
      </c>
      <c r="AJ286" s="9">
        <f>SUM(IFERROR(VLOOKUP($C:$C,Structure!$A:$AJ,AJ$1,0)*$D286,0),IFERROR(VLOOKUP($E:$E,Structure!$A:$AJ,AJ$1,0)*$F286,0),IFERROR(VLOOKUP($G:$G,Structure!$A:$AJ,AJ$1,0)*$H286,0))</f>
        <v>0</v>
      </c>
      <c r="AK286" s="9">
        <f>SUM(IFERROR(VLOOKUP($C:$C,Structure!$A:$AJ,AK$1,0)*$D286,0),IFERROR(VLOOKUP($E:$E,Structure!$A:$AJ,AK$1,0)*$F286,0),IFERROR(VLOOKUP($G:$G,Structure!$A:$AJ,AK$1,0)*$H286,0))</f>
        <v>0</v>
      </c>
      <c r="AL286" s="9">
        <f>SUM(IFERROR(VLOOKUP($C:$C,Structure!$A:$AJ,AL$1,0)*$D286,0),IFERROR(VLOOKUP($E:$E,Structure!$A:$AJ,AL$1,0)*$F286,0),IFERROR(VLOOKUP($G:$G,Structure!$A:$AJ,AL$1,0)*$H286,0))</f>
        <v>0</v>
      </c>
      <c r="AM286" s="9">
        <f>SUM(IFERROR(VLOOKUP($C:$C,Structure!$A:$AJ,AM$1,0)*$D286,0),IFERROR(VLOOKUP($E:$E,Structure!$A:$AJ,AM$1,0)*$F286,0),IFERROR(VLOOKUP($G:$G,Structure!$A:$AJ,AM$1,0)*$H286,0))</f>
        <v>0</v>
      </c>
      <c r="AN286" s="9">
        <f>SUM(IFERROR(VLOOKUP($C:$C,Structure!$A:$AJ,AN$1,0)*$D286,0),IFERROR(VLOOKUP($E:$E,Structure!$A:$AJ,AN$1,0)*$F286,0),IFERROR(VLOOKUP($G:$G,Structure!$A:$AJ,AN$1,0)*$H286,0))</f>
        <v>0</v>
      </c>
      <c r="AO286" s="9">
        <f>SUM(IFERROR(VLOOKUP($C:$C,Structure!$A:$AJ,AO$1,0)*$D286,0),IFERROR(VLOOKUP($E:$E,Structure!$A:$AJ,AO$1,0)*$F286,0),IFERROR(VLOOKUP($G:$G,Structure!$A:$AJ,AO$1,0)*$H286,0))</f>
        <v>0</v>
      </c>
      <c r="AP286" s="9">
        <f>SUM(IFERROR(VLOOKUP($C:$C,Structure!$A:$AJ,AP$1,0)*$D286,0),IFERROR(VLOOKUP($E:$E,Structure!$A:$AJ,AP$1,0)*$F286,0),IFERROR(VLOOKUP($G:$G,Structure!$A:$AJ,AP$1,0)*$H286,0))</f>
        <v>0</v>
      </c>
      <c r="AQ286" s="9">
        <f>SUM(IFERROR(VLOOKUP($C:$C,Structure!$A:$AJ,AQ$1,0)*$D286,0),IFERROR(VLOOKUP($E:$E,Structure!$A:$AJ,AQ$1,0)*$F286,0),IFERROR(VLOOKUP($G:$G,Structure!$A:$AJ,AQ$1,0)*$H286,0))</f>
        <v>0</v>
      </c>
      <c r="AR286" s="21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4">
        <f t="shared" si="267"/>
        <v>0</v>
      </c>
      <c r="CE286" s="4">
        <f t="shared" si="268"/>
        <v>-236</v>
      </c>
      <c r="CF286" s="4">
        <f t="shared" si="269"/>
        <v>4</v>
      </c>
      <c r="CG286" s="4">
        <f t="shared" si="270"/>
        <v>11</v>
      </c>
      <c r="CH286" s="4">
        <f t="shared" si="271"/>
        <v>-7</v>
      </c>
      <c r="CI286" s="4">
        <f t="shared" si="272"/>
        <v>93</v>
      </c>
      <c r="CJ286" s="4">
        <f t="shared" si="273"/>
        <v>-439</v>
      </c>
      <c r="CK286" s="4">
        <f t="shared" si="274"/>
        <v>-57</v>
      </c>
      <c r="CL286" s="4">
        <f t="shared" si="275"/>
        <v>0</v>
      </c>
      <c r="CM286" s="4">
        <f t="shared" si="276"/>
        <v>6</v>
      </c>
      <c r="CN286" s="4">
        <f t="shared" si="277"/>
        <v>-326</v>
      </c>
      <c r="CO286" s="4">
        <f t="shared" si="278"/>
        <v>0</v>
      </c>
      <c r="CP286" s="4">
        <f t="shared" si="279"/>
        <v>-21</v>
      </c>
      <c r="CQ286" s="4">
        <f t="shared" si="280"/>
        <v>-626</v>
      </c>
      <c r="CR286" s="4">
        <f t="shared" si="281"/>
        <v>12</v>
      </c>
      <c r="CS286" s="4">
        <f t="shared" si="282"/>
        <v>-58</v>
      </c>
      <c r="CT286" s="4">
        <f t="shared" si="283"/>
        <v>0</v>
      </c>
      <c r="CU286" s="4">
        <f t="shared" si="284"/>
        <v>0</v>
      </c>
      <c r="CV286" s="4">
        <f t="shared" si="285"/>
        <v>0</v>
      </c>
      <c r="CW286" s="4">
        <f t="shared" si="286"/>
        <v>0</v>
      </c>
      <c r="CX286" s="4">
        <f t="shared" si="287"/>
        <v>-807</v>
      </c>
      <c r="CY286" s="4">
        <f t="shared" si="288"/>
        <v>0</v>
      </c>
      <c r="CZ286" s="4">
        <f t="shared" si="289"/>
        <v>0</v>
      </c>
      <c r="DA286" s="4">
        <f t="shared" si="290"/>
        <v>0</v>
      </c>
      <c r="DB286" s="4">
        <f t="shared" si="291"/>
        <v>0</v>
      </c>
      <c r="DC286" s="4">
        <f t="shared" si="292"/>
        <v>0</v>
      </c>
      <c r="DD286" s="4">
        <f t="shared" si="293"/>
        <v>0</v>
      </c>
      <c r="DE286" s="4">
        <f t="shared" si="294"/>
        <v>0</v>
      </c>
      <c r="DF286" s="4">
        <f t="shared" si="295"/>
        <v>0</v>
      </c>
      <c r="DG286" s="4">
        <f t="shared" si="296"/>
        <v>0</v>
      </c>
      <c r="DH286" s="4">
        <f t="shared" si="297"/>
        <v>0</v>
      </c>
      <c r="DI286" s="4">
        <f t="shared" si="298"/>
        <v>0</v>
      </c>
      <c r="DJ286" s="4">
        <f t="shared" si="299"/>
        <v>0</v>
      </c>
      <c r="DK286" s="4">
        <f t="shared" si="300"/>
        <v>0</v>
      </c>
      <c r="DL286" s="4">
        <f t="shared" si="301"/>
        <v>0</v>
      </c>
    </row>
    <row r="287" spans="1:116" x14ac:dyDescent="0.25">
      <c r="A287" s="5">
        <v>46189</v>
      </c>
      <c r="B287" s="6">
        <v>0.22916666735545732</v>
      </c>
      <c r="C287" s="3"/>
      <c r="D287" s="3"/>
      <c r="E287" s="3" t="s">
        <v>57</v>
      </c>
      <c r="F287" s="3">
        <v>8</v>
      </c>
      <c r="G287" s="3"/>
      <c r="H287" s="9"/>
      <c r="I287" s="9">
        <f>SUM(IFERROR(VLOOKUP($C:$C,Structure!$A:$AJ,I$1,0)*$D287,0),IFERROR(VLOOKUP($E:$E,Structure!$A:$AJ,I$1,0)*$F287,0),IFERROR(VLOOKUP($G:$G,Structure!$A:$AJ,I$1,0)*$H287,0))</f>
        <v>0</v>
      </c>
      <c r="J287" s="9">
        <f>SUM(IFERROR(VLOOKUP($C:$C,Structure!$A:$AJ,J$1,0)*$D287,0),IFERROR(VLOOKUP($E:$E,Structure!$A:$AJ,J$1,0)*$F287,0),IFERROR(VLOOKUP($G:$G,Structure!$A:$AJ,J$1,0)*$H287,0))</f>
        <v>0</v>
      </c>
      <c r="K287" s="9">
        <f>SUM(IFERROR(VLOOKUP($C:$C,Structure!$A:$AJ,K$1,0)*$D287,0),IFERROR(VLOOKUP($E:$E,Structure!$A:$AJ,K$1,0)*$F287,0),IFERROR(VLOOKUP($G:$G,Structure!$A:$AJ,K$1,0)*$H287,0))</f>
        <v>0</v>
      </c>
      <c r="L287" s="9">
        <f>SUM(IFERROR(VLOOKUP($C:$C,Structure!$A:$AJ,L$1,0)*$D287,0),IFERROR(VLOOKUP($E:$E,Structure!$A:$AJ,L$1,0)*$F287,0),IFERROR(VLOOKUP($G:$G,Structure!$A:$AJ,L$1,0)*$H287,0))</f>
        <v>0</v>
      </c>
      <c r="M287" s="9">
        <f>SUM(IFERROR(VLOOKUP($C:$C,Structure!$A:$AJ,M$1,0)*$D287,0),IFERROR(VLOOKUP($E:$E,Structure!$A:$AJ,M$1,0)*$F287,0),IFERROR(VLOOKUP($G:$G,Structure!$A:$AJ,M$1,0)*$H287,0))</f>
        <v>0</v>
      </c>
      <c r="N287" s="9">
        <f>SUM(IFERROR(VLOOKUP($C:$C,Structure!$A:$AJ,N$1,0)*$D287,0),IFERROR(VLOOKUP($E:$E,Structure!$A:$AJ,N$1,0)*$F287,0),IFERROR(VLOOKUP($G:$G,Structure!$A:$AJ,N$1,0)*$H287,0))</f>
        <v>0</v>
      </c>
      <c r="O287" s="9">
        <f>SUM(IFERROR(VLOOKUP($C:$C,Structure!$A:$AJ,O$1,0)*$D287,0),IFERROR(VLOOKUP($E:$E,Structure!$A:$AJ,O$1,0)*$F287,0),IFERROR(VLOOKUP($G:$G,Structure!$A:$AJ,O$1,0)*$H287,0))</f>
        <v>8</v>
      </c>
      <c r="P287" s="9">
        <f>SUM(IFERROR(VLOOKUP($C:$C,Structure!$A:$AJ,P$1,0)*$D287,0),IFERROR(VLOOKUP($E:$E,Structure!$A:$AJ,P$1,0)*$F287,0),IFERROR(VLOOKUP($G:$G,Structure!$A:$AJ,P$1,0)*$H287,0))</f>
        <v>0</v>
      </c>
      <c r="Q287" s="9">
        <f>SUM(IFERROR(VLOOKUP($C:$C,Structure!$A:$AJ,Q$1,0)*$D287,0),IFERROR(VLOOKUP($E:$E,Structure!$A:$AJ,Q$1,0)*$F287,0),IFERROR(VLOOKUP($G:$G,Structure!$A:$AJ,Q$1,0)*$H287,0))</f>
        <v>0</v>
      </c>
      <c r="R287" s="9">
        <f>SUM(IFERROR(VLOOKUP($C:$C,Structure!$A:$AJ,R$1,0)*$D287,0),IFERROR(VLOOKUP($E:$E,Structure!$A:$AJ,R$1,0)*$F287,0),IFERROR(VLOOKUP($G:$G,Structure!$A:$AJ,R$1,0)*$H287,0))</f>
        <v>0</v>
      </c>
      <c r="S287" s="9">
        <f>SUM(IFERROR(VLOOKUP($C:$C,Structure!$A:$AJ,S$1,0)*$D287,0),IFERROR(VLOOKUP($E:$E,Structure!$A:$AJ,S$1,0)*$F287,0),IFERROR(VLOOKUP($G:$G,Structure!$A:$AJ,S$1,0)*$H287,0))</f>
        <v>8</v>
      </c>
      <c r="T287" s="9">
        <f>SUM(IFERROR(VLOOKUP($C:$C,Structure!$A:$AJ,T$1,0)*$D287,0),IFERROR(VLOOKUP($E:$E,Structure!$A:$AJ,T$1,0)*$F287,0),IFERROR(VLOOKUP($G:$G,Structure!$A:$AJ,T$1,0)*$H287,0))</f>
        <v>0</v>
      </c>
      <c r="U287" s="9">
        <f>SUM(IFERROR(VLOOKUP($C:$C,Structure!$A:$AJ,U$1,0)*$D287,0),IFERROR(VLOOKUP($E:$E,Structure!$A:$AJ,U$1,0)*$F287,0),IFERROR(VLOOKUP($G:$G,Structure!$A:$AJ,U$1,0)*$H287,0))</f>
        <v>0</v>
      </c>
      <c r="V287" s="9">
        <f>SUM(IFERROR(VLOOKUP($C:$C,Structure!$A:$AJ,V$1,0)*$D287,0),IFERROR(VLOOKUP($E:$E,Structure!$A:$AJ,V$1,0)*$F287,0),IFERROR(VLOOKUP($G:$G,Structure!$A:$AJ,V$1,0)*$H287,0))</f>
        <v>0</v>
      </c>
      <c r="W287" s="9">
        <f>SUM(IFERROR(VLOOKUP($C:$C,Structure!$A:$AJ,W$1,0)*$D287,0),IFERROR(VLOOKUP($E:$E,Structure!$A:$AJ,W$1,0)*$F287,0),IFERROR(VLOOKUP($G:$G,Structure!$A:$AJ,W$1,0)*$H287,0))</f>
        <v>0</v>
      </c>
      <c r="X287" s="9">
        <f>SUM(IFERROR(VLOOKUP($C:$C,Structure!$A:$AJ,X$1,0)*$D287,0),IFERROR(VLOOKUP($E:$E,Structure!$A:$AJ,X$1,0)*$F287,0),IFERROR(VLOOKUP($G:$G,Structure!$A:$AJ,X$1,0)*$H287,0))</f>
        <v>0</v>
      </c>
      <c r="Y287" s="9">
        <f>SUM(IFERROR(VLOOKUP($C:$C,Structure!$A:$AJ,Y$1,0)*$D287,0),IFERROR(VLOOKUP($E:$E,Structure!$A:$AJ,Y$1,0)*$F287,0),IFERROR(VLOOKUP($G:$G,Structure!$A:$AJ,Y$1,0)*$H287,0))</f>
        <v>0</v>
      </c>
      <c r="Z287" s="9">
        <f>SUM(IFERROR(VLOOKUP($C:$C,Structure!$A:$AJ,Z$1,0)*$D287,0),IFERROR(VLOOKUP($E:$E,Structure!$A:$AJ,Z$1,0)*$F287,0),IFERROR(VLOOKUP($G:$G,Structure!$A:$AJ,Z$1,0)*$H287,0))</f>
        <v>0</v>
      </c>
      <c r="AA287" s="9">
        <f>SUM(IFERROR(VLOOKUP($C:$C,Structure!$A:$AJ,AA$1,0)*$D287,0),IFERROR(VLOOKUP($E:$E,Structure!$A:$AJ,AA$1,0)*$F287,0),IFERROR(VLOOKUP($G:$G,Structure!$A:$AJ,AA$1,0)*$H287,0))</f>
        <v>0</v>
      </c>
      <c r="AB287" s="9">
        <f>SUM(IFERROR(VLOOKUP($C:$C,Structure!$A:$AJ,AB$1,0)*$D287,0),IFERROR(VLOOKUP($E:$E,Structure!$A:$AJ,AB$1,0)*$F287,0),IFERROR(VLOOKUP($G:$G,Structure!$A:$AJ,AB$1,0)*$H287,0))</f>
        <v>0</v>
      </c>
      <c r="AC287" s="9">
        <f>SUM(IFERROR(VLOOKUP($C:$C,Structure!$A:$AJ,AC$1,0)*$D287,0),IFERROR(VLOOKUP($E:$E,Structure!$A:$AJ,AC$1,0)*$F287,0),IFERROR(VLOOKUP($G:$G,Structure!$A:$AJ,AC$1,0)*$H287,0))</f>
        <v>0</v>
      </c>
      <c r="AD287" s="9">
        <f>SUM(IFERROR(VLOOKUP($C:$C,Structure!$A:$AJ,AD$1,0)*$D287,0),IFERROR(VLOOKUP($E:$E,Structure!$A:$AJ,AD$1,0)*$F287,0),IFERROR(VLOOKUP($G:$G,Structure!$A:$AJ,AD$1,0)*$H287,0))</f>
        <v>0</v>
      </c>
      <c r="AE287" s="9">
        <f>SUM(IFERROR(VLOOKUP($C:$C,Structure!$A:$AJ,AE$1,0)*$D287,0),IFERROR(VLOOKUP($E:$E,Structure!$A:$AJ,AE$1,0)*$F287,0),IFERROR(VLOOKUP($G:$G,Structure!$A:$AJ,AE$1,0)*$H287,0))</f>
        <v>0</v>
      </c>
      <c r="AF287" s="9">
        <f>SUM(IFERROR(VLOOKUP($C:$C,Structure!$A:$AJ,AF$1,0)*$D287,0),IFERROR(VLOOKUP($E:$E,Structure!$A:$AJ,AF$1,0)*$F287,0),IFERROR(VLOOKUP($G:$G,Structure!$A:$AJ,AF$1,0)*$H287,0))</f>
        <v>0</v>
      </c>
      <c r="AG287" s="9">
        <f>SUM(IFERROR(VLOOKUP($C:$C,Structure!$A:$AJ,AG$1,0)*$D287,0),IFERROR(VLOOKUP($E:$E,Structure!$A:$AJ,AG$1,0)*$F287,0),IFERROR(VLOOKUP($G:$G,Structure!$A:$AJ,AG$1,0)*$H287,0))</f>
        <v>0</v>
      </c>
      <c r="AH287" s="9">
        <f>SUM(IFERROR(VLOOKUP($C:$C,Structure!$A:$AJ,AH$1,0)*$D287,0),IFERROR(VLOOKUP($E:$E,Structure!$A:$AJ,AH$1,0)*$F287,0),IFERROR(VLOOKUP($G:$G,Structure!$A:$AJ,AH$1,0)*$H287,0))</f>
        <v>0</v>
      </c>
      <c r="AI287" s="9">
        <f>SUM(IFERROR(VLOOKUP($C:$C,Structure!$A:$AJ,AI$1,0)*$D287,0),IFERROR(VLOOKUP($E:$E,Structure!$A:$AJ,AI$1,0)*$F287,0),IFERROR(VLOOKUP($G:$G,Structure!$A:$AJ,AI$1,0)*$H287,0))</f>
        <v>0</v>
      </c>
      <c r="AJ287" s="9">
        <f>SUM(IFERROR(VLOOKUP($C:$C,Structure!$A:$AJ,AJ$1,0)*$D287,0),IFERROR(VLOOKUP($E:$E,Structure!$A:$AJ,AJ$1,0)*$F287,0),IFERROR(VLOOKUP($G:$G,Structure!$A:$AJ,AJ$1,0)*$H287,0))</f>
        <v>0</v>
      </c>
      <c r="AK287" s="9">
        <f>SUM(IFERROR(VLOOKUP($C:$C,Structure!$A:$AJ,AK$1,0)*$D287,0),IFERROR(VLOOKUP($E:$E,Structure!$A:$AJ,AK$1,0)*$F287,0),IFERROR(VLOOKUP($G:$G,Structure!$A:$AJ,AK$1,0)*$H287,0))</f>
        <v>0</v>
      </c>
      <c r="AL287" s="9">
        <f>SUM(IFERROR(VLOOKUP($C:$C,Structure!$A:$AJ,AL$1,0)*$D287,0),IFERROR(VLOOKUP($E:$E,Structure!$A:$AJ,AL$1,0)*$F287,0),IFERROR(VLOOKUP($G:$G,Structure!$A:$AJ,AL$1,0)*$H287,0))</f>
        <v>0</v>
      </c>
      <c r="AM287" s="9">
        <f>SUM(IFERROR(VLOOKUP($C:$C,Structure!$A:$AJ,AM$1,0)*$D287,0),IFERROR(VLOOKUP($E:$E,Structure!$A:$AJ,AM$1,0)*$F287,0),IFERROR(VLOOKUP($G:$G,Structure!$A:$AJ,AM$1,0)*$H287,0))</f>
        <v>0</v>
      </c>
      <c r="AN287" s="9">
        <f>SUM(IFERROR(VLOOKUP($C:$C,Structure!$A:$AJ,AN$1,0)*$D287,0),IFERROR(VLOOKUP($E:$E,Structure!$A:$AJ,AN$1,0)*$F287,0),IFERROR(VLOOKUP($G:$G,Structure!$A:$AJ,AN$1,0)*$H287,0))</f>
        <v>0</v>
      </c>
      <c r="AO287" s="9">
        <f>SUM(IFERROR(VLOOKUP($C:$C,Structure!$A:$AJ,AO$1,0)*$D287,0),IFERROR(VLOOKUP($E:$E,Structure!$A:$AJ,AO$1,0)*$F287,0),IFERROR(VLOOKUP($G:$G,Structure!$A:$AJ,AO$1,0)*$H287,0))</f>
        <v>0</v>
      </c>
      <c r="AP287" s="9">
        <f>SUM(IFERROR(VLOOKUP($C:$C,Structure!$A:$AJ,AP$1,0)*$D287,0),IFERROR(VLOOKUP($E:$E,Structure!$A:$AJ,AP$1,0)*$F287,0),IFERROR(VLOOKUP($G:$G,Structure!$A:$AJ,AP$1,0)*$H287,0))</f>
        <v>0</v>
      </c>
      <c r="AQ287" s="9">
        <f>SUM(IFERROR(VLOOKUP($C:$C,Structure!$A:$AJ,AQ$1,0)*$D287,0),IFERROR(VLOOKUP($E:$E,Structure!$A:$AJ,AQ$1,0)*$F287,0),IFERROR(VLOOKUP($G:$G,Structure!$A:$AJ,AQ$1,0)*$H287,0))</f>
        <v>0</v>
      </c>
      <c r="AR287" s="21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4">
        <f t="shared" si="267"/>
        <v>0</v>
      </c>
      <c r="CE287" s="4">
        <f t="shared" si="268"/>
        <v>-236</v>
      </c>
      <c r="CF287" s="4">
        <f t="shared" si="269"/>
        <v>4</v>
      </c>
      <c r="CG287" s="4">
        <f t="shared" si="270"/>
        <v>11</v>
      </c>
      <c r="CH287" s="4">
        <f t="shared" si="271"/>
        <v>-7</v>
      </c>
      <c r="CI287" s="4">
        <f t="shared" si="272"/>
        <v>93</v>
      </c>
      <c r="CJ287" s="4">
        <f t="shared" si="273"/>
        <v>-447</v>
      </c>
      <c r="CK287" s="4">
        <f t="shared" si="274"/>
        <v>-57</v>
      </c>
      <c r="CL287" s="4">
        <f t="shared" si="275"/>
        <v>0</v>
      </c>
      <c r="CM287" s="4">
        <f t="shared" si="276"/>
        <v>6</v>
      </c>
      <c r="CN287" s="4">
        <f t="shared" si="277"/>
        <v>-334</v>
      </c>
      <c r="CO287" s="4">
        <f t="shared" si="278"/>
        <v>0</v>
      </c>
      <c r="CP287" s="4">
        <f t="shared" si="279"/>
        <v>-21</v>
      </c>
      <c r="CQ287" s="4">
        <f t="shared" si="280"/>
        <v>-626</v>
      </c>
      <c r="CR287" s="4">
        <f t="shared" si="281"/>
        <v>12</v>
      </c>
      <c r="CS287" s="4">
        <f t="shared" si="282"/>
        <v>-58</v>
      </c>
      <c r="CT287" s="4">
        <f t="shared" si="283"/>
        <v>0</v>
      </c>
      <c r="CU287" s="4">
        <f t="shared" si="284"/>
        <v>0</v>
      </c>
      <c r="CV287" s="4">
        <f t="shared" si="285"/>
        <v>0</v>
      </c>
      <c r="CW287" s="4">
        <f t="shared" si="286"/>
        <v>0</v>
      </c>
      <c r="CX287" s="4">
        <f t="shared" si="287"/>
        <v>-807</v>
      </c>
      <c r="CY287" s="4">
        <f t="shared" si="288"/>
        <v>0</v>
      </c>
      <c r="CZ287" s="4">
        <f t="shared" si="289"/>
        <v>0</v>
      </c>
      <c r="DA287" s="4">
        <f t="shared" si="290"/>
        <v>0</v>
      </c>
      <c r="DB287" s="4">
        <f t="shared" si="291"/>
        <v>0</v>
      </c>
      <c r="DC287" s="4">
        <f t="shared" si="292"/>
        <v>0</v>
      </c>
      <c r="DD287" s="4">
        <f t="shared" si="293"/>
        <v>0</v>
      </c>
      <c r="DE287" s="4">
        <f t="shared" si="294"/>
        <v>0</v>
      </c>
      <c r="DF287" s="4">
        <f t="shared" si="295"/>
        <v>0</v>
      </c>
      <c r="DG287" s="4">
        <f t="shared" si="296"/>
        <v>0</v>
      </c>
      <c r="DH287" s="4">
        <f t="shared" si="297"/>
        <v>0</v>
      </c>
      <c r="DI287" s="4">
        <f t="shared" si="298"/>
        <v>0</v>
      </c>
      <c r="DJ287" s="4">
        <f t="shared" si="299"/>
        <v>0</v>
      </c>
      <c r="DK287" s="4">
        <f t="shared" si="300"/>
        <v>0</v>
      </c>
      <c r="DL287" s="4">
        <f t="shared" si="301"/>
        <v>0</v>
      </c>
    </row>
    <row r="288" spans="1:116" x14ac:dyDescent="0.25">
      <c r="A288" s="5">
        <v>46189</v>
      </c>
      <c r="B288" s="6">
        <v>0.25000000069121597</v>
      </c>
      <c r="C288" s="3"/>
      <c r="D288" s="3"/>
      <c r="E288" s="3" t="s">
        <v>30</v>
      </c>
      <c r="F288" s="3">
        <v>5</v>
      </c>
      <c r="G288" s="3"/>
      <c r="H288" s="9"/>
      <c r="I288" s="9">
        <f>SUM(IFERROR(VLOOKUP($C:$C,Structure!$A:$AJ,I$1,0)*$D288,0),IFERROR(VLOOKUP($E:$E,Structure!$A:$AJ,I$1,0)*$F288,0),IFERROR(VLOOKUP($G:$G,Structure!$A:$AJ,I$1,0)*$H288,0))</f>
        <v>0</v>
      </c>
      <c r="J288" s="9">
        <f>SUM(IFERROR(VLOOKUP($C:$C,Structure!$A:$AJ,J$1,0)*$D288,0),IFERROR(VLOOKUP($E:$E,Structure!$A:$AJ,J$1,0)*$F288,0),IFERROR(VLOOKUP($G:$G,Structure!$A:$AJ,J$1,0)*$H288,0))</f>
        <v>0</v>
      </c>
      <c r="K288" s="9">
        <f>SUM(IFERROR(VLOOKUP($C:$C,Structure!$A:$AJ,K$1,0)*$D288,0),IFERROR(VLOOKUP($E:$E,Structure!$A:$AJ,K$1,0)*$F288,0),IFERROR(VLOOKUP($G:$G,Structure!$A:$AJ,K$1,0)*$H288,0))</f>
        <v>0</v>
      </c>
      <c r="L288" s="9">
        <f>SUM(IFERROR(VLOOKUP($C:$C,Structure!$A:$AJ,L$1,0)*$D288,0),IFERROR(VLOOKUP($E:$E,Structure!$A:$AJ,L$1,0)*$F288,0),IFERROR(VLOOKUP($G:$G,Structure!$A:$AJ,L$1,0)*$H288,0))</f>
        <v>0</v>
      </c>
      <c r="M288" s="9">
        <f>SUM(IFERROR(VLOOKUP($C:$C,Structure!$A:$AJ,M$1,0)*$D288,0),IFERROR(VLOOKUP($E:$E,Structure!$A:$AJ,M$1,0)*$F288,0),IFERROR(VLOOKUP($G:$G,Structure!$A:$AJ,M$1,0)*$H288,0))</f>
        <v>0</v>
      </c>
      <c r="N288" s="9">
        <f>SUM(IFERROR(VLOOKUP($C:$C,Structure!$A:$AJ,N$1,0)*$D288,0),IFERROR(VLOOKUP($E:$E,Structure!$A:$AJ,N$1,0)*$F288,0),IFERROR(VLOOKUP($G:$G,Structure!$A:$AJ,N$1,0)*$H288,0))</f>
        <v>0</v>
      </c>
      <c r="O288" s="9">
        <f>SUM(IFERROR(VLOOKUP($C:$C,Structure!$A:$AJ,O$1,0)*$D288,0),IFERROR(VLOOKUP($E:$E,Structure!$A:$AJ,O$1,0)*$F288,0),IFERROR(VLOOKUP($G:$G,Structure!$A:$AJ,O$1,0)*$H288,0))</f>
        <v>0</v>
      </c>
      <c r="P288" s="9">
        <f>SUM(IFERROR(VLOOKUP($C:$C,Structure!$A:$AJ,P$1,0)*$D288,0),IFERROR(VLOOKUP($E:$E,Structure!$A:$AJ,P$1,0)*$F288,0),IFERROR(VLOOKUP($G:$G,Structure!$A:$AJ,P$1,0)*$H288,0))</f>
        <v>0</v>
      </c>
      <c r="Q288" s="9">
        <f>SUM(IFERROR(VLOOKUP($C:$C,Structure!$A:$AJ,Q$1,0)*$D288,0),IFERROR(VLOOKUP($E:$E,Structure!$A:$AJ,Q$1,0)*$F288,0),IFERROR(VLOOKUP($G:$G,Structure!$A:$AJ,Q$1,0)*$H288,0))</f>
        <v>0</v>
      </c>
      <c r="R288" s="9">
        <f>SUM(IFERROR(VLOOKUP($C:$C,Structure!$A:$AJ,R$1,0)*$D288,0),IFERROR(VLOOKUP($E:$E,Structure!$A:$AJ,R$1,0)*$F288,0),IFERROR(VLOOKUP($G:$G,Structure!$A:$AJ,R$1,0)*$H288,0))</f>
        <v>0</v>
      </c>
      <c r="S288" s="9">
        <f>SUM(IFERROR(VLOOKUP($C:$C,Structure!$A:$AJ,S$1,0)*$D288,0),IFERROR(VLOOKUP($E:$E,Structure!$A:$AJ,S$1,0)*$F288,0),IFERROR(VLOOKUP($G:$G,Structure!$A:$AJ,S$1,0)*$H288,0))</f>
        <v>0</v>
      </c>
      <c r="T288" s="9">
        <f>SUM(IFERROR(VLOOKUP($C:$C,Structure!$A:$AJ,T$1,0)*$D288,0),IFERROR(VLOOKUP($E:$E,Structure!$A:$AJ,T$1,0)*$F288,0),IFERROR(VLOOKUP($G:$G,Structure!$A:$AJ,T$1,0)*$H288,0))</f>
        <v>0</v>
      </c>
      <c r="U288" s="9">
        <f>SUM(IFERROR(VLOOKUP($C:$C,Structure!$A:$AJ,U$1,0)*$D288,0),IFERROR(VLOOKUP($E:$E,Structure!$A:$AJ,U$1,0)*$F288,0),IFERROR(VLOOKUP($G:$G,Structure!$A:$AJ,U$1,0)*$H288,0))</f>
        <v>0</v>
      </c>
      <c r="V288" s="9">
        <f>SUM(IFERROR(VLOOKUP($C:$C,Structure!$A:$AJ,V$1,0)*$D288,0),IFERROR(VLOOKUP($E:$E,Structure!$A:$AJ,V$1,0)*$F288,0),IFERROR(VLOOKUP($G:$G,Structure!$A:$AJ,V$1,0)*$H288,0))</f>
        <v>5</v>
      </c>
      <c r="W288" s="9">
        <f>SUM(IFERROR(VLOOKUP($C:$C,Structure!$A:$AJ,W$1,0)*$D288,0),IFERROR(VLOOKUP($E:$E,Structure!$A:$AJ,W$1,0)*$F288,0),IFERROR(VLOOKUP($G:$G,Structure!$A:$AJ,W$1,0)*$H288,0))</f>
        <v>0</v>
      </c>
      <c r="X288" s="9">
        <f>SUM(IFERROR(VLOOKUP($C:$C,Structure!$A:$AJ,X$1,0)*$D288,0),IFERROR(VLOOKUP($E:$E,Structure!$A:$AJ,X$1,0)*$F288,0),IFERROR(VLOOKUP($G:$G,Structure!$A:$AJ,X$1,0)*$H288,0))</f>
        <v>0</v>
      </c>
      <c r="Y288" s="9">
        <f>SUM(IFERROR(VLOOKUP($C:$C,Structure!$A:$AJ,Y$1,0)*$D288,0),IFERROR(VLOOKUP($E:$E,Structure!$A:$AJ,Y$1,0)*$F288,0),IFERROR(VLOOKUP($G:$G,Structure!$A:$AJ,Y$1,0)*$H288,0))</f>
        <v>0</v>
      </c>
      <c r="Z288" s="9">
        <f>SUM(IFERROR(VLOOKUP($C:$C,Structure!$A:$AJ,Z$1,0)*$D288,0),IFERROR(VLOOKUP($E:$E,Structure!$A:$AJ,Z$1,0)*$F288,0),IFERROR(VLOOKUP($G:$G,Structure!$A:$AJ,Z$1,0)*$H288,0))</f>
        <v>0</v>
      </c>
      <c r="AA288" s="9">
        <f>SUM(IFERROR(VLOOKUP($C:$C,Structure!$A:$AJ,AA$1,0)*$D288,0),IFERROR(VLOOKUP($E:$E,Structure!$A:$AJ,AA$1,0)*$F288,0),IFERROR(VLOOKUP($G:$G,Structure!$A:$AJ,AA$1,0)*$H288,0))</f>
        <v>0</v>
      </c>
      <c r="AB288" s="9">
        <f>SUM(IFERROR(VLOOKUP($C:$C,Structure!$A:$AJ,AB$1,0)*$D288,0),IFERROR(VLOOKUP($E:$E,Structure!$A:$AJ,AB$1,0)*$F288,0),IFERROR(VLOOKUP($G:$G,Structure!$A:$AJ,AB$1,0)*$H288,0))</f>
        <v>0</v>
      </c>
      <c r="AC288" s="9">
        <f>SUM(IFERROR(VLOOKUP($C:$C,Structure!$A:$AJ,AC$1,0)*$D288,0),IFERROR(VLOOKUP($E:$E,Structure!$A:$AJ,AC$1,0)*$F288,0),IFERROR(VLOOKUP($G:$G,Structure!$A:$AJ,AC$1,0)*$H288,0))</f>
        <v>5</v>
      </c>
      <c r="AD288" s="9">
        <f>SUM(IFERROR(VLOOKUP($C:$C,Structure!$A:$AJ,AD$1,0)*$D288,0),IFERROR(VLOOKUP($E:$E,Structure!$A:$AJ,AD$1,0)*$F288,0),IFERROR(VLOOKUP($G:$G,Structure!$A:$AJ,AD$1,0)*$H288,0))</f>
        <v>0</v>
      </c>
      <c r="AE288" s="9">
        <f>SUM(IFERROR(VLOOKUP($C:$C,Structure!$A:$AJ,AE$1,0)*$D288,0),IFERROR(VLOOKUP($E:$E,Structure!$A:$AJ,AE$1,0)*$F288,0),IFERROR(VLOOKUP($G:$G,Structure!$A:$AJ,AE$1,0)*$H288,0))</f>
        <v>0</v>
      </c>
      <c r="AF288" s="9">
        <f>SUM(IFERROR(VLOOKUP($C:$C,Structure!$A:$AJ,AF$1,0)*$D288,0),IFERROR(VLOOKUP($E:$E,Structure!$A:$AJ,AF$1,0)*$F288,0),IFERROR(VLOOKUP($G:$G,Structure!$A:$AJ,AF$1,0)*$H288,0))</f>
        <v>0</v>
      </c>
      <c r="AG288" s="9">
        <f>SUM(IFERROR(VLOOKUP($C:$C,Structure!$A:$AJ,AG$1,0)*$D288,0),IFERROR(VLOOKUP($E:$E,Structure!$A:$AJ,AG$1,0)*$F288,0),IFERROR(VLOOKUP($G:$G,Structure!$A:$AJ,AG$1,0)*$H288,0))</f>
        <v>0</v>
      </c>
      <c r="AH288" s="9">
        <f>SUM(IFERROR(VLOOKUP($C:$C,Structure!$A:$AJ,AH$1,0)*$D288,0),IFERROR(VLOOKUP($E:$E,Structure!$A:$AJ,AH$1,0)*$F288,0),IFERROR(VLOOKUP($G:$G,Structure!$A:$AJ,AH$1,0)*$H288,0))</f>
        <v>0</v>
      </c>
      <c r="AI288" s="9">
        <f>SUM(IFERROR(VLOOKUP($C:$C,Structure!$A:$AJ,AI$1,0)*$D288,0),IFERROR(VLOOKUP($E:$E,Structure!$A:$AJ,AI$1,0)*$F288,0),IFERROR(VLOOKUP($G:$G,Structure!$A:$AJ,AI$1,0)*$H288,0))</f>
        <v>0</v>
      </c>
      <c r="AJ288" s="9">
        <f>SUM(IFERROR(VLOOKUP($C:$C,Structure!$A:$AJ,AJ$1,0)*$D288,0),IFERROR(VLOOKUP($E:$E,Structure!$A:$AJ,AJ$1,0)*$F288,0),IFERROR(VLOOKUP($G:$G,Structure!$A:$AJ,AJ$1,0)*$H288,0))</f>
        <v>0</v>
      </c>
      <c r="AK288" s="9">
        <f>SUM(IFERROR(VLOOKUP($C:$C,Structure!$A:$AJ,AK$1,0)*$D288,0),IFERROR(VLOOKUP($E:$E,Structure!$A:$AJ,AK$1,0)*$F288,0),IFERROR(VLOOKUP($G:$G,Structure!$A:$AJ,AK$1,0)*$H288,0))</f>
        <v>0</v>
      </c>
      <c r="AL288" s="9">
        <f>SUM(IFERROR(VLOOKUP($C:$C,Structure!$A:$AJ,AL$1,0)*$D288,0),IFERROR(VLOOKUP($E:$E,Structure!$A:$AJ,AL$1,0)*$F288,0),IFERROR(VLOOKUP($G:$G,Structure!$A:$AJ,AL$1,0)*$H288,0))</f>
        <v>0</v>
      </c>
      <c r="AM288" s="9">
        <f>SUM(IFERROR(VLOOKUP($C:$C,Structure!$A:$AJ,AM$1,0)*$D288,0),IFERROR(VLOOKUP($E:$E,Structure!$A:$AJ,AM$1,0)*$F288,0),IFERROR(VLOOKUP($G:$G,Structure!$A:$AJ,AM$1,0)*$H288,0))</f>
        <v>0</v>
      </c>
      <c r="AN288" s="9">
        <f>SUM(IFERROR(VLOOKUP($C:$C,Structure!$A:$AJ,AN$1,0)*$D288,0),IFERROR(VLOOKUP($E:$E,Structure!$A:$AJ,AN$1,0)*$F288,0),IFERROR(VLOOKUP($G:$G,Structure!$A:$AJ,AN$1,0)*$H288,0))</f>
        <v>0</v>
      </c>
      <c r="AO288" s="9">
        <f>SUM(IFERROR(VLOOKUP($C:$C,Structure!$A:$AJ,AO$1,0)*$D288,0),IFERROR(VLOOKUP($E:$E,Structure!$A:$AJ,AO$1,0)*$F288,0),IFERROR(VLOOKUP($G:$G,Structure!$A:$AJ,AO$1,0)*$H288,0))</f>
        <v>0</v>
      </c>
      <c r="AP288" s="9">
        <f>SUM(IFERROR(VLOOKUP($C:$C,Structure!$A:$AJ,AP$1,0)*$D288,0),IFERROR(VLOOKUP($E:$E,Structure!$A:$AJ,AP$1,0)*$F288,0),IFERROR(VLOOKUP($G:$G,Structure!$A:$AJ,AP$1,0)*$H288,0))</f>
        <v>0</v>
      </c>
      <c r="AQ288" s="9">
        <f>SUM(IFERROR(VLOOKUP($C:$C,Structure!$A:$AJ,AQ$1,0)*$D288,0),IFERROR(VLOOKUP($E:$E,Structure!$A:$AJ,AQ$1,0)*$F288,0),IFERROR(VLOOKUP($G:$G,Structure!$A:$AJ,AQ$1,0)*$H288,0))</f>
        <v>0</v>
      </c>
      <c r="AR288" s="21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4">
        <f t="shared" si="267"/>
        <v>0</v>
      </c>
      <c r="CE288" s="4">
        <f t="shared" si="268"/>
        <v>-236</v>
      </c>
      <c r="CF288" s="4">
        <f t="shared" si="269"/>
        <v>4</v>
      </c>
      <c r="CG288" s="4">
        <f t="shared" si="270"/>
        <v>11</v>
      </c>
      <c r="CH288" s="4">
        <f t="shared" si="271"/>
        <v>-7</v>
      </c>
      <c r="CI288" s="4">
        <f t="shared" si="272"/>
        <v>93</v>
      </c>
      <c r="CJ288" s="4">
        <f t="shared" si="273"/>
        <v>-447</v>
      </c>
      <c r="CK288" s="4">
        <f t="shared" si="274"/>
        <v>-57</v>
      </c>
      <c r="CL288" s="4">
        <f t="shared" si="275"/>
        <v>0</v>
      </c>
      <c r="CM288" s="4">
        <f t="shared" si="276"/>
        <v>6</v>
      </c>
      <c r="CN288" s="4">
        <f t="shared" si="277"/>
        <v>-334</v>
      </c>
      <c r="CO288" s="4">
        <f t="shared" si="278"/>
        <v>0</v>
      </c>
      <c r="CP288" s="4">
        <f t="shared" si="279"/>
        <v>-21</v>
      </c>
      <c r="CQ288" s="4">
        <f t="shared" si="280"/>
        <v>-631</v>
      </c>
      <c r="CR288" s="4">
        <f t="shared" si="281"/>
        <v>12</v>
      </c>
      <c r="CS288" s="4">
        <f t="shared" si="282"/>
        <v>-58</v>
      </c>
      <c r="CT288" s="4">
        <f t="shared" si="283"/>
        <v>0</v>
      </c>
      <c r="CU288" s="4">
        <f t="shared" si="284"/>
        <v>0</v>
      </c>
      <c r="CV288" s="4">
        <f t="shared" si="285"/>
        <v>0</v>
      </c>
      <c r="CW288" s="4">
        <f t="shared" si="286"/>
        <v>0</v>
      </c>
      <c r="CX288" s="4">
        <f t="shared" si="287"/>
        <v>-812</v>
      </c>
      <c r="CY288" s="4">
        <f t="shared" si="288"/>
        <v>0</v>
      </c>
      <c r="CZ288" s="4">
        <f t="shared" si="289"/>
        <v>0</v>
      </c>
      <c r="DA288" s="4">
        <f t="shared" si="290"/>
        <v>0</v>
      </c>
      <c r="DB288" s="4">
        <f t="shared" si="291"/>
        <v>0</v>
      </c>
      <c r="DC288" s="4">
        <f t="shared" si="292"/>
        <v>0</v>
      </c>
      <c r="DD288" s="4">
        <f t="shared" si="293"/>
        <v>0</v>
      </c>
      <c r="DE288" s="4">
        <f t="shared" si="294"/>
        <v>0</v>
      </c>
      <c r="DF288" s="4">
        <f t="shared" si="295"/>
        <v>0</v>
      </c>
      <c r="DG288" s="4">
        <f t="shared" si="296"/>
        <v>0</v>
      </c>
      <c r="DH288" s="4">
        <f t="shared" si="297"/>
        <v>0</v>
      </c>
      <c r="DI288" s="4">
        <f t="shared" si="298"/>
        <v>0</v>
      </c>
      <c r="DJ288" s="4">
        <f t="shared" si="299"/>
        <v>0</v>
      </c>
      <c r="DK288" s="4">
        <f t="shared" si="300"/>
        <v>0</v>
      </c>
      <c r="DL288" s="4">
        <f t="shared" si="301"/>
        <v>0</v>
      </c>
    </row>
    <row r="289" spans="1:116" x14ac:dyDescent="0.25">
      <c r="A289" s="5">
        <v>46189</v>
      </c>
      <c r="B289" s="6">
        <v>0.27083333402697463</v>
      </c>
      <c r="C289" s="3"/>
      <c r="D289" s="3"/>
      <c r="E289" s="3" t="s">
        <v>30</v>
      </c>
      <c r="F289" s="3">
        <v>8</v>
      </c>
      <c r="G289" s="3"/>
      <c r="H289" s="9"/>
      <c r="I289" s="9">
        <f>SUM(IFERROR(VLOOKUP($C:$C,Structure!$A:$AJ,I$1,0)*$D289,0),IFERROR(VLOOKUP($E:$E,Structure!$A:$AJ,I$1,0)*$F289,0),IFERROR(VLOOKUP($G:$G,Structure!$A:$AJ,I$1,0)*$H289,0))</f>
        <v>0</v>
      </c>
      <c r="J289" s="9">
        <f>SUM(IFERROR(VLOOKUP($C:$C,Structure!$A:$AJ,J$1,0)*$D289,0),IFERROR(VLOOKUP($E:$E,Structure!$A:$AJ,J$1,0)*$F289,0),IFERROR(VLOOKUP($G:$G,Structure!$A:$AJ,J$1,0)*$H289,0))</f>
        <v>0</v>
      </c>
      <c r="K289" s="9">
        <f>SUM(IFERROR(VLOOKUP($C:$C,Structure!$A:$AJ,K$1,0)*$D289,0),IFERROR(VLOOKUP($E:$E,Structure!$A:$AJ,K$1,0)*$F289,0),IFERROR(VLOOKUP($G:$G,Structure!$A:$AJ,K$1,0)*$H289,0))</f>
        <v>0</v>
      </c>
      <c r="L289" s="9">
        <f>SUM(IFERROR(VLOOKUP($C:$C,Structure!$A:$AJ,L$1,0)*$D289,0),IFERROR(VLOOKUP($E:$E,Structure!$A:$AJ,L$1,0)*$F289,0),IFERROR(VLOOKUP($G:$G,Structure!$A:$AJ,L$1,0)*$H289,0))</f>
        <v>0</v>
      </c>
      <c r="M289" s="9">
        <f>SUM(IFERROR(VLOOKUP($C:$C,Structure!$A:$AJ,M$1,0)*$D289,0),IFERROR(VLOOKUP($E:$E,Structure!$A:$AJ,M$1,0)*$F289,0),IFERROR(VLOOKUP($G:$G,Structure!$A:$AJ,M$1,0)*$H289,0))</f>
        <v>0</v>
      </c>
      <c r="N289" s="9">
        <f>SUM(IFERROR(VLOOKUP($C:$C,Structure!$A:$AJ,N$1,0)*$D289,0),IFERROR(VLOOKUP($E:$E,Structure!$A:$AJ,N$1,0)*$F289,0),IFERROR(VLOOKUP($G:$G,Structure!$A:$AJ,N$1,0)*$H289,0))</f>
        <v>0</v>
      </c>
      <c r="O289" s="9">
        <f>SUM(IFERROR(VLOOKUP($C:$C,Structure!$A:$AJ,O$1,0)*$D289,0),IFERROR(VLOOKUP($E:$E,Structure!$A:$AJ,O$1,0)*$F289,0),IFERROR(VLOOKUP($G:$G,Structure!$A:$AJ,O$1,0)*$H289,0))</f>
        <v>0</v>
      </c>
      <c r="P289" s="9">
        <f>SUM(IFERROR(VLOOKUP($C:$C,Structure!$A:$AJ,P$1,0)*$D289,0),IFERROR(VLOOKUP($E:$E,Structure!$A:$AJ,P$1,0)*$F289,0),IFERROR(VLOOKUP($G:$G,Structure!$A:$AJ,P$1,0)*$H289,0))</f>
        <v>0</v>
      </c>
      <c r="Q289" s="9">
        <f>SUM(IFERROR(VLOOKUP($C:$C,Structure!$A:$AJ,Q$1,0)*$D289,0),IFERROR(VLOOKUP($E:$E,Structure!$A:$AJ,Q$1,0)*$F289,0),IFERROR(VLOOKUP($G:$G,Structure!$A:$AJ,Q$1,0)*$H289,0))</f>
        <v>0</v>
      </c>
      <c r="R289" s="9">
        <f>SUM(IFERROR(VLOOKUP($C:$C,Structure!$A:$AJ,R$1,0)*$D289,0),IFERROR(VLOOKUP($E:$E,Structure!$A:$AJ,R$1,0)*$F289,0),IFERROR(VLOOKUP($G:$G,Structure!$A:$AJ,R$1,0)*$H289,0))</f>
        <v>0</v>
      </c>
      <c r="S289" s="9">
        <f>SUM(IFERROR(VLOOKUP($C:$C,Structure!$A:$AJ,S$1,0)*$D289,0),IFERROR(VLOOKUP($E:$E,Structure!$A:$AJ,S$1,0)*$F289,0),IFERROR(VLOOKUP($G:$G,Structure!$A:$AJ,S$1,0)*$H289,0))</f>
        <v>0</v>
      </c>
      <c r="T289" s="9">
        <f>SUM(IFERROR(VLOOKUP($C:$C,Structure!$A:$AJ,T$1,0)*$D289,0),IFERROR(VLOOKUP($E:$E,Structure!$A:$AJ,T$1,0)*$F289,0),IFERROR(VLOOKUP($G:$G,Structure!$A:$AJ,T$1,0)*$H289,0))</f>
        <v>0</v>
      </c>
      <c r="U289" s="9">
        <f>SUM(IFERROR(VLOOKUP($C:$C,Structure!$A:$AJ,U$1,0)*$D289,0),IFERROR(VLOOKUP($E:$E,Structure!$A:$AJ,U$1,0)*$F289,0),IFERROR(VLOOKUP($G:$G,Structure!$A:$AJ,U$1,0)*$H289,0))</f>
        <v>0</v>
      </c>
      <c r="V289" s="9">
        <f>SUM(IFERROR(VLOOKUP($C:$C,Structure!$A:$AJ,V$1,0)*$D289,0),IFERROR(VLOOKUP($E:$E,Structure!$A:$AJ,V$1,0)*$F289,0),IFERROR(VLOOKUP($G:$G,Structure!$A:$AJ,V$1,0)*$H289,0))</f>
        <v>8</v>
      </c>
      <c r="W289" s="9">
        <f>SUM(IFERROR(VLOOKUP($C:$C,Structure!$A:$AJ,W$1,0)*$D289,0),IFERROR(VLOOKUP($E:$E,Structure!$A:$AJ,W$1,0)*$F289,0),IFERROR(VLOOKUP($G:$G,Structure!$A:$AJ,W$1,0)*$H289,0))</f>
        <v>0</v>
      </c>
      <c r="X289" s="9">
        <f>SUM(IFERROR(VLOOKUP($C:$C,Structure!$A:$AJ,X$1,0)*$D289,0),IFERROR(VLOOKUP($E:$E,Structure!$A:$AJ,X$1,0)*$F289,0),IFERROR(VLOOKUP($G:$G,Structure!$A:$AJ,X$1,0)*$H289,0))</f>
        <v>0</v>
      </c>
      <c r="Y289" s="9">
        <f>SUM(IFERROR(VLOOKUP($C:$C,Structure!$A:$AJ,Y$1,0)*$D289,0),IFERROR(VLOOKUP($E:$E,Structure!$A:$AJ,Y$1,0)*$F289,0),IFERROR(VLOOKUP($G:$G,Structure!$A:$AJ,Y$1,0)*$H289,0))</f>
        <v>0</v>
      </c>
      <c r="Z289" s="9">
        <f>SUM(IFERROR(VLOOKUP($C:$C,Structure!$A:$AJ,Z$1,0)*$D289,0),IFERROR(VLOOKUP($E:$E,Structure!$A:$AJ,Z$1,0)*$F289,0),IFERROR(VLOOKUP($G:$G,Structure!$A:$AJ,Z$1,0)*$H289,0))</f>
        <v>0</v>
      </c>
      <c r="AA289" s="9">
        <f>SUM(IFERROR(VLOOKUP($C:$C,Structure!$A:$AJ,AA$1,0)*$D289,0),IFERROR(VLOOKUP($E:$E,Structure!$A:$AJ,AA$1,0)*$F289,0),IFERROR(VLOOKUP($G:$G,Structure!$A:$AJ,AA$1,0)*$H289,0))</f>
        <v>0</v>
      </c>
      <c r="AB289" s="9">
        <f>SUM(IFERROR(VLOOKUP($C:$C,Structure!$A:$AJ,AB$1,0)*$D289,0),IFERROR(VLOOKUP($E:$E,Structure!$A:$AJ,AB$1,0)*$F289,0),IFERROR(VLOOKUP($G:$G,Structure!$A:$AJ,AB$1,0)*$H289,0))</f>
        <v>0</v>
      </c>
      <c r="AC289" s="9">
        <f>SUM(IFERROR(VLOOKUP($C:$C,Structure!$A:$AJ,AC$1,0)*$D289,0),IFERROR(VLOOKUP($E:$E,Structure!$A:$AJ,AC$1,0)*$F289,0),IFERROR(VLOOKUP($G:$G,Structure!$A:$AJ,AC$1,0)*$H289,0))</f>
        <v>8</v>
      </c>
      <c r="AD289" s="9">
        <f>SUM(IFERROR(VLOOKUP($C:$C,Structure!$A:$AJ,AD$1,0)*$D289,0),IFERROR(VLOOKUP($E:$E,Structure!$A:$AJ,AD$1,0)*$F289,0),IFERROR(VLOOKUP($G:$G,Structure!$A:$AJ,AD$1,0)*$H289,0))</f>
        <v>0</v>
      </c>
      <c r="AE289" s="9">
        <f>SUM(IFERROR(VLOOKUP($C:$C,Structure!$A:$AJ,AE$1,0)*$D289,0),IFERROR(VLOOKUP($E:$E,Structure!$A:$AJ,AE$1,0)*$F289,0),IFERROR(VLOOKUP($G:$G,Structure!$A:$AJ,AE$1,0)*$H289,0))</f>
        <v>0</v>
      </c>
      <c r="AF289" s="9">
        <f>SUM(IFERROR(VLOOKUP($C:$C,Structure!$A:$AJ,AF$1,0)*$D289,0),IFERROR(VLOOKUP($E:$E,Structure!$A:$AJ,AF$1,0)*$F289,0),IFERROR(VLOOKUP($G:$G,Structure!$A:$AJ,AF$1,0)*$H289,0))</f>
        <v>0</v>
      </c>
      <c r="AG289" s="9">
        <f>SUM(IFERROR(VLOOKUP($C:$C,Structure!$A:$AJ,AG$1,0)*$D289,0),IFERROR(VLOOKUP($E:$E,Structure!$A:$AJ,AG$1,0)*$F289,0),IFERROR(VLOOKUP($G:$G,Structure!$A:$AJ,AG$1,0)*$H289,0))</f>
        <v>0</v>
      </c>
      <c r="AH289" s="9">
        <f>SUM(IFERROR(VLOOKUP($C:$C,Structure!$A:$AJ,AH$1,0)*$D289,0),IFERROR(VLOOKUP($E:$E,Structure!$A:$AJ,AH$1,0)*$F289,0),IFERROR(VLOOKUP($G:$G,Structure!$A:$AJ,AH$1,0)*$H289,0))</f>
        <v>0</v>
      </c>
      <c r="AI289" s="9">
        <f>SUM(IFERROR(VLOOKUP($C:$C,Structure!$A:$AJ,AI$1,0)*$D289,0),IFERROR(VLOOKUP($E:$E,Structure!$A:$AJ,AI$1,0)*$F289,0),IFERROR(VLOOKUP($G:$G,Structure!$A:$AJ,AI$1,0)*$H289,0))</f>
        <v>0</v>
      </c>
      <c r="AJ289" s="9">
        <f>SUM(IFERROR(VLOOKUP($C:$C,Structure!$A:$AJ,AJ$1,0)*$D289,0),IFERROR(VLOOKUP($E:$E,Structure!$A:$AJ,AJ$1,0)*$F289,0),IFERROR(VLOOKUP($G:$G,Structure!$A:$AJ,AJ$1,0)*$H289,0))</f>
        <v>0</v>
      </c>
      <c r="AK289" s="9">
        <f>SUM(IFERROR(VLOOKUP($C:$C,Structure!$A:$AJ,AK$1,0)*$D289,0),IFERROR(VLOOKUP($E:$E,Structure!$A:$AJ,AK$1,0)*$F289,0),IFERROR(VLOOKUP($G:$G,Structure!$A:$AJ,AK$1,0)*$H289,0))</f>
        <v>0</v>
      </c>
      <c r="AL289" s="9">
        <f>SUM(IFERROR(VLOOKUP($C:$C,Structure!$A:$AJ,AL$1,0)*$D289,0),IFERROR(VLOOKUP($E:$E,Structure!$A:$AJ,AL$1,0)*$F289,0),IFERROR(VLOOKUP($G:$G,Structure!$A:$AJ,AL$1,0)*$H289,0))</f>
        <v>0</v>
      </c>
      <c r="AM289" s="9">
        <f>SUM(IFERROR(VLOOKUP($C:$C,Structure!$A:$AJ,AM$1,0)*$D289,0),IFERROR(VLOOKUP($E:$E,Structure!$A:$AJ,AM$1,0)*$F289,0),IFERROR(VLOOKUP($G:$G,Structure!$A:$AJ,AM$1,0)*$H289,0))</f>
        <v>0</v>
      </c>
      <c r="AN289" s="9">
        <f>SUM(IFERROR(VLOOKUP($C:$C,Structure!$A:$AJ,AN$1,0)*$D289,0),IFERROR(VLOOKUP($E:$E,Structure!$A:$AJ,AN$1,0)*$F289,0),IFERROR(VLOOKUP($G:$G,Structure!$A:$AJ,AN$1,0)*$H289,0))</f>
        <v>0</v>
      </c>
      <c r="AO289" s="9">
        <f>SUM(IFERROR(VLOOKUP($C:$C,Structure!$A:$AJ,AO$1,0)*$D289,0),IFERROR(VLOOKUP($E:$E,Structure!$A:$AJ,AO$1,0)*$F289,0),IFERROR(VLOOKUP($G:$G,Structure!$A:$AJ,AO$1,0)*$H289,0))</f>
        <v>0</v>
      </c>
      <c r="AP289" s="9">
        <f>SUM(IFERROR(VLOOKUP($C:$C,Structure!$A:$AJ,AP$1,0)*$D289,0),IFERROR(VLOOKUP($E:$E,Structure!$A:$AJ,AP$1,0)*$F289,0),IFERROR(VLOOKUP($G:$G,Structure!$A:$AJ,AP$1,0)*$H289,0))</f>
        <v>0</v>
      </c>
      <c r="AQ289" s="9">
        <f>SUM(IFERROR(VLOOKUP($C:$C,Structure!$A:$AJ,AQ$1,0)*$D289,0),IFERROR(VLOOKUP($E:$E,Structure!$A:$AJ,AQ$1,0)*$F289,0),IFERROR(VLOOKUP($G:$G,Structure!$A:$AJ,AQ$1,0)*$H289,0))</f>
        <v>0</v>
      </c>
      <c r="AR289" s="21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4">
        <f t="shared" si="267"/>
        <v>0</v>
      </c>
      <c r="CE289" s="4">
        <f t="shared" si="268"/>
        <v>-236</v>
      </c>
      <c r="CF289" s="4">
        <f t="shared" si="269"/>
        <v>4</v>
      </c>
      <c r="CG289" s="4">
        <f t="shared" si="270"/>
        <v>11</v>
      </c>
      <c r="CH289" s="4">
        <f t="shared" si="271"/>
        <v>-7</v>
      </c>
      <c r="CI289" s="4">
        <f t="shared" si="272"/>
        <v>93</v>
      </c>
      <c r="CJ289" s="4">
        <f t="shared" si="273"/>
        <v>-447</v>
      </c>
      <c r="CK289" s="4">
        <f t="shared" si="274"/>
        <v>-57</v>
      </c>
      <c r="CL289" s="4">
        <f t="shared" si="275"/>
        <v>0</v>
      </c>
      <c r="CM289" s="4">
        <f t="shared" si="276"/>
        <v>6</v>
      </c>
      <c r="CN289" s="4">
        <f t="shared" si="277"/>
        <v>-334</v>
      </c>
      <c r="CO289" s="4">
        <f t="shared" si="278"/>
        <v>0</v>
      </c>
      <c r="CP289" s="4">
        <f t="shared" si="279"/>
        <v>-21</v>
      </c>
      <c r="CQ289" s="4">
        <f t="shared" si="280"/>
        <v>-639</v>
      </c>
      <c r="CR289" s="4">
        <f t="shared" si="281"/>
        <v>12</v>
      </c>
      <c r="CS289" s="4">
        <f t="shared" si="282"/>
        <v>-58</v>
      </c>
      <c r="CT289" s="4">
        <f t="shared" si="283"/>
        <v>0</v>
      </c>
      <c r="CU289" s="4">
        <f t="shared" si="284"/>
        <v>0</v>
      </c>
      <c r="CV289" s="4">
        <f t="shared" si="285"/>
        <v>0</v>
      </c>
      <c r="CW289" s="4">
        <f t="shared" si="286"/>
        <v>0</v>
      </c>
      <c r="CX289" s="4">
        <f t="shared" si="287"/>
        <v>-820</v>
      </c>
      <c r="CY289" s="4">
        <f t="shared" si="288"/>
        <v>0</v>
      </c>
      <c r="CZ289" s="4">
        <f t="shared" si="289"/>
        <v>0</v>
      </c>
      <c r="DA289" s="4">
        <f t="shared" si="290"/>
        <v>0</v>
      </c>
      <c r="DB289" s="4">
        <f t="shared" si="291"/>
        <v>0</v>
      </c>
      <c r="DC289" s="4">
        <f t="shared" si="292"/>
        <v>0</v>
      </c>
      <c r="DD289" s="4">
        <f t="shared" si="293"/>
        <v>0</v>
      </c>
      <c r="DE289" s="4">
        <f t="shared" si="294"/>
        <v>0</v>
      </c>
      <c r="DF289" s="4">
        <f t="shared" si="295"/>
        <v>0</v>
      </c>
      <c r="DG289" s="4">
        <f t="shared" si="296"/>
        <v>0</v>
      </c>
      <c r="DH289" s="4">
        <f t="shared" si="297"/>
        <v>0</v>
      </c>
      <c r="DI289" s="4">
        <f t="shared" si="298"/>
        <v>0</v>
      </c>
      <c r="DJ289" s="4">
        <f t="shared" si="299"/>
        <v>0</v>
      </c>
      <c r="DK289" s="4">
        <f t="shared" si="300"/>
        <v>0</v>
      </c>
      <c r="DL289" s="4">
        <f t="shared" si="301"/>
        <v>0</v>
      </c>
    </row>
    <row r="290" spans="1:116" x14ac:dyDescent="0.25">
      <c r="A290" s="5">
        <v>46189</v>
      </c>
      <c r="B290" s="6">
        <v>0.29166666736273328</v>
      </c>
      <c r="C290" s="3"/>
      <c r="D290" s="3"/>
      <c r="E290" s="3" t="s">
        <v>30</v>
      </c>
      <c r="F290" s="3">
        <v>8</v>
      </c>
      <c r="G290" s="3"/>
      <c r="H290" s="9"/>
      <c r="I290" s="9">
        <f>SUM(IFERROR(VLOOKUP($C:$C,Structure!$A:$AJ,I$1,0)*$D290,0),IFERROR(VLOOKUP($E:$E,Structure!$A:$AJ,I$1,0)*$F290,0),IFERROR(VLOOKUP($G:$G,Structure!$A:$AJ,I$1,0)*$H290,0))</f>
        <v>0</v>
      </c>
      <c r="J290" s="9">
        <f>SUM(IFERROR(VLOOKUP($C:$C,Structure!$A:$AJ,J$1,0)*$D290,0),IFERROR(VLOOKUP($E:$E,Structure!$A:$AJ,J$1,0)*$F290,0),IFERROR(VLOOKUP($G:$G,Structure!$A:$AJ,J$1,0)*$H290,0))</f>
        <v>0</v>
      </c>
      <c r="K290" s="9">
        <f>SUM(IFERROR(VLOOKUP($C:$C,Structure!$A:$AJ,K$1,0)*$D290,0),IFERROR(VLOOKUP($E:$E,Structure!$A:$AJ,K$1,0)*$F290,0),IFERROR(VLOOKUP($G:$G,Structure!$A:$AJ,K$1,0)*$H290,0))</f>
        <v>0</v>
      </c>
      <c r="L290" s="9">
        <f>SUM(IFERROR(VLOOKUP($C:$C,Structure!$A:$AJ,L$1,0)*$D290,0),IFERROR(VLOOKUP($E:$E,Structure!$A:$AJ,L$1,0)*$F290,0),IFERROR(VLOOKUP($G:$G,Structure!$A:$AJ,L$1,0)*$H290,0))</f>
        <v>0</v>
      </c>
      <c r="M290" s="9">
        <f>SUM(IFERROR(VLOOKUP($C:$C,Structure!$A:$AJ,M$1,0)*$D290,0),IFERROR(VLOOKUP($E:$E,Structure!$A:$AJ,M$1,0)*$F290,0),IFERROR(VLOOKUP($G:$G,Structure!$A:$AJ,M$1,0)*$H290,0))</f>
        <v>0</v>
      </c>
      <c r="N290" s="9">
        <f>SUM(IFERROR(VLOOKUP($C:$C,Structure!$A:$AJ,N$1,0)*$D290,0),IFERROR(VLOOKUP($E:$E,Structure!$A:$AJ,N$1,0)*$F290,0),IFERROR(VLOOKUP($G:$G,Structure!$A:$AJ,N$1,0)*$H290,0))</f>
        <v>0</v>
      </c>
      <c r="O290" s="9">
        <f>SUM(IFERROR(VLOOKUP($C:$C,Structure!$A:$AJ,O$1,0)*$D290,0),IFERROR(VLOOKUP($E:$E,Structure!$A:$AJ,O$1,0)*$F290,0),IFERROR(VLOOKUP($G:$G,Structure!$A:$AJ,O$1,0)*$H290,0))</f>
        <v>0</v>
      </c>
      <c r="P290" s="9">
        <f>SUM(IFERROR(VLOOKUP($C:$C,Structure!$A:$AJ,P$1,0)*$D290,0),IFERROR(VLOOKUP($E:$E,Structure!$A:$AJ,P$1,0)*$F290,0),IFERROR(VLOOKUP($G:$G,Structure!$A:$AJ,P$1,0)*$H290,0))</f>
        <v>0</v>
      </c>
      <c r="Q290" s="9">
        <f>SUM(IFERROR(VLOOKUP($C:$C,Structure!$A:$AJ,Q$1,0)*$D290,0),IFERROR(VLOOKUP($E:$E,Structure!$A:$AJ,Q$1,0)*$F290,0),IFERROR(VLOOKUP($G:$G,Structure!$A:$AJ,Q$1,0)*$H290,0))</f>
        <v>0</v>
      </c>
      <c r="R290" s="9">
        <f>SUM(IFERROR(VLOOKUP($C:$C,Structure!$A:$AJ,R$1,0)*$D290,0),IFERROR(VLOOKUP($E:$E,Structure!$A:$AJ,R$1,0)*$F290,0),IFERROR(VLOOKUP($G:$G,Structure!$A:$AJ,R$1,0)*$H290,0))</f>
        <v>0</v>
      </c>
      <c r="S290" s="9">
        <f>SUM(IFERROR(VLOOKUP($C:$C,Structure!$A:$AJ,S$1,0)*$D290,0),IFERROR(VLOOKUP($E:$E,Structure!$A:$AJ,S$1,0)*$F290,0),IFERROR(VLOOKUP($G:$G,Structure!$A:$AJ,S$1,0)*$H290,0))</f>
        <v>0</v>
      </c>
      <c r="T290" s="9">
        <f>SUM(IFERROR(VLOOKUP($C:$C,Structure!$A:$AJ,T$1,0)*$D290,0),IFERROR(VLOOKUP($E:$E,Structure!$A:$AJ,T$1,0)*$F290,0),IFERROR(VLOOKUP($G:$G,Structure!$A:$AJ,T$1,0)*$H290,0))</f>
        <v>0</v>
      </c>
      <c r="U290" s="9">
        <f>SUM(IFERROR(VLOOKUP($C:$C,Structure!$A:$AJ,U$1,0)*$D290,0),IFERROR(VLOOKUP($E:$E,Structure!$A:$AJ,U$1,0)*$F290,0),IFERROR(VLOOKUP($G:$G,Structure!$A:$AJ,U$1,0)*$H290,0))</f>
        <v>0</v>
      </c>
      <c r="V290" s="9">
        <f>SUM(IFERROR(VLOOKUP($C:$C,Structure!$A:$AJ,V$1,0)*$D290,0),IFERROR(VLOOKUP($E:$E,Structure!$A:$AJ,V$1,0)*$F290,0),IFERROR(VLOOKUP($G:$G,Structure!$A:$AJ,V$1,0)*$H290,0))</f>
        <v>8</v>
      </c>
      <c r="W290" s="9">
        <f>SUM(IFERROR(VLOOKUP($C:$C,Structure!$A:$AJ,W$1,0)*$D290,0),IFERROR(VLOOKUP($E:$E,Structure!$A:$AJ,W$1,0)*$F290,0),IFERROR(VLOOKUP($G:$G,Structure!$A:$AJ,W$1,0)*$H290,0))</f>
        <v>0</v>
      </c>
      <c r="X290" s="9">
        <f>SUM(IFERROR(VLOOKUP($C:$C,Structure!$A:$AJ,X$1,0)*$D290,0),IFERROR(VLOOKUP($E:$E,Structure!$A:$AJ,X$1,0)*$F290,0),IFERROR(VLOOKUP($G:$G,Structure!$A:$AJ,X$1,0)*$H290,0))</f>
        <v>0</v>
      </c>
      <c r="Y290" s="9">
        <f>SUM(IFERROR(VLOOKUP($C:$C,Structure!$A:$AJ,Y$1,0)*$D290,0),IFERROR(VLOOKUP($E:$E,Structure!$A:$AJ,Y$1,0)*$F290,0),IFERROR(VLOOKUP($G:$G,Structure!$A:$AJ,Y$1,0)*$H290,0))</f>
        <v>0</v>
      </c>
      <c r="Z290" s="9">
        <f>SUM(IFERROR(VLOOKUP($C:$C,Structure!$A:$AJ,Z$1,0)*$D290,0),IFERROR(VLOOKUP($E:$E,Structure!$A:$AJ,Z$1,0)*$F290,0),IFERROR(VLOOKUP($G:$G,Structure!$A:$AJ,Z$1,0)*$H290,0))</f>
        <v>0</v>
      </c>
      <c r="AA290" s="9">
        <f>SUM(IFERROR(VLOOKUP($C:$C,Structure!$A:$AJ,AA$1,0)*$D290,0),IFERROR(VLOOKUP($E:$E,Structure!$A:$AJ,AA$1,0)*$F290,0),IFERROR(VLOOKUP($G:$G,Structure!$A:$AJ,AA$1,0)*$H290,0))</f>
        <v>0</v>
      </c>
      <c r="AB290" s="9">
        <f>SUM(IFERROR(VLOOKUP($C:$C,Structure!$A:$AJ,AB$1,0)*$D290,0),IFERROR(VLOOKUP($E:$E,Structure!$A:$AJ,AB$1,0)*$F290,0),IFERROR(VLOOKUP($G:$G,Structure!$A:$AJ,AB$1,0)*$H290,0))</f>
        <v>0</v>
      </c>
      <c r="AC290" s="9">
        <f>SUM(IFERROR(VLOOKUP($C:$C,Structure!$A:$AJ,AC$1,0)*$D290,0),IFERROR(VLOOKUP($E:$E,Structure!$A:$AJ,AC$1,0)*$F290,0),IFERROR(VLOOKUP($G:$G,Structure!$A:$AJ,AC$1,0)*$H290,0))</f>
        <v>8</v>
      </c>
      <c r="AD290" s="9">
        <f>SUM(IFERROR(VLOOKUP($C:$C,Structure!$A:$AJ,AD$1,0)*$D290,0),IFERROR(VLOOKUP($E:$E,Structure!$A:$AJ,AD$1,0)*$F290,0),IFERROR(VLOOKUP($G:$G,Structure!$A:$AJ,AD$1,0)*$H290,0))</f>
        <v>0</v>
      </c>
      <c r="AE290" s="9">
        <f>SUM(IFERROR(VLOOKUP($C:$C,Structure!$A:$AJ,AE$1,0)*$D290,0),IFERROR(VLOOKUP($E:$E,Structure!$A:$AJ,AE$1,0)*$F290,0),IFERROR(VLOOKUP($G:$G,Structure!$A:$AJ,AE$1,0)*$H290,0))</f>
        <v>0</v>
      </c>
      <c r="AF290" s="9">
        <f>SUM(IFERROR(VLOOKUP($C:$C,Structure!$A:$AJ,AF$1,0)*$D290,0),IFERROR(VLOOKUP($E:$E,Structure!$A:$AJ,AF$1,0)*$F290,0),IFERROR(VLOOKUP($G:$G,Structure!$A:$AJ,AF$1,0)*$H290,0))</f>
        <v>0</v>
      </c>
      <c r="AG290" s="9">
        <f>SUM(IFERROR(VLOOKUP($C:$C,Structure!$A:$AJ,AG$1,0)*$D290,0),IFERROR(VLOOKUP($E:$E,Structure!$A:$AJ,AG$1,0)*$F290,0),IFERROR(VLOOKUP($G:$G,Structure!$A:$AJ,AG$1,0)*$H290,0))</f>
        <v>0</v>
      </c>
      <c r="AH290" s="9">
        <f>SUM(IFERROR(VLOOKUP($C:$C,Structure!$A:$AJ,AH$1,0)*$D290,0),IFERROR(VLOOKUP($E:$E,Structure!$A:$AJ,AH$1,0)*$F290,0),IFERROR(VLOOKUP($G:$G,Structure!$A:$AJ,AH$1,0)*$H290,0))</f>
        <v>0</v>
      </c>
      <c r="AI290" s="9">
        <f>SUM(IFERROR(VLOOKUP($C:$C,Structure!$A:$AJ,AI$1,0)*$D290,0),IFERROR(VLOOKUP($E:$E,Structure!$A:$AJ,AI$1,0)*$F290,0),IFERROR(VLOOKUP($G:$G,Structure!$A:$AJ,AI$1,0)*$H290,0))</f>
        <v>0</v>
      </c>
      <c r="AJ290" s="9">
        <f>SUM(IFERROR(VLOOKUP($C:$C,Structure!$A:$AJ,AJ$1,0)*$D290,0),IFERROR(VLOOKUP($E:$E,Structure!$A:$AJ,AJ$1,0)*$F290,0),IFERROR(VLOOKUP($G:$G,Structure!$A:$AJ,AJ$1,0)*$H290,0))</f>
        <v>0</v>
      </c>
      <c r="AK290" s="9">
        <f>SUM(IFERROR(VLOOKUP($C:$C,Structure!$A:$AJ,AK$1,0)*$D290,0),IFERROR(VLOOKUP($E:$E,Structure!$A:$AJ,AK$1,0)*$F290,0),IFERROR(VLOOKUP($G:$G,Structure!$A:$AJ,AK$1,0)*$H290,0))</f>
        <v>0</v>
      </c>
      <c r="AL290" s="9">
        <f>SUM(IFERROR(VLOOKUP($C:$C,Structure!$A:$AJ,AL$1,0)*$D290,0),IFERROR(VLOOKUP($E:$E,Structure!$A:$AJ,AL$1,0)*$F290,0),IFERROR(VLOOKUP($G:$G,Structure!$A:$AJ,AL$1,0)*$H290,0))</f>
        <v>0</v>
      </c>
      <c r="AM290" s="9">
        <f>SUM(IFERROR(VLOOKUP($C:$C,Structure!$A:$AJ,AM$1,0)*$D290,0),IFERROR(VLOOKUP($E:$E,Structure!$A:$AJ,AM$1,0)*$F290,0),IFERROR(VLOOKUP($G:$G,Structure!$A:$AJ,AM$1,0)*$H290,0))</f>
        <v>0</v>
      </c>
      <c r="AN290" s="9">
        <f>SUM(IFERROR(VLOOKUP($C:$C,Structure!$A:$AJ,AN$1,0)*$D290,0),IFERROR(VLOOKUP($E:$E,Structure!$A:$AJ,AN$1,0)*$F290,0),IFERROR(VLOOKUP($G:$G,Structure!$A:$AJ,AN$1,0)*$H290,0))</f>
        <v>0</v>
      </c>
      <c r="AO290" s="9">
        <f>SUM(IFERROR(VLOOKUP($C:$C,Structure!$A:$AJ,AO$1,0)*$D290,0),IFERROR(VLOOKUP($E:$E,Structure!$A:$AJ,AO$1,0)*$F290,0),IFERROR(VLOOKUP($G:$G,Structure!$A:$AJ,AO$1,0)*$H290,0))</f>
        <v>0</v>
      </c>
      <c r="AP290" s="9">
        <f>SUM(IFERROR(VLOOKUP($C:$C,Structure!$A:$AJ,AP$1,0)*$D290,0),IFERROR(VLOOKUP($E:$E,Structure!$A:$AJ,AP$1,0)*$F290,0),IFERROR(VLOOKUP($G:$G,Structure!$A:$AJ,AP$1,0)*$H290,0))</f>
        <v>0</v>
      </c>
      <c r="AQ290" s="9">
        <f>SUM(IFERROR(VLOOKUP($C:$C,Structure!$A:$AJ,AQ$1,0)*$D290,0),IFERROR(VLOOKUP($E:$E,Structure!$A:$AJ,AQ$1,0)*$F290,0),IFERROR(VLOOKUP($G:$G,Structure!$A:$AJ,AQ$1,0)*$H290,0))</f>
        <v>0</v>
      </c>
      <c r="AR290" s="21" t="s">
        <v>829</v>
      </c>
      <c r="AS290" s="3" t="s">
        <v>352</v>
      </c>
      <c r="AT290" s="3" t="s">
        <v>825</v>
      </c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>
        <v>100</v>
      </c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4">
        <f t="shared" si="267"/>
        <v>0</v>
      </c>
      <c r="CE290" s="4">
        <f t="shared" si="268"/>
        <v>-236</v>
      </c>
      <c r="CF290" s="4">
        <f t="shared" si="269"/>
        <v>4</v>
      </c>
      <c r="CG290" s="4">
        <f t="shared" si="270"/>
        <v>11</v>
      </c>
      <c r="CH290" s="4">
        <f t="shared" si="271"/>
        <v>-7</v>
      </c>
      <c r="CI290" s="4">
        <f t="shared" si="272"/>
        <v>93</v>
      </c>
      <c r="CJ290" s="4">
        <f t="shared" si="273"/>
        <v>-447</v>
      </c>
      <c r="CK290" s="4">
        <f t="shared" si="274"/>
        <v>-57</v>
      </c>
      <c r="CL290" s="4">
        <f t="shared" si="275"/>
        <v>0</v>
      </c>
      <c r="CM290" s="4">
        <f t="shared" si="276"/>
        <v>6</v>
      </c>
      <c r="CN290" s="4">
        <f t="shared" si="277"/>
        <v>-334</v>
      </c>
      <c r="CO290" s="4">
        <f t="shared" si="278"/>
        <v>0</v>
      </c>
      <c r="CP290" s="4">
        <f t="shared" si="279"/>
        <v>-21</v>
      </c>
      <c r="CQ290" s="4">
        <f t="shared" si="280"/>
        <v>-547</v>
      </c>
      <c r="CR290" s="4">
        <f t="shared" si="281"/>
        <v>12</v>
      </c>
      <c r="CS290" s="4">
        <f t="shared" si="282"/>
        <v>-58</v>
      </c>
      <c r="CT290" s="4">
        <f t="shared" si="283"/>
        <v>0</v>
      </c>
      <c r="CU290" s="4">
        <f t="shared" si="284"/>
        <v>0</v>
      </c>
      <c r="CV290" s="4">
        <f t="shared" si="285"/>
        <v>0</v>
      </c>
      <c r="CW290" s="4">
        <f t="shared" si="286"/>
        <v>0</v>
      </c>
      <c r="CX290" s="4">
        <f t="shared" si="287"/>
        <v>-828</v>
      </c>
      <c r="CY290" s="4">
        <f t="shared" si="288"/>
        <v>0</v>
      </c>
      <c r="CZ290" s="4">
        <f t="shared" si="289"/>
        <v>0</v>
      </c>
      <c r="DA290" s="4">
        <f t="shared" si="290"/>
        <v>0</v>
      </c>
      <c r="DB290" s="4">
        <f t="shared" si="291"/>
        <v>0</v>
      </c>
      <c r="DC290" s="4">
        <f t="shared" si="292"/>
        <v>0</v>
      </c>
      <c r="DD290" s="4">
        <f t="shared" si="293"/>
        <v>0</v>
      </c>
      <c r="DE290" s="4">
        <f t="shared" si="294"/>
        <v>0</v>
      </c>
      <c r="DF290" s="4">
        <f t="shared" si="295"/>
        <v>0</v>
      </c>
      <c r="DG290" s="4">
        <f t="shared" si="296"/>
        <v>0</v>
      </c>
      <c r="DH290" s="4">
        <f t="shared" si="297"/>
        <v>0</v>
      </c>
      <c r="DI290" s="4">
        <f t="shared" si="298"/>
        <v>0</v>
      </c>
      <c r="DJ290" s="4">
        <f t="shared" si="299"/>
        <v>0</v>
      </c>
      <c r="DK290" s="4">
        <f t="shared" si="300"/>
        <v>0</v>
      </c>
      <c r="DL290" s="4">
        <f t="shared" si="301"/>
        <v>0</v>
      </c>
    </row>
    <row r="291" spans="1:116" x14ac:dyDescent="0.25">
      <c r="A291" s="5">
        <v>46189</v>
      </c>
      <c r="B291" s="6">
        <v>0.31250000069849193</v>
      </c>
      <c r="C291" s="3"/>
      <c r="D291" s="3"/>
      <c r="E291" s="3" t="s">
        <v>30</v>
      </c>
      <c r="F291" s="3">
        <v>8</v>
      </c>
      <c r="G291" s="3"/>
      <c r="H291" s="9"/>
      <c r="I291" s="9">
        <f>SUM(IFERROR(VLOOKUP($C:$C,Structure!$A:$AJ,I$1,0)*$D291,0),IFERROR(VLOOKUP($E:$E,Structure!$A:$AJ,I$1,0)*$F291,0),IFERROR(VLOOKUP($G:$G,Structure!$A:$AJ,I$1,0)*$H291,0))</f>
        <v>0</v>
      </c>
      <c r="J291" s="9">
        <f>SUM(IFERROR(VLOOKUP($C:$C,Structure!$A:$AJ,J$1,0)*$D291,0),IFERROR(VLOOKUP($E:$E,Structure!$A:$AJ,J$1,0)*$F291,0),IFERROR(VLOOKUP($G:$G,Structure!$A:$AJ,J$1,0)*$H291,0))</f>
        <v>0</v>
      </c>
      <c r="K291" s="9">
        <f>SUM(IFERROR(VLOOKUP($C:$C,Structure!$A:$AJ,K$1,0)*$D291,0),IFERROR(VLOOKUP($E:$E,Structure!$A:$AJ,K$1,0)*$F291,0),IFERROR(VLOOKUP($G:$G,Structure!$A:$AJ,K$1,0)*$H291,0))</f>
        <v>0</v>
      </c>
      <c r="L291" s="9">
        <f>SUM(IFERROR(VLOOKUP($C:$C,Structure!$A:$AJ,L$1,0)*$D291,0),IFERROR(VLOOKUP($E:$E,Structure!$A:$AJ,L$1,0)*$F291,0),IFERROR(VLOOKUP($G:$G,Structure!$A:$AJ,L$1,0)*$H291,0))</f>
        <v>0</v>
      </c>
      <c r="M291" s="9">
        <f>SUM(IFERROR(VLOOKUP($C:$C,Structure!$A:$AJ,M$1,0)*$D291,0),IFERROR(VLOOKUP($E:$E,Structure!$A:$AJ,M$1,0)*$F291,0),IFERROR(VLOOKUP($G:$G,Structure!$A:$AJ,M$1,0)*$H291,0))</f>
        <v>0</v>
      </c>
      <c r="N291" s="9">
        <f>SUM(IFERROR(VLOOKUP($C:$C,Structure!$A:$AJ,N$1,0)*$D291,0),IFERROR(VLOOKUP($E:$E,Structure!$A:$AJ,N$1,0)*$F291,0),IFERROR(VLOOKUP($G:$G,Structure!$A:$AJ,N$1,0)*$H291,0))</f>
        <v>0</v>
      </c>
      <c r="O291" s="9">
        <f>SUM(IFERROR(VLOOKUP($C:$C,Structure!$A:$AJ,O$1,0)*$D291,0),IFERROR(VLOOKUP($E:$E,Structure!$A:$AJ,O$1,0)*$F291,0),IFERROR(VLOOKUP($G:$G,Structure!$A:$AJ,O$1,0)*$H291,0))</f>
        <v>0</v>
      </c>
      <c r="P291" s="9">
        <f>SUM(IFERROR(VLOOKUP($C:$C,Structure!$A:$AJ,P$1,0)*$D291,0),IFERROR(VLOOKUP($E:$E,Structure!$A:$AJ,P$1,0)*$F291,0),IFERROR(VLOOKUP($G:$G,Structure!$A:$AJ,P$1,0)*$H291,0))</f>
        <v>0</v>
      </c>
      <c r="Q291" s="9">
        <f>SUM(IFERROR(VLOOKUP($C:$C,Structure!$A:$AJ,Q$1,0)*$D291,0),IFERROR(VLOOKUP($E:$E,Structure!$A:$AJ,Q$1,0)*$F291,0),IFERROR(VLOOKUP($G:$G,Structure!$A:$AJ,Q$1,0)*$H291,0))</f>
        <v>0</v>
      </c>
      <c r="R291" s="9">
        <f>SUM(IFERROR(VLOOKUP($C:$C,Structure!$A:$AJ,R$1,0)*$D291,0),IFERROR(VLOOKUP($E:$E,Structure!$A:$AJ,R$1,0)*$F291,0),IFERROR(VLOOKUP($G:$G,Structure!$A:$AJ,R$1,0)*$H291,0))</f>
        <v>0</v>
      </c>
      <c r="S291" s="9">
        <f>SUM(IFERROR(VLOOKUP($C:$C,Structure!$A:$AJ,S$1,0)*$D291,0),IFERROR(VLOOKUP($E:$E,Structure!$A:$AJ,S$1,0)*$F291,0),IFERROR(VLOOKUP($G:$G,Structure!$A:$AJ,S$1,0)*$H291,0))</f>
        <v>0</v>
      </c>
      <c r="T291" s="9">
        <f>SUM(IFERROR(VLOOKUP($C:$C,Structure!$A:$AJ,T$1,0)*$D291,0),IFERROR(VLOOKUP($E:$E,Structure!$A:$AJ,T$1,0)*$F291,0),IFERROR(VLOOKUP($G:$G,Structure!$A:$AJ,T$1,0)*$H291,0))</f>
        <v>0</v>
      </c>
      <c r="U291" s="9">
        <f>SUM(IFERROR(VLOOKUP($C:$C,Structure!$A:$AJ,U$1,0)*$D291,0),IFERROR(VLOOKUP($E:$E,Structure!$A:$AJ,U$1,0)*$F291,0),IFERROR(VLOOKUP($G:$G,Structure!$A:$AJ,U$1,0)*$H291,0))</f>
        <v>0</v>
      </c>
      <c r="V291" s="9">
        <f>SUM(IFERROR(VLOOKUP($C:$C,Structure!$A:$AJ,V$1,0)*$D291,0),IFERROR(VLOOKUP($E:$E,Structure!$A:$AJ,V$1,0)*$F291,0),IFERROR(VLOOKUP($G:$G,Structure!$A:$AJ,V$1,0)*$H291,0))</f>
        <v>8</v>
      </c>
      <c r="W291" s="9">
        <f>SUM(IFERROR(VLOOKUP($C:$C,Structure!$A:$AJ,W$1,0)*$D291,0),IFERROR(VLOOKUP($E:$E,Structure!$A:$AJ,W$1,0)*$F291,0),IFERROR(VLOOKUP($G:$G,Structure!$A:$AJ,W$1,0)*$H291,0))</f>
        <v>0</v>
      </c>
      <c r="X291" s="9">
        <f>SUM(IFERROR(VLOOKUP($C:$C,Structure!$A:$AJ,X$1,0)*$D291,0),IFERROR(VLOOKUP($E:$E,Structure!$A:$AJ,X$1,0)*$F291,0),IFERROR(VLOOKUP($G:$G,Structure!$A:$AJ,X$1,0)*$H291,0))</f>
        <v>0</v>
      </c>
      <c r="Y291" s="9">
        <f>SUM(IFERROR(VLOOKUP($C:$C,Structure!$A:$AJ,Y$1,0)*$D291,0),IFERROR(VLOOKUP($E:$E,Structure!$A:$AJ,Y$1,0)*$F291,0),IFERROR(VLOOKUP($G:$G,Structure!$A:$AJ,Y$1,0)*$H291,0))</f>
        <v>0</v>
      </c>
      <c r="Z291" s="9">
        <f>SUM(IFERROR(VLOOKUP($C:$C,Structure!$A:$AJ,Z$1,0)*$D291,0),IFERROR(VLOOKUP($E:$E,Structure!$A:$AJ,Z$1,0)*$F291,0),IFERROR(VLOOKUP($G:$G,Structure!$A:$AJ,Z$1,0)*$H291,0))</f>
        <v>0</v>
      </c>
      <c r="AA291" s="9">
        <f>SUM(IFERROR(VLOOKUP($C:$C,Structure!$A:$AJ,AA$1,0)*$D291,0),IFERROR(VLOOKUP($E:$E,Structure!$A:$AJ,AA$1,0)*$F291,0),IFERROR(VLOOKUP($G:$G,Structure!$A:$AJ,AA$1,0)*$H291,0))</f>
        <v>0</v>
      </c>
      <c r="AB291" s="9">
        <f>SUM(IFERROR(VLOOKUP($C:$C,Structure!$A:$AJ,AB$1,0)*$D291,0),IFERROR(VLOOKUP($E:$E,Structure!$A:$AJ,AB$1,0)*$F291,0),IFERROR(VLOOKUP($G:$G,Structure!$A:$AJ,AB$1,0)*$H291,0))</f>
        <v>0</v>
      </c>
      <c r="AC291" s="9">
        <f>SUM(IFERROR(VLOOKUP($C:$C,Structure!$A:$AJ,AC$1,0)*$D291,0),IFERROR(VLOOKUP($E:$E,Structure!$A:$AJ,AC$1,0)*$F291,0),IFERROR(VLOOKUP($G:$G,Structure!$A:$AJ,AC$1,0)*$H291,0))</f>
        <v>8</v>
      </c>
      <c r="AD291" s="9">
        <f>SUM(IFERROR(VLOOKUP($C:$C,Structure!$A:$AJ,AD$1,0)*$D291,0),IFERROR(VLOOKUP($E:$E,Structure!$A:$AJ,AD$1,0)*$F291,0),IFERROR(VLOOKUP($G:$G,Structure!$A:$AJ,AD$1,0)*$H291,0))</f>
        <v>0</v>
      </c>
      <c r="AE291" s="9">
        <f>SUM(IFERROR(VLOOKUP($C:$C,Structure!$A:$AJ,AE$1,0)*$D291,0),IFERROR(VLOOKUP($E:$E,Structure!$A:$AJ,AE$1,0)*$F291,0),IFERROR(VLOOKUP($G:$G,Structure!$A:$AJ,AE$1,0)*$H291,0))</f>
        <v>0</v>
      </c>
      <c r="AF291" s="9">
        <f>SUM(IFERROR(VLOOKUP($C:$C,Structure!$A:$AJ,AF$1,0)*$D291,0),IFERROR(VLOOKUP($E:$E,Structure!$A:$AJ,AF$1,0)*$F291,0),IFERROR(VLOOKUP($G:$G,Structure!$A:$AJ,AF$1,0)*$H291,0))</f>
        <v>0</v>
      </c>
      <c r="AG291" s="9">
        <f>SUM(IFERROR(VLOOKUP($C:$C,Structure!$A:$AJ,AG$1,0)*$D291,0),IFERROR(VLOOKUP($E:$E,Structure!$A:$AJ,AG$1,0)*$F291,0),IFERROR(VLOOKUP($G:$G,Structure!$A:$AJ,AG$1,0)*$H291,0))</f>
        <v>0</v>
      </c>
      <c r="AH291" s="9">
        <f>SUM(IFERROR(VLOOKUP($C:$C,Structure!$A:$AJ,AH$1,0)*$D291,0),IFERROR(VLOOKUP($E:$E,Structure!$A:$AJ,AH$1,0)*$F291,0),IFERROR(VLOOKUP($G:$G,Structure!$A:$AJ,AH$1,0)*$H291,0))</f>
        <v>0</v>
      </c>
      <c r="AI291" s="9">
        <f>SUM(IFERROR(VLOOKUP($C:$C,Structure!$A:$AJ,AI$1,0)*$D291,0),IFERROR(VLOOKUP($E:$E,Structure!$A:$AJ,AI$1,0)*$F291,0),IFERROR(VLOOKUP($G:$G,Structure!$A:$AJ,AI$1,0)*$H291,0))</f>
        <v>0</v>
      </c>
      <c r="AJ291" s="9">
        <f>SUM(IFERROR(VLOOKUP($C:$C,Structure!$A:$AJ,AJ$1,0)*$D291,0),IFERROR(VLOOKUP($E:$E,Structure!$A:$AJ,AJ$1,0)*$F291,0),IFERROR(VLOOKUP($G:$G,Structure!$A:$AJ,AJ$1,0)*$H291,0))</f>
        <v>0</v>
      </c>
      <c r="AK291" s="9">
        <f>SUM(IFERROR(VLOOKUP($C:$C,Structure!$A:$AJ,AK$1,0)*$D291,0),IFERROR(VLOOKUP($E:$E,Structure!$A:$AJ,AK$1,0)*$F291,0),IFERROR(VLOOKUP($G:$G,Structure!$A:$AJ,AK$1,0)*$H291,0))</f>
        <v>0</v>
      </c>
      <c r="AL291" s="9">
        <f>SUM(IFERROR(VLOOKUP($C:$C,Structure!$A:$AJ,AL$1,0)*$D291,0),IFERROR(VLOOKUP($E:$E,Structure!$A:$AJ,AL$1,0)*$F291,0),IFERROR(VLOOKUP($G:$G,Structure!$A:$AJ,AL$1,0)*$H291,0))</f>
        <v>0</v>
      </c>
      <c r="AM291" s="9">
        <f>SUM(IFERROR(VLOOKUP($C:$C,Structure!$A:$AJ,AM$1,0)*$D291,0),IFERROR(VLOOKUP($E:$E,Structure!$A:$AJ,AM$1,0)*$F291,0),IFERROR(VLOOKUP($G:$G,Structure!$A:$AJ,AM$1,0)*$H291,0))</f>
        <v>0</v>
      </c>
      <c r="AN291" s="9">
        <f>SUM(IFERROR(VLOOKUP($C:$C,Structure!$A:$AJ,AN$1,0)*$D291,0),IFERROR(VLOOKUP($E:$E,Structure!$A:$AJ,AN$1,0)*$F291,0),IFERROR(VLOOKUP($G:$G,Structure!$A:$AJ,AN$1,0)*$H291,0))</f>
        <v>0</v>
      </c>
      <c r="AO291" s="9">
        <f>SUM(IFERROR(VLOOKUP($C:$C,Structure!$A:$AJ,AO$1,0)*$D291,0),IFERROR(VLOOKUP($E:$E,Structure!$A:$AJ,AO$1,0)*$F291,0),IFERROR(VLOOKUP($G:$G,Structure!$A:$AJ,AO$1,0)*$H291,0))</f>
        <v>0</v>
      </c>
      <c r="AP291" s="9">
        <f>SUM(IFERROR(VLOOKUP($C:$C,Structure!$A:$AJ,AP$1,0)*$D291,0),IFERROR(VLOOKUP($E:$E,Structure!$A:$AJ,AP$1,0)*$F291,0),IFERROR(VLOOKUP($G:$G,Structure!$A:$AJ,AP$1,0)*$H291,0))</f>
        <v>0</v>
      </c>
      <c r="AQ291" s="9">
        <f>SUM(IFERROR(VLOOKUP($C:$C,Structure!$A:$AJ,AQ$1,0)*$D291,0),IFERROR(VLOOKUP($E:$E,Structure!$A:$AJ,AQ$1,0)*$F291,0),IFERROR(VLOOKUP($G:$G,Structure!$A:$AJ,AQ$1,0)*$H291,0))</f>
        <v>0</v>
      </c>
      <c r="AR291" s="21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4">
        <f t="shared" si="267"/>
        <v>0</v>
      </c>
      <c r="CE291" s="4">
        <f t="shared" si="268"/>
        <v>-236</v>
      </c>
      <c r="CF291" s="4">
        <f t="shared" si="269"/>
        <v>4</v>
      </c>
      <c r="CG291" s="4">
        <f t="shared" si="270"/>
        <v>11</v>
      </c>
      <c r="CH291" s="4">
        <f t="shared" si="271"/>
        <v>-7</v>
      </c>
      <c r="CI291" s="4">
        <f t="shared" si="272"/>
        <v>93</v>
      </c>
      <c r="CJ291" s="4">
        <f t="shared" si="273"/>
        <v>-447</v>
      </c>
      <c r="CK291" s="4">
        <f t="shared" si="274"/>
        <v>-57</v>
      </c>
      <c r="CL291" s="4">
        <f t="shared" si="275"/>
        <v>0</v>
      </c>
      <c r="CM291" s="4">
        <f t="shared" si="276"/>
        <v>6</v>
      </c>
      <c r="CN291" s="4">
        <f t="shared" si="277"/>
        <v>-334</v>
      </c>
      <c r="CO291" s="4">
        <f t="shared" si="278"/>
        <v>0</v>
      </c>
      <c r="CP291" s="4">
        <f t="shared" si="279"/>
        <v>-21</v>
      </c>
      <c r="CQ291" s="4">
        <f t="shared" si="280"/>
        <v>-555</v>
      </c>
      <c r="CR291" s="4">
        <f t="shared" si="281"/>
        <v>12</v>
      </c>
      <c r="CS291" s="4">
        <f t="shared" si="282"/>
        <v>-58</v>
      </c>
      <c r="CT291" s="4">
        <f t="shared" si="283"/>
        <v>0</v>
      </c>
      <c r="CU291" s="4">
        <f t="shared" si="284"/>
        <v>0</v>
      </c>
      <c r="CV291" s="4">
        <f t="shared" si="285"/>
        <v>0</v>
      </c>
      <c r="CW291" s="4">
        <f t="shared" si="286"/>
        <v>0</v>
      </c>
      <c r="CX291" s="4">
        <f t="shared" si="287"/>
        <v>-836</v>
      </c>
      <c r="CY291" s="4">
        <f t="shared" si="288"/>
        <v>0</v>
      </c>
      <c r="CZ291" s="4">
        <f t="shared" si="289"/>
        <v>0</v>
      </c>
      <c r="DA291" s="4">
        <f t="shared" si="290"/>
        <v>0</v>
      </c>
      <c r="DB291" s="4">
        <f t="shared" si="291"/>
        <v>0</v>
      </c>
      <c r="DC291" s="4">
        <f t="shared" si="292"/>
        <v>0</v>
      </c>
      <c r="DD291" s="4">
        <f t="shared" si="293"/>
        <v>0</v>
      </c>
      <c r="DE291" s="4">
        <f t="shared" si="294"/>
        <v>0</v>
      </c>
      <c r="DF291" s="4">
        <f t="shared" si="295"/>
        <v>0</v>
      </c>
      <c r="DG291" s="4">
        <f t="shared" si="296"/>
        <v>0</v>
      </c>
      <c r="DH291" s="4">
        <f t="shared" si="297"/>
        <v>0</v>
      </c>
      <c r="DI291" s="4">
        <f t="shared" si="298"/>
        <v>0</v>
      </c>
      <c r="DJ291" s="4">
        <f t="shared" si="299"/>
        <v>0</v>
      </c>
      <c r="DK291" s="4">
        <f t="shared" si="300"/>
        <v>0</v>
      </c>
      <c r="DL291" s="4">
        <f t="shared" si="301"/>
        <v>0</v>
      </c>
    </row>
    <row r="292" spans="1:116" x14ac:dyDescent="0.25">
      <c r="A292" s="5">
        <v>46189</v>
      </c>
      <c r="B292" s="6">
        <v>0.33333333403425058</v>
      </c>
      <c r="C292" s="3"/>
      <c r="D292" s="3"/>
      <c r="E292" s="3" t="s">
        <v>30</v>
      </c>
      <c r="F292" s="3">
        <v>8</v>
      </c>
      <c r="G292" s="3"/>
      <c r="H292" s="9"/>
      <c r="I292" s="9">
        <f>SUM(IFERROR(VLOOKUP($C:$C,Structure!$A:$AJ,I$1,0)*$D292,0),IFERROR(VLOOKUP($E:$E,Structure!$A:$AJ,I$1,0)*$F292,0),IFERROR(VLOOKUP($G:$G,Structure!$A:$AJ,I$1,0)*$H292,0))</f>
        <v>0</v>
      </c>
      <c r="J292" s="9">
        <f>SUM(IFERROR(VLOOKUP($C:$C,Structure!$A:$AJ,J$1,0)*$D292,0),IFERROR(VLOOKUP($E:$E,Structure!$A:$AJ,J$1,0)*$F292,0),IFERROR(VLOOKUP($G:$G,Structure!$A:$AJ,J$1,0)*$H292,0))</f>
        <v>0</v>
      </c>
      <c r="K292" s="9">
        <f>SUM(IFERROR(VLOOKUP($C:$C,Structure!$A:$AJ,K$1,0)*$D292,0),IFERROR(VLOOKUP($E:$E,Structure!$A:$AJ,K$1,0)*$F292,0),IFERROR(VLOOKUP($G:$G,Structure!$A:$AJ,K$1,0)*$H292,0))</f>
        <v>0</v>
      </c>
      <c r="L292" s="9">
        <f>SUM(IFERROR(VLOOKUP($C:$C,Structure!$A:$AJ,L$1,0)*$D292,0),IFERROR(VLOOKUP($E:$E,Structure!$A:$AJ,L$1,0)*$F292,0),IFERROR(VLOOKUP($G:$G,Structure!$A:$AJ,L$1,0)*$H292,0))</f>
        <v>0</v>
      </c>
      <c r="M292" s="9">
        <f>SUM(IFERROR(VLOOKUP($C:$C,Structure!$A:$AJ,M$1,0)*$D292,0),IFERROR(VLOOKUP($E:$E,Structure!$A:$AJ,M$1,0)*$F292,0),IFERROR(VLOOKUP($G:$G,Structure!$A:$AJ,M$1,0)*$H292,0))</f>
        <v>0</v>
      </c>
      <c r="N292" s="9">
        <f>SUM(IFERROR(VLOOKUP($C:$C,Structure!$A:$AJ,N$1,0)*$D292,0),IFERROR(VLOOKUP($E:$E,Structure!$A:$AJ,N$1,0)*$F292,0),IFERROR(VLOOKUP($G:$G,Structure!$A:$AJ,N$1,0)*$H292,0))</f>
        <v>0</v>
      </c>
      <c r="O292" s="9">
        <f>SUM(IFERROR(VLOOKUP($C:$C,Structure!$A:$AJ,O$1,0)*$D292,0),IFERROR(VLOOKUP($E:$E,Structure!$A:$AJ,O$1,0)*$F292,0),IFERROR(VLOOKUP($G:$G,Structure!$A:$AJ,O$1,0)*$H292,0))</f>
        <v>0</v>
      </c>
      <c r="P292" s="9">
        <f>SUM(IFERROR(VLOOKUP($C:$C,Structure!$A:$AJ,P$1,0)*$D292,0),IFERROR(VLOOKUP($E:$E,Structure!$A:$AJ,P$1,0)*$F292,0),IFERROR(VLOOKUP($G:$G,Structure!$A:$AJ,P$1,0)*$H292,0))</f>
        <v>0</v>
      </c>
      <c r="Q292" s="9">
        <f>SUM(IFERROR(VLOOKUP($C:$C,Structure!$A:$AJ,Q$1,0)*$D292,0),IFERROR(VLOOKUP($E:$E,Structure!$A:$AJ,Q$1,0)*$F292,0),IFERROR(VLOOKUP($G:$G,Structure!$A:$AJ,Q$1,0)*$H292,0))</f>
        <v>0</v>
      </c>
      <c r="R292" s="9">
        <f>SUM(IFERROR(VLOOKUP($C:$C,Structure!$A:$AJ,R$1,0)*$D292,0),IFERROR(VLOOKUP($E:$E,Structure!$A:$AJ,R$1,0)*$F292,0),IFERROR(VLOOKUP($G:$G,Structure!$A:$AJ,R$1,0)*$H292,0))</f>
        <v>0</v>
      </c>
      <c r="S292" s="9">
        <f>SUM(IFERROR(VLOOKUP($C:$C,Structure!$A:$AJ,S$1,0)*$D292,0),IFERROR(VLOOKUP($E:$E,Structure!$A:$AJ,S$1,0)*$F292,0),IFERROR(VLOOKUP($G:$G,Structure!$A:$AJ,S$1,0)*$H292,0))</f>
        <v>0</v>
      </c>
      <c r="T292" s="9">
        <f>SUM(IFERROR(VLOOKUP($C:$C,Structure!$A:$AJ,T$1,0)*$D292,0),IFERROR(VLOOKUP($E:$E,Structure!$A:$AJ,T$1,0)*$F292,0),IFERROR(VLOOKUP($G:$G,Structure!$A:$AJ,T$1,0)*$H292,0))</f>
        <v>0</v>
      </c>
      <c r="U292" s="9">
        <f>SUM(IFERROR(VLOOKUP($C:$C,Structure!$A:$AJ,U$1,0)*$D292,0),IFERROR(VLOOKUP($E:$E,Structure!$A:$AJ,U$1,0)*$F292,0),IFERROR(VLOOKUP($G:$G,Structure!$A:$AJ,U$1,0)*$H292,0))</f>
        <v>0</v>
      </c>
      <c r="V292" s="9">
        <f>SUM(IFERROR(VLOOKUP($C:$C,Structure!$A:$AJ,V$1,0)*$D292,0),IFERROR(VLOOKUP($E:$E,Structure!$A:$AJ,V$1,0)*$F292,0),IFERROR(VLOOKUP($G:$G,Structure!$A:$AJ,V$1,0)*$H292,0))</f>
        <v>8</v>
      </c>
      <c r="W292" s="9">
        <f>SUM(IFERROR(VLOOKUP($C:$C,Structure!$A:$AJ,W$1,0)*$D292,0),IFERROR(VLOOKUP($E:$E,Structure!$A:$AJ,W$1,0)*$F292,0),IFERROR(VLOOKUP($G:$G,Structure!$A:$AJ,W$1,0)*$H292,0))</f>
        <v>0</v>
      </c>
      <c r="X292" s="9">
        <f>SUM(IFERROR(VLOOKUP($C:$C,Structure!$A:$AJ,X$1,0)*$D292,0),IFERROR(VLOOKUP($E:$E,Structure!$A:$AJ,X$1,0)*$F292,0),IFERROR(VLOOKUP($G:$G,Structure!$A:$AJ,X$1,0)*$H292,0))</f>
        <v>0</v>
      </c>
      <c r="Y292" s="9">
        <f>SUM(IFERROR(VLOOKUP($C:$C,Structure!$A:$AJ,Y$1,0)*$D292,0),IFERROR(VLOOKUP($E:$E,Structure!$A:$AJ,Y$1,0)*$F292,0),IFERROR(VLOOKUP($G:$G,Structure!$A:$AJ,Y$1,0)*$H292,0))</f>
        <v>0</v>
      </c>
      <c r="Z292" s="9">
        <f>SUM(IFERROR(VLOOKUP($C:$C,Structure!$A:$AJ,Z$1,0)*$D292,0),IFERROR(VLOOKUP($E:$E,Structure!$A:$AJ,Z$1,0)*$F292,0),IFERROR(VLOOKUP($G:$G,Structure!$A:$AJ,Z$1,0)*$H292,0))</f>
        <v>0</v>
      </c>
      <c r="AA292" s="9">
        <f>SUM(IFERROR(VLOOKUP($C:$C,Structure!$A:$AJ,AA$1,0)*$D292,0),IFERROR(VLOOKUP($E:$E,Structure!$A:$AJ,AA$1,0)*$F292,0),IFERROR(VLOOKUP($G:$G,Structure!$A:$AJ,AA$1,0)*$H292,0))</f>
        <v>0</v>
      </c>
      <c r="AB292" s="9">
        <f>SUM(IFERROR(VLOOKUP($C:$C,Structure!$A:$AJ,AB$1,0)*$D292,0),IFERROR(VLOOKUP($E:$E,Structure!$A:$AJ,AB$1,0)*$F292,0),IFERROR(VLOOKUP($G:$G,Structure!$A:$AJ,AB$1,0)*$H292,0))</f>
        <v>0</v>
      </c>
      <c r="AC292" s="9">
        <f>SUM(IFERROR(VLOOKUP($C:$C,Structure!$A:$AJ,AC$1,0)*$D292,0),IFERROR(VLOOKUP($E:$E,Structure!$A:$AJ,AC$1,0)*$F292,0),IFERROR(VLOOKUP($G:$G,Structure!$A:$AJ,AC$1,0)*$H292,0))</f>
        <v>8</v>
      </c>
      <c r="AD292" s="9">
        <f>SUM(IFERROR(VLOOKUP($C:$C,Structure!$A:$AJ,AD$1,0)*$D292,0),IFERROR(VLOOKUP($E:$E,Structure!$A:$AJ,AD$1,0)*$F292,0),IFERROR(VLOOKUP($G:$G,Structure!$A:$AJ,AD$1,0)*$H292,0))</f>
        <v>0</v>
      </c>
      <c r="AE292" s="9">
        <f>SUM(IFERROR(VLOOKUP($C:$C,Structure!$A:$AJ,AE$1,0)*$D292,0),IFERROR(VLOOKUP($E:$E,Structure!$A:$AJ,AE$1,0)*$F292,0),IFERROR(VLOOKUP($G:$G,Structure!$A:$AJ,AE$1,0)*$H292,0))</f>
        <v>0</v>
      </c>
      <c r="AF292" s="9">
        <f>SUM(IFERROR(VLOOKUP($C:$C,Structure!$A:$AJ,AF$1,0)*$D292,0),IFERROR(VLOOKUP($E:$E,Structure!$A:$AJ,AF$1,0)*$F292,0),IFERROR(VLOOKUP($G:$G,Structure!$A:$AJ,AF$1,0)*$H292,0))</f>
        <v>0</v>
      </c>
      <c r="AG292" s="9">
        <f>SUM(IFERROR(VLOOKUP($C:$C,Structure!$A:$AJ,AG$1,0)*$D292,0),IFERROR(VLOOKUP($E:$E,Structure!$A:$AJ,AG$1,0)*$F292,0),IFERROR(VLOOKUP($G:$G,Structure!$A:$AJ,AG$1,0)*$H292,0))</f>
        <v>0</v>
      </c>
      <c r="AH292" s="9">
        <f>SUM(IFERROR(VLOOKUP($C:$C,Structure!$A:$AJ,AH$1,0)*$D292,0),IFERROR(VLOOKUP($E:$E,Structure!$A:$AJ,AH$1,0)*$F292,0),IFERROR(VLOOKUP($G:$G,Structure!$A:$AJ,AH$1,0)*$H292,0))</f>
        <v>0</v>
      </c>
      <c r="AI292" s="9">
        <f>SUM(IFERROR(VLOOKUP($C:$C,Structure!$A:$AJ,AI$1,0)*$D292,0),IFERROR(VLOOKUP($E:$E,Structure!$A:$AJ,AI$1,0)*$F292,0),IFERROR(VLOOKUP($G:$G,Structure!$A:$AJ,AI$1,0)*$H292,0))</f>
        <v>0</v>
      </c>
      <c r="AJ292" s="9">
        <f>SUM(IFERROR(VLOOKUP($C:$C,Structure!$A:$AJ,AJ$1,0)*$D292,0),IFERROR(VLOOKUP($E:$E,Structure!$A:$AJ,AJ$1,0)*$F292,0),IFERROR(VLOOKUP($G:$G,Structure!$A:$AJ,AJ$1,0)*$H292,0))</f>
        <v>0</v>
      </c>
      <c r="AK292" s="9">
        <f>SUM(IFERROR(VLOOKUP($C:$C,Structure!$A:$AJ,AK$1,0)*$D292,0),IFERROR(VLOOKUP($E:$E,Structure!$A:$AJ,AK$1,0)*$F292,0),IFERROR(VLOOKUP($G:$G,Structure!$A:$AJ,AK$1,0)*$H292,0))</f>
        <v>0</v>
      </c>
      <c r="AL292" s="9">
        <f>SUM(IFERROR(VLOOKUP($C:$C,Structure!$A:$AJ,AL$1,0)*$D292,0),IFERROR(VLOOKUP($E:$E,Structure!$A:$AJ,AL$1,0)*$F292,0),IFERROR(VLOOKUP($G:$G,Structure!$A:$AJ,AL$1,0)*$H292,0))</f>
        <v>0</v>
      </c>
      <c r="AM292" s="9">
        <f>SUM(IFERROR(VLOOKUP($C:$C,Structure!$A:$AJ,AM$1,0)*$D292,0),IFERROR(VLOOKUP($E:$E,Structure!$A:$AJ,AM$1,0)*$F292,0),IFERROR(VLOOKUP($G:$G,Structure!$A:$AJ,AM$1,0)*$H292,0))</f>
        <v>0</v>
      </c>
      <c r="AN292" s="9">
        <f>SUM(IFERROR(VLOOKUP($C:$C,Structure!$A:$AJ,AN$1,0)*$D292,0),IFERROR(VLOOKUP($E:$E,Structure!$A:$AJ,AN$1,0)*$F292,0),IFERROR(VLOOKUP($G:$G,Structure!$A:$AJ,AN$1,0)*$H292,0))</f>
        <v>0</v>
      </c>
      <c r="AO292" s="9">
        <f>SUM(IFERROR(VLOOKUP($C:$C,Structure!$A:$AJ,AO$1,0)*$D292,0),IFERROR(VLOOKUP($E:$E,Structure!$A:$AJ,AO$1,0)*$F292,0),IFERROR(VLOOKUP($G:$G,Structure!$A:$AJ,AO$1,0)*$H292,0))</f>
        <v>0</v>
      </c>
      <c r="AP292" s="9">
        <f>SUM(IFERROR(VLOOKUP($C:$C,Structure!$A:$AJ,AP$1,0)*$D292,0),IFERROR(VLOOKUP($E:$E,Structure!$A:$AJ,AP$1,0)*$F292,0),IFERROR(VLOOKUP($G:$G,Structure!$A:$AJ,AP$1,0)*$H292,0))</f>
        <v>0</v>
      </c>
      <c r="AQ292" s="9">
        <f>SUM(IFERROR(VLOOKUP($C:$C,Structure!$A:$AJ,AQ$1,0)*$D292,0),IFERROR(VLOOKUP($E:$E,Structure!$A:$AJ,AQ$1,0)*$F292,0),IFERROR(VLOOKUP($G:$G,Structure!$A:$AJ,AQ$1,0)*$H292,0))</f>
        <v>0</v>
      </c>
      <c r="AR292" s="21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4">
        <f t="shared" si="267"/>
        <v>0</v>
      </c>
      <c r="CE292" s="4">
        <f t="shared" si="268"/>
        <v>-236</v>
      </c>
      <c r="CF292" s="4">
        <f t="shared" si="269"/>
        <v>4</v>
      </c>
      <c r="CG292" s="4">
        <f t="shared" si="270"/>
        <v>11</v>
      </c>
      <c r="CH292" s="4">
        <f t="shared" si="271"/>
        <v>-7</v>
      </c>
      <c r="CI292" s="4">
        <f t="shared" si="272"/>
        <v>93</v>
      </c>
      <c r="CJ292" s="4">
        <f t="shared" si="273"/>
        <v>-447</v>
      </c>
      <c r="CK292" s="4">
        <f t="shared" si="274"/>
        <v>-57</v>
      </c>
      <c r="CL292" s="4">
        <f t="shared" si="275"/>
        <v>0</v>
      </c>
      <c r="CM292" s="4">
        <f t="shared" si="276"/>
        <v>6</v>
      </c>
      <c r="CN292" s="4">
        <f t="shared" si="277"/>
        <v>-334</v>
      </c>
      <c r="CO292" s="4">
        <f t="shared" si="278"/>
        <v>0</v>
      </c>
      <c r="CP292" s="4">
        <f t="shared" si="279"/>
        <v>-21</v>
      </c>
      <c r="CQ292" s="4">
        <f t="shared" si="280"/>
        <v>-563</v>
      </c>
      <c r="CR292" s="4">
        <f t="shared" si="281"/>
        <v>12</v>
      </c>
      <c r="CS292" s="4">
        <f t="shared" si="282"/>
        <v>-58</v>
      </c>
      <c r="CT292" s="4">
        <f t="shared" si="283"/>
        <v>0</v>
      </c>
      <c r="CU292" s="4">
        <f t="shared" si="284"/>
        <v>0</v>
      </c>
      <c r="CV292" s="4">
        <f t="shared" si="285"/>
        <v>0</v>
      </c>
      <c r="CW292" s="4">
        <f t="shared" si="286"/>
        <v>0</v>
      </c>
      <c r="CX292" s="4">
        <f t="shared" si="287"/>
        <v>-844</v>
      </c>
      <c r="CY292" s="4">
        <f t="shared" si="288"/>
        <v>0</v>
      </c>
      <c r="CZ292" s="4">
        <f t="shared" si="289"/>
        <v>0</v>
      </c>
      <c r="DA292" s="4">
        <f t="shared" si="290"/>
        <v>0</v>
      </c>
      <c r="DB292" s="4">
        <f t="shared" si="291"/>
        <v>0</v>
      </c>
      <c r="DC292" s="4">
        <f t="shared" si="292"/>
        <v>0</v>
      </c>
      <c r="DD292" s="4">
        <f t="shared" si="293"/>
        <v>0</v>
      </c>
      <c r="DE292" s="4">
        <f t="shared" si="294"/>
        <v>0</v>
      </c>
      <c r="DF292" s="4">
        <f t="shared" si="295"/>
        <v>0</v>
      </c>
      <c r="DG292" s="4">
        <f t="shared" si="296"/>
        <v>0</v>
      </c>
      <c r="DH292" s="4">
        <f t="shared" si="297"/>
        <v>0</v>
      </c>
      <c r="DI292" s="4">
        <f t="shared" si="298"/>
        <v>0</v>
      </c>
      <c r="DJ292" s="4">
        <f t="shared" si="299"/>
        <v>0</v>
      </c>
      <c r="DK292" s="4">
        <f t="shared" si="300"/>
        <v>0</v>
      </c>
      <c r="DL292" s="4">
        <f t="shared" si="301"/>
        <v>0</v>
      </c>
    </row>
    <row r="293" spans="1:116" x14ac:dyDescent="0.25">
      <c r="A293" s="5">
        <v>46189</v>
      </c>
      <c r="B293" s="6">
        <v>0.35416666737000924</v>
      </c>
      <c r="C293" s="3"/>
      <c r="D293" s="3"/>
      <c r="E293" s="3" t="s">
        <v>30</v>
      </c>
      <c r="F293" s="3">
        <v>8</v>
      </c>
      <c r="G293" s="3"/>
      <c r="H293" s="9"/>
      <c r="I293" s="9">
        <f>SUM(IFERROR(VLOOKUP($C:$C,Structure!$A:$AJ,I$1,0)*$D293,0),IFERROR(VLOOKUP($E:$E,Structure!$A:$AJ,I$1,0)*$F293,0),IFERROR(VLOOKUP($G:$G,Structure!$A:$AJ,I$1,0)*$H293,0))</f>
        <v>0</v>
      </c>
      <c r="J293" s="9">
        <f>SUM(IFERROR(VLOOKUP($C:$C,Structure!$A:$AJ,J$1,0)*$D293,0),IFERROR(VLOOKUP($E:$E,Structure!$A:$AJ,J$1,0)*$F293,0),IFERROR(VLOOKUP($G:$G,Structure!$A:$AJ,J$1,0)*$H293,0))</f>
        <v>0</v>
      </c>
      <c r="K293" s="9">
        <f>SUM(IFERROR(VLOOKUP($C:$C,Structure!$A:$AJ,K$1,0)*$D293,0),IFERROR(VLOOKUP($E:$E,Structure!$A:$AJ,K$1,0)*$F293,0),IFERROR(VLOOKUP($G:$G,Structure!$A:$AJ,K$1,0)*$H293,0))</f>
        <v>0</v>
      </c>
      <c r="L293" s="9">
        <f>SUM(IFERROR(VLOOKUP($C:$C,Structure!$A:$AJ,L$1,0)*$D293,0),IFERROR(VLOOKUP($E:$E,Structure!$A:$AJ,L$1,0)*$F293,0),IFERROR(VLOOKUP($G:$G,Structure!$A:$AJ,L$1,0)*$H293,0))</f>
        <v>0</v>
      </c>
      <c r="M293" s="9">
        <f>SUM(IFERROR(VLOOKUP($C:$C,Structure!$A:$AJ,M$1,0)*$D293,0),IFERROR(VLOOKUP($E:$E,Structure!$A:$AJ,M$1,0)*$F293,0),IFERROR(VLOOKUP($G:$G,Structure!$A:$AJ,M$1,0)*$H293,0))</f>
        <v>0</v>
      </c>
      <c r="N293" s="9">
        <f>SUM(IFERROR(VLOOKUP($C:$C,Structure!$A:$AJ,N$1,0)*$D293,0),IFERROR(VLOOKUP($E:$E,Structure!$A:$AJ,N$1,0)*$F293,0),IFERROR(VLOOKUP($G:$G,Structure!$A:$AJ,N$1,0)*$H293,0))</f>
        <v>0</v>
      </c>
      <c r="O293" s="9">
        <f>SUM(IFERROR(VLOOKUP($C:$C,Structure!$A:$AJ,O$1,0)*$D293,0),IFERROR(VLOOKUP($E:$E,Structure!$A:$AJ,O$1,0)*$F293,0),IFERROR(VLOOKUP($G:$G,Structure!$A:$AJ,O$1,0)*$H293,0))</f>
        <v>0</v>
      </c>
      <c r="P293" s="9">
        <f>SUM(IFERROR(VLOOKUP($C:$C,Structure!$A:$AJ,P$1,0)*$D293,0),IFERROR(VLOOKUP($E:$E,Structure!$A:$AJ,P$1,0)*$F293,0),IFERROR(VLOOKUP($G:$G,Structure!$A:$AJ,P$1,0)*$H293,0))</f>
        <v>0</v>
      </c>
      <c r="Q293" s="9">
        <f>SUM(IFERROR(VLOOKUP($C:$C,Structure!$A:$AJ,Q$1,0)*$D293,0),IFERROR(VLOOKUP($E:$E,Structure!$A:$AJ,Q$1,0)*$F293,0),IFERROR(VLOOKUP($G:$G,Structure!$A:$AJ,Q$1,0)*$H293,0))</f>
        <v>0</v>
      </c>
      <c r="R293" s="9">
        <f>SUM(IFERROR(VLOOKUP($C:$C,Structure!$A:$AJ,R$1,0)*$D293,0),IFERROR(VLOOKUP($E:$E,Structure!$A:$AJ,R$1,0)*$F293,0),IFERROR(VLOOKUP($G:$G,Structure!$A:$AJ,R$1,0)*$H293,0))</f>
        <v>0</v>
      </c>
      <c r="S293" s="9">
        <f>SUM(IFERROR(VLOOKUP($C:$C,Structure!$A:$AJ,S$1,0)*$D293,0),IFERROR(VLOOKUP($E:$E,Structure!$A:$AJ,S$1,0)*$F293,0),IFERROR(VLOOKUP($G:$G,Structure!$A:$AJ,S$1,0)*$H293,0))</f>
        <v>0</v>
      </c>
      <c r="T293" s="9">
        <f>SUM(IFERROR(VLOOKUP($C:$C,Structure!$A:$AJ,T$1,0)*$D293,0),IFERROR(VLOOKUP($E:$E,Structure!$A:$AJ,T$1,0)*$F293,0),IFERROR(VLOOKUP($G:$G,Structure!$A:$AJ,T$1,0)*$H293,0))</f>
        <v>0</v>
      </c>
      <c r="U293" s="9">
        <f>SUM(IFERROR(VLOOKUP($C:$C,Structure!$A:$AJ,U$1,0)*$D293,0),IFERROR(VLOOKUP($E:$E,Structure!$A:$AJ,U$1,0)*$F293,0),IFERROR(VLOOKUP($G:$G,Structure!$A:$AJ,U$1,0)*$H293,0))</f>
        <v>0</v>
      </c>
      <c r="V293" s="9">
        <f>SUM(IFERROR(VLOOKUP($C:$C,Structure!$A:$AJ,V$1,0)*$D293,0),IFERROR(VLOOKUP($E:$E,Structure!$A:$AJ,V$1,0)*$F293,0),IFERROR(VLOOKUP($G:$G,Structure!$A:$AJ,V$1,0)*$H293,0))</f>
        <v>8</v>
      </c>
      <c r="W293" s="9">
        <f>SUM(IFERROR(VLOOKUP($C:$C,Structure!$A:$AJ,W$1,0)*$D293,0),IFERROR(VLOOKUP($E:$E,Structure!$A:$AJ,W$1,0)*$F293,0),IFERROR(VLOOKUP($G:$G,Structure!$A:$AJ,W$1,0)*$H293,0))</f>
        <v>0</v>
      </c>
      <c r="X293" s="9">
        <f>SUM(IFERROR(VLOOKUP($C:$C,Structure!$A:$AJ,X$1,0)*$D293,0),IFERROR(VLOOKUP($E:$E,Structure!$A:$AJ,X$1,0)*$F293,0),IFERROR(VLOOKUP($G:$G,Structure!$A:$AJ,X$1,0)*$H293,0))</f>
        <v>0</v>
      </c>
      <c r="Y293" s="9">
        <f>SUM(IFERROR(VLOOKUP($C:$C,Structure!$A:$AJ,Y$1,0)*$D293,0),IFERROR(VLOOKUP($E:$E,Structure!$A:$AJ,Y$1,0)*$F293,0),IFERROR(VLOOKUP($G:$G,Structure!$A:$AJ,Y$1,0)*$H293,0))</f>
        <v>0</v>
      </c>
      <c r="Z293" s="9">
        <f>SUM(IFERROR(VLOOKUP($C:$C,Structure!$A:$AJ,Z$1,0)*$D293,0),IFERROR(VLOOKUP($E:$E,Structure!$A:$AJ,Z$1,0)*$F293,0),IFERROR(VLOOKUP($G:$G,Structure!$A:$AJ,Z$1,0)*$H293,0))</f>
        <v>0</v>
      </c>
      <c r="AA293" s="9">
        <f>SUM(IFERROR(VLOOKUP($C:$C,Structure!$A:$AJ,AA$1,0)*$D293,0),IFERROR(VLOOKUP($E:$E,Structure!$A:$AJ,AA$1,0)*$F293,0),IFERROR(VLOOKUP($G:$G,Structure!$A:$AJ,AA$1,0)*$H293,0))</f>
        <v>0</v>
      </c>
      <c r="AB293" s="9">
        <f>SUM(IFERROR(VLOOKUP($C:$C,Structure!$A:$AJ,AB$1,0)*$D293,0),IFERROR(VLOOKUP($E:$E,Structure!$A:$AJ,AB$1,0)*$F293,0),IFERROR(VLOOKUP($G:$G,Structure!$A:$AJ,AB$1,0)*$H293,0))</f>
        <v>0</v>
      </c>
      <c r="AC293" s="9">
        <f>SUM(IFERROR(VLOOKUP($C:$C,Structure!$A:$AJ,AC$1,0)*$D293,0),IFERROR(VLOOKUP($E:$E,Structure!$A:$AJ,AC$1,0)*$F293,0),IFERROR(VLOOKUP($G:$G,Structure!$A:$AJ,AC$1,0)*$H293,0))</f>
        <v>8</v>
      </c>
      <c r="AD293" s="9">
        <f>SUM(IFERROR(VLOOKUP($C:$C,Structure!$A:$AJ,AD$1,0)*$D293,0),IFERROR(VLOOKUP($E:$E,Structure!$A:$AJ,AD$1,0)*$F293,0),IFERROR(VLOOKUP($G:$G,Structure!$A:$AJ,AD$1,0)*$H293,0))</f>
        <v>0</v>
      </c>
      <c r="AE293" s="9">
        <f>SUM(IFERROR(VLOOKUP($C:$C,Structure!$A:$AJ,AE$1,0)*$D293,0),IFERROR(VLOOKUP($E:$E,Structure!$A:$AJ,AE$1,0)*$F293,0),IFERROR(VLOOKUP($G:$G,Structure!$A:$AJ,AE$1,0)*$H293,0))</f>
        <v>0</v>
      </c>
      <c r="AF293" s="9">
        <f>SUM(IFERROR(VLOOKUP($C:$C,Structure!$A:$AJ,AF$1,0)*$D293,0),IFERROR(VLOOKUP($E:$E,Structure!$A:$AJ,AF$1,0)*$F293,0),IFERROR(VLOOKUP($G:$G,Structure!$A:$AJ,AF$1,0)*$H293,0))</f>
        <v>0</v>
      </c>
      <c r="AG293" s="9">
        <f>SUM(IFERROR(VLOOKUP($C:$C,Structure!$A:$AJ,AG$1,0)*$D293,0),IFERROR(VLOOKUP($E:$E,Structure!$A:$AJ,AG$1,0)*$F293,0),IFERROR(VLOOKUP($G:$G,Structure!$A:$AJ,AG$1,0)*$H293,0))</f>
        <v>0</v>
      </c>
      <c r="AH293" s="9">
        <f>SUM(IFERROR(VLOOKUP($C:$C,Structure!$A:$AJ,AH$1,0)*$D293,0),IFERROR(VLOOKUP($E:$E,Structure!$A:$AJ,AH$1,0)*$F293,0),IFERROR(VLOOKUP($G:$G,Structure!$A:$AJ,AH$1,0)*$H293,0))</f>
        <v>0</v>
      </c>
      <c r="AI293" s="9">
        <f>SUM(IFERROR(VLOOKUP($C:$C,Structure!$A:$AJ,AI$1,0)*$D293,0),IFERROR(VLOOKUP($E:$E,Structure!$A:$AJ,AI$1,0)*$F293,0),IFERROR(VLOOKUP($G:$G,Structure!$A:$AJ,AI$1,0)*$H293,0))</f>
        <v>0</v>
      </c>
      <c r="AJ293" s="9">
        <f>SUM(IFERROR(VLOOKUP($C:$C,Structure!$A:$AJ,AJ$1,0)*$D293,0),IFERROR(VLOOKUP($E:$E,Structure!$A:$AJ,AJ$1,0)*$F293,0),IFERROR(VLOOKUP($G:$G,Structure!$A:$AJ,AJ$1,0)*$H293,0))</f>
        <v>0</v>
      </c>
      <c r="AK293" s="9">
        <f>SUM(IFERROR(VLOOKUP($C:$C,Structure!$A:$AJ,AK$1,0)*$D293,0),IFERROR(VLOOKUP($E:$E,Structure!$A:$AJ,AK$1,0)*$F293,0),IFERROR(VLOOKUP($G:$G,Structure!$A:$AJ,AK$1,0)*$H293,0))</f>
        <v>0</v>
      </c>
      <c r="AL293" s="9">
        <f>SUM(IFERROR(VLOOKUP($C:$C,Structure!$A:$AJ,AL$1,0)*$D293,0),IFERROR(VLOOKUP($E:$E,Structure!$A:$AJ,AL$1,0)*$F293,0),IFERROR(VLOOKUP($G:$G,Structure!$A:$AJ,AL$1,0)*$H293,0))</f>
        <v>0</v>
      </c>
      <c r="AM293" s="9">
        <f>SUM(IFERROR(VLOOKUP($C:$C,Structure!$A:$AJ,AM$1,0)*$D293,0),IFERROR(VLOOKUP($E:$E,Structure!$A:$AJ,AM$1,0)*$F293,0),IFERROR(VLOOKUP($G:$G,Structure!$A:$AJ,AM$1,0)*$H293,0))</f>
        <v>0</v>
      </c>
      <c r="AN293" s="9">
        <f>SUM(IFERROR(VLOOKUP($C:$C,Structure!$A:$AJ,AN$1,0)*$D293,0),IFERROR(VLOOKUP($E:$E,Structure!$A:$AJ,AN$1,0)*$F293,0),IFERROR(VLOOKUP($G:$G,Structure!$A:$AJ,AN$1,0)*$H293,0))</f>
        <v>0</v>
      </c>
      <c r="AO293" s="9">
        <f>SUM(IFERROR(VLOOKUP($C:$C,Structure!$A:$AJ,AO$1,0)*$D293,0),IFERROR(VLOOKUP($E:$E,Structure!$A:$AJ,AO$1,0)*$F293,0),IFERROR(VLOOKUP($G:$G,Structure!$A:$AJ,AO$1,0)*$H293,0))</f>
        <v>0</v>
      </c>
      <c r="AP293" s="9">
        <f>SUM(IFERROR(VLOOKUP($C:$C,Structure!$A:$AJ,AP$1,0)*$D293,0),IFERROR(VLOOKUP($E:$E,Structure!$A:$AJ,AP$1,0)*$F293,0),IFERROR(VLOOKUP($G:$G,Structure!$A:$AJ,AP$1,0)*$H293,0))</f>
        <v>0</v>
      </c>
      <c r="AQ293" s="9">
        <f>SUM(IFERROR(VLOOKUP($C:$C,Structure!$A:$AJ,AQ$1,0)*$D293,0),IFERROR(VLOOKUP($E:$E,Structure!$A:$AJ,AQ$1,0)*$F293,0),IFERROR(VLOOKUP($G:$G,Structure!$A:$AJ,AQ$1,0)*$H293,0))</f>
        <v>0</v>
      </c>
      <c r="AR293" s="21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4">
        <f t="shared" si="267"/>
        <v>0</v>
      </c>
      <c r="CE293" s="4">
        <f t="shared" si="268"/>
        <v>-236</v>
      </c>
      <c r="CF293" s="4">
        <f t="shared" si="269"/>
        <v>4</v>
      </c>
      <c r="CG293" s="4">
        <f t="shared" si="270"/>
        <v>11</v>
      </c>
      <c r="CH293" s="4">
        <f t="shared" si="271"/>
        <v>-7</v>
      </c>
      <c r="CI293" s="4">
        <f t="shared" si="272"/>
        <v>93</v>
      </c>
      <c r="CJ293" s="4">
        <f t="shared" si="273"/>
        <v>-447</v>
      </c>
      <c r="CK293" s="4">
        <f t="shared" si="274"/>
        <v>-57</v>
      </c>
      <c r="CL293" s="4">
        <f t="shared" si="275"/>
        <v>0</v>
      </c>
      <c r="CM293" s="4">
        <f t="shared" si="276"/>
        <v>6</v>
      </c>
      <c r="CN293" s="4">
        <f t="shared" si="277"/>
        <v>-334</v>
      </c>
      <c r="CO293" s="4">
        <f t="shared" si="278"/>
        <v>0</v>
      </c>
      <c r="CP293" s="4">
        <f t="shared" si="279"/>
        <v>-21</v>
      </c>
      <c r="CQ293" s="4">
        <f t="shared" si="280"/>
        <v>-571</v>
      </c>
      <c r="CR293" s="4">
        <f t="shared" si="281"/>
        <v>12</v>
      </c>
      <c r="CS293" s="4">
        <f t="shared" si="282"/>
        <v>-58</v>
      </c>
      <c r="CT293" s="4">
        <f t="shared" si="283"/>
        <v>0</v>
      </c>
      <c r="CU293" s="4">
        <f t="shared" si="284"/>
        <v>0</v>
      </c>
      <c r="CV293" s="4">
        <f t="shared" si="285"/>
        <v>0</v>
      </c>
      <c r="CW293" s="4">
        <f t="shared" si="286"/>
        <v>0</v>
      </c>
      <c r="CX293" s="4">
        <f t="shared" si="287"/>
        <v>-852</v>
      </c>
      <c r="CY293" s="4">
        <f t="shared" si="288"/>
        <v>0</v>
      </c>
      <c r="CZ293" s="4">
        <f t="shared" si="289"/>
        <v>0</v>
      </c>
      <c r="DA293" s="4">
        <f t="shared" si="290"/>
        <v>0</v>
      </c>
      <c r="DB293" s="4">
        <f t="shared" si="291"/>
        <v>0</v>
      </c>
      <c r="DC293" s="4">
        <f t="shared" si="292"/>
        <v>0</v>
      </c>
      <c r="DD293" s="4">
        <f t="shared" si="293"/>
        <v>0</v>
      </c>
      <c r="DE293" s="4">
        <f t="shared" si="294"/>
        <v>0</v>
      </c>
      <c r="DF293" s="4">
        <f t="shared" si="295"/>
        <v>0</v>
      </c>
      <c r="DG293" s="4">
        <f t="shared" si="296"/>
        <v>0</v>
      </c>
      <c r="DH293" s="4">
        <f t="shared" si="297"/>
        <v>0</v>
      </c>
      <c r="DI293" s="4">
        <f t="shared" si="298"/>
        <v>0</v>
      </c>
      <c r="DJ293" s="4">
        <f t="shared" si="299"/>
        <v>0</v>
      </c>
      <c r="DK293" s="4">
        <f t="shared" si="300"/>
        <v>0</v>
      </c>
      <c r="DL293" s="4">
        <f t="shared" si="301"/>
        <v>0</v>
      </c>
    </row>
    <row r="294" spans="1:116" x14ac:dyDescent="0.25">
      <c r="A294" s="5">
        <v>46189</v>
      </c>
      <c r="B294" s="6">
        <v>0.37500000070576789</v>
      </c>
      <c r="C294" s="3"/>
      <c r="D294" s="3"/>
      <c r="E294" s="3" t="s">
        <v>30</v>
      </c>
      <c r="F294" s="3">
        <v>8</v>
      </c>
      <c r="G294" s="3"/>
      <c r="H294" s="9"/>
      <c r="I294" s="9">
        <f>SUM(IFERROR(VLOOKUP($C:$C,Structure!$A:$AJ,I$1,0)*$D294,0),IFERROR(VLOOKUP($E:$E,Structure!$A:$AJ,I$1,0)*$F294,0),IFERROR(VLOOKUP($G:$G,Structure!$A:$AJ,I$1,0)*$H294,0))</f>
        <v>0</v>
      </c>
      <c r="J294" s="9">
        <f>SUM(IFERROR(VLOOKUP($C:$C,Structure!$A:$AJ,J$1,0)*$D294,0),IFERROR(VLOOKUP($E:$E,Structure!$A:$AJ,J$1,0)*$F294,0),IFERROR(VLOOKUP($G:$G,Structure!$A:$AJ,J$1,0)*$H294,0))</f>
        <v>0</v>
      </c>
      <c r="K294" s="9">
        <f>SUM(IFERROR(VLOOKUP($C:$C,Structure!$A:$AJ,K$1,0)*$D294,0),IFERROR(VLOOKUP($E:$E,Structure!$A:$AJ,K$1,0)*$F294,0),IFERROR(VLOOKUP($G:$G,Structure!$A:$AJ,K$1,0)*$H294,0))</f>
        <v>0</v>
      </c>
      <c r="L294" s="9">
        <f>SUM(IFERROR(VLOOKUP($C:$C,Structure!$A:$AJ,L$1,0)*$D294,0),IFERROR(VLOOKUP($E:$E,Structure!$A:$AJ,L$1,0)*$F294,0),IFERROR(VLOOKUP($G:$G,Structure!$A:$AJ,L$1,0)*$H294,0))</f>
        <v>0</v>
      </c>
      <c r="M294" s="9">
        <f>SUM(IFERROR(VLOOKUP($C:$C,Structure!$A:$AJ,M$1,0)*$D294,0),IFERROR(VLOOKUP($E:$E,Structure!$A:$AJ,M$1,0)*$F294,0),IFERROR(VLOOKUP($G:$G,Structure!$A:$AJ,M$1,0)*$H294,0))</f>
        <v>0</v>
      </c>
      <c r="N294" s="9">
        <f>SUM(IFERROR(VLOOKUP($C:$C,Structure!$A:$AJ,N$1,0)*$D294,0),IFERROR(VLOOKUP($E:$E,Structure!$A:$AJ,N$1,0)*$F294,0),IFERROR(VLOOKUP($G:$G,Structure!$A:$AJ,N$1,0)*$H294,0))</f>
        <v>0</v>
      </c>
      <c r="O294" s="9">
        <f>SUM(IFERROR(VLOOKUP($C:$C,Structure!$A:$AJ,O$1,0)*$D294,0),IFERROR(VLOOKUP($E:$E,Structure!$A:$AJ,O$1,0)*$F294,0),IFERROR(VLOOKUP($G:$G,Structure!$A:$AJ,O$1,0)*$H294,0))</f>
        <v>0</v>
      </c>
      <c r="P294" s="9">
        <f>SUM(IFERROR(VLOOKUP($C:$C,Structure!$A:$AJ,P$1,0)*$D294,0),IFERROR(VLOOKUP($E:$E,Structure!$A:$AJ,P$1,0)*$F294,0),IFERROR(VLOOKUP($G:$G,Structure!$A:$AJ,P$1,0)*$H294,0))</f>
        <v>0</v>
      </c>
      <c r="Q294" s="9">
        <f>SUM(IFERROR(VLOOKUP($C:$C,Structure!$A:$AJ,Q$1,0)*$D294,0),IFERROR(VLOOKUP($E:$E,Structure!$A:$AJ,Q$1,0)*$F294,0),IFERROR(VLOOKUP($G:$G,Structure!$A:$AJ,Q$1,0)*$H294,0))</f>
        <v>0</v>
      </c>
      <c r="R294" s="9">
        <f>SUM(IFERROR(VLOOKUP($C:$C,Structure!$A:$AJ,R$1,0)*$D294,0),IFERROR(VLOOKUP($E:$E,Structure!$A:$AJ,R$1,0)*$F294,0),IFERROR(VLOOKUP($G:$G,Structure!$A:$AJ,R$1,0)*$H294,0))</f>
        <v>0</v>
      </c>
      <c r="S294" s="9">
        <f>SUM(IFERROR(VLOOKUP($C:$C,Structure!$A:$AJ,S$1,0)*$D294,0),IFERROR(VLOOKUP($E:$E,Structure!$A:$AJ,S$1,0)*$F294,0),IFERROR(VLOOKUP($G:$G,Structure!$A:$AJ,S$1,0)*$H294,0))</f>
        <v>0</v>
      </c>
      <c r="T294" s="9">
        <f>SUM(IFERROR(VLOOKUP($C:$C,Structure!$A:$AJ,T$1,0)*$D294,0),IFERROR(VLOOKUP($E:$E,Structure!$A:$AJ,T$1,0)*$F294,0),IFERROR(VLOOKUP($G:$G,Structure!$A:$AJ,T$1,0)*$H294,0))</f>
        <v>0</v>
      </c>
      <c r="U294" s="9">
        <f>SUM(IFERROR(VLOOKUP($C:$C,Structure!$A:$AJ,U$1,0)*$D294,0),IFERROR(VLOOKUP($E:$E,Structure!$A:$AJ,U$1,0)*$F294,0),IFERROR(VLOOKUP($G:$G,Structure!$A:$AJ,U$1,0)*$H294,0))</f>
        <v>0</v>
      </c>
      <c r="V294" s="9">
        <f>SUM(IFERROR(VLOOKUP($C:$C,Structure!$A:$AJ,V$1,0)*$D294,0),IFERROR(VLOOKUP($E:$E,Structure!$A:$AJ,V$1,0)*$F294,0),IFERROR(VLOOKUP($G:$G,Structure!$A:$AJ,V$1,0)*$H294,0))</f>
        <v>8</v>
      </c>
      <c r="W294" s="9">
        <f>SUM(IFERROR(VLOOKUP($C:$C,Structure!$A:$AJ,W$1,0)*$D294,0),IFERROR(VLOOKUP($E:$E,Structure!$A:$AJ,W$1,0)*$F294,0),IFERROR(VLOOKUP($G:$G,Structure!$A:$AJ,W$1,0)*$H294,0))</f>
        <v>0</v>
      </c>
      <c r="X294" s="9">
        <f>SUM(IFERROR(VLOOKUP($C:$C,Structure!$A:$AJ,X$1,0)*$D294,0),IFERROR(VLOOKUP($E:$E,Structure!$A:$AJ,X$1,0)*$F294,0),IFERROR(VLOOKUP($G:$G,Structure!$A:$AJ,X$1,0)*$H294,0))</f>
        <v>0</v>
      </c>
      <c r="Y294" s="9">
        <f>SUM(IFERROR(VLOOKUP($C:$C,Structure!$A:$AJ,Y$1,0)*$D294,0),IFERROR(VLOOKUP($E:$E,Structure!$A:$AJ,Y$1,0)*$F294,0),IFERROR(VLOOKUP($G:$G,Structure!$A:$AJ,Y$1,0)*$H294,0))</f>
        <v>0</v>
      </c>
      <c r="Z294" s="9">
        <f>SUM(IFERROR(VLOOKUP($C:$C,Structure!$A:$AJ,Z$1,0)*$D294,0),IFERROR(VLOOKUP($E:$E,Structure!$A:$AJ,Z$1,0)*$F294,0),IFERROR(VLOOKUP($G:$G,Structure!$A:$AJ,Z$1,0)*$H294,0))</f>
        <v>0</v>
      </c>
      <c r="AA294" s="9">
        <f>SUM(IFERROR(VLOOKUP($C:$C,Structure!$A:$AJ,AA$1,0)*$D294,0),IFERROR(VLOOKUP($E:$E,Structure!$A:$AJ,AA$1,0)*$F294,0),IFERROR(VLOOKUP($G:$G,Structure!$A:$AJ,AA$1,0)*$H294,0))</f>
        <v>0</v>
      </c>
      <c r="AB294" s="9">
        <f>SUM(IFERROR(VLOOKUP($C:$C,Structure!$A:$AJ,AB$1,0)*$D294,0),IFERROR(VLOOKUP($E:$E,Structure!$A:$AJ,AB$1,0)*$F294,0),IFERROR(VLOOKUP($G:$G,Structure!$A:$AJ,AB$1,0)*$H294,0))</f>
        <v>0</v>
      </c>
      <c r="AC294" s="9">
        <f>SUM(IFERROR(VLOOKUP($C:$C,Structure!$A:$AJ,AC$1,0)*$D294,0),IFERROR(VLOOKUP($E:$E,Structure!$A:$AJ,AC$1,0)*$F294,0),IFERROR(VLOOKUP($G:$G,Structure!$A:$AJ,AC$1,0)*$H294,0))</f>
        <v>8</v>
      </c>
      <c r="AD294" s="9">
        <f>SUM(IFERROR(VLOOKUP($C:$C,Structure!$A:$AJ,AD$1,0)*$D294,0),IFERROR(VLOOKUP($E:$E,Structure!$A:$AJ,AD$1,0)*$F294,0),IFERROR(VLOOKUP($G:$G,Structure!$A:$AJ,AD$1,0)*$H294,0))</f>
        <v>0</v>
      </c>
      <c r="AE294" s="9">
        <f>SUM(IFERROR(VLOOKUP($C:$C,Structure!$A:$AJ,AE$1,0)*$D294,0),IFERROR(VLOOKUP($E:$E,Structure!$A:$AJ,AE$1,0)*$F294,0),IFERROR(VLOOKUP($G:$G,Structure!$A:$AJ,AE$1,0)*$H294,0))</f>
        <v>0</v>
      </c>
      <c r="AF294" s="9">
        <f>SUM(IFERROR(VLOOKUP($C:$C,Structure!$A:$AJ,AF$1,0)*$D294,0),IFERROR(VLOOKUP($E:$E,Structure!$A:$AJ,AF$1,0)*$F294,0),IFERROR(VLOOKUP($G:$G,Structure!$A:$AJ,AF$1,0)*$H294,0))</f>
        <v>0</v>
      </c>
      <c r="AG294" s="9">
        <f>SUM(IFERROR(VLOOKUP($C:$C,Structure!$A:$AJ,AG$1,0)*$D294,0),IFERROR(VLOOKUP($E:$E,Structure!$A:$AJ,AG$1,0)*$F294,0),IFERROR(VLOOKUP($G:$G,Structure!$A:$AJ,AG$1,0)*$H294,0))</f>
        <v>0</v>
      </c>
      <c r="AH294" s="9">
        <f>SUM(IFERROR(VLOOKUP($C:$C,Structure!$A:$AJ,AH$1,0)*$D294,0),IFERROR(VLOOKUP($E:$E,Structure!$A:$AJ,AH$1,0)*$F294,0),IFERROR(VLOOKUP($G:$G,Structure!$A:$AJ,AH$1,0)*$H294,0))</f>
        <v>0</v>
      </c>
      <c r="AI294" s="9">
        <f>SUM(IFERROR(VLOOKUP($C:$C,Structure!$A:$AJ,AI$1,0)*$D294,0),IFERROR(VLOOKUP($E:$E,Structure!$A:$AJ,AI$1,0)*$F294,0),IFERROR(VLOOKUP($G:$G,Structure!$A:$AJ,AI$1,0)*$H294,0))</f>
        <v>0</v>
      </c>
      <c r="AJ294" s="9">
        <f>SUM(IFERROR(VLOOKUP($C:$C,Structure!$A:$AJ,AJ$1,0)*$D294,0),IFERROR(VLOOKUP($E:$E,Structure!$A:$AJ,AJ$1,0)*$F294,0),IFERROR(VLOOKUP($G:$G,Structure!$A:$AJ,AJ$1,0)*$H294,0))</f>
        <v>0</v>
      </c>
      <c r="AK294" s="9">
        <f>SUM(IFERROR(VLOOKUP($C:$C,Structure!$A:$AJ,AK$1,0)*$D294,0),IFERROR(VLOOKUP($E:$E,Structure!$A:$AJ,AK$1,0)*$F294,0),IFERROR(VLOOKUP($G:$G,Structure!$A:$AJ,AK$1,0)*$H294,0))</f>
        <v>0</v>
      </c>
      <c r="AL294" s="9">
        <f>SUM(IFERROR(VLOOKUP($C:$C,Structure!$A:$AJ,AL$1,0)*$D294,0),IFERROR(VLOOKUP($E:$E,Structure!$A:$AJ,AL$1,0)*$F294,0),IFERROR(VLOOKUP($G:$G,Structure!$A:$AJ,AL$1,0)*$H294,0))</f>
        <v>0</v>
      </c>
      <c r="AM294" s="9">
        <f>SUM(IFERROR(VLOOKUP($C:$C,Structure!$A:$AJ,AM$1,0)*$D294,0),IFERROR(VLOOKUP($E:$E,Structure!$A:$AJ,AM$1,0)*$F294,0),IFERROR(VLOOKUP($G:$G,Structure!$A:$AJ,AM$1,0)*$H294,0))</f>
        <v>0</v>
      </c>
      <c r="AN294" s="9">
        <f>SUM(IFERROR(VLOOKUP($C:$C,Structure!$A:$AJ,AN$1,0)*$D294,0),IFERROR(VLOOKUP($E:$E,Structure!$A:$AJ,AN$1,0)*$F294,0),IFERROR(VLOOKUP($G:$G,Structure!$A:$AJ,AN$1,0)*$H294,0))</f>
        <v>0</v>
      </c>
      <c r="AO294" s="9">
        <f>SUM(IFERROR(VLOOKUP($C:$C,Structure!$A:$AJ,AO$1,0)*$D294,0),IFERROR(VLOOKUP($E:$E,Structure!$A:$AJ,AO$1,0)*$F294,0),IFERROR(VLOOKUP($G:$G,Structure!$A:$AJ,AO$1,0)*$H294,0))</f>
        <v>0</v>
      </c>
      <c r="AP294" s="9">
        <f>SUM(IFERROR(VLOOKUP($C:$C,Structure!$A:$AJ,AP$1,0)*$D294,0),IFERROR(VLOOKUP($E:$E,Structure!$A:$AJ,AP$1,0)*$F294,0),IFERROR(VLOOKUP($G:$G,Structure!$A:$AJ,AP$1,0)*$H294,0))</f>
        <v>0</v>
      </c>
      <c r="AQ294" s="9">
        <f>SUM(IFERROR(VLOOKUP($C:$C,Structure!$A:$AJ,AQ$1,0)*$D294,0),IFERROR(VLOOKUP($E:$E,Structure!$A:$AJ,AQ$1,0)*$F294,0),IFERROR(VLOOKUP($G:$G,Structure!$A:$AJ,AQ$1,0)*$H294,0))</f>
        <v>0</v>
      </c>
      <c r="AR294" s="21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4">
        <f t="shared" si="267"/>
        <v>0</v>
      </c>
      <c r="CE294" s="4">
        <f t="shared" si="268"/>
        <v>-236</v>
      </c>
      <c r="CF294" s="4">
        <f t="shared" si="269"/>
        <v>4</v>
      </c>
      <c r="CG294" s="4">
        <f t="shared" si="270"/>
        <v>11</v>
      </c>
      <c r="CH294" s="4">
        <f t="shared" si="271"/>
        <v>-7</v>
      </c>
      <c r="CI294" s="4">
        <f t="shared" si="272"/>
        <v>93</v>
      </c>
      <c r="CJ294" s="4">
        <f t="shared" si="273"/>
        <v>-447</v>
      </c>
      <c r="CK294" s="4">
        <f t="shared" si="274"/>
        <v>-57</v>
      </c>
      <c r="CL294" s="4">
        <f t="shared" si="275"/>
        <v>0</v>
      </c>
      <c r="CM294" s="4">
        <f t="shared" si="276"/>
        <v>6</v>
      </c>
      <c r="CN294" s="4">
        <f t="shared" si="277"/>
        <v>-334</v>
      </c>
      <c r="CO294" s="4">
        <f t="shared" si="278"/>
        <v>0</v>
      </c>
      <c r="CP294" s="4">
        <f t="shared" si="279"/>
        <v>-21</v>
      </c>
      <c r="CQ294" s="4">
        <f t="shared" si="280"/>
        <v>-579</v>
      </c>
      <c r="CR294" s="4">
        <f t="shared" si="281"/>
        <v>12</v>
      </c>
      <c r="CS294" s="4">
        <f t="shared" si="282"/>
        <v>-58</v>
      </c>
      <c r="CT294" s="4">
        <f t="shared" si="283"/>
        <v>0</v>
      </c>
      <c r="CU294" s="4">
        <f t="shared" si="284"/>
        <v>0</v>
      </c>
      <c r="CV294" s="4">
        <f t="shared" si="285"/>
        <v>0</v>
      </c>
      <c r="CW294" s="4">
        <f t="shared" si="286"/>
        <v>0</v>
      </c>
      <c r="CX294" s="4">
        <f t="shared" si="287"/>
        <v>-860</v>
      </c>
      <c r="CY294" s="4">
        <f t="shared" si="288"/>
        <v>0</v>
      </c>
      <c r="CZ294" s="4">
        <f t="shared" si="289"/>
        <v>0</v>
      </c>
      <c r="DA294" s="4">
        <f t="shared" si="290"/>
        <v>0</v>
      </c>
      <c r="DB294" s="4">
        <f t="shared" si="291"/>
        <v>0</v>
      </c>
      <c r="DC294" s="4">
        <f t="shared" si="292"/>
        <v>0</v>
      </c>
      <c r="DD294" s="4">
        <f t="shared" si="293"/>
        <v>0</v>
      </c>
      <c r="DE294" s="4">
        <f t="shared" si="294"/>
        <v>0</v>
      </c>
      <c r="DF294" s="4">
        <f t="shared" si="295"/>
        <v>0</v>
      </c>
      <c r="DG294" s="4">
        <f t="shared" si="296"/>
        <v>0</v>
      </c>
      <c r="DH294" s="4">
        <f t="shared" si="297"/>
        <v>0</v>
      </c>
      <c r="DI294" s="4">
        <f t="shared" si="298"/>
        <v>0</v>
      </c>
      <c r="DJ294" s="4">
        <f t="shared" si="299"/>
        <v>0</v>
      </c>
      <c r="DK294" s="4">
        <f t="shared" si="300"/>
        <v>0</v>
      </c>
      <c r="DL294" s="4">
        <f t="shared" si="301"/>
        <v>0</v>
      </c>
    </row>
    <row r="295" spans="1:116" x14ac:dyDescent="0.25">
      <c r="A295" s="5">
        <v>46189</v>
      </c>
      <c r="B295" s="6">
        <v>0.39583333404152654</v>
      </c>
      <c r="C295" s="3"/>
      <c r="D295" s="3"/>
      <c r="E295" s="3" t="s">
        <v>30</v>
      </c>
      <c r="F295" s="3">
        <v>8</v>
      </c>
      <c r="G295" s="3"/>
      <c r="H295" s="9"/>
      <c r="I295" s="9">
        <f>SUM(IFERROR(VLOOKUP($C:$C,Structure!$A:$AJ,I$1,0)*$D295,0),IFERROR(VLOOKUP($E:$E,Structure!$A:$AJ,I$1,0)*$F295,0),IFERROR(VLOOKUP($G:$G,Structure!$A:$AJ,I$1,0)*$H295,0))</f>
        <v>0</v>
      </c>
      <c r="J295" s="9">
        <f>SUM(IFERROR(VLOOKUP($C:$C,Structure!$A:$AJ,J$1,0)*$D295,0),IFERROR(VLOOKUP($E:$E,Structure!$A:$AJ,J$1,0)*$F295,0),IFERROR(VLOOKUP($G:$G,Structure!$A:$AJ,J$1,0)*$H295,0))</f>
        <v>0</v>
      </c>
      <c r="K295" s="9">
        <f>SUM(IFERROR(VLOOKUP($C:$C,Structure!$A:$AJ,K$1,0)*$D295,0),IFERROR(VLOOKUP($E:$E,Structure!$A:$AJ,K$1,0)*$F295,0),IFERROR(VLOOKUP($G:$G,Structure!$A:$AJ,K$1,0)*$H295,0))</f>
        <v>0</v>
      </c>
      <c r="L295" s="9">
        <f>SUM(IFERROR(VLOOKUP($C:$C,Structure!$A:$AJ,L$1,0)*$D295,0),IFERROR(VLOOKUP($E:$E,Structure!$A:$AJ,L$1,0)*$F295,0),IFERROR(VLOOKUP($G:$G,Structure!$A:$AJ,L$1,0)*$H295,0))</f>
        <v>0</v>
      </c>
      <c r="M295" s="9">
        <f>SUM(IFERROR(VLOOKUP($C:$C,Structure!$A:$AJ,M$1,0)*$D295,0),IFERROR(VLOOKUP($E:$E,Structure!$A:$AJ,M$1,0)*$F295,0),IFERROR(VLOOKUP($G:$G,Structure!$A:$AJ,M$1,0)*$H295,0))</f>
        <v>0</v>
      </c>
      <c r="N295" s="9">
        <f>SUM(IFERROR(VLOOKUP($C:$C,Structure!$A:$AJ,N$1,0)*$D295,0),IFERROR(VLOOKUP($E:$E,Structure!$A:$AJ,N$1,0)*$F295,0),IFERROR(VLOOKUP($G:$G,Structure!$A:$AJ,N$1,0)*$H295,0))</f>
        <v>0</v>
      </c>
      <c r="O295" s="9">
        <f>SUM(IFERROR(VLOOKUP($C:$C,Structure!$A:$AJ,O$1,0)*$D295,0),IFERROR(VLOOKUP($E:$E,Structure!$A:$AJ,O$1,0)*$F295,0),IFERROR(VLOOKUP($G:$G,Structure!$A:$AJ,O$1,0)*$H295,0))</f>
        <v>0</v>
      </c>
      <c r="P295" s="9">
        <f>SUM(IFERROR(VLOOKUP($C:$C,Structure!$A:$AJ,P$1,0)*$D295,0),IFERROR(VLOOKUP($E:$E,Structure!$A:$AJ,P$1,0)*$F295,0),IFERROR(VLOOKUP($G:$G,Structure!$A:$AJ,P$1,0)*$H295,0))</f>
        <v>0</v>
      </c>
      <c r="Q295" s="9">
        <f>SUM(IFERROR(VLOOKUP($C:$C,Structure!$A:$AJ,Q$1,0)*$D295,0),IFERROR(VLOOKUP($E:$E,Structure!$A:$AJ,Q$1,0)*$F295,0),IFERROR(VLOOKUP($G:$G,Structure!$A:$AJ,Q$1,0)*$H295,0))</f>
        <v>0</v>
      </c>
      <c r="R295" s="9">
        <f>SUM(IFERROR(VLOOKUP($C:$C,Structure!$A:$AJ,R$1,0)*$D295,0),IFERROR(VLOOKUP($E:$E,Structure!$A:$AJ,R$1,0)*$F295,0),IFERROR(VLOOKUP($G:$G,Structure!$A:$AJ,R$1,0)*$H295,0))</f>
        <v>0</v>
      </c>
      <c r="S295" s="9">
        <f>SUM(IFERROR(VLOOKUP($C:$C,Structure!$A:$AJ,S$1,0)*$D295,0),IFERROR(VLOOKUP($E:$E,Structure!$A:$AJ,S$1,0)*$F295,0),IFERROR(VLOOKUP($G:$G,Structure!$A:$AJ,S$1,0)*$H295,0))</f>
        <v>0</v>
      </c>
      <c r="T295" s="9">
        <f>SUM(IFERROR(VLOOKUP($C:$C,Structure!$A:$AJ,T$1,0)*$D295,0),IFERROR(VLOOKUP($E:$E,Structure!$A:$AJ,T$1,0)*$F295,0),IFERROR(VLOOKUP($G:$G,Structure!$A:$AJ,T$1,0)*$H295,0))</f>
        <v>0</v>
      </c>
      <c r="U295" s="9">
        <f>SUM(IFERROR(VLOOKUP($C:$C,Structure!$A:$AJ,U$1,0)*$D295,0),IFERROR(VLOOKUP($E:$E,Structure!$A:$AJ,U$1,0)*$F295,0),IFERROR(VLOOKUP($G:$G,Structure!$A:$AJ,U$1,0)*$H295,0))</f>
        <v>0</v>
      </c>
      <c r="V295" s="9">
        <f>SUM(IFERROR(VLOOKUP($C:$C,Structure!$A:$AJ,V$1,0)*$D295,0),IFERROR(VLOOKUP($E:$E,Structure!$A:$AJ,V$1,0)*$F295,0),IFERROR(VLOOKUP($G:$G,Structure!$A:$AJ,V$1,0)*$H295,0))</f>
        <v>8</v>
      </c>
      <c r="W295" s="9">
        <f>SUM(IFERROR(VLOOKUP($C:$C,Structure!$A:$AJ,W$1,0)*$D295,0),IFERROR(VLOOKUP($E:$E,Structure!$A:$AJ,W$1,0)*$F295,0),IFERROR(VLOOKUP($G:$G,Structure!$A:$AJ,W$1,0)*$H295,0))</f>
        <v>0</v>
      </c>
      <c r="X295" s="9">
        <f>SUM(IFERROR(VLOOKUP($C:$C,Structure!$A:$AJ,X$1,0)*$D295,0),IFERROR(VLOOKUP($E:$E,Structure!$A:$AJ,X$1,0)*$F295,0),IFERROR(VLOOKUP($G:$G,Structure!$A:$AJ,X$1,0)*$H295,0))</f>
        <v>0</v>
      </c>
      <c r="Y295" s="9">
        <f>SUM(IFERROR(VLOOKUP($C:$C,Structure!$A:$AJ,Y$1,0)*$D295,0),IFERROR(VLOOKUP($E:$E,Structure!$A:$AJ,Y$1,0)*$F295,0),IFERROR(VLOOKUP($G:$G,Structure!$A:$AJ,Y$1,0)*$H295,0))</f>
        <v>0</v>
      </c>
      <c r="Z295" s="9">
        <f>SUM(IFERROR(VLOOKUP($C:$C,Structure!$A:$AJ,Z$1,0)*$D295,0),IFERROR(VLOOKUP($E:$E,Structure!$A:$AJ,Z$1,0)*$F295,0),IFERROR(VLOOKUP($G:$G,Structure!$A:$AJ,Z$1,0)*$H295,0))</f>
        <v>0</v>
      </c>
      <c r="AA295" s="9">
        <f>SUM(IFERROR(VLOOKUP($C:$C,Structure!$A:$AJ,AA$1,0)*$D295,0),IFERROR(VLOOKUP($E:$E,Structure!$A:$AJ,AA$1,0)*$F295,0),IFERROR(VLOOKUP($G:$G,Structure!$A:$AJ,AA$1,0)*$H295,0))</f>
        <v>0</v>
      </c>
      <c r="AB295" s="9">
        <f>SUM(IFERROR(VLOOKUP($C:$C,Structure!$A:$AJ,AB$1,0)*$D295,0),IFERROR(VLOOKUP($E:$E,Structure!$A:$AJ,AB$1,0)*$F295,0),IFERROR(VLOOKUP($G:$G,Structure!$A:$AJ,AB$1,0)*$H295,0))</f>
        <v>0</v>
      </c>
      <c r="AC295" s="9">
        <f>SUM(IFERROR(VLOOKUP($C:$C,Structure!$A:$AJ,AC$1,0)*$D295,0),IFERROR(VLOOKUP($E:$E,Structure!$A:$AJ,AC$1,0)*$F295,0),IFERROR(VLOOKUP($G:$G,Structure!$A:$AJ,AC$1,0)*$H295,0))</f>
        <v>8</v>
      </c>
      <c r="AD295" s="9">
        <f>SUM(IFERROR(VLOOKUP($C:$C,Structure!$A:$AJ,AD$1,0)*$D295,0),IFERROR(VLOOKUP($E:$E,Structure!$A:$AJ,AD$1,0)*$F295,0),IFERROR(VLOOKUP($G:$G,Structure!$A:$AJ,AD$1,0)*$H295,0))</f>
        <v>0</v>
      </c>
      <c r="AE295" s="9">
        <f>SUM(IFERROR(VLOOKUP($C:$C,Structure!$A:$AJ,AE$1,0)*$D295,0),IFERROR(VLOOKUP($E:$E,Structure!$A:$AJ,AE$1,0)*$F295,0),IFERROR(VLOOKUP($G:$G,Structure!$A:$AJ,AE$1,0)*$H295,0))</f>
        <v>0</v>
      </c>
      <c r="AF295" s="9">
        <f>SUM(IFERROR(VLOOKUP($C:$C,Structure!$A:$AJ,AF$1,0)*$D295,0),IFERROR(VLOOKUP($E:$E,Structure!$A:$AJ,AF$1,0)*$F295,0),IFERROR(VLOOKUP($G:$G,Structure!$A:$AJ,AF$1,0)*$H295,0))</f>
        <v>0</v>
      </c>
      <c r="AG295" s="9">
        <f>SUM(IFERROR(VLOOKUP($C:$C,Structure!$A:$AJ,AG$1,0)*$D295,0),IFERROR(VLOOKUP($E:$E,Structure!$A:$AJ,AG$1,0)*$F295,0),IFERROR(VLOOKUP($G:$G,Structure!$A:$AJ,AG$1,0)*$H295,0))</f>
        <v>0</v>
      </c>
      <c r="AH295" s="9">
        <f>SUM(IFERROR(VLOOKUP($C:$C,Structure!$A:$AJ,AH$1,0)*$D295,0),IFERROR(VLOOKUP($E:$E,Structure!$A:$AJ,AH$1,0)*$F295,0),IFERROR(VLOOKUP($G:$G,Structure!$A:$AJ,AH$1,0)*$H295,0))</f>
        <v>0</v>
      </c>
      <c r="AI295" s="9">
        <f>SUM(IFERROR(VLOOKUP($C:$C,Structure!$A:$AJ,AI$1,0)*$D295,0),IFERROR(VLOOKUP($E:$E,Structure!$A:$AJ,AI$1,0)*$F295,0),IFERROR(VLOOKUP($G:$G,Structure!$A:$AJ,AI$1,0)*$H295,0))</f>
        <v>0</v>
      </c>
      <c r="AJ295" s="9">
        <f>SUM(IFERROR(VLOOKUP($C:$C,Structure!$A:$AJ,AJ$1,0)*$D295,0),IFERROR(VLOOKUP($E:$E,Structure!$A:$AJ,AJ$1,0)*$F295,0),IFERROR(VLOOKUP($G:$G,Structure!$A:$AJ,AJ$1,0)*$H295,0))</f>
        <v>0</v>
      </c>
      <c r="AK295" s="9">
        <f>SUM(IFERROR(VLOOKUP($C:$C,Structure!$A:$AJ,AK$1,0)*$D295,0),IFERROR(VLOOKUP($E:$E,Structure!$A:$AJ,AK$1,0)*$F295,0),IFERROR(VLOOKUP($G:$G,Structure!$A:$AJ,AK$1,0)*$H295,0))</f>
        <v>0</v>
      </c>
      <c r="AL295" s="9">
        <f>SUM(IFERROR(VLOOKUP($C:$C,Structure!$A:$AJ,AL$1,0)*$D295,0),IFERROR(VLOOKUP($E:$E,Structure!$A:$AJ,AL$1,0)*$F295,0),IFERROR(VLOOKUP($G:$G,Structure!$A:$AJ,AL$1,0)*$H295,0))</f>
        <v>0</v>
      </c>
      <c r="AM295" s="9">
        <f>SUM(IFERROR(VLOOKUP($C:$C,Structure!$A:$AJ,AM$1,0)*$D295,0),IFERROR(VLOOKUP($E:$E,Structure!$A:$AJ,AM$1,0)*$F295,0),IFERROR(VLOOKUP($G:$G,Structure!$A:$AJ,AM$1,0)*$H295,0))</f>
        <v>0</v>
      </c>
      <c r="AN295" s="9">
        <f>SUM(IFERROR(VLOOKUP($C:$C,Structure!$A:$AJ,AN$1,0)*$D295,0),IFERROR(VLOOKUP($E:$E,Structure!$A:$AJ,AN$1,0)*$F295,0),IFERROR(VLOOKUP($G:$G,Structure!$A:$AJ,AN$1,0)*$H295,0))</f>
        <v>0</v>
      </c>
      <c r="AO295" s="9">
        <f>SUM(IFERROR(VLOOKUP($C:$C,Structure!$A:$AJ,AO$1,0)*$D295,0),IFERROR(VLOOKUP($E:$E,Structure!$A:$AJ,AO$1,0)*$F295,0),IFERROR(VLOOKUP($G:$G,Structure!$A:$AJ,AO$1,0)*$H295,0))</f>
        <v>0</v>
      </c>
      <c r="AP295" s="9">
        <f>SUM(IFERROR(VLOOKUP($C:$C,Structure!$A:$AJ,AP$1,0)*$D295,0),IFERROR(VLOOKUP($E:$E,Structure!$A:$AJ,AP$1,0)*$F295,0),IFERROR(VLOOKUP($G:$G,Structure!$A:$AJ,AP$1,0)*$H295,0))</f>
        <v>0</v>
      </c>
      <c r="AQ295" s="9">
        <f>SUM(IFERROR(VLOOKUP($C:$C,Structure!$A:$AJ,AQ$1,0)*$D295,0),IFERROR(VLOOKUP($E:$E,Structure!$A:$AJ,AQ$1,0)*$F295,0),IFERROR(VLOOKUP($G:$G,Structure!$A:$AJ,AQ$1,0)*$H295,0))</f>
        <v>0</v>
      </c>
      <c r="AR295" s="21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4">
        <f t="shared" si="267"/>
        <v>0</v>
      </c>
      <c r="CE295" s="4">
        <f t="shared" si="268"/>
        <v>-236</v>
      </c>
      <c r="CF295" s="4">
        <f t="shared" si="269"/>
        <v>4</v>
      </c>
      <c r="CG295" s="4">
        <f t="shared" si="270"/>
        <v>11</v>
      </c>
      <c r="CH295" s="4">
        <f t="shared" si="271"/>
        <v>-7</v>
      </c>
      <c r="CI295" s="4">
        <f t="shared" si="272"/>
        <v>93</v>
      </c>
      <c r="CJ295" s="4">
        <f t="shared" si="273"/>
        <v>-447</v>
      </c>
      <c r="CK295" s="4">
        <f t="shared" si="274"/>
        <v>-57</v>
      </c>
      <c r="CL295" s="4">
        <f t="shared" si="275"/>
        <v>0</v>
      </c>
      <c r="CM295" s="4">
        <f t="shared" si="276"/>
        <v>6</v>
      </c>
      <c r="CN295" s="4">
        <f t="shared" si="277"/>
        <v>-334</v>
      </c>
      <c r="CO295" s="4">
        <f t="shared" si="278"/>
        <v>0</v>
      </c>
      <c r="CP295" s="4">
        <f t="shared" si="279"/>
        <v>-21</v>
      </c>
      <c r="CQ295" s="4">
        <f t="shared" si="280"/>
        <v>-587</v>
      </c>
      <c r="CR295" s="4">
        <f t="shared" si="281"/>
        <v>12</v>
      </c>
      <c r="CS295" s="4">
        <f t="shared" si="282"/>
        <v>-58</v>
      </c>
      <c r="CT295" s="4">
        <f t="shared" si="283"/>
        <v>0</v>
      </c>
      <c r="CU295" s="4">
        <f t="shared" si="284"/>
        <v>0</v>
      </c>
      <c r="CV295" s="4">
        <f t="shared" si="285"/>
        <v>0</v>
      </c>
      <c r="CW295" s="4">
        <f t="shared" si="286"/>
        <v>0</v>
      </c>
      <c r="CX295" s="4">
        <f t="shared" si="287"/>
        <v>-868</v>
      </c>
      <c r="CY295" s="4">
        <f t="shared" si="288"/>
        <v>0</v>
      </c>
      <c r="CZ295" s="4">
        <f t="shared" si="289"/>
        <v>0</v>
      </c>
      <c r="DA295" s="4">
        <f t="shared" si="290"/>
        <v>0</v>
      </c>
      <c r="DB295" s="4">
        <f t="shared" si="291"/>
        <v>0</v>
      </c>
      <c r="DC295" s="4">
        <f t="shared" si="292"/>
        <v>0</v>
      </c>
      <c r="DD295" s="4">
        <f t="shared" si="293"/>
        <v>0</v>
      </c>
      <c r="DE295" s="4">
        <f t="shared" si="294"/>
        <v>0</v>
      </c>
      <c r="DF295" s="4">
        <f t="shared" si="295"/>
        <v>0</v>
      </c>
      <c r="DG295" s="4">
        <f t="shared" si="296"/>
        <v>0</v>
      </c>
      <c r="DH295" s="4">
        <f t="shared" si="297"/>
        <v>0</v>
      </c>
      <c r="DI295" s="4">
        <f t="shared" si="298"/>
        <v>0</v>
      </c>
      <c r="DJ295" s="4">
        <f t="shared" si="299"/>
        <v>0</v>
      </c>
      <c r="DK295" s="4">
        <f t="shared" si="300"/>
        <v>0</v>
      </c>
      <c r="DL295" s="4">
        <f t="shared" si="301"/>
        <v>0</v>
      </c>
    </row>
    <row r="296" spans="1:116" x14ac:dyDescent="0.25">
      <c r="A296" s="5">
        <v>46189</v>
      </c>
      <c r="B296" s="6">
        <v>0.41666666737728519</v>
      </c>
      <c r="C296" s="3"/>
      <c r="D296" s="3"/>
      <c r="E296" s="3" t="s">
        <v>30</v>
      </c>
      <c r="F296" s="3">
        <v>8</v>
      </c>
      <c r="G296" s="3"/>
      <c r="H296" s="9"/>
      <c r="I296" s="9">
        <f>SUM(IFERROR(VLOOKUP($C:$C,Structure!$A:$AJ,I$1,0)*$D296,0),IFERROR(VLOOKUP($E:$E,Structure!$A:$AJ,I$1,0)*$F296,0),IFERROR(VLOOKUP($G:$G,Structure!$A:$AJ,I$1,0)*$H296,0))</f>
        <v>0</v>
      </c>
      <c r="J296" s="9">
        <f>SUM(IFERROR(VLOOKUP($C:$C,Structure!$A:$AJ,J$1,0)*$D296,0),IFERROR(VLOOKUP($E:$E,Structure!$A:$AJ,J$1,0)*$F296,0),IFERROR(VLOOKUP($G:$G,Structure!$A:$AJ,J$1,0)*$H296,0))</f>
        <v>0</v>
      </c>
      <c r="K296" s="9">
        <f>SUM(IFERROR(VLOOKUP($C:$C,Structure!$A:$AJ,K$1,0)*$D296,0),IFERROR(VLOOKUP($E:$E,Structure!$A:$AJ,K$1,0)*$F296,0),IFERROR(VLOOKUP($G:$G,Structure!$A:$AJ,K$1,0)*$H296,0))</f>
        <v>0</v>
      </c>
      <c r="L296" s="9">
        <f>SUM(IFERROR(VLOOKUP($C:$C,Structure!$A:$AJ,L$1,0)*$D296,0),IFERROR(VLOOKUP($E:$E,Structure!$A:$AJ,L$1,0)*$F296,0),IFERROR(VLOOKUP($G:$G,Structure!$A:$AJ,L$1,0)*$H296,0))</f>
        <v>0</v>
      </c>
      <c r="M296" s="9">
        <f>SUM(IFERROR(VLOOKUP($C:$C,Structure!$A:$AJ,M$1,0)*$D296,0),IFERROR(VLOOKUP($E:$E,Structure!$A:$AJ,M$1,0)*$F296,0),IFERROR(VLOOKUP($G:$G,Structure!$A:$AJ,M$1,0)*$H296,0))</f>
        <v>0</v>
      </c>
      <c r="N296" s="9">
        <f>SUM(IFERROR(VLOOKUP($C:$C,Structure!$A:$AJ,N$1,0)*$D296,0),IFERROR(VLOOKUP($E:$E,Structure!$A:$AJ,N$1,0)*$F296,0),IFERROR(VLOOKUP($G:$G,Structure!$A:$AJ,N$1,0)*$H296,0))</f>
        <v>0</v>
      </c>
      <c r="O296" s="9">
        <f>SUM(IFERROR(VLOOKUP($C:$C,Structure!$A:$AJ,O$1,0)*$D296,0),IFERROR(VLOOKUP($E:$E,Structure!$A:$AJ,O$1,0)*$F296,0),IFERROR(VLOOKUP($G:$G,Structure!$A:$AJ,O$1,0)*$H296,0))</f>
        <v>0</v>
      </c>
      <c r="P296" s="9">
        <f>SUM(IFERROR(VLOOKUP($C:$C,Structure!$A:$AJ,P$1,0)*$D296,0),IFERROR(VLOOKUP($E:$E,Structure!$A:$AJ,P$1,0)*$F296,0),IFERROR(VLOOKUP($G:$G,Structure!$A:$AJ,P$1,0)*$H296,0))</f>
        <v>0</v>
      </c>
      <c r="Q296" s="9">
        <f>SUM(IFERROR(VLOOKUP($C:$C,Structure!$A:$AJ,Q$1,0)*$D296,0),IFERROR(VLOOKUP($E:$E,Structure!$A:$AJ,Q$1,0)*$F296,0),IFERROR(VLOOKUP($G:$G,Structure!$A:$AJ,Q$1,0)*$H296,0))</f>
        <v>0</v>
      </c>
      <c r="R296" s="9">
        <f>SUM(IFERROR(VLOOKUP($C:$C,Structure!$A:$AJ,R$1,0)*$D296,0),IFERROR(VLOOKUP($E:$E,Structure!$A:$AJ,R$1,0)*$F296,0),IFERROR(VLOOKUP($G:$G,Structure!$A:$AJ,R$1,0)*$H296,0))</f>
        <v>0</v>
      </c>
      <c r="S296" s="9">
        <f>SUM(IFERROR(VLOOKUP($C:$C,Structure!$A:$AJ,S$1,0)*$D296,0),IFERROR(VLOOKUP($E:$E,Structure!$A:$AJ,S$1,0)*$F296,0),IFERROR(VLOOKUP($G:$G,Structure!$A:$AJ,S$1,0)*$H296,0))</f>
        <v>0</v>
      </c>
      <c r="T296" s="9">
        <f>SUM(IFERROR(VLOOKUP($C:$C,Structure!$A:$AJ,T$1,0)*$D296,0),IFERROR(VLOOKUP($E:$E,Structure!$A:$AJ,T$1,0)*$F296,0),IFERROR(VLOOKUP($G:$G,Structure!$A:$AJ,T$1,0)*$H296,0))</f>
        <v>0</v>
      </c>
      <c r="U296" s="9">
        <f>SUM(IFERROR(VLOOKUP($C:$C,Structure!$A:$AJ,U$1,0)*$D296,0),IFERROR(VLOOKUP($E:$E,Structure!$A:$AJ,U$1,0)*$F296,0),IFERROR(VLOOKUP($G:$G,Structure!$A:$AJ,U$1,0)*$H296,0))</f>
        <v>0</v>
      </c>
      <c r="V296" s="9">
        <f>SUM(IFERROR(VLOOKUP($C:$C,Structure!$A:$AJ,V$1,0)*$D296,0),IFERROR(VLOOKUP($E:$E,Structure!$A:$AJ,V$1,0)*$F296,0),IFERROR(VLOOKUP($G:$G,Structure!$A:$AJ,V$1,0)*$H296,0))</f>
        <v>8</v>
      </c>
      <c r="W296" s="9">
        <f>SUM(IFERROR(VLOOKUP($C:$C,Structure!$A:$AJ,W$1,0)*$D296,0),IFERROR(VLOOKUP($E:$E,Structure!$A:$AJ,W$1,0)*$F296,0),IFERROR(VLOOKUP($G:$G,Structure!$A:$AJ,W$1,0)*$H296,0))</f>
        <v>0</v>
      </c>
      <c r="X296" s="9">
        <f>SUM(IFERROR(VLOOKUP($C:$C,Structure!$A:$AJ,X$1,0)*$D296,0),IFERROR(VLOOKUP($E:$E,Structure!$A:$AJ,X$1,0)*$F296,0),IFERROR(VLOOKUP($G:$G,Structure!$A:$AJ,X$1,0)*$H296,0))</f>
        <v>0</v>
      </c>
      <c r="Y296" s="9">
        <f>SUM(IFERROR(VLOOKUP($C:$C,Structure!$A:$AJ,Y$1,0)*$D296,0),IFERROR(VLOOKUP($E:$E,Structure!$A:$AJ,Y$1,0)*$F296,0),IFERROR(VLOOKUP($G:$G,Structure!$A:$AJ,Y$1,0)*$H296,0))</f>
        <v>0</v>
      </c>
      <c r="Z296" s="9">
        <f>SUM(IFERROR(VLOOKUP($C:$C,Structure!$A:$AJ,Z$1,0)*$D296,0),IFERROR(VLOOKUP($E:$E,Structure!$A:$AJ,Z$1,0)*$F296,0),IFERROR(VLOOKUP($G:$G,Structure!$A:$AJ,Z$1,0)*$H296,0))</f>
        <v>0</v>
      </c>
      <c r="AA296" s="9">
        <f>SUM(IFERROR(VLOOKUP($C:$C,Structure!$A:$AJ,AA$1,0)*$D296,0),IFERROR(VLOOKUP($E:$E,Structure!$A:$AJ,AA$1,0)*$F296,0),IFERROR(VLOOKUP($G:$G,Structure!$A:$AJ,AA$1,0)*$H296,0))</f>
        <v>0</v>
      </c>
      <c r="AB296" s="9">
        <f>SUM(IFERROR(VLOOKUP($C:$C,Structure!$A:$AJ,AB$1,0)*$D296,0),IFERROR(VLOOKUP($E:$E,Structure!$A:$AJ,AB$1,0)*$F296,0),IFERROR(VLOOKUP($G:$G,Structure!$A:$AJ,AB$1,0)*$H296,0))</f>
        <v>0</v>
      </c>
      <c r="AC296" s="9">
        <f>SUM(IFERROR(VLOOKUP($C:$C,Structure!$A:$AJ,AC$1,0)*$D296,0),IFERROR(VLOOKUP($E:$E,Structure!$A:$AJ,AC$1,0)*$F296,0),IFERROR(VLOOKUP($G:$G,Structure!$A:$AJ,AC$1,0)*$H296,0))</f>
        <v>8</v>
      </c>
      <c r="AD296" s="9">
        <f>SUM(IFERROR(VLOOKUP($C:$C,Structure!$A:$AJ,AD$1,0)*$D296,0),IFERROR(VLOOKUP($E:$E,Structure!$A:$AJ,AD$1,0)*$F296,0),IFERROR(VLOOKUP($G:$G,Structure!$A:$AJ,AD$1,0)*$H296,0))</f>
        <v>0</v>
      </c>
      <c r="AE296" s="9">
        <f>SUM(IFERROR(VLOOKUP($C:$C,Structure!$A:$AJ,AE$1,0)*$D296,0),IFERROR(VLOOKUP($E:$E,Structure!$A:$AJ,AE$1,0)*$F296,0),IFERROR(VLOOKUP($G:$G,Structure!$A:$AJ,AE$1,0)*$H296,0))</f>
        <v>0</v>
      </c>
      <c r="AF296" s="9">
        <f>SUM(IFERROR(VLOOKUP($C:$C,Structure!$A:$AJ,AF$1,0)*$D296,0),IFERROR(VLOOKUP($E:$E,Structure!$A:$AJ,AF$1,0)*$F296,0),IFERROR(VLOOKUP($G:$G,Structure!$A:$AJ,AF$1,0)*$H296,0))</f>
        <v>0</v>
      </c>
      <c r="AG296" s="9">
        <f>SUM(IFERROR(VLOOKUP($C:$C,Structure!$A:$AJ,AG$1,0)*$D296,0),IFERROR(VLOOKUP($E:$E,Structure!$A:$AJ,AG$1,0)*$F296,0),IFERROR(VLOOKUP($G:$G,Structure!$A:$AJ,AG$1,0)*$H296,0))</f>
        <v>0</v>
      </c>
      <c r="AH296" s="9">
        <f>SUM(IFERROR(VLOOKUP($C:$C,Structure!$A:$AJ,AH$1,0)*$D296,0),IFERROR(VLOOKUP($E:$E,Structure!$A:$AJ,AH$1,0)*$F296,0),IFERROR(VLOOKUP($G:$G,Structure!$A:$AJ,AH$1,0)*$H296,0))</f>
        <v>0</v>
      </c>
      <c r="AI296" s="9">
        <f>SUM(IFERROR(VLOOKUP($C:$C,Structure!$A:$AJ,AI$1,0)*$D296,0),IFERROR(VLOOKUP($E:$E,Structure!$A:$AJ,AI$1,0)*$F296,0),IFERROR(VLOOKUP($G:$G,Structure!$A:$AJ,AI$1,0)*$H296,0))</f>
        <v>0</v>
      </c>
      <c r="AJ296" s="9">
        <f>SUM(IFERROR(VLOOKUP($C:$C,Structure!$A:$AJ,AJ$1,0)*$D296,0),IFERROR(VLOOKUP($E:$E,Structure!$A:$AJ,AJ$1,0)*$F296,0),IFERROR(VLOOKUP($G:$G,Structure!$A:$AJ,AJ$1,0)*$H296,0))</f>
        <v>0</v>
      </c>
      <c r="AK296" s="9">
        <f>SUM(IFERROR(VLOOKUP($C:$C,Structure!$A:$AJ,AK$1,0)*$D296,0),IFERROR(VLOOKUP($E:$E,Structure!$A:$AJ,AK$1,0)*$F296,0),IFERROR(VLOOKUP($G:$G,Structure!$A:$AJ,AK$1,0)*$H296,0))</f>
        <v>0</v>
      </c>
      <c r="AL296" s="9">
        <f>SUM(IFERROR(VLOOKUP($C:$C,Structure!$A:$AJ,AL$1,0)*$D296,0),IFERROR(VLOOKUP($E:$E,Structure!$A:$AJ,AL$1,0)*$F296,0),IFERROR(VLOOKUP($G:$G,Structure!$A:$AJ,AL$1,0)*$H296,0))</f>
        <v>0</v>
      </c>
      <c r="AM296" s="9">
        <f>SUM(IFERROR(VLOOKUP($C:$C,Structure!$A:$AJ,AM$1,0)*$D296,0),IFERROR(VLOOKUP($E:$E,Structure!$A:$AJ,AM$1,0)*$F296,0),IFERROR(VLOOKUP($G:$G,Structure!$A:$AJ,AM$1,0)*$H296,0))</f>
        <v>0</v>
      </c>
      <c r="AN296" s="9">
        <f>SUM(IFERROR(VLOOKUP($C:$C,Structure!$A:$AJ,AN$1,0)*$D296,0),IFERROR(VLOOKUP($E:$E,Structure!$A:$AJ,AN$1,0)*$F296,0),IFERROR(VLOOKUP($G:$G,Structure!$A:$AJ,AN$1,0)*$H296,0))</f>
        <v>0</v>
      </c>
      <c r="AO296" s="9">
        <f>SUM(IFERROR(VLOOKUP($C:$C,Structure!$A:$AJ,AO$1,0)*$D296,0),IFERROR(VLOOKUP($E:$E,Structure!$A:$AJ,AO$1,0)*$F296,0),IFERROR(VLOOKUP($G:$G,Structure!$A:$AJ,AO$1,0)*$H296,0))</f>
        <v>0</v>
      </c>
      <c r="AP296" s="9">
        <f>SUM(IFERROR(VLOOKUP($C:$C,Structure!$A:$AJ,AP$1,0)*$D296,0),IFERROR(VLOOKUP($E:$E,Structure!$A:$AJ,AP$1,0)*$F296,0),IFERROR(VLOOKUP($G:$G,Structure!$A:$AJ,AP$1,0)*$H296,0))</f>
        <v>0</v>
      </c>
      <c r="AQ296" s="9">
        <f>SUM(IFERROR(VLOOKUP($C:$C,Structure!$A:$AJ,AQ$1,0)*$D296,0),IFERROR(VLOOKUP($E:$E,Structure!$A:$AJ,AQ$1,0)*$F296,0),IFERROR(VLOOKUP($G:$G,Structure!$A:$AJ,AQ$1,0)*$H296,0))</f>
        <v>0</v>
      </c>
      <c r="AR296" s="21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4">
        <f t="shared" si="267"/>
        <v>0</v>
      </c>
      <c r="CE296" s="4">
        <f t="shared" si="268"/>
        <v>-236</v>
      </c>
      <c r="CF296" s="4">
        <f t="shared" si="269"/>
        <v>4</v>
      </c>
      <c r="CG296" s="4">
        <f t="shared" si="270"/>
        <v>11</v>
      </c>
      <c r="CH296" s="4">
        <f t="shared" si="271"/>
        <v>-7</v>
      </c>
      <c r="CI296" s="4">
        <f t="shared" si="272"/>
        <v>93</v>
      </c>
      <c r="CJ296" s="4">
        <f t="shared" si="273"/>
        <v>-447</v>
      </c>
      <c r="CK296" s="4">
        <f t="shared" si="274"/>
        <v>-57</v>
      </c>
      <c r="CL296" s="4">
        <f t="shared" si="275"/>
        <v>0</v>
      </c>
      <c r="CM296" s="4">
        <f t="shared" si="276"/>
        <v>6</v>
      </c>
      <c r="CN296" s="4">
        <f t="shared" si="277"/>
        <v>-334</v>
      </c>
      <c r="CO296" s="4">
        <f t="shared" si="278"/>
        <v>0</v>
      </c>
      <c r="CP296" s="4">
        <f t="shared" si="279"/>
        <v>-21</v>
      </c>
      <c r="CQ296" s="4">
        <f t="shared" si="280"/>
        <v>-595</v>
      </c>
      <c r="CR296" s="4">
        <f t="shared" si="281"/>
        <v>12</v>
      </c>
      <c r="CS296" s="4">
        <f t="shared" si="282"/>
        <v>-58</v>
      </c>
      <c r="CT296" s="4">
        <f t="shared" si="283"/>
        <v>0</v>
      </c>
      <c r="CU296" s="4">
        <f t="shared" si="284"/>
        <v>0</v>
      </c>
      <c r="CV296" s="4">
        <f t="shared" si="285"/>
        <v>0</v>
      </c>
      <c r="CW296" s="4">
        <f t="shared" si="286"/>
        <v>0</v>
      </c>
      <c r="CX296" s="4">
        <f t="shared" si="287"/>
        <v>-876</v>
      </c>
      <c r="CY296" s="4">
        <f t="shared" si="288"/>
        <v>0</v>
      </c>
      <c r="CZ296" s="4">
        <f t="shared" si="289"/>
        <v>0</v>
      </c>
      <c r="DA296" s="4">
        <f t="shared" si="290"/>
        <v>0</v>
      </c>
      <c r="DB296" s="4">
        <f t="shared" si="291"/>
        <v>0</v>
      </c>
      <c r="DC296" s="4">
        <f t="shared" si="292"/>
        <v>0</v>
      </c>
      <c r="DD296" s="4">
        <f t="shared" si="293"/>
        <v>0</v>
      </c>
      <c r="DE296" s="4">
        <f t="shared" si="294"/>
        <v>0</v>
      </c>
      <c r="DF296" s="4">
        <f t="shared" si="295"/>
        <v>0</v>
      </c>
      <c r="DG296" s="4">
        <f t="shared" si="296"/>
        <v>0</v>
      </c>
      <c r="DH296" s="4">
        <f t="shared" si="297"/>
        <v>0</v>
      </c>
      <c r="DI296" s="4">
        <f t="shared" si="298"/>
        <v>0</v>
      </c>
      <c r="DJ296" s="4">
        <f t="shared" si="299"/>
        <v>0</v>
      </c>
      <c r="DK296" s="4">
        <f t="shared" si="300"/>
        <v>0</v>
      </c>
      <c r="DL296" s="4">
        <f t="shared" si="301"/>
        <v>0</v>
      </c>
    </row>
    <row r="297" spans="1:116" x14ac:dyDescent="0.25">
      <c r="A297" s="5">
        <v>46189</v>
      </c>
      <c r="B297" s="6">
        <v>0.43750000071304385</v>
      </c>
      <c r="C297" s="3"/>
      <c r="D297" s="3"/>
      <c r="E297" s="3" t="s">
        <v>30</v>
      </c>
      <c r="F297" s="3">
        <v>8</v>
      </c>
      <c r="G297" s="3"/>
      <c r="H297" s="9"/>
      <c r="I297" s="9">
        <f>SUM(IFERROR(VLOOKUP($C:$C,Structure!$A:$AJ,I$1,0)*$D297,0),IFERROR(VLOOKUP($E:$E,Structure!$A:$AJ,I$1,0)*$F297,0),IFERROR(VLOOKUP($G:$G,Structure!$A:$AJ,I$1,0)*$H297,0))</f>
        <v>0</v>
      </c>
      <c r="J297" s="9">
        <f>SUM(IFERROR(VLOOKUP($C:$C,Structure!$A:$AJ,J$1,0)*$D297,0),IFERROR(VLOOKUP($E:$E,Structure!$A:$AJ,J$1,0)*$F297,0),IFERROR(VLOOKUP($G:$G,Structure!$A:$AJ,J$1,0)*$H297,0))</f>
        <v>0</v>
      </c>
      <c r="K297" s="9">
        <f>SUM(IFERROR(VLOOKUP($C:$C,Structure!$A:$AJ,K$1,0)*$D297,0),IFERROR(VLOOKUP($E:$E,Structure!$A:$AJ,K$1,0)*$F297,0),IFERROR(VLOOKUP($G:$G,Structure!$A:$AJ,K$1,0)*$H297,0))</f>
        <v>0</v>
      </c>
      <c r="L297" s="9">
        <f>SUM(IFERROR(VLOOKUP($C:$C,Structure!$A:$AJ,L$1,0)*$D297,0),IFERROR(VLOOKUP($E:$E,Structure!$A:$AJ,L$1,0)*$F297,0),IFERROR(VLOOKUP($G:$G,Structure!$A:$AJ,L$1,0)*$H297,0))</f>
        <v>0</v>
      </c>
      <c r="M297" s="9">
        <f>SUM(IFERROR(VLOOKUP($C:$C,Structure!$A:$AJ,M$1,0)*$D297,0),IFERROR(VLOOKUP($E:$E,Structure!$A:$AJ,M$1,0)*$F297,0),IFERROR(VLOOKUP($G:$G,Structure!$A:$AJ,M$1,0)*$H297,0))</f>
        <v>0</v>
      </c>
      <c r="N297" s="9">
        <f>SUM(IFERROR(VLOOKUP($C:$C,Structure!$A:$AJ,N$1,0)*$D297,0),IFERROR(VLOOKUP($E:$E,Structure!$A:$AJ,N$1,0)*$F297,0),IFERROR(VLOOKUP($G:$G,Structure!$A:$AJ,N$1,0)*$H297,0))</f>
        <v>0</v>
      </c>
      <c r="O297" s="9">
        <f>SUM(IFERROR(VLOOKUP($C:$C,Structure!$A:$AJ,O$1,0)*$D297,0),IFERROR(VLOOKUP($E:$E,Structure!$A:$AJ,O$1,0)*$F297,0),IFERROR(VLOOKUP($G:$G,Structure!$A:$AJ,O$1,0)*$H297,0))</f>
        <v>0</v>
      </c>
      <c r="P297" s="9">
        <f>SUM(IFERROR(VLOOKUP($C:$C,Structure!$A:$AJ,P$1,0)*$D297,0),IFERROR(VLOOKUP($E:$E,Structure!$A:$AJ,P$1,0)*$F297,0),IFERROR(VLOOKUP($G:$G,Structure!$A:$AJ,P$1,0)*$H297,0))</f>
        <v>0</v>
      </c>
      <c r="Q297" s="9">
        <f>SUM(IFERROR(VLOOKUP($C:$C,Structure!$A:$AJ,Q$1,0)*$D297,0),IFERROR(VLOOKUP($E:$E,Structure!$A:$AJ,Q$1,0)*$F297,0),IFERROR(VLOOKUP($G:$G,Structure!$A:$AJ,Q$1,0)*$H297,0))</f>
        <v>0</v>
      </c>
      <c r="R297" s="9">
        <f>SUM(IFERROR(VLOOKUP($C:$C,Structure!$A:$AJ,R$1,0)*$D297,0),IFERROR(VLOOKUP($E:$E,Structure!$A:$AJ,R$1,0)*$F297,0),IFERROR(VLOOKUP($G:$G,Structure!$A:$AJ,R$1,0)*$H297,0))</f>
        <v>0</v>
      </c>
      <c r="S297" s="9">
        <f>SUM(IFERROR(VLOOKUP($C:$C,Structure!$A:$AJ,S$1,0)*$D297,0),IFERROR(VLOOKUP($E:$E,Structure!$A:$AJ,S$1,0)*$F297,0),IFERROR(VLOOKUP($G:$G,Structure!$A:$AJ,S$1,0)*$H297,0))</f>
        <v>0</v>
      </c>
      <c r="T297" s="9">
        <f>SUM(IFERROR(VLOOKUP($C:$C,Structure!$A:$AJ,T$1,0)*$D297,0),IFERROR(VLOOKUP($E:$E,Structure!$A:$AJ,T$1,0)*$F297,0),IFERROR(VLOOKUP($G:$G,Structure!$A:$AJ,T$1,0)*$H297,0))</f>
        <v>0</v>
      </c>
      <c r="U297" s="9">
        <f>SUM(IFERROR(VLOOKUP($C:$C,Structure!$A:$AJ,U$1,0)*$D297,0),IFERROR(VLOOKUP($E:$E,Structure!$A:$AJ,U$1,0)*$F297,0),IFERROR(VLOOKUP($G:$G,Structure!$A:$AJ,U$1,0)*$H297,0))</f>
        <v>0</v>
      </c>
      <c r="V297" s="9">
        <f>SUM(IFERROR(VLOOKUP($C:$C,Structure!$A:$AJ,V$1,0)*$D297,0),IFERROR(VLOOKUP($E:$E,Structure!$A:$AJ,V$1,0)*$F297,0),IFERROR(VLOOKUP($G:$G,Structure!$A:$AJ,V$1,0)*$H297,0))</f>
        <v>8</v>
      </c>
      <c r="W297" s="9">
        <f>SUM(IFERROR(VLOOKUP($C:$C,Structure!$A:$AJ,W$1,0)*$D297,0),IFERROR(VLOOKUP($E:$E,Structure!$A:$AJ,W$1,0)*$F297,0),IFERROR(VLOOKUP($G:$G,Structure!$A:$AJ,W$1,0)*$H297,0))</f>
        <v>0</v>
      </c>
      <c r="X297" s="9">
        <f>SUM(IFERROR(VLOOKUP($C:$C,Structure!$A:$AJ,X$1,0)*$D297,0),IFERROR(VLOOKUP($E:$E,Structure!$A:$AJ,X$1,0)*$F297,0),IFERROR(VLOOKUP($G:$G,Structure!$A:$AJ,X$1,0)*$H297,0))</f>
        <v>0</v>
      </c>
      <c r="Y297" s="9">
        <f>SUM(IFERROR(VLOOKUP($C:$C,Structure!$A:$AJ,Y$1,0)*$D297,0),IFERROR(VLOOKUP($E:$E,Structure!$A:$AJ,Y$1,0)*$F297,0),IFERROR(VLOOKUP($G:$G,Structure!$A:$AJ,Y$1,0)*$H297,0))</f>
        <v>0</v>
      </c>
      <c r="Z297" s="9">
        <f>SUM(IFERROR(VLOOKUP($C:$C,Structure!$A:$AJ,Z$1,0)*$D297,0),IFERROR(VLOOKUP($E:$E,Structure!$A:$AJ,Z$1,0)*$F297,0),IFERROR(VLOOKUP($G:$G,Structure!$A:$AJ,Z$1,0)*$H297,0))</f>
        <v>0</v>
      </c>
      <c r="AA297" s="9">
        <f>SUM(IFERROR(VLOOKUP($C:$C,Structure!$A:$AJ,AA$1,0)*$D297,0),IFERROR(VLOOKUP($E:$E,Structure!$A:$AJ,AA$1,0)*$F297,0),IFERROR(VLOOKUP($G:$G,Structure!$A:$AJ,AA$1,0)*$H297,0))</f>
        <v>0</v>
      </c>
      <c r="AB297" s="9">
        <f>SUM(IFERROR(VLOOKUP($C:$C,Structure!$A:$AJ,AB$1,0)*$D297,0),IFERROR(VLOOKUP($E:$E,Structure!$A:$AJ,AB$1,0)*$F297,0),IFERROR(VLOOKUP($G:$G,Structure!$A:$AJ,AB$1,0)*$H297,0))</f>
        <v>0</v>
      </c>
      <c r="AC297" s="9">
        <f>SUM(IFERROR(VLOOKUP($C:$C,Structure!$A:$AJ,AC$1,0)*$D297,0),IFERROR(VLOOKUP($E:$E,Structure!$A:$AJ,AC$1,0)*$F297,0),IFERROR(VLOOKUP($G:$G,Structure!$A:$AJ,AC$1,0)*$H297,0))</f>
        <v>8</v>
      </c>
      <c r="AD297" s="9">
        <f>SUM(IFERROR(VLOOKUP($C:$C,Structure!$A:$AJ,AD$1,0)*$D297,0),IFERROR(VLOOKUP($E:$E,Structure!$A:$AJ,AD$1,0)*$F297,0),IFERROR(VLOOKUP($G:$G,Structure!$A:$AJ,AD$1,0)*$H297,0))</f>
        <v>0</v>
      </c>
      <c r="AE297" s="9">
        <f>SUM(IFERROR(VLOOKUP($C:$C,Structure!$A:$AJ,AE$1,0)*$D297,0),IFERROR(VLOOKUP($E:$E,Structure!$A:$AJ,AE$1,0)*$F297,0),IFERROR(VLOOKUP($G:$G,Structure!$A:$AJ,AE$1,0)*$H297,0))</f>
        <v>0</v>
      </c>
      <c r="AF297" s="9">
        <f>SUM(IFERROR(VLOOKUP($C:$C,Structure!$A:$AJ,AF$1,0)*$D297,0),IFERROR(VLOOKUP($E:$E,Structure!$A:$AJ,AF$1,0)*$F297,0),IFERROR(VLOOKUP($G:$G,Structure!$A:$AJ,AF$1,0)*$H297,0))</f>
        <v>0</v>
      </c>
      <c r="AG297" s="9">
        <f>SUM(IFERROR(VLOOKUP($C:$C,Structure!$A:$AJ,AG$1,0)*$D297,0),IFERROR(VLOOKUP($E:$E,Structure!$A:$AJ,AG$1,0)*$F297,0),IFERROR(VLOOKUP($G:$G,Structure!$A:$AJ,AG$1,0)*$H297,0))</f>
        <v>0</v>
      </c>
      <c r="AH297" s="9">
        <f>SUM(IFERROR(VLOOKUP($C:$C,Structure!$A:$AJ,AH$1,0)*$D297,0),IFERROR(VLOOKUP($E:$E,Structure!$A:$AJ,AH$1,0)*$F297,0),IFERROR(VLOOKUP($G:$G,Structure!$A:$AJ,AH$1,0)*$H297,0))</f>
        <v>0</v>
      </c>
      <c r="AI297" s="9">
        <f>SUM(IFERROR(VLOOKUP($C:$C,Structure!$A:$AJ,AI$1,0)*$D297,0),IFERROR(VLOOKUP($E:$E,Structure!$A:$AJ,AI$1,0)*$F297,0),IFERROR(VLOOKUP($G:$G,Structure!$A:$AJ,AI$1,0)*$H297,0))</f>
        <v>0</v>
      </c>
      <c r="AJ297" s="9">
        <f>SUM(IFERROR(VLOOKUP($C:$C,Structure!$A:$AJ,AJ$1,0)*$D297,0),IFERROR(VLOOKUP($E:$E,Structure!$A:$AJ,AJ$1,0)*$F297,0),IFERROR(VLOOKUP($G:$G,Structure!$A:$AJ,AJ$1,0)*$H297,0))</f>
        <v>0</v>
      </c>
      <c r="AK297" s="9">
        <f>SUM(IFERROR(VLOOKUP($C:$C,Structure!$A:$AJ,AK$1,0)*$D297,0),IFERROR(VLOOKUP($E:$E,Structure!$A:$AJ,AK$1,0)*$F297,0),IFERROR(VLOOKUP($G:$G,Structure!$A:$AJ,AK$1,0)*$H297,0))</f>
        <v>0</v>
      </c>
      <c r="AL297" s="9">
        <f>SUM(IFERROR(VLOOKUP($C:$C,Structure!$A:$AJ,AL$1,0)*$D297,0),IFERROR(VLOOKUP($E:$E,Structure!$A:$AJ,AL$1,0)*$F297,0),IFERROR(VLOOKUP($G:$G,Structure!$A:$AJ,AL$1,0)*$H297,0))</f>
        <v>0</v>
      </c>
      <c r="AM297" s="9">
        <f>SUM(IFERROR(VLOOKUP($C:$C,Structure!$A:$AJ,AM$1,0)*$D297,0),IFERROR(VLOOKUP($E:$E,Structure!$A:$AJ,AM$1,0)*$F297,0),IFERROR(VLOOKUP($G:$G,Structure!$A:$AJ,AM$1,0)*$H297,0))</f>
        <v>0</v>
      </c>
      <c r="AN297" s="9">
        <f>SUM(IFERROR(VLOOKUP($C:$C,Structure!$A:$AJ,AN$1,0)*$D297,0),IFERROR(VLOOKUP($E:$E,Structure!$A:$AJ,AN$1,0)*$F297,0),IFERROR(VLOOKUP($G:$G,Structure!$A:$AJ,AN$1,0)*$H297,0))</f>
        <v>0</v>
      </c>
      <c r="AO297" s="9">
        <f>SUM(IFERROR(VLOOKUP($C:$C,Structure!$A:$AJ,AO$1,0)*$D297,0),IFERROR(VLOOKUP($E:$E,Structure!$A:$AJ,AO$1,0)*$F297,0),IFERROR(VLOOKUP($G:$G,Structure!$A:$AJ,AO$1,0)*$H297,0))</f>
        <v>0</v>
      </c>
      <c r="AP297" s="9">
        <f>SUM(IFERROR(VLOOKUP($C:$C,Structure!$A:$AJ,AP$1,0)*$D297,0),IFERROR(VLOOKUP($E:$E,Structure!$A:$AJ,AP$1,0)*$F297,0),IFERROR(VLOOKUP($G:$G,Structure!$A:$AJ,AP$1,0)*$H297,0))</f>
        <v>0</v>
      </c>
      <c r="AQ297" s="9">
        <f>SUM(IFERROR(VLOOKUP($C:$C,Structure!$A:$AJ,AQ$1,0)*$D297,0),IFERROR(VLOOKUP($E:$E,Structure!$A:$AJ,AQ$1,0)*$F297,0),IFERROR(VLOOKUP($G:$G,Structure!$A:$AJ,AQ$1,0)*$H297,0))</f>
        <v>0</v>
      </c>
      <c r="AR297" s="21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4">
        <f t="shared" si="267"/>
        <v>0</v>
      </c>
      <c r="CE297" s="4">
        <f t="shared" si="268"/>
        <v>-236</v>
      </c>
      <c r="CF297" s="4">
        <f t="shared" si="269"/>
        <v>4</v>
      </c>
      <c r="CG297" s="4">
        <f t="shared" si="270"/>
        <v>11</v>
      </c>
      <c r="CH297" s="4">
        <f t="shared" si="271"/>
        <v>-7</v>
      </c>
      <c r="CI297" s="4">
        <f t="shared" si="272"/>
        <v>93</v>
      </c>
      <c r="CJ297" s="4">
        <f t="shared" si="273"/>
        <v>-447</v>
      </c>
      <c r="CK297" s="4">
        <f t="shared" si="274"/>
        <v>-57</v>
      </c>
      <c r="CL297" s="4">
        <f t="shared" si="275"/>
        <v>0</v>
      </c>
      <c r="CM297" s="4">
        <f t="shared" si="276"/>
        <v>6</v>
      </c>
      <c r="CN297" s="4">
        <f t="shared" si="277"/>
        <v>-334</v>
      </c>
      <c r="CO297" s="4">
        <f t="shared" si="278"/>
        <v>0</v>
      </c>
      <c r="CP297" s="4">
        <f t="shared" si="279"/>
        <v>-21</v>
      </c>
      <c r="CQ297" s="4">
        <f t="shared" si="280"/>
        <v>-603</v>
      </c>
      <c r="CR297" s="4">
        <f t="shared" si="281"/>
        <v>12</v>
      </c>
      <c r="CS297" s="4">
        <f t="shared" si="282"/>
        <v>-58</v>
      </c>
      <c r="CT297" s="4">
        <f t="shared" si="283"/>
        <v>0</v>
      </c>
      <c r="CU297" s="4">
        <f t="shared" si="284"/>
        <v>0</v>
      </c>
      <c r="CV297" s="4">
        <f t="shared" si="285"/>
        <v>0</v>
      </c>
      <c r="CW297" s="4">
        <f t="shared" si="286"/>
        <v>0</v>
      </c>
      <c r="CX297" s="4">
        <f t="shared" si="287"/>
        <v>-884</v>
      </c>
      <c r="CY297" s="4">
        <f t="shared" si="288"/>
        <v>0</v>
      </c>
      <c r="CZ297" s="4">
        <f t="shared" si="289"/>
        <v>0</v>
      </c>
      <c r="DA297" s="4">
        <f t="shared" si="290"/>
        <v>0</v>
      </c>
      <c r="DB297" s="4">
        <f t="shared" si="291"/>
        <v>0</v>
      </c>
      <c r="DC297" s="4">
        <f t="shared" si="292"/>
        <v>0</v>
      </c>
      <c r="DD297" s="4">
        <f t="shared" si="293"/>
        <v>0</v>
      </c>
      <c r="DE297" s="4">
        <f t="shared" si="294"/>
        <v>0</v>
      </c>
      <c r="DF297" s="4">
        <f t="shared" si="295"/>
        <v>0</v>
      </c>
      <c r="DG297" s="4">
        <f t="shared" si="296"/>
        <v>0</v>
      </c>
      <c r="DH297" s="4">
        <f t="shared" si="297"/>
        <v>0</v>
      </c>
      <c r="DI297" s="4">
        <f t="shared" si="298"/>
        <v>0</v>
      </c>
      <c r="DJ297" s="4">
        <f t="shared" si="299"/>
        <v>0</v>
      </c>
      <c r="DK297" s="4">
        <f t="shared" si="300"/>
        <v>0</v>
      </c>
      <c r="DL297" s="4">
        <f t="shared" si="301"/>
        <v>0</v>
      </c>
    </row>
    <row r="298" spans="1:116" x14ac:dyDescent="0.25">
      <c r="A298" s="5">
        <v>46189</v>
      </c>
      <c r="B298" s="6">
        <v>0.4583333340488025</v>
      </c>
      <c r="C298" s="3"/>
      <c r="D298" s="3"/>
      <c r="E298" s="3" t="s">
        <v>30</v>
      </c>
      <c r="F298" s="3">
        <v>8</v>
      </c>
      <c r="G298" s="3"/>
      <c r="H298" s="9"/>
      <c r="I298" s="9">
        <f>SUM(IFERROR(VLOOKUP($C:$C,Structure!$A:$AJ,I$1,0)*$D298,0),IFERROR(VLOOKUP($E:$E,Structure!$A:$AJ,I$1,0)*$F298,0),IFERROR(VLOOKUP($G:$G,Structure!$A:$AJ,I$1,0)*$H298,0))</f>
        <v>0</v>
      </c>
      <c r="J298" s="9">
        <f>SUM(IFERROR(VLOOKUP($C:$C,Structure!$A:$AJ,J$1,0)*$D298,0),IFERROR(VLOOKUP($E:$E,Structure!$A:$AJ,J$1,0)*$F298,0),IFERROR(VLOOKUP($G:$G,Structure!$A:$AJ,J$1,0)*$H298,0))</f>
        <v>0</v>
      </c>
      <c r="K298" s="9">
        <f>SUM(IFERROR(VLOOKUP($C:$C,Structure!$A:$AJ,K$1,0)*$D298,0),IFERROR(VLOOKUP($E:$E,Structure!$A:$AJ,K$1,0)*$F298,0),IFERROR(VLOOKUP($G:$G,Structure!$A:$AJ,K$1,0)*$H298,0))</f>
        <v>0</v>
      </c>
      <c r="L298" s="9">
        <f>SUM(IFERROR(VLOOKUP($C:$C,Structure!$A:$AJ,L$1,0)*$D298,0),IFERROR(VLOOKUP($E:$E,Structure!$A:$AJ,L$1,0)*$F298,0),IFERROR(VLOOKUP($G:$G,Structure!$A:$AJ,L$1,0)*$H298,0))</f>
        <v>0</v>
      </c>
      <c r="M298" s="9">
        <f>SUM(IFERROR(VLOOKUP($C:$C,Structure!$A:$AJ,M$1,0)*$D298,0),IFERROR(VLOOKUP($E:$E,Structure!$A:$AJ,M$1,0)*$F298,0),IFERROR(VLOOKUP($G:$G,Structure!$A:$AJ,M$1,0)*$H298,0))</f>
        <v>0</v>
      </c>
      <c r="N298" s="9">
        <f>SUM(IFERROR(VLOOKUP($C:$C,Structure!$A:$AJ,N$1,0)*$D298,0),IFERROR(VLOOKUP($E:$E,Structure!$A:$AJ,N$1,0)*$F298,0),IFERROR(VLOOKUP($G:$G,Structure!$A:$AJ,N$1,0)*$H298,0))</f>
        <v>0</v>
      </c>
      <c r="O298" s="9">
        <f>SUM(IFERROR(VLOOKUP($C:$C,Structure!$A:$AJ,O$1,0)*$D298,0),IFERROR(VLOOKUP($E:$E,Structure!$A:$AJ,O$1,0)*$F298,0),IFERROR(VLOOKUP($G:$G,Structure!$A:$AJ,O$1,0)*$H298,0))</f>
        <v>0</v>
      </c>
      <c r="P298" s="9">
        <f>SUM(IFERROR(VLOOKUP($C:$C,Structure!$A:$AJ,P$1,0)*$D298,0),IFERROR(VLOOKUP($E:$E,Structure!$A:$AJ,P$1,0)*$F298,0),IFERROR(VLOOKUP($G:$G,Structure!$A:$AJ,P$1,0)*$H298,0))</f>
        <v>0</v>
      </c>
      <c r="Q298" s="9">
        <f>SUM(IFERROR(VLOOKUP($C:$C,Structure!$A:$AJ,Q$1,0)*$D298,0),IFERROR(VLOOKUP($E:$E,Structure!$A:$AJ,Q$1,0)*$F298,0),IFERROR(VLOOKUP($G:$G,Structure!$A:$AJ,Q$1,0)*$H298,0))</f>
        <v>0</v>
      </c>
      <c r="R298" s="9">
        <f>SUM(IFERROR(VLOOKUP($C:$C,Structure!$A:$AJ,R$1,0)*$D298,0),IFERROR(VLOOKUP($E:$E,Structure!$A:$AJ,R$1,0)*$F298,0),IFERROR(VLOOKUP($G:$G,Structure!$A:$AJ,R$1,0)*$H298,0))</f>
        <v>0</v>
      </c>
      <c r="S298" s="9">
        <f>SUM(IFERROR(VLOOKUP($C:$C,Structure!$A:$AJ,S$1,0)*$D298,0),IFERROR(VLOOKUP($E:$E,Structure!$A:$AJ,S$1,0)*$F298,0),IFERROR(VLOOKUP($G:$G,Structure!$A:$AJ,S$1,0)*$H298,0))</f>
        <v>0</v>
      </c>
      <c r="T298" s="9">
        <f>SUM(IFERROR(VLOOKUP($C:$C,Structure!$A:$AJ,T$1,0)*$D298,0),IFERROR(VLOOKUP($E:$E,Structure!$A:$AJ,T$1,0)*$F298,0),IFERROR(VLOOKUP($G:$G,Structure!$A:$AJ,T$1,0)*$H298,0))</f>
        <v>0</v>
      </c>
      <c r="U298" s="9">
        <f>SUM(IFERROR(VLOOKUP($C:$C,Structure!$A:$AJ,U$1,0)*$D298,0),IFERROR(VLOOKUP($E:$E,Structure!$A:$AJ,U$1,0)*$F298,0),IFERROR(VLOOKUP($G:$G,Structure!$A:$AJ,U$1,0)*$H298,0))</f>
        <v>0</v>
      </c>
      <c r="V298" s="9">
        <f>SUM(IFERROR(VLOOKUP($C:$C,Structure!$A:$AJ,V$1,0)*$D298,0),IFERROR(VLOOKUP($E:$E,Structure!$A:$AJ,V$1,0)*$F298,0),IFERROR(VLOOKUP($G:$G,Structure!$A:$AJ,V$1,0)*$H298,0))</f>
        <v>8</v>
      </c>
      <c r="W298" s="9">
        <f>SUM(IFERROR(VLOOKUP($C:$C,Structure!$A:$AJ,W$1,0)*$D298,0),IFERROR(VLOOKUP($E:$E,Structure!$A:$AJ,W$1,0)*$F298,0),IFERROR(VLOOKUP($G:$G,Structure!$A:$AJ,W$1,0)*$H298,0))</f>
        <v>0</v>
      </c>
      <c r="X298" s="9">
        <f>SUM(IFERROR(VLOOKUP($C:$C,Structure!$A:$AJ,X$1,0)*$D298,0),IFERROR(VLOOKUP($E:$E,Structure!$A:$AJ,X$1,0)*$F298,0),IFERROR(VLOOKUP($G:$G,Structure!$A:$AJ,X$1,0)*$H298,0))</f>
        <v>0</v>
      </c>
      <c r="Y298" s="9">
        <f>SUM(IFERROR(VLOOKUP($C:$C,Structure!$A:$AJ,Y$1,0)*$D298,0),IFERROR(VLOOKUP($E:$E,Structure!$A:$AJ,Y$1,0)*$F298,0),IFERROR(VLOOKUP($G:$G,Structure!$A:$AJ,Y$1,0)*$H298,0))</f>
        <v>0</v>
      </c>
      <c r="Z298" s="9">
        <f>SUM(IFERROR(VLOOKUP($C:$C,Structure!$A:$AJ,Z$1,0)*$D298,0),IFERROR(VLOOKUP($E:$E,Structure!$A:$AJ,Z$1,0)*$F298,0),IFERROR(VLOOKUP($G:$G,Structure!$A:$AJ,Z$1,0)*$H298,0))</f>
        <v>0</v>
      </c>
      <c r="AA298" s="9">
        <f>SUM(IFERROR(VLOOKUP($C:$C,Structure!$A:$AJ,AA$1,0)*$D298,0),IFERROR(VLOOKUP($E:$E,Structure!$A:$AJ,AA$1,0)*$F298,0),IFERROR(VLOOKUP($G:$G,Structure!$A:$AJ,AA$1,0)*$H298,0))</f>
        <v>0</v>
      </c>
      <c r="AB298" s="9">
        <f>SUM(IFERROR(VLOOKUP($C:$C,Structure!$A:$AJ,AB$1,0)*$D298,0),IFERROR(VLOOKUP($E:$E,Structure!$A:$AJ,AB$1,0)*$F298,0),IFERROR(VLOOKUP($G:$G,Structure!$A:$AJ,AB$1,0)*$H298,0))</f>
        <v>0</v>
      </c>
      <c r="AC298" s="9">
        <f>SUM(IFERROR(VLOOKUP($C:$C,Structure!$A:$AJ,AC$1,0)*$D298,0),IFERROR(VLOOKUP($E:$E,Structure!$A:$AJ,AC$1,0)*$F298,0),IFERROR(VLOOKUP($G:$G,Structure!$A:$AJ,AC$1,0)*$H298,0))</f>
        <v>8</v>
      </c>
      <c r="AD298" s="9">
        <f>SUM(IFERROR(VLOOKUP($C:$C,Structure!$A:$AJ,AD$1,0)*$D298,0),IFERROR(VLOOKUP($E:$E,Structure!$A:$AJ,AD$1,0)*$F298,0),IFERROR(VLOOKUP($G:$G,Structure!$A:$AJ,AD$1,0)*$H298,0))</f>
        <v>0</v>
      </c>
      <c r="AE298" s="9">
        <f>SUM(IFERROR(VLOOKUP($C:$C,Structure!$A:$AJ,AE$1,0)*$D298,0),IFERROR(VLOOKUP($E:$E,Structure!$A:$AJ,AE$1,0)*$F298,0),IFERROR(VLOOKUP($G:$G,Structure!$A:$AJ,AE$1,0)*$H298,0))</f>
        <v>0</v>
      </c>
      <c r="AF298" s="9">
        <f>SUM(IFERROR(VLOOKUP($C:$C,Structure!$A:$AJ,AF$1,0)*$D298,0),IFERROR(VLOOKUP($E:$E,Structure!$A:$AJ,AF$1,0)*$F298,0),IFERROR(VLOOKUP($G:$G,Structure!$A:$AJ,AF$1,0)*$H298,0))</f>
        <v>0</v>
      </c>
      <c r="AG298" s="9">
        <f>SUM(IFERROR(VLOOKUP($C:$C,Structure!$A:$AJ,AG$1,0)*$D298,0),IFERROR(VLOOKUP($E:$E,Structure!$A:$AJ,AG$1,0)*$F298,0),IFERROR(VLOOKUP($G:$G,Structure!$A:$AJ,AG$1,0)*$H298,0))</f>
        <v>0</v>
      </c>
      <c r="AH298" s="9">
        <f>SUM(IFERROR(VLOOKUP($C:$C,Structure!$A:$AJ,AH$1,0)*$D298,0),IFERROR(VLOOKUP($E:$E,Structure!$A:$AJ,AH$1,0)*$F298,0),IFERROR(VLOOKUP($G:$G,Structure!$A:$AJ,AH$1,0)*$H298,0))</f>
        <v>0</v>
      </c>
      <c r="AI298" s="9">
        <f>SUM(IFERROR(VLOOKUP($C:$C,Structure!$A:$AJ,AI$1,0)*$D298,0),IFERROR(VLOOKUP($E:$E,Structure!$A:$AJ,AI$1,0)*$F298,0),IFERROR(VLOOKUP($G:$G,Structure!$A:$AJ,AI$1,0)*$H298,0))</f>
        <v>0</v>
      </c>
      <c r="AJ298" s="9">
        <f>SUM(IFERROR(VLOOKUP($C:$C,Structure!$A:$AJ,AJ$1,0)*$D298,0),IFERROR(VLOOKUP($E:$E,Structure!$A:$AJ,AJ$1,0)*$F298,0),IFERROR(VLOOKUP($G:$G,Structure!$A:$AJ,AJ$1,0)*$H298,0))</f>
        <v>0</v>
      </c>
      <c r="AK298" s="9">
        <f>SUM(IFERROR(VLOOKUP($C:$C,Structure!$A:$AJ,AK$1,0)*$D298,0),IFERROR(VLOOKUP($E:$E,Structure!$A:$AJ,AK$1,0)*$F298,0),IFERROR(VLOOKUP($G:$G,Structure!$A:$AJ,AK$1,0)*$H298,0))</f>
        <v>0</v>
      </c>
      <c r="AL298" s="9">
        <f>SUM(IFERROR(VLOOKUP($C:$C,Structure!$A:$AJ,AL$1,0)*$D298,0),IFERROR(VLOOKUP($E:$E,Structure!$A:$AJ,AL$1,0)*$F298,0),IFERROR(VLOOKUP($G:$G,Structure!$A:$AJ,AL$1,0)*$H298,0))</f>
        <v>0</v>
      </c>
      <c r="AM298" s="9">
        <f>SUM(IFERROR(VLOOKUP($C:$C,Structure!$A:$AJ,AM$1,0)*$D298,0),IFERROR(VLOOKUP($E:$E,Structure!$A:$AJ,AM$1,0)*$F298,0),IFERROR(VLOOKUP($G:$G,Structure!$A:$AJ,AM$1,0)*$H298,0))</f>
        <v>0</v>
      </c>
      <c r="AN298" s="9">
        <f>SUM(IFERROR(VLOOKUP($C:$C,Structure!$A:$AJ,AN$1,0)*$D298,0),IFERROR(VLOOKUP($E:$E,Structure!$A:$AJ,AN$1,0)*$F298,0),IFERROR(VLOOKUP($G:$G,Structure!$A:$AJ,AN$1,0)*$H298,0))</f>
        <v>0</v>
      </c>
      <c r="AO298" s="9">
        <f>SUM(IFERROR(VLOOKUP($C:$C,Structure!$A:$AJ,AO$1,0)*$D298,0),IFERROR(VLOOKUP($E:$E,Structure!$A:$AJ,AO$1,0)*$F298,0),IFERROR(VLOOKUP($G:$G,Structure!$A:$AJ,AO$1,0)*$H298,0))</f>
        <v>0</v>
      </c>
      <c r="AP298" s="9">
        <f>SUM(IFERROR(VLOOKUP($C:$C,Structure!$A:$AJ,AP$1,0)*$D298,0),IFERROR(VLOOKUP($E:$E,Structure!$A:$AJ,AP$1,0)*$F298,0),IFERROR(VLOOKUP($G:$G,Structure!$A:$AJ,AP$1,0)*$H298,0))</f>
        <v>0</v>
      </c>
      <c r="AQ298" s="9">
        <f>SUM(IFERROR(VLOOKUP($C:$C,Structure!$A:$AJ,AQ$1,0)*$D298,0),IFERROR(VLOOKUP($E:$E,Structure!$A:$AJ,AQ$1,0)*$F298,0),IFERROR(VLOOKUP($G:$G,Structure!$A:$AJ,AQ$1,0)*$H298,0))</f>
        <v>0</v>
      </c>
      <c r="AR298" s="21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4">
        <f t="shared" si="267"/>
        <v>0</v>
      </c>
      <c r="CE298" s="4">
        <f t="shared" si="268"/>
        <v>-236</v>
      </c>
      <c r="CF298" s="4">
        <f t="shared" si="269"/>
        <v>4</v>
      </c>
      <c r="CG298" s="4">
        <f t="shared" si="270"/>
        <v>11</v>
      </c>
      <c r="CH298" s="4">
        <f t="shared" si="271"/>
        <v>-7</v>
      </c>
      <c r="CI298" s="4">
        <f t="shared" si="272"/>
        <v>93</v>
      </c>
      <c r="CJ298" s="4">
        <f t="shared" si="273"/>
        <v>-447</v>
      </c>
      <c r="CK298" s="4">
        <f t="shared" si="274"/>
        <v>-57</v>
      </c>
      <c r="CL298" s="4">
        <f t="shared" si="275"/>
        <v>0</v>
      </c>
      <c r="CM298" s="4">
        <f t="shared" si="276"/>
        <v>6</v>
      </c>
      <c r="CN298" s="4">
        <f t="shared" si="277"/>
        <v>-334</v>
      </c>
      <c r="CO298" s="4">
        <f t="shared" si="278"/>
        <v>0</v>
      </c>
      <c r="CP298" s="4">
        <f t="shared" si="279"/>
        <v>-21</v>
      </c>
      <c r="CQ298" s="4">
        <f t="shared" si="280"/>
        <v>-611</v>
      </c>
      <c r="CR298" s="4">
        <f t="shared" si="281"/>
        <v>12</v>
      </c>
      <c r="CS298" s="4">
        <f t="shared" si="282"/>
        <v>-58</v>
      </c>
      <c r="CT298" s="4">
        <f t="shared" si="283"/>
        <v>0</v>
      </c>
      <c r="CU298" s="4">
        <f t="shared" si="284"/>
        <v>0</v>
      </c>
      <c r="CV298" s="4">
        <f t="shared" si="285"/>
        <v>0</v>
      </c>
      <c r="CW298" s="4">
        <f t="shared" si="286"/>
        <v>0</v>
      </c>
      <c r="CX298" s="4">
        <f t="shared" si="287"/>
        <v>-892</v>
      </c>
      <c r="CY298" s="4">
        <f t="shared" si="288"/>
        <v>0</v>
      </c>
      <c r="CZ298" s="4">
        <f t="shared" si="289"/>
        <v>0</v>
      </c>
      <c r="DA298" s="4">
        <f t="shared" si="290"/>
        <v>0</v>
      </c>
      <c r="DB298" s="4">
        <f t="shared" si="291"/>
        <v>0</v>
      </c>
      <c r="DC298" s="4">
        <f t="shared" si="292"/>
        <v>0</v>
      </c>
      <c r="DD298" s="4">
        <f t="shared" si="293"/>
        <v>0</v>
      </c>
      <c r="DE298" s="4">
        <f t="shared" si="294"/>
        <v>0</v>
      </c>
      <c r="DF298" s="4">
        <f t="shared" si="295"/>
        <v>0</v>
      </c>
      <c r="DG298" s="4">
        <f t="shared" si="296"/>
        <v>0</v>
      </c>
      <c r="DH298" s="4">
        <f t="shared" si="297"/>
        <v>0</v>
      </c>
      <c r="DI298" s="4">
        <f t="shared" si="298"/>
        <v>0</v>
      </c>
      <c r="DJ298" s="4">
        <f t="shared" si="299"/>
        <v>0</v>
      </c>
      <c r="DK298" s="4">
        <f t="shared" si="300"/>
        <v>0</v>
      </c>
      <c r="DL298" s="4">
        <f t="shared" si="301"/>
        <v>0</v>
      </c>
    </row>
    <row r="299" spans="1:116" x14ac:dyDescent="0.25">
      <c r="A299" s="5">
        <v>46189</v>
      </c>
      <c r="B299" s="6">
        <v>0.47916666738456115</v>
      </c>
      <c r="C299" s="3"/>
      <c r="D299" s="3"/>
      <c r="E299" s="3" t="s">
        <v>30</v>
      </c>
      <c r="F299" s="3">
        <v>8</v>
      </c>
      <c r="G299" s="3"/>
      <c r="H299" s="9"/>
      <c r="I299" s="9">
        <f>SUM(IFERROR(VLOOKUP($C:$C,Structure!$A:$AJ,I$1,0)*$D299,0),IFERROR(VLOOKUP($E:$E,Structure!$A:$AJ,I$1,0)*$F299,0),IFERROR(VLOOKUP($G:$G,Structure!$A:$AJ,I$1,0)*$H299,0))</f>
        <v>0</v>
      </c>
      <c r="J299" s="9">
        <f>SUM(IFERROR(VLOOKUP($C:$C,Structure!$A:$AJ,J$1,0)*$D299,0),IFERROR(VLOOKUP($E:$E,Structure!$A:$AJ,J$1,0)*$F299,0),IFERROR(VLOOKUP($G:$G,Structure!$A:$AJ,J$1,0)*$H299,0))</f>
        <v>0</v>
      </c>
      <c r="K299" s="9">
        <f>SUM(IFERROR(VLOOKUP($C:$C,Structure!$A:$AJ,K$1,0)*$D299,0),IFERROR(VLOOKUP($E:$E,Structure!$A:$AJ,K$1,0)*$F299,0),IFERROR(VLOOKUP($G:$G,Structure!$A:$AJ,K$1,0)*$H299,0))</f>
        <v>0</v>
      </c>
      <c r="L299" s="9">
        <f>SUM(IFERROR(VLOOKUP($C:$C,Structure!$A:$AJ,L$1,0)*$D299,0),IFERROR(VLOOKUP($E:$E,Structure!$A:$AJ,L$1,0)*$F299,0),IFERROR(VLOOKUP($G:$G,Structure!$A:$AJ,L$1,0)*$H299,0))</f>
        <v>0</v>
      </c>
      <c r="M299" s="9">
        <f>SUM(IFERROR(VLOOKUP($C:$C,Structure!$A:$AJ,M$1,0)*$D299,0),IFERROR(VLOOKUP($E:$E,Structure!$A:$AJ,M$1,0)*$F299,0),IFERROR(VLOOKUP($G:$G,Structure!$A:$AJ,M$1,0)*$H299,0))</f>
        <v>0</v>
      </c>
      <c r="N299" s="9">
        <f>SUM(IFERROR(VLOOKUP($C:$C,Structure!$A:$AJ,N$1,0)*$D299,0),IFERROR(VLOOKUP($E:$E,Structure!$A:$AJ,N$1,0)*$F299,0),IFERROR(VLOOKUP($G:$G,Structure!$A:$AJ,N$1,0)*$H299,0))</f>
        <v>0</v>
      </c>
      <c r="O299" s="9">
        <f>SUM(IFERROR(VLOOKUP($C:$C,Structure!$A:$AJ,O$1,0)*$D299,0),IFERROR(VLOOKUP($E:$E,Structure!$A:$AJ,O$1,0)*$F299,0),IFERROR(VLOOKUP($G:$G,Structure!$A:$AJ,O$1,0)*$H299,0))</f>
        <v>0</v>
      </c>
      <c r="P299" s="9">
        <f>SUM(IFERROR(VLOOKUP($C:$C,Structure!$A:$AJ,P$1,0)*$D299,0),IFERROR(VLOOKUP($E:$E,Structure!$A:$AJ,P$1,0)*$F299,0),IFERROR(VLOOKUP($G:$G,Structure!$A:$AJ,P$1,0)*$H299,0))</f>
        <v>0</v>
      </c>
      <c r="Q299" s="9">
        <f>SUM(IFERROR(VLOOKUP($C:$C,Structure!$A:$AJ,Q$1,0)*$D299,0),IFERROR(VLOOKUP($E:$E,Structure!$A:$AJ,Q$1,0)*$F299,0),IFERROR(VLOOKUP($G:$G,Structure!$A:$AJ,Q$1,0)*$H299,0))</f>
        <v>0</v>
      </c>
      <c r="R299" s="9">
        <f>SUM(IFERROR(VLOOKUP($C:$C,Structure!$A:$AJ,R$1,0)*$D299,0),IFERROR(VLOOKUP($E:$E,Structure!$A:$AJ,R$1,0)*$F299,0),IFERROR(VLOOKUP($G:$G,Structure!$A:$AJ,R$1,0)*$H299,0))</f>
        <v>0</v>
      </c>
      <c r="S299" s="9">
        <f>SUM(IFERROR(VLOOKUP($C:$C,Structure!$A:$AJ,S$1,0)*$D299,0),IFERROR(VLOOKUP($E:$E,Structure!$A:$AJ,S$1,0)*$F299,0),IFERROR(VLOOKUP($G:$G,Structure!$A:$AJ,S$1,0)*$H299,0))</f>
        <v>0</v>
      </c>
      <c r="T299" s="9">
        <f>SUM(IFERROR(VLOOKUP($C:$C,Structure!$A:$AJ,T$1,0)*$D299,0),IFERROR(VLOOKUP($E:$E,Structure!$A:$AJ,T$1,0)*$F299,0),IFERROR(VLOOKUP($G:$G,Structure!$A:$AJ,T$1,0)*$H299,0))</f>
        <v>0</v>
      </c>
      <c r="U299" s="9">
        <f>SUM(IFERROR(VLOOKUP($C:$C,Structure!$A:$AJ,U$1,0)*$D299,0),IFERROR(VLOOKUP($E:$E,Structure!$A:$AJ,U$1,0)*$F299,0),IFERROR(VLOOKUP($G:$G,Structure!$A:$AJ,U$1,0)*$H299,0))</f>
        <v>0</v>
      </c>
      <c r="V299" s="9">
        <f>SUM(IFERROR(VLOOKUP($C:$C,Structure!$A:$AJ,V$1,0)*$D299,0),IFERROR(VLOOKUP($E:$E,Structure!$A:$AJ,V$1,0)*$F299,0),IFERROR(VLOOKUP($G:$G,Structure!$A:$AJ,V$1,0)*$H299,0))</f>
        <v>8</v>
      </c>
      <c r="W299" s="9">
        <f>SUM(IFERROR(VLOOKUP($C:$C,Structure!$A:$AJ,W$1,0)*$D299,0),IFERROR(VLOOKUP($E:$E,Structure!$A:$AJ,W$1,0)*$F299,0),IFERROR(VLOOKUP($G:$G,Structure!$A:$AJ,W$1,0)*$H299,0))</f>
        <v>0</v>
      </c>
      <c r="X299" s="9">
        <f>SUM(IFERROR(VLOOKUP($C:$C,Structure!$A:$AJ,X$1,0)*$D299,0),IFERROR(VLOOKUP($E:$E,Structure!$A:$AJ,X$1,0)*$F299,0),IFERROR(VLOOKUP($G:$G,Structure!$A:$AJ,X$1,0)*$H299,0))</f>
        <v>0</v>
      </c>
      <c r="Y299" s="9">
        <f>SUM(IFERROR(VLOOKUP($C:$C,Structure!$A:$AJ,Y$1,0)*$D299,0),IFERROR(VLOOKUP($E:$E,Structure!$A:$AJ,Y$1,0)*$F299,0),IFERROR(VLOOKUP($G:$G,Structure!$A:$AJ,Y$1,0)*$H299,0))</f>
        <v>0</v>
      </c>
      <c r="Z299" s="9">
        <f>SUM(IFERROR(VLOOKUP($C:$C,Structure!$A:$AJ,Z$1,0)*$D299,0),IFERROR(VLOOKUP($E:$E,Structure!$A:$AJ,Z$1,0)*$F299,0),IFERROR(VLOOKUP($G:$G,Structure!$A:$AJ,Z$1,0)*$H299,0))</f>
        <v>0</v>
      </c>
      <c r="AA299" s="9">
        <f>SUM(IFERROR(VLOOKUP($C:$C,Structure!$A:$AJ,AA$1,0)*$D299,0),IFERROR(VLOOKUP($E:$E,Structure!$A:$AJ,AA$1,0)*$F299,0),IFERROR(VLOOKUP($G:$G,Structure!$A:$AJ,AA$1,0)*$H299,0))</f>
        <v>0</v>
      </c>
      <c r="AB299" s="9">
        <f>SUM(IFERROR(VLOOKUP($C:$C,Structure!$A:$AJ,AB$1,0)*$D299,0),IFERROR(VLOOKUP($E:$E,Structure!$A:$AJ,AB$1,0)*$F299,0),IFERROR(VLOOKUP($G:$G,Structure!$A:$AJ,AB$1,0)*$H299,0))</f>
        <v>0</v>
      </c>
      <c r="AC299" s="9">
        <f>SUM(IFERROR(VLOOKUP($C:$C,Structure!$A:$AJ,AC$1,0)*$D299,0),IFERROR(VLOOKUP($E:$E,Structure!$A:$AJ,AC$1,0)*$F299,0),IFERROR(VLOOKUP($G:$G,Structure!$A:$AJ,AC$1,0)*$H299,0))</f>
        <v>8</v>
      </c>
      <c r="AD299" s="9">
        <f>SUM(IFERROR(VLOOKUP($C:$C,Structure!$A:$AJ,AD$1,0)*$D299,0),IFERROR(VLOOKUP($E:$E,Structure!$A:$AJ,AD$1,0)*$F299,0),IFERROR(VLOOKUP($G:$G,Structure!$A:$AJ,AD$1,0)*$H299,0))</f>
        <v>0</v>
      </c>
      <c r="AE299" s="9">
        <f>SUM(IFERROR(VLOOKUP($C:$C,Structure!$A:$AJ,AE$1,0)*$D299,0),IFERROR(VLOOKUP($E:$E,Structure!$A:$AJ,AE$1,0)*$F299,0),IFERROR(VLOOKUP($G:$G,Structure!$A:$AJ,AE$1,0)*$H299,0))</f>
        <v>0</v>
      </c>
      <c r="AF299" s="9">
        <f>SUM(IFERROR(VLOOKUP($C:$C,Structure!$A:$AJ,AF$1,0)*$D299,0),IFERROR(VLOOKUP($E:$E,Structure!$A:$AJ,AF$1,0)*$F299,0),IFERROR(VLOOKUP($G:$G,Structure!$A:$AJ,AF$1,0)*$H299,0))</f>
        <v>0</v>
      </c>
      <c r="AG299" s="9">
        <f>SUM(IFERROR(VLOOKUP($C:$C,Structure!$A:$AJ,AG$1,0)*$D299,0),IFERROR(VLOOKUP($E:$E,Structure!$A:$AJ,AG$1,0)*$F299,0),IFERROR(VLOOKUP($G:$G,Structure!$A:$AJ,AG$1,0)*$H299,0))</f>
        <v>0</v>
      </c>
      <c r="AH299" s="9">
        <f>SUM(IFERROR(VLOOKUP($C:$C,Structure!$A:$AJ,AH$1,0)*$D299,0),IFERROR(VLOOKUP($E:$E,Structure!$A:$AJ,AH$1,0)*$F299,0),IFERROR(VLOOKUP($G:$G,Structure!$A:$AJ,AH$1,0)*$H299,0))</f>
        <v>0</v>
      </c>
      <c r="AI299" s="9">
        <f>SUM(IFERROR(VLOOKUP($C:$C,Structure!$A:$AJ,AI$1,0)*$D299,0),IFERROR(VLOOKUP($E:$E,Structure!$A:$AJ,AI$1,0)*$F299,0),IFERROR(VLOOKUP($G:$G,Structure!$A:$AJ,AI$1,0)*$H299,0))</f>
        <v>0</v>
      </c>
      <c r="AJ299" s="9">
        <f>SUM(IFERROR(VLOOKUP($C:$C,Structure!$A:$AJ,AJ$1,0)*$D299,0),IFERROR(VLOOKUP($E:$E,Structure!$A:$AJ,AJ$1,0)*$F299,0),IFERROR(VLOOKUP($G:$G,Structure!$A:$AJ,AJ$1,0)*$H299,0))</f>
        <v>0</v>
      </c>
      <c r="AK299" s="9">
        <f>SUM(IFERROR(VLOOKUP($C:$C,Structure!$A:$AJ,AK$1,0)*$D299,0),IFERROR(VLOOKUP($E:$E,Structure!$A:$AJ,AK$1,0)*$F299,0),IFERROR(VLOOKUP($G:$G,Structure!$A:$AJ,AK$1,0)*$H299,0))</f>
        <v>0</v>
      </c>
      <c r="AL299" s="9">
        <f>SUM(IFERROR(VLOOKUP($C:$C,Structure!$A:$AJ,AL$1,0)*$D299,0),IFERROR(VLOOKUP($E:$E,Structure!$A:$AJ,AL$1,0)*$F299,0),IFERROR(VLOOKUP($G:$G,Structure!$A:$AJ,AL$1,0)*$H299,0))</f>
        <v>0</v>
      </c>
      <c r="AM299" s="9">
        <f>SUM(IFERROR(VLOOKUP($C:$C,Structure!$A:$AJ,AM$1,0)*$D299,0),IFERROR(VLOOKUP($E:$E,Structure!$A:$AJ,AM$1,0)*$F299,0),IFERROR(VLOOKUP($G:$G,Structure!$A:$AJ,AM$1,0)*$H299,0))</f>
        <v>0</v>
      </c>
      <c r="AN299" s="9">
        <f>SUM(IFERROR(VLOOKUP($C:$C,Structure!$A:$AJ,AN$1,0)*$D299,0),IFERROR(VLOOKUP($E:$E,Structure!$A:$AJ,AN$1,0)*$F299,0),IFERROR(VLOOKUP($G:$G,Structure!$A:$AJ,AN$1,0)*$H299,0))</f>
        <v>0</v>
      </c>
      <c r="AO299" s="9">
        <f>SUM(IFERROR(VLOOKUP($C:$C,Structure!$A:$AJ,AO$1,0)*$D299,0),IFERROR(VLOOKUP($E:$E,Structure!$A:$AJ,AO$1,0)*$F299,0),IFERROR(VLOOKUP($G:$G,Structure!$A:$AJ,AO$1,0)*$H299,0))</f>
        <v>0</v>
      </c>
      <c r="AP299" s="9">
        <f>SUM(IFERROR(VLOOKUP($C:$C,Structure!$A:$AJ,AP$1,0)*$D299,0),IFERROR(VLOOKUP($E:$E,Structure!$A:$AJ,AP$1,0)*$F299,0),IFERROR(VLOOKUP($G:$G,Structure!$A:$AJ,AP$1,0)*$H299,0))</f>
        <v>0</v>
      </c>
      <c r="AQ299" s="9">
        <f>SUM(IFERROR(VLOOKUP($C:$C,Structure!$A:$AJ,AQ$1,0)*$D299,0),IFERROR(VLOOKUP($E:$E,Structure!$A:$AJ,AQ$1,0)*$F299,0),IFERROR(VLOOKUP($G:$G,Structure!$A:$AJ,AQ$1,0)*$H299,0))</f>
        <v>0</v>
      </c>
      <c r="AR299" s="21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4">
        <f t="shared" si="267"/>
        <v>0</v>
      </c>
      <c r="CE299" s="4">
        <f t="shared" si="268"/>
        <v>-236</v>
      </c>
      <c r="CF299" s="4">
        <f t="shared" si="269"/>
        <v>4</v>
      </c>
      <c r="CG299" s="4">
        <f t="shared" si="270"/>
        <v>11</v>
      </c>
      <c r="CH299" s="4">
        <f t="shared" si="271"/>
        <v>-7</v>
      </c>
      <c r="CI299" s="4">
        <f t="shared" si="272"/>
        <v>93</v>
      </c>
      <c r="CJ299" s="4">
        <f t="shared" si="273"/>
        <v>-447</v>
      </c>
      <c r="CK299" s="4">
        <f t="shared" si="274"/>
        <v>-57</v>
      </c>
      <c r="CL299" s="4">
        <f t="shared" si="275"/>
        <v>0</v>
      </c>
      <c r="CM299" s="4">
        <f t="shared" si="276"/>
        <v>6</v>
      </c>
      <c r="CN299" s="4">
        <f t="shared" si="277"/>
        <v>-334</v>
      </c>
      <c r="CO299" s="4">
        <f t="shared" si="278"/>
        <v>0</v>
      </c>
      <c r="CP299" s="4">
        <f t="shared" si="279"/>
        <v>-21</v>
      </c>
      <c r="CQ299" s="4">
        <f t="shared" si="280"/>
        <v>-619</v>
      </c>
      <c r="CR299" s="4">
        <f t="shared" si="281"/>
        <v>12</v>
      </c>
      <c r="CS299" s="4">
        <f t="shared" si="282"/>
        <v>-58</v>
      </c>
      <c r="CT299" s="4">
        <f t="shared" si="283"/>
        <v>0</v>
      </c>
      <c r="CU299" s="4">
        <f t="shared" si="284"/>
        <v>0</v>
      </c>
      <c r="CV299" s="4">
        <f t="shared" si="285"/>
        <v>0</v>
      </c>
      <c r="CW299" s="4">
        <f t="shared" si="286"/>
        <v>0</v>
      </c>
      <c r="CX299" s="4">
        <f t="shared" si="287"/>
        <v>-900</v>
      </c>
      <c r="CY299" s="4">
        <f t="shared" si="288"/>
        <v>0</v>
      </c>
      <c r="CZ299" s="4">
        <f t="shared" si="289"/>
        <v>0</v>
      </c>
      <c r="DA299" s="4">
        <f t="shared" si="290"/>
        <v>0</v>
      </c>
      <c r="DB299" s="4">
        <f t="shared" si="291"/>
        <v>0</v>
      </c>
      <c r="DC299" s="4">
        <f t="shared" si="292"/>
        <v>0</v>
      </c>
      <c r="DD299" s="4">
        <f t="shared" si="293"/>
        <v>0</v>
      </c>
      <c r="DE299" s="4">
        <f t="shared" si="294"/>
        <v>0</v>
      </c>
      <c r="DF299" s="4">
        <f t="shared" si="295"/>
        <v>0</v>
      </c>
      <c r="DG299" s="4">
        <f t="shared" si="296"/>
        <v>0</v>
      </c>
      <c r="DH299" s="4">
        <f t="shared" si="297"/>
        <v>0</v>
      </c>
      <c r="DI299" s="4">
        <f t="shared" si="298"/>
        <v>0</v>
      </c>
      <c r="DJ299" s="4">
        <f t="shared" si="299"/>
        <v>0</v>
      </c>
      <c r="DK299" s="4">
        <f t="shared" si="300"/>
        <v>0</v>
      </c>
      <c r="DL299" s="4">
        <f t="shared" si="301"/>
        <v>0</v>
      </c>
    </row>
    <row r="300" spans="1:116" x14ac:dyDescent="0.25">
      <c r="A300" s="5">
        <v>46189</v>
      </c>
      <c r="B300" s="6">
        <v>0.5000000007203198</v>
      </c>
      <c r="C300" s="3"/>
      <c r="D300" s="3"/>
      <c r="E300" s="3" t="s">
        <v>30</v>
      </c>
      <c r="F300" s="3">
        <v>8</v>
      </c>
      <c r="G300" s="3"/>
      <c r="H300" s="9"/>
      <c r="I300" s="9">
        <f>SUM(IFERROR(VLOOKUP($C:$C,Structure!$A:$AJ,I$1,0)*$D300,0),IFERROR(VLOOKUP($E:$E,Structure!$A:$AJ,I$1,0)*$F300,0),IFERROR(VLOOKUP($G:$G,Structure!$A:$AJ,I$1,0)*$H300,0))</f>
        <v>0</v>
      </c>
      <c r="J300" s="9">
        <f>SUM(IFERROR(VLOOKUP($C:$C,Structure!$A:$AJ,J$1,0)*$D300,0),IFERROR(VLOOKUP($E:$E,Structure!$A:$AJ,J$1,0)*$F300,0),IFERROR(VLOOKUP($G:$G,Structure!$A:$AJ,J$1,0)*$H300,0))</f>
        <v>0</v>
      </c>
      <c r="K300" s="9">
        <f>SUM(IFERROR(VLOOKUP($C:$C,Structure!$A:$AJ,K$1,0)*$D300,0),IFERROR(VLOOKUP($E:$E,Structure!$A:$AJ,K$1,0)*$F300,0),IFERROR(VLOOKUP($G:$G,Structure!$A:$AJ,K$1,0)*$H300,0))</f>
        <v>0</v>
      </c>
      <c r="L300" s="9">
        <f>SUM(IFERROR(VLOOKUP($C:$C,Structure!$A:$AJ,L$1,0)*$D300,0),IFERROR(VLOOKUP($E:$E,Structure!$A:$AJ,L$1,0)*$F300,0),IFERROR(VLOOKUP($G:$G,Structure!$A:$AJ,L$1,0)*$H300,0))</f>
        <v>0</v>
      </c>
      <c r="M300" s="9">
        <f>SUM(IFERROR(VLOOKUP($C:$C,Structure!$A:$AJ,M$1,0)*$D300,0),IFERROR(VLOOKUP($E:$E,Structure!$A:$AJ,M$1,0)*$F300,0),IFERROR(VLOOKUP($G:$G,Structure!$A:$AJ,M$1,0)*$H300,0))</f>
        <v>0</v>
      </c>
      <c r="N300" s="9">
        <f>SUM(IFERROR(VLOOKUP($C:$C,Structure!$A:$AJ,N$1,0)*$D300,0),IFERROR(VLOOKUP($E:$E,Structure!$A:$AJ,N$1,0)*$F300,0),IFERROR(VLOOKUP($G:$G,Structure!$A:$AJ,N$1,0)*$H300,0))</f>
        <v>0</v>
      </c>
      <c r="O300" s="9">
        <f>SUM(IFERROR(VLOOKUP($C:$C,Structure!$A:$AJ,O$1,0)*$D300,0),IFERROR(VLOOKUP($E:$E,Structure!$A:$AJ,O$1,0)*$F300,0),IFERROR(VLOOKUP($G:$G,Structure!$A:$AJ,O$1,0)*$H300,0))</f>
        <v>0</v>
      </c>
      <c r="P300" s="9">
        <f>SUM(IFERROR(VLOOKUP($C:$C,Structure!$A:$AJ,P$1,0)*$D300,0),IFERROR(VLOOKUP($E:$E,Structure!$A:$AJ,P$1,0)*$F300,0),IFERROR(VLOOKUP($G:$G,Structure!$A:$AJ,P$1,0)*$H300,0))</f>
        <v>0</v>
      </c>
      <c r="Q300" s="9">
        <f>SUM(IFERROR(VLOOKUP($C:$C,Structure!$A:$AJ,Q$1,0)*$D300,0),IFERROR(VLOOKUP($E:$E,Structure!$A:$AJ,Q$1,0)*$F300,0),IFERROR(VLOOKUP($G:$G,Structure!$A:$AJ,Q$1,0)*$H300,0))</f>
        <v>0</v>
      </c>
      <c r="R300" s="9">
        <f>SUM(IFERROR(VLOOKUP($C:$C,Structure!$A:$AJ,R$1,0)*$D300,0),IFERROR(VLOOKUP($E:$E,Structure!$A:$AJ,R$1,0)*$F300,0),IFERROR(VLOOKUP($G:$G,Structure!$A:$AJ,R$1,0)*$H300,0))</f>
        <v>0</v>
      </c>
      <c r="S300" s="9">
        <f>SUM(IFERROR(VLOOKUP($C:$C,Structure!$A:$AJ,S$1,0)*$D300,0),IFERROR(VLOOKUP($E:$E,Structure!$A:$AJ,S$1,0)*$F300,0),IFERROR(VLOOKUP($G:$G,Structure!$A:$AJ,S$1,0)*$H300,0))</f>
        <v>0</v>
      </c>
      <c r="T300" s="9">
        <f>SUM(IFERROR(VLOOKUP($C:$C,Structure!$A:$AJ,T$1,0)*$D300,0),IFERROR(VLOOKUP($E:$E,Structure!$A:$AJ,T$1,0)*$F300,0),IFERROR(VLOOKUP($G:$G,Structure!$A:$AJ,T$1,0)*$H300,0))</f>
        <v>0</v>
      </c>
      <c r="U300" s="9">
        <f>SUM(IFERROR(VLOOKUP($C:$C,Structure!$A:$AJ,U$1,0)*$D300,0),IFERROR(VLOOKUP($E:$E,Structure!$A:$AJ,U$1,0)*$F300,0),IFERROR(VLOOKUP($G:$G,Structure!$A:$AJ,U$1,0)*$H300,0))</f>
        <v>0</v>
      </c>
      <c r="V300" s="9">
        <f>SUM(IFERROR(VLOOKUP($C:$C,Structure!$A:$AJ,V$1,0)*$D300,0),IFERROR(VLOOKUP($E:$E,Structure!$A:$AJ,V$1,0)*$F300,0),IFERROR(VLOOKUP($G:$G,Structure!$A:$AJ,V$1,0)*$H300,0))</f>
        <v>8</v>
      </c>
      <c r="W300" s="9">
        <f>SUM(IFERROR(VLOOKUP($C:$C,Structure!$A:$AJ,W$1,0)*$D300,0),IFERROR(VLOOKUP($E:$E,Structure!$A:$AJ,W$1,0)*$F300,0),IFERROR(VLOOKUP($G:$G,Structure!$A:$AJ,W$1,0)*$H300,0))</f>
        <v>0</v>
      </c>
      <c r="X300" s="9">
        <f>SUM(IFERROR(VLOOKUP($C:$C,Structure!$A:$AJ,X$1,0)*$D300,0),IFERROR(VLOOKUP($E:$E,Structure!$A:$AJ,X$1,0)*$F300,0),IFERROR(VLOOKUP($G:$G,Structure!$A:$AJ,X$1,0)*$H300,0))</f>
        <v>0</v>
      </c>
      <c r="Y300" s="9">
        <f>SUM(IFERROR(VLOOKUP($C:$C,Structure!$A:$AJ,Y$1,0)*$D300,0),IFERROR(VLOOKUP($E:$E,Structure!$A:$AJ,Y$1,0)*$F300,0),IFERROR(VLOOKUP($G:$G,Structure!$A:$AJ,Y$1,0)*$H300,0))</f>
        <v>0</v>
      </c>
      <c r="Z300" s="9">
        <f>SUM(IFERROR(VLOOKUP($C:$C,Structure!$A:$AJ,Z$1,0)*$D300,0),IFERROR(VLOOKUP($E:$E,Structure!$A:$AJ,Z$1,0)*$F300,0),IFERROR(VLOOKUP($G:$G,Structure!$A:$AJ,Z$1,0)*$H300,0))</f>
        <v>0</v>
      </c>
      <c r="AA300" s="9">
        <f>SUM(IFERROR(VLOOKUP($C:$C,Structure!$A:$AJ,AA$1,0)*$D300,0),IFERROR(VLOOKUP($E:$E,Structure!$A:$AJ,AA$1,0)*$F300,0),IFERROR(VLOOKUP($G:$G,Structure!$A:$AJ,AA$1,0)*$H300,0))</f>
        <v>0</v>
      </c>
      <c r="AB300" s="9">
        <f>SUM(IFERROR(VLOOKUP($C:$C,Structure!$A:$AJ,AB$1,0)*$D300,0),IFERROR(VLOOKUP($E:$E,Structure!$A:$AJ,AB$1,0)*$F300,0),IFERROR(VLOOKUP($G:$G,Structure!$A:$AJ,AB$1,0)*$H300,0))</f>
        <v>0</v>
      </c>
      <c r="AC300" s="9">
        <f>SUM(IFERROR(VLOOKUP($C:$C,Structure!$A:$AJ,AC$1,0)*$D300,0),IFERROR(VLOOKUP($E:$E,Structure!$A:$AJ,AC$1,0)*$F300,0),IFERROR(VLOOKUP($G:$G,Structure!$A:$AJ,AC$1,0)*$H300,0))</f>
        <v>8</v>
      </c>
      <c r="AD300" s="9">
        <f>SUM(IFERROR(VLOOKUP($C:$C,Structure!$A:$AJ,AD$1,0)*$D300,0),IFERROR(VLOOKUP($E:$E,Structure!$A:$AJ,AD$1,0)*$F300,0),IFERROR(VLOOKUP($G:$G,Structure!$A:$AJ,AD$1,0)*$H300,0))</f>
        <v>0</v>
      </c>
      <c r="AE300" s="9">
        <f>SUM(IFERROR(VLOOKUP($C:$C,Structure!$A:$AJ,AE$1,0)*$D300,0),IFERROR(VLOOKUP($E:$E,Structure!$A:$AJ,AE$1,0)*$F300,0),IFERROR(VLOOKUP($G:$G,Structure!$A:$AJ,AE$1,0)*$H300,0))</f>
        <v>0</v>
      </c>
      <c r="AF300" s="9">
        <f>SUM(IFERROR(VLOOKUP($C:$C,Structure!$A:$AJ,AF$1,0)*$D300,0),IFERROR(VLOOKUP($E:$E,Structure!$A:$AJ,AF$1,0)*$F300,0),IFERROR(VLOOKUP($G:$G,Structure!$A:$AJ,AF$1,0)*$H300,0))</f>
        <v>0</v>
      </c>
      <c r="AG300" s="9">
        <f>SUM(IFERROR(VLOOKUP($C:$C,Structure!$A:$AJ,AG$1,0)*$D300,0),IFERROR(VLOOKUP($E:$E,Structure!$A:$AJ,AG$1,0)*$F300,0),IFERROR(VLOOKUP($G:$G,Structure!$A:$AJ,AG$1,0)*$H300,0))</f>
        <v>0</v>
      </c>
      <c r="AH300" s="9">
        <f>SUM(IFERROR(VLOOKUP($C:$C,Structure!$A:$AJ,AH$1,0)*$D300,0),IFERROR(VLOOKUP($E:$E,Structure!$A:$AJ,AH$1,0)*$F300,0),IFERROR(VLOOKUP($G:$G,Structure!$A:$AJ,AH$1,0)*$H300,0))</f>
        <v>0</v>
      </c>
      <c r="AI300" s="9">
        <f>SUM(IFERROR(VLOOKUP($C:$C,Structure!$A:$AJ,AI$1,0)*$D300,0),IFERROR(VLOOKUP($E:$E,Structure!$A:$AJ,AI$1,0)*$F300,0),IFERROR(VLOOKUP($G:$G,Structure!$A:$AJ,AI$1,0)*$H300,0))</f>
        <v>0</v>
      </c>
      <c r="AJ300" s="9">
        <f>SUM(IFERROR(VLOOKUP($C:$C,Structure!$A:$AJ,AJ$1,0)*$D300,0),IFERROR(VLOOKUP($E:$E,Structure!$A:$AJ,AJ$1,0)*$F300,0),IFERROR(VLOOKUP($G:$G,Structure!$A:$AJ,AJ$1,0)*$H300,0))</f>
        <v>0</v>
      </c>
      <c r="AK300" s="9">
        <f>SUM(IFERROR(VLOOKUP($C:$C,Structure!$A:$AJ,AK$1,0)*$D300,0),IFERROR(VLOOKUP($E:$E,Structure!$A:$AJ,AK$1,0)*$F300,0),IFERROR(VLOOKUP($G:$G,Structure!$A:$AJ,AK$1,0)*$H300,0))</f>
        <v>0</v>
      </c>
      <c r="AL300" s="9">
        <f>SUM(IFERROR(VLOOKUP($C:$C,Structure!$A:$AJ,AL$1,0)*$D300,0),IFERROR(VLOOKUP($E:$E,Structure!$A:$AJ,AL$1,0)*$F300,0),IFERROR(VLOOKUP($G:$G,Structure!$A:$AJ,AL$1,0)*$H300,0))</f>
        <v>0</v>
      </c>
      <c r="AM300" s="9">
        <f>SUM(IFERROR(VLOOKUP($C:$C,Structure!$A:$AJ,AM$1,0)*$D300,0),IFERROR(VLOOKUP($E:$E,Structure!$A:$AJ,AM$1,0)*$F300,0),IFERROR(VLOOKUP($G:$G,Structure!$A:$AJ,AM$1,0)*$H300,0))</f>
        <v>0</v>
      </c>
      <c r="AN300" s="9">
        <f>SUM(IFERROR(VLOOKUP($C:$C,Structure!$A:$AJ,AN$1,0)*$D300,0),IFERROR(VLOOKUP($E:$E,Structure!$A:$AJ,AN$1,0)*$F300,0),IFERROR(VLOOKUP($G:$G,Structure!$A:$AJ,AN$1,0)*$H300,0))</f>
        <v>0</v>
      </c>
      <c r="AO300" s="9">
        <f>SUM(IFERROR(VLOOKUP($C:$C,Structure!$A:$AJ,AO$1,0)*$D300,0),IFERROR(VLOOKUP($E:$E,Structure!$A:$AJ,AO$1,0)*$F300,0),IFERROR(VLOOKUP($G:$G,Structure!$A:$AJ,AO$1,0)*$H300,0))</f>
        <v>0</v>
      </c>
      <c r="AP300" s="9">
        <f>SUM(IFERROR(VLOOKUP($C:$C,Structure!$A:$AJ,AP$1,0)*$D300,0),IFERROR(VLOOKUP($E:$E,Structure!$A:$AJ,AP$1,0)*$F300,0),IFERROR(VLOOKUP($G:$G,Structure!$A:$AJ,AP$1,0)*$H300,0))</f>
        <v>0</v>
      </c>
      <c r="AQ300" s="9">
        <f>SUM(IFERROR(VLOOKUP($C:$C,Structure!$A:$AJ,AQ$1,0)*$D300,0),IFERROR(VLOOKUP($E:$E,Structure!$A:$AJ,AQ$1,0)*$F300,0),IFERROR(VLOOKUP($G:$G,Structure!$A:$AJ,AQ$1,0)*$H300,0))</f>
        <v>0</v>
      </c>
      <c r="AR300" s="21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4">
        <f t="shared" si="267"/>
        <v>0</v>
      </c>
      <c r="CE300" s="4">
        <f t="shared" si="268"/>
        <v>-236</v>
      </c>
      <c r="CF300" s="4">
        <f t="shared" si="269"/>
        <v>4</v>
      </c>
      <c r="CG300" s="4">
        <f t="shared" si="270"/>
        <v>11</v>
      </c>
      <c r="CH300" s="4">
        <f t="shared" si="271"/>
        <v>-7</v>
      </c>
      <c r="CI300" s="4">
        <f t="shared" si="272"/>
        <v>93</v>
      </c>
      <c r="CJ300" s="4">
        <f t="shared" si="273"/>
        <v>-447</v>
      </c>
      <c r="CK300" s="4">
        <f t="shared" si="274"/>
        <v>-57</v>
      </c>
      <c r="CL300" s="4">
        <f t="shared" si="275"/>
        <v>0</v>
      </c>
      <c r="CM300" s="4">
        <f t="shared" si="276"/>
        <v>6</v>
      </c>
      <c r="CN300" s="4">
        <f t="shared" si="277"/>
        <v>-334</v>
      </c>
      <c r="CO300" s="4">
        <f t="shared" si="278"/>
        <v>0</v>
      </c>
      <c r="CP300" s="4">
        <f t="shared" si="279"/>
        <v>-21</v>
      </c>
      <c r="CQ300" s="4">
        <f t="shared" si="280"/>
        <v>-627</v>
      </c>
      <c r="CR300" s="4">
        <f t="shared" si="281"/>
        <v>12</v>
      </c>
      <c r="CS300" s="4">
        <f t="shared" si="282"/>
        <v>-58</v>
      </c>
      <c r="CT300" s="4">
        <f t="shared" si="283"/>
        <v>0</v>
      </c>
      <c r="CU300" s="4">
        <f t="shared" si="284"/>
        <v>0</v>
      </c>
      <c r="CV300" s="4">
        <f t="shared" si="285"/>
        <v>0</v>
      </c>
      <c r="CW300" s="4">
        <f t="shared" si="286"/>
        <v>0</v>
      </c>
      <c r="CX300" s="4">
        <f t="shared" si="287"/>
        <v>-908</v>
      </c>
      <c r="CY300" s="4">
        <f t="shared" si="288"/>
        <v>0</v>
      </c>
      <c r="CZ300" s="4">
        <f t="shared" si="289"/>
        <v>0</v>
      </c>
      <c r="DA300" s="4">
        <f t="shared" si="290"/>
        <v>0</v>
      </c>
      <c r="DB300" s="4">
        <f t="shared" si="291"/>
        <v>0</v>
      </c>
      <c r="DC300" s="4">
        <f t="shared" si="292"/>
        <v>0</v>
      </c>
      <c r="DD300" s="4">
        <f t="shared" si="293"/>
        <v>0</v>
      </c>
      <c r="DE300" s="4">
        <f t="shared" si="294"/>
        <v>0</v>
      </c>
      <c r="DF300" s="4">
        <f t="shared" si="295"/>
        <v>0</v>
      </c>
      <c r="DG300" s="4">
        <f t="shared" si="296"/>
        <v>0</v>
      </c>
      <c r="DH300" s="4">
        <f t="shared" si="297"/>
        <v>0</v>
      </c>
      <c r="DI300" s="4">
        <f t="shared" si="298"/>
        <v>0</v>
      </c>
      <c r="DJ300" s="4">
        <f t="shared" si="299"/>
        <v>0</v>
      </c>
      <c r="DK300" s="4">
        <f t="shared" si="300"/>
        <v>0</v>
      </c>
      <c r="DL300" s="4">
        <f t="shared" si="301"/>
        <v>0</v>
      </c>
    </row>
    <row r="301" spans="1:116" x14ac:dyDescent="0.25">
      <c r="A301" s="5">
        <v>46189</v>
      </c>
      <c r="B301" s="6">
        <v>0.52083333405607846</v>
      </c>
      <c r="C301" s="3"/>
      <c r="D301" s="3"/>
      <c r="E301" s="3" t="s">
        <v>30</v>
      </c>
      <c r="F301" s="3">
        <v>8</v>
      </c>
      <c r="G301" s="3"/>
      <c r="H301" s="9"/>
      <c r="I301" s="9">
        <f>SUM(IFERROR(VLOOKUP($C:$C,Structure!$A:$AJ,I$1,0)*$D301,0),IFERROR(VLOOKUP($E:$E,Structure!$A:$AJ,I$1,0)*$F301,0),IFERROR(VLOOKUP($G:$G,Structure!$A:$AJ,I$1,0)*$H301,0))</f>
        <v>0</v>
      </c>
      <c r="J301" s="9">
        <f>SUM(IFERROR(VLOOKUP($C:$C,Structure!$A:$AJ,J$1,0)*$D301,0),IFERROR(VLOOKUP($E:$E,Structure!$A:$AJ,J$1,0)*$F301,0),IFERROR(VLOOKUP($G:$G,Structure!$A:$AJ,J$1,0)*$H301,0))</f>
        <v>0</v>
      </c>
      <c r="K301" s="9">
        <f>SUM(IFERROR(VLOOKUP($C:$C,Structure!$A:$AJ,K$1,0)*$D301,0),IFERROR(VLOOKUP($E:$E,Structure!$A:$AJ,K$1,0)*$F301,0),IFERROR(VLOOKUP($G:$G,Structure!$A:$AJ,K$1,0)*$H301,0))</f>
        <v>0</v>
      </c>
      <c r="L301" s="9">
        <f>SUM(IFERROR(VLOOKUP($C:$C,Structure!$A:$AJ,L$1,0)*$D301,0),IFERROR(VLOOKUP($E:$E,Structure!$A:$AJ,L$1,0)*$F301,0),IFERROR(VLOOKUP($G:$G,Structure!$A:$AJ,L$1,0)*$H301,0))</f>
        <v>0</v>
      </c>
      <c r="M301" s="9">
        <f>SUM(IFERROR(VLOOKUP($C:$C,Structure!$A:$AJ,M$1,0)*$D301,0),IFERROR(VLOOKUP($E:$E,Structure!$A:$AJ,M$1,0)*$F301,0),IFERROR(VLOOKUP($G:$G,Structure!$A:$AJ,M$1,0)*$H301,0))</f>
        <v>0</v>
      </c>
      <c r="N301" s="9">
        <f>SUM(IFERROR(VLOOKUP($C:$C,Structure!$A:$AJ,N$1,0)*$D301,0),IFERROR(VLOOKUP($E:$E,Structure!$A:$AJ,N$1,0)*$F301,0),IFERROR(VLOOKUP($G:$G,Structure!$A:$AJ,N$1,0)*$H301,0))</f>
        <v>0</v>
      </c>
      <c r="O301" s="9">
        <f>SUM(IFERROR(VLOOKUP($C:$C,Structure!$A:$AJ,O$1,0)*$D301,0),IFERROR(VLOOKUP($E:$E,Structure!$A:$AJ,O$1,0)*$F301,0),IFERROR(VLOOKUP($G:$G,Structure!$A:$AJ,O$1,0)*$H301,0))</f>
        <v>0</v>
      </c>
      <c r="P301" s="9">
        <f>SUM(IFERROR(VLOOKUP($C:$C,Structure!$A:$AJ,P$1,0)*$D301,0),IFERROR(VLOOKUP($E:$E,Structure!$A:$AJ,P$1,0)*$F301,0),IFERROR(VLOOKUP($G:$G,Structure!$A:$AJ,P$1,0)*$H301,0))</f>
        <v>0</v>
      </c>
      <c r="Q301" s="9">
        <f>SUM(IFERROR(VLOOKUP($C:$C,Structure!$A:$AJ,Q$1,0)*$D301,0),IFERROR(VLOOKUP($E:$E,Structure!$A:$AJ,Q$1,0)*$F301,0),IFERROR(VLOOKUP($G:$G,Structure!$A:$AJ,Q$1,0)*$H301,0))</f>
        <v>0</v>
      </c>
      <c r="R301" s="9">
        <f>SUM(IFERROR(VLOOKUP($C:$C,Structure!$A:$AJ,R$1,0)*$D301,0),IFERROR(VLOOKUP($E:$E,Structure!$A:$AJ,R$1,0)*$F301,0),IFERROR(VLOOKUP($G:$G,Structure!$A:$AJ,R$1,0)*$H301,0))</f>
        <v>0</v>
      </c>
      <c r="S301" s="9">
        <f>SUM(IFERROR(VLOOKUP($C:$C,Structure!$A:$AJ,S$1,0)*$D301,0),IFERROR(VLOOKUP($E:$E,Structure!$A:$AJ,S$1,0)*$F301,0),IFERROR(VLOOKUP($G:$G,Structure!$A:$AJ,S$1,0)*$H301,0))</f>
        <v>0</v>
      </c>
      <c r="T301" s="9">
        <f>SUM(IFERROR(VLOOKUP($C:$C,Structure!$A:$AJ,T$1,0)*$D301,0),IFERROR(VLOOKUP($E:$E,Structure!$A:$AJ,T$1,0)*$F301,0),IFERROR(VLOOKUP($G:$G,Structure!$A:$AJ,T$1,0)*$H301,0))</f>
        <v>0</v>
      </c>
      <c r="U301" s="9">
        <f>SUM(IFERROR(VLOOKUP($C:$C,Structure!$A:$AJ,U$1,0)*$D301,0),IFERROR(VLOOKUP($E:$E,Structure!$A:$AJ,U$1,0)*$F301,0),IFERROR(VLOOKUP($G:$G,Structure!$A:$AJ,U$1,0)*$H301,0))</f>
        <v>0</v>
      </c>
      <c r="V301" s="9">
        <f>SUM(IFERROR(VLOOKUP($C:$C,Structure!$A:$AJ,V$1,0)*$D301,0),IFERROR(VLOOKUP($E:$E,Structure!$A:$AJ,V$1,0)*$F301,0),IFERROR(VLOOKUP($G:$G,Structure!$A:$AJ,V$1,0)*$H301,0))</f>
        <v>8</v>
      </c>
      <c r="W301" s="9">
        <f>SUM(IFERROR(VLOOKUP($C:$C,Structure!$A:$AJ,W$1,0)*$D301,0),IFERROR(VLOOKUP($E:$E,Structure!$A:$AJ,W$1,0)*$F301,0),IFERROR(VLOOKUP($G:$G,Structure!$A:$AJ,W$1,0)*$H301,0))</f>
        <v>0</v>
      </c>
      <c r="X301" s="9">
        <f>SUM(IFERROR(VLOOKUP($C:$C,Structure!$A:$AJ,X$1,0)*$D301,0),IFERROR(VLOOKUP($E:$E,Structure!$A:$AJ,X$1,0)*$F301,0),IFERROR(VLOOKUP($G:$G,Structure!$A:$AJ,X$1,0)*$H301,0))</f>
        <v>0</v>
      </c>
      <c r="Y301" s="9">
        <f>SUM(IFERROR(VLOOKUP($C:$C,Structure!$A:$AJ,Y$1,0)*$D301,0),IFERROR(VLOOKUP($E:$E,Structure!$A:$AJ,Y$1,0)*$F301,0),IFERROR(VLOOKUP($G:$G,Structure!$A:$AJ,Y$1,0)*$H301,0))</f>
        <v>0</v>
      </c>
      <c r="Z301" s="9">
        <f>SUM(IFERROR(VLOOKUP($C:$C,Structure!$A:$AJ,Z$1,0)*$D301,0),IFERROR(VLOOKUP($E:$E,Structure!$A:$AJ,Z$1,0)*$F301,0),IFERROR(VLOOKUP($G:$G,Structure!$A:$AJ,Z$1,0)*$H301,0))</f>
        <v>0</v>
      </c>
      <c r="AA301" s="9">
        <f>SUM(IFERROR(VLOOKUP($C:$C,Structure!$A:$AJ,AA$1,0)*$D301,0),IFERROR(VLOOKUP($E:$E,Structure!$A:$AJ,AA$1,0)*$F301,0),IFERROR(VLOOKUP($G:$G,Structure!$A:$AJ,AA$1,0)*$H301,0))</f>
        <v>0</v>
      </c>
      <c r="AB301" s="9">
        <f>SUM(IFERROR(VLOOKUP($C:$C,Structure!$A:$AJ,AB$1,0)*$D301,0),IFERROR(VLOOKUP($E:$E,Structure!$A:$AJ,AB$1,0)*$F301,0),IFERROR(VLOOKUP($G:$G,Structure!$A:$AJ,AB$1,0)*$H301,0))</f>
        <v>0</v>
      </c>
      <c r="AC301" s="9">
        <f>SUM(IFERROR(VLOOKUP($C:$C,Structure!$A:$AJ,AC$1,0)*$D301,0),IFERROR(VLOOKUP($E:$E,Structure!$A:$AJ,AC$1,0)*$F301,0),IFERROR(VLOOKUP($G:$G,Structure!$A:$AJ,AC$1,0)*$H301,0))</f>
        <v>8</v>
      </c>
      <c r="AD301" s="9">
        <f>SUM(IFERROR(VLOOKUP($C:$C,Structure!$A:$AJ,AD$1,0)*$D301,0),IFERROR(VLOOKUP($E:$E,Structure!$A:$AJ,AD$1,0)*$F301,0),IFERROR(VLOOKUP($G:$G,Structure!$A:$AJ,AD$1,0)*$H301,0))</f>
        <v>0</v>
      </c>
      <c r="AE301" s="9">
        <f>SUM(IFERROR(VLOOKUP($C:$C,Structure!$A:$AJ,AE$1,0)*$D301,0),IFERROR(VLOOKUP($E:$E,Structure!$A:$AJ,AE$1,0)*$F301,0),IFERROR(VLOOKUP($G:$G,Structure!$A:$AJ,AE$1,0)*$H301,0))</f>
        <v>0</v>
      </c>
      <c r="AF301" s="9">
        <f>SUM(IFERROR(VLOOKUP($C:$C,Structure!$A:$AJ,AF$1,0)*$D301,0),IFERROR(VLOOKUP($E:$E,Structure!$A:$AJ,AF$1,0)*$F301,0),IFERROR(VLOOKUP($G:$G,Structure!$A:$AJ,AF$1,0)*$H301,0))</f>
        <v>0</v>
      </c>
      <c r="AG301" s="9">
        <f>SUM(IFERROR(VLOOKUP($C:$C,Structure!$A:$AJ,AG$1,0)*$D301,0),IFERROR(VLOOKUP($E:$E,Structure!$A:$AJ,AG$1,0)*$F301,0),IFERROR(VLOOKUP($G:$G,Structure!$A:$AJ,AG$1,0)*$H301,0))</f>
        <v>0</v>
      </c>
      <c r="AH301" s="9">
        <f>SUM(IFERROR(VLOOKUP($C:$C,Structure!$A:$AJ,AH$1,0)*$D301,0),IFERROR(VLOOKUP($E:$E,Structure!$A:$AJ,AH$1,0)*$F301,0),IFERROR(VLOOKUP($G:$G,Structure!$A:$AJ,AH$1,0)*$H301,0))</f>
        <v>0</v>
      </c>
      <c r="AI301" s="9">
        <f>SUM(IFERROR(VLOOKUP($C:$C,Structure!$A:$AJ,AI$1,0)*$D301,0),IFERROR(VLOOKUP($E:$E,Structure!$A:$AJ,AI$1,0)*$F301,0),IFERROR(VLOOKUP($G:$G,Structure!$A:$AJ,AI$1,0)*$H301,0))</f>
        <v>0</v>
      </c>
      <c r="AJ301" s="9">
        <f>SUM(IFERROR(VLOOKUP($C:$C,Structure!$A:$AJ,AJ$1,0)*$D301,0),IFERROR(VLOOKUP($E:$E,Structure!$A:$AJ,AJ$1,0)*$F301,0),IFERROR(VLOOKUP($G:$G,Structure!$A:$AJ,AJ$1,0)*$H301,0))</f>
        <v>0</v>
      </c>
      <c r="AK301" s="9">
        <f>SUM(IFERROR(VLOOKUP($C:$C,Structure!$A:$AJ,AK$1,0)*$D301,0),IFERROR(VLOOKUP($E:$E,Structure!$A:$AJ,AK$1,0)*$F301,0),IFERROR(VLOOKUP($G:$G,Structure!$A:$AJ,AK$1,0)*$H301,0))</f>
        <v>0</v>
      </c>
      <c r="AL301" s="9">
        <f>SUM(IFERROR(VLOOKUP($C:$C,Structure!$A:$AJ,AL$1,0)*$D301,0),IFERROR(VLOOKUP($E:$E,Structure!$A:$AJ,AL$1,0)*$F301,0),IFERROR(VLOOKUP($G:$G,Structure!$A:$AJ,AL$1,0)*$H301,0))</f>
        <v>0</v>
      </c>
      <c r="AM301" s="9">
        <f>SUM(IFERROR(VLOOKUP($C:$C,Structure!$A:$AJ,AM$1,0)*$D301,0),IFERROR(VLOOKUP($E:$E,Structure!$A:$AJ,AM$1,0)*$F301,0),IFERROR(VLOOKUP($G:$G,Structure!$A:$AJ,AM$1,0)*$H301,0))</f>
        <v>0</v>
      </c>
      <c r="AN301" s="9">
        <f>SUM(IFERROR(VLOOKUP($C:$C,Structure!$A:$AJ,AN$1,0)*$D301,0),IFERROR(VLOOKUP($E:$E,Structure!$A:$AJ,AN$1,0)*$F301,0),IFERROR(VLOOKUP($G:$G,Structure!$A:$AJ,AN$1,0)*$H301,0))</f>
        <v>0</v>
      </c>
      <c r="AO301" s="9">
        <f>SUM(IFERROR(VLOOKUP($C:$C,Structure!$A:$AJ,AO$1,0)*$D301,0),IFERROR(VLOOKUP($E:$E,Structure!$A:$AJ,AO$1,0)*$F301,0),IFERROR(VLOOKUP($G:$G,Structure!$A:$AJ,AO$1,0)*$H301,0))</f>
        <v>0</v>
      </c>
      <c r="AP301" s="9">
        <f>SUM(IFERROR(VLOOKUP($C:$C,Structure!$A:$AJ,AP$1,0)*$D301,0),IFERROR(VLOOKUP($E:$E,Structure!$A:$AJ,AP$1,0)*$F301,0),IFERROR(VLOOKUP($G:$G,Structure!$A:$AJ,AP$1,0)*$H301,0))</f>
        <v>0</v>
      </c>
      <c r="AQ301" s="9">
        <f>SUM(IFERROR(VLOOKUP($C:$C,Structure!$A:$AJ,AQ$1,0)*$D301,0),IFERROR(VLOOKUP($E:$E,Structure!$A:$AJ,AQ$1,0)*$F301,0),IFERROR(VLOOKUP($G:$G,Structure!$A:$AJ,AQ$1,0)*$H301,0))</f>
        <v>0</v>
      </c>
      <c r="AR301" s="21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4">
        <f t="shared" ref="CD301:CD341" si="302">CD300+AU301-I301</f>
        <v>0</v>
      </c>
      <c r="CE301" s="4">
        <f t="shared" ref="CE301:CE341" si="303">CE300+AV301-J301</f>
        <v>-236</v>
      </c>
      <c r="CF301" s="4">
        <f t="shared" ref="CF301:CF341" si="304">CF300+AW301-K301</f>
        <v>4</v>
      </c>
      <c r="CG301" s="4">
        <f t="shared" ref="CG301:CG341" si="305">CG300+AX301-L301</f>
        <v>11</v>
      </c>
      <c r="CH301" s="4">
        <f t="shared" ref="CH301:CH341" si="306">CH300+AY301-M301</f>
        <v>-7</v>
      </c>
      <c r="CI301" s="4">
        <f t="shared" ref="CI301:CI341" si="307">CI300+AZ301-N301</f>
        <v>93</v>
      </c>
      <c r="CJ301" s="4">
        <f t="shared" ref="CJ301:CJ341" si="308">CJ300+BA301-O301</f>
        <v>-447</v>
      </c>
      <c r="CK301" s="4">
        <f t="shared" ref="CK301:CK341" si="309">CK300+BB301-P301</f>
        <v>-57</v>
      </c>
      <c r="CL301" s="4">
        <f t="shared" ref="CL301:CL341" si="310">CL300+BC301-Q301</f>
        <v>0</v>
      </c>
      <c r="CM301" s="4">
        <f t="shared" ref="CM301:CM341" si="311">CM300+BD301-R301</f>
        <v>6</v>
      </c>
      <c r="CN301" s="4">
        <f t="shared" ref="CN301:CN341" si="312">CN300+BE301-S301</f>
        <v>-334</v>
      </c>
      <c r="CO301" s="4">
        <f t="shared" ref="CO301:CO341" si="313">CO300+BF301-T301</f>
        <v>0</v>
      </c>
      <c r="CP301" s="4">
        <f t="shared" ref="CP301:CP341" si="314">CP300+BG301-U301</f>
        <v>-21</v>
      </c>
      <c r="CQ301" s="4">
        <f t="shared" ref="CQ301:CQ341" si="315">CQ300+BH301-V301</f>
        <v>-635</v>
      </c>
      <c r="CR301" s="4">
        <f t="shared" ref="CR301:CR341" si="316">CR300+BI301-W301</f>
        <v>12</v>
      </c>
      <c r="CS301" s="4">
        <f t="shared" ref="CS301:CS341" si="317">CS300+BJ301-X301</f>
        <v>-58</v>
      </c>
      <c r="CT301" s="4">
        <f t="shared" ref="CT301:CT341" si="318">CT300+BK301-Y301</f>
        <v>0</v>
      </c>
      <c r="CU301" s="4">
        <f t="shared" ref="CU301:CU341" si="319">CU300+BL301-Z301</f>
        <v>0</v>
      </c>
      <c r="CV301" s="4">
        <f t="shared" ref="CV301:CV341" si="320">CV300+BM301-AA301</f>
        <v>0</v>
      </c>
      <c r="CW301" s="4">
        <f t="shared" ref="CW301:CW341" si="321">CW300+BN301-AB301</f>
        <v>0</v>
      </c>
      <c r="CX301" s="4">
        <f t="shared" ref="CX301:CX341" si="322">CX300+BO301-AC301</f>
        <v>-916</v>
      </c>
      <c r="CY301" s="4">
        <f t="shared" ref="CY301:CY341" si="323">CY300+BP301-AD301</f>
        <v>0</v>
      </c>
      <c r="CZ301" s="4">
        <f t="shared" ref="CZ301:CZ341" si="324">CZ300+BQ301-AE301</f>
        <v>0</v>
      </c>
      <c r="DA301" s="4">
        <f t="shared" ref="DA301:DA341" si="325">DA300+BR301-AF301</f>
        <v>0</v>
      </c>
      <c r="DB301" s="4">
        <f t="shared" ref="DB301:DB341" si="326">DB300+BS301-AG301</f>
        <v>0</v>
      </c>
      <c r="DC301" s="4">
        <f t="shared" ref="DC301:DC341" si="327">DC300+BT301-AH301</f>
        <v>0</v>
      </c>
      <c r="DD301" s="4">
        <f t="shared" ref="DD301:DD341" si="328">DD300+BU301-AI301</f>
        <v>0</v>
      </c>
      <c r="DE301" s="4">
        <f t="shared" ref="DE301:DE341" si="329">DE300+BV301-AJ301</f>
        <v>0</v>
      </c>
      <c r="DF301" s="4">
        <f t="shared" ref="DF301:DF341" si="330">DF300+BW301-AK301</f>
        <v>0</v>
      </c>
      <c r="DG301" s="4">
        <f t="shared" ref="DG301:DG341" si="331">DG300+BX301-AL301</f>
        <v>0</v>
      </c>
      <c r="DH301" s="4">
        <f t="shared" ref="DH301:DH341" si="332">DH300+BY301-AM301</f>
        <v>0</v>
      </c>
      <c r="DI301" s="4">
        <f t="shared" ref="DI301:DI341" si="333">DI300+BZ301-AN301</f>
        <v>0</v>
      </c>
      <c r="DJ301" s="4">
        <f t="shared" ref="DJ301:DJ341" si="334">DJ300+CA301-AO301</f>
        <v>0</v>
      </c>
      <c r="DK301" s="4">
        <f t="shared" ref="DK301:DK341" si="335">DK300+CB301-AP301</f>
        <v>0</v>
      </c>
      <c r="DL301" s="4">
        <f t="shared" ref="DL301:DL341" si="336">DL300+CC301-AQ301</f>
        <v>0</v>
      </c>
    </row>
    <row r="302" spans="1:116" x14ac:dyDescent="0.25">
      <c r="A302" s="5">
        <v>46189</v>
      </c>
      <c r="B302" s="6">
        <v>0.54166666739183711</v>
      </c>
      <c r="C302" s="3"/>
      <c r="D302" s="3"/>
      <c r="E302" s="3" t="s">
        <v>25</v>
      </c>
      <c r="F302" s="3">
        <v>8</v>
      </c>
      <c r="G302" s="3"/>
      <c r="H302" s="9"/>
      <c r="I302" s="9">
        <f>SUM(IFERROR(VLOOKUP($C:$C,Structure!$A:$AJ,I$1,0)*$D302,0),IFERROR(VLOOKUP($E:$E,Structure!$A:$AJ,I$1,0)*$F302,0),IFERROR(VLOOKUP($G:$G,Structure!$A:$AJ,I$1,0)*$H302,0))</f>
        <v>0</v>
      </c>
      <c r="J302" s="9">
        <f>SUM(IFERROR(VLOOKUP($C:$C,Structure!$A:$AJ,J$1,0)*$D302,0),IFERROR(VLOOKUP($E:$E,Structure!$A:$AJ,J$1,0)*$F302,0),IFERROR(VLOOKUP($G:$G,Structure!$A:$AJ,J$1,0)*$H302,0))</f>
        <v>0</v>
      </c>
      <c r="K302" s="9">
        <f>SUM(IFERROR(VLOOKUP($C:$C,Structure!$A:$AJ,K$1,0)*$D302,0),IFERROR(VLOOKUP($E:$E,Structure!$A:$AJ,K$1,0)*$F302,0),IFERROR(VLOOKUP($G:$G,Structure!$A:$AJ,K$1,0)*$H302,0))</f>
        <v>0</v>
      </c>
      <c r="L302" s="9">
        <f>SUM(IFERROR(VLOOKUP($C:$C,Structure!$A:$AJ,L$1,0)*$D302,0),IFERROR(VLOOKUP($E:$E,Structure!$A:$AJ,L$1,0)*$F302,0),IFERROR(VLOOKUP($G:$G,Structure!$A:$AJ,L$1,0)*$H302,0))</f>
        <v>0</v>
      </c>
      <c r="M302" s="9">
        <f>SUM(IFERROR(VLOOKUP($C:$C,Structure!$A:$AJ,M$1,0)*$D302,0),IFERROR(VLOOKUP($E:$E,Structure!$A:$AJ,M$1,0)*$F302,0),IFERROR(VLOOKUP($G:$G,Structure!$A:$AJ,M$1,0)*$H302,0))</f>
        <v>0</v>
      </c>
      <c r="N302" s="9">
        <f>SUM(IFERROR(VLOOKUP($C:$C,Structure!$A:$AJ,N$1,0)*$D302,0),IFERROR(VLOOKUP($E:$E,Structure!$A:$AJ,N$1,0)*$F302,0),IFERROR(VLOOKUP($G:$G,Structure!$A:$AJ,N$1,0)*$H302,0))</f>
        <v>0</v>
      </c>
      <c r="O302" s="9">
        <f>SUM(IFERROR(VLOOKUP($C:$C,Structure!$A:$AJ,O$1,0)*$D302,0),IFERROR(VLOOKUP($E:$E,Structure!$A:$AJ,O$1,0)*$F302,0),IFERROR(VLOOKUP($G:$G,Structure!$A:$AJ,O$1,0)*$H302,0))</f>
        <v>0</v>
      </c>
      <c r="P302" s="9">
        <f>SUM(IFERROR(VLOOKUP($C:$C,Structure!$A:$AJ,P$1,0)*$D302,0),IFERROR(VLOOKUP($E:$E,Structure!$A:$AJ,P$1,0)*$F302,0),IFERROR(VLOOKUP($G:$G,Structure!$A:$AJ,P$1,0)*$H302,0))</f>
        <v>0</v>
      </c>
      <c r="Q302" s="9">
        <f>SUM(IFERROR(VLOOKUP($C:$C,Structure!$A:$AJ,Q$1,0)*$D302,0),IFERROR(VLOOKUP($E:$E,Structure!$A:$AJ,Q$1,0)*$F302,0),IFERROR(VLOOKUP($G:$G,Structure!$A:$AJ,Q$1,0)*$H302,0))</f>
        <v>0</v>
      </c>
      <c r="R302" s="9">
        <f>SUM(IFERROR(VLOOKUP($C:$C,Structure!$A:$AJ,R$1,0)*$D302,0),IFERROR(VLOOKUP($E:$E,Structure!$A:$AJ,R$1,0)*$F302,0),IFERROR(VLOOKUP($G:$G,Structure!$A:$AJ,R$1,0)*$H302,0))</f>
        <v>0</v>
      </c>
      <c r="S302" s="9">
        <f>SUM(IFERROR(VLOOKUP($C:$C,Structure!$A:$AJ,S$1,0)*$D302,0),IFERROR(VLOOKUP($E:$E,Structure!$A:$AJ,S$1,0)*$F302,0),IFERROR(VLOOKUP($G:$G,Structure!$A:$AJ,S$1,0)*$H302,0))</f>
        <v>0</v>
      </c>
      <c r="T302" s="9">
        <f>SUM(IFERROR(VLOOKUP($C:$C,Structure!$A:$AJ,T$1,0)*$D302,0),IFERROR(VLOOKUP($E:$E,Structure!$A:$AJ,T$1,0)*$F302,0),IFERROR(VLOOKUP($G:$G,Structure!$A:$AJ,T$1,0)*$H302,0))</f>
        <v>0</v>
      </c>
      <c r="U302" s="9">
        <f>SUM(IFERROR(VLOOKUP($C:$C,Structure!$A:$AJ,U$1,0)*$D302,0),IFERROR(VLOOKUP($E:$E,Structure!$A:$AJ,U$1,0)*$F302,0),IFERROR(VLOOKUP($G:$G,Structure!$A:$AJ,U$1,0)*$H302,0))</f>
        <v>8</v>
      </c>
      <c r="V302" s="9">
        <f>SUM(IFERROR(VLOOKUP($C:$C,Structure!$A:$AJ,V$1,0)*$D302,0),IFERROR(VLOOKUP($E:$E,Structure!$A:$AJ,V$1,0)*$F302,0),IFERROR(VLOOKUP($G:$G,Structure!$A:$AJ,V$1,0)*$H302,0))</f>
        <v>0</v>
      </c>
      <c r="W302" s="9">
        <f>SUM(IFERROR(VLOOKUP($C:$C,Structure!$A:$AJ,W$1,0)*$D302,0),IFERROR(VLOOKUP($E:$E,Structure!$A:$AJ,W$1,0)*$F302,0),IFERROR(VLOOKUP($G:$G,Structure!$A:$AJ,W$1,0)*$H302,0))</f>
        <v>0</v>
      </c>
      <c r="X302" s="9">
        <f>SUM(IFERROR(VLOOKUP($C:$C,Structure!$A:$AJ,X$1,0)*$D302,0),IFERROR(VLOOKUP($E:$E,Structure!$A:$AJ,X$1,0)*$F302,0),IFERROR(VLOOKUP($G:$G,Structure!$A:$AJ,X$1,0)*$H302,0))</f>
        <v>0</v>
      </c>
      <c r="Y302" s="9">
        <f>SUM(IFERROR(VLOOKUP($C:$C,Structure!$A:$AJ,Y$1,0)*$D302,0),IFERROR(VLOOKUP($E:$E,Structure!$A:$AJ,Y$1,0)*$F302,0),IFERROR(VLOOKUP($G:$G,Structure!$A:$AJ,Y$1,0)*$H302,0))</f>
        <v>0</v>
      </c>
      <c r="Z302" s="9">
        <f>SUM(IFERROR(VLOOKUP($C:$C,Structure!$A:$AJ,Z$1,0)*$D302,0),IFERROR(VLOOKUP($E:$E,Structure!$A:$AJ,Z$1,0)*$F302,0),IFERROR(VLOOKUP($G:$G,Structure!$A:$AJ,Z$1,0)*$H302,0))</f>
        <v>0</v>
      </c>
      <c r="AA302" s="9">
        <f>SUM(IFERROR(VLOOKUP($C:$C,Structure!$A:$AJ,AA$1,0)*$D302,0),IFERROR(VLOOKUP($E:$E,Structure!$A:$AJ,AA$1,0)*$F302,0),IFERROR(VLOOKUP($G:$G,Structure!$A:$AJ,AA$1,0)*$H302,0))</f>
        <v>0</v>
      </c>
      <c r="AB302" s="9">
        <f>SUM(IFERROR(VLOOKUP($C:$C,Structure!$A:$AJ,AB$1,0)*$D302,0),IFERROR(VLOOKUP($E:$E,Structure!$A:$AJ,AB$1,0)*$F302,0),IFERROR(VLOOKUP($G:$G,Structure!$A:$AJ,AB$1,0)*$H302,0))</f>
        <v>0</v>
      </c>
      <c r="AC302" s="9">
        <f>SUM(IFERROR(VLOOKUP($C:$C,Structure!$A:$AJ,AC$1,0)*$D302,0),IFERROR(VLOOKUP($E:$E,Structure!$A:$AJ,AC$1,0)*$F302,0),IFERROR(VLOOKUP($G:$G,Structure!$A:$AJ,AC$1,0)*$H302,0))</f>
        <v>8</v>
      </c>
      <c r="AD302" s="9">
        <f>SUM(IFERROR(VLOOKUP($C:$C,Structure!$A:$AJ,AD$1,0)*$D302,0),IFERROR(VLOOKUP($E:$E,Structure!$A:$AJ,AD$1,0)*$F302,0),IFERROR(VLOOKUP($G:$G,Structure!$A:$AJ,AD$1,0)*$H302,0))</f>
        <v>0</v>
      </c>
      <c r="AE302" s="9">
        <f>SUM(IFERROR(VLOOKUP($C:$C,Structure!$A:$AJ,AE$1,0)*$D302,0),IFERROR(VLOOKUP($E:$E,Structure!$A:$AJ,AE$1,0)*$F302,0),IFERROR(VLOOKUP($G:$G,Structure!$A:$AJ,AE$1,0)*$H302,0))</f>
        <v>0</v>
      </c>
      <c r="AF302" s="9">
        <f>SUM(IFERROR(VLOOKUP($C:$C,Structure!$A:$AJ,AF$1,0)*$D302,0),IFERROR(VLOOKUP($E:$E,Structure!$A:$AJ,AF$1,0)*$F302,0),IFERROR(VLOOKUP($G:$G,Structure!$A:$AJ,AF$1,0)*$H302,0))</f>
        <v>0</v>
      </c>
      <c r="AG302" s="9">
        <f>SUM(IFERROR(VLOOKUP($C:$C,Structure!$A:$AJ,AG$1,0)*$D302,0),IFERROR(VLOOKUP($E:$E,Structure!$A:$AJ,AG$1,0)*$F302,0),IFERROR(VLOOKUP($G:$G,Structure!$A:$AJ,AG$1,0)*$H302,0))</f>
        <v>0</v>
      </c>
      <c r="AH302" s="9">
        <f>SUM(IFERROR(VLOOKUP($C:$C,Structure!$A:$AJ,AH$1,0)*$D302,0),IFERROR(VLOOKUP($E:$E,Structure!$A:$AJ,AH$1,0)*$F302,0),IFERROR(VLOOKUP($G:$G,Structure!$A:$AJ,AH$1,0)*$H302,0))</f>
        <v>0</v>
      </c>
      <c r="AI302" s="9">
        <f>SUM(IFERROR(VLOOKUP($C:$C,Structure!$A:$AJ,AI$1,0)*$D302,0),IFERROR(VLOOKUP($E:$E,Structure!$A:$AJ,AI$1,0)*$F302,0),IFERROR(VLOOKUP($G:$G,Structure!$A:$AJ,AI$1,0)*$H302,0))</f>
        <v>0</v>
      </c>
      <c r="AJ302" s="9">
        <f>SUM(IFERROR(VLOOKUP($C:$C,Structure!$A:$AJ,AJ$1,0)*$D302,0),IFERROR(VLOOKUP($E:$E,Structure!$A:$AJ,AJ$1,0)*$F302,0),IFERROR(VLOOKUP($G:$G,Structure!$A:$AJ,AJ$1,0)*$H302,0))</f>
        <v>0</v>
      </c>
      <c r="AK302" s="9">
        <f>SUM(IFERROR(VLOOKUP($C:$C,Structure!$A:$AJ,AK$1,0)*$D302,0),IFERROR(VLOOKUP($E:$E,Structure!$A:$AJ,AK$1,0)*$F302,0),IFERROR(VLOOKUP($G:$G,Structure!$A:$AJ,AK$1,0)*$H302,0))</f>
        <v>0</v>
      </c>
      <c r="AL302" s="9">
        <f>SUM(IFERROR(VLOOKUP($C:$C,Structure!$A:$AJ,AL$1,0)*$D302,0),IFERROR(VLOOKUP($E:$E,Structure!$A:$AJ,AL$1,0)*$F302,0),IFERROR(VLOOKUP($G:$G,Structure!$A:$AJ,AL$1,0)*$H302,0))</f>
        <v>0</v>
      </c>
      <c r="AM302" s="9">
        <f>SUM(IFERROR(VLOOKUP($C:$C,Structure!$A:$AJ,AM$1,0)*$D302,0),IFERROR(VLOOKUP($E:$E,Structure!$A:$AJ,AM$1,0)*$F302,0),IFERROR(VLOOKUP($G:$G,Structure!$A:$AJ,AM$1,0)*$H302,0))</f>
        <v>0</v>
      </c>
      <c r="AN302" s="9">
        <f>SUM(IFERROR(VLOOKUP($C:$C,Structure!$A:$AJ,AN$1,0)*$D302,0),IFERROR(VLOOKUP($E:$E,Structure!$A:$AJ,AN$1,0)*$F302,0),IFERROR(VLOOKUP($G:$G,Structure!$A:$AJ,AN$1,0)*$H302,0))</f>
        <v>0</v>
      </c>
      <c r="AO302" s="9">
        <f>SUM(IFERROR(VLOOKUP($C:$C,Structure!$A:$AJ,AO$1,0)*$D302,0),IFERROR(VLOOKUP($E:$E,Structure!$A:$AJ,AO$1,0)*$F302,0),IFERROR(VLOOKUP($G:$G,Structure!$A:$AJ,AO$1,0)*$H302,0))</f>
        <v>0</v>
      </c>
      <c r="AP302" s="9">
        <f>SUM(IFERROR(VLOOKUP($C:$C,Structure!$A:$AJ,AP$1,0)*$D302,0),IFERROR(VLOOKUP($E:$E,Structure!$A:$AJ,AP$1,0)*$F302,0),IFERROR(VLOOKUP($G:$G,Structure!$A:$AJ,AP$1,0)*$H302,0))</f>
        <v>0</v>
      </c>
      <c r="AQ302" s="9">
        <f>SUM(IFERROR(VLOOKUP($C:$C,Structure!$A:$AJ,AQ$1,0)*$D302,0),IFERROR(VLOOKUP($E:$E,Structure!$A:$AJ,AQ$1,0)*$F302,0),IFERROR(VLOOKUP($G:$G,Structure!$A:$AJ,AQ$1,0)*$H302,0))</f>
        <v>0</v>
      </c>
      <c r="AR302" s="21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4">
        <f t="shared" si="302"/>
        <v>0</v>
      </c>
      <c r="CE302" s="4">
        <f t="shared" si="303"/>
        <v>-236</v>
      </c>
      <c r="CF302" s="4">
        <f t="shared" si="304"/>
        <v>4</v>
      </c>
      <c r="CG302" s="4">
        <f t="shared" si="305"/>
        <v>11</v>
      </c>
      <c r="CH302" s="4">
        <f t="shared" si="306"/>
        <v>-7</v>
      </c>
      <c r="CI302" s="4">
        <f t="shared" si="307"/>
        <v>93</v>
      </c>
      <c r="CJ302" s="4">
        <f t="shared" si="308"/>
        <v>-447</v>
      </c>
      <c r="CK302" s="4">
        <f t="shared" si="309"/>
        <v>-57</v>
      </c>
      <c r="CL302" s="4">
        <f t="shared" si="310"/>
        <v>0</v>
      </c>
      <c r="CM302" s="4">
        <f t="shared" si="311"/>
        <v>6</v>
      </c>
      <c r="CN302" s="4">
        <f t="shared" si="312"/>
        <v>-334</v>
      </c>
      <c r="CO302" s="4">
        <f t="shared" si="313"/>
        <v>0</v>
      </c>
      <c r="CP302" s="4">
        <f t="shared" si="314"/>
        <v>-29</v>
      </c>
      <c r="CQ302" s="4">
        <f t="shared" si="315"/>
        <v>-635</v>
      </c>
      <c r="CR302" s="4">
        <f t="shared" si="316"/>
        <v>12</v>
      </c>
      <c r="CS302" s="4">
        <f t="shared" si="317"/>
        <v>-58</v>
      </c>
      <c r="CT302" s="4">
        <f t="shared" si="318"/>
        <v>0</v>
      </c>
      <c r="CU302" s="4">
        <f t="shared" si="319"/>
        <v>0</v>
      </c>
      <c r="CV302" s="4">
        <f t="shared" si="320"/>
        <v>0</v>
      </c>
      <c r="CW302" s="4">
        <f t="shared" si="321"/>
        <v>0</v>
      </c>
      <c r="CX302" s="4">
        <f t="shared" si="322"/>
        <v>-924</v>
      </c>
      <c r="CY302" s="4">
        <f t="shared" si="323"/>
        <v>0</v>
      </c>
      <c r="CZ302" s="4">
        <f t="shared" si="324"/>
        <v>0</v>
      </c>
      <c r="DA302" s="4">
        <f t="shared" si="325"/>
        <v>0</v>
      </c>
      <c r="DB302" s="4">
        <f t="shared" si="326"/>
        <v>0</v>
      </c>
      <c r="DC302" s="4">
        <f t="shared" si="327"/>
        <v>0</v>
      </c>
      <c r="DD302" s="4">
        <f t="shared" si="328"/>
        <v>0</v>
      </c>
      <c r="DE302" s="4">
        <f t="shared" si="329"/>
        <v>0</v>
      </c>
      <c r="DF302" s="4">
        <f t="shared" si="330"/>
        <v>0</v>
      </c>
      <c r="DG302" s="4">
        <f t="shared" si="331"/>
        <v>0</v>
      </c>
      <c r="DH302" s="4">
        <f t="shared" si="332"/>
        <v>0</v>
      </c>
      <c r="DI302" s="4">
        <f t="shared" si="333"/>
        <v>0</v>
      </c>
      <c r="DJ302" s="4">
        <f t="shared" si="334"/>
        <v>0</v>
      </c>
      <c r="DK302" s="4">
        <f t="shared" si="335"/>
        <v>0</v>
      </c>
      <c r="DL302" s="4">
        <f t="shared" si="336"/>
        <v>0</v>
      </c>
    </row>
    <row r="303" spans="1:116" x14ac:dyDescent="0.25">
      <c r="A303" s="5">
        <v>46189</v>
      </c>
      <c r="B303" s="6">
        <v>0.56250000072759576</v>
      </c>
      <c r="C303" s="3"/>
      <c r="D303" s="3"/>
      <c r="E303" s="3" t="s">
        <v>25</v>
      </c>
      <c r="F303" s="3">
        <v>8</v>
      </c>
      <c r="G303" s="3"/>
      <c r="H303" s="9"/>
      <c r="I303" s="9">
        <f>SUM(IFERROR(VLOOKUP($C:$C,Structure!$A:$AJ,I$1,0)*$D303,0),IFERROR(VLOOKUP($E:$E,Structure!$A:$AJ,I$1,0)*$F303,0),IFERROR(VLOOKUP($G:$G,Structure!$A:$AJ,I$1,0)*$H303,0))</f>
        <v>0</v>
      </c>
      <c r="J303" s="9">
        <f>SUM(IFERROR(VLOOKUP($C:$C,Structure!$A:$AJ,J$1,0)*$D303,0),IFERROR(VLOOKUP($E:$E,Structure!$A:$AJ,J$1,0)*$F303,0),IFERROR(VLOOKUP($G:$G,Structure!$A:$AJ,J$1,0)*$H303,0))</f>
        <v>0</v>
      </c>
      <c r="K303" s="9">
        <f>SUM(IFERROR(VLOOKUP($C:$C,Structure!$A:$AJ,K$1,0)*$D303,0),IFERROR(VLOOKUP($E:$E,Structure!$A:$AJ,K$1,0)*$F303,0),IFERROR(VLOOKUP($G:$G,Structure!$A:$AJ,K$1,0)*$H303,0))</f>
        <v>0</v>
      </c>
      <c r="L303" s="9">
        <f>SUM(IFERROR(VLOOKUP($C:$C,Structure!$A:$AJ,L$1,0)*$D303,0),IFERROR(VLOOKUP($E:$E,Structure!$A:$AJ,L$1,0)*$F303,0),IFERROR(VLOOKUP($G:$G,Structure!$A:$AJ,L$1,0)*$H303,0))</f>
        <v>0</v>
      </c>
      <c r="M303" s="9">
        <f>SUM(IFERROR(VLOOKUP($C:$C,Structure!$A:$AJ,M$1,0)*$D303,0),IFERROR(VLOOKUP($E:$E,Structure!$A:$AJ,M$1,0)*$F303,0),IFERROR(VLOOKUP($G:$G,Structure!$A:$AJ,M$1,0)*$H303,0))</f>
        <v>0</v>
      </c>
      <c r="N303" s="9">
        <f>SUM(IFERROR(VLOOKUP($C:$C,Structure!$A:$AJ,N$1,0)*$D303,0),IFERROR(VLOOKUP($E:$E,Structure!$A:$AJ,N$1,0)*$F303,0),IFERROR(VLOOKUP($G:$G,Structure!$A:$AJ,N$1,0)*$H303,0))</f>
        <v>0</v>
      </c>
      <c r="O303" s="9">
        <f>SUM(IFERROR(VLOOKUP($C:$C,Structure!$A:$AJ,O$1,0)*$D303,0),IFERROR(VLOOKUP($E:$E,Structure!$A:$AJ,O$1,0)*$F303,0),IFERROR(VLOOKUP($G:$G,Structure!$A:$AJ,O$1,0)*$H303,0))</f>
        <v>0</v>
      </c>
      <c r="P303" s="9">
        <f>SUM(IFERROR(VLOOKUP($C:$C,Structure!$A:$AJ,P$1,0)*$D303,0),IFERROR(VLOOKUP($E:$E,Structure!$A:$AJ,P$1,0)*$F303,0),IFERROR(VLOOKUP($G:$G,Structure!$A:$AJ,P$1,0)*$H303,0))</f>
        <v>0</v>
      </c>
      <c r="Q303" s="9">
        <f>SUM(IFERROR(VLOOKUP($C:$C,Structure!$A:$AJ,Q$1,0)*$D303,0),IFERROR(VLOOKUP($E:$E,Structure!$A:$AJ,Q$1,0)*$F303,0),IFERROR(VLOOKUP($G:$G,Structure!$A:$AJ,Q$1,0)*$H303,0))</f>
        <v>0</v>
      </c>
      <c r="R303" s="9">
        <f>SUM(IFERROR(VLOOKUP($C:$C,Structure!$A:$AJ,R$1,0)*$D303,0),IFERROR(VLOOKUP($E:$E,Structure!$A:$AJ,R$1,0)*$F303,0),IFERROR(VLOOKUP($G:$G,Structure!$A:$AJ,R$1,0)*$H303,0))</f>
        <v>0</v>
      </c>
      <c r="S303" s="9">
        <f>SUM(IFERROR(VLOOKUP($C:$C,Structure!$A:$AJ,S$1,0)*$D303,0),IFERROR(VLOOKUP($E:$E,Structure!$A:$AJ,S$1,0)*$F303,0),IFERROR(VLOOKUP($G:$G,Structure!$A:$AJ,S$1,0)*$H303,0))</f>
        <v>0</v>
      </c>
      <c r="T303" s="9">
        <f>SUM(IFERROR(VLOOKUP($C:$C,Structure!$A:$AJ,T$1,0)*$D303,0),IFERROR(VLOOKUP($E:$E,Structure!$A:$AJ,T$1,0)*$F303,0),IFERROR(VLOOKUP($G:$G,Structure!$A:$AJ,T$1,0)*$H303,0))</f>
        <v>0</v>
      </c>
      <c r="U303" s="9">
        <f>SUM(IFERROR(VLOOKUP($C:$C,Structure!$A:$AJ,U$1,0)*$D303,0),IFERROR(VLOOKUP($E:$E,Structure!$A:$AJ,U$1,0)*$F303,0),IFERROR(VLOOKUP($G:$G,Structure!$A:$AJ,U$1,0)*$H303,0))</f>
        <v>8</v>
      </c>
      <c r="V303" s="9">
        <f>SUM(IFERROR(VLOOKUP($C:$C,Structure!$A:$AJ,V$1,0)*$D303,0),IFERROR(VLOOKUP($E:$E,Structure!$A:$AJ,V$1,0)*$F303,0),IFERROR(VLOOKUP($G:$G,Structure!$A:$AJ,V$1,0)*$H303,0))</f>
        <v>0</v>
      </c>
      <c r="W303" s="9">
        <f>SUM(IFERROR(VLOOKUP($C:$C,Structure!$A:$AJ,W$1,0)*$D303,0),IFERROR(VLOOKUP($E:$E,Structure!$A:$AJ,W$1,0)*$F303,0),IFERROR(VLOOKUP($G:$G,Structure!$A:$AJ,W$1,0)*$H303,0))</f>
        <v>0</v>
      </c>
      <c r="X303" s="9">
        <f>SUM(IFERROR(VLOOKUP($C:$C,Structure!$A:$AJ,X$1,0)*$D303,0),IFERROR(VLOOKUP($E:$E,Structure!$A:$AJ,X$1,0)*$F303,0),IFERROR(VLOOKUP($G:$G,Structure!$A:$AJ,X$1,0)*$H303,0))</f>
        <v>0</v>
      </c>
      <c r="Y303" s="9">
        <f>SUM(IFERROR(VLOOKUP($C:$C,Structure!$A:$AJ,Y$1,0)*$D303,0),IFERROR(VLOOKUP($E:$E,Structure!$A:$AJ,Y$1,0)*$F303,0),IFERROR(VLOOKUP($G:$G,Structure!$A:$AJ,Y$1,0)*$H303,0))</f>
        <v>0</v>
      </c>
      <c r="Z303" s="9">
        <f>SUM(IFERROR(VLOOKUP($C:$C,Structure!$A:$AJ,Z$1,0)*$D303,0),IFERROR(VLOOKUP($E:$E,Structure!$A:$AJ,Z$1,0)*$F303,0),IFERROR(VLOOKUP($G:$G,Structure!$A:$AJ,Z$1,0)*$H303,0))</f>
        <v>0</v>
      </c>
      <c r="AA303" s="9">
        <f>SUM(IFERROR(VLOOKUP($C:$C,Structure!$A:$AJ,AA$1,0)*$D303,0),IFERROR(VLOOKUP($E:$E,Structure!$A:$AJ,AA$1,0)*$F303,0),IFERROR(VLOOKUP($G:$G,Structure!$A:$AJ,AA$1,0)*$H303,0))</f>
        <v>0</v>
      </c>
      <c r="AB303" s="9">
        <f>SUM(IFERROR(VLOOKUP($C:$C,Structure!$A:$AJ,AB$1,0)*$D303,0),IFERROR(VLOOKUP($E:$E,Structure!$A:$AJ,AB$1,0)*$F303,0),IFERROR(VLOOKUP($G:$G,Structure!$A:$AJ,AB$1,0)*$H303,0))</f>
        <v>0</v>
      </c>
      <c r="AC303" s="9">
        <f>SUM(IFERROR(VLOOKUP($C:$C,Structure!$A:$AJ,AC$1,0)*$D303,0),IFERROR(VLOOKUP($E:$E,Structure!$A:$AJ,AC$1,0)*$F303,0),IFERROR(VLOOKUP($G:$G,Structure!$A:$AJ,AC$1,0)*$H303,0))</f>
        <v>8</v>
      </c>
      <c r="AD303" s="9">
        <f>SUM(IFERROR(VLOOKUP($C:$C,Structure!$A:$AJ,AD$1,0)*$D303,0),IFERROR(VLOOKUP($E:$E,Structure!$A:$AJ,AD$1,0)*$F303,0),IFERROR(VLOOKUP($G:$G,Structure!$A:$AJ,AD$1,0)*$H303,0))</f>
        <v>0</v>
      </c>
      <c r="AE303" s="9">
        <f>SUM(IFERROR(VLOOKUP($C:$C,Structure!$A:$AJ,AE$1,0)*$D303,0),IFERROR(VLOOKUP($E:$E,Structure!$A:$AJ,AE$1,0)*$F303,0),IFERROR(VLOOKUP($G:$G,Structure!$A:$AJ,AE$1,0)*$H303,0))</f>
        <v>0</v>
      </c>
      <c r="AF303" s="9">
        <f>SUM(IFERROR(VLOOKUP($C:$C,Structure!$A:$AJ,AF$1,0)*$D303,0),IFERROR(VLOOKUP($E:$E,Structure!$A:$AJ,AF$1,0)*$F303,0),IFERROR(VLOOKUP($G:$G,Structure!$A:$AJ,AF$1,0)*$H303,0))</f>
        <v>0</v>
      </c>
      <c r="AG303" s="9">
        <f>SUM(IFERROR(VLOOKUP($C:$C,Structure!$A:$AJ,AG$1,0)*$D303,0),IFERROR(VLOOKUP($E:$E,Structure!$A:$AJ,AG$1,0)*$F303,0),IFERROR(VLOOKUP($G:$G,Structure!$A:$AJ,AG$1,0)*$H303,0))</f>
        <v>0</v>
      </c>
      <c r="AH303" s="9">
        <f>SUM(IFERROR(VLOOKUP($C:$C,Structure!$A:$AJ,AH$1,0)*$D303,0),IFERROR(VLOOKUP($E:$E,Structure!$A:$AJ,AH$1,0)*$F303,0),IFERROR(VLOOKUP($G:$G,Structure!$A:$AJ,AH$1,0)*$H303,0))</f>
        <v>0</v>
      </c>
      <c r="AI303" s="9">
        <f>SUM(IFERROR(VLOOKUP($C:$C,Structure!$A:$AJ,AI$1,0)*$D303,0),IFERROR(VLOOKUP($E:$E,Structure!$A:$AJ,AI$1,0)*$F303,0),IFERROR(VLOOKUP($G:$G,Structure!$A:$AJ,AI$1,0)*$H303,0))</f>
        <v>0</v>
      </c>
      <c r="AJ303" s="9">
        <f>SUM(IFERROR(VLOOKUP($C:$C,Structure!$A:$AJ,AJ$1,0)*$D303,0),IFERROR(VLOOKUP($E:$E,Structure!$A:$AJ,AJ$1,0)*$F303,0),IFERROR(VLOOKUP($G:$G,Structure!$A:$AJ,AJ$1,0)*$H303,0))</f>
        <v>0</v>
      </c>
      <c r="AK303" s="9">
        <f>SUM(IFERROR(VLOOKUP($C:$C,Structure!$A:$AJ,AK$1,0)*$D303,0),IFERROR(VLOOKUP($E:$E,Structure!$A:$AJ,AK$1,0)*$F303,0),IFERROR(VLOOKUP($G:$G,Structure!$A:$AJ,AK$1,0)*$H303,0))</f>
        <v>0</v>
      </c>
      <c r="AL303" s="9">
        <f>SUM(IFERROR(VLOOKUP($C:$C,Structure!$A:$AJ,AL$1,0)*$D303,0),IFERROR(VLOOKUP($E:$E,Structure!$A:$AJ,AL$1,0)*$F303,0),IFERROR(VLOOKUP($G:$G,Structure!$A:$AJ,AL$1,0)*$H303,0))</f>
        <v>0</v>
      </c>
      <c r="AM303" s="9">
        <f>SUM(IFERROR(VLOOKUP($C:$C,Structure!$A:$AJ,AM$1,0)*$D303,0),IFERROR(VLOOKUP($E:$E,Structure!$A:$AJ,AM$1,0)*$F303,0),IFERROR(VLOOKUP($G:$G,Structure!$A:$AJ,AM$1,0)*$H303,0))</f>
        <v>0</v>
      </c>
      <c r="AN303" s="9">
        <f>SUM(IFERROR(VLOOKUP($C:$C,Structure!$A:$AJ,AN$1,0)*$D303,0),IFERROR(VLOOKUP($E:$E,Structure!$A:$AJ,AN$1,0)*$F303,0),IFERROR(VLOOKUP($G:$G,Structure!$A:$AJ,AN$1,0)*$H303,0))</f>
        <v>0</v>
      </c>
      <c r="AO303" s="9">
        <f>SUM(IFERROR(VLOOKUP($C:$C,Structure!$A:$AJ,AO$1,0)*$D303,0),IFERROR(VLOOKUP($E:$E,Structure!$A:$AJ,AO$1,0)*$F303,0),IFERROR(VLOOKUP($G:$G,Structure!$A:$AJ,AO$1,0)*$H303,0))</f>
        <v>0</v>
      </c>
      <c r="AP303" s="9">
        <f>SUM(IFERROR(VLOOKUP($C:$C,Structure!$A:$AJ,AP$1,0)*$D303,0),IFERROR(VLOOKUP($E:$E,Structure!$A:$AJ,AP$1,0)*$F303,0),IFERROR(VLOOKUP($G:$G,Structure!$A:$AJ,AP$1,0)*$H303,0))</f>
        <v>0</v>
      </c>
      <c r="AQ303" s="9">
        <f>SUM(IFERROR(VLOOKUP($C:$C,Structure!$A:$AJ,AQ$1,0)*$D303,0),IFERROR(VLOOKUP($E:$E,Structure!$A:$AJ,AQ$1,0)*$F303,0),IFERROR(VLOOKUP($G:$G,Structure!$A:$AJ,AQ$1,0)*$H303,0))</f>
        <v>0</v>
      </c>
      <c r="AR303" s="21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4">
        <f t="shared" si="302"/>
        <v>0</v>
      </c>
      <c r="CE303" s="4">
        <f t="shared" si="303"/>
        <v>-236</v>
      </c>
      <c r="CF303" s="4">
        <f t="shared" si="304"/>
        <v>4</v>
      </c>
      <c r="CG303" s="4">
        <f t="shared" si="305"/>
        <v>11</v>
      </c>
      <c r="CH303" s="4">
        <f t="shared" si="306"/>
        <v>-7</v>
      </c>
      <c r="CI303" s="4">
        <f t="shared" si="307"/>
        <v>93</v>
      </c>
      <c r="CJ303" s="4">
        <f t="shared" si="308"/>
        <v>-447</v>
      </c>
      <c r="CK303" s="4">
        <f t="shared" si="309"/>
        <v>-57</v>
      </c>
      <c r="CL303" s="4">
        <f t="shared" si="310"/>
        <v>0</v>
      </c>
      <c r="CM303" s="4">
        <f t="shared" si="311"/>
        <v>6</v>
      </c>
      <c r="CN303" s="4">
        <f t="shared" si="312"/>
        <v>-334</v>
      </c>
      <c r="CO303" s="4">
        <f t="shared" si="313"/>
        <v>0</v>
      </c>
      <c r="CP303" s="4">
        <f t="shared" si="314"/>
        <v>-37</v>
      </c>
      <c r="CQ303" s="4">
        <f t="shared" si="315"/>
        <v>-635</v>
      </c>
      <c r="CR303" s="4">
        <f t="shared" si="316"/>
        <v>12</v>
      </c>
      <c r="CS303" s="4">
        <f t="shared" si="317"/>
        <v>-58</v>
      </c>
      <c r="CT303" s="4">
        <f t="shared" si="318"/>
        <v>0</v>
      </c>
      <c r="CU303" s="4">
        <f t="shared" si="319"/>
        <v>0</v>
      </c>
      <c r="CV303" s="4">
        <f t="shared" si="320"/>
        <v>0</v>
      </c>
      <c r="CW303" s="4">
        <f t="shared" si="321"/>
        <v>0</v>
      </c>
      <c r="CX303" s="4">
        <f t="shared" si="322"/>
        <v>-932</v>
      </c>
      <c r="CY303" s="4">
        <f t="shared" si="323"/>
        <v>0</v>
      </c>
      <c r="CZ303" s="4">
        <f t="shared" si="324"/>
        <v>0</v>
      </c>
      <c r="DA303" s="4">
        <f t="shared" si="325"/>
        <v>0</v>
      </c>
      <c r="DB303" s="4">
        <f t="shared" si="326"/>
        <v>0</v>
      </c>
      <c r="DC303" s="4">
        <f t="shared" si="327"/>
        <v>0</v>
      </c>
      <c r="DD303" s="4">
        <f t="shared" si="328"/>
        <v>0</v>
      </c>
      <c r="DE303" s="4">
        <f t="shared" si="329"/>
        <v>0</v>
      </c>
      <c r="DF303" s="4">
        <f t="shared" si="330"/>
        <v>0</v>
      </c>
      <c r="DG303" s="4">
        <f t="shared" si="331"/>
        <v>0</v>
      </c>
      <c r="DH303" s="4">
        <f t="shared" si="332"/>
        <v>0</v>
      </c>
      <c r="DI303" s="4">
        <f t="shared" si="333"/>
        <v>0</v>
      </c>
      <c r="DJ303" s="4">
        <f t="shared" si="334"/>
        <v>0</v>
      </c>
      <c r="DK303" s="4">
        <f t="shared" si="335"/>
        <v>0</v>
      </c>
      <c r="DL303" s="4">
        <f t="shared" si="336"/>
        <v>0</v>
      </c>
    </row>
    <row r="304" spans="1:116" x14ac:dyDescent="0.25">
      <c r="A304" s="5">
        <v>46189</v>
      </c>
      <c r="B304" s="6">
        <v>0.58333333406335441</v>
      </c>
      <c r="C304" s="3"/>
      <c r="D304" s="3"/>
      <c r="E304" s="3" t="s">
        <v>25</v>
      </c>
      <c r="F304" s="3">
        <v>8</v>
      </c>
      <c r="G304" s="3"/>
      <c r="H304" s="9"/>
      <c r="I304" s="9">
        <f>SUM(IFERROR(VLOOKUP($C:$C,Structure!$A:$AJ,I$1,0)*$D304,0),IFERROR(VLOOKUP($E:$E,Structure!$A:$AJ,I$1,0)*$F304,0),IFERROR(VLOOKUP($G:$G,Structure!$A:$AJ,I$1,0)*$H304,0))</f>
        <v>0</v>
      </c>
      <c r="J304" s="9">
        <f>SUM(IFERROR(VLOOKUP($C:$C,Structure!$A:$AJ,J$1,0)*$D304,0),IFERROR(VLOOKUP($E:$E,Structure!$A:$AJ,J$1,0)*$F304,0),IFERROR(VLOOKUP($G:$G,Structure!$A:$AJ,J$1,0)*$H304,0))</f>
        <v>0</v>
      </c>
      <c r="K304" s="9">
        <f>SUM(IFERROR(VLOOKUP($C:$C,Structure!$A:$AJ,K$1,0)*$D304,0),IFERROR(VLOOKUP($E:$E,Structure!$A:$AJ,K$1,0)*$F304,0),IFERROR(VLOOKUP($G:$G,Structure!$A:$AJ,K$1,0)*$H304,0))</f>
        <v>0</v>
      </c>
      <c r="L304" s="9">
        <f>SUM(IFERROR(VLOOKUP($C:$C,Structure!$A:$AJ,L$1,0)*$D304,0),IFERROR(VLOOKUP($E:$E,Structure!$A:$AJ,L$1,0)*$F304,0),IFERROR(VLOOKUP($G:$G,Structure!$A:$AJ,L$1,0)*$H304,0))</f>
        <v>0</v>
      </c>
      <c r="M304" s="9">
        <f>SUM(IFERROR(VLOOKUP($C:$C,Structure!$A:$AJ,M$1,0)*$D304,0),IFERROR(VLOOKUP($E:$E,Structure!$A:$AJ,M$1,0)*$F304,0),IFERROR(VLOOKUP($G:$G,Structure!$A:$AJ,M$1,0)*$H304,0))</f>
        <v>0</v>
      </c>
      <c r="N304" s="9">
        <f>SUM(IFERROR(VLOOKUP($C:$C,Structure!$A:$AJ,N$1,0)*$D304,0),IFERROR(VLOOKUP($E:$E,Structure!$A:$AJ,N$1,0)*$F304,0),IFERROR(VLOOKUP($G:$G,Structure!$A:$AJ,N$1,0)*$H304,0))</f>
        <v>0</v>
      </c>
      <c r="O304" s="9">
        <f>SUM(IFERROR(VLOOKUP($C:$C,Structure!$A:$AJ,O$1,0)*$D304,0),IFERROR(VLOOKUP($E:$E,Structure!$A:$AJ,O$1,0)*$F304,0),IFERROR(VLOOKUP($G:$G,Structure!$A:$AJ,O$1,0)*$H304,0))</f>
        <v>0</v>
      </c>
      <c r="P304" s="9">
        <f>SUM(IFERROR(VLOOKUP($C:$C,Structure!$A:$AJ,P$1,0)*$D304,0),IFERROR(VLOOKUP($E:$E,Structure!$A:$AJ,P$1,0)*$F304,0),IFERROR(VLOOKUP($G:$G,Structure!$A:$AJ,P$1,0)*$H304,0))</f>
        <v>0</v>
      </c>
      <c r="Q304" s="9">
        <f>SUM(IFERROR(VLOOKUP($C:$C,Structure!$A:$AJ,Q$1,0)*$D304,0),IFERROR(VLOOKUP($E:$E,Structure!$A:$AJ,Q$1,0)*$F304,0),IFERROR(VLOOKUP($G:$G,Structure!$A:$AJ,Q$1,0)*$H304,0))</f>
        <v>0</v>
      </c>
      <c r="R304" s="9">
        <f>SUM(IFERROR(VLOOKUP($C:$C,Structure!$A:$AJ,R$1,0)*$D304,0),IFERROR(VLOOKUP($E:$E,Structure!$A:$AJ,R$1,0)*$F304,0),IFERROR(VLOOKUP($G:$G,Structure!$A:$AJ,R$1,0)*$H304,0))</f>
        <v>0</v>
      </c>
      <c r="S304" s="9">
        <f>SUM(IFERROR(VLOOKUP($C:$C,Structure!$A:$AJ,S$1,0)*$D304,0),IFERROR(VLOOKUP($E:$E,Structure!$A:$AJ,S$1,0)*$F304,0),IFERROR(VLOOKUP($G:$G,Structure!$A:$AJ,S$1,0)*$H304,0))</f>
        <v>0</v>
      </c>
      <c r="T304" s="9">
        <f>SUM(IFERROR(VLOOKUP($C:$C,Structure!$A:$AJ,T$1,0)*$D304,0),IFERROR(VLOOKUP($E:$E,Structure!$A:$AJ,T$1,0)*$F304,0),IFERROR(VLOOKUP($G:$G,Structure!$A:$AJ,T$1,0)*$H304,0))</f>
        <v>0</v>
      </c>
      <c r="U304" s="9">
        <f>SUM(IFERROR(VLOOKUP($C:$C,Structure!$A:$AJ,U$1,0)*$D304,0),IFERROR(VLOOKUP($E:$E,Structure!$A:$AJ,U$1,0)*$F304,0),IFERROR(VLOOKUP($G:$G,Structure!$A:$AJ,U$1,0)*$H304,0))</f>
        <v>8</v>
      </c>
      <c r="V304" s="9">
        <f>SUM(IFERROR(VLOOKUP($C:$C,Structure!$A:$AJ,V$1,0)*$D304,0),IFERROR(VLOOKUP($E:$E,Structure!$A:$AJ,V$1,0)*$F304,0),IFERROR(VLOOKUP($G:$G,Structure!$A:$AJ,V$1,0)*$H304,0))</f>
        <v>0</v>
      </c>
      <c r="W304" s="9">
        <f>SUM(IFERROR(VLOOKUP($C:$C,Structure!$A:$AJ,W$1,0)*$D304,0),IFERROR(VLOOKUP($E:$E,Structure!$A:$AJ,W$1,0)*$F304,0),IFERROR(VLOOKUP($G:$G,Structure!$A:$AJ,W$1,0)*$H304,0))</f>
        <v>0</v>
      </c>
      <c r="X304" s="9">
        <f>SUM(IFERROR(VLOOKUP($C:$C,Structure!$A:$AJ,X$1,0)*$D304,0),IFERROR(VLOOKUP($E:$E,Structure!$A:$AJ,X$1,0)*$F304,0),IFERROR(VLOOKUP($G:$G,Structure!$A:$AJ,X$1,0)*$H304,0))</f>
        <v>0</v>
      </c>
      <c r="Y304" s="9">
        <f>SUM(IFERROR(VLOOKUP($C:$C,Structure!$A:$AJ,Y$1,0)*$D304,0),IFERROR(VLOOKUP($E:$E,Structure!$A:$AJ,Y$1,0)*$F304,0),IFERROR(VLOOKUP($G:$G,Structure!$A:$AJ,Y$1,0)*$H304,0))</f>
        <v>0</v>
      </c>
      <c r="Z304" s="9">
        <f>SUM(IFERROR(VLOOKUP($C:$C,Structure!$A:$AJ,Z$1,0)*$D304,0),IFERROR(VLOOKUP($E:$E,Structure!$A:$AJ,Z$1,0)*$F304,0),IFERROR(VLOOKUP($G:$G,Structure!$A:$AJ,Z$1,0)*$H304,0))</f>
        <v>0</v>
      </c>
      <c r="AA304" s="9">
        <f>SUM(IFERROR(VLOOKUP($C:$C,Structure!$A:$AJ,AA$1,0)*$D304,0),IFERROR(VLOOKUP($E:$E,Structure!$A:$AJ,AA$1,0)*$F304,0),IFERROR(VLOOKUP($G:$G,Structure!$A:$AJ,AA$1,0)*$H304,0))</f>
        <v>0</v>
      </c>
      <c r="AB304" s="9">
        <f>SUM(IFERROR(VLOOKUP($C:$C,Structure!$A:$AJ,AB$1,0)*$D304,0),IFERROR(VLOOKUP($E:$E,Structure!$A:$AJ,AB$1,0)*$F304,0),IFERROR(VLOOKUP($G:$G,Structure!$A:$AJ,AB$1,0)*$H304,0))</f>
        <v>0</v>
      </c>
      <c r="AC304" s="9">
        <f>SUM(IFERROR(VLOOKUP($C:$C,Structure!$A:$AJ,AC$1,0)*$D304,0),IFERROR(VLOOKUP($E:$E,Structure!$A:$AJ,AC$1,0)*$F304,0),IFERROR(VLOOKUP($G:$G,Structure!$A:$AJ,AC$1,0)*$H304,0))</f>
        <v>8</v>
      </c>
      <c r="AD304" s="9">
        <f>SUM(IFERROR(VLOOKUP($C:$C,Structure!$A:$AJ,AD$1,0)*$D304,0),IFERROR(VLOOKUP($E:$E,Structure!$A:$AJ,AD$1,0)*$F304,0),IFERROR(VLOOKUP($G:$G,Structure!$A:$AJ,AD$1,0)*$H304,0))</f>
        <v>0</v>
      </c>
      <c r="AE304" s="9">
        <f>SUM(IFERROR(VLOOKUP($C:$C,Structure!$A:$AJ,AE$1,0)*$D304,0),IFERROR(VLOOKUP($E:$E,Structure!$A:$AJ,AE$1,0)*$F304,0),IFERROR(VLOOKUP($G:$G,Structure!$A:$AJ,AE$1,0)*$H304,0))</f>
        <v>0</v>
      </c>
      <c r="AF304" s="9">
        <f>SUM(IFERROR(VLOOKUP($C:$C,Structure!$A:$AJ,AF$1,0)*$D304,0),IFERROR(VLOOKUP($E:$E,Structure!$A:$AJ,AF$1,0)*$F304,0),IFERROR(VLOOKUP($G:$G,Structure!$A:$AJ,AF$1,0)*$H304,0))</f>
        <v>0</v>
      </c>
      <c r="AG304" s="9">
        <f>SUM(IFERROR(VLOOKUP($C:$C,Structure!$A:$AJ,AG$1,0)*$D304,0),IFERROR(VLOOKUP($E:$E,Structure!$A:$AJ,AG$1,0)*$F304,0),IFERROR(VLOOKUP($G:$G,Structure!$A:$AJ,AG$1,0)*$H304,0))</f>
        <v>0</v>
      </c>
      <c r="AH304" s="9">
        <f>SUM(IFERROR(VLOOKUP($C:$C,Structure!$A:$AJ,AH$1,0)*$D304,0),IFERROR(VLOOKUP($E:$E,Structure!$A:$AJ,AH$1,0)*$F304,0),IFERROR(VLOOKUP($G:$G,Structure!$A:$AJ,AH$1,0)*$H304,0))</f>
        <v>0</v>
      </c>
      <c r="AI304" s="9">
        <f>SUM(IFERROR(VLOOKUP($C:$C,Structure!$A:$AJ,AI$1,0)*$D304,0),IFERROR(VLOOKUP($E:$E,Structure!$A:$AJ,AI$1,0)*$F304,0),IFERROR(VLOOKUP($G:$G,Structure!$A:$AJ,AI$1,0)*$H304,0))</f>
        <v>0</v>
      </c>
      <c r="AJ304" s="9">
        <f>SUM(IFERROR(VLOOKUP($C:$C,Structure!$A:$AJ,AJ$1,0)*$D304,0),IFERROR(VLOOKUP($E:$E,Structure!$A:$AJ,AJ$1,0)*$F304,0),IFERROR(VLOOKUP($G:$G,Structure!$A:$AJ,AJ$1,0)*$H304,0))</f>
        <v>0</v>
      </c>
      <c r="AK304" s="9">
        <f>SUM(IFERROR(VLOOKUP($C:$C,Structure!$A:$AJ,AK$1,0)*$D304,0),IFERROR(VLOOKUP($E:$E,Structure!$A:$AJ,AK$1,0)*$F304,0),IFERROR(VLOOKUP($G:$G,Structure!$A:$AJ,AK$1,0)*$H304,0))</f>
        <v>0</v>
      </c>
      <c r="AL304" s="9">
        <f>SUM(IFERROR(VLOOKUP($C:$C,Structure!$A:$AJ,AL$1,0)*$D304,0),IFERROR(VLOOKUP($E:$E,Structure!$A:$AJ,AL$1,0)*$F304,0),IFERROR(VLOOKUP($G:$G,Structure!$A:$AJ,AL$1,0)*$H304,0))</f>
        <v>0</v>
      </c>
      <c r="AM304" s="9">
        <f>SUM(IFERROR(VLOOKUP($C:$C,Structure!$A:$AJ,AM$1,0)*$D304,0),IFERROR(VLOOKUP($E:$E,Structure!$A:$AJ,AM$1,0)*$F304,0),IFERROR(VLOOKUP($G:$G,Structure!$A:$AJ,AM$1,0)*$H304,0))</f>
        <v>0</v>
      </c>
      <c r="AN304" s="9">
        <f>SUM(IFERROR(VLOOKUP($C:$C,Structure!$A:$AJ,AN$1,0)*$D304,0),IFERROR(VLOOKUP($E:$E,Structure!$A:$AJ,AN$1,0)*$F304,0),IFERROR(VLOOKUP($G:$G,Structure!$A:$AJ,AN$1,0)*$H304,0))</f>
        <v>0</v>
      </c>
      <c r="AO304" s="9">
        <f>SUM(IFERROR(VLOOKUP($C:$C,Structure!$A:$AJ,AO$1,0)*$D304,0),IFERROR(VLOOKUP($E:$E,Structure!$A:$AJ,AO$1,0)*$F304,0),IFERROR(VLOOKUP($G:$G,Structure!$A:$AJ,AO$1,0)*$H304,0))</f>
        <v>0</v>
      </c>
      <c r="AP304" s="9">
        <f>SUM(IFERROR(VLOOKUP($C:$C,Structure!$A:$AJ,AP$1,0)*$D304,0),IFERROR(VLOOKUP($E:$E,Structure!$A:$AJ,AP$1,0)*$F304,0),IFERROR(VLOOKUP($G:$G,Structure!$A:$AJ,AP$1,0)*$H304,0))</f>
        <v>0</v>
      </c>
      <c r="AQ304" s="9">
        <f>SUM(IFERROR(VLOOKUP($C:$C,Structure!$A:$AJ,AQ$1,0)*$D304,0),IFERROR(VLOOKUP($E:$E,Structure!$A:$AJ,AQ$1,0)*$F304,0),IFERROR(VLOOKUP($G:$G,Structure!$A:$AJ,AQ$1,0)*$H304,0))</f>
        <v>0</v>
      </c>
      <c r="AR304" s="21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4">
        <f t="shared" si="302"/>
        <v>0</v>
      </c>
      <c r="CE304" s="4">
        <f t="shared" si="303"/>
        <v>-236</v>
      </c>
      <c r="CF304" s="4">
        <f t="shared" si="304"/>
        <v>4</v>
      </c>
      <c r="CG304" s="4">
        <f t="shared" si="305"/>
        <v>11</v>
      </c>
      <c r="CH304" s="4">
        <f t="shared" si="306"/>
        <v>-7</v>
      </c>
      <c r="CI304" s="4">
        <f t="shared" si="307"/>
        <v>93</v>
      </c>
      <c r="CJ304" s="4">
        <f t="shared" si="308"/>
        <v>-447</v>
      </c>
      <c r="CK304" s="4">
        <f t="shared" si="309"/>
        <v>-57</v>
      </c>
      <c r="CL304" s="4">
        <f t="shared" si="310"/>
        <v>0</v>
      </c>
      <c r="CM304" s="4">
        <f t="shared" si="311"/>
        <v>6</v>
      </c>
      <c r="CN304" s="4">
        <f t="shared" si="312"/>
        <v>-334</v>
      </c>
      <c r="CO304" s="4">
        <f t="shared" si="313"/>
        <v>0</v>
      </c>
      <c r="CP304" s="4">
        <f t="shared" si="314"/>
        <v>-45</v>
      </c>
      <c r="CQ304" s="4">
        <f t="shared" si="315"/>
        <v>-635</v>
      </c>
      <c r="CR304" s="4">
        <f t="shared" si="316"/>
        <v>12</v>
      </c>
      <c r="CS304" s="4">
        <f t="shared" si="317"/>
        <v>-58</v>
      </c>
      <c r="CT304" s="4">
        <f t="shared" si="318"/>
        <v>0</v>
      </c>
      <c r="CU304" s="4">
        <f t="shared" si="319"/>
        <v>0</v>
      </c>
      <c r="CV304" s="4">
        <f t="shared" si="320"/>
        <v>0</v>
      </c>
      <c r="CW304" s="4">
        <f t="shared" si="321"/>
        <v>0</v>
      </c>
      <c r="CX304" s="4">
        <f t="shared" si="322"/>
        <v>-940</v>
      </c>
      <c r="CY304" s="4">
        <f t="shared" si="323"/>
        <v>0</v>
      </c>
      <c r="CZ304" s="4">
        <f t="shared" si="324"/>
        <v>0</v>
      </c>
      <c r="DA304" s="4">
        <f t="shared" si="325"/>
        <v>0</v>
      </c>
      <c r="DB304" s="4">
        <f t="shared" si="326"/>
        <v>0</v>
      </c>
      <c r="DC304" s="4">
        <f t="shared" si="327"/>
        <v>0</v>
      </c>
      <c r="DD304" s="4">
        <f t="shared" si="328"/>
        <v>0</v>
      </c>
      <c r="DE304" s="4">
        <f t="shared" si="329"/>
        <v>0</v>
      </c>
      <c r="DF304" s="4">
        <f t="shared" si="330"/>
        <v>0</v>
      </c>
      <c r="DG304" s="4">
        <f t="shared" si="331"/>
        <v>0</v>
      </c>
      <c r="DH304" s="4">
        <f t="shared" si="332"/>
        <v>0</v>
      </c>
      <c r="DI304" s="4">
        <f t="shared" si="333"/>
        <v>0</v>
      </c>
      <c r="DJ304" s="4">
        <f t="shared" si="334"/>
        <v>0</v>
      </c>
      <c r="DK304" s="4">
        <f t="shared" si="335"/>
        <v>0</v>
      </c>
      <c r="DL304" s="4">
        <f t="shared" si="336"/>
        <v>0</v>
      </c>
    </row>
    <row r="305" spans="1:116" x14ac:dyDescent="0.25">
      <c r="A305" s="5">
        <v>46189</v>
      </c>
      <c r="B305" s="6">
        <v>0.60416666739911307</v>
      </c>
      <c r="C305" s="3"/>
      <c r="D305" s="3"/>
      <c r="E305" s="3" t="s">
        <v>25</v>
      </c>
      <c r="F305" s="3">
        <v>8</v>
      </c>
      <c r="G305" s="3"/>
      <c r="H305" s="9"/>
      <c r="I305" s="9">
        <f>SUM(IFERROR(VLOOKUP($C:$C,Structure!$A:$AJ,I$1,0)*$D305,0),IFERROR(VLOOKUP($E:$E,Structure!$A:$AJ,I$1,0)*$F305,0),IFERROR(VLOOKUP($G:$G,Structure!$A:$AJ,I$1,0)*$H305,0))</f>
        <v>0</v>
      </c>
      <c r="J305" s="9">
        <f>SUM(IFERROR(VLOOKUP($C:$C,Structure!$A:$AJ,J$1,0)*$D305,0),IFERROR(VLOOKUP($E:$E,Structure!$A:$AJ,J$1,0)*$F305,0),IFERROR(VLOOKUP($G:$G,Structure!$A:$AJ,J$1,0)*$H305,0))</f>
        <v>0</v>
      </c>
      <c r="K305" s="9">
        <f>SUM(IFERROR(VLOOKUP($C:$C,Structure!$A:$AJ,K$1,0)*$D305,0),IFERROR(VLOOKUP($E:$E,Structure!$A:$AJ,K$1,0)*$F305,0),IFERROR(VLOOKUP($G:$G,Structure!$A:$AJ,K$1,0)*$H305,0))</f>
        <v>0</v>
      </c>
      <c r="L305" s="9">
        <f>SUM(IFERROR(VLOOKUP($C:$C,Structure!$A:$AJ,L$1,0)*$D305,0),IFERROR(VLOOKUP($E:$E,Structure!$A:$AJ,L$1,0)*$F305,0),IFERROR(VLOOKUP($G:$G,Structure!$A:$AJ,L$1,0)*$H305,0))</f>
        <v>0</v>
      </c>
      <c r="M305" s="9">
        <f>SUM(IFERROR(VLOOKUP($C:$C,Structure!$A:$AJ,M$1,0)*$D305,0),IFERROR(VLOOKUP($E:$E,Structure!$A:$AJ,M$1,0)*$F305,0),IFERROR(VLOOKUP($G:$G,Structure!$A:$AJ,M$1,0)*$H305,0))</f>
        <v>0</v>
      </c>
      <c r="N305" s="9">
        <f>SUM(IFERROR(VLOOKUP($C:$C,Structure!$A:$AJ,N$1,0)*$D305,0),IFERROR(VLOOKUP($E:$E,Structure!$A:$AJ,N$1,0)*$F305,0),IFERROR(VLOOKUP($G:$G,Structure!$A:$AJ,N$1,0)*$H305,0))</f>
        <v>0</v>
      </c>
      <c r="O305" s="9">
        <f>SUM(IFERROR(VLOOKUP($C:$C,Structure!$A:$AJ,O$1,0)*$D305,0),IFERROR(VLOOKUP($E:$E,Structure!$A:$AJ,O$1,0)*$F305,0),IFERROR(VLOOKUP($G:$G,Structure!$A:$AJ,O$1,0)*$H305,0))</f>
        <v>0</v>
      </c>
      <c r="P305" s="9">
        <f>SUM(IFERROR(VLOOKUP($C:$C,Structure!$A:$AJ,P$1,0)*$D305,0),IFERROR(VLOOKUP($E:$E,Structure!$A:$AJ,P$1,0)*$F305,0),IFERROR(VLOOKUP($G:$G,Structure!$A:$AJ,P$1,0)*$H305,0))</f>
        <v>0</v>
      </c>
      <c r="Q305" s="9">
        <f>SUM(IFERROR(VLOOKUP($C:$C,Structure!$A:$AJ,Q$1,0)*$D305,0),IFERROR(VLOOKUP($E:$E,Structure!$A:$AJ,Q$1,0)*$F305,0),IFERROR(VLOOKUP($G:$G,Structure!$A:$AJ,Q$1,0)*$H305,0))</f>
        <v>0</v>
      </c>
      <c r="R305" s="9">
        <f>SUM(IFERROR(VLOOKUP($C:$C,Structure!$A:$AJ,R$1,0)*$D305,0),IFERROR(VLOOKUP($E:$E,Structure!$A:$AJ,R$1,0)*$F305,0),IFERROR(VLOOKUP($G:$G,Structure!$A:$AJ,R$1,0)*$H305,0))</f>
        <v>0</v>
      </c>
      <c r="S305" s="9">
        <f>SUM(IFERROR(VLOOKUP($C:$C,Structure!$A:$AJ,S$1,0)*$D305,0),IFERROR(VLOOKUP($E:$E,Structure!$A:$AJ,S$1,0)*$F305,0),IFERROR(VLOOKUP($G:$G,Structure!$A:$AJ,S$1,0)*$H305,0))</f>
        <v>0</v>
      </c>
      <c r="T305" s="9">
        <f>SUM(IFERROR(VLOOKUP($C:$C,Structure!$A:$AJ,T$1,0)*$D305,0),IFERROR(VLOOKUP($E:$E,Structure!$A:$AJ,T$1,0)*$F305,0),IFERROR(VLOOKUP($G:$G,Structure!$A:$AJ,T$1,0)*$H305,0))</f>
        <v>0</v>
      </c>
      <c r="U305" s="9">
        <f>SUM(IFERROR(VLOOKUP($C:$C,Structure!$A:$AJ,U$1,0)*$D305,0),IFERROR(VLOOKUP($E:$E,Structure!$A:$AJ,U$1,0)*$F305,0),IFERROR(VLOOKUP($G:$G,Structure!$A:$AJ,U$1,0)*$H305,0))</f>
        <v>8</v>
      </c>
      <c r="V305" s="9">
        <f>SUM(IFERROR(VLOOKUP($C:$C,Structure!$A:$AJ,V$1,0)*$D305,0),IFERROR(VLOOKUP($E:$E,Structure!$A:$AJ,V$1,0)*$F305,0),IFERROR(VLOOKUP($G:$G,Structure!$A:$AJ,V$1,0)*$H305,0))</f>
        <v>0</v>
      </c>
      <c r="W305" s="9">
        <f>SUM(IFERROR(VLOOKUP($C:$C,Structure!$A:$AJ,W$1,0)*$D305,0),IFERROR(VLOOKUP($E:$E,Structure!$A:$AJ,W$1,0)*$F305,0),IFERROR(VLOOKUP($G:$G,Structure!$A:$AJ,W$1,0)*$H305,0))</f>
        <v>0</v>
      </c>
      <c r="X305" s="9">
        <f>SUM(IFERROR(VLOOKUP($C:$C,Structure!$A:$AJ,X$1,0)*$D305,0),IFERROR(VLOOKUP($E:$E,Structure!$A:$AJ,X$1,0)*$F305,0),IFERROR(VLOOKUP($G:$G,Structure!$A:$AJ,X$1,0)*$H305,0))</f>
        <v>0</v>
      </c>
      <c r="Y305" s="9">
        <f>SUM(IFERROR(VLOOKUP($C:$C,Structure!$A:$AJ,Y$1,0)*$D305,0),IFERROR(VLOOKUP($E:$E,Structure!$A:$AJ,Y$1,0)*$F305,0),IFERROR(VLOOKUP($G:$G,Structure!$A:$AJ,Y$1,0)*$H305,0))</f>
        <v>0</v>
      </c>
      <c r="Z305" s="9">
        <f>SUM(IFERROR(VLOOKUP($C:$C,Structure!$A:$AJ,Z$1,0)*$D305,0),IFERROR(VLOOKUP($E:$E,Structure!$A:$AJ,Z$1,0)*$F305,0),IFERROR(VLOOKUP($G:$G,Structure!$A:$AJ,Z$1,0)*$H305,0))</f>
        <v>0</v>
      </c>
      <c r="AA305" s="9">
        <f>SUM(IFERROR(VLOOKUP($C:$C,Structure!$A:$AJ,AA$1,0)*$D305,0),IFERROR(VLOOKUP($E:$E,Structure!$A:$AJ,AA$1,0)*$F305,0),IFERROR(VLOOKUP($G:$G,Structure!$A:$AJ,AA$1,0)*$H305,0))</f>
        <v>0</v>
      </c>
      <c r="AB305" s="9">
        <f>SUM(IFERROR(VLOOKUP($C:$C,Structure!$A:$AJ,AB$1,0)*$D305,0),IFERROR(VLOOKUP($E:$E,Structure!$A:$AJ,AB$1,0)*$F305,0),IFERROR(VLOOKUP($G:$G,Structure!$A:$AJ,AB$1,0)*$H305,0))</f>
        <v>0</v>
      </c>
      <c r="AC305" s="9">
        <f>SUM(IFERROR(VLOOKUP($C:$C,Structure!$A:$AJ,AC$1,0)*$D305,0),IFERROR(VLOOKUP($E:$E,Structure!$A:$AJ,AC$1,0)*$F305,0),IFERROR(VLOOKUP($G:$G,Structure!$A:$AJ,AC$1,0)*$H305,0))</f>
        <v>8</v>
      </c>
      <c r="AD305" s="9">
        <f>SUM(IFERROR(VLOOKUP($C:$C,Structure!$A:$AJ,AD$1,0)*$D305,0),IFERROR(VLOOKUP($E:$E,Structure!$A:$AJ,AD$1,0)*$F305,0),IFERROR(VLOOKUP($G:$G,Structure!$A:$AJ,AD$1,0)*$H305,0))</f>
        <v>0</v>
      </c>
      <c r="AE305" s="9">
        <f>SUM(IFERROR(VLOOKUP($C:$C,Structure!$A:$AJ,AE$1,0)*$D305,0),IFERROR(VLOOKUP($E:$E,Structure!$A:$AJ,AE$1,0)*$F305,0),IFERROR(VLOOKUP($G:$G,Structure!$A:$AJ,AE$1,0)*$H305,0))</f>
        <v>0</v>
      </c>
      <c r="AF305" s="9">
        <f>SUM(IFERROR(VLOOKUP($C:$C,Structure!$A:$AJ,AF$1,0)*$D305,0),IFERROR(VLOOKUP($E:$E,Structure!$A:$AJ,AF$1,0)*$F305,0),IFERROR(VLOOKUP($G:$G,Structure!$A:$AJ,AF$1,0)*$H305,0))</f>
        <v>0</v>
      </c>
      <c r="AG305" s="9">
        <f>SUM(IFERROR(VLOOKUP($C:$C,Structure!$A:$AJ,AG$1,0)*$D305,0),IFERROR(VLOOKUP($E:$E,Structure!$A:$AJ,AG$1,0)*$F305,0),IFERROR(VLOOKUP($G:$G,Structure!$A:$AJ,AG$1,0)*$H305,0))</f>
        <v>0</v>
      </c>
      <c r="AH305" s="9">
        <f>SUM(IFERROR(VLOOKUP($C:$C,Structure!$A:$AJ,AH$1,0)*$D305,0),IFERROR(VLOOKUP($E:$E,Structure!$A:$AJ,AH$1,0)*$F305,0),IFERROR(VLOOKUP($G:$G,Structure!$A:$AJ,AH$1,0)*$H305,0))</f>
        <v>0</v>
      </c>
      <c r="AI305" s="9">
        <f>SUM(IFERROR(VLOOKUP($C:$C,Structure!$A:$AJ,AI$1,0)*$D305,0),IFERROR(VLOOKUP($E:$E,Structure!$A:$AJ,AI$1,0)*$F305,0),IFERROR(VLOOKUP($G:$G,Structure!$A:$AJ,AI$1,0)*$H305,0))</f>
        <v>0</v>
      </c>
      <c r="AJ305" s="9">
        <f>SUM(IFERROR(VLOOKUP($C:$C,Structure!$A:$AJ,AJ$1,0)*$D305,0),IFERROR(VLOOKUP($E:$E,Structure!$A:$AJ,AJ$1,0)*$F305,0),IFERROR(VLOOKUP($G:$G,Structure!$A:$AJ,AJ$1,0)*$H305,0))</f>
        <v>0</v>
      </c>
      <c r="AK305" s="9">
        <f>SUM(IFERROR(VLOOKUP($C:$C,Structure!$A:$AJ,AK$1,0)*$D305,0),IFERROR(VLOOKUP($E:$E,Structure!$A:$AJ,AK$1,0)*$F305,0),IFERROR(VLOOKUP($G:$G,Structure!$A:$AJ,AK$1,0)*$H305,0))</f>
        <v>0</v>
      </c>
      <c r="AL305" s="9">
        <f>SUM(IFERROR(VLOOKUP($C:$C,Structure!$A:$AJ,AL$1,0)*$D305,0),IFERROR(VLOOKUP($E:$E,Structure!$A:$AJ,AL$1,0)*$F305,0),IFERROR(VLOOKUP($G:$G,Structure!$A:$AJ,AL$1,0)*$H305,0))</f>
        <v>0</v>
      </c>
      <c r="AM305" s="9">
        <f>SUM(IFERROR(VLOOKUP($C:$C,Structure!$A:$AJ,AM$1,0)*$D305,0),IFERROR(VLOOKUP($E:$E,Structure!$A:$AJ,AM$1,0)*$F305,0),IFERROR(VLOOKUP($G:$G,Structure!$A:$AJ,AM$1,0)*$H305,0))</f>
        <v>0</v>
      </c>
      <c r="AN305" s="9">
        <f>SUM(IFERROR(VLOOKUP($C:$C,Structure!$A:$AJ,AN$1,0)*$D305,0),IFERROR(VLOOKUP($E:$E,Structure!$A:$AJ,AN$1,0)*$F305,0),IFERROR(VLOOKUP($G:$G,Structure!$A:$AJ,AN$1,0)*$H305,0))</f>
        <v>0</v>
      </c>
      <c r="AO305" s="9">
        <f>SUM(IFERROR(VLOOKUP($C:$C,Structure!$A:$AJ,AO$1,0)*$D305,0),IFERROR(VLOOKUP($E:$E,Structure!$A:$AJ,AO$1,0)*$F305,0),IFERROR(VLOOKUP($G:$G,Structure!$A:$AJ,AO$1,0)*$H305,0))</f>
        <v>0</v>
      </c>
      <c r="AP305" s="9">
        <f>SUM(IFERROR(VLOOKUP($C:$C,Structure!$A:$AJ,AP$1,0)*$D305,0),IFERROR(VLOOKUP($E:$E,Structure!$A:$AJ,AP$1,0)*$F305,0),IFERROR(VLOOKUP($G:$G,Structure!$A:$AJ,AP$1,0)*$H305,0))</f>
        <v>0</v>
      </c>
      <c r="AQ305" s="9">
        <f>SUM(IFERROR(VLOOKUP($C:$C,Structure!$A:$AJ,AQ$1,0)*$D305,0),IFERROR(VLOOKUP($E:$E,Structure!$A:$AJ,AQ$1,0)*$F305,0),IFERROR(VLOOKUP($G:$G,Structure!$A:$AJ,AQ$1,0)*$H305,0))</f>
        <v>0</v>
      </c>
      <c r="AR305" s="21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4">
        <f t="shared" si="302"/>
        <v>0</v>
      </c>
      <c r="CE305" s="4">
        <f t="shared" si="303"/>
        <v>-236</v>
      </c>
      <c r="CF305" s="4">
        <f t="shared" si="304"/>
        <v>4</v>
      </c>
      <c r="CG305" s="4">
        <f t="shared" si="305"/>
        <v>11</v>
      </c>
      <c r="CH305" s="4">
        <f t="shared" si="306"/>
        <v>-7</v>
      </c>
      <c r="CI305" s="4">
        <f t="shared" si="307"/>
        <v>93</v>
      </c>
      <c r="CJ305" s="4">
        <f t="shared" si="308"/>
        <v>-447</v>
      </c>
      <c r="CK305" s="4">
        <f t="shared" si="309"/>
        <v>-57</v>
      </c>
      <c r="CL305" s="4">
        <f t="shared" si="310"/>
        <v>0</v>
      </c>
      <c r="CM305" s="4">
        <f t="shared" si="311"/>
        <v>6</v>
      </c>
      <c r="CN305" s="4">
        <f t="shared" si="312"/>
        <v>-334</v>
      </c>
      <c r="CO305" s="4">
        <f t="shared" si="313"/>
        <v>0</v>
      </c>
      <c r="CP305" s="4">
        <f t="shared" si="314"/>
        <v>-53</v>
      </c>
      <c r="CQ305" s="4">
        <f t="shared" si="315"/>
        <v>-635</v>
      </c>
      <c r="CR305" s="4">
        <f t="shared" si="316"/>
        <v>12</v>
      </c>
      <c r="CS305" s="4">
        <f t="shared" si="317"/>
        <v>-58</v>
      </c>
      <c r="CT305" s="4">
        <f t="shared" si="318"/>
        <v>0</v>
      </c>
      <c r="CU305" s="4">
        <f t="shared" si="319"/>
        <v>0</v>
      </c>
      <c r="CV305" s="4">
        <f t="shared" si="320"/>
        <v>0</v>
      </c>
      <c r="CW305" s="4">
        <f t="shared" si="321"/>
        <v>0</v>
      </c>
      <c r="CX305" s="4">
        <f t="shared" si="322"/>
        <v>-948</v>
      </c>
      <c r="CY305" s="4">
        <f t="shared" si="323"/>
        <v>0</v>
      </c>
      <c r="CZ305" s="4">
        <f t="shared" si="324"/>
        <v>0</v>
      </c>
      <c r="DA305" s="4">
        <f t="shared" si="325"/>
        <v>0</v>
      </c>
      <c r="DB305" s="4">
        <f t="shared" si="326"/>
        <v>0</v>
      </c>
      <c r="DC305" s="4">
        <f t="shared" si="327"/>
        <v>0</v>
      </c>
      <c r="DD305" s="4">
        <f t="shared" si="328"/>
        <v>0</v>
      </c>
      <c r="DE305" s="4">
        <f t="shared" si="329"/>
        <v>0</v>
      </c>
      <c r="DF305" s="4">
        <f t="shared" si="330"/>
        <v>0</v>
      </c>
      <c r="DG305" s="4">
        <f t="shared" si="331"/>
        <v>0</v>
      </c>
      <c r="DH305" s="4">
        <f t="shared" si="332"/>
        <v>0</v>
      </c>
      <c r="DI305" s="4">
        <f t="shared" si="333"/>
        <v>0</v>
      </c>
      <c r="DJ305" s="4">
        <f t="shared" si="334"/>
        <v>0</v>
      </c>
      <c r="DK305" s="4">
        <f t="shared" si="335"/>
        <v>0</v>
      </c>
      <c r="DL305" s="4">
        <f t="shared" si="336"/>
        <v>0</v>
      </c>
    </row>
    <row r="306" spans="1:116" x14ac:dyDescent="0.25">
      <c r="A306" s="5">
        <v>46189</v>
      </c>
      <c r="B306" s="6">
        <v>0.62500000073487172</v>
      </c>
      <c r="C306" s="3"/>
      <c r="D306" s="3"/>
      <c r="E306" s="3" t="s">
        <v>25</v>
      </c>
      <c r="F306" s="3">
        <v>8</v>
      </c>
      <c r="G306" s="3"/>
      <c r="H306" s="9"/>
      <c r="I306" s="9">
        <f>SUM(IFERROR(VLOOKUP($C:$C,Structure!$A:$AJ,I$1,0)*$D306,0),IFERROR(VLOOKUP($E:$E,Structure!$A:$AJ,I$1,0)*$F306,0),IFERROR(VLOOKUP($G:$G,Structure!$A:$AJ,I$1,0)*$H306,0))</f>
        <v>0</v>
      </c>
      <c r="J306" s="9">
        <f>SUM(IFERROR(VLOOKUP($C:$C,Structure!$A:$AJ,J$1,0)*$D306,0),IFERROR(VLOOKUP($E:$E,Structure!$A:$AJ,J$1,0)*$F306,0),IFERROR(VLOOKUP($G:$G,Structure!$A:$AJ,J$1,0)*$H306,0))</f>
        <v>0</v>
      </c>
      <c r="K306" s="9">
        <f>SUM(IFERROR(VLOOKUP($C:$C,Structure!$A:$AJ,K$1,0)*$D306,0),IFERROR(VLOOKUP($E:$E,Structure!$A:$AJ,K$1,0)*$F306,0),IFERROR(VLOOKUP($G:$G,Structure!$A:$AJ,K$1,0)*$H306,0))</f>
        <v>0</v>
      </c>
      <c r="L306" s="9">
        <f>SUM(IFERROR(VLOOKUP($C:$C,Structure!$A:$AJ,L$1,0)*$D306,0),IFERROR(VLOOKUP($E:$E,Structure!$A:$AJ,L$1,0)*$F306,0),IFERROR(VLOOKUP($G:$G,Structure!$A:$AJ,L$1,0)*$H306,0))</f>
        <v>0</v>
      </c>
      <c r="M306" s="9">
        <f>SUM(IFERROR(VLOOKUP($C:$C,Structure!$A:$AJ,M$1,0)*$D306,0),IFERROR(VLOOKUP($E:$E,Structure!$A:$AJ,M$1,0)*$F306,0),IFERROR(VLOOKUP($G:$G,Structure!$A:$AJ,M$1,0)*$H306,0))</f>
        <v>0</v>
      </c>
      <c r="N306" s="9">
        <f>SUM(IFERROR(VLOOKUP($C:$C,Structure!$A:$AJ,N$1,0)*$D306,0),IFERROR(VLOOKUP($E:$E,Structure!$A:$AJ,N$1,0)*$F306,0),IFERROR(VLOOKUP($G:$G,Structure!$A:$AJ,N$1,0)*$H306,0))</f>
        <v>0</v>
      </c>
      <c r="O306" s="9">
        <f>SUM(IFERROR(VLOOKUP($C:$C,Structure!$A:$AJ,O$1,0)*$D306,0),IFERROR(VLOOKUP($E:$E,Structure!$A:$AJ,O$1,0)*$F306,0),IFERROR(VLOOKUP($G:$G,Structure!$A:$AJ,O$1,0)*$H306,0))</f>
        <v>0</v>
      </c>
      <c r="P306" s="9">
        <f>SUM(IFERROR(VLOOKUP($C:$C,Structure!$A:$AJ,P$1,0)*$D306,0),IFERROR(VLOOKUP($E:$E,Structure!$A:$AJ,P$1,0)*$F306,0),IFERROR(VLOOKUP($G:$G,Structure!$A:$AJ,P$1,0)*$H306,0))</f>
        <v>0</v>
      </c>
      <c r="Q306" s="9">
        <f>SUM(IFERROR(VLOOKUP($C:$C,Structure!$A:$AJ,Q$1,0)*$D306,0),IFERROR(VLOOKUP($E:$E,Structure!$A:$AJ,Q$1,0)*$F306,0),IFERROR(VLOOKUP($G:$G,Structure!$A:$AJ,Q$1,0)*$H306,0))</f>
        <v>0</v>
      </c>
      <c r="R306" s="9">
        <f>SUM(IFERROR(VLOOKUP($C:$C,Structure!$A:$AJ,R$1,0)*$D306,0),IFERROR(VLOOKUP($E:$E,Structure!$A:$AJ,R$1,0)*$F306,0),IFERROR(VLOOKUP($G:$G,Structure!$A:$AJ,R$1,0)*$H306,0))</f>
        <v>0</v>
      </c>
      <c r="S306" s="9">
        <f>SUM(IFERROR(VLOOKUP($C:$C,Structure!$A:$AJ,S$1,0)*$D306,0),IFERROR(VLOOKUP($E:$E,Structure!$A:$AJ,S$1,0)*$F306,0),IFERROR(VLOOKUP($G:$G,Structure!$A:$AJ,S$1,0)*$H306,0))</f>
        <v>0</v>
      </c>
      <c r="T306" s="9">
        <f>SUM(IFERROR(VLOOKUP($C:$C,Structure!$A:$AJ,T$1,0)*$D306,0),IFERROR(VLOOKUP($E:$E,Structure!$A:$AJ,T$1,0)*$F306,0),IFERROR(VLOOKUP($G:$G,Structure!$A:$AJ,T$1,0)*$H306,0))</f>
        <v>0</v>
      </c>
      <c r="U306" s="9">
        <f>SUM(IFERROR(VLOOKUP($C:$C,Structure!$A:$AJ,U$1,0)*$D306,0),IFERROR(VLOOKUP($E:$E,Structure!$A:$AJ,U$1,0)*$F306,0),IFERROR(VLOOKUP($G:$G,Structure!$A:$AJ,U$1,0)*$H306,0))</f>
        <v>8</v>
      </c>
      <c r="V306" s="9">
        <f>SUM(IFERROR(VLOOKUP($C:$C,Structure!$A:$AJ,V$1,0)*$D306,0),IFERROR(VLOOKUP($E:$E,Structure!$A:$AJ,V$1,0)*$F306,0),IFERROR(VLOOKUP($G:$G,Structure!$A:$AJ,V$1,0)*$H306,0))</f>
        <v>0</v>
      </c>
      <c r="W306" s="9">
        <f>SUM(IFERROR(VLOOKUP($C:$C,Structure!$A:$AJ,W$1,0)*$D306,0),IFERROR(VLOOKUP($E:$E,Structure!$A:$AJ,W$1,0)*$F306,0),IFERROR(VLOOKUP($G:$G,Structure!$A:$AJ,W$1,0)*$H306,0))</f>
        <v>0</v>
      </c>
      <c r="X306" s="9">
        <f>SUM(IFERROR(VLOOKUP($C:$C,Structure!$A:$AJ,X$1,0)*$D306,0),IFERROR(VLOOKUP($E:$E,Structure!$A:$AJ,X$1,0)*$F306,0),IFERROR(VLOOKUP($G:$G,Structure!$A:$AJ,X$1,0)*$H306,0))</f>
        <v>0</v>
      </c>
      <c r="Y306" s="9">
        <f>SUM(IFERROR(VLOOKUP($C:$C,Structure!$A:$AJ,Y$1,0)*$D306,0),IFERROR(VLOOKUP($E:$E,Structure!$A:$AJ,Y$1,0)*$F306,0),IFERROR(VLOOKUP($G:$G,Structure!$A:$AJ,Y$1,0)*$H306,0))</f>
        <v>0</v>
      </c>
      <c r="Z306" s="9">
        <f>SUM(IFERROR(VLOOKUP($C:$C,Structure!$A:$AJ,Z$1,0)*$D306,0),IFERROR(VLOOKUP($E:$E,Structure!$A:$AJ,Z$1,0)*$F306,0),IFERROR(VLOOKUP($G:$G,Structure!$A:$AJ,Z$1,0)*$H306,0))</f>
        <v>0</v>
      </c>
      <c r="AA306" s="9">
        <f>SUM(IFERROR(VLOOKUP($C:$C,Structure!$A:$AJ,AA$1,0)*$D306,0),IFERROR(VLOOKUP($E:$E,Structure!$A:$AJ,AA$1,0)*$F306,0),IFERROR(VLOOKUP($G:$G,Structure!$A:$AJ,AA$1,0)*$H306,0))</f>
        <v>0</v>
      </c>
      <c r="AB306" s="9">
        <f>SUM(IFERROR(VLOOKUP($C:$C,Structure!$A:$AJ,AB$1,0)*$D306,0),IFERROR(VLOOKUP($E:$E,Structure!$A:$AJ,AB$1,0)*$F306,0),IFERROR(VLOOKUP($G:$G,Structure!$A:$AJ,AB$1,0)*$H306,0))</f>
        <v>0</v>
      </c>
      <c r="AC306" s="9">
        <f>SUM(IFERROR(VLOOKUP($C:$C,Structure!$A:$AJ,AC$1,0)*$D306,0),IFERROR(VLOOKUP($E:$E,Structure!$A:$AJ,AC$1,0)*$F306,0),IFERROR(VLOOKUP($G:$G,Structure!$A:$AJ,AC$1,0)*$H306,0))</f>
        <v>8</v>
      </c>
      <c r="AD306" s="9">
        <f>SUM(IFERROR(VLOOKUP($C:$C,Structure!$A:$AJ,AD$1,0)*$D306,0),IFERROR(VLOOKUP($E:$E,Structure!$A:$AJ,AD$1,0)*$F306,0),IFERROR(VLOOKUP($G:$G,Structure!$A:$AJ,AD$1,0)*$H306,0))</f>
        <v>0</v>
      </c>
      <c r="AE306" s="9">
        <f>SUM(IFERROR(VLOOKUP($C:$C,Structure!$A:$AJ,AE$1,0)*$D306,0),IFERROR(VLOOKUP($E:$E,Structure!$A:$AJ,AE$1,0)*$F306,0),IFERROR(VLOOKUP($G:$G,Structure!$A:$AJ,AE$1,0)*$H306,0))</f>
        <v>0</v>
      </c>
      <c r="AF306" s="9">
        <f>SUM(IFERROR(VLOOKUP($C:$C,Structure!$A:$AJ,AF$1,0)*$D306,0),IFERROR(VLOOKUP($E:$E,Structure!$A:$AJ,AF$1,0)*$F306,0),IFERROR(VLOOKUP($G:$G,Structure!$A:$AJ,AF$1,0)*$H306,0))</f>
        <v>0</v>
      </c>
      <c r="AG306" s="9">
        <f>SUM(IFERROR(VLOOKUP($C:$C,Structure!$A:$AJ,AG$1,0)*$D306,0),IFERROR(VLOOKUP($E:$E,Structure!$A:$AJ,AG$1,0)*$F306,0),IFERROR(VLOOKUP($G:$G,Structure!$A:$AJ,AG$1,0)*$H306,0))</f>
        <v>0</v>
      </c>
      <c r="AH306" s="9">
        <f>SUM(IFERROR(VLOOKUP($C:$C,Structure!$A:$AJ,AH$1,0)*$D306,0),IFERROR(VLOOKUP($E:$E,Structure!$A:$AJ,AH$1,0)*$F306,0),IFERROR(VLOOKUP($G:$G,Structure!$A:$AJ,AH$1,0)*$H306,0))</f>
        <v>0</v>
      </c>
      <c r="AI306" s="9">
        <f>SUM(IFERROR(VLOOKUP($C:$C,Structure!$A:$AJ,AI$1,0)*$D306,0),IFERROR(VLOOKUP($E:$E,Structure!$A:$AJ,AI$1,0)*$F306,0),IFERROR(VLOOKUP($G:$G,Structure!$A:$AJ,AI$1,0)*$H306,0))</f>
        <v>0</v>
      </c>
      <c r="AJ306" s="9">
        <f>SUM(IFERROR(VLOOKUP($C:$C,Structure!$A:$AJ,AJ$1,0)*$D306,0),IFERROR(VLOOKUP($E:$E,Structure!$A:$AJ,AJ$1,0)*$F306,0),IFERROR(VLOOKUP($G:$G,Structure!$A:$AJ,AJ$1,0)*$H306,0))</f>
        <v>0</v>
      </c>
      <c r="AK306" s="9">
        <f>SUM(IFERROR(VLOOKUP($C:$C,Structure!$A:$AJ,AK$1,0)*$D306,0),IFERROR(VLOOKUP($E:$E,Structure!$A:$AJ,AK$1,0)*$F306,0),IFERROR(VLOOKUP($G:$G,Structure!$A:$AJ,AK$1,0)*$H306,0))</f>
        <v>0</v>
      </c>
      <c r="AL306" s="9">
        <f>SUM(IFERROR(VLOOKUP($C:$C,Structure!$A:$AJ,AL$1,0)*$D306,0),IFERROR(VLOOKUP($E:$E,Structure!$A:$AJ,AL$1,0)*$F306,0),IFERROR(VLOOKUP($G:$G,Structure!$A:$AJ,AL$1,0)*$H306,0))</f>
        <v>0</v>
      </c>
      <c r="AM306" s="9">
        <f>SUM(IFERROR(VLOOKUP($C:$C,Structure!$A:$AJ,AM$1,0)*$D306,0),IFERROR(VLOOKUP($E:$E,Structure!$A:$AJ,AM$1,0)*$F306,0),IFERROR(VLOOKUP($G:$G,Structure!$A:$AJ,AM$1,0)*$H306,0))</f>
        <v>0</v>
      </c>
      <c r="AN306" s="9">
        <f>SUM(IFERROR(VLOOKUP($C:$C,Structure!$A:$AJ,AN$1,0)*$D306,0),IFERROR(VLOOKUP($E:$E,Structure!$A:$AJ,AN$1,0)*$F306,0),IFERROR(VLOOKUP($G:$G,Structure!$A:$AJ,AN$1,0)*$H306,0))</f>
        <v>0</v>
      </c>
      <c r="AO306" s="9">
        <f>SUM(IFERROR(VLOOKUP($C:$C,Structure!$A:$AJ,AO$1,0)*$D306,0),IFERROR(VLOOKUP($E:$E,Structure!$A:$AJ,AO$1,0)*$F306,0),IFERROR(VLOOKUP($G:$G,Structure!$A:$AJ,AO$1,0)*$H306,0))</f>
        <v>0</v>
      </c>
      <c r="AP306" s="9">
        <f>SUM(IFERROR(VLOOKUP($C:$C,Structure!$A:$AJ,AP$1,0)*$D306,0),IFERROR(VLOOKUP($E:$E,Structure!$A:$AJ,AP$1,0)*$F306,0),IFERROR(VLOOKUP($G:$G,Structure!$A:$AJ,AP$1,0)*$H306,0))</f>
        <v>0</v>
      </c>
      <c r="AQ306" s="9">
        <f>SUM(IFERROR(VLOOKUP($C:$C,Structure!$A:$AJ,AQ$1,0)*$D306,0),IFERROR(VLOOKUP($E:$E,Structure!$A:$AJ,AQ$1,0)*$F306,0),IFERROR(VLOOKUP($G:$G,Structure!$A:$AJ,AQ$1,0)*$H306,0))</f>
        <v>0</v>
      </c>
      <c r="AR306" s="21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4">
        <f t="shared" si="302"/>
        <v>0</v>
      </c>
      <c r="CE306" s="4">
        <f t="shared" si="303"/>
        <v>-236</v>
      </c>
      <c r="CF306" s="4">
        <f t="shared" si="304"/>
        <v>4</v>
      </c>
      <c r="CG306" s="4">
        <f t="shared" si="305"/>
        <v>11</v>
      </c>
      <c r="CH306" s="4">
        <f t="shared" si="306"/>
        <v>-7</v>
      </c>
      <c r="CI306" s="4">
        <f t="shared" si="307"/>
        <v>93</v>
      </c>
      <c r="CJ306" s="4">
        <f t="shared" si="308"/>
        <v>-447</v>
      </c>
      <c r="CK306" s="4">
        <f t="shared" si="309"/>
        <v>-57</v>
      </c>
      <c r="CL306" s="4">
        <f t="shared" si="310"/>
        <v>0</v>
      </c>
      <c r="CM306" s="4">
        <f t="shared" si="311"/>
        <v>6</v>
      </c>
      <c r="CN306" s="4">
        <f t="shared" si="312"/>
        <v>-334</v>
      </c>
      <c r="CO306" s="4">
        <f t="shared" si="313"/>
        <v>0</v>
      </c>
      <c r="CP306" s="4">
        <f t="shared" si="314"/>
        <v>-61</v>
      </c>
      <c r="CQ306" s="4">
        <f t="shared" si="315"/>
        <v>-635</v>
      </c>
      <c r="CR306" s="4">
        <f t="shared" si="316"/>
        <v>12</v>
      </c>
      <c r="CS306" s="4">
        <f t="shared" si="317"/>
        <v>-58</v>
      </c>
      <c r="CT306" s="4">
        <f t="shared" si="318"/>
        <v>0</v>
      </c>
      <c r="CU306" s="4">
        <f t="shared" si="319"/>
        <v>0</v>
      </c>
      <c r="CV306" s="4">
        <f t="shared" si="320"/>
        <v>0</v>
      </c>
      <c r="CW306" s="4">
        <f t="shared" si="321"/>
        <v>0</v>
      </c>
      <c r="CX306" s="4">
        <f t="shared" si="322"/>
        <v>-956</v>
      </c>
      <c r="CY306" s="4">
        <f t="shared" si="323"/>
        <v>0</v>
      </c>
      <c r="CZ306" s="4">
        <f t="shared" si="324"/>
        <v>0</v>
      </c>
      <c r="DA306" s="4">
        <f t="shared" si="325"/>
        <v>0</v>
      </c>
      <c r="DB306" s="4">
        <f t="shared" si="326"/>
        <v>0</v>
      </c>
      <c r="DC306" s="4">
        <f t="shared" si="327"/>
        <v>0</v>
      </c>
      <c r="DD306" s="4">
        <f t="shared" si="328"/>
        <v>0</v>
      </c>
      <c r="DE306" s="4">
        <f t="shared" si="329"/>
        <v>0</v>
      </c>
      <c r="DF306" s="4">
        <f t="shared" si="330"/>
        <v>0</v>
      </c>
      <c r="DG306" s="4">
        <f t="shared" si="331"/>
        <v>0</v>
      </c>
      <c r="DH306" s="4">
        <f t="shared" si="332"/>
        <v>0</v>
      </c>
      <c r="DI306" s="4">
        <f t="shared" si="333"/>
        <v>0</v>
      </c>
      <c r="DJ306" s="4">
        <f t="shared" si="334"/>
        <v>0</v>
      </c>
      <c r="DK306" s="4">
        <f t="shared" si="335"/>
        <v>0</v>
      </c>
      <c r="DL306" s="4">
        <f t="shared" si="336"/>
        <v>0</v>
      </c>
    </row>
    <row r="307" spans="1:116" x14ac:dyDescent="0.25">
      <c r="A307" s="5">
        <v>46189</v>
      </c>
      <c r="B307" s="6">
        <v>0.64583333407063037</v>
      </c>
      <c r="C307" s="3"/>
      <c r="D307" s="3"/>
      <c r="E307" s="3" t="s">
        <v>38</v>
      </c>
      <c r="F307" s="3">
        <v>8</v>
      </c>
      <c r="G307" s="3"/>
      <c r="H307" s="9"/>
      <c r="I307" s="9">
        <f>SUM(IFERROR(VLOOKUP($C:$C,Structure!$A:$AJ,I$1,0)*$D307,0),IFERROR(VLOOKUP($E:$E,Structure!$A:$AJ,I$1,0)*$F307,0),IFERROR(VLOOKUP($G:$G,Structure!$A:$AJ,I$1,0)*$H307,0))</f>
        <v>0</v>
      </c>
      <c r="J307" s="9">
        <f>SUM(IFERROR(VLOOKUP($C:$C,Structure!$A:$AJ,J$1,0)*$D307,0),IFERROR(VLOOKUP($E:$E,Structure!$A:$AJ,J$1,0)*$F307,0),IFERROR(VLOOKUP($G:$G,Structure!$A:$AJ,J$1,0)*$H307,0))</f>
        <v>8</v>
      </c>
      <c r="K307" s="9">
        <f>SUM(IFERROR(VLOOKUP($C:$C,Structure!$A:$AJ,K$1,0)*$D307,0),IFERROR(VLOOKUP($E:$E,Structure!$A:$AJ,K$1,0)*$F307,0),IFERROR(VLOOKUP($G:$G,Structure!$A:$AJ,K$1,0)*$H307,0))</f>
        <v>0</v>
      </c>
      <c r="L307" s="9">
        <f>SUM(IFERROR(VLOOKUP($C:$C,Structure!$A:$AJ,L$1,0)*$D307,0),IFERROR(VLOOKUP($E:$E,Structure!$A:$AJ,L$1,0)*$F307,0),IFERROR(VLOOKUP($G:$G,Structure!$A:$AJ,L$1,0)*$H307,0))</f>
        <v>0</v>
      </c>
      <c r="M307" s="9">
        <f>SUM(IFERROR(VLOOKUP($C:$C,Structure!$A:$AJ,M$1,0)*$D307,0),IFERROR(VLOOKUP($E:$E,Structure!$A:$AJ,M$1,0)*$F307,0),IFERROR(VLOOKUP($G:$G,Structure!$A:$AJ,M$1,0)*$H307,0))</f>
        <v>0</v>
      </c>
      <c r="N307" s="9">
        <f>SUM(IFERROR(VLOOKUP($C:$C,Structure!$A:$AJ,N$1,0)*$D307,0),IFERROR(VLOOKUP($E:$E,Structure!$A:$AJ,N$1,0)*$F307,0),IFERROR(VLOOKUP($G:$G,Structure!$A:$AJ,N$1,0)*$H307,0))</f>
        <v>0</v>
      </c>
      <c r="O307" s="9">
        <f>SUM(IFERROR(VLOOKUP($C:$C,Structure!$A:$AJ,O$1,0)*$D307,0),IFERROR(VLOOKUP($E:$E,Structure!$A:$AJ,O$1,0)*$F307,0),IFERROR(VLOOKUP($G:$G,Structure!$A:$AJ,O$1,0)*$H307,0))</f>
        <v>0</v>
      </c>
      <c r="P307" s="9">
        <f>SUM(IFERROR(VLOOKUP($C:$C,Structure!$A:$AJ,P$1,0)*$D307,0),IFERROR(VLOOKUP($E:$E,Structure!$A:$AJ,P$1,0)*$F307,0),IFERROR(VLOOKUP($G:$G,Structure!$A:$AJ,P$1,0)*$H307,0))</f>
        <v>8</v>
      </c>
      <c r="Q307" s="9">
        <f>SUM(IFERROR(VLOOKUP($C:$C,Structure!$A:$AJ,Q$1,0)*$D307,0),IFERROR(VLOOKUP($E:$E,Structure!$A:$AJ,Q$1,0)*$F307,0),IFERROR(VLOOKUP($G:$G,Structure!$A:$AJ,Q$1,0)*$H307,0))</f>
        <v>0</v>
      </c>
      <c r="R307" s="9">
        <f>SUM(IFERROR(VLOOKUP($C:$C,Structure!$A:$AJ,R$1,0)*$D307,0),IFERROR(VLOOKUP($E:$E,Structure!$A:$AJ,R$1,0)*$F307,0),IFERROR(VLOOKUP($G:$G,Structure!$A:$AJ,R$1,0)*$H307,0))</f>
        <v>0</v>
      </c>
      <c r="S307" s="9">
        <f>SUM(IFERROR(VLOOKUP($C:$C,Structure!$A:$AJ,S$1,0)*$D307,0),IFERROR(VLOOKUP($E:$E,Structure!$A:$AJ,S$1,0)*$F307,0),IFERROR(VLOOKUP($G:$G,Structure!$A:$AJ,S$1,0)*$H307,0))</f>
        <v>0</v>
      </c>
      <c r="T307" s="9">
        <f>SUM(IFERROR(VLOOKUP($C:$C,Structure!$A:$AJ,T$1,0)*$D307,0),IFERROR(VLOOKUP($E:$E,Structure!$A:$AJ,T$1,0)*$F307,0),IFERROR(VLOOKUP($G:$G,Structure!$A:$AJ,T$1,0)*$H307,0))</f>
        <v>0</v>
      </c>
      <c r="U307" s="9">
        <f>SUM(IFERROR(VLOOKUP($C:$C,Structure!$A:$AJ,U$1,0)*$D307,0),IFERROR(VLOOKUP($E:$E,Structure!$A:$AJ,U$1,0)*$F307,0),IFERROR(VLOOKUP($G:$G,Structure!$A:$AJ,U$1,0)*$H307,0))</f>
        <v>0</v>
      </c>
      <c r="V307" s="9">
        <f>SUM(IFERROR(VLOOKUP($C:$C,Structure!$A:$AJ,V$1,0)*$D307,0),IFERROR(VLOOKUP($E:$E,Structure!$A:$AJ,V$1,0)*$F307,0),IFERROR(VLOOKUP($G:$G,Structure!$A:$AJ,V$1,0)*$H307,0))</f>
        <v>0</v>
      </c>
      <c r="W307" s="9">
        <f>SUM(IFERROR(VLOOKUP($C:$C,Structure!$A:$AJ,W$1,0)*$D307,0),IFERROR(VLOOKUP($E:$E,Structure!$A:$AJ,W$1,0)*$F307,0),IFERROR(VLOOKUP($G:$G,Structure!$A:$AJ,W$1,0)*$H307,0))</f>
        <v>0</v>
      </c>
      <c r="X307" s="9">
        <f>SUM(IFERROR(VLOOKUP($C:$C,Structure!$A:$AJ,X$1,0)*$D307,0),IFERROR(VLOOKUP($E:$E,Structure!$A:$AJ,X$1,0)*$F307,0),IFERROR(VLOOKUP($G:$G,Structure!$A:$AJ,X$1,0)*$H307,0))</f>
        <v>0</v>
      </c>
      <c r="Y307" s="9">
        <f>SUM(IFERROR(VLOOKUP($C:$C,Structure!$A:$AJ,Y$1,0)*$D307,0),IFERROR(VLOOKUP($E:$E,Structure!$A:$AJ,Y$1,0)*$F307,0),IFERROR(VLOOKUP($G:$G,Structure!$A:$AJ,Y$1,0)*$H307,0))</f>
        <v>0</v>
      </c>
      <c r="Z307" s="9">
        <f>SUM(IFERROR(VLOOKUP($C:$C,Structure!$A:$AJ,Z$1,0)*$D307,0),IFERROR(VLOOKUP($E:$E,Structure!$A:$AJ,Z$1,0)*$F307,0),IFERROR(VLOOKUP($G:$G,Structure!$A:$AJ,Z$1,0)*$H307,0))</f>
        <v>0</v>
      </c>
      <c r="AA307" s="9">
        <f>SUM(IFERROR(VLOOKUP($C:$C,Structure!$A:$AJ,AA$1,0)*$D307,0),IFERROR(VLOOKUP($E:$E,Structure!$A:$AJ,AA$1,0)*$F307,0),IFERROR(VLOOKUP($G:$G,Structure!$A:$AJ,AA$1,0)*$H307,0))</f>
        <v>0</v>
      </c>
      <c r="AB307" s="9">
        <f>SUM(IFERROR(VLOOKUP($C:$C,Structure!$A:$AJ,AB$1,0)*$D307,0),IFERROR(VLOOKUP($E:$E,Structure!$A:$AJ,AB$1,0)*$F307,0),IFERROR(VLOOKUP($G:$G,Structure!$A:$AJ,AB$1,0)*$H307,0))</f>
        <v>0</v>
      </c>
      <c r="AC307" s="9">
        <f>SUM(IFERROR(VLOOKUP($C:$C,Structure!$A:$AJ,AC$1,0)*$D307,0),IFERROR(VLOOKUP($E:$E,Structure!$A:$AJ,AC$1,0)*$F307,0),IFERROR(VLOOKUP($G:$G,Structure!$A:$AJ,AC$1,0)*$H307,0))</f>
        <v>0</v>
      </c>
      <c r="AD307" s="9">
        <f>SUM(IFERROR(VLOOKUP($C:$C,Structure!$A:$AJ,AD$1,0)*$D307,0),IFERROR(VLOOKUP($E:$E,Structure!$A:$AJ,AD$1,0)*$F307,0),IFERROR(VLOOKUP($G:$G,Structure!$A:$AJ,AD$1,0)*$H307,0))</f>
        <v>0</v>
      </c>
      <c r="AE307" s="9">
        <f>SUM(IFERROR(VLOOKUP($C:$C,Structure!$A:$AJ,AE$1,0)*$D307,0),IFERROR(VLOOKUP($E:$E,Structure!$A:$AJ,AE$1,0)*$F307,0),IFERROR(VLOOKUP($G:$G,Structure!$A:$AJ,AE$1,0)*$H307,0))</f>
        <v>0</v>
      </c>
      <c r="AF307" s="9">
        <f>SUM(IFERROR(VLOOKUP($C:$C,Structure!$A:$AJ,AF$1,0)*$D307,0),IFERROR(VLOOKUP($E:$E,Structure!$A:$AJ,AF$1,0)*$F307,0),IFERROR(VLOOKUP($G:$G,Structure!$A:$AJ,AF$1,0)*$H307,0))</f>
        <v>0</v>
      </c>
      <c r="AG307" s="9">
        <f>SUM(IFERROR(VLOOKUP($C:$C,Structure!$A:$AJ,AG$1,0)*$D307,0),IFERROR(VLOOKUP($E:$E,Structure!$A:$AJ,AG$1,0)*$F307,0),IFERROR(VLOOKUP($G:$G,Structure!$A:$AJ,AG$1,0)*$H307,0))</f>
        <v>0</v>
      </c>
      <c r="AH307" s="9">
        <f>SUM(IFERROR(VLOOKUP($C:$C,Structure!$A:$AJ,AH$1,0)*$D307,0),IFERROR(VLOOKUP($E:$E,Structure!$A:$AJ,AH$1,0)*$F307,0),IFERROR(VLOOKUP($G:$G,Structure!$A:$AJ,AH$1,0)*$H307,0))</f>
        <v>0</v>
      </c>
      <c r="AI307" s="9">
        <f>SUM(IFERROR(VLOOKUP($C:$C,Structure!$A:$AJ,AI$1,0)*$D307,0),IFERROR(VLOOKUP($E:$E,Structure!$A:$AJ,AI$1,0)*$F307,0),IFERROR(VLOOKUP($G:$G,Structure!$A:$AJ,AI$1,0)*$H307,0))</f>
        <v>0</v>
      </c>
      <c r="AJ307" s="9">
        <f>SUM(IFERROR(VLOOKUP($C:$C,Structure!$A:$AJ,AJ$1,0)*$D307,0),IFERROR(VLOOKUP($E:$E,Structure!$A:$AJ,AJ$1,0)*$F307,0),IFERROR(VLOOKUP($G:$G,Structure!$A:$AJ,AJ$1,0)*$H307,0))</f>
        <v>0</v>
      </c>
      <c r="AK307" s="9">
        <f>SUM(IFERROR(VLOOKUP($C:$C,Structure!$A:$AJ,AK$1,0)*$D307,0),IFERROR(VLOOKUP($E:$E,Structure!$A:$AJ,AK$1,0)*$F307,0),IFERROR(VLOOKUP($G:$G,Structure!$A:$AJ,AK$1,0)*$H307,0))</f>
        <v>0</v>
      </c>
      <c r="AL307" s="9">
        <f>SUM(IFERROR(VLOOKUP($C:$C,Structure!$A:$AJ,AL$1,0)*$D307,0),IFERROR(VLOOKUP($E:$E,Structure!$A:$AJ,AL$1,0)*$F307,0),IFERROR(VLOOKUP($G:$G,Structure!$A:$AJ,AL$1,0)*$H307,0))</f>
        <v>0</v>
      </c>
      <c r="AM307" s="9">
        <f>SUM(IFERROR(VLOOKUP($C:$C,Structure!$A:$AJ,AM$1,0)*$D307,0),IFERROR(VLOOKUP($E:$E,Structure!$A:$AJ,AM$1,0)*$F307,0),IFERROR(VLOOKUP($G:$G,Structure!$A:$AJ,AM$1,0)*$H307,0))</f>
        <v>0</v>
      </c>
      <c r="AN307" s="9">
        <f>SUM(IFERROR(VLOOKUP($C:$C,Structure!$A:$AJ,AN$1,0)*$D307,0),IFERROR(VLOOKUP($E:$E,Structure!$A:$AJ,AN$1,0)*$F307,0),IFERROR(VLOOKUP($G:$G,Structure!$A:$AJ,AN$1,0)*$H307,0))</f>
        <v>0</v>
      </c>
      <c r="AO307" s="9">
        <f>SUM(IFERROR(VLOOKUP($C:$C,Structure!$A:$AJ,AO$1,0)*$D307,0),IFERROR(VLOOKUP($E:$E,Structure!$A:$AJ,AO$1,0)*$F307,0),IFERROR(VLOOKUP($G:$G,Structure!$A:$AJ,AO$1,0)*$H307,0))</f>
        <v>0</v>
      </c>
      <c r="AP307" s="9">
        <f>SUM(IFERROR(VLOOKUP($C:$C,Structure!$A:$AJ,AP$1,0)*$D307,0),IFERROR(VLOOKUP($E:$E,Structure!$A:$AJ,AP$1,0)*$F307,0),IFERROR(VLOOKUP($G:$G,Structure!$A:$AJ,AP$1,0)*$H307,0))</f>
        <v>0</v>
      </c>
      <c r="AQ307" s="9">
        <f>SUM(IFERROR(VLOOKUP($C:$C,Structure!$A:$AJ,AQ$1,0)*$D307,0),IFERROR(VLOOKUP($E:$E,Structure!$A:$AJ,AQ$1,0)*$F307,0),IFERROR(VLOOKUP($G:$G,Structure!$A:$AJ,AQ$1,0)*$H307,0))</f>
        <v>0</v>
      </c>
      <c r="AR307" s="21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4">
        <f t="shared" si="302"/>
        <v>0</v>
      </c>
      <c r="CE307" s="4">
        <f t="shared" si="303"/>
        <v>-244</v>
      </c>
      <c r="CF307" s="4">
        <f t="shared" si="304"/>
        <v>4</v>
      </c>
      <c r="CG307" s="4">
        <f t="shared" si="305"/>
        <v>11</v>
      </c>
      <c r="CH307" s="4">
        <f t="shared" si="306"/>
        <v>-7</v>
      </c>
      <c r="CI307" s="4">
        <f t="shared" si="307"/>
        <v>93</v>
      </c>
      <c r="CJ307" s="4">
        <f t="shared" si="308"/>
        <v>-447</v>
      </c>
      <c r="CK307" s="4">
        <f t="shared" si="309"/>
        <v>-65</v>
      </c>
      <c r="CL307" s="4">
        <f t="shared" si="310"/>
        <v>0</v>
      </c>
      <c r="CM307" s="4">
        <f t="shared" si="311"/>
        <v>6</v>
      </c>
      <c r="CN307" s="4">
        <f t="shared" si="312"/>
        <v>-334</v>
      </c>
      <c r="CO307" s="4">
        <f t="shared" si="313"/>
        <v>0</v>
      </c>
      <c r="CP307" s="4">
        <f t="shared" si="314"/>
        <v>-61</v>
      </c>
      <c r="CQ307" s="4">
        <f t="shared" si="315"/>
        <v>-635</v>
      </c>
      <c r="CR307" s="4">
        <f t="shared" si="316"/>
        <v>12</v>
      </c>
      <c r="CS307" s="4">
        <f t="shared" si="317"/>
        <v>-58</v>
      </c>
      <c r="CT307" s="4">
        <f t="shared" si="318"/>
        <v>0</v>
      </c>
      <c r="CU307" s="4">
        <f t="shared" si="319"/>
        <v>0</v>
      </c>
      <c r="CV307" s="4">
        <f t="shared" si="320"/>
        <v>0</v>
      </c>
      <c r="CW307" s="4">
        <f t="shared" si="321"/>
        <v>0</v>
      </c>
      <c r="CX307" s="4">
        <f t="shared" si="322"/>
        <v>-956</v>
      </c>
      <c r="CY307" s="4">
        <f t="shared" si="323"/>
        <v>0</v>
      </c>
      <c r="CZ307" s="4">
        <f t="shared" si="324"/>
        <v>0</v>
      </c>
      <c r="DA307" s="4">
        <f t="shared" si="325"/>
        <v>0</v>
      </c>
      <c r="DB307" s="4">
        <f t="shared" si="326"/>
        <v>0</v>
      </c>
      <c r="DC307" s="4">
        <f t="shared" si="327"/>
        <v>0</v>
      </c>
      <c r="DD307" s="4">
        <f t="shared" si="328"/>
        <v>0</v>
      </c>
      <c r="DE307" s="4">
        <f t="shared" si="329"/>
        <v>0</v>
      </c>
      <c r="DF307" s="4">
        <f t="shared" si="330"/>
        <v>0</v>
      </c>
      <c r="DG307" s="4">
        <f t="shared" si="331"/>
        <v>0</v>
      </c>
      <c r="DH307" s="4">
        <f t="shared" si="332"/>
        <v>0</v>
      </c>
      <c r="DI307" s="4">
        <f t="shared" si="333"/>
        <v>0</v>
      </c>
      <c r="DJ307" s="4">
        <f t="shared" si="334"/>
        <v>0</v>
      </c>
      <c r="DK307" s="4">
        <f t="shared" si="335"/>
        <v>0</v>
      </c>
      <c r="DL307" s="4">
        <f t="shared" si="336"/>
        <v>0</v>
      </c>
    </row>
    <row r="308" spans="1:116" x14ac:dyDescent="0.25">
      <c r="A308" s="5">
        <v>46189</v>
      </c>
      <c r="B308" s="6">
        <v>0.66666666740638902</v>
      </c>
      <c r="C308" s="3"/>
      <c r="D308" s="3"/>
      <c r="E308" s="3" t="s">
        <v>38</v>
      </c>
      <c r="F308" s="3">
        <v>8</v>
      </c>
      <c r="G308" s="3"/>
      <c r="H308" s="9"/>
      <c r="I308" s="9">
        <f>SUM(IFERROR(VLOOKUP($C:$C,Structure!$A:$AJ,I$1,0)*$D308,0),IFERROR(VLOOKUP($E:$E,Structure!$A:$AJ,I$1,0)*$F308,0),IFERROR(VLOOKUP($G:$G,Structure!$A:$AJ,I$1,0)*$H308,0))</f>
        <v>0</v>
      </c>
      <c r="J308" s="9">
        <f>SUM(IFERROR(VLOOKUP($C:$C,Structure!$A:$AJ,J$1,0)*$D308,0),IFERROR(VLOOKUP($E:$E,Structure!$A:$AJ,J$1,0)*$F308,0),IFERROR(VLOOKUP($G:$G,Structure!$A:$AJ,J$1,0)*$H308,0))</f>
        <v>8</v>
      </c>
      <c r="K308" s="9">
        <f>SUM(IFERROR(VLOOKUP($C:$C,Structure!$A:$AJ,K$1,0)*$D308,0),IFERROR(VLOOKUP($E:$E,Structure!$A:$AJ,K$1,0)*$F308,0),IFERROR(VLOOKUP($G:$G,Structure!$A:$AJ,K$1,0)*$H308,0))</f>
        <v>0</v>
      </c>
      <c r="L308" s="9">
        <f>SUM(IFERROR(VLOOKUP($C:$C,Structure!$A:$AJ,L$1,0)*$D308,0),IFERROR(VLOOKUP($E:$E,Structure!$A:$AJ,L$1,0)*$F308,0),IFERROR(VLOOKUP($G:$G,Structure!$A:$AJ,L$1,0)*$H308,0))</f>
        <v>0</v>
      </c>
      <c r="M308" s="9">
        <f>SUM(IFERROR(VLOOKUP($C:$C,Structure!$A:$AJ,M$1,0)*$D308,0),IFERROR(VLOOKUP($E:$E,Structure!$A:$AJ,M$1,0)*$F308,0),IFERROR(VLOOKUP($G:$G,Structure!$A:$AJ,M$1,0)*$H308,0))</f>
        <v>0</v>
      </c>
      <c r="N308" s="9">
        <f>SUM(IFERROR(VLOOKUP($C:$C,Structure!$A:$AJ,N$1,0)*$D308,0),IFERROR(VLOOKUP($E:$E,Structure!$A:$AJ,N$1,0)*$F308,0),IFERROR(VLOOKUP($G:$G,Structure!$A:$AJ,N$1,0)*$H308,0))</f>
        <v>0</v>
      </c>
      <c r="O308" s="9">
        <f>SUM(IFERROR(VLOOKUP($C:$C,Structure!$A:$AJ,O$1,0)*$D308,0),IFERROR(VLOOKUP($E:$E,Structure!$A:$AJ,O$1,0)*$F308,0),IFERROR(VLOOKUP($G:$G,Structure!$A:$AJ,O$1,0)*$H308,0))</f>
        <v>0</v>
      </c>
      <c r="P308" s="9">
        <f>SUM(IFERROR(VLOOKUP($C:$C,Structure!$A:$AJ,P$1,0)*$D308,0),IFERROR(VLOOKUP($E:$E,Structure!$A:$AJ,P$1,0)*$F308,0),IFERROR(VLOOKUP($G:$G,Structure!$A:$AJ,P$1,0)*$H308,0))</f>
        <v>8</v>
      </c>
      <c r="Q308" s="9">
        <f>SUM(IFERROR(VLOOKUP($C:$C,Structure!$A:$AJ,Q$1,0)*$D308,0),IFERROR(VLOOKUP($E:$E,Structure!$A:$AJ,Q$1,0)*$F308,0),IFERROR(VLOOKUP($G:$G,Structure!$A:$AJ,Q$1,0)*$H308,0))</f>
        <v>0</v>
      </c>
      <c r="R308" s="9">
        <f>SUM(IFERROR(VLOOKUP($C:$C,Structure!$A:$AJ,R$1,0)*$D308,0),IFERROR(VLOOKUP($E:$E,Structure!$A:$AJ,R$1,0)*$F308,0),IFERROR(VLOOKUP($G:$G,Structure!$A:$AJ,R$1,0)*$H308,0))</f>
        <v>0</v>
      </c>
      <c r="S308" s="9">
        <f>SUM(IFERROR(VLOOKUP($C:$C,Structure!$A:$AJ,S$1,0)*$D308,0),IFERROR(VLOOKUP($E:$E,Structure!$A:$AJ,S$1,0)*$F308,0),IFERROR(VLOOKUP($G:$G,Structure!$A:$AJ,S$1,0)*$H308,0))</f>
        <v>0</v>
      </c>
      <c r="T308" s="9">
        <f>SUM(IFERROR(VLOOKUP($C:$C,Structure!$A:$AJ,T$1,0)*$D308,0),IFERROR(VLOOKUP($E:$E,Structure!$A:$AJ,T$1,0)*$F308,0),IFERROR(VLOOKUP($G:$G,Structure!$A:$AJ,T$1,0)*$H308,0))</f>
        <v>0</v>
      </c>
      <c r="U308" s="9">
        <f>SUM(IFERROR(VLOOKUP($C:$C,Structure!$A:$AJ,U$1,0)*$D308,0),IFERROR(VLOOKUP($E:$E,Structure!$A:$AJ,U$1,0)*$F308,0),IFERROR(VLOOKUP($G:$G,Structure!$A:$AJ,U$1,0)*$H308,0))</f>
        <v>0</v>
      </c>
      <c r="V308" s="9">
        <f>SUM(IFERROR(VLOOKUP($C:$C,Structure!$A:$AJ,V$1,0)*$D308,0),IFERROR(VLOOKUP($E:$E,Structure!$A:$AJ,V$1,0)*$F308,0),IFERROR(VLOOKUP($G:$G,Structure!$A:$AJ,V$1,0)*$H308,0))</f>
        <v>0</v>
      </c>
      <c r="W308" s="9">
        <f>SUM(IFERROR(VLOOKUP($C:$C,Structure!$A:$AJ,W$1,0)*$D308,0),IFERROR(VLOOKUP($E:$E,Structure!$A:$AJ,W$1,0)*$F308,0),IFERROR(VLOOKUP($G:$G,Structure!$A:$AJ,W$1,0)*$H308,0))</f>
        <v>0</v>
      </c>
      <c r="X308" s="9">
        <f>SUM(IFERROR(VLOOKUP($C:$C,Structure!$A:$AJ,X$1,0)*$D308,0),IFERROR(VLOOKUP($E:$E,Structure!$A:$AJ,X$1,0)*$F308,0),IFERROR(VLOOKUP($G:$G,Structure!$A:$AJ,X$1,0)*$H308,0))</f>
        <v>0</v>
      </c>
      <c r="Y308" s="9">
        <f>SUM(IFERROR(VLOOKUP($C:$C,Structure!$A:$AJ,Y$1,0)*$D308,0),IFERROR(VLOOKUP($E:$E,Structure!$A:$AJ,Y$1,0)*$F308,0),IFERROR(VLOOKUP($G:$G,Structure!$A:$AJ,Y$1,0)*$H308,0))</f>
        <v>0</v>
      </c>
      <c r="Z308" s="9">
        <f>SUM(IFERROR(VLOOKUP($C:$C,Structure!$A:$AJ,Z$1,0)*$D308,0),IFERROR(VLOOKUP($E:$E,Structure!$A:$AJ,Z$1,0)*$F308,0),IFERROR(VLOOKUP($G:$G,Structure!$A:$AJ,Z$1,0)*$H308,0))</f>
        <v>0</v>
      </c>
      <c r="AA308" s="9">
        <f>SUM(IFERROR(VLOOKUP($C:$C,Structure!$A:$AJ,AA$1,0)*$D308,0),IFERROR(VLOOKUP($E:$E,Structure!$A:$AJ,AA$1,0)*$F308,0),IFERROR(VLOOKUP($G:$G,Structure!$A:$AJ,AA$1,0)*$H308,0))</f>
        <v>0</v>
      </c>
      <c r="AB308" s="9">
        <f>SUM(IFERROR(VLOOKUP($C:$C,Structure!$A:$AJ,AB$1,0)*$D308,0),IFERROR(VLOOKUP($E:$E,Structure!$A:$AJ,AB$1,0)*$F308,0),IFERROR(VLOOKUP($G:$G,Structure!$A:$AJ,AB$1,0)*$H308,0))</f>
        <v>0</v>
      </c>
      <c r="AC308" s="9">
        <f>SUM(IFERROR(VLOOKUP($C:$C,Structure!$A:$AJ,AC$1,0)*$D308,0),IFERROR(VLOOKUP($E:$E,Structure!$A:$AJ,AC$1,0)*$F308,0),IFERROR(VLOOKUP($G:$G,Structure!$A:$AJ,AC$1,0)*$H308,0))</f>
        <v>0</v>
      </c>
      <c r="AD308" s="9">
        <f>SUM(IFERROR(VLOOKUP($C:$C,Structure!$A:$AJ,AD$1,0)*$D308,0),IFERROR(VLOOKUP($E:$E,Structure!$A:$AJ,AD$1,0)*$F308,0),IFERROR(VLOOKUP($G:$G,Structure!$A:$AJ,AD$1,0)*$H308,0))</f>
        <v>0</v>
      </c>
      <c r="AE308" s="9">
        <f>SUM(IFERROR(VLOOKUP($C:$C,Structure!$A:$AJ,AE$1,0)*$D308,0),IFERROR(VLOOKUP($E:$E,Structure!$A:$AJ,AE$1,0)*$F308,0),IFERROR(VLOOKUP($G:$G,Structure!$A:$AJ,AE$1,0)*$H308,0))</f>
        <v>0</v>
      </c>
      <c r="AF308" s="9">
        <f>SUM(IFERROR(VLOOKUP($C:$C,Structure!$A:$AJ,AF$1,0)*$D308,0),IFERROR(VLOOKUP($E:$E,Structure!$A:$AJ,AF$1,0)*$F308,0),IFERROR(VLOOKUP($G:$G,Structure!$A:$AJ,AF$1,0)*$H308,0))</f>
        <v>0</v>
      </c>
      <c r="AG308" s="9">
        <f>SUM(IFERROR(VLOOKUP($C:$C,Structure!$A:$AJ,AG$1,0)*$D308,0),IFERROR(VLOOKUP($E:$E,Structure!$A:$AJ,AG$1,0)*$F308,0),IFERROR(VLOOKUP($G:$G,Structure!$A:$AJ,AG$1,0)*$H308,0))</f>
        <v>0</v>
      </c>
      <c r="AH308" s="9">
        <f>SUM(IFERROR(VLOOKUP($C:$C,Structure!$A:$AJ,AH$1,0)*$D308,0),IFERROR(VLOOKUP($E:$E,Structure!$A:$AJ,AH$1,0)*$F308,0),IFERROR(VLOOKUP($G:$G,Structure!$A:$AJ,AH$1,0)*$H308,0))</f>
        <v>0</v>
      </c>
      <c r="AI308" s="9">
        <f>SUM(IFERROR(VLOOKUP($C:$C,Structure!$A:$AJ,AI$1,0)*$D308,0),IFERROR(VLOOKUP($E:$E,Structure!$A:$AJ,AI$1,0)*$F308,0),IFERROR(VLOOKUP($G:$G,Structure!$A:$AJ,AI$1,0)*$H308,0))</f>
        <v>0</v>
      </c>
      <c r="AJ308" s="9">
        <f>SUM(IFERROR(VLOOKUP($C:$C,Structure!$A:$AJ,AJ$1,0)*$D308,0),IFERROR(VLOOKUP($E:$E,Structure!$A:$AJ,AJ$1,0)*$F308,0),IFERROR(VLOOKUP($G:$G,Structure!$A:$AJ,AJ$1,0)*$H308,0))</f>
        <v>0</v>
      </c>
      <c r="AK308" s="9">
        <f>SUM(IFERROR(VLOOKUP($C:$C,Structure!$A:$AJ,AK$1,0)*$D308,0),IFERROR(VLOOKUP($E:$E,Structure!$A:$AJ,AK$1,0)*$F308,0),IFERROR(VLOOKUP($G:$G,Structure!$A:$AJ,AK$1,0)*$H308,0))</f>
        <v>0</v>
      </c>
      <c r="AL308" s="9">
        <f>SUM(IFERROR(VLOOKUP($C:$C,Structure!$A:$AJ,AL$1,0)*$D308,0),IFERROR(VLOOKUP($E:$E,Structure!$A:$AJ,AL$1,0)*$F308,0),IFERROR(VLOOKUP($G:$G,Structure!$A:$AJ,AL$1,0)*$H308,0))</f>
        <v>0</v>
      </c>
      <c r="AM308" s="9">
        <f>SUM(IFERROR(VLOOKUP($C:$C,Structure!$A:$AJ,AM$1,0)*$D308,0),IFERROR(VLOOKUP($E:$E,Structure!$A:$AJ,AM$1,0)*$F308,0),IFERROR(VLOOKUP($G:$G,Structure!$A:$AJ,AM$1,0)*$H308,0))</f>
        <v>0</v>
      </c>
      <c r="AN308" s="9">
        <f>SUM(IFERROR(VLOOKUP($C:$C,Structure!$A:$AJ,AN$1,0)*$D308,0),IFERROR(VLOOKUP($E:$E,Structure!$A:$AJ,AN$1,0)*$F308,0),IFERROR(VLOOKUP($G:$G,Structure!$A:$AJ,AN$1,0)*$H308,0))</f>
        <v>0</v>
      </c>
      <c r="AO308" s="9">
        <f>SUM(IFERROR(VLOOKUP($C:$C,Structure!$A:$AJ,AO$1,0)*$D308,0),IFERROR(VLOOKUP($E:$E,Structure!$A:$AJ,AO$1,0)*$F308,0),IFERROR(VLOOKUP($G:$G,Structure!$A:$AJ,AO$1,0)*$H308,0))</f>
        <v>0</v>
      </c>
      <c r="AP308" s="9">
        <f>SUM(IFERROR(VLOOKUP($C:$C,Structure!$A:$AJ,AP$1,0)*$D308,0),IFERROR(VLOOKUP($E:$E,Structure!$A:$AJ,AP$1,0)*$F308,0),IFERROR(VLOOKUP($G:$G,Structure!$A:$AJ,AP$1,0)*$H308,0))</f>
        <v>0</v>
      </c>
      <c r="AQ308" s="9">
        <f>SUM(IFERROR(VLOOKUP($C:$C,Structure!$A:$AJ,AQ$1,0)*$D308,0),IFERROR(VLOOKUP($E:$E,Structure!$A:$AJ,AQ$1,0)*$F308,0),IFERROR(VLOOKUP($G:$G,Structure!$A:$AJ,AQ$1,0)*$H308,0))</f>
        <v>0</v>
      </c>
      <c r="AR308" s="21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4">
        <f t="shared" si="302"/>
        <v>0</v>
      </c>
      <c r="CE308" s="4">
        <f t="shared" si="303"/>
        <v>-252</v>
      </c>
      <c r="CF308" s="4">
        <f t="shared" si="304"/>
        <v>4</v>
      </c>
      <c r="CG308" s="4">
        <f t="shared" si="305"/>
        <v>11</v>
      </c>
      <c r="CH308" s="4">
        <f t="shared" si="306"/>
        <v>-7</v>
      </c>
      <c r="CI308" s="4">
        <f t="shared" si="307"/>
        <v>93</v>
      </c>
      <c r="CJ308" s="4">
        <f t="shared" si="308"/>
        <v>-447</v>
      </c>
      <c r="CK308" s="4">
        <f t="shared" si="309"/>
        <v>-73</v>
      </c>
      <c r="CL308" s="4">
        <f t="shared" si="310"/>
        <v>0</v>
      </c>
      <c r="CM308" s="4">
        <f t="shared" si="311"/>
        <v>6</v>
      </c>
      <c r="CN308" s="4">
        <f t="shared" si="312"/>
        <v>-334</v>
      </c>
      <c r="CO308" s="4">
        <f t="shared" si="313"/>
        <v>0</v>
      </c>
      <c r="CP308" s="4">
        <f t="shared" si="314"/>
        <v>-61</v>
      </c>
      <c r="CQ308" s="4">
        <f t="shared" si="315"/>
        <v>-635</v>
      </c>
      <c r="CR308" s="4">
        <f t="shared" si="316"/>
        <v>12</v>
      </c>
      <c r="CS308" s="4">
        <f t="shared" si="317"/>
        <v>-58</v>
      </c>
      <c r="CT308" s="4">
        <f t="shared" si="318"/>
        <v>0</v>
      </c>
      <c r="CU308" s="4">
        <f t="shared" si="319"/>
        <v>0</v>
      </c>
      <c r="CV308" s="4">
        <f t="shared" si="320"/>
        <v>0</v>
      </c>
      <c r="CW308" s="4">
        <f t="shared" si="321"/>
        <v>0</v>
      </c>
      <c r="CX308" s="4">
        <f t="shared" si="322"/>
        <v>-956</v>
      </c>
      <c r="CY308" s="4">
        <f t="shared" si="323"/>
        <v>0</v>
      </c>
      <c r="CZ308" s="4">
        <f t="shared" si="324"/>
        <v>0</v>
      </c>
      <c r="DA308" s="4">
        <f t="shared" si="325"/>
        <v>0</v>
      </c>
      <c r="DB308" s="4">
        <f t="shared" si="326"/>
        <v>0</v>
      </c>
      <c r="DC308" s="4">
        <f t="shared" si="327"/>
        <v>0</v>
      </c>
      <c r="DD308" s="4">
        <f t="shared" si="328"/>
        <v>0</v>
      </c>
      <c r="DE308" s="4">
        <f t="shared" si="329"/>
        <v>0</v>
      </c>
      <c r="DF308" s="4">
        <f t="shared" si="330"/>
        <v>0</v>
      </c>
      <c r="DG308" s="4">
        <f t="shared" si="331"/>
        <v>0</v>
      </c>
      <c r="DH308" s="4">
        <f t="shared" si="332"/>
        <v>0</v>
      </c>
      <c r="DI308" s="4">
        <f t="shared" si="333"/>
        <v>0</v>
      </c>
      <c r="DJ308" s="4">
        <f t="shared" si="334"/>
        <v>0</v>
      </c>
      <c r="DK308" s="4">
        <f t="shared" si="335"/>
        <v>0</v>
      </c>
      <c r="DL308" s="4">
        <f t="shared" si="336"/>
        <v>0</v>
      </c>
    </row>
    <row r="309" spans="1:116" x14ac:dyDescent="0.25">
      <c r="A309" s="5">
        <v>46189</v>
      </c>
      <c r="B309" s="6">
        <v>0.68750000074214768</v>
      </c>
      <c r="C309" s="3"/>
      <c r="D309" s="3"/>
      <c r="E309" s="3" t="s">
        <v>38</v>
      </c>
      <c r="F309" s="3">
        <v>8</v>
      </c>
      <c r="G309" s="3"/>
      <c r="H309" s="9"/>
      <c r="I309" s="9">
        <f>SUM(IFERROR(VLOOKUP($C:$C,Structure!$A:$AJ,I$1,0)*$D309,0),IFERROR(VLOOKUP($E:$E,Structure!$A:$AJ,I$1,0)*$F309,0),IFERROR(VLOOKUP($G:$G,Structure!$A:$AJ,I$1,0)*$H309,0))</f>
        <v>0</v>
      </c>
      <c r="J309" s="9">
        <f>SUM(IFERROR(VLOOKUP($C:$C,Structure!$A:$AJ,J$1,0)*$D309,0),IFERROR(VLOOKUP($E:$E,Structure!$A:$AJ,J$1,0)*$F309,0),IFERROR(VLOOKUP($G:$G,Structure!$A:$AJ,J$1,0)*$H309,0))</f>
        <v>8</v>
      </c>
      <c r="K309" s="9">
        <f>SUM(IFERROR(VLOOKUP($C:$C,Structure!$A:$AJ,K$1,0)*$D309,0),IFERROR(VLOOKUP($E:$E,Structure!$A:$AJ,K$1,0)*$F309,0),IFERROR(VLOOKUP($G:$G,Structure!$A:$AJ,K$1,0)*$H309,0))</f>
        <v>0</v>
      </c>
      <c r="L309" s="9">
        <f>SUM(IFERROR(VLOOKUP($C:$C,Structure!$A:$AJ,L$1,0)*$D309,0),IFERROR(VLOOKUP($E:$E,Structure!$A:$AJ,L$1,0)*$F309,0),IFERROR(VLOOKUP($G:$G,Structure!$A:$AJ,L$1,0)*$H309,0))</f>
        <v>0</v>
      </c>
      <c r="M309" s="9">
        <f>SUM(IFERROR(VLOOKUP($C:$C,Structure!$A:$AJ,M$1,0)*$D309,0),IFERROR(VLOOKUP($E:$E,Structure!$A:$AJ,M$1,0)*$F309,0),IFERROR(VLOOKUP($G:$G,Structure!$A:$AJ,M$1,0)*$H309,0))</f>
        <v>0</v>
      </c>
      <c r="N309" s="9">
        <f>SUM(IFERROR(VLOOKUP($C:$C,Structure!$A:$AJ,N$1,0)*$D309,0),IFERROR(VLOOKUP($E:$E,Structure!$A:$AJ,N$1,0)*$F309,0),IFERROR(VLOOKUP($G:$G,Structure!$A:$AJ,N$1,0)*$H309,0))</f>
        <v>0</v>
      </c>
      <c r="O309" s="9">
        <f>SUM(IFERROR(VLOOKUP($C:$C,Structure!$A:$AJ,O$1,0)*$D309,0),IFERROR(VLOOKUP($E:$E,Structure!$A:$AJ,O$1,0)*$F309,0),IFERROR(VLOOKUP($G:$G,Structure!$A:$AJ,O$1,0)*$H309,0))</f>
        <v>0</v>
      </c>
      <c r="P309" s="9">
        <f>SUM(IFERROR(VLOOKUP($C:$C,Structure!$A:$AJ,P$1,0)*$D309,0),IFERROR(VLOOKUP($E:$E,Structure!$A:$AJ,P$1,0)*$F309,0),IFERROR(VLOOKUP($G:$G,Structure!$A:$AJ,P$1,0)*$H309,0))</f>
        <v>8</v>
      </c>
      <c r="Q309" s="9">
        <f>SUM(IFERROR(VLOOKUP($C:$C,Structure!$A:$AJ,Q$1,0)*$D309,0),IFERROR(VLOOKUP($E:$E,Structure!$A:$AJ,Q$1,0)*$F309,0),IFERROR(VLOOKUP($G:$G,Structure!$A:$AJ,Q$1,0)*$H309,0))</f>
        <v>0</v>
      </c>
      <c r="R309" s="9">
        <f>SUM(IFERROR(VLOOKUP($C:$C,Structure!$A:$AJ,R$1,0)*$D309,0),IFERROR(VLOOKUP($E:$E,Structure!$A:$AJ,R$1,0)*$F309,0),IFERROR(VLOOKUP($G:$G,Structure!$A:$AJ,R$1,0)*$H309,0))</f>
        <v>0</v>
      </c>
      <c r="S309" s="9">
        <f>SUM(IFERROR(VLOOKUP($C:$C,Structure!$A:$AJ,S$1,0)*$D309,0),IFERROR(VLOOKUP($E:$E,Structure!$A:$AJ,S$1,0)*$F309,0),IFERROR(VLOOKUP($G:$G,Structure!$A:$AJ,S$1,0)*$H309,0))</f>
        <v>0</v>
      </c>
      <c r="T309" s="9">
        <f>SUM(IFERROR(VLOOKUP($C:$C,Structure!$A:$AJ,T$1,0)*$D309,0),IFERROR(VLOOKUP($E:$E,Structure!$A:$AJ,T$1,0)*$F309,0),IFERROR(VLOOKUP($G:$G,Structure!$A:$AJ,T$1,0)*$H309,0))</f>
        <v>0</v>
      </c>
      <c r="U309" s="9">
        <f>SUM(IFERROR(VLOOKUP($C:$C,Structure!$A:$AJ,U$1,0)*$D309,0),IFERROR(VLOOKUP($E:$E,Structure!$A:$AJ,U$1,0)*$F309,0),IFERROR(VLOOKUP($G:$G,Structure!$A:$AJ,U$1,0)*$H309,0))</f>
        <v>0</v>
      </c>
      <c r="V309" s="9">
        <f>SUM(IFERROR(VLOOKUP($C:$C,Structure!$A:$AJ,V$1,0)*$D309,0),IFERROR(VLOOKUP($E:$E,Structure!$A:$AJ,V$1,0)*$F309,0),IFERROR(VLOOKUP($G:$G,Structure!$A:$AJ,V$1,0)*$H309,0))</f>
        <v>0</v>
      </c>
      <c r="W309" s="9">
        <f>SUM(IFERROR(VLOOKUP($C:$C,Structure!$A:$AJ,W$1,0)*$D309,0),IFERROR(VLOOKUP($E:$E,Structure!$A:$AJ,W$1,0)*$F309,0),IFERROR(VLOOKUP($G:$G,Structure!$A:$AJ,W$1,0)*$H309,0))</f>
        <v>0</v>
      </c>
      <c r="X309" s="9">
        <f>SUM(IFERROR(VLOOKUP($C:$C,Structure!$A:$AJ,X$1,0)*$D309,0),IFERROR(VLOOKUP($E:$E,Structure!$A:$AJ,X$1,0)*$F309,0),IFERROR(VLOOKUP($G:$G,Structure!$A:$AJ,X$1,0)*$H309,0))</f>
        <v>0</v>
      </c>
      <c r="Y309" s="9">
        <f>SUM(IFERROR(VLOOKUP($C:$C,Structure!$A:$AJ,Y$1,0)*$D309,0),IFERROR(VLOOKUP($E:$E,Structure!$A:$AJ,Y$1,0)*$F309,0),IFERROR(VLOOKUP($G:$G,Structure!$A:$AJ,Y$1,0)*$H309,0))</f>
        <v>0</v>
      </c>
      <c r="Z309" s="9">
        <f>SUM(IFERROR(VLOOKUP($C:$C,Structure!$A:$AJ,Z$1,0)*$D309,0),IFERROR(VLOOKUP($E:$E,Structure!$A:$AJ,Z$1,0)*$F309,0),IFERROR(VLOOKUP($G:$G,Structure!$A:$AJ,Z$1,0)*$H309,0))</f>
        <v>0</v>
      </c>
      <c r="AA309" s="9">
        <f>SUM(IFERROR(VLOOKUP($C:$C,Structure!$A:$AJ,AA$1,0)*$D309,0),IFERROR(VLOOKUP($E:$E,Structure!$A:$AJ,AA$1,0)*$F309,0),IFERROR(VLOOKUP($G:$G,Structure!$A:$AJ,AA$1,0)*$H309,0))</f>
        <v>0</v>
      </c>
      <c r="AB309" s="9">
        <f>SUM(IFERROR(VLOOKUP($C:$C,Structure!$A:$AJ,AB$1,0)*$D309,0),IFERROR(VLOOKUP($E:$E,Structure!$A:$AJ,AB$1,0)*$F309,0),IFERROR(VLOOKUP($G:$G,Structure!$A:$AJ,AB$1,0)*$H309,0))</f>
        <v>0</v>
      </c>
      <c r="AC309" s="9">
        <f>SUM(IFERROR(VLOOKUP($C:$C,Structure!$A:$AJ,AC$1,0)*$D309,0),IFERROR(VLOOKUP($E:$E,Structure!$A:$AJ,AC$1,0)*$F309,0),IFERROR(VLOOKUP($G:$G,Structure!$A:$AJ,AC$1,0)*$H309,0))</f>
        <v>0</v>
      </c>
      <c r="AD309" s="9">
        <f>SUM(IFERROR(VLOOKUP($C:$C,Structure!$A:$AJ,AD$1,0)*$D309,0),IFERROR(VLOOKUP($E:$E,Structure!$A:$AJ,AD$1,0)*$F309,0),IFERROR(VLOOKUP($G:$G,Structure!$A:$AJ,AD$1,0)*$H309,0))</f>
        <v>0</v>
      </c>
      <c r="AE309" s="9">
        <f>SUM(IFERROR(VLOOKUP($C:$C,Structure!$A:$AJ,AE$1,0)*$D309,0),IFERROR(VLOOKUP($E:$E,Structure!$A:$AJ,AE$1,0)*$F309,0),IFERROR(VLOOKUP($G:$G,Structure!$A:$AJ,AE$1,0)*$H309,0))</f>
        <v>0</v>
      </c>
      <c r="AF309" s="9">
        <f>SUM(IFERROR(VLOOKUP($C:$C,Structure!$A:$AJ,AF$1,0)*$D309,0),IFERROR(VLOOKUP($E:$E,Structure!$A:$AJ,AF$1,0)*$F309,0),IFERROR(VLOOKUP($G:$G,Structure!$A:$AJ,AF$1,0)*$H309,0))</f>
        <v>0</v>
      </c>
      <c r="AG309" s="9">
        <f>SUM(IFERROR(VLOOKUP($C:$C,Structure!$A:$AJ,AG$1,0)*$D309,0),IFERROR(VLOOKUP($E:$E,Structure!$A:$AJ,AG$1,0)*$F309,0),IFERROR(VLOOKUP($G:$G,Structure!$A:$AJ,AG$1,0)*$H309,0))</f>
        <v>0</v>
      </c>
      <c r="AH309" s="9">
        <f>SUM(IFERROR(VLOOKUP($C:$C,Structure!$A:$AJ,AH$1,0)*$D309,0),IFERROR(VLOOKUP($E:$E,Structure!$A:$AJ,AH$1,0)*$F309,0),IFERROR(VLOOKUP($G:$G,Structure!$A:$AJ,AH$1,0)*$H309,0))</f>
        <v>0</v>
      </c>
      <c r="AI309" s="9">
        <f>SUM(IFERROR(VLOOKUP($C:$C,Structure!$A:$AJ,AI$1,0)*$D309,0),IFERROR(VLOOKUP($E:$E,Structure!$A:$AJ,AI$1,0)*$F309,0),IFERROR(VLOOKUP($G:$G,Structure!$A:$AJ,AI$1,0)*$H309,0))</f>
        <v>0</v>
      </c>
      <c r="AJ309" s="9">
        <f>SUM(IFERROR(VLOOKUP($C:$C,Structure!$A:$AJ,AJ$1,0)*$D309,0),IFERROR(VLOOKUP($E:$E,Structure!$A:$AJ,AJ$1,0)*$F309,0),IFERROR(VLOOKUP($G:$G,Structure!$A:$AJ,AJ$1,0)*$H309,0))</f>
        <v>0</v>
      </c>
      <c r="AK309" s="9">
        <f>SUM(IFERROR(VLOOKUP($C:$C,Structure!$A:$AJ,AK$1,0)*$D309,0),IFERROR(VLOOKUP($E:$E,Structure!$A:$AJ,AK$1,0)*$F309,0),IFERROR(VLOOKUP($G:$G,Structure!$A:$AJ,AK$1,0)*$H309,0))</f>
        <v>0</v>
      </c>
      <c r="AL309" s="9">
        <f>SUM(IFERROR(VLOOKUP($C:$C,Structure!$A:$AJ,AL$1,0)*$D309,0),IFERROR(VLOOKUP($E:$E,Structure!$A:$AJ,AL$1,0)*$F309,0),IFERROR(VLOOKUP($G:$G,Structure!$A:$AJ,AL$1,0)*$H309,0))</f>
        <v>0</v>
      </c>
      <c r="AM309" s="9">
        <f>SUM(IFERROR(VLOOKUP($C:$C,Structure!$A:$AJ,AM$1,0)*$D309,0),IFERROR(VLOOKUP($E:$E,Structure!$A:$AJ,AM$1,0)*$F309,0),IFERROR(VLOOKUP($G:$G,Structure!$A:$AJ,AM$1,0)*$H309,0))</f>
        <v>0</v>
      </c>
      <c r="AN309" s="9">
        <f>SUM(IFERROR(VLOOKUP($C:$C,Structure!$A:$AJ,AN$1,0)*$D309,0),IFERROR(VLOOKUP($E:$E,Structure!$A:$AJ,AN$1,0)*$F309,0),IFERROR(VLOOKUP($G:$G,Structure!$A:$AJ,AN$1,0)*$H309,0))</f>
        <v>0</v>
      </c>
      <c r="AO309" s="9">
        <f>SUM(IFERROR(VLOOKUP($C:$C,Structure!$A:$AJ,AO$1,0)*$D309,0),IFERROR(VLOOKUP($E:$E,Structure!$A:$AJ,AO$1,0)*$F309,0),IFERROR(VLOOKUP($G:$G,Structure!$A:$AJ,AO$1,0)*$H309,0))</f>
        <v>0</v>
      </c>
      <c r="AP309" s="9">
        <f>SUM(IFERROR(VLOOKUP($C:$C,Structure!$A:$AJ,AP$1,0)*$D309,0),IFERROR(VLOOKUP($E:$E,Structure!$A:$AJ,AP$1,0)*$F309,0),IFERROR(VLOOKUP($G:$G,Structure!$A:$AJ,AP$1,0)*$H309,0))</f>
        <v>0</v>
      </c>
      <c r="AQ309" s="9">
        <f>SUM(IFERROR(VLOOKUP($C:$C,Structure!$A:$AJ,AQ$1,0)*$D309,0),IFERROR(VLOOKUP($E:$E,Structure!$A:$AJ,AQ$1,0)*$F309,0),IFERROR(VLOOKUP($G:$G,Structure!$A:$AJ,AQ$1,0)*$H309,0))</f>
        <v>0</v>
      </c>
      <c r="AR309" s="21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4">
        <f t="shared" si="302"/>
        <v>0</v>
      </c>
      <c r="CE309" s="4">
        <f t="shared" si="303"/>
        <v>-260</v>
      </c>
      <c r="CF309" s="4">
        <f t="shared" si="304"/>
        <v>4</v>
      </c>
      <c r="CG309" s="4">
        <f t="shared" si="305"/>
        <v>11</v>
      </c>
      <c r="CH309" s="4">
        <f t="shared" si="306"/>
        <v>-7</v>
      </c>
      <c r="CI309" s="4">
        <f t="shared" si="307"/>
        <v>93</v>
      </c>
      <c r="CJ309" s="4">
        <f t="shared" si="308"/>
        <v>-447</v>
      </c>
      <c r="CK309" s="4">
        <f t="shared" si="309"/>
        <v>-81</v>
      </c>
      <c r="CL309" s="4">
        <f t="shared" si="310"/>
        <v>0</v>
      </c>
      <c r="CM309" s="4">
        <f t="shared" si="311"/>
        <v>6</v>
      </c>
      <c r="CN309" s="4">
        <f t="shared" si="312"/>
        <v>-334</v>
      </c>
      <c r="CO309" s="4">
        <f t="shared" si="313"/>
        <v>0</v>
      </c>
      <c r="CP309" s="4">
        <f t="shared" si="314"/>
        <v>-61</v>
      </c>
      <c r="CQ309" s="4">
        <f t="shared" si="315"/>
        <v>-635</v>
      </c>
      <c r="CR309" s="4">
        <f t="shared" si="316"/>
        <v>12</v>
      </c>
      <c r="CS309" s="4">
        <f t="shared" si="317"/>
        <v>-58</v>
      </c>
      <c r="CT309" s="4">
        <f t="shared" si="318"/>
        <v>0</v>
      </c>
      <c r="CU309" s="4">
        <f t="shared" si="319"/>
        <v>0</v>
      </c>
      <c r="CV309" s="4">
        <f t="shared" si="320"/>
        <v>0</v>
      </c>
      <c r="CW309" s="4">
        <f t="shared" si="321"/>
        <v>0</v>
      </c>
      <c r="CX309" s="4">
        <f t="shared" si="322"/>
        <v>-956</v>
      </c>
      <c r="CY309" s="4">
        <f t="shared" si="323"/>
        <v>0</v>
      </c>
      <c r="CZ309" s="4">
        <f t="shared" si="324"/>
        <v>0</v>
      </c>
      <c r="DA309" s="4">
        <f t="shared" si="325"/>
        <v>0</v>
      </c>
      <c r="DB309" s="4">
        <f t="shared" si="326"/>
        <v>0</v>
      </c>
      <c r="DC309" s="4">
        <f t="shared" si="327"/>
        <v>0</v>
      </c>
      <c r="DD309" s="4">
        <f t="shared" si="328"/>
        <v>0</v>
      </c>
      <c r="DE309" s="4">
        <f t="shared" si="329"/>
        <v>0</v>
      </c>
      <c r="DF309" s="4">
        <f t="shared" si="330"/>
        <v>0</v>
      </c>
      <c r="DG309" s="4">
        <f t="shared" si="331"/>
        <v>0</v>
      </c>
      <c r="DH309" s="4">
        <f t="shared" si="332"/>
        <v>0</v>
      </c>
      <c r="DI309" s="4">
        <f t="shared" si="333"/>
        <v>0</v>
      </c>
      <c r="DJ309" s="4">
        <f t="shared" si="334"/>
        <v>0</v>
      </c>
      <c r="DK309" s="4">
        <f t="shared" si="335"/>
        <v>0</v>
      </c>
      <c r="DL309" s="4">
        <f t="shared" si="336"/>
        <v>0</v>
      </c>
    </row>
    <row r="310" spans="1:116" x14ac:dyDescent="0.25">
      <c r="A310" s="5">
        <v>46189</v>
      </c>
      <c r="B310" s="6">
        <v>0.70833333407790633</v>
      </c>
      <c r="C310" s="3"/>
      <c r="D310" s="3"/>
      <c r="E310" s="3" t="s">
        <v>38</v>
      </c>
      <c r="F310" s="3">
        <v>8</v>
      </c>
      <c r="G310" s="3"/>
      <c r="H310" s="9"/>
      <c r="I310" s="9">
        <f>SUM(IFERROR(VLOOKUP($C:$C,Structure!$A:$AJ,I$1,0)*$D310,0),IFERROR(VLOOKUP($E:$E,Structure!$A:$AJ,I$1,0)*$F310,0),IFERROR(VLOOKUP($G:$G,Structure!$A:$AJ,I$1,0)*$H310,0))</f>
        <v>0</v>
      </c>
      <c r="J310" s="9">
        <f>SUM(IFERROR(VLOOKUP($C:$C,Structure!$A:$AJ,J$1,0)*$D310,0),IFERROR(VLOOKUP($E:$E,Structure!$A:$AJ,J$1,0)*$F310,0),IFERROR(VLOOKUP($G:$G,Structure!$A:$AJ,J$1,0)*$H310,0))</f>
        <v>8</v>
      </c>
      <c r="K310" s="9">
        <f>SUM(IFERROR(VLOOKUP($C:$C,Structure!$A:$AJ,K$1,0)*$D310,0),IFERROR(VLOOKUP($E:$E,Structure!$A:$AJ,K$1,0)*$F310,0),IFERROR(VLOOKUP($G:$G,Structure!$A:$AJ,K$1,0)*$H310,0))</f>
        <v>0</v>
      </c>
      <c r="L310" s="9">
        <f>SUM(IFERROR(VLOOKUP($C:$C,Structure!$A:$AJ,L$1,0)*$D310,0),IFERROR(VLOOKUP($E:$E,Structure!$A:$AJ,L$1,0)*$F310,0),IFERROR(VLOOKUP($G:$G,Structure!$A:$AJ,L$1,0)*$H310,0))</f>
        <v>0</v>
      </c>
      <c r="M310" s="9">
        <f>SUM(IFERROR(VLOOKUP($C:$C,Structure!$A:$AJ,M$1,0)*$D310,0),IFERROR(VLOOKUP($E:$E,Structure!$A:$AJ,M$1,0)*$F310,0),IFERROR(VLOOKUP($G:$G,Structure!$A:$AJ,M$1,0)*$H310,0))</f>
        <v>0</v>
      </c>
      <c r="N310" s="9">
        <f>SUM(IFERROR(VLOOKUP($C:$C,Structure!$A:$AJ,N$1,0)*$D310,0),IFERROR(VLOOKUP($E:$E,Structure!$A:$AJ,N$1,0)*$F310,0),IFERROR(VLOOKUP($G:$G,Structure!$A:$AJ,N$1,0)*$H310,0))</f>
        <v>0</v>
      </c>
      <c r="O310" s="9">
        <f>SUM(IFERROR(VLOOKUP($C:$C,Structure!$A:$AJ,O$1,0)*$D310,0),IFERROR(VLOOKUP($E:$E,Structure!$A:$AJ,O$1,0)*$F310,0),IFERROR(VLOOKUP($G:$G,Structure!$A:$AJ,O$1,0)*$H310,0))</f>
        <v>0</v>
      </c>
      <c r="P310" s="9">
        <f>SUM(IFERROR(VLOOKUP($C:$C,Structure!$A:$AJ,P$1,0)*$D310,0),IFERROR(VLOOKUP($E:$E,Structure!$A:$AJ,P$1,0)*$F310,0),IFERROR(VLOOKUP($G:$G,Structure!$A:$AJ,P$1,0)*$H310,0))</f>
        <v>8</v>
      </c>
      <c r="Q310" s="9">
        <f>SUM(IFERROR(VLOOKUP($C:$C,Structure!$A:$AJ,Q$1,0)*$D310,0),IFERROR(VLOOKUP($E:$E,Structure!$A:$AJ,Q$1,0)*$F310,0),IFERROR(VLOOKUP($G:$G,Structure!$A:$AJ,Q$1,0)*$H310,0))</f>
        <v>0</v>
      </c>
      <c r="R310" s="9">
        <f>SUM(IFERROR(VLOOKUP($C:$C,Structure!$A:$AJ,R$1,0)*$D310,0),IFERROR(VLOOKUP($E:$E,Structure!$A:$AJ,R$1,0)*$F310,0),IFERROR(VLOOKUP($G:$G,Structure!$A:$AJ,R$1,0)*$H310,0))</f>
        <v>0</v>
      </c>
      <c r="S310" s="9">
        <f>SUM(IFERROR(VLOOKUP($C:$C,Structure!$A:$AJ,S$1,0)*$D310,0),IFERROR(VLOOKUP($E:$E,Structure!$A:$AJ,S$1,0)*$F310,0),IFERROR(VLOOKUP($G:$G,Structure!$A:$AJ,S$1,0)*$H310,0))</f>
        <v>0</v>
      </c>
      <c r="T310" s="9">
        <f>SUM(IFERROR(VLOOKUP($C:$C,Structure!$A:$AJ,T$1,0)*$D310,0),IFERROR(VLOOKUP($E:$E,Structure!$A:$AJ,T$1,0)*$F310,0),IFERROR(VLOOKUP($G:$G,Structure!$A:$AJ,T$1,0)*$H310,0))</f>
        <v>0</v>
      </c>
      <c r="U310" s="9">
        <f>SUM(IFERROR(VLOOKUP($C:$C,Structure!$A:$AJ,U$1,0)*$D310,0),IFERROR(VLOOKUP($E:$E,Structure!$A:$AJ,U$1,0)*$F310,0),IFERROR(VLOOKUP($G:$G,Structure!$A:$AJ,U$1,0)*$H310,0))</f>
        <v>0</v>
      </c>
      <c r="V310" s="9">
        <f>SUM(IFERROR(VLOOKUP($C:$C,Structure!$A:$AJ,V$1,0)*$D310,0),IFERROR(VLOOKUP($E:$E,Structure!$A:$AJ,V$1,0)*$F310,0),IFERROR(VLOOKUP($G:$G,Structure!$A:$AJ,V$1,0)*$H310,0))</f>
        <v>0</v>
      </c>
      <c r="W310" s="9">
        <f>SUM(IFERROR(VLOOKUP($C:$C,Structure!$A:$AJ,W$1,0)*$D310,0),IFERROR(VLOOKUP($E:$E,Structure!$A:$AJ,W$1,0)*$F310,0),IFERROR(VLOOKUP($G:$G,Structure!$A:$AJ,W$1,0)*$H310,0))</f>
        <v>0</v>
      </c>
      <c r="X310" s="9">
        <f>SUM(IFERROR(VLOOKUP($C:$C,Structure!$A:$AJ,X$1,0)*$D310,0),IFERROR(VLOOKUP($E:$E,Structure!$A:$AJ,X$1,0)*$F310,0),IFERROR(VLOOKUP($G:$G,Structure!$A:$AJ,X$1,0)*$H310,0))</f>
        <v>0</v>
      </c>
      <c r="Y310" s="9">
        <f>SUM(IFERROR(VLOOKUP($C:$C,Structure!$A:$AJ,Y$1,0)*$D310,0),IFERROR(VLOOKUP($E:$E,Structure!$A:$AJ,Y$1,0)*$F310,0),IFERROR(VLOOKUP($G:$G,Structure!$A:$AJ,Y$1,0)*$H310,0))</f>
        <v>0</v>
      </c>
      <c r="Z310" s="9">
        <f>SUM(IFERROR(VLOOKUP($C:$C,Structure!$A:$AJ,Z$1,0)*$D310,0),IFERROR(VLOOKUP($E:$E,Structure!$A:$AJ,Z$1,0)*$F310,0),IFERROR(VLOOKUP($G:$G,Structure!$A:$AJ,Z$1,0)*$H310,0))</f>
        <v>0</v>
      </c>
      <c r="AA310" s="9">
        <f>SUM(IFERROR(VLOOKUP($C:$C,Structure!$A:$AJ,AA$1,0)*$D310,0),IFERROR(VLOOKUP($E:$E,Structure!$A:$AJ,AA$1,0)*$F310,0),IFERROR(VLOOKUP($G:$G,Structure!$A:$AJ,AA$1,0)*$H310,0))</f>
        <v>0</v>
      </c>
      <c r="AB310" s="9">
        <f>SUM(IFERROR(VLOOKUP($C:$C,Structure!$A:$AJ,AB$1,0)*$D310,0),IFERROR(VLOOKUP($E:$E,Structure!$A:$AJ,AB$1,0)*$F310,0),IFERROR(VLOOKUP($G:$G,Structure!$A:$AJ,AB$1,0)*$H310,0))</f>
        <v>0</v>
      </c>
      <c r="AC310" s="9">
        <f>SUM(IFERROR(VLOOKUP($C:$C,Structure!$A:$AJ,AC$1,0)*$D310,0),IFERROR(VLOOKUP($E:$E,Structure!$A:$AJ,AC$1,0)*$F310,0),IFERROR(VLOOKUP($G:$G,Structure!$A:$AJ,AC$1,0)*$H310,0))</f>
        <v>0</v>
      </c>
      <c r="AD310" s="9">
        <f>SUM(IFERROR(VLOOKUP($C:$C,Structure!$A:$AJ,AD$1,0)*$D310,0),IFERROR(VLOOKUP($E:$E,Structure!$A:$AJ,AD$1,0)*$F310,0),IFERROR(VLOOKUP($G:$G,Structure!$A:$AJ,AD$1,0)*$H310,0))</f>
        <v>0</v>
      </c>
      <c r="AE310" s="9">
        <f>SUM(IFERROR(VLOOKUP($C:$C,Structure!$A:$AJ,AE$1,0)*$D310,0),IFERROR(VLOOKUP($E:$E,Structure!$A:$AJ,AE$1,0)*$F310,0),IFERROR(VLOOKUP($G:$G,Structure!$A:$AJ,AE$1,0)*$H310,0))</f>
        <v>0</v>
      </c>
      <c r="AF310" s="9">
        <f>SUM(IFERROR(VLOOKUP($C:$C,Structure!$A:$AJ,AF$1,0)*$D310,0),IFERROR(VLOOKUP($E:$E,Structure!$A:$AJ,AF$1,0)*$F310,0),IFERROR(VLOOKUP($G:$G,Structure!$A:$AJ,AF$1,0)*$H310,0))</f>
        <v>0</v>
      </c>
      <c r="AG310" s="9">
        <f>SUM(IFERROR(VLOOKUP($C:$C,Structure!$A:$AJ,AG$1,0)*$D310,0),IFERROR(VLOOKUP($E:$E,Structure!$A:$AJ,AG$1,0)*$F310,0),IFERROR(VLOOKUP($G:$G,Structure!$A:$AJ,AG$1,0)*$H310,0))</f>
        <v>0</v>
      </c>
      <c r="AH310" s="9">
        <f>SUM(IFERROR(VLOOKUP($C:$C,Structure!$A:$AJ,AH$1,0)*$D310,0),IFERROR(VLOOKUP($E:$E,Structure!$A:$AJ,AH$1,0)*$F310,0),IFERROR(VLOOKUP($G:$G,Structure!$A:$AJ,AH$1,0)*$H310,0))</f>
        <v>0</v>
      </c>
      <c r="AI310" s="9">
        <f>SUM(IFERROR(VLOOKUP($C:$C,Structure!$A:$AJ,AI$1,0)*$D310,0),IFERROR(VLOOKUP($E:$E,Structure!$A:$AJ,AI$1,0)*$F310,0),IFERROR(VLOOKUP($G:$G,Structure!$A:$AJ,AI$1,0)*$H310,0))</f>
        <v>0</v>
      </c>
      <c r="AJ310" s="9">
        <f>SUM(IFERROR(VLOOKUP($C:$C,Structure!$A:$AJ,AJ$1,0)*$D310,0),IFERROR(VLOOKUP($E:$E,Structure!$A:$AJ,AJ$1,0)*$F310,0),IFERROR(VLOOKUP($G:$G,Structure!$A:$AJ,AJ$1,0)*$H310,0))</f>
        <v>0</v>
      </c>
      <c r="AK310" s="9">
        <f>SUM(IFERROR(VLOOKUP($C:$C,Structure!$A:$AJ,AK$1,0)*$D310,0),IFERROR(VLOOKUP($E:$E,Structure!$A:$AJ,AK$1,0)*$F310,0),IFERROR(VLOOKUP($G:$G,Structure!$A:$AJ,AK$1,0)*$H310,0))</f>
        <v>0</v>
      </c>
      <c r="AL310" s="9">
        <f>SUM(IFERROR(VLOOKUP($C:$C,Structure!$A:$AJ,AL$1,0)*$D310,0),IFERROR(VLOOKUP($E:$E,Structure!$A:$AJ,AL$1,0)*$F310,0),IFERROR(VLOOKUP($G:$G,Structure!$A:$AJ,AL$1,0)*$H310,0))</f>
        <v>0</v>
      </c>
      <c r="AM310" s="9">
        <f>SUM(IFERROR(VLOOKUP($C:$C,Structure!$A:$AJ,AM$1,0)*$D310,0),IFERROR(VLOOKUP($E:$E,Structure!$A:$AJ,AM$1,0)*$F310,0),IFERROR(VLOOKUP($G:$G,Structure!$A:$AJ,AM$1,0)*$H310,0))</f>
        <v>0</v>
      </c>
      <c r="AN310" s="9">
        <f>SUM(IFERROR(VLOOKUP($C:$C,Structure!$A:$AJ,AN$1,0)*$D310,0),IFERROR(VLOOKUP($E:$E,Structure!$A:$AJ,AN$1,0)*$F310,0),IFERROR(VLOOKUP($G:$G,Structure!$A:$AJ,AN$1,0)*$H310,0))</f>
        <v>0</v>
      </c>
      <c r="AO310" s="9">
        <f>SUM(IFERROR(VLOOKUP($C:$C,Structure!$A:$AJ,AO$1,0)*$D310,0),IFERROR(VLOOKUP($E:$E,Structure!$A:$AJ,AO$1,0)*$F310,0),IFERROR(VLOOKUP($G:$G,Structure!$A:$AJ,AO$1,0)*$H310,0))</f>
        <v>0</v>
      </c>
      <c r="AP310" s="9">
        <f>SUM(IFERROR(VLOOKUP($C:$C,Structure!$A:$AJ,AP$1,0)*$D310,0),IFERROR(VLOOKUP($E:$E,Structure!$A:$AJ,AP$1,0)*$F310,0),IFERROR(VLOOKUP($G:$G,Structure!$A:$AJ,AP$1,0)*$H310,0))</f>
        <v>0</v>
      </c>
      <c r="AQ310" s="9">
        <f>SUM(IFERROR(VLOOKUP($C:$C,Structure!$A:$AJ,AQ$1,0)*$D310,0),IFERROR(VLOOKUP($E:$E,Structure!$A:$AJ,AQ$1,0)*$F310,0),IFERROR(VLOOKUP($G:$G,Structure!$A:$AJ,AQ$1,0)*$H310,0))</f>
        <v>0</v>
      </c>
      <c r="AR310" s="21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4">
        <f t="shared" si="302"/>
        <v>0</v>
      </c>
      <c r="CE310" s="4">
        <f t="shared" si="303"/>
        <v>-268</v>
      </c>
      <c r="CF310" s="4">
        <f t="shared" si="304"/>
        <v>4</v>
      </c>
      <c r="CG310" s="4">
        <f t="shared" si="305"/>
        <v>11</v>
      </c>
      <c r="CH310" s="4">
        <f t="shared" si="306"/>
        <v>-7</v>
      </c>
      <c r="CI310" s="4">
        <f t="shared" si="307"/>
        <v>93</v>
      </c>
      <c r="CJ310" s="4">
        <f t="shared" si="308"/>
        <v>-447</v>
      </c>
      <c r="CK310" s="4">
        <f t="shared" si="309"/>
        <v>-89</v>
      </c>
      <c r="CL310" s="4">
        <f t="shared" si="310"/>
        <v>0</v>
      </c>
      <c r="CM310" s="4">
        <f t="shared" si="311"/>
        <v>6</v>
      </c>
      <c r="CN310" s="4">
        <f t="shared" si="312"/>
        <v>-334</v>
      </c>
      <c r="CO310" s="4">
        <f t="shared" si="313"/>
        <v>0</v>
      </c>
      <c r="CP310" s="4">
        <f t="shared" si="314"/>
        <v>-61</v>
      </c>
      <c r="CQ310" s="4">
        <f t="shared" si="315"/>
        <v>-635</v>
      </c>
      <c r="CR310" s="4">
        <f t="shared" si="316"/>
        <v>12</v>
      </c>
      <c r="CS310" s="4">
        <f t="shared" si="317"/>
        <v>-58</v>
      </c>
      <c r="CT310" s="4">
        <f t="shared" si="318"/>
        <v>0</v>
      </c>
      <c r="CU310" s="4">
        <f t="shared" si="319"/>
        <v>0</v>
      </c>
      <c r="CV310" s="4">
        <f t="shared" si="320"/>
        <v>0</v>
      </c>
      <c r="CW310" s="4">
        <f t="shared" si="321"/>
        <v>0</v>
      </c>
      <c r="CX310" s="4">
        <f t="shared" si="322"/>
        <v>-956</v>
      </c>
      <c r="CY310" s="4">
        <f t="shared" si="323"/>
        <v>0</v>
      </c>
      <c r="CZ310" s="4">
        <f t="shared" si="324"/>
        <v>0</v>
      </c>
      <c r="DA310" s="4">
        <f t="shared" si="325"/>
        <v>0</v>
      </c>
      <c r="DB310" s="4">
        <f t="shared" si="326"/>
        <v>0</v>
      </c>
      <c r="DC310" s="4">
        <f t="shared" si="327"/>
        <v>0</v>
      </c>
      <c r="DD310" s="4">
        <f t="shared" si="328"/>
        <v>0</v>
      </c>
      <c r="DE310" s="4">
        <f t="shared" si="329"/>
        <v>0</v>
      </c>
      <c r="DF310" s="4">
        <f t="shared" si="330"/>
        <v>0</v>
      </c>
      <c r="DG310" s="4">
        <f t="shared" si="331"/>
        <v>0</v>
      </c>
      <c r="DH310" s="4">
        <f t="shared" si="332"/>
        <v>0</v>
      </c>
      <c r="DI310" s="4">
        <f t="shared" si="333"/>
        <v>0</v>
      </c>
      <c r="DJ310" s="4">
        <f t="shared" si="334"/>
        <v>0</v>
      </c>
      <c r="DK310" s="4">
        <f t="shared" si="335"/>
        <v>0</v>
      </c>
      <c r="DL310" s="4">
        <f t="shared" si="336"/>
        <v>0</v>
      </c>
    </row>
    <row r="311" spans="1:116" x14ac:dyDescent="0.25">
      <c r="A311" s="5">
        <v>46189</v>
      </c>
      <c r="B311" s="6">
        <v>0.72916666741366498</v>
      </c>
      <c r="C311" s="3"/>
      <c r="D311" s="3"/>
      <c r="E311" s="3" t="s">
        <v>49</v>
      </c>
      <c r="F311" s="3">
        <v>8</v>
      </c>
      <c r="G311" s="3"/>
      <c r="H311" s="9"/>
      <c r="I311" s="9">
        <f>SUM(IFERROR(VLOOKUP($C:$C,Structure!$A:$AJ,I$1,0)*$D311,0),IFERROR(VLOOKUP($E:$E,Structure!$A:$AJ,I$1,0)*$F311,0),IFERROR(VLOOKUP($G:$G,Structure!$A:$AJ,I$1,0)*$H311,0))</f>
        <v>0</v>
      </c>
      <c r="J311" s="9">
        <f>SUM(IFERROR(VLOOKUP($C:$C,Structure!$A:$AJ,J$1,0)*$D311,0),IFERROR(VLOOKUP($E:$E,Structure!$A:$AJ,J$1,0)*$F311,0),IFERROR(VLOOKUP($G:$G,Structure!$A:$AJ,J$1,0)*$H311,0))</f>
        <v>0</v>
      </c>
      <c r="K311" s="9">
        <f>SUM(IFERROR(VLOOKUP($C:$C,Structure!$A:$AJ,K$1,0)*$D311,0),IFERROR(VLOOKUP($E:$E,Structure!$A:$AJ,K$1,0)*$F311,0),IFERROR(VLOOKUP($G:$G,Structure!$A:$AJ,K$1,0)*$H311,0))</f>
        <v>0</v>
      </c>
      <c r="L311" s="9">
        <f>SUM(IFERROR(VLOOKUP($C:$C,Structure!$A:$AJ,L$1,0)*$D311,0),IFERROR(VLOOKUP($E:$E,Structure!$A:$AJ,L$1,0)*$F311,0),IFERROR(VLOOKUP($G:$G,Structure!$A:$AJ,L$1,0)*$H311,0))</f>
        <v>0</v>
      </c>
      <c r="M311" s="9">
        <f>SUM(IFERROR(VLOOKUP($C:$C,Structure!$A:$AJ,M$1,0)*$D311,0),IFERROR(VLOOKUP($E:$E,Structure!$A:$AJ,M$1,0)*$F311,0),IFERROR(VLOOKUP($G:$G,Structure!$A:$AJ,M$1,0)*$H311,0))</f>
        <v>0</v>
      </c>
      <c r="N311" s="9">
        <f>SUM(IFERROR(VLOOKUP($C:$C,Structure!$A:$AJ,N$1,0)*$D311,0),IFERROR(VLOOKUP($E:$E,Structure!$A:$AJ,N$1,0)*$F311,0),IFERROR(VLOOKUP($G:$G,Structure!$A:$AJ,N$1,0)*$H311,0))</f>
        <v>8</v>
      </c>
      <c r="O311" s="9">
        <f>SUM(IFERROR(VLOOKUP($C:$C,Structure!$A:$AJ,O$1,0)*$D311,0),IFERROR(VLOOKUP($E:$E,Structure!$A:$AJ,O$1,0)*$F311,0),IFERROR(VLOOKUP($G:$G,Structure!$A:$AJ,O$1,0)*$H311,0))</f>
        <v>0</v>
      </c>
      <c r="P311" s="9">
        <f>SUM(IFERROR(VLOOKUP($C:$C,Structure!$A:$AJ,P$1,0)*$D311,0),IFERROR(VLOOKUP($E:$E,Structure!$A:$AJ,P$1,0)*$F311,0),IFERROR(VLOOKUP($G:$G,Structure!$A:$AJ,P$1,0)*$H311,0))</f>
        <v>0</v>
      </c>
      <c r="Q311" s="9">
        <f>SUM(IFERROR(VLOOKUP($C:$C,Structure!$A:$AJ,Q$1,0)*$D311,0),IFERROR(VLOOKUP($E:$E,Structure!$A:$AJ,Q$1,0)*$F311,0),IFERROR(VLOOKUP($G:$G,Structure!$A:$AJ,Q$1,0)*$H311,0))</f>
        <v>0</v>
      </c>
      <c r="R311" s="9">
        <f>SUM(IFERROR(VLOOKUP($C:$C,Structure!$A:$AJ,R$1,0)*$D311,0),IFERROR(VLOOKUP($E:$E,Structure!$A:$AJ,R$1,0)*$F311,0),IFERROR(VLOOKUP($G:$G,Structure!$A:$AJ,R$1,0)*$H311,0))</f>
        <v>0</v>
      </c>
      <c r="S311" s="9">
        <f>SUM(IFERROR(VLOOKUP($C:$C,Structure!$A:$AJ,S$1,0)*$D311,0),IFERROR(VLOOKUP($E:$E,Structure!$A:$AJ,S$1,0)*$F311,0),IFERROR(VLOOKUP($G:$G,Structure!$A:$AJ,S$1,0)*$H311,0))</f>
        <v>0</v>
      </c>
      <c r="T311" s="9">
        <f>SUM(IFERROR(VLOOKUP($C:$C,Structure!$A:$AJ,T$1,0)*$D311,0),IFERROR(VLOOKUP($E:$E,Structure!$A:$AJ,T$1,0)*$F311,0),IFERROR(VLOOKUP($G:$G,Structure!$A:$AJ,T$1,0)*$H311,0))</f>
        <v>0</v>
      </c>
      <c r="U311" s="9">
        <f>SUM(IFERROR(VLOOKUP($C:$C,Structure!$A:$AJ,U$1,0)*$D311,0),IFERROR(VLOOKUP($E:$E,Structure!$A:$AJ,U$1,0)*$F311,0),IFERROR(VLOOKUP($G:$G,Structure!$A:$AJ,U$1,0)*$H311,0))</f>
        <v>0</v>
      </c>
      <c r="V311" s="9">
        <f>SUM(IFERROR(VLOOKUP($C:$C,Structure!$A:$AJ,V$1,0)*$D311,0),IFERROR(VLOOKUP($E:$E,Structure!$A:$AJ,V$1,0)*$F311,0),IFERROR(VLOOKUP($G:$G,Structure!$A:$AJ,V$1,0)*$H311,0))</f>
        <v>0</v>
      </c>
      <c r="W311" s="9">
        <f>SUM(IFERROR(VLOOKUP($C:$C,Structure!$A:$AJ,W$1,0)*$D311,0),IFERROR(VLOOKUP($E:$E,Structure!$A:$AJ,W$1,0)*$F311,0),IFERROR(VLOOKUP($G:$G,Structure!$A:$AJ,W$1,0)*$H311,0))</f>
        <v>0</v>
      </c>
      <c r="X311" s="9">
        <f>SUM(IFERROR(VLOOKUP($C:$C,Structure!$A:$AJ,X$1,0)*$D311,0),IFERROR(VLOOKUP($E:$E,Structure!$A:$AJ,X$1,0)*$F311,0),IFERROR(VLOOKUP($G:$G,Structure!$A:$AJ,X$1,0)*$H311,0))</f>
        <v>8</v>
      </c>
      <c r="Y311" s="9">
        <f>SUM(IFERROR(VLOOKUP($C:$C,Structure!$A:$AJ,Y$1,0)*$D311,0),IFERROR(VLOOKUP($E:$E,Structure!$A:$AJ,Y$1,0)*$F311,0),IFERROR(VLOOKUP($G:$G,Structure!$A:$AJ,Y$1,0)*$H311,0))</f>
        <v>0</v>
      </c>
      <c r="Z311" s="9">
        <f>SUM(IFERROR(VLOOKUP($C:$C,Structure!$A:$AJ,Z$1,0)*$D311,0),IFERROR(VLOOKUP($E:$E,Structure!$A:$AJ,Z$1,0)*$F311,0),IFERROR(VLOOKUP($G:$G,Structure!$A:$AJ,Z$1,0)*$H311,0))</f>
        <v>0</v>
      </c>
      <c r="AA311" s="9">
        <f>SUM(IFERROR(VLOOKUP($C:$C,Structure!$A:$AJ,AA$1,0)*$D311,0),IFERROR(VLOOKUP($E:$E,Structure!$A:$AJ,AA$1,0)*$F311,0),IFERROR(VLOOKUP($G:$G,Structure!$A:$AJ,AA$1,0)*$H311,0))</f>
        <v>0</v>
      </c>
      <c r="AB311" s="9">
        <f>SUM(IFERROR(VLOOKUP($C:$C,Structure!$A:$AJ,AB$1,0)*$D311,0),IFERROR(VLOOKUP($E:$E,Structure!$A:$AJ,AB$1,0)*$F311,0),IFERROR(VLOOKUP($G:$G,Structure!$A:$AJ,AB$1,0)*$H311,0))</f>
        <v>0</v>
      </c>
      <c r="AC311" s="9">
        <f>SUM(IFERROR(VLOOKUP($C:$C,Structure!$A:$AJ,AC$1,0)*$D311,0),IFERROR(VLOOKUP($E:$E,Structure!$A:$AJ,AC$1,0)*$F311,0),IFERROR(VLOOKUP($G:$G,Structure!$A:$AJ,AC$1,0)*$H311,0))</f>
        <v>0</v>
      </c>
      <c r="AD311" s="9">
        <f>SUM(IFERROR(VLOOKUP($C:$C,Structure!$A:$AJ,AD$1,0)*$D311,0),IFERROR(VLOOKUP($E:$E,Structure!$A:$AJ,AD$1,0)*$F311,0),IFERROR(VLOOKUP($G:$G,Structure!$A:$AJ,AD$1,0)*$H311,0))</f>
        <v>0</v>
      </c>
      <c r="AE311" s="9">
        <f>SUM(IFERROR(VLOOKUP($C:$C,Structure!$A:$AJ,AE$1,0)*$D311,0),IFERROR(VLOOKUP($E:$E,Structure!$A:$AJ,AE$1,0)*$F311,0),IFERROR(VLOOKUP($G:$G,Structure!$A:$AJ,AE$1,0)*$H311,0))</f>
        <v>0</v>
      </c>
      <c r="AF311" s="9">
        <f>SUM(IFERROR(VLOOKUP($C:$C,Structure!$A:$AJ,AF$1,0)*$D311,0),IFERROR(VLOOKUP($E:$E,Structure!$A:$AJ,AF$1,0)*$F311,0),IFERROR(VLOOKUP($G:$G,Structure!$A:$AJ,AF$1,0)*$H311,0))</f>
        <v>0</v>
      </c>
      <c r="AG311" s="9">
        <f>SUM(IFERROR(VLOOKUP($C:$C,Structure!$A:$AJ,AG$1,0)*$D311,0),IFERROR(VLOOKUP($E:$E,Structure!$A:$AJ,AG$1,0)*$F311,0),IFERROR(VLOOKUP($G:$G,Structure!$A:$AJ,AG$1,0)*$H311,0))</f>
        <v>0</v>
      </c>
      <c r="AH311" s="9">
        <f>SUM(IFERROR(VLOOKUP($C:$C,Structure!$A:$AJ,AH$1,0)*$D311,0),IFERROR(VLOOKUP($E:$E,Structure!$A:$AJ,AH$1,0)*$F311,0),IFERROR(VLOOKUP($G:$G,Structure!$A:$AJ,AH$1,0)*$H311,0))</f>
        <v>0</v>
      </c>
      <c r="AI311" s="9">
        <f>SUM(IFERROR(VLOOKUP($C:$C,Structure!$A:$AJ,AI$1,0)*$D311,0),IFERROR(VLOOKUP($E:$E,Structure!$A:$AJ,AI$1,0)*$F311,0),IFERROR(VLOOKUP($G:$G,Structure!$A:$AJ,AI$1,0)*$H311,0))</f>
        <v>0</v>
      </c>
      <c r="AJ311" s="9">
        <f>SUM(IFERROR(VLOOKUP($C:$C,Structure!$A:$AJ,AJ$1,0)*$D311,0),IFERROR(VLOOKUP($E:$E,Structure!$A:$AJ,AJ$1,0)*$F311,0),IFERROR(VLOOKUP($G:$G,Structure!$A:$AJ,AJ$1,0)*$H311,0))</f>
        <v>0</v>
      </c>
      <c r="AK311" s="9">
        <f>SUM(IFERROR(VLOOKUP($C:$C,Structure!$A:$AJ,AK$1,0)*$D311,0),IFERROR(VLOOKUP($E:$E,Structure!$A:$AJ,AK$1,0)*$F311,0),IFERROR(VLOOKUP($G:$G,Structure!$A:$AJ,AK$1,0)*$H311,0))</f>
        <v>0</v>
      </c>
      <c r="AL311" s="9">
        <f>SUM(IFERROR(VLOOKUP($C:$C,Structure!$A:$AJ,AL$1,0)*$D311,0),IFERROR(VLOOKUP($E:$E,Structure!$A:$AJ,AL$1,0)*$F311,0),IFERROR(VLOOKUP($G:$G,Structure!$A:$AJ,AL$1,0)*$H311,0))</f>
        <v>0</v>
      </c>
      <c r="AM311" s="9">
        <f>SUM(IFERROR(VLOOKUP($C:$C,Structure!$A:$AJ,AM$1,0)*$D311,0),IFERROR(VLOOKUP($E:$E,Structure!$A:$AJ,AM$1,0)*$F311,0),IFERROR(VLOOKUP($G:$G,Structure!$A:$AJ,AM$1,0)*$H311,0))</f>
        <v>0</v>
      </c>
      <c r="AN311" s="9">
        <f>SUM(IFERROR(VLOOKUP($C:$C,Structure!$A:$AJ,AN$1,0)*$D311,0),IFERROR(VLOOKUP($E:$E,Structure!$A:$AJ,AN$1,0)*$F311,0),IFERROR(VLOOKUP($G:$G,Structure!$A:$AJ,AN$1,0)*$H311,0))</f>
        <v>0</v>
      </c>
      <c r="AO311" s="9">
        <f>SUM(IFERROR(VLOOKUP($C:$C,Structure!$A:$AJ,AO$1,0)*$D311,0),IFERROR(VLOOKUP($E:$E,Structure!$A:$AJ,AO$1,0)*$F311,0),IFERROR(VLOOKUP($G:$G,Structure!$A:$AJ,AO$1,0)*$H311,0))</f>
        <v>0</v>
      </c>
      <c r="AP311" s="9">
        <f>SUM(IFERROR(VLOOKUP($C:$C,Structure!$A:$AJ,AP$1,0)*$D311,0),IFERROR(VLOOKUP($E:$E,Structure!$A:$AJ,AP$1,0)*$F311,0),IFERROR(VLOOKUP($G:$G,Structure!$A:$AJ,AP$1,0)*$H311,0))</f>
        <v>0</v>
      </c>
      <c r="AQ311" s="9">
        <f>SUM(IFERROR(VLOOKUP($C:$C,Structure!$A:$AJ,AQ$1,0)*$D311,0),IFERROR(VLOOKUP($E:$E,Structure!$A:$AJ,AQ$1,0)*$F311,0),IFERROR(VLOOKUP($G:$G,Structure!$A:$AJ,AQ$1,0)*$H311,0))</f>
        <v>0</v>
      </c>
      <c r="AR311" s="21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4">
        <f t="shared" si="302"/>
        <v>0</v>
      </c>
      <c r="CE311" s="4">
        <f t="shared" si="303"/>
        <v>-268</v>
      </c>
      <c r="CF311" s="4">
        <f t="shared" si="304"/>
        <v>4</v>
      </c>
      <c r="CG311" s="4">
        <f t="shared" si="305"/>
        <v>11</v>
      </c>
      <c r="CH311" s="4">
        <f t="shared" si="306"/>
        <v>-7</v>
      </c>
      <c r="CI311" s="4">
        <f t="shared" si="307"/>
        <v>85</v>
      </c>
      <c r="CJ311" s="4">
        <f t="shared" si="308"/>
        <v>-447</v>
      </c>
      <c r="CK311" s="4">
        <f t="shared" si="309"/>
        <v>-89</v>
      </c>
      <c r="CL311" s="4">
        <f t="shared" si="310"/>
        <v>0</v>
      </c>
      <c r="CM311" s="4">
        <f t="shared" si="311"/>
        <v>6</v>
      </c>
      <c r="CN311" s="4">
        <f t="shared" si="312"/>
        <v>-334</v>
      </c>
      <c r="CO311" s="4">
        <f t="shared" si="313"/>
        <v>0</v>
      </c>
      <c r="CP311" s="4">
        <f t="shared" si="314"/>
        <v>-61</v>
      </c>
      <c r="CQ311" s="4">
        <f t="shared" si="315"/>
        <v>-635</v>
      </c>
      <c r="CR311" s="4">
        <f t="shared" si="316"/>
        <v>12</v>
      </c>
      <c r="CS311" s="4">
        <f t="shared" si="317"/>
        <v>-66</v>
      </c>
      <c r="CT311" s="4">
        <f t="shared" si="318"/>
        <v>0</v>
      </c>
      <c r="CU311" s="4">
        <f t="shared" si="319"/>
        <v>0</v>
      </c>
      <c r="CV311" s="4">
        <f t="shared" si="320"/>
        <v>0</v>
      </c>
      <c r="CW311" s="4">
        <f t="shared" si="321"/>
        <v>0</v>
      </c>
      <c r="CX311" s="4">
        <f t="shared" si="322"/>
        <v>-956</v>
      </c>
      <c r="CY311" s="4">
        <f t="shared" si="323"/>
        <v>0</v>
      </c>
      <c r="CZ311" s="4">
        <f t="shared" si="324"/>
        <v>0</v>
      </c>
      <c r="DA311" s="4">
        <f t="shared" si="325"/>
        <v>0</v>
      </c>
      <c r="DB311" s="4">
        <f t="shared" si="326"/>
        <v>0</v>
      </c>
      <c r="DC311" s="4">
        <f t="shared" si="327"/>
        <v>0</v>
      </c>
      <c r="DD311" s="4">
        <f t="shared" si="328"/>
        <v>0</v>
      </c>
      <c r="DE311" s="4">
        <f t="shared" si="329"/>
        <v>0</v>
      </c>
      <c r="DF311" s="4">
        <f t="shared" si="330"/>
        <v>0</v>
      </c>
      <c r="DG311" s="4">
        <f t="shared" si="331"/>
        <v>0</v>
      </c>
      <c r="DH311" s="4">
        <f t="shared" si="332"/>
        <v>0</v>
      </c>
      <c r="DI311" s="4">
        <f t="shared" si="333"/>
        <v>0</v>
      </c>
      <c r="DJ311" s="4">
        <f t="shared" si="334"/>
        <v>0</v>
      </c>
      <c r="DK311" s="4">
        <f t="shared" si="335"/>
        <v>0</v>
      </c>
      <c r="DL311" s="4">
        <f t="shared" si="336"/>
        <v>0</v>
      </c>
    </row>
    <row r="312" spans="1:116" x14ac:dyDescent="0.25">
      <c r="A312" s="5">
        <v>46189</v>
      </c>
      <c r="B312" s="6">
        <v>0.75000000074942363</v>
      </c>
      <c r="C312" s="3"/>
      <c r="D312" s="3"/>
      <c r="E312" s="3" t="s">
        <v>47</v>
      </c>
      <c r="F312" s="3">
        <v>1</v>
      </c>
      <c r="G312" s="3"/>
      <c r="H312" s="9"/>
      <c r="I312" s="9">
        <f>SUM(IFERROR(VLOOKUP($C:$C,Structure!$A:$AJ,I$1,0)*$D312,0),IFERROR(VLOOKUP($E:$E,Structure!$A:$AJ,I$1,0)*$F312,0),IFERROR(VLOOKUP($G:$G,Structure!$A:$AJ,I$1,0)*$H312,0))</f>
        <v>0</v>
      </c>
      <c r="J312" s="9">
        <f>SUM(IFERROR(VLOOKUP($C:$C,Structure!$A:$AJ,J$1,0)*$D312,0),IFERROR(VLOOKUP($E:$E,Structure!$A:$AJ,J$1,0)*$F312,0),IFERROR(VLOOKUP($G:$G,Structure!$A:$AJ,J$1,0)*$H312,0))</f>
        <v>0</v>
      </c>
      <c r="K312" s="9">
        <f>SUM(IFERROR(VLOOKUP($C:$C,Structure!$A:$AJ,K$1,0)*$D312,0),IFERROR(VLOOKUP($E:$E,Structure!$A:$AJ,K$1,0)*$F312,0),IFERROR(VLOOKUP($G:$G,Structure!$A:$AJ,K$1,0)*$H312,0))</f>
        <v>0</v>
      </c>
      <c r="L312" s="9">
        <f>SUM(IFERROR(VLOOKUP($C:$C,Structure!$A:$AJ,L$1,0)*$D312,0),IFERROR(VLOOKUP($E:$E,Structure!$A:$AJ,L$1,0)*$F312,0),IFERROR(VLOOKUP($G:$G,Structure!$A:$AJ,L$1,0)*$H312,0))</f>
        <v>1</v>
      </c>
      <c r="M312" s="9">
        <f>SUM(IFERROR(VLOOKUP($C:$C,Structure!$A:$AJ,M$1,0)*$D312,0),IFERROR(VLOOKUP($E:$E,Structure!$A:$AJ,M$1,0)*$F312,0),IFERROR(VLOOKUP($G:$G,Structure!$A:$AJ,M$1,0)*$H312,0))</f>
        <v>0</v>
      </c>
      <c r="N312" s="9">
        <f>SUM(IFERROR(VLOOKUP($C:$C,Structure!$A:$AJ,N$1,0)*$D312,0),IFERROR(VLOOKUP($E:$E,Structure!$A:$AJ,N$1,0)*$F312,0),IFERROR(VLOOKUP($G:$G,Structure!$A:$AJ,N$1,0)*$H312,0))</f>
        <v>0</v>
      </c>
      <c r="O312" s="9">
        <f>SUM(IFERROR(VLOOKUP($C:$C,Structure!$A:$AJ,O$1,0)*$D312,0),IFERROR(VLOOKUP($E:$E,Structure!$A:$AJ,O$1,0)*$F312,0),IFERROR(VLOOKUP($G:$G,Structure!$A:$AJ,O$1,0)*$H312,0))</f>
        <v>0</v>
      </c>
      <c r="P312" s="9">
        <f>SUM(IFERROR(VLOOKUP($C:$C,Structure!$A:$AJ,P$1,0)*$D312,0),IFERROR(VLOOKUP($E:$E,Structure!$A:$AJ,P$1,0)*$F312,0),IFERROR(VLOOKUP($G:$G,Structure!$A:$AJ,P$1,0)*$H312,0))</f>
        <v>0</v>
      </c>
      <c r="Q312" s="9">
        <f>SUM(IFERROR(VLOOKUP($C:$C,Structure!$A:$AJ,Q$1,0)*$D312,0),IFERROR(VLOOKUP($E:$E,Structure!$A:$AJ,Q$1,0)*$F312,0),IFERROR(VLOOKUP($G:$G,Structure!$A:$AJ,Q$1,0)*$H312,0))</f>
        <v>0</v>
      </c>
      <c r="R312" s="9">
        <f>SUM(IFERROR(VLOOKUP($C:$C,Structure!$A:$AJ,R$1,0)*$D312,0),IFERROR(VLOOKUP($E:$E,Structure!$A:$AJ,R$1,0)*$F312,0),IFERROR(VLOOKUP($G:$G,Structure!$A:$AJ,R$1,0)*$H312,0))</f>
        <v>0</v>
      </c>
      <c r="S312" s="9">
        <f>SUM(IFERROR(VLOOKUP($C:$C,Structure!$A:$AJ,S$1,0)*$D312,0),IFERROR(VLOOKUP($E:$E,Structure!$A:$AJ,S$1,0)*$F312,0),IFERROR(VLOOKUP($G:$G,Structure!$A:$AJ,S$1,0)*$H312,0))</f>
        <v>0</v>
      </c>
      <c r="T312" s="9">
        <f>SUM(IFERROR(VLOOKUP($C:$C,Structure!$A:$AJ,T$1,0)*$D312,0),IFERROR(VLOOKUP($E:$E,Structure!$A:$AJ,T$1,0)*$F312,0),IFERROR(VLOOKUP($G:$G,Structure!$A:$AJ,T$1,0)*$H312,0))</f>
        <v>0</v>
      </c>
      <c r="U312" s="9">
        <f>SUM(IFERROR(VLOOKUP($C:$C,Structure!$A:$AJ,U$1,0)*$D312,0),IFERROR(VLOOKUP($E:$E,Structure!$A:$AJ,U$1,0)*$F312,0),IFERROR(VLOOKUP($G:$G,Structure!$A:$AJ,U$1,0)*$H312,0))</f>
        <v>0</v>
      </c>
      <c r="V312" s="9">
        <f>SUM(IFERROR(VLOOKUP($C:$C,Structure!$A:$AJ,V$1,0)*$D312,0),IFERROR(VLOOKUP($E:$E,Structure!$A:$AJ,V$1,0)*$F312,0),IFERROR(VLOOKUP($G:$G,Structure!$A:$AJ,V$1,0)*$H312,0))</f>
        <v>0</v>
      </c>
      <c r="W312" s="9">
        <f>SUM(IFERROR(VLOOKUP($C:$C,Structure!$A:$AJ,W$1,0)*$D312,0),IFERROR(VLOOKUP($E:$E,Structure!$A:$AJ,W$1,0)*$F312,0),IFERROR(VLOOKUP($G:$G,Structure!$A:$AJ,W$1,0)*$H312,0))</f>
        <v>1</v>
      </c>
      <c r="X312" s="9">
        <f>SUM(IFERROR(VLOOKUP($C:$C,Structure!$A:$AJ,X$1,0)*$D312,0),IFERROR(VLOOKUP($E:$E,Structure!$A:$AJ,X$1,0)*$F312,0),IFERROR(VLOOKUP($G:$G,Structure!$A:$AJ,X$1,0)*$H312,0))</f>
        <v>0</v>
      </c>
      <c r="Y312" s="9">
        <f>SUM(IFERROR(VLOOKUP($C:$C,Structure!$A:$AJ,Y$1,0)*$D312,0),IFERROR(VLOOKUP($E:$E,Structure!$A:$AJ,Y$1,0)*$F312,0),IFERROR(VLOOKUP($G:$G,Structure!$A:$AJ,Y$1,0)*$H312,0))</f>
        <v>0</v>
      </c>
      <c r="Z312" s="9">
        <f>SUM(IFERROR(VLOOKUP($C:$C,Structure!$A:$AJ,Z$1,0)*$D312,0),IFERROR(VLOOKUP($E:$E,Structure!$A:$AJ,Z$1,0)*$F312,0),IFERROR(VLOOKUP($G:$G,Structure!$A:$AJ,Z$1,0)*$H312,0))</f>
        <v>0</v>
      </c>
      <c r="AA312" s="9">
        <f>SUM(IFERROR(VLOOKUP($C:$C,Structure!$A:$AJ,AA$1,0)*$D312,0),IFERROR(VLOOKUP($E:$E,Structure!$A:$AJ,AA$1,0)*$F312,0),IFERROR(VLOOKUP($G:$G,Structure!$A:$AJ,AA$1,0)*$H312,0))</f>
        <v>0</v>
      </c>
      <c r="AB312" s="9">
        <f>SUM(IFERROR(VLOOKUP($C:$C,Structure!$A:$AJ,AB$1,0)*$D312,0),IFERROR(VLOOKUP($E:$E,Structure!$A:$AJ,AB$1,0)*$F312,0),IFERROR(VLOOKUP($G:$G,Structure!$A:$AJ,AB$1,0)*$H312,0))</f>
        <v>0</v>
      </c>
      <c r="AC312" s="9">
        <f>SUM(IFERROR(VLOOKUP($C:$C,Structure!$A:$AJ,AC$1,0)*$D312,0),IFERROR(VLOOKUP($E:$E,Structure!$A:$AJ,AC$1,0)*$F312,0),IFERROR(VLOOKUP($G:$G,Structure!$A:$AJ,AC$1,0)*$H312,0))</f>
        <v>0</v>
      </c>
      <c r="AD312" s="9">
        <f>SUM(IFERROR(VLOOKUP($C:$C,Structure!$A:$AJ,AD$1,0)*$D312,0),IFERROR(VLOOKUP($E:$E,Structure!$A:$AJ,AD$1,0)*$F312,0),IFERROR(VLOOKUP($G:$G,Structure!$A:$AJ,AD$1,0)*$H312,0))</f>
        <v>0</v>
      </c>
      <c r="AE312" s="9">
        <f>SUM(IFERROR(VLOOKUP($C:$C,Structure!$A:$AJ,AE$1,0)*$D312,0),IFERROR(VLOOKUP($E:$E,Structure!$A:$AJ,AE$1,0)*$F312,0),IFERROR(VLOOKUP($G:$G,Structure!$A:$AJ,AE$1,0)*$H312,0))</f>
        <v>0</v>
      </c>
      <c r="AF312" s="9">
        <f>SUM(IFERROR(VLOOKUP($C:$C,Structure!$A:$AJ,AF$1,0)*$D312,0),IFERROR(VLOOKUP($E:$E,Structure!$A:$AJ,AF$1,0)*$F312,0),IFERROR(VLOOKUP($G:$G,Structure!$A:$AJ,AF$1,0)*$H312,0))</f>
        <v>0</v>
      </c>
      <c r="AG312" s="9">
        <f>SUM(IFERROR(VLOOKUP($C:$C,Structure!$A:$AJ,AG$1,0)*$D312,0),IFERROR(VLOOKUP($E:$E,Structure!$A:$AJ,AG$1,0)*$F312,0),IFERROR(VLOOKUP($G:$G,Structure!$A:$AJ,AG$1,0)*$H312,0))</f>
        <v>0</v>
      </c>
      <c r="AH312" s="9">
        <f>SUM(IFERROR(VLOOKUP($C:$C,Structure!$A:$AJ,AH$1,0)*$D312,0),IFERROR(VLOOKUP($E:$E,Structure!$A:$AJ,AH$1,0)*$F312,0),IFERROR(VLOOKUP($G:$G,Structure!$A:$AJ,AH$1,0)*$H312,0))</f>
        <v>0</v>
      </c>
      <c r="AI312" s="9">
        <f>SUM(IFERROR(VLOOKUP($C:$C,Structure!$A:$AJ,AI$1,0)*$D312,0),IFERROR(VLOOKUP($E:$E,Structure!$A:$AJ,AI$1,0)*$F312,0),IFERROR(VLOOKUP($G:$G,Structure!$A:$AJ,AI$1,0)*$H312,0))</f>
        <v>0</v>
      </c>
      <c r="AJ312" s="9">
        <f>SUM(IFERROR(VLOOKUP($C:$C,Structure!$A:$AJ,AJ$1,0)*$D312,0),IFERROR(VLOOKUP($E:$E,Structure!$A:$AJ,AJ$1,0)*$F312,0),IFERROR(VLOOKUP($G:$G,Structure!$A:$AJ,AJ$1,0)*$H312,0))</f>
        <v>0</v>
      </c>
      <c r="AK312" s="9">
        <f>SUM(IFERROR(VLOOKUP($C:$C,Structure!$A:$AJ,AK$1,0)*$D312,0),IFERROR(VLOOKUP($E:$E,Structure!$A:$AJ,AK$1,0)*$F312,0),IFERROR(VLOOKUP($G:$G,Structure!$A:$AJ,AK$1,0)*$H312,0))</f>
        <v>0</v>
      </c>
      <c r="AL312" s="9">
        <f>SUM(IFERROR(VLOOKUP($C:$C,Structure!$A:$AJ,AL$1,0)*$D312,0),IFERROR(VLOOKUP($E:$E,Structure!$A:$AJ,AL$1,0)*$F312,0),IFERROR(VLOOKUP($G:$G,Structure!$A:$AJ,AL$1,0)*$H312,0))</f>
        <v>0</v>
      </c>
      <c r="AM312" s="9">
        <f>SUM(IFERROR(VLOOKUP($C:$C,Structure!$A:$AJ,AM$1,0)*$D312,0),IFERROR(VLOOKUP($E:$E,Structure!$A:$AJ,AM$1,0)*$F312,0),IFERROR(VLOOKUP($G:$G,Structure!$A:$AJ,AM$1,0)*$H312,0))</f>
        <v>0</v>
      </c>
      <c r="AN312" s="9">
        <f>SUM(IFERROR(VLOOKUP($C:$C,Structure!$A:$AJ,AN$1,0)*$D312,0),IFERROR(VLOOKUP($E:$E,Structure!$A:$AJ,AN$1,0)*$F312,0),IFERROR(VLOOKUP($G:$G,Structure!$A:$AJ,AN$1,0)*$H312,0))</f>
        <v>0</v>
      </c>
      <c r="AO312" s="9">
        <f>SUM(IFERROR(VLOOKUP($C:$C,Structure!$A:$AJ,AO$1,0)*$D312,0),IFERROR(VLOOKUP($E:$E,Structure!$A:$AJ,AO$1,0)*$F312,0),IFERROR(VLOOKUP($G:$G,Structure!$A:$AJ,AO$1,0)*$H312,0))</f>
        <v>0</v>
      </c>
      <c r="AP312" s="9">
        <f>SUM(IFERROR(VLOOKUP($C:$C,Structure!$A:$AJ,AP$1,0)*$D312,0),IFERROR(VLOOKUP($E:$E,Structure!$A:$AJ,AP$1,0)*$F312,0),IFERROR(VLOOKUP($G:$G,Structure!$A:$AJ,AP$1,0)*$H312,0))</f>
        <v>0</v>
      </c>
      <c r="AQ312" s="9">
        <f>SUM(IFERROR(VLOOKUP($C:$C,Structure!$A:$AJ,AQ$1,0)*$D312,0),IFERROR(VLOOKUP($E:$E,Structure!$A:$AJ,AQ$1,0)*$F312,0),IFERROR(VLOOKUP($G:$G,Structure!$A:$AJ,AQ$1,0)*$H312,0))</f>
        <v>0</v>
      </c>
      <c r="AR312" s="21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4">
        <f t="shared" si="302"/>
        <v>0</v>
      </c>
      <c r="CE312" s="4">
        <f t="shared" si="303"/>
        <v>-268</v>
      </c>
      <c r="CF312" s="4">
        <f t="shared" si="304"/>
        <v>4</v>
      </c>
      <c r="CG312" s="4">
        <f t="shared" si="305"/>
        <v>10</v>
      </c>
      <c r="CH312" s="4">
        <f t="shared" si="306"/>
        <v>-7</v>
      </c>
      <c r="CI312" s="4">
        <f t="shared" si="307"/>
        <v>85</v>
      </c>
      <c r="CJ312" s="4">
        <f t="shared" si="308"/>
        <v>-447</v>
      </c>
      <c r="CK312" s="4">
        <f t="shared" si="309"/>
        <v>-89</v>
      </c>
      <c r="CL312" s="4">
        <f t="shared" si="310"/>
        <v>0</v>
      </c>
      <c r="CM312" s="4">
        <f t="shared" si="311"/>
        <v>6</v>
      </c>
      <c r="CN312" s="4">
        <f t="shared" si="312"/>
        <v>-334</v>
      </c>
      <c r="CO312" s="4">
        <f t="shared" si="313"/>
        <v>0</v>
      </c>
      <c r="CP312" s="4">
        <f t="shared" si="314"/>
        <v>-61</v>
      </c>
      <c r="CQ312" s="4">
        <f t="shared" si="315"/>
        <v>-635</v>
      </c>
      <c r="CR312" s="4">
        <f t="shared" si="316"/>
        <v>11</v>
      </c>
      <c r="CS312" s="4">
        <f t="shared" si="317"/>
        <v>-66</v>
      </c>
      <c r="CT312" s="4">
        <f t="shared" si="318"/>
        <v>0</v>
      </c>
      <c r="CU312" s="4">
        <f t="shared" si="319"/>
        <v>0</v>
      </c>
      <c r="CV312" s="4">
        <f t="shared" si="320"/>
        <v>0</v>
      </c>
      <c r="CW312" s="4">
        <f t="shared" si="321"/>
        <v>0</v>
      </c>
      <c r="CX312" s="4">
        <f t="shared" si="322"/>
        <v>-956</v>
      </c>
      <c r="CY312" s="4">
        <f t="shared" si="323"/>
        <v>0</v>
      </c>
      <c r="CZ312" s="4">
        <f t="shared" si="324"/>
        <v>0</v>
      </c>
      <c r="DA312" s="4">
        <f t="shared" si="325"/>
        <v>0</v>
      </c>
      <c r="DB312" s="4">
        <f t="shared" si="326"/>
        <v>0</v>
      </c>
      <c r="DC312" s="4">
        <f t="shared" si="327"/>
        <v>0</v>
      </c>
      <c r="DD312" s="4">
        <f t="shared" si="328"/>
        <v>0</v>
      </c>
      <c r="DE312" s="4">
        <f t="shared" si="329"/>
        <v>0</v>
      </c>
      <c r="DF312" s="4">
        <f t="shared" si="330"/>
        <v>0</v>
      </c>
      <c r="DG312" s="4">
        <f t="shared" si="331"/>
        <v>0</v>
      </c>
      <c r="DH312" s="4">
        <f t="shared" si="332"/>
        <v>0</v>
      </c>
      <c r="DI312" s="4">
        <f t="shared" si="333"/>
        <v>0</v>
      </c>
      <c r="DJ312" s="4">
        <f t="shared" si="334"/>
        <v>0</v>
      </c>
      <c r="DK312" s="4">
        <f t="shared" si="335"/>
        <v>0</v>
      </c>
      <c r="DL312" s="4">
        <f t="shared" si="336"/>
        <v>0</v>
      </c>
    </row>
    <row r="313" spans="1:116" x14ac:dyDescent="0.25">
      <c r="A313" s="5">
        <v>46189</v>
      </c>
      <c r="B313" s="6">
        <v>0.77083333408518229</v>
      </c>
      <c r="C313" s="3"/>
      <c r="D313" s="3"/>
      <c r="E313" s="3" t="s">
        <v>30</v>
      </c>
      <c r="F313" s="3">
        <v>8</v>
      </c>
      <c r="G313" s="3"/>
      <c r="H313" s="9"/>
      <c r="I313" s="9">
        <f>SUM(IFERROR(VLOOKUP($C:$C,Structure!$A:$AJ,I$1,0)*$D313,0),IFERROR(VLOOKUP($E:$E,Structure!$A:$AJ,I$1,0)*$F313,0),IFERROR(VLOOKUP($G:$G,Structure!$A:$AJ,I$1,0)*$H313,0))</f>
        <v>0</v>
      </c>
      <c r="J313" s="9">
        <f>SUM(IFERROR(VLOOKUP($C:$C,Structure!$A:$AJ,J$1,0)*$D313,0),IFERROR(VLOOKUP($E:$E,Structure!$A:$AJ,J$1,0)*$F313,0),IFERROR(VLOOKUP($G:$G,Structure!$A:$AJ,J$1,0)*$H313,0))</f>
        <v>0</v>
      </c>
      <c r="K313" s="9">
        <f>SUM(IFERROR(VLOOKUP($C:$C,Structure!$A:$AJ,K$1,0)*$D313,0),IFERROR(VLOOKUP($E:$E,Structure!$A:$AJ,K$1,0)*$F313,0),IFERROR(VLOOKUP($G:$G,Structure!$A:$AJ,K$1,0)*$H313,0))</f>
        <v>0</v>
      </c>
      <c r="L313" s="9">
        <f>SUM(IFERROR(VLOOKUP($C:$C,Structure!$A:$AJ,L$1,0)*$D313,0),IFERROR(VLOOKUP($E:$E,Structure!$A:$AJ,L$1,0)*$F313,0),IFERROR(VLOOKUP($G:$G,Structure!$A:$AJ,L$1,0)*$H313,0))</f>
        <v>0</v>
      </c>
      <c r="M313" s="9">
        <f>SUM(IFERROR(VLOOKUP($C:$C,Structure!$A:$AJ,M$1,0)*$D313,0),IFERROR(VLOOKUP($E:$E,Structure!$A:$AJ,M$1,0)*$F313,0),IFERROR(VLOOKUP($G:$G,Structure!$A:$AJ,M$1,0)*$H313,0))</f>
        <v>0</v>
      </c>
      <c r="N313" s="9">
        <f>SUM(IFERROR(VLOOKUP($C:$C,Structure!$A:$AJ,N$1,0)*$D313,0),IFERROR(VLOOKUP($E:$E,Structure!$A:$AJ,N$1,0)*$F313,0),IFERROR(VLOOKUP($G:$G,Structure!$A:$AJ,N$1,0)*$H313,0))</f>
        <v>0</v>
      </c>
      <c r="O313" s="9">
        <f>SUM(IFERROR(VLOOKUP($C:$C,Structure!$A:$AJ,O$1,0)*$D313,0),IFERROR(VLOOKUP($E:$E,Structure!$A:$AJ,O$1,0)*$F313,0),IFERROR(VLOOKUP($G:$G,Structure!$A:$AJ,O$1,0)*$H313,0))</f>
        <v>0</v>
      </c>
      <c r="P313" s="9">
        <f>SUM(IFERROR(VLOOKUP($C:$C,Structure!$A:$AJ,P$1,0)*$D313,0),IFERROR(VLOOKUP($E:$E,Structure!$A:$AJ,P$1,0)*$F313,0),IFERROR(VLOOKUP($G:$G,Structure!$A:$AJ,P$1,0)*$H313,0))</f>
        <v>0</v>
      </c>
      <c r="Q313" s="9">
        <f>SUM(IFERROR(VLOOKUP($C:$C,Structure!$A:$AJ,Q$1,0)*$D313,0),IFERROR(VLOOKUP($E:$E,Structure!$A:$AJ,Q$1,0)*$F313,0),IFERROR(VLOOKUP($G:$G,Structure!$A:$AJ,Q$1,0)*$H313,0))</f>
        <v>0</v>
      </c>
      <c r="R313" s="9">
        <f>SUM(IFERROR(VLOOKUP($C:$C,Structure!$A:$AJ,R$1,0)*$D313,0),IFERROR(VLOOKUP($E:$E,Structure!$A:$AJ,R$1,0)*$F313,0),IFERROR(VLOOKUP($G:$G,Structure!$A:$AJ,R$1,0)*$H313,0))</f>
        <v>0</v>
      </c>
      <c r="S313" s="9">
        <f>SUM(IFERROR(VLOOKUP($C:$C,Structure!$A:$AJ,S$1,0)*$D313,0),IFERROR(VLOOKUP($E:$E,Structure!$A:$AJ,S$1,0)*$F313,0),IFERROR(VLOOKUP($G:$G,Structure!$A:$AJ,S$1,0)*$H313,0))</f>
        <v>0</v>
      </c>
      <c r="T313" s="9">
        <f>SUM(IFERROR(VLOOKUP($C:$C,Structure!$A:$AJ,T$1,0)*$D313,0),IFERROR(VLOOKUP($E:$E,Structure!$A:$AJ,T$1,0)*$F313,0),IFERROR(VLOOKUP($G:$G,Structure!$A:$AJ,T$1,0)*$H313,0))</f>
        <v>0</v>
      </c>
      <c r="U313" s="9">
        <f>SUM(IFERROR(VLOOKUP($C:$C,Structure!$A:$AJ,U$1,0)*$D313,0),IFERROR(VLOOKUP($E:$E,Structure!$A:$AJ,U$1,0)*$F313,0),IFERROR(VLOOKUP($G:$G,Structure!$A:$AJ,U$1,0)*$H313,0))</f>
        <v>0</v>
      </c>
      <c r="V313" s="9">
        <f>SUM(IFERROR(VLOOKUP($C:$C,Structure!$A:$AJ,V$1,0)*$D313,0),IFERROR(VLOOKUP($E:$E,Structure!$A:$AJ,V$1,0)*$F313,0),IFERROR(VLOOKUP($G:$G,Structure!$A:$AJ,V$1,0)*$H313,0))</f>
        <v>8</v>
      </c>
      <c r="W313" s="9">
        <f>SUM(IFERROR(VLOOKUP($C:$C,Structure!$A:$AJ,W$1,0)*$D313,0),IFERROR(VLOOKUP($E:$E,Structure!$A:$AJ,W$1,0)*$F313,0),IFERROR(VLOOKUP($G:$G,Structure!$A:$AJ,W$1,0)*$H313,0))</f>
        <v>0</v>
      </c>
      <c r="X313" s="9">
        <f>SUM(IFERROR(VLOOKUP($C:$C,Structure!$A:$AJ,X$1,0)*$D313,0),IFERROR(VLOOKUP($E:$E,Structure!$A:$AJ,X$1,0)*$F313,0),IFERROR(VLOOKUP($G:$G,Structure!$A:$AJ,X$1,0)*$H313,0))</f>
        <v>0</v>
      </c>
      <c r="Y313" s="9">
        <f>SUM(IFERROR(VLOOKUP($C:$C,Structure!$A:$AJ,Y$1,0)*$D313,0),IFERROR(VLOOKUP($E:$E,Structure!$A:$AJ,Y$1,0)*$F313,0),IFERROR(VLOOKUP($G:$G,Structure!$A:$AJ,Y$1,0)*$H313,0))</f>
        <v>0</v>
      </c>
      <c r="Z313" s="9">
        <f>SUM(IFERROR(VLOOKUP($C:$C,Structure!$A:$AJ,Z$1,0)*$D313,0),IFERROR(VLOOKUP($E:$E,Structure!$A:$AJ,Z$1,0)*$F313,0),IFERROR(VLOOKUP($G:$G,Structure!$A:$AJ,Z$1,0)*$H313,0))</f>
        <v>0</v>
      </c>
      <c r="AA313" s="9">
        <f>SUM(IFERROR(VLOOKUP($C:$C,Structure!$A:$AJ,AA$1,0)*$D313,0),IFERROR(VLOOKUP($E:$E,Structure!$A:$AJ,AA$1,0)*$F313,0),IFERROR(VLOOKUP($G:$G,Structure!$A:$AJ,AA$1,0)*$H313,0))</f>
        <v>0</v>
      </c>
      <c r="AB313" s="9">
        <f>SUM(IFERROR(VLOOKUP($C:$C,Structure!$A:$AJ,AB$1,0)*$D313,0),IFERROR(VLOOKUP($E:$E,Structure!$A:$AJ,AB$1,0)*$F313,0),IFERROR(VLOOKUP($G:$G,Structure!$A:$AJ,AB$1,0)*$H313,0))</f>
        <v>0</v>
      </c>
      <c r="AC313" s="9">
        <f>SUM(IFERROR(VLOOKUP($C:$C,Structure!$A:$AJ,AC$1,0)*$D313,0),IFERROR(VLOOKUP($E:$E,Structure!$A:$AJ,AC$1,0)*$F313,0),IFERROR(VLOOKUP($G:$G,Structure!$A:$AJ,AC$1,0)*$H313,0))</f>
        <v>8</v>
      </c>
      <c r="AD313" s="9">
        <f>SUM(IFERROR(VLOOKUP($C:$C,Structure!$A:$AJ,AD$1,0)*$D313,0),IFERROR(VLOOKUP($E:$E,Structure!$A:$AJ,AD$1,0)*$F313,0),IFERROR(VLOOKUP($G:$G,Structure!$A:$AJ,AD$1,0)*$H313,0))</f>
        <v>0</v>
      </c>
      <c r="AE313" s="9">
        <f>SUM(IFERROR(VLOOKUP($C:$C,Structure!$A:$AJ,AE$1,0)*$D313,0),IFERROR(VLOOKUP($E:$E,Structure!$A:$AJ,AE$1,0)*$F313,0),IFERROR(VLOOKUP($G:$G,Structure!$A:$AJ,AE$1,0)*$H313,0))</f>
        <v>0</v>
      </c>
      <c r="AF313" s="9">
        <f>SUM(IFERROR(VLOOKUP($C:$C,Structure!$A:$AJ,AF$1,0)*$D313,0),IFERROR(VLOOKUP($E:$E,Structure!$A:$AJ,AF$1,0)*$F313,0),IFERROR(VLOOKUP($G:$G,Structure!$A:$AJ,AF$1,0)*$H313,0))</f>
        <v>0</v>
      </c>
      <c r="AG313" s="9">
        <f>SUM(IFERROR(VLOOKUP($C:$C,Structure!$A:$AJ,AG$1,0)*$D313,0),IFERROR(VLOOKUP($E:$E,Structure!$A:$AJ,AG$1,0)*$F313,0),IFERROR(VLOOKUP($G:$G,Structure!$A:$AJ,AG$1,0)*$H313,0))</f>
        <v>0</v>
      </c>
      <c r="AH313" s="9">
        <f>SUM(IFERROR(VLOOKUP($C:$C,Structure!$A:$AJ,AH$1,0)*$D313,0),IFERROR(VLOOKUP($E:$E,Structure!$A:$AJ,AH$1,0)*$F313,0),IFERROR(VLOOKUP($G:$G,Structure!$A:$AJ,AH$1,0)*$H313,0))</f>
        <v>0</v>
      </c>
      <c r="AI313" s="9">
        <f>SUM(IFERROR(VLOOKUP($C:$C,Structure!$A:$AJ,AI$1,0)*$D313,0),IFERROR(VLOOKUP($E:$E,Structure!$A:$AJ,AI$1,0)*$F313,0),IFERROR(VLOOKUP($G:$G,Structure!$A:$AJ,AI$1,0)*$H313,0))</f>
        <v>0</v>
      </c>
      <c r="AJ313" s="9">
        <f>SUM(IFERROR(VLOOKUP($C:$C,Structure!$A:$AJ,AJ$1,0)*$D313,0),IFERROR(VLOOKUP($E:$E,Structure!$A:$AJ,AJ$1,0)*$F313,0),IFERROR(VLOOKUP($G:$G,Structure!$A:$AJ,AJ$1,0)*$H313,0))</f>
        <v>0</v>
      </c>
      <c r="AK313" s="9">
        <f>SUM(IFERROR(VLOOKUP($C:$C,Structure!$A:$AJ,AK$1,0)*$D313,0),IFERROR(VLOOKUP($E:$E,Structure!$A:$AJ,AK$1,0)*$F313,0),IFERROR(VLOOKUP($G:$G,Structure!$A:$AJ,AK$1,0)*$H313,0))</f>
        <v>0</v>
      </c>
      <c r="AL313" s="9">
        <f>SUM(IFERROR(VLOOKUP($C:$C,Structure!$A:$AJ,AL$1,0)*$D313,0),IFERROR(VLOOKUP($E:$E,Structure!$A:$AJ,AL$1,0)*$F313,0),IFERROR(VLOOKUP($G:$G,Structure!$A:$AJ,AL$1,0)*$H313,0))</f>
        <v>0</v>
      </c>
      <c r="AM313" s="9">
        <f>SUM(IFERROR(VLOOKUP($C:$C,Structure!$A:$AJ,AM$1,0)*$D313,0),IFERROR(VLOOKUP($E:$E,Structure!$A:$AJ,AM$1,0)*$F313,0),IFERROR(VLOOKUP($G:$G,Structure!$A:$AJ,AM$1,0)*$H313,0))</f>
        <v>0</v>
      </c>
      <c r="AN313" s="9">
        <f>SUM(IFERROR(VLOOKUP($C:$C,Structure!$A:$AJ,AN$1,0)*$D313,0),IFERROR(VLOOKUP($E:$E,Structure!$A:$AJ,AN$1,0)*$F313,0),IFERROR(VLOOKUP($G:$G,Structure!$A:$AJ,AN$1,0)*$H313,0))</f>
        <v>0</v>
      </c>
      <c r="AO313" s="9">
        <f>SUM(IFERROR(VLOOKUP($C:$C,Structure!$A:$AJ,AO$1,0)*$D313,0),IFERROR(VLOOKUP($E:$E,Structure!$A:$AJ,AO$1,0)*$F313,0),IFERROR(VLOOKUP($G:$G,Structure!$A:$AJ,AO$1,0)*$H313,0))</f>
        <v>0</v>
      </c>
      <c r="AP313" s="9">
        <f>SUM(IFERROR(VLOOKUP($C:$C,Structure!$A:$AJ,AP$1,0)*$D313,0),IFERROR(VLOOKUP($E:$E,Structure!$A:$AJ,AP$1,0)*$F313,0),IFERROR(VLOOKUP($G:$G,Structure!$A:$AJ,AP$1,0)*$H313,0))</f>
        <v>0</v>
      </c>
      <c r="AQ313" s="9">
        <f>SUM(IFERROR(VLOOKUP($C:$C,Structure!$A:$AJ,AQ$1,0)*$D313,0),IFERROR(VLOOKUP($E:$E,Structure!$A:$AJ,AQ$1,0)*$F313,0),IFERROR(VLOOKUP($G:$G,Structure!$A:$AJ,AQ$1,0)*$H313,0))</f>
        <v>0</v>
      </c>
      <c r="AR313" s="21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4">
        <f t="shared" si="302"/>
        <v>0</v>
      </c>
      <c r="CE313" s="4">
        <f t="shared" si="303"/>
        <v>-268</v>
      </c>
      <c r="CF313" s="4">
        <f t="shared" si="304"/>
        <v>4</v>
      </c>
      <c r="CG313" s="4">
        <f t="shared" si="305"/>
        <v>10</v>
      </c>
      <c r="CH313" s="4">
        <f t="shared" si="306"/>
        <v>-7</v>
      </c>
      <c r="CI313" s="4">
        <f t="shared" si="307"/>
        <v>85</v>
      </c>
      <c r="CJ313" s="4">
        <f t="shared" si="308"/>
        <v>-447</v>
      </c>
      <c r="CK313" s="4">
        <f t="shared" si="309"/>
        <v>-89</v>
      </c>
      <c r="CL313" s="4">
        <f t="shared" si="310"/>
        <v>0</v>
      </c>
      <c r="CM313" s="4">
        <f t="shared" si="311"/>
        <v>6</v>
      </c>
      <c r="CN313" s="4">
        <f t="shared" si="312"/>
        <v>-334</v>
      </c>
      <c r="CO313" s="4">
        <f t="shared" si="313"/>
        <v>0</v>
      </c>
      <c r="CP313" s="4">
        <f t="shared" si="314"/>
        <v>-61</v>
      </c>
      <c r="CQ313" s="4">
        <f t="shared" si="315"/>
        <v>-643</v>
      </c>
      <c r="CR313" s="4">
        <f t="shared" si="316"/>
        <v>11</v>
      </c>
      <c r="CS313" s="4">
        <f t="shared" si="317"/>
        <v>-66</v>
      </c>
      <c r="CT313" s="4">
        <f t="shared" si="318"/>
        <v>0</v>
      </c>
      <c r="CU313" s="4">
        <f t="shared" si="319"/>
        <v>0</v>
      </c>
      <c r="CV313" s="4">
        <f t="shared" si="320"/>
        <v>0</v>
      </c>
      <c r="CW313" s="4">
        <f t="shared" si="321"/>
        <v>0</v>
      </c>
      <c r="CX313" s="4">
        <f t="shared" si="322"/>
        <v>-964</v>
      </c>
      <c r="CY313" s="4">
        <f t="shared" si="323"/>
        <v>0</v>
      </c>
      <c r="CZ313" s="4">
        <f t="shared" si="324"/>
        <v>0</v>
      </c>
      <c r="DA313" s="4">
        <f t="shared" si="325"/>
        <v>0</v>
      </c>
      <c r="DB313" s="4">
        <f t="shared" si="326"/>
        <v>0</v>
      </c>
      <c r="DC313" s="4">
        <f t="shared" si="327"/>
        <v>0</v>
      </c>
      <c r="DD313" s="4">
        <f t="shared" si="328"/>
        <v>0</v>
      </c>
      <c r="DE313" s="4">
        <f t="shared" si="329"/>
        <v>0</v>
      </c>
      <c r="DF313" s="4">
        <f t="shared" si="330"/>
        <v>0</v>
      </c>
      <c r="DG313" s="4">
        <f t="shared" si="331"/>
        <v>0</v>
      </c>
      <c r="DH313" s="4">
        <f t="shared" si="332"/>
        <v>0</v>
      </c>
      <c r="DI313" s="4">
        <f t="shared" si="333"/>
        <v>0</v>
      </c>
      <c r="DJ313" s="4">
        <f t="shared" si="334"/>
        <v>0</v>
      </c>
      <c r="DK313" s="4">
        <f t="shared" si="335"/>
        <v>0</v>
      </c>
      <c r="DL313" s="4">
        <f t="shared" si="336"/>
        <v>0</v>
      </c>
    </row>
    <row r="314" spans="1:116" x14ac:dyDescent="0.25">
      <c r="A314" s="5">
        <v>46189</v>
      </c>
      <c r="B314" s="6">
        <v>0.79166666742094094</v>
      </c>
      <c r="C314" s="3"/>
      <c r="D314" s="3"/>
      <c r="E314" s="3" t="s">
        <v>30</v>
      </c>
      <c r="F314" s="3">
        <v>8</v>
      </c>
      <c r="G314" s="3"/>
      <c r="H314" s="9"/>
      <c r="I314" s="9">
        <f>SUM(IFERROR(VLOOKUP($C:$C,Structure!$A:$AJ,I$1,0)*$D314,0),IFERROR(VLOOKUP($E:$E,Structure!$A:$AJ,I$1,0)*$F314,0),IFERROR(VLOOKUP($G:$G,Structure!$A:$AJ,I$1,0)*$H314,0))</f>
        <v>0</v>
      </c>
      <c r="J314" s="9">
        <f>SUM(IFERROR(VLOOKUP($C:$C,Structure!$A:$AJ,J$1,0)*$D314,0),IFERROR(VLOOKUP($E:$E,Structure!$A:$AJ,J$1,0)*$F314,0),IFERROR(VLOOKUP($G:$G,Structure!$A:$AJ,J$1,0)*$H314,0))</f>
        <v>0</v>
      </c>
      <c r="K314" s="9">
        <f>SUM(IFERROR(VLOOKUP($C:$C,Structure!$A:$AJ,K$1,0)*$D314,0),IFERROR(VLOOKUP($E:$E,Structure!$A:$AJ,K$1,0)*$F314,0),IFERROR(VLOOKUP($G:$G,Structure!$A:$AJ,K$1,0)*$H314,0))</f>
        <v>0</v>
      </c>
      <c r="L314" s="9">
        <f>SUM(IFERROR(VLOOKUP($C:$C,Structure!$A:$AJ,L$1,0)*$D314,0),IFERROR(VLOOKUP($E:$E,Structure!$A:$AJ,L$1,0)*$F314,0),IFERROR(VLOOKUP($G:$G,Structure!$A:$AJ,L$1,0)*$H314,0))</f>
        <v>0</v>
      </c>
      <c r="M314" s="9">
        <f>SUM(IFERROR(VLOOKUP($C:$C,Structure!$A:$AJ,M$1,0)*$D314,0),IFERROR(VLOOKUP($E:$E,Structure!$A:$AJ,M$1,0)*$F314,0),IFERROR(VLOOKUP($G:$G,Structure!$A:$AJ,M$1,0)*$H314,0))</f>
        <v>0</v>
      </c>
      <c r="N314" s="9">
        <f>SUM(IFERROR(VLOOKUP($C:$C,Structure!$A:$AJ,N$1,0)*$D314,0),IFERROR(VLOOKUP($E:$E,Structure!$A:$AJ,N$1,0)*$F314,0),IFERROR(VLOOKUP($G:$G,Structure!$A:$AJ,N$1,0)*$H314,0))</f>
        <v>0</v>
      </c>
      <c r="O314" s="9">
        <f>SUM(IFERROR(VLOOKUP($C:$C,Structure!$A:$AJ,O$1,0)*$D314,0),IFERROR(VLOOKUP($E:$E,Structure!$A:$AJ,O$1,0)*$F314,0),IFERROR(VLOOKUP($G:$G,Structure!$A:$AJ,O$1,0)*$H314,0))</f>
        <v>0</v>
      </c>
      <c r="P314" s="9">
        <f>SUM(IFERROR(VLOOKUP($C:$C,Structure!$A:$AJ,P$1,0)*$D314,0),IFERROR(VLOOKUP($E:$E,Structure!$A:$AJ,P$1,0)*$F314,0),IFERROR(VLOOKUP($G:$G,Structure!$A:$AJ,P$1,0)*$H314,0))</f>
        <v>0</v>
      </c>
      <c r="Q314" s="9">
        <f>SUM(IFERROR(VLOOKUP($C:$C,Structure!$A:$AJ,Q$1,0)*$D314,0),IFERROR(VLOOKUP($E:$E,Structure!$A:$AJ,Q$1,0)*$F314,0),IFERROR(VLOOKUP($G:$G,Structure!$A:$AJ,Q$1,0)*$H314,0))</f>
        <v>0</v>
      </c>
      <c r="R314" s="9">
        <f>SUM(IFERROR(VLOOKUP($C:$C,Structure!$A:$AJ,R$1,0)*$D314,0),IFERROR(VLOOKUP($E:$E,Structure!$A:$AJ,R$1,0)*$F314,0),IFERROR(VLOOKUP($G:$G,Structure!$A:$AJ,R$1,0)*$H314,0))</f>
        <v>0</v>
      </c>
      <c r="S314" s="9">
        <f>SUM(IFERROR(VLOOKUP($C:$C,Structure!$A:$AJ,S$1,0)*$D314,0),IFERROR(VLOOKUP($E:$E,Structure!$A:$AJ,S$1,0)*$F314,0),IFERROR(VLOOKUP($G:$G,Structure!$A:$AJ,S$1,0)*$H314,0))</f>
        <v>0</v>
      </c>
      <c r="T314" s="9">
        <f>SUM(IFERROR(VLOOKUP($C:$C,Structure!$A:$AJ,T$1,0)*$D314,0),IFERROR(VLOOKUP($E:$E,Structure!$A:$AJ,T$1,0)*$F314,0),IFERROR(VLOOKUP($G:$G,Structure!$A:$AJ,T$1,0)*$H314,0))</f>
        <v>0</v>
      </c>
      <c r="U314" s="9">
        <f>SUM(IFERROR(VLOOKUP($C:$C,Structure!$A:$AJ,U$1,0)*$D314,0),IFERROR(VLOOKUP($E:$E,Structure!$A:$AJ,U$1,0)*$F314,0),IFERROR(VLOOKUP($G:$G,Structure!$A:$AJ,U$1,0)*$H314,0))</f>
        <v>0</v>
      </c>
      <c r="V314" s="9">
        <f>SUM(IFERROR(VLOOKUP($C:$C,Structure!$A:$AJ,V$1,0)*$D314,0),IFERROR(VLOOKUP($E:$E,Structure!$A:$AJ,V$1,0)*$F314,0),IFERROR(VLOOKUP($G:$G,Structure!$A:$AJ,V$1,0)*$H314,0))</f>
        <v>8</v>
      </c>
      <c r="W314" s="9">
        <f>SUM(IFERROR(VLOOKUP($C:$C,Structure!$A:$AJ,W$1,0)*$D314,0),IFERROR(VLOOKUP($E:$E,Structure!$A:$AJ,W$1,0)*$F314,0),IFERROR(VLOOKUP($G:$G,Structure!$A:$AJ,W$1,0)*$H314,0))</f>
        <v>0</v>
      </c>
      <c r="X314" s="9">
        <f>SUM(IFERROR(VLOOKUP($C:$C,Structure!$A:$AJ,X$1,0)*$D314,0),IFERROR(VLOOKUP($E:$E,Structure!$A:$AJ,X$1,0)*$F314,0),IFERROR(VLOOKUP($G:$G,Structure!$A:$AJ,X$1,0)*$H314,0))</f>
        <v>0</v>
      </c>
      <c r="Y314" s="9">
        <f>SUM(IFERROR(VLOOKUP($C:$C,Structure!$A:$AJ,Y$1,0)*$D314,0),IFERROR(VLOOKUP($E:$E,Structure!$A:$AJ,Y$1,0)*$F314,0),IFERROR(VLOOKUP($G:$G,Structure!$A:$AJ,Y$1,0)*$H314,0))</f>
        <v>0</v>
      </c>
      <c r="Z314" s="9">
        <f>SUM(IFERROR(VLOOKUP($C:$C,Structure!$A:$AJ,Z$1,0)*$D314,0),IFERROR(VLOOKUP($E:$E,Structure!$A:$AJ,Z$1,0)*$F314,0),IFERROR(VLOOKUP($G:$G,Structure!$A:$AJ,Z$1,0)*$H314,0))</f>
        <v>0</v>
      </c>
      <c r="AA314" s="9">
        <f>SUM(IFERROR(VLOOKUP($C:$C,Structure!$A:$AJ,AA$1,0)*$D314,0),IFERROR(VLOOKUP($E:$E,Structure!$A:$AJ,AA$1,0)*$F314,0),IFERROR(VLOOKUP($G:$G,Structure!$A:$AJ,AA$1,0)*$H314,0))</f>
        <v>0</v>
      </c>
      <c r="AB314" s="9">
        <f>SUM(IFERROR(VLOOKUP($C:$C,Structure!$A:$AJ,AB$1,0)*$D314,0),IFERROR(VLOOKUP($E:$E,Structure!$A:$AJ,AB$1,0)*$F314,0),IFERROR(VLOOKUP($G:$G,Structure!$A:$AJ,AB$1,0)*$H314,0))</f>
        <v>0</v>
      </c>
      <c r="AC314" s="9">
        <f>SUM(IFERROR(VLOOKUP($C:$C,Structure!$A:$AJ,AC$1,0)*$D314,0),IFERROR(VLOOKUP($E:$E,Structure!$A:$AJ,AC$1,0)*$F314,0),IFERROR(VLOOKUP($G:$G,Structure!$A:$AJ,AC$1,0)*$H314,0))</f>
        <v>8</v>
      </c>
      <c r="AD314" s="9">
        <f>SUM(IFERROR(VLOOKUP($C:$C,Structure!$A:$AJ,AD$1,0)*$D314,0),IFERROR(VLOOKUP($E:$E,Structure!$A:$AJ,AD$1,0)*$F314,0),IFERROR(VLOOKUP($G:$G,Structure!$A:$AJ,AD$1,0)*$H314,0))</f>
        <v>0</v>
      </c>
      <c r="AE314" s="9">
        <f>SUM(IFERROR(VLOOKUP($C:$C,Structure!$A:$AJ,AE$1,0)*$D314,0),IFERROR(VLOOKUP($E:$E,Structure!$A:$AJ,AE$1,0)*$F314,0),IFERROR(VLOOKUP($G:$G,Structure!$A:$AJ,AE$1,0)*$H314,0))</f>
        <v>0</v>
      </c>
      <c r="AF314" s="9">
        <f>SUM(IFERROR(VLOOKUP($C:$C,Structure!$A:$AJ,AF$1,0)*$D314,0),IFERROR(VLOOKUP($E:$E,Structure!$A:$AJ,AF$1,0)*$F314,0),IFERROR(VLOOKUP($G:$G,Structure!$A:$AJ,AF$1,0)*$H314,0))</f>
        <v>0</v>
      </c>
      <c r="AG314" s="9">
        <f>SUM(IFERROR(VLOOKUP($C:$C,Structure!$A:$AJ,AG$1,0)*$D314,0),IFERROR(VLOOKUP($E:$E,Structure!$A:$AJ,AG$1,0)*$F314,0),IFERROR(VLOOKUP($G:$G,Structure!$A:$AJ,AG$1,0)*$H314,0))</f>
        <v>0</v>
      </c>
      <c r="AH314" s="9">
        <f>SUM(IFERROR(VLOOKUP($C:$C,Structure!$A:$AJ,AH$1,0)*$D314,0),IFERROR(VLOOKUP($E:$E,Structure!$A:$AJ,AH$1,0)*$F314,0),IFERROR(VLOOKUP($G:$G,Structure!$A:$AJ,AH$1,0)*$H314,0))</f>
        <v>0</v>
      </c>
      <c r="AI314" s="9">
        <f>SUM(IFERROR(VLOOKUP($C:$C,Structure!$A:$AJ,AI$1,0)*$D314,0),IFERROR(VLOOKUP($E:$E,Structure!$A:$AJ,AI$1,0)*$F314,0),IFERROR(VLOOKUP($G:$G,Structure!$A:$AJ,AI$1,0)*$H314,0))</f>
        <v>0</v>
      </c>
      <c r="AJ314" s="9">
        <f>SUM(IFERROR(VLOOKUP($C:$C,Structure!$A:$AJ,AJ$1,0)*$D314,0),IFERROR(VLOOKUP($E:$E,Structure!$A:$AJ,AJ$1,0)*$F314,0),IFERROR(VLOOKUP($G:$G,Structure!$A:$AJ,AJ$1,0)*$H314,0))</f>
        <v>0</v>
      </c>
      <c r="AK314" s="9">
        <f>SUM(IFERROR(VLOOKUP($C:$C,Structure!$A:$AJ,AK$1,0)*$D314,0),IFERROR(VLOOKUP($E:$E,Structure!$A:$AJ,AK$1,0)*$F314,0),IFERROR(VLOOKUP($G:$G,Structure!$A:$AJ,AK$1,0)*$H314,0))</f>
        <v>0</v>
      </c>
      <c r="AL314" s="9">
        <f>SUM(IFERROR(VLOOKUP($C:$C,Structure!$A:$AJ,AL$1,0)*$D314,0),IFERROR(VLOOKUP($E:$E,Structure!$A:$AJ,AL$1,0)*$F314,0),IFERROR(VLOOKUP($G:$G,Structure!$A:$AJ,AL$1,0)*$H314,0))</f>
        <v>0</v>
      </c>
      <c r="AM314" s="9">
        <f>SUM(IFERROR(VLOOKUP($C:$C,Structure!$A:$AJ,AM$1,0)*$D314,0),IFERROR(VLOOKUP($E:$E,Structure!$A:$AJ,AM$1,0)*$F314,0),IFERROR(VLOOKUP($G:$G,Structure!$A:$AJ,AM$1,0)*$H314,0))</f>
        <v>0</v>
      </c>
      <c r="AN314" s="9">
        <f>SUM(IFERROR(VLOOKUP($C:$C,Structure!$A:$AJ,AN$1,0)*$D314,0),IFERROR(VLOOKUP($E:$E,Structure!$A:$AJ,AN$1,0)*$F314,0),IFERROR(VLOOKUP($G:$G,Structure!$A:$AJ,AN$1,0)*$H314,0))</f>
        <v>0</v>
      </c>
      <c r="AO314" s="9">
        <f>SUM(IFERROR(VLOOKUP($C:$C,Structure!$A:$AJ,AO$1,0)*$D314,0),IFERROR(VLOOKUP($E:$E,Structure!$A:$AJ,AO$1,0)*$F314,0),IFERROR(VLOOKUP($G:$G,Structure!$A:$AJ,AO$1,0)*$H314,0))</f>
        <v>0</v>
      </c>
      <c r="AP314" s="9">
        <f>SUM(IFERROR(VLOOKUP($C:$C,Structure!$A:$AJ,AP$1,0)*$D314,0),IFERROR(VLOOKUP($E:$E,Structure!$A:$AJ,AP$1,0)*$F314,0),IFERROR(VLOOKUP($G:$G,Structure!$A:$AJ,AP$1,0)*$H314,0))</f>
        <v>0</v>
      </c>
      <c r="AQ314" s="9">
        <f>SUM(IFERROR(VLOOKUP($C:$C,Structure!$A:$AJ,AQ$1,0)*$D314,0),IFERROR(VLOOKUP($E:$E,Structure!$A:$AJ,AQ$1,0)*$F314,0),IFERROR(VLOOKUP($G:$G,Structure!$A:$AJ,AQ$1,0)*$H314,0))</f>
        <v>0</v>
      </c>
      <c r="AR314" s="21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4">
        <f t="shared" si="302"/>
        <v>0</v>
      </c>
      <c r="CE314" s="4">
        <f t="shared" si="303"/>
        <v>-268</v>
      </c>
      <c r="CF314" s="4">
        <f t="shared" si="304"/>
        <v>4</v>
      </c>
      <c r="CG314" s="4">
        <f t="shared" si="305"/>
        <v>10</v>
      </c>
      <c r="CH314" s="4">
        <f t="shared" si="306"/>
        <v>-7</v>
      </c>
      <c r="CI314" s="4">
        <f t="shared" si="307"/>
        <v>85</v>
      </c>
      <c r="CJ314" s="4">
        <f t="shared" si="308"/>
        <v>-447</v>
      </c>
      <c r="CK314" s="4">
        <f t="shared" si="309"/>
        <v>-89</v>
      </c>
      <c r="CL314" s="4">
        <f t="shared" si="310"/>
        <v>0</v>
      </c>
      <c r="CM314" s="4">
        <f t="shared" si="311"/>
        <v>6</v>
      </c>
      <c r="CN314" s="4">
        <f t="shared" si="312"/>
        <v>-334</v>
      </c>
      <c r="CO314" s="4">
        <f t="shared" si="313"/>
        <v>0</v>
      </c>
      <c r="CP314" s="4">
        <f t="shared" si="314"/>
        <v>-61</v>
      </c>
      <c r="CQ314" s="4">
        <f t="shared" si="315"/>
        <v>-651</v>
      </c>
      <c r="CR314" s="4">
        <f t="shared" si="316"/>
        <v>11</v>
      </c>
      <c r="CS314" s="4">
        <f t="shared" si="317"/>
        <v>-66</v>
      </c>
      <c r="CT314" s="4">
        <f t="shared" si="318"/>
        <v>0</v>
      </c>
      <c r="CU314" s="4">
        <f t="shared" si="319"/>
        <v>0</v>
      </c>
      <c r="CV314" s="4">
        <f t="shared" si="320"/>
        <v>0</v>
      </c>
      <c r="CW314" s="4">
        <f t="shared" si="321"/>
        <v>0</v>
      </c>
      <c r="CX314" s="4">
        <f t="shared" si="322"/>
        <v>-972</v>
      </c>
      <c r="CY314" s="4">
        <f t="shared" si="323"/>
        <v>0</v>
      </c>
      <c r="CZ314" s="4">
        <f t="shared" si="324"/>
        <v>0</v>
      </c>
      <c r="DA314" s="4">
        <f t="shared" si="325"/>
        <v>0</v>
      </c>
      <c r="DB314" s="4">
        <f t="shared" si="326"/>
        <v>0</v>
      </c>
      <c r="DC314" s="4">
        <f t="shared" si="327"/>
        <v>0</v>
      </c>
      <c r="DD314" s="4">
        <f t="shared" si="328"/>
        <v>0</v>
      </c>
      <c r="DE314" s="4">
        <f t="shared" si="329"/>
        <v>0</v>
      </c>
      <c r="DF314" s="4">
        <f t="shared" si="330"/>
        <v>0</v>
      </c>
      <c r="DG314" s="4">
        <f t="shared" si="331"/>
        <v>0</v>
      </c>
      <c r="DH314" s="4">
        <f t="shared" si="332"/>
        <v>0</v>
      </c>
      <c r="DI314" s="4">
        <f t="shared" si="333"/>
        <v>0</v>
      </c>
      <c r="DJ314" s="4">
        <f t="shared" si="334"/>
        <v>0</v>
      </c>
      <c r="DK314" s="4">
        <f t="shared" si="335"/>
        <v>0</v>
      </c>
      <c r="DL314" s="4">
        <f t="shared" si="336"/>
        <v>0</v>
      </c>
    </row>
    <row r="315" spans="1:116" x14ac:dyDescent="0.25">
      <c r="A315" s="5">
        <v>46189</v>
      </c>
      <c r="B315" s="6">
        <v>0.81250000075669959</v>
      </c>
      <c r="C315" s="3"/>
      <c r="D315" s="3"/>
      <c r="E315" s="3" t="s">
        <v>30</v>
      </c>
      <c r="F315" s="3">
        <v>8</v>
      </c>
      <c r="G315" s="3"/>
      <c r="H315" s="9"/>
      <c r="I315" s="9">
        <f>SUM(IFERROR(VLOOKUP($C:$C,Structure!$A:$AJ,I$1,0)*$D315,0),IFERROR(VLOOKUP($E:$E,Structure!$A:$AJ,I$1,0)*$F315,0),IFERROR(VLOOKUP($G:$G,Structure!$A:$AJ,I$1,0)*$H315,0))</f>
        <v>0</v>
      </c>
      <c r="J315" s="9">
        <f>SUM(IFERROR(VLOOKUP($C:$C,Structure!$A:$AJ,J$1,0)*$D315,0),IFERROR(VLOOKUP($E:$E,Structure!$A:$AJ,J$1,0)*$F315,0),IFERROR(VLOOKUP($G:$G,Structure!$A:$AJ,J$1,0)*$H315,0))</f>
        <v>0</v>
      </c>
      <c r="K315" s="9">
        <f>SUM(IFERROR(VLOOKUP($C:$C,Structure!$A:$AJ,K$1,0)*$D315,0),IFERROR(VLOOKUP($E:$E,Structure!$A:$AJ,K$1,0)*$F315,0),IFERROR(VLOOKUP($G:$G,Structure!$A:$AJ,K$1,0)*$H315,0))</f>
        <v>0</v>
      </c>
      <c r="L315" s="9">
        <f>SUM(IFERROR(VLOOKUP($C:$C,Structure!$A:$AJ,L$1,0)*$D315,0),IFERROR(VLOOKUP($E:$E,Structure!$A:$AJ,L$1,0)*$F315,0),IFERROR(VLOOKUP($G:$G,Structure!$A:$AJ,L$1,0)*$H315,0))</f>
        <v>0</v>
      </c>
      <c r="M315" s="9">
        <f>SUM(IFERROR(VLOOKUP($C:$C,Structure!$A:$AJ,M$1,0)*$D315,0),IFERROR(VLOOKUP($E:$E,Structure!$A:$AJ,M$1,0)*$F315,0),IFERROR(VLOOKUP($G:$G,Structure!$A:$AJ,M$1,0)*$H315,0))</f>
        <v>0</v>
      </c>
      <c r="N315" s="9">
        <f>SUM(IFERROR(VLOOKUP($C:$C,Structure!$A:$AJ,N$1,0)*$D315,0),IFERROR(VLOOKUP($E:$E,Structure!$A:$AJ,N$1,0)*$F315,0),IFERROR(VLOOKUP($G:$G,Structure!$A:$AJ,N$1,0)*$H315,0))</f>
        <v>0</v>
      </c>
      <c r="O315" s="9">
        <f>SUM(IFERROR(VLOOKUP($C:$C,Structure!$A:$AJ,O$1,0)*$D315,0),IFERROR(VLOOKUP($E:$E,Structure!$A:$AJ,O$1,0)*$F315,0),IFERROR(VLOOKUP($G:$G,Structure!$A:$AJ,O$1,0)*$H315,0))</f>
        <v>0</v>
      </c>
      <c r="P315" s="9">
        <f>SUM(IFERROR(VLOOKUP($C:$C,Structure!$A:$AJ,P$1,0)*$D315,0),IFERROR(VLOOKUP($E:$E,Structure!$A:$AJ,P$1,0)*$F315,0),IFERROR(VLOOKUP($G:$G,Structure!$A:$AJ,P$1,0)*$H315,0))</f>
        <v>0</v>
      </c>
      <c r="Q315" s="9">
        <f>SUM(IFERROR(VLOOKUP($C:$C,Structure!$A:$AJ,Q$1,0)*$D315,0),IFERROR(VLOOKUP($E:$E,Structure!$A:$AJ,Q$1,0)*$F315,0),IFERROR(VLOOKUP($G:$G,Structure!$A:$AJ,Q$1,0)*$H315,0))</f>
        <v>0</v>
      </c>
      <c r="R315" s="9">
        <f>SUM(IFERROR(VLOOKUP($C:$C,Structure!$A:$AJ,R$1,0)*$D315,0),IFERROR(VLOOKUP($E:$E,Structure!$A:$AJ,R$1,0)*$F315,0),IFERROR(VLOOKUP($G:$G,Structure!$A:$AJ,R$1,0)*$H315,0))</f>
        <v>0</v>
      </c>
      <c r="S315" s="9">
        <f>SUM(IFERROR(VLOOKUP($C:$C,Structure!$A:$AJ,S$1,0)*$D315,0),IFERROR(VLOOKUP($E:$E,Structure!$A:$AJ,S$1,0)*$F315,0),IFERROR(VLOOKUP($G:$G,Structure!$A:$AJ,S$1,0)*$H315,0))</f>
        <v>0</v>
      </c>
      <c r="T315" s="9">
        <f>SUM(IFERROR(VLOOKUP($C:$C,Structure!$A:$AJ,T$1,0)*$D315,0),IFERROR(VLOOKUP($E:$E,Structure!$A:$AJ,T$1,0)*$F315,0),IFERROR(VLOOKUP($G:$G,Structure!$A:$AJ,T$1,0)*$H315,0))</f>
        <v>0</v>
      </c>
      <c r="U315" s="9">
        <f>SUM(IFERROR(VLOOKUP($C:$C,Structure!$A:$AJ,U$1,0)*$D315,0),IFERROR(VLOOKUP($E:$E,Structure!$A:$AJ,U$1,0)*$F315,0),IFERROR(VLOOKUP($G:$G,Structure!$A:$AJ,U$1,0)*$H315,0))</f>
        <v>0</v>
      </c>
      <c r="V315" s="9">
        <f>SUM(IFERROR(VLOOKUP($C:$C,Structure!$A:$AJ,V$1,0)*$D315,0),IFERROR(VLOOKUP($E:$E,Structure!$A:$AJ,V$1,0)*$F315,0),IFERROR(VLOOKUP($G:$G,Structure!$A:$AJ,V$1,0)*$H315,0))</f>
        <v>8</v>
      </c>
      <c r="W315" s="9">
        <f>SUM(IFERROR(VLOOKUP($C:$C,Structure!$A:$AJ,W$1,0)*$D315,0),IFERROR(VLOOKUP($E:$E,Structure!$A:$AJ,W$1,0)*$F315,0),IFERROR(VLOOKUP($G:$G,Structure!$A:$AJ,W$1,0)*$H315,0))</f>
        <v>0</v>
      </c>
      <c r="X315" s="9">
        <f>SUM(IFERROR(VLOOKUP($C:$C,Structure!$A:$AJ,X$1,0)*$D315,0),IFERROR(VLOOKUP($E:$E,Structure!$A:$AJ,X$1,0)*$F315,0),IFERROR(VLOOKUP($G:$G,Structure!$A:$AJ,X$1,0)*$H315,0))</f>
        <v>0</v>
      </c>
      <c r="Y315" s="9">
        <f>SUM(IFERROR(VLOOKUP($C:$C,Structure!$A:$AJ,Y$1,0)*$D315,0),IFERROR(VLOOKUP($E:$E,Structure!$A:$AJ,Y$1,0)*$F315,0),IFERROR(VLOOKUP($G:$G,Structure!$A:$AJ,Y$1,0)*$H315,0))</f>
        <v>0</v>
      </c>
      <c r="Z315" s="9">
        <f>SUM(IFERROR(VLOOKUP($C:$C,Structure!$A:$AJ,Z$1,0)*$D315,0),IFERROR(VLOOKUP($E:$E,Structure!$A:$AJ,Z$1,0)*$F315,0),IFERROR(VLOOKUP($G:$G,Structure!$A:$AJ,Z$1,0)*$H315,0))</f>
        <v>0</v>
      </c>
      <c r="AA315" s="9">
        <f>SUM(IFERROR(VLOOKUP($C:$C,Structure!$A:$AJ,AA$1,0)*$D315,0),IFERROR(VLOOKUP($E:$E,Structure!$A:$AJ,AA$1,0)*$F315,0),IFERROR(VLOOKUP($G:$G,Structure!$A:$AJ,AA$1,0)*$H315,0))</f>
        <v>0</v>
      </c>
      <c r="AB315" s="9">
        <f>SUM(IFERROR(VLOOKUP($C:$C,Structure!$A:$AJ,AB$1,0)*$D315,0),IFERROR(VLOOKUP($E:$E,Structure!$A:$AJ,AB$1,0)*$F315,0),IFERROR(VLOOKUP($G:$G,Structure!$A:$AJ,AB$1,0)*$H315,0))</f>
        <v>0</v>
      </c>
      <c r="AC315" s="9">
        <f>SUM(IFERROR(VLOOKUP($C:$C,Structure!$A:$AJ,AC$1,0)*$D315,0),IFERROR(VLOOKUP($E:$E,Structure!$A:$AJ,AC$1,0)*$F315,0),IFERROR(VLOOKUP($G:$G,Structure!$A:$AJ,AC$1,0)*$H315,0))</f>
        <v>8</v>
      </c>
      <c r="AD315" s="9">
        <f>SUM(IFERROR(VLOOKUP($C:$C,Structure!$A:$AJ,AD$1,0)*$D315,0),IFERROR(VLOOKUP($E:$E,Structure!$A:$AJ,AD$1,0)*$F315,0),IFERROR(VLOOKUP($G:$G,Structure!$A:$AJ,AD$1,0)*$H315,0))</f>
        <v>0</v>
      </c>
      <c r="AE315" s="9">
        <f>SUM(IFERROR(VLOOKUP($C:$C,Structure!$A:$AJ,AE$1,0)*$D315,0),IFERROR(VLOOKUP($E:$E,Structure!$A:$AJ,AE$1,0)*$F315,0),IFERROR(VLOOKUP($G:$G,Structure!$A:$AJ,AE$1,0)*$H315,0))</f>
        <v>0</v>
      </c>
      <c r="AF315" s="9">
        <f>SUM(IFERROR(VLOOKUP($C:$C,Structure!$A:$AJ,AF$1,0)*$D315,0),IFERROR(VLOOKUP($E:$E,Structure!$A:$AJ,AF$1,0)*$F315,0),IFERROR(VLOOKUP($G:$G,Structure!$A:$AJ,AF$1,0)*$H315,0))</f>
        <v>0</v>
      </c>
      <c r="AG315" s="9">
        <f>SUM(IFERROR(VLOOKUP($C:$C,Structure!$A:$AJ,AG$1,0)*$D315,0),IFERROR(VLOOKUP($E:$E,Structure!$A:$AJ,AG$1,0)*$F315,0),IFERROR(VLOOKUP($G:$G,Structure!$A:$AJ,AG$1,0)*$H315,0))</f>
        <v>0</v>
      </c>
      <c r="AH315" s="9">
        <f>SUM(IFERROR(VLOOKUP($C:$C,Structure!$A:$AJ,AH$1,0)*$D315,0),IFERROR(VLOOKUP($E:$E,Structure!$A:$AJ,AH$1,0)*$F315,0),IFERROR(VLOOKUP($G:$G,Structure!$A:$AJ,AH$1,0)*$H315,0))</f>
        <v>0</v>
      </c>
      <c r="AI315" s="9">
        <f>SUM(IFERROR(VLOOKUP($C:$C,Structure!$A:$AJ,AI$1,0)*$D315,0),IFERROR(VLOOKUP($E:$E,Structure!$A:$AJ,AI$1,0)*$F315,0),IFERROR(VLOOKUP($G:$G,Structure!$A:$AJ,AI$1,0)*$H315,0))</f>
        <v>0</v>
      </c>
      <c r="AJ315" s="9">
        <f>SUM(IFERROR(VLOOKUP($C:$C,Structure!$A:$AJ,AJ$1,0)*$D315,0),IFERROR(VLOOKUP($E:$E,Structure!$A:$AJ,AJ$1,0)*$F315,0),IFERROR(VLOOKUP($G:$G,Structure!$A:$AJ,AJ$1,0)*$H315,0))</f>
        <v>0</v>
      </c>
      <c r="AK315" s="9">
        <f>SUM(IFERROR(VLOOKUP($C:$C,Structure!$A:$AJ,AK$1,0)*$D315,0),IFERROR(VLOOKUP($E:$E,Structure!$A:$AJ,AK$1,0)*$F315,0),IFERROR(VLOOKUP($G:$G,Structure!$A:$AJ,AK$1,0)*$H315,0))</f>
        <v>0</v>
      </c>
      <c r="AL315" s="9">
        <f>SUM(IFERROR(VLOOKUP($C:$C,Structure!$A:$AJ,AL$1,0)*$D315,0),IFERROR(VLOOKUP($E:$E,Structure!$A:$AJ,AL$1,0)*$F315,0),IFERROR(VLOOKUP($G:$G,Structure!$A:$AJ,AL$1,0)*$H315,0))</f>
        <v>0</v>
      </c>
      <c r="AM315" s="9">
        <f>SUM(IFERROR(VLOOKUP($C:$C,Structure!$A:$AJ,AM$1,0)*$D315,0),IFERROR(VLOOKUP($E:$E,Structure!$A:$AJ,AM$1,0)*$F315,0),IFERROR(VLOOKUP($G:$G,Structure!$A:$AJ,AM$1,0)*$H315,0))</f>
        <v>0</v>
      </c>
      <c r="AN315" s="9">
        <f>SUM(IFERROR(VLOOKUP($C:$C,Structure!$A:$AJ,AN$1,0)*$D315,0),IFERROR(VLOOKUP($E:$E,Structure!$A:$AJ,AN$1,0)*$F315,0),IFERROR(VLOOKUP($G:$G,Structure!$A:$AJ,AN$1,0)*$H315,0))</f>
        <v>0</v>
      </c>
      <c r="AO315" s="9">
        <f>SUM(IFERROR(VLOOKUP($C:$C,Structure!$A:$AJ,AO$1,0)*$D315,0),IFERROR(VLOOKUP($E:$E,Structure!$A:$AJ,AO$1,0)*$F315,0),IFERROR(VLOOKUP($G:$G,Structure!$A:$AJ,AO$1,0)*$H315,0))</f>
        <v>0</v>
      </c>
      <c r="AP315" s="9">
        <f>SUM(IFERROR(VLOOKUP($C:$C,Structure!$A:$AJ,AP$1,0)*$D315,0),IFERROR(VLOOKUP($E:$E,Structure!$A:$AJ,AP$1,0)*$F315,0),IFERROR(VLOOKUP($G:$G,Structure!$A:$AJ,AP$1,0)*$H315,0))</f>
        <v>0</v>
      </c>
      <c r="AQ315" s="9">
        <f>SUM(IFERROR(VLOOKUP($C:$C,Structure!$A:$AJ,AQ$1,0)*$D315,0),IFERROR(VLOOKUP($E:$E,Structure!$A:$AJ,AQ$1,0)*$F315,0),IFERROR(VLOOKUP($G:$G,Structure!$A:$AJ,AQ$1,0)*$H315,0))</f>
        <v>0</v>
      </c>
      <c r="AR315" s="21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4">
        <f t="shared" si="302"/>
        <v>0</v>
      </c>
      <c r="CE315" s="4">
        <f t="shared" si="303"/>
        <v>-268</v>
      </c>
      <c r="CF315" s="4">
        <f t="shared" si="304"/>
        <v>4</v>
      </c>
      <c r="CG315" s="4">
        <f t="shared" si="305"/>
        <v>10</v>
      </c>
      <c r="CH315" s="4">
        <f t="shared" si="306"/>
        <v>-7</v>
      </c>
      <c r="CI315" s="4">
        <f t="shared" si="307"/>
        <v>85</v>
      </c>
      <c r="CJ315" s="4">
        <f t="shared" si="308"/>
        <v>-447</v>
      </c>
      <c r="CK315" s="4">
        <f t="shared" si="309"/>
        <v>-89</v>
      </c>
      <c r="CL315" s="4">
        <f t="shared" si="310"/>
        <v>0</v>
      </c>
      <c r="CM315" s="4">
        <f t="shared" si="311"/>
        <v>6</v>
      </c>
      <c r="CN315" s="4">
        <f t="shared" si="312"/>
        <v>-334</v>
      </c>
      <c r="CO315" s="4">
        <f t="shared" si="313"/>
        <v>0</v>
      </c>
      <c r="CP315" s="4">
        <f t="shared" si="314"/>
        <v>-61</v>
      </c>
      <c r="CQ315" s="4">
        <f t="shared" si="315"/>
        <v>-659</v>
      </c>
      <c r="CR315" s="4">
        <f t="shared" si="316"/>
        <v>11</v>
      </c>
      <c r="CS315" s="4">
        <f t="shared" si="317"/>
        <v>-66</v>
      </c>
      <c r="CT315" s="4">
        <f t="shared" si="318"/>
        <v>0</v>
      </c>
      <c r="CU315" s="4">
        <f t="shared" si="319"/>
        <v>0</v>
      </c>
      <c r="CV315" s="4">
        <f t="shared" si="320"/>
        <v>0</v>
      </c>
      <c r="CW315" s="4">
        <f t="shared" si="321"/>
        <v>0</v>
      </c>
      <c r="CX315" s="4">
        <f t="shared" si="322"/>
        <v>-980</v>
      </c>
      <c r="CY315" s="4">
        <f t="shared" si="323"/>
        <v>0</v>
      </c>
      <c r="CZ315" s="4">
        <f t="shared" si="324"/>
        <v>0</v>
      </c>
      <c r="DA315" s="4">
        <f t="shared" si="325"/>
        <v>0</v>
      </c>
      <c r="DB315" s="4">
        <f t="shared" si="326"/>
        <v>0</v>
      </c>
      <c r="DC315" s="4">
        <f t="shared" si="327"/>
        <v>0</v>
      </c>
      <c r="DD315" s="4">
        <f t="shared" si="328"/>
        <v>0</v>
      </c>
      <c r="DE315" s="4">
        <f t="shared" si="329"/>
        <v>0</v>
      </c>
      <c r="DF315" s="4">
        <f t="shared" si="330"/>
        <v>0</v>
      </c>
      <c r="DG315" s="4">
        <f t="shared" si="331"/>
        <v>0</v>
      </c>
      <c r="DH315" s="4">
        <f t="shared" si="332"/>
        <v>0</v>
      </c>
      <c r="DI315" s="4">
        <f t="shared" si="333"/>
        <v>0</v>
      </c>
      <c r="DJ315" s="4">
        <f t="shared" si="334"/>
        <v>0</v>
      </c>
      <c r="DK315" s="4">
        <f t="shared" si="335"/>
        <v>0</v>
      </c>
      <c r="DL315" s="4">
        <f t="shared" si="336"/>
        <v>0</v>
      </c>
    </row>
    <row r="316" spans="1:116" x14ac:dyDescent="0.25">
      <c r="A316" s="5">
        <v>46189</v>
      </c>
      <c r="B316" s="6">
        <v>0.83333333409245824</v>
      </c>
      <c r="C316" s="3"/>
      <c r="D316" s="3"/>
      <c r="E316" s="3" t="s">
        <v>30</v>
      </c>
      <c r="F316" s="3">
        <v>8</v>
      </c>
      <c r="G316" s="3"/>
      <c r="H316" s="9"/>
      <c r="I316" s="9">
        <f>SUM(IFERROR(VLOOKUP($C:$C,Structure!$A:$AJ,I$1,0)*$D316,0),IFERROR(VLOOKUP($E:$E,Structure!$A:$AJ,I$1,0)*$F316,0),IFERROR(VLOOKUP($G:$G,Structure!$A:$AJ,I$1,0)*$H316,0))</f>
        <v>0</v>
      </c>
      <c r="J316" s="9">
        <f>SUM(IFERROR(VLOOKUP($C:$C,Structure!$A:$AJ,J$1,0)*$D316,0),IFERROR(VLOOKUP($E:$E,Structure!$A:$AJ,J$1,0)*$F316,0),IFERROR(VLOOKUP($G:$G,Structure!$A:$AJ,J$1,0)*$H316,0))</f>
        <v>0</v>
      </c>
      <c r="K316" s="9">
        <f>SUM(IFERROR(VLOOKUP($C:$C,Structure!$A:$AJ,K$1,0)*$D316,0),IFERROR(VLOOKUP($E:$E,Structure!$A:$AJ,K$1,0)*$F316,0),IFERROR(VLOOKUP($G:$G,Structure!$A:$AJ,K$1,0)*$H316,0))</f>
        <v>0</v>
      </c>
      <c r="L316" s="9">
        <f>SUM(IFERROR(VLOOKUP($C:$C,Structure!$A:$AJ,L$1,0)*$D316,0),IFERROR(VLOOKUP($E:$E,Structure!$A:$AJ,L$1,0)*$F316,0),IFERROR(VLOOKUP($G:$G,Structure!$A:$AJ,L$1,0)*$H316,0))</f>
        <v>0</v>
      </c>
      <c r="M316" s="9">
        <f>SUM(IFERROR(VLOOKUP($C:$C,Structure!$A:$AJ,M$1,0)*$D316,0),IFERROR(VLOOKUP($E:$E,Structure!$A:$AJ,M$1,0)*$F316,0),IFERROR(VLOOKUP($G:$G,Structure!$A:$AJ,M$1,0)*$H316,0))</f>
        <v>0</v>
      </c>
      <c r="N316" s="9">
        <f>SUM(IFERROR(VLOOKUP($C:$C,Structure!$A:$AJ,N$1,0)*$D316,0),IFERROR(VLOOKUP($E:$E,Structure!$A:$AJ,N$1,0)*$F316,0),IFERROR(VLOOKUP($G:$G,Structure!$A:$AJ,N$1,0)*$H316,0))</f>
        <v>0</v>
      </c>
      <c r="O316" s="9">
        <f>SUM(IFERROR(VLOOKUP($C:$C,Structure!$A:$AJ,O$1,0)*$D316,0),IFERROR(VLOOKUP($E:$E,Structure!$A:$AJ,O$1,0)*$F316,0),IFERROR(VLOOKUP($G:$G,Structure!$A:$AJ,O$1,0)*$H316,0))</f>
        <v>0</v>
      </c>
      <c r="P316" s="9">
        <f>SUM(IFERROR(VLOOKUP($C:$C,Structure!$A:$AJ,P$1,0)*$D316,0),IFERROR(VLOOKUP($E:$E,Structure!$A:$AJ,P$1,0)*$F316,0),IFERROR(VLOOKUP($G:$G,Structure!$A:$AJ,P$1,0)*$H316,0))</f>
        <v>0</v>
      </c>
      <c r="Q316" s="9">
        <f>SUM(IFERROR(VLOOKUP($C:$C,Structure!$A:$AJ,Q$1,0)*$D316,0),IFERROR(VLOOKUP($E:$E,Structure!$A:$AJ,Q$1,0)*$F316,0),IFERROR(VLOOKUP($G:$G,Structure!$A:$AJ,Q$1,0)*$H316,0))</f>
        <v>0</v>
      </c>
      <c r="R316" s="9">
        <f>SUM(IFERROR(VLOOKUP($C:$C,Structure!$A:$AJ,R$1,0)*$D316,0),IFERROR(VLOOKUP($E:$E,Structure!$A:$AJ,R$1,0)*$F316,0),IFERROR(VLOOKUP($G:$G,Structure!$A:$AJ,R$1,0)*$H316,0))</f>
        <v>0</v>
      </c>
      <c r="S316" s="9">
        <f>SUM(IFERROR(VLOOKUP($C:$C,Structure!$A:$AJ,S$1,0)*$D316,0),IFERROR(VLOOKUP($E:$E,Structure!$A:$AJ,S$1,0)*$F316,0),IFERROR(VLOOKUP($G:$G,Structure!$A:$AJ,S$1,0)*$H316,0))</f>
        <v>0</v>
      </c>
      <c r="T316" s="9">
        <f>SUM(IFERROR(VLOOKUP($C:$C,Structure!$A:$AJ,T$1,0)*$D316,0),IFERROR(VLOOKUP($E:$E,Structure!$A:$AJ,T$1,0)*$F316,0),IFERROR(VLOOKUP($G:$G,Structure!$A:$AJ,T$1,0)*$H316,0))</f>
        <v>0</v>
      </c>
      <c r="U316" s="9">
        <f>SUM(IFERROR(VLOOKUP($C:$C,Structure!$A:$AJ,U$1,0)*$D316,0),IFERROR(VLOOKUP($E:$E,Structure!$A:$AJ,U$1,0)*$F316,0),IFERROR(VLOOKUP($G:$G,Structure!$A:$AJ,U$1,0)*$H316,0))</f>
        <v>0</v>
      </c>
      <c r="V316" s="9">
        <f>SUM(IFERROR(VLOOKUP($C:$C,Structure!$A:$AJ,V$1,0)*$D316,0),IFERROR(VLOOKUP($E:$E,Structure!$A:$AJ,V$1,0)*$F316,0),IFERROR(VLOOKUP($G:$G,Structure!$A:$AJ,V$1,0)*$H316,0))</f>
        <v>8</v>
      </c>
      <c r="W316" s="9">
        <f>SUM(IFERROR(VLOOKUP($C:$C,Structure!$A:$AJ,W$1,0)*$D316,0),IFERROR(VLOOKUP($E:$E,Structure!$A:$AJ,W$1,0)*$F316,0),IFERROR(VLOOKUP($G:$G,Structure!$A:$AJ,W$1,0)*$H316,0))</f>
        <v>0</v>
      </c>
      <c r="X316" s="9">
        <f>SUM(IFERROR(VLOOKUP($C:$C,Structure!$A:$AJ,X$1,0)*$D316,0),IFERROR(VLOOKUP($E:$E,Structure!$A:$AJ,X$1,0)*$F316,0),IFERROR(VLOOKUP($G:$G,Structure!$A:$AJ,X$1,0)*$H316,0))</f>
        <v>0</v>
      </c>
      <c r="Y316" s="9">
        <f>SUM(IFERROR(VLOOKUP($C:$C,Structure!$A:$AJ,Y$1,0)*$D316,0),IFERROR(VLOOKUP($E:$E,Structure!$A:$AJ,Y$1,0)*$F316,0),IFERROR(VLOOKUP($G:$G,Structure!$A:$AJ,Y$1,0)*$H316,0))</f>
        <v>0</v>
      </c>
      <c r="Z316" s="9">
        <f>SUM(IFERROR(VLOOKUP($C:$C,Structure!$A:$AJ,Z$1,0)*$D316,0),IFERROR(VLOOKUP($E:$E,Structure!$A:$AJ,Z$1,0)*$F316,0),IFERROR(VLOOKUP($G:$G,Structure!$A:$AJ,Z$1,0)*$H316,0))</f>
        <v>0</v>
      </c>
      <c r="AA316" s="9">
        <f>SUM(IFERROR(VLOOKUP($C:$C,Structure!$A:$AJ,AA$1,0)*$D316,0),IFERROR(VLOOKUP($E:$E,Structure!$A:$AJ,AA$1,0)*$F316,0),IFERROR(VLOOKUP($G:$G,Structure!$A:$AJ,AA$1,0)*$H316,0))</f>
        <v>0</v>
      </c>
      <c r="AB316" s="9">
        <f>SUM(IFERROR(VLOOKUP($C:$C,Structure!$A:$AJ,AB$1,0)*$D316,0),IFERROR(VLOOKUP($E:$E,Structure!$A:$AJ,AB$1,0)*$F316,0),IFERROR(VLOOKUP($G:$G,Structure!$A:$AJ,AB$1,0)*$H316,0))</f>
        <v>0</v>
      </c>
      <c r="AC316" s="9">
        <f>SUM(IFERROR(VLOOKUP($C:$C,Structure!$A:$AJ,AC$1,0)*$D316,0),IFERROR(VLOOKUP($E:$E,Structure!$A:$AJ,AC$1,0)*$F316,0),IFERROR(VLOOKUP($G:$G,Structure!$A:$AJ,AC$1,0)*$H316,0))</f>
        <v>8</v>
      </c>
      <c r="AD316" s="9">
        <f>SUM(IFERROR(VLOOKUP($C:$C,Structure!$A:$AJ,AD$1,0)*$D316,0),IFERROR(VLOOKUP($E:$E,Structure!$A:$AJ,AD$1,0)*$F316,0),IFERROR(VLOOKUP($G:$G,Structure!$A:$AJ,AD$1,0)*$H316,0))</f>
        <v>0</v>
      </c>
      <c r="AE316" s="9">
        <f>SUM(IFERROR(VLOOKUP($C:$C,Structure!$A:$AJ,AE$1,0)*$D316,0),IFERROR(VLOOKUP($E:$E,Structure!$A:$AJ,AE$1,0)*$F316,0),IFERROR(VLOOKUP($G:$G,Structure!$A:$AJ,AE$1,0)*$H316,0))</f>
        <v>0</v>
      </c>
      <c r="AF316" s="9">
        <f>SUM(IFERROR(VLOOKUP($C:$C,Structure!$A:$AJ,AF$1,0)*$D316,0),IFERROR(VLOOKUP($E:$E,Structure!$A:$AJ,AF$1,0)*$F316,0),IFERROR(VLOOKUP($G:$G,Structure!$A:$AJ,AF$1,0)*$H316,0))</f>
        <v>0</v>
      </c>
      <c r="AG316" s="9">
        <f>SUM(IFERROR(VLOOKUP($C:$C,Structure!$A:$AJ,AG$1,0)*$D316,0),IFERROR(VLOOKUP($E:$E,Structure!$A:$AJ,AG$1,0)*$F316,0),IFERROR(VLOOKUP($G:$G,Structure!$A:$AJ,AG$1,0)*$H316,0))</f>
        <v>0</v>
      </c>
      <c r="AH316" s="9">
        <f>SUM(IFERROR(VLOOKUP($C:$C,Structure!$A:$AJ,AH$1,0)*$D316,0),IFERROR(VLOOKUP($E:$E,Structure!$A:$AJ,AH$1,0)*$F316,0),IFERROR(VLOOKUP($G:$G,Structure!$A:$AJ,AH$1,0)*$H316,0))</f>
        <v>0</v>
      </c>
      <c r="AI316" s="9">
        <f>SUM(IFERROR(VLOOKUP($C:$C,Structure!$A:$AJ,AI$1,0)*$D316,0),IFERROR(VLOOKUP($E:$E,Structure!$A:$AJ,AI$1,0)*$F316,0),IFERROR(VLOOKUP($G:$G,Structure!$A:$AJ,AI$1,0)*$H316,0))</f>
        <v>0</v>
      </c>
      <c r="AJ316" s="9">
        <f>SUM(IFERROR(VLOOKUP($C:$C,Structure!$A:$AJ,AJ$1,0)*$D316,0),IFERROR(VLOOKUP($E:$E,Structure!$A:$AJ,AJ$1,0)*$F316,0),IFERROR(VLOOKUP($G:$G,Structure!$A:$AJ,AJ$1,0)*$H316,0))</f>
        <v>0</v>
      </c>
      <c r="AK316" s="9">
        <f>SUM(IFERROR(VLOOKUP($C:$C,Structure!$A:$AJ,AK$1,0)*$D316,0),IFERROR(VLOOKUP($E:$E,Structure!$A:$AJ,AK$1,0)*$F316,0),IFERROR(VLOOKUP($G:$G,Structure!$A:$AJ,AK$1,0)*$H316,0))</f>
        <v>0</v>
      </c>
      <c r="AL316" s="9">
        <f>SUM(IFERROR(VLOOKUP($C:$C,Structure!$A:$AJ,AL$1,0)*$D316,0),IFERROR(VLOOKUP($E:$E,Structure!$A:$AJ,AL$1,0)*$F316,0),IFERROR(VLOOKUP($G:$G,Structure!$A:$AJ,AL$1,0)*$H316,0))</f>
        <v>0</v>
      </c>
      <c r="AM316" s="9">
        <f>SUM(IFERROR(VLOOKUP($C:$C,Structure!$A:$AJ,AM$1,0)*$D316,0),IFERROR(VLOOKUP($E:$E,Structure!$A:$AJ,AM$1,0)*$F316,0),IFERROR(VLOOKUP($G:$G,Structure!$A:$AJ,AM$1,0)*$H316,0))</f>
        <v>0</v>
      </c>
      <c r="AN316" s="9">
        <f>SUM(IFERROR(VLOOKUP($C:$C,Structure!$A:$AJ,AN$1,0)*$D316,0),IFERROR(VLOOKUP($E:$E,Structure!$A:$AJ,AN$1,0)*$F316,0),IFERROR(VLOOKUP($G:$G,Structure!$A:$AJ,AN$1,0)*$H316,0))</f>
        <v>0</v>
      </c>
      <c r="AO316" s="9">
        <f>SUM(IFERROR(VLOOKUP($C:$C,Structure!$A:$AJ,AO$1,0)*$D316,0),IFERROR(VLOOKUP($E:$E,Structure!$A:$AJ,AO$1,0)*$F316,0),IFERROR(VLOOKUP($G:$G,Structure!$A:$AJ,AO$1,0)*$H316,0))</f>
        <v>0</v>
      </c>
      <c r="AP316" s="9">
        <f>SUM(IFERROR(VLOOKUP($C:$C,Structure!$A:$AJ,AP$1,0)*$D316,0),IFERROR(VLOOKUP($E:$E,Structure!$A:$AJ,AP$1,0)*$F316,0),IFERROR(VLOOKUP($G:$G,Structure!$A:$AJ,AP$1,0)*$H316,0))</f>
        <v>0</v>
      </c>
      <c r="AQ316" s="9">
        <f>SUM(IFERROR(VLOOKUP($C:$C,Structure!$A:$AJ,AQ$1,0)*$D316,0),IFERROR(VLOOKUP($E:$E,Structure!$A:$AJ,AQ$1,0)*$F316,0),IFERROR(VLOOKUP($G:$G,Structure!$A:$AJ,AQ$1,0)*$H316,0))</f>
        <v>0</v>
      </c>
      <c r="AR316" s="21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4">
        <f t="shared" si="302"/>
        <v>0</v>
      </c>
      <c r="CE316" s="4">
        <f t="shared" si="303"/>
        <v>-268</v>
      </c>
      <c r="CF316" s="4">
        <f t="shared" si="304"/>
        <v>4</v>
      </c>
      <c r="CG316" s="4">
        <f t="shared" si="305"/>
        <v>10</v>
      </c>
      <c r="CH316" s="4">
        <f t="shared" si="306"/>
        <v>-7</v>
      </c>
      <c r="CI316" s="4">
        <f t="shared" si="307"/>
        <v>85</v>
      </c>
      <c r="CJ316" s="4">
        <f t="shared" si="308"/>
        <v>-447</v>
      </c>
      <c r="CK316" s="4">
        <f t="shared" si="309"/>
        <v>-89</v>
      </c>
      <c r="CL316" s="4">
        <f t="shared" si="310"/>
        <v>0</v>
      </c>
      <c r="CM316" s="4">
        <f t="shared" si="311"/>
        <v>6</v>
      </c>
      <c r="CN316" s="4">
        <f t="shared" si="312"/>
        <v>-334</v>
      </c>
      <c r="CO316" s="4">
        <f t="shared" si="313"/>
        <v>0</v>
      </c>
      <c r="CP316" s="4">
        <f t="shared" si="314"/>
        <v>-61</v>
      </c>
      <c r="CQ316" s="4">
        <f t="shared" si="315"/>
        <v>-667</v>
      </c>
      <c r="CR316" s="4">
        <f t="shared" si="316"/>
        <v>11</v>
      </c>
      <c r="CS316" s="4">
        <f t="shared" si="317"/>
        <v>-66</v>
      </c>
      <c r="CT316" s="4">
        <f t="shared" si="318"/>
        <v>0</v>
      </c>
      <c r="CU316" s="4">
        <f t="shared" si="319"/>
        <v>0</v>
      </c>
      <c r="CV316" s="4">
        <f t="shared" si="320"/>
        <v>0</v>
      </c>
      <c r="CW316" s="4">
        <f t="shared" si="321"/>
        <v>0</v>
      </c>
      <c r="CX316" s="4">
        <f t="shared" si="322"/>
        <v>-988</v>
      </c>
      <c r="CY316" s="4">
        <f t="shared" si="323"/>
        <v>0</v>
      </c>
      <c r="CZ316" s="4">
        <f t="shared" si="324"/>
        <v>0</v>
      </c>
      <c r="DA316" s="4">
        <f t="shared" si="325"/>
        <v>0</v>
      </c>
      <c r="DB316" s="4">
        <f t="shared" si="326"/>
        <v>0</v>
      </c>
      <c r="DC316" s="4">
        <f t="shared" si="327"/>
        <v>0</v>
      </c>
      <c r="DD316" s="4">
        <f t="shared" si="328"/>
        <v>0</v>
      </c>
      <c r="DE316" s="4">
        <f t="shared" si="329"/>
        <v>0</v>
      </c>
      <c r="DF316" s="4">
        <f t="shared" si="330"/>
        <v>0</v>
      </c>
      <c r="DG316" s="4">
        <f t="shared" si="331"/>
        <v>0</v>
      </c>
      <c r="DH316" s="4">
        <f t="shared" si="332"/>
        <v>0</v>
      </c>
      <c r="DI316" s="4">
        <f t="shared" si="333"/>
        <v>0</v>
      </c>
      <c r="DJ316" s="4">
        <f t="shared" si="334"/>
        <v>0</v>
      </c>
      <c r="DK316" s="4">
        <f t="shared" si="335"/>
        <v>0</v>
      </c>
      <c r="DL316" s="4">
        <f t="shared" si="336"/>
        <v>0</v>
      </c>
    </row>
    <row r="317" spans="1:116" x14ac:dyDescent="0.25">
      <c r="A317" s="5">
        <v>46189</v>
      </c>
      <c r="B317" s="6">
        <v>0.8541666674282169</v>
      </c>
      <c r="C317" s="3"/>
      <c r="D317" s="3"/>
      <c r="E317" s="3" t="s">
        <v>30</v>
      </c>
      <c r="F317" s="3">
        <v>8</v>
      </c>
      <c r="G317" s="3"/>
      <c r="H317" s="9"/>
      <c r="I317" s="9">
        <f>SUM(IFERROR(VLOOKUP($C:$C,Structure!$A:$AJ,I$1,0)*$D317,0),IFERROR(VLOOKUP($E:$E,Structure!$A:$AJ,I$1,0)*$F317,0),IFERROR(VLOOKUP($G:$G,Structure!$A:$AJ,I$1,0)*$H317,0))</f>
        <v>0</v>
      </c>
      <c r="J317" s="9">
        <f>SUM(IFERROR(VLOOKUP($C:$C,Structure!$A:$AJ,J$1,0)*$D317,0),IFERROR(VLOOKUP($E:$E,Structure!$A:$AJ,J$1,0)*$F317,0),IFERROR(VLOOKUP($G:$G,Structure!$A:$AJ,J$1,0)*$H317,0))</f>
        <v>0</v>
      </c>
      <c r="K317" s="9">
        <f>SUM(IFERROR(VLOOKUP($C:$C,Structure!$A:$AJ,K$1,0)*$D317,0),IFERROR(VLOOKUP($E:$E,Structure!$A:$AJ,K$1,0)*$F317,0),IFERROR(VLOOKUP($G:$G,Structure!$A:$AJ,K$1,0)*$H317,0))</f>
        <v>0</v>
      </c>
      <c r="L317" s="9">
        <f>SUM(IFERROR(VLOOKUP($C:$C,Structure!$A:$AJ,L$1,0)*$D317,0),IFERROR(VLOOKUP($E:$E,Structure!$A:$AJ,L$1,0)*$F317,0),IFERROR(VLOOKUP($G:$G,Structure!$A:$AJ,L$1,0)*$H317,0))</f>
        <v>0</v>
      </c>
      <c r="M317" s="9">
        <f>SUM(IFERROR(VLOOKUP($C:$C,Structure!$A:$AJ,M$1,0)*$D317,0),IFERROR(VLOOKUP($E:$E,Structure!$A:$AJ,M$1,0)*$F317,0),IFERROR(VLOOKUP($G:$G,Structure!$A:$AJ,M$1,0)*$H317,0))</f>
        <v>0</v>
      </c>
      <c r="N317" s="9">
        <f>SUM(IFERROR(VLOOKUP($C:$C,Structure!$A:$AJ,N$1,0)*$D317,0),IFERROR(VLOOKUP($E:$E,Structure!$A:$AJ,N$1,0)*$F317,0),IFERROR(VLOOKUP($G:$G,Structure!$A:$AJ,N$1,0)*$H317,0))</f>
        <v>0</v>
      </c>
      <c r="O317" s="9">
        <f>SUM(IFERROR(VLOOKUP($C:$C,Structure!$A:$AJ,O$1,0)*$D317,0),IFERROR(VLOOKUP($E:$E,Structure!$A:$AJ,O$1,0)*$F317,0),IFERROR(VLOOKUP($G:$G,Structure!$A:$AJ,O$1,0)*$H317,0))</f>
        <v>0</v>
      </c>
      <c r="P317" s="9">
        <f>SUM(IFERROR(VLOOKUP($C:$C,Structure!$A:$AJ,P$1,0)*$D317,0),IFERROR(VLOOKUP($E:$E,Structure!$A:$AJ,P$1,0)*$F317,0),IFERROR(VLOOKUP($G:$G,Structure!$A:$AJ,P$1,0)*$H317,0))</f>
        <v>0</v>
      </c>
      <c r="Q317" s="9">
        <f>SUM(IFERROR(VLOOKUP($C:$C,Structure!$A:$AJ,Q$1,0)*$D317,0),IFERROR(VLOOKUP($E:$E,Structure!$A:$AJ,Q$1,0)*$F317,0),IFERROR(VLOOKUP($G:$G,Structure!$A:$AJ,Q$1,0)*$H317,0))</f>
        <v>0</v>
      </c>
      <c r="R317" s="9">
        <f>SUM(IFERROR(VLOOKUP($C:$C,Structure!$A:$AJ,R$1,0)*$D317,0),IFERROR(VLOOKUP($E:$E,Structure!$A:$AJ,R$1,0)*$F317,0),IFERROR(VLOOKUP($G:$G,Structure!$A:$AJ,R$1,0)*$H317,0))</f>
        <v>0</v>
      </c>
      <c r="S317" s="9">
        <f>SUM(IFERROR(VLOOKUP($C:$C,Structure!$A:$AJ,S$1,0)*$D317,0),IFERROR(VLOOKUP($E:$E,Structure!$A:$AJ,S$1,0)*$F317,0),IFERROR(VLOOKUP($G:$G,Structure!$A:$AJ,S$1,0)*$H317,0))</f>
        <v>0</v>
      </c>
      <c r="T317" s="9">
        <f>SUM(IFERROR(VLOOKUP($C:$C,Structure!$A:$AJ,T$1,0)*$D317,0),IFERROR(VLOOKUP($E:$E,Structure!$A:$AJ,T$1,0)*$F317,0),IFERROR(VLOOKUP($G:$G,Structure!$A:$AJ,T$1,0)*$H317,0))</f>
        <v>0</v>
      </c>
      <c r="U317" s="9">
        <f>SUM(IFERROR(VLOOKUP($C:$C,Structure!$A:$AJ,U$1,0)*$D317,0),IFERROR(VLOOKUP($E:$E,Structure!$A:$AJ,U$1,0)*$F317,0),IFERROR(VLOOKUP($G:$G,Structure!$A:$AJ,U$1,0)*$H317,0))</f>
        <v>0</v>
      </c>
      <c r="V317" s="9">
        <f>SUM(IFERROR(VLOOKUP($C:$C,Structure!$A:$AJ,V$1,0)*$D317,0),IFERROR(VLOOKUP($E:$E,Structure!$A:$AJ,V$1,0)*$F317,0),IFERROR(VLOOKUP($G:$G,Structure!$A:$AJ,V$1,0)*$H317,0))</f>
        <v>8</v>
      </c>
      <c r="W317" s="9">
        <f>SUM(IFERROR(VLOOKUP($C:$C,Structure!$A:$AJ,W$1,0)*$D317,0),IFERROR(VLOOKUP($E:$E,Structure!$A:$AJ,W$1,0)*$F317,0),IFERROR(VLOOKUP($G:$G,Structure!$A:$AJ,W$1,0)*$H317,0))</f>
        <v>0</v>
      </c>
      <c r="X317" s="9">
        <f>SUM(IFERROR(VLOOKUP($C:$C,Structure!$A:$AJ,X$1,0)*$D317,0),IFERROR(VLOOKUP($E:$E,Structure!$A:$AJ,X$1,0)*$F317,0),IFERROR(VLOOKUP($G:$G,Structure!$A:$AJ,X$1,0)*$H317,0))</f>
        <v>0</v>
      </c>
      <c r="Y317" s="9">
        <f>SUM(IFERROR(VLOOKUP($C:$C,Structure!$A:$AJ,Y$1,0)*$D317,0),IFERROR(VLOOKUP($E:$E,Structure!$A:$AJ,Y$1,0)*$F317,0),IFERROR(VLOOKUP($G:$G,Structure!$A:$AJ,Y$1,0)*$H317,0))</f>
        <v>0</v>
      </c>
      <c r="Z317" s="9">
        <f>SUM(IFERROR(VLOOKUP($C:$C,Structure!$A:$AJ,Z$1,0)*$D317,0),IFERROR(VLOOKUP($E:$E,Structure!$A:$AJ,Z$1,0)*$F317,0),IFERROR(VLOOKUP($G:$G,Structure!$A:$AJ,Z$1,0)*$H317,0))</f>
        <v>0</v>
      </c>
      <c r="AA317" s="9">
        <f>SUM(IFERROR(VLOOKUP($C:$C,Structure!$A:$AJ,AA$1,0)*$D317,0),IFERROR(VLOOKUP($E:$E,Structure!$A:$AJ,AA$1,0)*$F317,0),IFERROR(VLOOKUP($G:$G,Structure!$A:$AJ,AA$1,0)*$H317,0))</f>
        <v>0</v>
      </c>
      <c r="AB317" s="9">
        <f>SUM(IFERROR(VLOOKUP($C:$C,Structure!$A:$AJ,AB$1,0)*$D317,0),IFERROR(VLOOKUP($E:$E,Structure!$A:$AJ,AB$1,0)*$F317,0),IFERROR(VLOOKUP($G:$G,Structure!$A:$AJ,AB$1,0)*$H317,0))</f>
        <v>0</v>
      </c>
      <c r="AC317" s="9">
        <f>SUM(IFERROR(VLOOKUP($C:$C,Structure!$A:$AJ,AC$1,0)*$D317,0),IFERROR(VLOOKUP($E:$E,Structure!$A:$AJ,AC$1,0)*$F317,0),IFERROR(VLOOKUP($G:$G,Structure!$A:$AJ,AC$1,0)*$H317,0))</f>
        <v>8</v>
      </c>
      <c r="AD317" s="9">
        <f>SUM(IFERROR(VLOOKUP($C:$C,Structure!$A:$AJ,AD$1,0)*$D317,0),IFERROR(VLOOKUP($E:$E,Structure!$A:$AJ,AD$1,0)*$F317,0),IFERROR(VLOOKUP($G:$G,Structure!$A:$AJ,AD$1,0)*$H317,0))</f>
        <v>0</v>
      </c>
      <c r="AE317" s="9">
        <f>SUM(IFERROR(VLOOKUP($C:$C,Structure!$A:$AJ,AE$1,0)*$D317,0),IFERROR(VLOOKUP($E:$E,Structure!$A:$AJ,AE$1,0)*$F317,0),IFERROR(VLOOKUP($G:$G,Structure!$A:$AJ,AE$1,0)*$H317,0))</f>
        <v>0</v>
      </c>
      <c r="AF317" s="9">
        <f>SUM(IFERROR(VLOOKUP($C:$C,Structure!$A:$AJ,AF$1,0)*$D317,0),IFERROR(VLOOKUP($E:$E,Structure!$A:$AJ,AF$1,0)*$F317,0),IFERROR(VLOOKUP($G:$G,Structure!$A:$AJ,AF$1,0)*$H317,0))</f>
        <v>0</v>
      </c>
      <c r="AG317" s="9">
        <f>SUM(IFERROR(VLOOKUP($C:$C,Structure!$A:$AJ,AG$1,0)*$D317,0),IFERROR(VLOOKUP($E:$E,Structure!$A:$AJ,AG$1,0)*$F317,0),IFERROR(VLOOKUP($G:$G,Structure!$A:$AJ,AG$1,0)*$H317,0))</f>
        <v>0</v>
      </c>
      <c r="AH317" s="9">
        <f>SUM(IFERROR(VLOOKUP($C:$C,Structure!$A:$AJ,AH$1,0)*$D317,0),IFERROR(VLOOKUP($E:$E,Structure!$A:$AJ,AH$1,0)*$F317,0),IFERROR(VLOOKUP($G:$G,Structure!$A:$AJ,AH$1,0)*$H317,0))</f>
        <v>0</v>
      </c>
      <c r="AI317" s="9">
        <f>SUM(IFERROR(VLOOKUP($C:$C,Structure!$A:$AJ,AI$1,0)*$D317,0),IFERROR(VLOOKUP($E:$E,Structure!$A:$AJ,AI$1,0)*$F317,0),IFERROR(VLOOKUP($G:$G,Structure!$A:$AJ,AI$1,0)*$H317,0))</f>
        <v>0</v>
      </c>
      <c r="AJ317" s="9">
        <f>SUM(IFERROR(VLOOKUP($C:$C,Structure!$A:$AJ,AJ$1,0)*$D317,0),IFERROR(VLOOKUP($E:$E,Structure!$A:$AJ,AJ$1,0)*$F317,0),IFERROR(VLOOKUP($G:$G,Structure!$A:$AJ,AJ$1,0)*$H317,0))</f>
        <v>0</v>
      </c>
      <c r="AK317" s="9">
        <f>SUM(IFERROR(VLOOKUP($C:$C,Structure!$A:$AJ,AK$1,0)*$D317,0),IFERROR(VLOOKUP($E:$E,Structure!$A:$AJ,AK$1,0)*$F317,0),IFERROR(VLOOKUP($G:$G,Structure!$A:$AJ,AK$1,0)*$H317,0))</f>
        <v>0</v>
      </c>
      <c r="AL317" s="9">
        <f>SUM(IFERROR(VLOOKUP($C:$C,Structure!$A:$AJ,AL$1,0)*$D317,0),IFERROR(VLOOKUP($E:$E,Structure!$A:$AJ,AL$1,0)*$F317,0),IFERROR(VLOOKUP($G:$G,Structure!$A:$AJ,AL$1,0)*$H317,0))</f>
        <v>0</v>
      </c>
      <c r="AM317" s="9">
        <f>SUM(IFERROR(VLOOKUP($C:$C,Structure!$A:$AJ,AM$1,0)*$D317,0),IFERROR(VLOOKUP($E:$E,Structure!$A:$AJ,AM$1,0)*$F317,0),IFERROR(VLOOKUP($G:$G,Structure!$A:$AJ,AM$1,0)*$H317,0))</f>
        <v>0</v>
      </c>
      <c r="AN317" s="9">
        <f>SUM(IFERROR(VLOOKUP($C:$C,Structure!$A:$AJ,AN$1,0)*$D317,0),IFERROR(VLOOKUP($E:$E,Structure!$A:$AJ,AN$1,0)*$F317,0),IFERROR(VLOOKUP($G:$G,Structure!$A:$AJ,AN$1,0)*$H317,0))</f>
        <v>0</v>
      </c>
      <c r="AO317" s="9">
        <f>SUM(IFERROR(VLOOKUP($C:$C,Structure!$A:$AJ,AO$1,0)*$D317,0),IFERROR(VLOOKUP($E:$E,Structure!$A:$AJ,AO$1,0)*$F317,0),IFERROR(VLOOKUP($G:$G,Structure!$A:$AJ,AO$1,0)*$H317,0))</f>
        <v>0</v>
      </c>
      <c r="AP317" s="9">
        <f>SUM(IFERROR(VLOOKUP($C:$C,Structure!$A:$AJ,AP$1,0)*$D317,0),IFERROR(VLOOKUP($E:$E,Structure!$A:$AJ,AP$1,0)*$F317,0),IFERROR(VLOOKUP($G:$G,Structure!$A:$AJ,AP$1,0)*$H317,0))</f>
        <v>0</v>
      </c>
      <c r="AQ317" s="9">
        <f>SUM(IFERROR(VLOOKUP($C:$C,Structure!$A:$AJ,AQ$1,0)*$D317,0),IFERROR(VLOOKUP($E:$E,Structure!$A:$AJ,AQ$1,0)*$F317,0),IFERROR(VLOOKUP($G:$G,Structure!$A:$AJ,AQ$1,0)*$H317,0))</f>
        <v>0</v>
      </c>
      <c r="AR317" s="21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4">
        <f t="shared" si="302"/>
        <v>0</v>
      </c>
      <c r="CE317" s="4">
        <f t="shared" si="303"/>
        <v>-268</v>
      </c>
      <c r="CF317" s="4">
        <f t="shared" si="304"/>
        <v>4</v>
      </c>
      <c r="CG317" s="4">
        <f t="shared" si="305"/>
        <v>10</v>
      </c>
      <c r="CH317" s="4">
        <f t="shared" si="306"/>
        <v>-7</v>
      </c>
      <c r="CI317" s="4">
        <f t="shared" si="307"/>
        <v>85</v>
      </c>
      <c r="CJ317" s="4">
        <f t="shared" si="308"/>
        <v>-447</v>
      </c>
      <c r="CK317" s="4">
        <f t="shared" si="309"/>
        <v>-89</v>
      </c>
      <c r="CL317" s="4">
        <f t="shared" si="310"/>
        <v>0</v>
      </c>
      <c r="CM317" s="4">
        <f t="shared" si="311"/>
        <v>6</v>
      </c>
      <c r="CN317" s="4">
        <f t="shared" si="312"/>
        <v>-334</v>
      </c>
      <c r="CO317" s="4">
        <f t="shared" si="313"/>
        <v>0</v>
      </c>
      <c r="CP317" s="4">
        <f t="shared" si="314"/>
        <v>-61</v>
      </c>
      <c r="CQ317" s="4">
        <f t="shared" si="315"/>
        <v>-675</v>
      </c>
      <c r="CR317" s="4">
        <f t="shared" si="316"/>
        <v>11</v>
      </c>
      <c r="CS317" s="4">
        <f t="shared" si="317"/>
        <v>-66</v>
      </c>
      <c r="CT317" s="4">
        <f t="shared" si="318"/>
        <v>0</v>
      </c>
      <c r="CU317" s="4">
        <f t="shared" si="319"/>
        <v>0</v>
      </c>
      <c r="CV317" s="4">
        <f t="shared" si="320"/>
        <v>0</v>
      </c>
      <c r="CW317" s="4">
        <f t="shared" si="321"/>
        <v>0</v>
      </c>
      <c r="CX317" s="4">
        <f t="shared" si="322"/>
        <v>-996</v>
      </c>
      <c r="CY317" s="4">
        <f t="shared" si="323"/>
        <v>0</v>
      </c>
      <c r="CZ317" s="4">
        <f t="shared" si="324"/>
        <v>0</v>
      </c>
      <c r="DA317" s="4">
        <f t="shared" si="325"/>
        <v>0</v>
      </c>
      <c r="DB317" s="4">
        <f t="shared" si="326"/>
        <v>0</v>
      </c>
      <c r="DC317" s="4">
        <f t="shared" si="327"/>
        <v>0</v>
      </c>
      <c r="DD317" s="4">
        <f t="shared" si="328"/>
        <v>0</v>
      </c>
      <c r="DE317" s="4">
        <f t="shared" si="329"/>
        <v>0</v>
      </c>
      <c r="DF317" s="4">
        <f t="shared" si="330"/>
        <v>0</v>
      </c>
      <c r="DG317" s="4">
        <f t="shared" si="331"/>
        <v>0</v>
      </c>
      <c r="DH317" s="4">
        <f t="shared" si="332"/>
        <v>0</v>
      </c>
      <c r="DI317" s="4">
        <f t="shared" si="333"/>
        <v>0</v>
      </c>
      <c r="DJ317" s="4">
        <f t="shared" si="334"/>
        <v>0</v>
      </c>
      <c r="DK317" s="4">
        <f t="shared" si="335"/>
        <v>0</v>
      </c>
      <c r="DL317" s="4">
        <f t="shared" si="336"/>
        <v>0</v>
      </c>
    </row>
    <row r="318" spans="1:116" x14ac:dyDescent="0.25">
      <c r="A318" s="5">
        <v>46189</v>
      </c>
      <c r="B318" s="6">
        <v>0.87500000076397555</v>
      </c>
      <c r="C318" s="3"/>
      <c r="D318" s="3"/>
      <c r="E318" s="3" t="s">
        <v>30</v>
      </c>
      <c r="F318" s="3">
        <v>8</v>
      </c>
      <c r="G318" s="3"/>
      <c r="H318" s="9"/>
      <c r="I318" s="9">
        <f>SUM(IFERROR(VLOOKUP($C:$C,Structure!$A:$AJ,I$1,0)*$D318,0),IFERROR(VLOOKUP($E:$E,Structure!$A:$AJ,I$1,0)*$F318,0),IFERROR(VLOOKUP($G:$G,Structure!$A:$AJ,I$1,0)*$H318,0))</f>
        <v>0</v>
      </c>
      <c r="J318" s="9">
        <f>SUM(IFERROR(VLOOKUP($C:$C,Structure!$A:$AJ,J$1,0)*$D318,0),IFERROR(VLOOKUP($E:$E,Structure!$A:$AJ,J$1,0)*$F318,0),IFERROR(VLOOKUP($G:$G,Structure!$A:$AJ,J$1,0)*$H318,0))</f>
        <v>0</v>
      </c>
      <c r="K318" s="9">
        <f>SUM(IFERROR(VLOOKUP($C:$C,Structure!$A:$AJ,K$1,0)*$D318,0),IFERROR(VLOOKUP($E:$E,Structure!$A:$AJ,K$1,0)*$F318,0),IFERROR(VLOOKUP($G:$G,Structure!$A:$AJ,K$1,0)*$H318,0))</f>
        <v>0</v>
      </c>
      <c r="L318" s="9">
        <f>SUM(IFERROR(VLOOKUP($C:$C,Structure!$A:$AJ,L$1,0)*$D318,0),IFERROR(VLOOKUP($E:$E,Structure!$A:$AJ,L$1,0)*$F318,0),IFERROR(VLOOKUP($G:$G,Structure!$A:$AJ,L$1,0)*$H318,0))</f>
        <v>0</v>
      </c>
      <c r="M318" s="9">
        <f>SUM(IFERROR(VLOOKUP($C:$C,Structure!$A:$AJ,M$1,0)*$D318,0),IFERROR(VLOOKUP($E:$E,Structure!$A:$AJ,M$1,0)*$F318,0),IFERROR(VLOOKUP($G:$G,Structure!$A:$AJ,M$1,0)*$H318,0))</f>
        <v>0</v>
      </c>
      <c r="N318" s="9">
        <f>SUM(IFERROR(VLOOKUP($C:$C,Structure!$A:$AJ,N$1,0)*$D318,0),IFERROR(VLOOKUP($E:$E,Structure!$A:$AJ,N$1,0)*$F318,0),IFERROR(VLOOKUP($G:$G,Structure!$A:$AJ,N$1,0)*$H318,0))</f>
        <v>0</v>
      </c>
      <c r="O318" s="9">
        <f>SUM(IFERROR(VLOOKUP($C:$C,Structure!$A:$AJ,O$1,0)*$D318,0),IFERROR(VLOOKUP($E:$E,Structure!$A:$AJ,O$1,0)*$F318,0),IFERROR(VLOOKUP($G:$G,Structure!$A:$AJ,O$1,0)*$H318,0))</f>
        <v>0</v>
      </c>
      <c r="P318" s="9">
        <f>SUM(IFERROR(VLOOKUP($C:$C,Structure!$A:$AJ,P$1,0)*$D318,0),IFERROR(VLOOKUP($E:$E,Structure!$A:$AJ,P$1,0)*$F318,0),IFERROR(VLOOKUP($G:$G,Structure!$A:$AJ,P$1,0)*$H318,0))</f>
        <v>0</v>
      </c>
      <c r="Q318" s="9">
        <f>SUM(IFERROR(VLOOKUP($C:$C,Structure!$A:$AJ,Q$1,0)*$D318,0),IFERROR(VLOOKUP($E:$E,Structure!$A:$AJ,Q$1,0)*$F318,0),IFERROR(VLOOKUP($G:$G,Structure!$A:$AJ,Q$1,0)*$H318,0))</f>
        <v>0</v>
      </c>
      <c r="R318" s="9">
        <f>SUM(IFERROR(VLOOKUP($C:$C,Structure!$A:$AJ,R$1,0)*$D318,0),IFERROR(VLOOKUP($E:$E,Structure!$A:$AJ,R$1,0)*$F318,0),IFERROR(VLOOKUP($G:$G,Structure!$A:$AJ,R$1,0)*$H318,0))</f>
        <v>0</v>
      </c>
      <c r="S318" s="9">
        <f>SUM(IFERROR(VLOOKUP($C:$C,Structure!$A:$AJ,S$1,0)*$D318,0),IFERROR(VLOOKUP($E:$E,Structure!$A:$AJ,S$1,0)*$F318,0),IFERROR(VLOOKUP($G:$G,Structure!$A:$AJ,S$1,0)*$H318,0))</f>
        <v>0</v>
      </c>
      <c r="T318" s="9">
        <f>SUM(IFERROR(VLOOKUP($C:$C,Structure!$A:$AJ,T$1,0)*$D318,0),IFERROR(VLOOKUP($E:$E,Structure!$A:$AJ,T$1,0)*$F318,0),IFERROR(VLOOKUP($G:$G,Structure!$A:$AJ,T$1,0)*$H318,0))</f>
        <v>0</v>
      </c>
      <c r="U318" s="9">
        <f>SUM(IFERROR(VLOOKUP($C:$C,Structure!$A:$AJ,U$1,0)*$D318,0),IFERROR(VLOOKUP($E:$E,Structure!$A:$AJ,U$1,0)*$F318,0),IFERROR(VLOOKUP($G:$G,Structure!$A:$AJ,U$1,0)*$H318,0))</f>
        <v>0</v>
      </c>
      <c r="V318" s="9">
        <f>SUM(IFERROR(VLOOKUP($C:$C,Structure!$A:$AJ,V$1,0)*$D318,0),IFERROR(VLOOKUP($E:$E,Structure!$A:$AJ,V$1,0)*$F318,0),IFERROR(VLOOKUP($G:$G,Structure!$A:$AJ,V$1,0)*$H318,0))</f>
        <v>8</v>
      </c>
      <c r="W318" s="9">
        <f>SUM(IFERROR(VLOOKUP($C:$C,Structure!$A:$AJ,W$1,0)*$D318,0),IFERROR(VLOOKUP($E:$E,Structure!$A:$AJ,W$1,0)*$F318,0),IFERROR(VLOOKUP($G:$G,Structure!$A:$AJ,W$1,0)*$H318,0))</f>
        <v>0</v>
      </c>
      <c r="X318" s="9">
        <f>SUM(IFERROR(VLOOKUP($C:$C,Structure!$A:$AJ,X$1,0)*$D318,0),IFERROR(VLOOKUP($E:$E,Structure!$A:$AJ,X$1,0)*$F318,0),IFERROR(VLOOKUP($G:$G,Structure!$A:$AJ,X$1,0)*$H318,0))</f>
        <v>0</v>
      </c>
      <c r="Y318" s="9">
        <f>SUM(IFERROR(VLOOKUP($C:$C,Structure!$A:$AJ,Y$1,0)*$D318,0),IFERROR(VLOOKUP($E:$E,Structure!$A:$AJ,Y$1,0)*$F318,0),IFERROR(VLOOKUP($G:$G,Structure!$A:$AJ,Y$1,0)*$H318,0))</f>
        <v>0</v>
      </c>
      <c r="Z318" s="9">
        <f>SUM(IFERROR(VLOOKUP($C:$C,Structure!$A:$AJ,Z$1,0)*$D318,0),IFERROR(VLOOKUP($E:$E,Structure!$A:$AJ,Z$1,0)*$F318,0),IFERROR(VLOOKUP($G:$G,Structure!$A:$AJ,Z$1,0)*$H318,0))</f>
        <v>0</v>
      </c>
      <c r="AA318" s="9">
        <f>SUM(IFERROR(VLOOKUP($C:$C,Structure!$A:$AJ,AA$1,0)*$D318,0),IFERROR(VLOOKUP($E:$E,Structure!$A:$AJ,AA$1,0)*$F318,0),IFERROR(VLOOKUP($G:$G,Structure!$A:$AJ,AA$1,0)*$H318,0))</f>
        <v>0</v>
      </c>
      <c r="AB318" s="9">
        <f>SUM(IFERROR(VLOOKUP($C:$C,Structure!$A:$AJ,AB$1,0)*$D318,0),IFERROR(VLOOKUP($E:$E,Structure!$A:$AJ,AB$1,0)*$F318,0),IFERROR(VLOOKUP($G:$G,Structure!$A:$AJ,AB$1,0)*$H318,0))</f>
        <v>0</v>
      </c>
      <c r="AC318" s="9">
        <f>SUM(IFERROR(VLOOKUP($C:$C,Structure!$A:$AJ,AC$1,0)*$D318,0),IFERROR(VLOOKUP($E:$E,Structure!$A:$AJ,AC$1,0)*$F318,0),IFERROR(VLOOKUP($G:$G,Structure!$A:$AJ,AC$1,0)*$H318,0))</f>
        <v>8</v>
      </c>
      <c r="AD318" s="9">
        <f>SUM(IFERROR(VLOOKUP($C:$C,Structure!$A:$AJ,AD$1,0)*$D318,0),IFERROR(VLOOKUP($E:$E,Structure!$A:$AJ,AD$1,0)*$F318,0),IFERROR(VLOOKUP($G:$G,Structure!$A:$AJ,AD$1,0)*$H318,0))</f>
        <v>0</v>
      </c>
      <c r="AE318" s="9">
        <f>SUM(IFERROR(VLOOKUP($C:$C,Structure!$A:$AJ,AE$1,0)*$D318,0),IFERROR(VLOOKUP($E:$E,Structure!$A:$AJ,AE$1,0)*$F318,0),IFERROR(VLOOKUP($G:$G,Structure!$A:$AJ,AE$1,0)*$H318,0))</f>
        <v>0</v>
      </c>
      <c r="AF318" s="9">
        <f>SUM(IFERROR(VLOOKUP($C:$C,Structure!$A:$AJ,AF$1,0)*$D318,0),IFERROR(VLOOKUP($E:$E,Structure!$A:$AJ,AF$1,0)*$F318,0),IFERROR(VLOOKUP($G:$G,Structure!$A:$AJ,AF$1,0)*$H318,0))</f>
        <v>0</v>
      </c>
      <c r="AG318" s="9">
        <f>SUM(IFERROR(VLOOKUP($C:$C,Structure!$A:$AJ,AG$1,0)*$D318,0),IFERROR(VLOOKUP($E:$E,Structure!$A:$AJ,AG$1,0)*$F318,0),IFERROR(VLOOKUP($G:$G,Structure!$A:$AJ,AG$1,0)*$H318,0))</f>
        <v>0</v>
      </c>
      <c r="AH318" s="9">
        <f>SUM(IFERROR(VLOOKUP($C:$C,Structure!$A:$AJ,AH$1,0)*$D318,0),IFERROR(VLOOKUP($E:$E,Structure!$A:$AJ,AH$1,0)*$F318,0),IFERROR(VLOOKUP($G:$G,Structure!$A:$AJ,AH$1,0)*$H318,0))</f>
        <v>0</v>
      </c>
      <c r="AI318" s="9">
        <f>SUM(IFERROR(VLOOKUP($C:$C,Structure!$A:$AJ,AI$1,0)*$D318,0),IFERROR(VLOOKUP($E:$E,Structure!$A:$AJ,AI$1,0)*$F318,0),IFERROR(VLOOKUP($G:$G,Structure!$A:$AJ,AI$1,0)*$H318,0))</f>
        <v>0</v>
      </c>
      <c r="AJ318" s="9">
        <f>SUM(IFERROR(VLOOKUP($C:$C,Structure!$A:$AJ,AJ$1,0)*$D318,0),IFERROR(VLOOKUP($E:$E,Structure!$A:$AJ,AJ$1,0)*$F318,0),IFERROR(VLOOKUP($G:$G,Structure!$A:$AJ,AJ$1,0)*$H318,0))</f>
        <v>0</v>
      </c>
      <c r="AK318" s="9">
        <f>SUM(IFERROR(VLOOKUP($C:$C,Structure!$A:$AJ,AK$1,0)*$D318,0),IFERROR(VLOOKUP($E:$E,Structure!$A:$AJ,AK$1,0)*$F318,0),IFERROR(VLOOKUP($G:$G,Structure!$A:$AJ,AK$1,0)*$H318,0))</f>
        <v>0</v>
      </c>
      <c r="AL318" s="9">
        <f>SUM(IFERROR(VLOOKUP($C:$C,Structure!$A:$AJ,AL$1,0)*$D318,0),IFERROR(VLOOKUP($E:$E,Structure!$A:$AJ,AL$1,0)*$F318,0),IFERROR(VLOOKUP($G:$G,Structure!$A:$AJ,AL$1,0)*$H318,0))</f>
        <v>0</v>
      </c>
      <c r="AM318" s="9">
        <f>SUM(IFERROR(VLOOKUP($C:$C,Structure!$A:$AJ,AM$1,0)*$D318,0),IFERROR(VLOOKUP($E:$E,Structure!$A:$AJ,AM$1,0)*$F318,0),IFERROR(VLOOKUP($G:$G,Structure!$A:$AJ,AM$1,0)*$H318,0))</f>
        <v>0</v>
      </c>
      <c r="AN318" s="9">
        <f>SUM(IFERROR(VLOOKUP($C:$C,Structure!$A:$AJ,AN$1,0)*$D318,0),IFERROR(VLOOKUP($E:$E,Structure!$A:$AJ,AN$1,0)*$F318,0),IFERROR(VLOOKUP($G:$G,Structure!$A:$AJ,AN$1,0)*$H318,0))</f>
        <v>0</v>
      </c>
      <c r="AO318" s="9">
        <f>SUM(IFERROR(VLOOKUP($C:$C,Structure!$A:$AJ,AO$1,0)*$D318,0),IFERROR(VLOOKUP($E:$E,Structure!$A:$AJ,AO$1,0)*$F318,0),IFERROR(VLOOKUP($G:$G,Structure!$A:$AJ,AO$1,0)*$H318,0))</f>
        <v>0</v>
      </c>
      <c r="AP318" s="9">
        <f>SUM(IFERROR(VLOOKUP($C:$C,Structure!$A:$AJ,AP$1,0)*$D318,0),IFERROR(VLOOKUP($E:$E,Structure!$A:$AJ,AP$1,0)*$F318,0),IFERROR(VLOOKUP($G:$G,Structure!$A:$AJ,AP$1,0)*$H318,0))</f>
        <v>0</v>
      </c>
      <c r="AQ318" s="9">
        <f>SUM(IFERROR(VLOOKUP($C:$C,Structure!$A:$AJ,AQ$1,0)*$D318,0),IFERROR(VLOOKUP($E:$E,Structure!$A:$AJ,AQ$1,0)*$F318,0),IFERROR(VLOOKUP($G:$G,Structure!$A:$AJ,AQ$1,0)*$H318,0))</f>
        <v>0</v>
      </c>
      <c r="AR318" s="21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4">
        <f t="shared" si="302"/>
        <v>0</v>
      </c>
      <c r="CE318" s="4">
        <f t="shared" si="303"/>
        <v>-268</v>
      </c>
      <c r="CF318" s="4">
        <f t="shared" si="304"/>
        <v>4</v>
      </c>
      <c r="CG318" s="4">
        <f t="shared" si="305"/>
        <v>10</v>
      </c>
      <c r="CH318" s="4">
        <f t="shared" si="306"/>
        <v>-7</v>
      </c>
      <c r="CI318" s="4">
        <f t="shared" si="307"/>
        <v>85</v>
      </c>
      <c r="CJ318" s="4">
        <f t="shared" si="308"/>
        <v>-447</v>
      </c>
      <c r="CK318" s="4">
        <f t="shared" si="309"/>
        <v>-89</v>
      </c>
      <c r="CL318" s="4">
        <f t="shared" si="310"/>
        <v>0</v>
      </c>
      <c r="CM318" s="4">
        <f t="shared" si="311"/>
        <v>6</v>
      </c>
      <c r="CN318" s="4">
        <f t="shared" si="312"/>
        <v>-334</v>
      </c>
      <c r="CO318" s="4">
        <f t="shared" si="313"/>
        <v>0</v>
      </c>
      <c r="CP318" s="4">
        <f t="shared" si="314"/>
        <v>-61</v>
      </c>
      <c r="CQ318" s="4">
        <f t="shared" si="315"/>
        <v>-683</v>
      </c>
      <c r="CR318" s="4">
        <f t="shared" si="316"/>
        <v>11</v>
      </c>
      <c r="CS318" s="4">
        <f t="shared" si="317"/>
        <v>-66</v>
      </c>
      <c r="CT318" s="4">
        <f t="shared" si="318"/>
        <v>0</v>
      </c>
      <c r="CU318" s="4">
        <f t="shared" si="319"/>
        <v>0</v>
      </c>
      <c r="CV318" s="4">
        <f t="shared" si="320"/>
        <v>0</v>
      </c>
      <c r="CW318" s="4">
        <f t="shared" si="321"/>
        <v>0</v>
      </c>
      <c r="CX318" s="4">
        <f t="shared" si="322"/>
        <v>-1004</v>
      </c>
      <c r="CY318" s="4">
        <f t="shared" si="323"/>
        <v>0</v>
      </c>
      <c r="CZ318" s="4">
        <f t="shared" si="324"/>
        <v>0</v>
      </c>
      <c r="DA318" s="4">
        <f t="shared" si="325"/>
        <v>0</v>
      </c>
      <c r="DB318" s="4">
        <f t="shared" si="326"/>
        <v>0</v>
      </c>
      <c r="DC318" s="4">
        <f t="shared" si="327"/>
        <v>0</v>
      </c>
      <c r="DD318" s="4">
        <f t="shared" si="328"/>
        <v>0</v>
      </c>
      <c r="DE318" s="4">
        <f t="shared" si="329"/>
        <v>0</v>
      </c>
      <c r="DF318" s="4">
        <f t="shared" si="330"/>
        <v>0</v>
      </c>
      <c r="DG318" s="4">
        <f t="shared" si="331"/>
        <v>0</v>
      </c>
      <c r="DH318" s="4">
        <f t="shared" si="332"/>
        <v>0</v>
      </c>
      <c r="DI318" s="4">
        <f t="shared" si="333"/>
        <v>0</v>
      </c>
      <c r="DJ318" s="4">
        <f t="shared" si="334"/>
        <v>0</v>
      </c>
      <c r="DK318" s="4">
        <f t="shared" si="335"/>
        <v>0</v>
      </c>
      <c r="DL318" s="4">
        <f t="shared" si="336"/>
        <v>0</v>
      </c>
    </row>
    <row r="319" spans="1:116" x14ac:dyDescent="0.25">
      <c r="A319" s="5">
        <v>46189</v>
      </c>
      <c r="B319" s="6">
        <v>0.8958333340997342</v>
      </c>
      <c r="C319" s="3"/>
      <c r="D319" s="3"/>
      <c r="E319" s="3" t="s">
        <v>30</v>
      </c>
      <c r="F319" s="3">
        <v>8</v>
      </c>
      <c r="G319" s="3"/>
      <c r="H319" s="9"/>
      <c r="I319" s="9">
        <f>SUM(IFERROR(VLOOKUP($C:$C,Structure!$A:$AJ,I$1,0)*$D319,0),IFERROR(VLOOKUP($E:$E,Structure!$A:$AJ,I$1,0)*$F319,0),IFERROR(VLOOKUP($G:$G,Structure!$A:$AJ,I$1,0)*$H319,0))</f>
        <v>0</v>
      </c>
      <c r="J319" s="9">
        <f>SUM(IFERROR(VLOOKUP($C:$C,Structure!$A:$AJ,J$1,0)*$D319,0),IFERROR(VLOOKUP($E:$E,Structure!$A:$AJ,J$1,0)*$F319,0),IFERROR(VLOOKUP($G:$G,Structure!$A:$AJ,J$1,0)*$H319,0))</f>
        <v>0</v>
      </c>
      <c r="K319" s="9">
        <f>SUM(IFERROR(VLOOKUP($C:$C,Structure!$A:$AJ,K$1,0)*$D319,0),IFERROR(VLOOKUP($E:$E,Structure!$A:$AJ,K$1,0)*$F319,0),IFERROR(VLOOKUP($G:$G,Structure!$A:$AJ,K$1,0)*$H319,0))</f>
        <v>0</v>
      </c>
      <c r="L319" s="9">
        <f>SUM(IFERROR(VLOOKUP($C:$C,Structure!$A:$AJ,L$1,0)*$D319,0),IFERROR(VLOOKUP($E:$E,Structure!$A:$AJ,L$1,0)*$F319,0),IFERROR(VLOOKUP($G:$G,Structure!$A:$AJ,L$1,0)*$H319,0))</f>
        <v>0</v>
      </c>
      <c r="M319" s="9">
        <f>SUM(IFERROR(VLOOKUP($C:$C,Structure!$A:$AJ,M$1,0)*$D319,0),IFERROR(VLOOKUP($E:$E,Structure!$A:$AJ,M$1,0)*$F319,0),IFERROR(VLOOKUP($G:$G,Structure!$A:$AJ,M$1,0)*$H319,0))</f>
        <v>0</v>
      </c>
      <c r="N319" s="9">
        <f>SUM(IFERROR(VLOOKUP($C:$C,Structure!$A:$AJ,N$1,0)*$D319,0),IFERROR(VLOOKUP($E:$E,Structure!$A:$AJ,N$1,0)*$F319,0),IFERROR(VLOOKUP($G:$G,Structure!$A:$AJ,N$1,0)*$H319,0))</f>
        <v>0</v>
      </c>
      <c r="O319" s="9">
        <f>SUM(IFERROR(VLOOKUP($C:$C,Structure!$A:$AJ,O$1,0)*$D319,0),IFERROR(VLOOKUP($E:$E,Structure!$A:$AJ,O$1,0)*$F319,0),IFERROR(VLOOKUP($G:$G,Structure!$A:$AJ,O$1,0)*$H319,0))</f>
        <v>0</v>
      </c>
      <c r="P319" s="9">
        <f>SUM(IFERROR(VLOOKUP($C:$C,Structure!$A:$AJ,P$1,0)*$D319,0),IFERROR(VLOOKUP($E:$E,Structure!$A:$AJ,P$1,0)*$F319,0),IFERROR(VLOOKUP($G:$G,Structure!$A:$AJ,P$1,0)*$H319,0))</f>
        <v>0</v>
      </c>
      <c r="Q319" s="9">
        <f>SUM(IFERROR(VLOOKUP($C:$C,Structure!$A:$AJ,Q$1,0)*$D319,0),IFERROR(VLOOKUP($E:$E,Structure!$A:$AJ,Q$1,0)*$F319,0),IFERROR(VLOOKUP($G:$G,Structure!$A:$AJ,Q$1,0)*$H319,0))</f>
        <v>0</v>
      </c>
      <c r="R319" s="9">
        <f>SUM(IFERROR(VLOOKUP($C:$C,Structure!$A:$AJ,R$1,0)*$D319,0),IFERROR(VLOOKUP($E:$E,Structure!$A:$AJ,R$1,0)*$F319,0),IFERROR(VLOOKUP($G:$G,Structure!$A:$AJ,R$1,0)*$H319,0))</f>
        <v>0</v>
      </c>
      <c r="S319" s="9">
        <f>SUM(IFERROR(VLOOKUP($C:$C,Structure!$A:$AJ,S$1,0)*$D319,0),IFERROR(VLOOKUP($E:$E,Structure!$A:$AJ,S$1,0)*$F319,0),IFERROR(VLOOKUP($G:$G,Structure!$A:$AJ,S$1,0)*$H319,0))</f>
        <v>0</v>
      </c>
      <c r="T319" s="9">
        <f>SUM(IFERROR(VLOOKUP($C:$C,Structure!$A:$AJ,T$1,0)*$D319,0),IFERROR(VLOOKUP($E:$E,Structure!$A:$AJ,T$1,0)*$F319,0),IFERROR(VLOOKUP($G:$G,Structure!$A:$AJ,T$1,0)*$H319,0))</f>
        <v>0</v>
      </c>
      <c r="U319" s="9">
        <f>SUM(IFERROR(VLOOKUP($C:$C,Structure!$A:$AJ,U$1,0)*$D319,0),IFERROR(VLOOKUP($E:$E,Structure!$A:$AJ,U$1,0)*$F319,0),IFERROR(VLOOKUP($G:$G,Structure!$A:$AJ,U$1,0)*$H319,0))</f>
        <v>0</v>
      </c>
      <c r="V319" s="9">
        <f>SUM(IFERROR(VLOOKUP($C:$C,Structure!$A:$AJ,V$1,0)*$D319,0),IFERROR(VLOOKUP($E:$E,Structure!$A:$AJ,V$1,0)*$F319,0),IFERROR(VLOOKUP($G:$G,Structure!$A:$AJ,V$1,0)*$H319,0))</f>
        <v>8</v>
      </c>
      <c r="W319" s="9">
        <f>SUM(IFERROR(VLOOKUP($C:$C,Structure!$A:$AJ,W$1,0)*$D319,0),IFERROR(VLOOKUP($E:$E,Structure!$A:$AJ,W$1,0)*$F319,0),IFERROR(VLOOKUP($G:$G,Structure!$A:$AJ,W$1,0)*$H319,0))</f>
        <v>0</v>
      </c>
      <c r="X319" s="9">
        <f>SUM(IFERROR(VLOOKUP($C:$C,Structure!$A:$AJ,X$1,0)*$D319,0),IFERROR(VLOOKUP($E:$E,Structure!$A:$AJ,X$1,0)*$F319,0),IFERROR(VLOOKUP($G:$G,Structure!$A:$AJ,X$1,0)*$H319,0))</f>
        <v>0</v>
      </c>
      <c r="Y319" s="9">
        <f>SUM(IFERROR(VLOOKUP($C:$C,Structure!$A:$AJ,Y$1,0)*$D319,0),IFERROR(VLOOKUP($E:$E,Structure!$A:$AJ,Y$1,0)*$F319,0),IFERROR(VLOOKUP($G:$G,Structure!$A:$AJ,Y$1,0)*$H319,0))</f>
        <v>0</v>
      </c>
      <c r="Z319" s="9">
        <f>SUM(IFERROR(VLOOKUP($C:$C,Structure!$A:$AJ,Z$1,0)*$D319,0),IFERROR(VLOOKUP($E:$E,Structure!$A:$AJ,Z$1,0)*$F319,0),IFERROR(VLOOKUP($G:$G,Structure!$A:$AJ,Z$1,0)*$H319,0))</f>
        <v>0</v>
      </c>
      <c r="AA319" s="9">
        <f>SUM(IFERROR(VLOOKUP($C:$C,Structure!$A:$AJ,AA$1,0)*$D319,0),IFERROR(VLOOKUP($E:$E,Structure!$A:$AJ,AA$1,0)*$F319,0),IFERROR(VLOOKUP($G:$G,Structure!$A:$AJ,AA$1,0)*$H319,0))</f>
        <v>0</v>
      </c>
      <c r="AB319" s="9">
        <f>SUM(IFERROR(VLOOKUP($C:$C,Structure!$A:$AJ,AB$1,0)*$D319,0),IFERROR(VLOOKUP($E:$E,Structure!$A:$AJ,AB$1,0)*$F319,0),IFERROR(VLOOKUP($G:$G,Structure!$A:$AJ,AB$1,0)*$H319,0))</f>
        <v>0</v>
      </c>
      <c r="AC319" s="9">
        <f>SUM(IFERROR(VLOOKUP($C:$C,Structure!$A:$AJ,AC$1,0)*$D319,0),IFERROR(VLOOKUP($E:$E,Structure!$A:$AJ,AC$1,0)*$F319,0),IFERROR(VLOOKUP($G:$G,Structure!$A:$AJ,AC$1,0)*$H319,0))</f>
        <v>8</v>
      </c>
      <c r="AD319" s="9">
        <f>SUM(IFERROR(VLOOKUP($C:$C,Structure!$A:$AJ,AD$1,0)*$D319,0),IFERROR(VLOOKUP($E:$E,Structure!$A:$AJ,AD$1,0)*$F319,0),IFERROR(VLOOKUP($G:$G,Structure!$A:$AJ,AD$1,0)*$H319,0))</f>
        <v>0</v>
      </c>
      <c r="AE319" s="9">
        <f>SUM(IFERROR(VLOOKUP($C:$C,Structure!$A:$AJ,AE$1,0)*$D319,0),IFERROR(VLOOKUP($E:$E,Structure!$A:$AJ,AE$1,0)*$F319,0),IFERROR(VLOOKUP($G:$G,Structure!$A:$AJ,AE$1,0)*$H319,0))</f>
        <v>0</v>
      </c>
      <c r="AF319" s="9">
        <f>SUM(IFERROR(VLOOKUP($C:$C,Structure!$A:$AJ,AF$1,0)*$D319,0),IFERROR(VLOOKUP($E:$E,Structure!$A:$AJ,AF$1,0)*$F319,0),IFERROR(VLOOKUP($G:$G,Structure!$A:$AJ,AF$1,0)*$H319,0))</f>
        <v>0</v>
      </c>
      <c r="AG319" s="9">
        <f>SUM(IFERROR(VLOOKUP($C:$C,Structure!$A:$AJ,AG$1,0)*$D319,0),IFERROR(VLOOKUP($E:$E,Structure!$A:$AJ,AG$1,0)*$F319,0),IFERROR(VLOOKUP($G:$G,Structure!$A:$AJ,AG$1,0)*$H319,0))</f>
        <v>0</v>
      </c>
      <c r="AH319" s="9">
        <f>SUM(IFERROR(VLOOKUP($C:$C,Structure!$A:$AJ,AH$1,0)*$D319,0),IFERROR(VLOOKUP($E:$E,Structure!$A:$AJ,AH$1,0)*$F319,0),IFERROR(VLOOKUP($G:$G,Structure!$A:$AJ,AH$1,0)*$H319,0))</f>
        <v>0</v>
      </c>
      <c r="AI319" s="9">
        <f>SUM(IFERROR(VLOOKUP($C:$C,Structure!$A:$AJ,AI$1,0)*$D319,0),IFERROR(VLOOKUP($E:$E,Structure!$A:$AJ,AI$1,0)*$F319,0),IFERROR(VLOOKUP($G:$G,Structure!$A:$AJ,AI$1,0)*$H319,0))</f>
        <v>0</v>
      </c>
      <c r="AJ319" s="9">
        <f>SUM(IFERROR(VLOOKUP($C:$C,Structure!$A:$AJ,AJ$1,0)*$D319,0),IFERROR(VLOOKUP($E:$E,Structure!$A:$AJ,AJ$1,0)*$F319,0),IFERROR(VLOOKUP($G:$G,Structure!$A:$AJ,AJ$1,0)*$H319,0))</f>
        <v>0</v>
      </c>
      <c r="AK319" s="9">
        <f>SUM(IFERROR(VLOOKUP($C:$C,Structure!$A:$AJ,AK$1,0)*$D319,0),IFERROR(VLOOKUP($E:$E,Structure!$A:$AJ,AK$1,0)*$F319,0),IFERROR(VLOOKUP($G:$G,Structure!$A:$AJ,AK$1,0)*$H319,0))</f>
        <v>0</v>
      </c>
      <c r="AL319" s="9">
        <f>SUM(IFERROR(VLOOKUP($C:$C,Structure!$A:$AJ,AL$1,0)*$D319,0),IFERROR(VLOOKUP($E:$E,Structure!$A:$AJ,AL$1,0)*$F319,0),IFERROR(VLOOKUP($G:$G,Structure!$A:$AJ,AL$1,0)*$H319,0))</f>
        <v>0</v>
      </c>
      <c r="AM319" s="9">
        <f>SUM(IFERROR(VLOOKUP($C:$C,Structure!$A:$AJ,AM$1,0)*$D319,0),IFERROR(VLOOKUP($E:$E,Structure!$A:$AJ,AM$1,0)*$F319,0),IFERROR(VLOOKUP($G:$G,Structure!$A:$AJ,AM$1,0)*$H319,0))</f>
        <v>0</v>
      </c>
      <c r="AN319" s="9">
        <f>SUM(IFERROR(VLOOKUP($C:$C,Structure!$A:$AJ,AN$1,0)*$D319,0),IFERROR(VLOOKUP($E:$E,Structure!$A:$AJ,AN$1,0)*$F319,0),IFERROR(VLOOKUP($G:$G,Structure!$A:$AJ,AN$1,0)*$H319,0))</f>
        <v>0</v>
      </c>
      <c r="AO319" s="9">
        <f>SUM(IFERROR(VLOOKUP($C:$C,Structure!$A:$AJ,AO$1,0)*$D319,0),IFERROR(VLOOKUP($E:$E,Structure!$A:$AJ,AO$1,0)*$F319,0),IFERROR(VLOOKUP($G:$G,Structure!$A:$AJ,AO$1,0)*$H319,0))</f>
        <v>0</v>
      </c>
      <c r="AP319" s="9">
        <f>SUM(IFERROR(VLOOKUP($C:$C,Structure!$A:$AJ,AP$1,0)*$D319,0),IFERROR(VLOOKUP($E:$E,Structure!$A:$AJ,AP$1,0)*$F319,0),IFERROR(VLOOKUP($G:$G,Structure!$A:$AJ,AP$1,0)*$H319,0))</f>
        <v>0</v>
      </c>
      <c r="AQ319" s="9">
        <f>SUM(IFERROR(VLOOKUP($C:$C,Structure!$A:$AJ,AQ$1,0)*$D319,0),IFERROR(VLOOKUP($E:$E,Structure!$A:$AJ,AQ$1,0)*$F319,0),IFERROR(VLOOKUP($G:$G,Structure!$A:$AJ,AQ$1,0)*$H319,0))</f>
        <v>0</v>
      </c>
      <c r="AR319" s="21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4">
        <f t="shared" si="302"/>
        <v>0</v>
      </c>
      <c r="CE319" s="4">
        <f t="shared" si="303"/>
        <v>-268</v>
      </c>
      <c r="CF319" s="4">
        <f t="shared" si="304"/>
        <v>4</v>
      </c>
      <c r="CG319" s="4">
        <f t="shared" si="305"/>
        <v>10</v>
      </c>
      <c r="CH319" s="4">
        <f t="shared" si="306"/>
        <v>-7</v>
      </c>
      <c r="CI319" s="4">
        <f t="shared" si="307"/>
        <v>85</v>
      </c>
      <c r="CJ319" s="4">
        <f t="shared" si="308"/>
        <v>-447</v>
      </c>
      <c r="CK319" s="4">
        <f t="shared" si="309"/>
        <v>-89</v>
      </c>
      <c r="CL319" s="4">
        <f t="shared" si="310"/>
        <v>0</v>
      </c>
      <c r="CM319" s="4">
        <f t="shared" si="311"/>
        <v>6</v>
      </c>
      <c r="CN319" s="4">
        <f t="shared" si="312"/>
        <v>-334</v>
      </c>
      <c r="CO319" s="4">
        <f t="shared" si="313"/>
        <v>0</v>
      </c>
      <c r="CP319" s="4">
        <f t="shared" si="314"/>
        <v>-61</v>
      </c>
      <c r="CQ319" s="4">
        <f t="shared" si="315"/>
        <v>-691</v>
      </c>
      <c r="CR319" s="4">
        <f t="shared" si="316"/>
        <v>11</v>
      </c>
      <c r="CS319" s="4">
        <f t="shared" si="317"/>
        <v>-66</v>
      </c>
      <c r="CT319" s="4">
        <f t="shared" si="318"/>
        <v>0</v>
      </c>
      <c r="CU319" s="4">
        <f t="shared" si="319"/>
        <v>0</v>
      </c>
      <c r="CV319" s="4">
        <f t="shared" si="320"/>
        <v>0</v>
      </c>
      <c r="CW319" s="4">
        <f t="shared" si="321"/>
        <v>0</v>
      </c>
      <c r="CX319" s="4">
        <f t="shared" si="322"/>
        <v>-1012</v>
      </c>
      <c r="CY319" s="4">
        <f t="shared" si="323"/>
        <v>0</v>
      </c>
      <c r="CZ319" s="4">
        <f t="shared" si="324"/>
        <v>0</v>
      </c>
      <c r="DA319" s="4">
        <f t="shared" si="325"/>
        <v>0</v>
      </c>
      <c r="DB319" s="4">
        <f t="shared" si="326"/>
        <v>0</v>
      </c>
      <c r="DC319" s="4">
        <f t="shared" si="327"/>
        <v>0</v>
      </c>
      <c r="DD319" s="4">
        <f t="shared" si="328"/>
        <v>0</v>
      </c>
      <c r="DE319" s="4">
        <f t="shared" si="329"/>
        <v>0</v>
      </c>
      <c r="DF319" s="4">
        <f t="shared" si="330"/>
        <v>0</v>
      </c>
      <c r="DG319" s="4">
        <f t="shared" si="331"/>
        <v>0</v>
      </c>
      <c r="DH319" s="4">
        <f t="shared" si="332"/>
        <v>0</v>
      </c>
      <c r="DI319" s="4">
        <f t="shared" si="333"/>
        <v>0</v>
      </c>
      <c r="DJ319" s="4">
        <f t="shared" si="334"/>
        <v>0</v>
      </c>
      <c r="DK319" s="4">
        <f t="shared" si="335"/>
        <v>0</v>
      </c>
      <c r="DL319" s="4">
        <f t="shared" si="336"/>
        <v>0</v>
      </c>
    </row>
    <row r="320" spans="1:116" x14ac:dyDescent="0.25">
      <c r="A320" s="5">
        <v>46189</v>
      </c>
      <c r="B320" s="6">
        <v>0.91666666743549285</v>
      </c>
      <c r="C320" s="3"/>
      <c r="D320" s="3"/>
      <c r="E320" s="3" t="s">
        <v>38</v>
      </c>
      <c r="F320" s="3">
        <v>8</v>
      </c>
      <c r="G320" s="3"/>
      <c r="H320" s="9"/>
      <c r="I320" s="9">
        <f>SUM(IFERROR(VLOOKUP($C:$C,Structure!$A:$AJ,I$1,0)*$D320,0),IFERROR(VLOOKUP($E:$E,Structure!$A:$AJ,I$1,0)*$F320,0),IFERROR(VLOOKUP($G:$G,Structure!$A:$AJ,I$1,0)*$H320,0))</f>
        <v>0</v>
      </c>
      <c r="J320" s="9">
        <f>SUM(IFERROR(VLOOKUP($C:$C,Structure!$A:$AJ,J$1,0)*$D320,0),IFERROR(VLOOKUP($E:$E,Structure!$A:$AJ,J$1,0)*$F320,0),IFERROR(VLOOKUP($G:$G,Structure!$A:$AJ,J$1,0)*$H320,0))</f>
        <v>8</v>
      </c>
      <c r="K320" s="9">
        <f>SUM(IFERROR(VLOOKUP($C:$C,Structure!$A:$AJ,K$1,0)*$D320,0),IFERROR(VLOOKUP($E:$E,Structure!$A:$AJ,K$1,0)*$F320,0),IFERROR(VLOOKUP($G:$G,Structure!$A:$AJ,K$1,0)*$H320,0))</f>
        <v>0</v>
      </c>
      <c r="L320" s="9">
        <f>SUM(IFERROR(VLOOKUP($C:$C,Structure!$A:$AJ,L$1,0)*$D320,0),IFERROR(VLOOKUP($E:$E,Structure!$A:$AJ,L$1,0)*$F320,0),IFERROR(VLOOKUP($G:$G,Structure!$A:$AJ,L$1,0)*$H320,0))</f>
        <v>0</v>
      </c>
      <c r="M320" s="9">
        <f>SUM(IFERROR(VLOOKUP($C:$C,Structure!$A:$AJ,M$1,0)*$D320,0),IFERROR(VLOOKUP($E:$E,Structure!$A:$AJ,M$1,0)*$F320,0),IFERROR(VLOOKUP($G:$G,Structure!$A:$AJ,M$1,0)*$H320,0))</f>
        <v>0</v>
      </c>
      <c r="N320" s="9">
        <f>SUM(IFERROR(VLOOKUP($C:$C,Structure!$A:$AJ,N$1,0)*$D320,0),IFERROR(VLOOKUP($E:$E,Structure!$A:$AJ,N$1,0)*$F320,0),IFERROR(VLOOKUP($G:$G,Structure!$A:$AJ,N$1,0)*$H320,0))</f>
        <v>0</v>
      </c>
      <c r="O320" s="9">
        <f>SUM(IFERROR(VLOOKUP($C:$C,Structure!$A:$AJ,O$1,0)*$D320,0),IFERROR(VLOOKUP($E:$E,Structure!$A:$AJ,O$1,0)*$F320,0),IFERROR(VLOOKUP($G:$G,Structure!$A:$AJ,O$1,0)*$H320,0))</f>
        <v>0</v>
      </c>
      <c r="P320" s="9">
        <f>SUM(IFERROR(VLOOKUP($C:$C,Structure!$A:$AJ,P$1,0)*$D320,0),IFERROR(VLOOKUP($E:$E,Structure!$A:$AJ,P$1,0)*$F320,0),IFERROR(VLOOKUP($G:$G,Structure!$A:$AJ,P$1,0)*$H320,0))</f>
        <v>8</v>
      </c>
      <c r="Q320" s="9">
        <f>SUM(IFERROR(VLOOKUP($C:$C,Structure!$A:$AJ,Q$1,0)*$D320,0),IFERROR(VLOOKUP($E:$E,Structure!$A:$AJ,Q$1,0)*$F320,0),IFERROR(VLOOKUP($G:$G,Structure!$A:$AJ,Q$1,0)*$H320,0))</f>
        <v>0</v>
      </c>
      <c r="R320" s="9">
        <f>SUM(IFERROR(VLOOKUP($C:$C,Structure!$A:$AJ,R$1,0)*$D320,0),IFERROR(VLOOKUP($E:$E,Structure!$A:$AJ,R$1,0)*$F320,0),IFERROR(VLOOKUP($G:$G,Structure!$A:$AJ,R$1,0)*$H320,0))</f>
        <v>0</v>
      </c>
      <c r="S320" s="9">
        <f>SUM(IFERROR(VLOOKUP($C:$C,Structure!$A:$AJ,S$1,0)*$D320,0),IFERROR(VLOOKUP($E:$E,Structure!$A:$AJ,S$1,0)*$F320,0),IFERROR(VLOOKUP($G:$G,Structure!$A:$AJ,S$1,0)*$H320,0))</f>
        <v>0</v>
      </c>
      <c r="T320" s="9">
        <f>SUM(IFERROR(VLOOKUP($C:$C,Structure!$A:$AJ,T$1,0)*$D320,0),IFERROR(VLOOKUP($E:$E,Structure!$A:$AJ,T$1,0)*$F320,0),IFERROR(VLOOKUP($G:$G,Structure!$A:$AJ,T$1,0)*$H320,0))</f>
        <v>0</v>
      </c>
      <c r="U320" s="9">
        <f>SUM(IFERROR(VLOOKUP($C:$C,Structure!$A:$AJ,U$1,0)*$D320,0),IFERROR(VLOOKUP($E:$E,Structure!$A:$AJ,U$1,0)*$F320,0),IFERROR(VLOOKUP($G:$G,Structure!$A:$AJ,U$1,0)*$H320,0))</f>
        <v>0</v>
      </c>
      <c r="V320" s="9">
        <f>SUM(IFERROR(VLOOKUP($C:$C,Structure!$A:$AJ,V$1,0)*$D320,0),IFERROR(VLOOKUP($E:$E,Structure!$A:$AJ,V$1,0)*$F320,0),IFERROR(VLOOKUP($G:$G,Structure!$A:$AJ,V$1,0)*$H320,0))</f>
        <v>0</v>
      </c>
      <c r="W320" s="9">
        <f>SUM(IFERROR(VLOOKUP($C:$C,Structure!$A:$AJ,W$1,0)*$D320,0),IFERROR(VLOOKUP($E:$E,Structure!$A:$AJ,W$1,0)*$F320,0),IFERROR(VLOOKUP($G:$G,Structure!$A:$AJ,W$1,0)*$H320,0))</f>
        <v>0</v>
      </c>
      <c r="X320" s="9">
        <f>SUM(IFERROR(VLOOKUP($C:$C,Structure!$A:$AJ,X$1,0)*$D320,0),IFERROR(VLOOKUP($E:$E,Structure!$A:$AJ,X$1,0)*$F320,0),IFERROR(VLOOKUP($G:$G,Structure!$A:$AJ,X$1,0)*$H320,0))</f>
        <v>0</v>
      </c>
      <c r="Y320" s="9">
        <f>SUM(IFERROR(VLOOKUP($C:$C,Structure!$A:$AJ,Y$1,0)*$D320,0),IFERROR(VLOOKUP($E:$E,Structure!$A:$AJ,Y$1,0)*$F320,0),IFERROR(VLOOKUP($G:$G,Structure!$A:$AJ,Y$1,0)*$H320,0))</f>
        <v>0</v>
      </c>
      <c r="Z320" s="9">
        <f>SUM(IFERROR(VLOOKUP($C:$C,Structure!$A:$AJ,Z$1,0)*$D320,0),IFERROR(VLOOKUP($E:$E,Structure!$A:$AJ,Z$1,0)*$F320,0),IFERROR(VLOOKUP($G:$G,Structure!$A:$AJ,Z$1,0)*$H320,0))</f>
        <v>0</v>
      </c>
      <c r="AA320" s="9">
        <f>SUM(IFERROR(VLOOKUP($C:$C,Structure!$A:$AJ,AA$1,0)*$D320,0),IFERROR(VLOOKUP($E:$E,Structure!$A:$AJ,AA$1,0)*$F320,0),IFERROR(VLOOKUP($G:$G,Structure!$A:$AJ,AA$1,0)*$H320,0))</f>
        <v>0</v>
      </c>
      <c r="AB320" s="9">
        <f>SUM(IFERROR(VLOOKUP($C:$C,Structure!$A:$AJ,AB$1,0)*$D320,0),IFERROR(VLOOKUP($E:$E,Structure!$A:$AJ,AB$1,0)*$F320,0),IFERROR(VLOOKUP($G:$G,Structure!$A:$AJ,AB$1,0)*$H320,0))</f>
        <v>0</v>
      </c>
      <c r="AC320" s="9">
        <f>SUM(IFERROR(VLOOKUP($C:$C,Structure!$A:$AJ,AC$1,0)*$D320,0),IFERROR(VLOOKUP($E:$E,Structure!$A:$AJ,AC$1,0)*$F320,0),IFERROR(VLOOKUP($G:$G,Structure!$A:$AJ,AC$1,0)*$H320,0))</f>
        <v>0</v>
      </c>
      <c r="AD320" s="9">
        <f>SUM(IFERROR(VLOOKUP($C:$C,Structure!$A:$AJ,AD$1,0)*$D320,0),IFERROR(VLOOKUP($E:$E,Structure!$A:$AJ,AD$1,0)*$F320,0),IFERROR(VLOOKUP($G:$G,Structure!$A:$AJ,AD$1,0)*$H320,0))</f>
        <v>0</v>
      </c>
      <c r="AE320" s="9">
        <f>SUM(IFERROR(VLOOKUP($C:$C,Structure!$A:$AJ,AE$1,0)*$D320,0),IFERROR(VLOOKUP($E:$E,Structure!$A:$AJ,AE$1,0)*$F320,0),IFERROR(VLOOKUP($G:$G,Structure!$A:$AJ,AE$1,0)*$H320,0))</f>
        <v>0</v>
      </c>
      <c r="AF320" s="9">
        <f>SUM(IFERROR(VLOOKUP($C:$C,Structure!$A:$AJ,AF$1,0)*$D320,0),IFERROR(VLOOKUP($E:$E,Structure!$A:$AJ,AF$1,0)*$F320,0),IFERROR(VLOOKUP($G:$G,Structure!$A:$AJ,AF$1,0)*$H320,0))</f>
        <v>0</v>
      </c>
      <c r="AG320" s="9">
        <f>SUM(IFERROR(VLOOKUP($C:$C,Structure!$A:$AJ,AG$1,0)*$D320,0),IFERROR(VLOOKUP($E:$E,Structure!$A:$AJ,AG$1,0)*$F320,0),IFERROR(VLOOKUP($G:$G,Structure!$A:$AJ,AG$1,0)*$H320,0))</f>
        <v>0</v>
      </c>
      <c r="AH320" s="9">
        <f>SUM(IFERROR(VLOOKUP($C:$C,Structure!$A:$AJ,AH$1,0)*$D320,0),IFERROR(VLOOKUP($E:$E,Structure!$A:$AJ,AH$1,0)*$F320,0),IFERROR(VLOOKUP($G:$G,Structure!$A:$AJ,AH$1,0)*$H320,0))</f>
        <v>0</v>
      </c>
      <c r="AI320" s="9">
        <f>SUM(IFERROR(VLOOKUP($C:$C,Structure!$A:$AJ,AI$1,0)*$D320,0),IFERROR(VLOOKUP($E:$E,Structure!$A:$AJ,AI$1,0)*$F320,0),IFERROR(VLOOKUP($G:$G,Structure!$A:$AJ,AI$1,0)*$H320,0))</f>
        <v>0</v>
      </c>
      <c r="AJ320" s="9">
        <f>SUM(IFERROR(VLOOKUP($C:$C,Structure!$A:$AJ,AJ$1,0)*$D320,0),IFERROR(VLOOKUP($E:$E,Structure!$A:$AJ,AJ$1,0)*$F320,0),IFERROR(VLOOKUP($G:$G,Structure!$A:$AJ,AJ$1,0)*$H320,0))</f>
        <v>0</v>
      </c>
      <c r="AK320" s="9">
        <f>SUM(IFERROR(VLOOKUP($C:$C,Structure!$A:$AJ,AK$1,0)*$D320,0),IFERROR(VLOOKUP($E:$E,Structure!$A:$AJ,AK$1,0)*$F320,0),IFERROR(VLOOKUP($G:$G,Structure!$A:$AJ,AK$1,0)*$H320,0))</f>
        <v>0</v>
      </c>
      <c r="AL320" s="9">
        <f>SUM(IFERROR(VLOOKUP($C:$C,Structure!$A:$AJ,AL$1,0)*$D320,0),IFERROR(VLOOKUP($E:$E,Structure!$A:$AJ,AL$1,0)*$F320,0),IFERROR(VLOOKUP($G:$G,Structure!$A:$AJ,AL$1,0)*$H320,0))</f>
        <v>0</v>
      </c>
      <c r="AM320" s="9">
        <f>SUM(IFERROR(VLOOKUP($C:$C,Structure!$A:$AJ,AM$1,0)*$D320,0),IFERROR(VLOOKUP($E:$E,Structure!$A:$AJ,AM$1,0)*$F320,0),IFERROR(VLOOKUP($G:$G,Structure!$A:$AJ,AM$1,0)*$H320,0))</f>
        <v>0</v>
      </c>
      <c r="AN320" s="9">
        <f>SUM(IFERROR(VLOOKUP($C:$C,Structure!$A:$AJ,AN$1,0)*$D320,0),IFERROR(VLOOKUP($E:$E,Structure!$A:$AJ,AN$1,0)*$F320,0),IFERROR(VLOOKUP($G:$G,Structure!$A:$AJ,AN$1,0)*$H320,0))</f>
        <v>0</v>
      </c>
      <c r="AO320" s="9">
        <f>SUM(IFERROR(VLOOKUP($C:$C,Structure!$A:$AJ,AO$1,0)*$D320,0),IFERROR(VLOOKUP($E:$E,Structure!$A:$AJ,AO$1,0)*$F320,0),IFERROR(VLOOKUP($G:$G,Structure!$A:$AJ,AO$1,0)*$H320,0))</f>
        <v>0</v>
      </c>
      <c r="AP320" s="9">
        <f>SUM(IFERROR(VLOOKUP($C:$C,Structure!$A:$AJ,AP$1,0)*$D320,0),IFERROR(VLOOKUP($E:$E,Structure!$A:$AJ,AP$1,0)*$F320,0),IFERROR(VLOOKUP($G:$G,Structure!$A:$AJ,AP$1,0)*$H320,0))</f>
        <v>0</v>
      </c>
      <c r="AQ320" s="9">
        <f>SUM(IFERROR(VLOOKUP($C:$C,Structure!$A:$AJ,AQ$1,0)*$D320,0),IFERROR(VLOOKUP($E:$E,Structure!$A:$AJ,AQ$1,0)*$F320,0),IFERROR(VLOOKUP($G:$G,Structure!$A:$AJ,AQ$1,0)*$H320,0))</f>
        <v>0</v>
      </c>
      <c r="AR320" s="21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4">
        <f t="shared" si="302"/>
        <v>0</v>
      </c>
      <c r="CE320" s="4">
        <f t="shared" si="303"/>
        <v>-276</v>
      </c>
      <c r="CF320" s="4">
        <f t="shared" si="304"/>
        <v>4</v>
      </c>
      <c r="CG320" s="4">
        <f t="shared" si="305"/>
        <v>10</v>
      </c>
      <c r="CH320" s="4">
        <f t="shared" si="306"/>
        <v>-7</v>
      </c>
      <c r="CI320" s="4">
        <f t="shared" si="307"/>
        <v>85</v>
      </c>
      <c r="CJ320" s="4">
        <f t="shared" si="308"/>
        <v>-447</v>
      </c>
      <c r="CK320" s="4">
        <f t="shared" si="309"/>
        <v>-97</v>
      </c>
      <c r="CL320" s="4">
        <f t="shared" si="310"/>
        <v>0</v>
      </c>
      <c r="CM320" s="4">
        <f t="shared" si="311"/>
        <v>6</v>
      </c>
      <c r="CN320" s="4">
        <f t="shared" si="312"/>
        <v>-334</v>
      </c>
      <c r="CO320" s="4">
        <f t="shared" si="313"/>
        <v>0</v>
      </c>
      <c r="CP320" s="4">
        <f t="shared" si="314"/>
        <v>-61</v>
      </c>
      <c r="CQ320" s="4">
        <f t="shared" si="315"/>
        <v>-691</v>
      </c>
      <c r="CR320" s="4">
        <f t="shared" si="316"/>
        <v>11</v>
      </c>
      <c r="CS320" s="4">
        <f t="shared" si="317"/>
        <v>-66</v>
      </c>
      <c r="CT320" s="4">
        <f t="shared" si="318"/>
        <v>0</v>
      </c>
      <c r="CU320" s="4">
        <f t="shared" si="319"/>
        <v>0</v>
      </c>
      <c r="CV320" s="4">
        <f t="shared" si="320"/>
        <v>0</v>
      </c>
      <c r="CW320" s="4">
        <f t="shared" si="321"/>
        <v>0</v>
      </c>
      <c r="CX320" s="4">
        <f t="shared" si="322"/>
        <v>-1012</v>
      </c>
      <c r="CY320" s="4">
        <f t="shared" si="323"/>
        <v>0</v>
      </c>
      <c r="CZ320" s="4">
        <f t="shared" si="324"/>
        <v>0</v>
      </c>
      <c r="DA320" s="4">
        <f t="shared" si="325"/>
        <v>0</v>
      </c>
      <c r="DB320" s="4">
        <f t="shared" si="326"/>
        <v>0</v>
      </c>
      <c r="DC320" s="4">
        <f t="shared" si="327"/>
        <v>0</v>
      </c>
      <c r="DD320" s="4">
        <f t="shared" si="328"/>
        <v>0</v>
      </c>
      <c r="DE320" s="4">
        <f t="shared" si="329"/>
        <v>0</v>
      </c>
      <c r="DF320" s="4">
        <f t="shared" si="330"/>
        <v>0</v>
      </c>
      <c r="DG320" s="4">
        <f t="shared" si="331"/>
        <v>0</v>
      </c>
      <c r="DH320" s="4">
        <f t="shared" si="332"/>
        <v>0</v>
      </c>
      <c r="DI320" s="4">
        <f t="shared" si="333"/>
        <v>0</v>
      </c>
      <c r="DJ320" s="4">
        <f t="shared" si="334"/>
        <v>0</v>
      </c>
      <c r="DK320" s="4">
        <f t="shared" si="335"/>
        <v>0</v>
      </c>
      <c r="DL320" s="4">
        <f t="shared" si="336"/>
        <v>0</v>
      </c>
    </row>
    <row r="321" spans="1:116" x14ac:dyDescent="0.25">
      <c r="A321" s="5">
        <v>46189</v>
      </c>
      <c r="B321" s="6">
        <v>0.93750000077125151</v>
      </c>
      <c r="C321" s="3"/>
      <c r="D321" s="3"/>
      <c r="E321" s="3" t="s">
        <v>38</v>
      </c>
      <c r="F321" s="3">
        <v>8</v>
      </c>
      <c r="G321" s="3"/>
      <c r="H321" s="9"/>
      <c r="I321" s="9">
        <f>SUM(IFERROR(VLOOKUP($C:$C,Structure!$A:$AJ,I$1,0)*$D321,0),IFERROR(VLOOKUP($E:$E,Structure!$A:$AJ,I$1,0)*$F321,0),IFERROR(VLOOKUP($G:$G,Structure!$A:$AJ,I$1,0)*$H321,0))</f>
        <v>0</v>
      </c>
      <c r="J321" s="9">
        <f>SUM(IFERROR(VLOOKUP($C:$C,Structure!$A:$AJ,J$1,0)*$D321,0),IFERROR(VLOOKUP($E:$E,Structure!$A:$AJ,J$1,0)*$F321,0),IFERROR(VLOOKUP($G:$G,Structure!$A:$AJ,J$1,0)*$H321,0))</f>
        <v>8</v>
      </c>
      <c r="K321" s="9">
        <f>SUM(IFERROR(VLOOKUP($C:$C,Structure!$A:$AJ,K$1,0)*$D321,0),IFERROR(VLOOKUP($E:$E,Structure!$A:$AJ,K$1,0)*$F321,0),IFERROR(VLOOKUP($G:$G,Structure!$A:$AJ,K$1,0)*$H321,0))</f>
        <v>0</v>
      </c>
      <c r="L321" s="9">
        <f>SUM(IFERROR(VLOOKUP($C:$C,Structure!$A:$AJ,L$1,0)*$D321,0),IFERROR(VLOOKUP($E:$E,Structure!$A:$AJ,L$1,0)*$F321,0),IFERROR(VLOOKUP($G:$G,Structure!$A:$AJ,L$1,0)*$H321,0))</f>
        <v>0</v>
      </c>
      <c r="M321" s="9">
        <f>SUM(IFERROR(VLOOKUP($C:$C,Structure!$A:$AJ,M$1,0)*$D321,0),IFERROR(VLOOKUP($E:$E,Structure!$A:$AJ,M$1,0)*$F321,0),IFERROR(VLOOKUP($G:$G,Structure!$A:$AJ,M$1,0)*$H321,0))</f>
        <v>0</v>
      </c>
      <c r="N321" s="9">
        <f>SUM(IFERROR(VLOOKUP($C:$C,Structure!$A:$AJ,N$1,0)*$D321,0),IFERROR(VLOOKUP($E:$E,Structure!$A:$AJ,N$1,0)*$F321,0),IFERROR(VLOOKUP($G:$G,Structure!$A:$AJ,N$1,0)*$H321,0))</f>
        <v>0</v>
      </c>
      <c r="O321" s="9">
        <f>SUM(IFERROR(VLOOKUP($C:$C,Structure!$A:$AJ,O$1,0)*$D321,0),IFERROR(VLOOKUP($E:$E,Structure!$A:$AJ,O$1,0)*$F321,0),IFERROR(VLOOKUP($G:$G,Structure!$A:$AJ,O$1,0)*$H321,0))</f>
        <v>0</v>
      </c>
      <c r="P321" s="9">
        <f>SUM(IFERROR(VLOOKUP($C:$C,Structure!$A:$AJ,P$1,0)*$D321,0),IFERROR(VLOOKUP($E:$E,Structure!$A:$AJ,P$1,0)*$F321,0),IFERROR(VLOOKUP($G:$G,Structure!$A:$AJ,P$1,0)*$H321,0))</f>
        <v>8</v>
      </c>
      <c r="Q321" s="9">
        <f>SUM(IFERROR(VLOOKUP($C:$C,Structure!$A:$AJ,Q$1,0)*$D321,0),IFERROR(VLOOKUP($E:$E,Structure!$A:$AJ,Q$1,0)*$F321,0),IFERROR(VLOOKUP($G:$G,Structure!$A:$AJ,Q$1,0)*$H321,0))</f>
        <v>0</v>
      </c>
      <c r="R321" s="9">
        <f>SUM(IFERROR(VLOOKUP($C:$C,Structure!$A:$AJ,R$1,0)*$D321,0),IFERROR(VLOOKUP($E:$E,Structure!$A:$AJ,R$1,0)*$F321,0),IFERROR(VLOOKUP($G:$G,Structure!$A:$AJ,R$1,0)*$H321,0))</f>
        <v>0</v>
      </c>
      <c r="S321" s="9">
        <f>SUM(IFERROR(VLOOKUP($C:$C,Structure!$A:$AJ,S$1,0)*$D321,0),IFERROR(VLOOKUP($E:$E,Structure!$A:$AJ,S$1,0)*$F321,0),IFERROR(VLOOKUP($G:$G,Structure!$A:$AJ,S$1,0)*$H321,0))</f>
        <v>0</v>
      </c>
      <c r="T321" s="9">
        <f>SUM(IFERROR(VLOOKUP($C:$C,Structure!$A:$AJ,T$1,0)*$D321,0),IFERROR(VLOOKUP($E:$E,Structure!$A:$AJ,T$1,0)*$F321,0),IFERROR(VLOOKUP($G:$G,Structure!$A:$AJ,T$1,0)*$H321,0))</f>
        <v>0</v>
      </c>
      <c r="U321" s="9">
        <f>SUM(IFERROR(VLOOKUP($C:$C,Structure!$A:$AJ,U$1,0)*$D321,0),IFERROR(VLOOKUP($E:$E,Structure!$A:$AJ,U$1,0)*$F321,0),IFERROR(VLOOKUP($G:$G,Structure!$A:$AJ,U$1,0)*$H321,0))</f>
        <v>0</v>
      </c>
      <c r="V321" s="9">
        <f>SUM(IFERROR(VLOOKUP($C:$C,Structure!$A:$AJ,V$1,0)*$D321,0),IFERROR(VLOOKUP($E:$E,Structure!$A:$AJ,V$1,0)*$F321,0),IFERROR(VLOOKUP($G:$G,Structure!$A:$AJ,V$1,0)*$H321,0))</f>
        <v>0</v>
      </c>
      <c r="W321" s="9">
        <f>SUM(IFERROR(VLOOKUP($C:$C,Structure!$A:$AJ,W$1,0)*$D321,0),IFERROR(VLOOKUP($E:$E,Structure!$A:$AJ,W$1,0)*$F321,0),IFERROR(VLOOKUP($G:$G,Structure!$A:$AJ,W$1,0)*$H321,0))</f>
        <v>0</v>
      </c>
      <c r="X321" s="9">
        <f>SUM(IFERROR(VLOOKUP($C:$C,Structure!$A:$AJ,X$1,0)*$D321,0),IFERROR(VLOOKUP($E:$E,Structure!$A:$AJ,X$1,0)*$F321,0),IFERROR(VLOOKUP($G:$G,Structure!$A:$AJ,X$1,0)*$H321,0))</f>
        <v>0</v>
      </c>
      <c r="Y321" s="9">
        <f>SUM(IFERROR(VLOOKUP($C:$C,Structure!$A:$AJ,Y$1,0)*$D321,0),IFERROR(VLOOKUP($E:$E,Structure!$A:$AJ,Y$1,0)*$F321,0),IFERROR(VLOOKUP($G:$G,Structure!$A:$AJ,Y$1,0)*$H321,0))</f>
        <v>0</v>
      </c>
      <c r="Z321" s="9">
        <f>SUM(IFERROR(VLOOKUP($C:$C,Structure!$A:$AJ,Z$1,0)*$D321,0),IFERROR(VLOOKUP($E:$E,Structure!$A:$AJ,Z$1,0)*$F321,0),IFERROR(VLOOKUP($G:$G,Structure!$A:$AJ,Z$1,0)*$H321,0))</f>
        <v>0</v>
      </c>
      <c r="AA321" s="9">
        <f>SUM(IFERROR(VLOOKUP($C:$C,Structure!$A:$AJ,AA$1,0)*$D321,0),IFERROR(VLOOKUP($E:$E,Structure!$A:$AJ,AA$1,0)*$F321,0),IFERROR(VLOOKUP($G:$G,Structure!$A:$AJ,AA$1,0)*$H321,0))</f>
        <v>0</v>
      </c>
      <c r="AB321" s="9">
        <f>SUM(IFERROR(VLOOKUP($C:$C,Structure!$A:$AJ,AB$1,0)*$D321,0),IFERROR(VLOOKUP($E:$E,Structure!$A:$AJ,AB$1,0)*$F321,0),IFERROR(VLOOKUP($G:$G,Structure!$A:$AJ,AB$1,0)*$H321,0))</f>
        <v>0</v>
      </c>
      <c r="AC321" s="9">
        <f>SUM(IFERROR(VLOOKUP($C:$C,Structure!$A:$AJ,AC$1,0)*$D321,0),IFERROR(VLOOKUP($E:$E,Structure!$A:$AJ,AC$1,0)*$F321,0),IFERROR(VLOOKUP($G:$G,Structure!$A:$AJ,AC$1,0)*$H321,0))</f>
        <v>0</v>
      </c>
      <c r="AD321" s="9">
        <f>SUM(IFERROR(VLOOKUP($C:$C,Structure!$A:$AJ,AD$1,0)*$D321,0),IFERROR(VLOOKUP($E:$E,Structure!$A:$AJ,AD$1,0)*$F321,0),IFERROR(VLOOKUP($G:$G,Structure!$A:$AJ,AD$1,0)*$H321,0))</f>
        <v>0</v>
      </c>
      <c r="AE321" s="9">
        <f>SUM(IFERROR(VLOOKUP($C:$C,Structure!$A:$AJ,AE$1,0)*$D321,0),IFERROR(VLOOKUP($E:$E,Structure!$A:$AJ,AE$1,0)*$F321,0),IFERROR(VLOOKUP($G:$G,Structure!$A:$AJ,AE$1,0)*$H321,0))</f>
        <v>0</v>
      </c>
      <c r="AF321" s="9">
        <f>SUM(IFERROR(VLOOKUP($C:$C,Structure!$A:$AJ,AF$1,0)*$D321,0),IFERROR(VLOOKUP($E:$E,Structure!$A:$AJ,AF$1,0)*$F321,0),IFERROR(VLOOKUP($G:$G,Structure!$A:$AJ,AF$1,0)*$H321,0))</f>
        <v>0</v>
      </c>
      <c r="AG321" s="9">
        <f>SUM(IFERROR(VLOOKUP($C:$C,Structure!$A:$AJ,AG$1,0)*$D321,0),IFERROR(VLOOKUP($E:$E,Structure!$A:$AJ,AG$1,0)*$F321,0),IFERROR(VLOOKUP($G:$G,Structure!$A:$AJ,AG$1,0)*$H321,0))</f>
        <v>0</v>
      </c>
      <c r="AH321" s="9">
        <f>SUM(IFERROR(VLOOKUP($C:$C,Structure!$A:$AJ,AH$1,0)*$D321,0),IFERROR(VLOOKUP($E:$E,Structure!$A:$AJ,AH$1,0)*$F321,0),IFERROR(VLOOKUP($G:$G,Structure!$A:$AJ,AH$1,0)*$H321,0))</f>
        <v>0</v>
      </c>
      <c r="AI321" s="9">
        <f>SUM(IFERROR(VLOOKUP($C:$C,Structure!$A:$AJ,AI$1,0)*$D321,0),IFERROR(VLOOKUP($E:$E,Structure!$A:$AJ,AI$1,0)*$F321,0),IFERROR(VLOOKUP($G:$G,Structure!$A:$AJ,AI$1,0)*$H321,0))</f>
        <v>0</v>
      </c>
      <c r="AJ321" s="9">
        <f>SUM(IFERROR(VLOOKUP($C:$C,Structure!$A:$AJ,AJ$1,0)*$D321,0),IFERROR(VLOOKUP($E:$E,Structure!$A:$AJ,AJ$1,0)*$F321,0),IFERROR(VLOOKUP($G:$G,Structure!$A:$AJ,AJ$1,0)*$H321,0))</f>
        <v>0</v>
      </c>
      <c r="AK321" s="9">
        <f>SUM(IFERROR(VLOOKUP($C:$C,Structure!$A:$AJ,AK$1,0)*$D321,0),IFERROR(VLOOKUP($E:$E,Structure!$A:$AJ,AK$1,0)*$F321,0),IFERROR(VLOOKUP($G:$G,Structure!$A:$AJ,AK$1,0)*$H321,0))</f>
        <v>0</v>
      </c>
      <c r="AL321" s="9">
        <f>SUM(IFERROR(VLOOKUP($C:$C,Structure!$A:$AJ,AL$1,0)*$D321,0),IFERROR(VLOOKUP($E:$E,Structure!$A:$AJ,AL$1,0)*$F321,0),IFERROR(VLOOKUP($G:$G,Structure!$A:$AJ,AL$1,0)*$H321,0))</f>
        <v>0</v>
      </c>
      <c r="AM321" s="9">
        <f>SUM(IFERROR(VLOOKUP($C:$C,Structure!$A:$AJ,AM$1,0)*$D321,0),IFERROR(VLOOKUP($E:$E,Structure!$A:$AJ,AM$1,0)*$F321,0),IFERROR(VLOOKUP($G:$G,Structure!$A:$AJ,AM$1,0)*$H321,0))</f>
        <v>0</v>
      </c>
      <c r="AN321" s="9">
        <f>SUM(IFERROR(VLOOKUP($C:$C,Structure!$A:$AJ,AN$1,0)*$D321,0),IFERROR(VLOOKUP($E:$E,Structure!$A:$AJ,AN$1,0)*$F321,0),IFERROR(VLOOKUP($G:$G,Structure!$A:$AJ,AN$1,0)*$H321,0))</f>
        <v>0</v>
      </c>
      <c r="AO321" s="9">
        <f>SUM(IFERROR(VLOOKUP($C:$C,Structure!$A:$AJ,AO$1,0)*$D321,0),IFERROR(VLOOKUP($E:$E,Structure!$A:$AJ,AO$1,0)*$F321,0),IFERROR(VLOOKUP($G:$G,Structure!$A:$AJ,AO$1,0)*$H321,0))</f>
        <v>0</v>
      </c>
      <c r="AP321" s="9">
        <f>SUM(IFERROR(VLOOKUP($C:$C,Structure!$A:$AJ,AP$1,0)*$D321,0),IFERROR(VLOOKUP($E:$E,Structure!$A:$AJ,AP$1,0)*$F321,0),IFERROR(VLOOKUP($G:$G,Structure!$A:$AJ,AP$1,0)*$H321,0))</f>
        <v>0</v>
      </c>
      <c r="AQ321" s="9">
        <f>SUM(IFERROR(VLOOKUP($C:$C,Structure!$A:$AJ,AQ$1,0)*$D321,0),IFERROR(VLOOKUP($E:$E,Structure!$A:$AJ,AQ$1,0)*$F321,0),IFERROR(VLOOKUP($G:$G,Structure!$A:$AJ,AQ$1,0)*$H321,0))</f>
        <v>0</v>
      </c>
      <c r="AR321" s="21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4">
        <f t="shared" si="302"/>
        <v>0</v>
      </c>
      <c r="CE321" s="4">
        <f t="shared" si="303"/>
        <v>-284</v>
      </c>
      <c r="CF321" s="4">
        <f t="shared" si="304"/>
        <v>4</v>
      </c>
      <c r="CG321" s="4">
        <f t="shared" si="305"/>
        <v>10</v>
      </c>
      <c r="CH321" s="4">
        <f t="shared" si="306"/>
        <v>-7</v>
      </c>
      <c r="CI321" s="4">
        <f t="shared" si="307"/>
        <v>85</v>
      </c>
      <c r="CJ321" s="4">
        <f t="shared" si="308"/>
        <v>-447</v>
      </c>
      <c r="CK321" s="4">
        <f t="shared" si="309"/>
        <v>-105</v>
      </c>
      <c r="CL321" s="4">
        <f t="shared" si="310"/>
        <v>0</v>
      </c>
      <c r="CM321" s="4">
        <f t="shared" si="311"/>
        <v>6</v>
      </c>
      <c r="CN321" s="4">
        <f t="shared" si="312"/>
        <v>-334</v>
      </c>
      <c r="CO321" s="4">
        <f t="shared" si="313"/>
        <v>0</v>
      </c>
      <c r="CP321" s="4">
        <f t="shared" si="314"/>
        <v>-61</v>
      </c>
      <c r="CQ321" s="4">
        <f t="shared" si="315"/>
        <v>-691</v>
      </c>
      <c r="CR321" s="4">
        <f t="shared" si="316"/>
        <v>11</v>
      </c>
      <c r="CS321" s="4">
        <f t="shared" si="317"/>
        <v>-66</v>
      </c>
      <c r="CT321" s="4">
        <f t="shared" si="318"/>
        <v>0</v>
      </c>
      <c r="CU321" s="4">
        <f t="shared" si="319"/>
        <v>0</v>
      </c>
      <c r="CV321" s="4">
        <f t="shared" si="320"/>
        <v>0</v>
      </c>
      <c r="CW321" s="4">
        <f t="shared" si="321"/>
        <v>0</v>
      </c>
      <c r="CX321" s="4">
        <f t="shared" si="322"/>
        <v>-1012</v>
      </c>
      <c r="CY321" s="4">
        <f t="shared" si="323"/>
        <v>0</v>
      </c>
      <c r="CZ321" s="4">
        <f t="shared" si="324"/>
        <v>0</v>
      </c>
      <c r="DA321" s="4">
        <f t="shared" si="325"/>
        <v>0</v>
      </c>
      <c r="DB321" s="4">
        <f t="shared" si="326"/>
        <v>0</v>
      </c>
      <c r="DC321" s="4">
        <f t="shared" si="327"/>
        <v>0</v>
      </c>
      <c r="DD321" s="4">
        <f t="shared" si="328"/>
        <v>0</v>
      </c>
      <c r="DE321" s="4">
        <f t="shared" si="329"/>
        <v>0</v>
      </c>
      <c r="DF321" s="4">
        <f t="shared" si="330"/>
        <v>0</v>
      </c>
      <c r="DG321" s="4">
        <f t="shared" si="331"/>
        <v>0</v>
      </c>
      <c r="DH321" s="4">
        <f t="shared" si="332"/>
        <v>0</v>
      </c>
      <c r="DI321" s="4">
        <f t="shared" si="333"/>
        <v>0</v>
      </c>
      <c r="DJ321" s="4">
        <f t="shared" si="334"/>
        <v>0</v>
      </c>
      <c r="DK321" s="4">
        <f t="shared" si="335"/>
        <v>0</v>
      </c>
      <c r="DL321" s="4">
        <f t="shared" si="336"/>
        <v>0</v>
      </c>
    </row>
    <row r="322" spans="1:116" x14ac:dyDescent="0.25">
      <c r="A322" s="5">
        <v>46189</v>
      </c>
      <c r="B322" s="6">
        <v>0.95833333410701016</v>
      </c>
      <c r="C322" s="3"/>
      <c r="D322" s="3"/>
      <c r="E322" s="3" t="s">
        <v>38</v>
      </c>
      <c r="F322" s="3">
        <v>8</v>
      </c>
      <c r="G322" s="3"/>
      <c r="H322" s="9"/>
      <c r="I322" s="9">
        <f>SUM(IFERROR(VLOOKUP($C:$C,Structure!$A:$AJ,I$1,0)*$D322,0),IFERROR(VLOOKUP($E:$E,Structure!$A:$AJ,I$1,0)*$F322,0),IFERROR(VLOOKUP($G:$G,Structure!$A:$AJ,I$1,0)*$H322,0))</f>
        <v>0</v>
      </c>
      <c r="J322" s="9">
        <f>SUM(IFERROR(VLOOKUP($C:$C,Structure!$A:$AJ,J$1,0)*$D322,0),IFERROR(VLOOKUP($E:$E,Structure!$A:$AJ,J$1,0)*$F322,0),IFERROR(VLOOKUP($G:$G,Structure!$A:$AJ,J$1,0)*$H322,0))</f>
        <v>8</v>
      </c>
      <c r="K322" s="9">
        <f>SUM(IFERROR(VLOOKUP($C:$C,Structure!$A:$AJ,K$1,0)*$D322,0),IFERROR(VLOOKUP($E:$E,Structure!$A:$AJ,K$1,0)*$F322,0),IFERROR(VLOOKUP($G:$G,Structure!$A:$AJ,K$1,0)*$H322,0))</f>
        <v>0</v>
      </c>
      <c r="L322" s="9">
        <f>SUM(IFERROR(VLOOKUP($C:$C,Structure!$A:$AJ,L$1,0)*$D322,0),IFERROR(VLOOKUP($E:$E,Structure!$A:$AJ,L$1,0)*$F322,0),IFERROR(VLOOKUP($G:$G,Structure!$A:$AJ,L$1,0)*$H322,0))</f>
        <v>0</v>
      </c>
      <c r="M322" s="9">
        <f>SUM(IFERROR(VLOOKUP($C:$C,Structure!$A:$AJ,M$1,0)*$D322,0),IFERROR(VLOOKUP($E:$E,Structure!$A:$AJ,M$1,0)*$F322,0),IFERROR(VLOOKUP($G:$G,Structure!$A:$AJ,M$1,0)*$H322,0))</f>
        <v>0</v>
      </c>
      <c r="N322" s="9">
        <f>SUM(IFERROR(VLOOKUP($C:$C,Structure!$A:$AJ,N$1,0)*$D322,0),IFERROR(VLOOKUP($E:$E,Structure!$A:$AJ,N$1,0)*$F322,0),IFERROR(VLOOKUP($G:$G,Structure!$A:$AJ,N$1,0)*$H322,0))</f>
        <v>0</v>
      </c>
      <c r="O322" s="9">
        <f>SUM(IFERROR(VLOOKUP($C:$C,Structure!$A:$AJ,O$1,0)*$D322,0),IFERROR(VLOOKUP($E:$E,Structure!$A:$AJ,O$1,0)*$F322,0),IFERROR(VLOOKUP($G:$G,Structure!$A:$AJ,O$1,0)*$H322,0))</f>
        <v>0</v>
      </c>
      <c r="P322" s="9">
        <f>SUM(IFERROR(VLOOKUP($C:$C,Structure!$A:$AJ,P$1,0)*$D322,0),IFERROR(VLOOKUP($E:$E,Structure!$A:$AJ,P$1,0)*$F322,0),IFERROR(VLOOKUP($G:$G,Structure!$A:$AJ,P$1,0)*$H322,0))</f>
        <v>8</v>
      </c>
      <c r="Q322" s="9">
        <f>SUM(IFERROR(VLOOKUP($C:$C,Structure!$A:$AJ,Q$1,0)*$D322,0),IFERROR(VLOOKUP($E:$E,Structure!$A:$AJ,Q$1,0)*$F322,0),IFERROR(VLOOKUP($G:$G,Structure!$A:$AJ,Q$1,0)*$H322,0))</f>
        <v>0</v>
      </c>
      <c r="R322" s="9">
        <f>SUM(IFERROR(VLOOKUP($C:$C,Structure!$A:$AJ,R$1,0)*$D322,0),IFERROR(VLOOKUP($E:$E,Structure!$A:$AJ,R$1,0)*$F322,0),IFERROR(VLOOKUP($G:$G,Structure!$A:$AJ,R$1,0)*$H322,0))</f>
        <v>0</v>
      </c>
      <c r="S322" s="9">
        <f>SUM(IFERROR(VLOOKUP($C:$C,Structure!$A:$AJ,S$1,0)*$D322,0),IFERROR(VLOOKUP($E:$E,Structure!$A:$AJ,S$1,0)*$F322,0),IFERROR(VLOOKUP($G:$G,Structure!$A:$AJ,S$1,0)*$H322,0))</f>
        <v>0</v>
      </c>
      <c r="T322" s="9">
        <f>SUM(IFERROR(VLOOKUP($C:$C,Structure!$A:$AJ,T$1,0)*$D322,0),IFERROR(VLOOKUP($E:$E,Structure!$A:$AJ,T$1,0)*$F322,0),IFERROR(VLOOKUP($G:$G,Structure!$A:$AJ,T$1,0)*$H322,0))</f>
        <v>0</v>
      </c>
      <c r="U322" s="9">
        <f>SUM(IFERROR(VLOOKUP($C:$C,Structure!$A:$AJ,U$1,0)*$D322,0),IFERROR(VLOOKUP($E:$E,Structure!$A:$AJ,U$1,0)*$F322,0),IFERROR(VLOOKUP($G:$G,Structure!$A:$AJ,U$1,0)*$H322,0))</f>
        <v>0</v>
      </c>
      <c r="V322" s="9">
        <f>SUM(IFERROR(VLOOKUP($C:$C,Structure!$A:$AJ,V$1,0)*$D322,0),IFERROR(VLOOKUP($E:$E,Structure!$A:$AJ,V$1,0)*$F322,0),IFERROR(VLOOKUP($G:$G,Structure!$A:$AJ,V$1,0)*$H322,0))</f>
        <v>0</v>
      </c>
      <c r="W322" s="9">
        <f>SUM(IFERROR(VLOOKUP($C:$C,Structure!$A:$AJ,W$1,0)*$D322,0),IFERROR(VLOOKUP($E:$E,Structure!$A:$AJ,W$1,0)*$F322,0),IFERROR(VLOOKUP($G:$G,Structure!$A:$AJ,W$1,0)*$H322,0))</f>
        <v>0</v>
      </c>
      <c r="X322" s="9">
        <f>SUM(IFERROR(VLOOKUP($C:$C,Structure!$A:$AJ,X$1,0)*$D322,0),IFERROR(VLOOKUP($E:$E,Structure!$A:$AJ,X$1,0)*$F322,0),IFERROR(VLOOKUP($G:$G,Structure!$A:$AJ,X$1,0)*$H322,0))</f>
        <v>0</v>
      </c>
      <c r="Y322" s="9">
        <f>SUM(IFERROR(VLOOKUP($C:$C,Structure!$A:$AJ,Y$1,0)*$D322,0),IFERROR(VLOOKUP($E:$E,Structure!$A:$AJ,Y$1,0)*$F322,0),IFERROR(VLOOKUP($G:$G,Structure!$A:$AJ,Y$1,0)*$H322,0))</f>
        <v>0</v>
      </c>
      <c r="Z322" s="9">
        <f>SUM(IFERROR(VLOOKUP($C:$C,Structure!$A:$AJ,Z$1,0)*$D322,0),IFERROR(VLOOKUP($E:$E,Structure!$A:$AJ,Z$1,0)*$F322,0),IFERROR(VLOOKUP($G:$G,Structure!$A:$AJ,Z$1,0)*$H322,0))</f>
        <v>0</v>
      </c>
      <c r="AA322" s="9">
        <f>SUM(IFERROR(VLOOKUP($C:$C,Structure!$A:$AJ,AA$1,0)*$D322,0),IFERROR(VLOOKUP($E:$E,Structure!$A:$AJ,AA$1,0)*$F322,0),IFERROR(VLOOKUP($G:$G,Structure!$A:$AJ,AA$1,0)*$H322,0))</f>
        <v>0</v>
      </c>
      <c r="AB322" s="9">
        <f>SUM(IFERROR(VLOOKUP($C:$C,Structure!$A:$AJ,AB$1,0)*$D322,0),IFERROR(VLOOKUP($E:$E,Structure!$A:$AJ,AB$1,0)*$F322,0),IFERROR(VLOOKUP($G:$G,Structure!$A:$AJ,AB$1,0)*$H322,0))</f>
        <v>0</v>
      </c>
      <c r="AC322" s="9">
        <f>SUM(IFERROR(VLOOKUP($C:$C,Structure!$A:$AJ,AC$1,0)*$D322,0),IFERROR(VLOOKUP($E:$E,Structure!$A:$AJ,AC$1,0)*$F322,0),IFERROR(VLOOKUP($G:$G,Structure!$A:$AJ,AC$1,0)*$H322,0))</f>
        <v>0</v>
      </c>
      <c r="AD322" s="9">
        <f>SUM(IFERROR(VLOOKUP($C:$C,Structure!$A:$AJ,AD$1,0)*$D322,0),IFERROR(VLOOKUP($E:$E,Structure!$A:$AJ,AD$1,0)*$F322,0),IFERROR(VLOOKUP($G:$G,Structure!$A:$AJ,AD$1,0)*$H322,0))</f>
        <v>0</v>
      </c>
      <c r="AE322" s="9">
        <f>SUM(IFERROR(VLOOKUP($C:$C,Structure!$A:$AJ,AE$1,0)*$D322,0),IFERROR(VLOOKUP($E:$E,Structure!$A:$AJ,AE$1,0)*$F322,0),IFERROR(VLOOKUP($G:$G,Structure!$A:$AJ,AE$1,0)*$H322,0))</f>
        <v>0</v>
      </c>
      <c r="AF322" s="9">
        <f>SUM(IFERROR(VLOOKUP($C:$C,Structure!$A:$AJ,AF$1,0)*$D322,0),IFERROR(VLOOKUP($E:$E,Structure!$A:$AJ,AF$1,0)*$F322,0),IFERROR(VLOOKUP($G:$G,Structure!$A:$AJ,AF$1,0)*$H322,0))</f>
        <v>0</v>
      </c>
      <c r="AG322" s="9">
        <f>SUM(IFERROR(VLOOKUP($C:$C,Structure!$A:$AJ,AG$1,0)*$D322,0),IFERROR(VLOOKUP($E:$E,Structure!$A:$AJ,AG$1,0)*$F322,0),IFERROR(VLOOKUP($G:$G,Structure!$A:$AJ,AG$1,0)*$H322,0))</f>
        <v>0</v>
      </c>
      <c r="AH322" s="9">
        <f>SUM(IFERROR(VLOOKUP($C:$C,Structure!$A:$AJ,AH$1,0)*$D322,0),IFERROR(VLOOKUP($E:$E,Structure!$A:$AJ,AH$1,0)*$F322,0),IFERROR(VLOOKUP($G:$G,Structure!$A:$AJ,AH$1,0)*$H322,0))</f>
        <v>0</v>
      </c>
      <c r="AI322" s="9">
        <f>SUM(IFERROR(VLOOKUP($C:$C,Structure!$A:$AJ,AI$1,0)*$D322,0),IFERROR(VLOOKUP($E:$E,Structure!$A:$AJ,AI$1,0)*$F322,0),IFERROR(VLOOKUP($G:$G,Structure!$A:$AJ,AI$1,0)*$H322,0))</f>
        <v>0</v>
      </c>
      <c r="AJ322" s="9">
        <f>SUM(IFERROR(VLOOKUP($C:$C,Structure!$A:$AJ,AJ$1,0)*$D322,0),IFERROR(VLOOKUP($E:$E,Structure!$A:$AJ,AJ$1,0)*$F322,0),IFERROR(VLOOKUP($G:$G,Structure!$A:$AJ,AJ$1,0)*$H322,0))</f>
        <v>0</v>
      </c>
      <c r="AK322" s="9">
        <f>SUM(IFERROR(VLOOKUP($C:$C,Structure!$A:$AJ,AK$1,0)*$D322,0),IFERROR(VLOOKUP($E:$E,Structure!$A:$AJ,AK$1,0)*$F322,0),IFERROR(VLOOKUP($G:$G,Structure!$A:$AJ,AK$1,0)*$H322,0))</f>
        <v>0</v>
      </c>
      <c r="AL322" s="9">
        <f>SUM(IFERROR(VLOOKUP($C:$C,Structure!$A:$AJ,AL$1,0)*$D322,0),IFERROR(VLOOKUP($E:$E,Structure!$A:$AJ,AL$1,0)*$F322,0),IFERROR(VLOOKUP($G:$G,Structure!$A:$AJ,AL$1,0)*$H322,0))</f>
        <v>0</v>
      </c>
      <c r="AM322" s="9">
        <f>SUM(IFERROR(VLOOKUP($C:$C,Structure!$A:$AJ,AM$1,0)*$D322,0),IFERROR(VLOOKUP($E:$E,Structure!$A:$AJ,AM$1,0)*$F322,0),IFERROR(VLOOKUP($G:$G,Structure!$A:$AJ,AM$1,0)*$H322,0))</f>
        <v>0</v>
      </c>
      <c r="AN322" s="9">
        <f>SUM(IFERROR(VLOOKUP($C:$C,Structure!$A:$AJ,AN$1,0)*$D322,0),IFERROR(VLOOKUP($E:$E,Structure!$A:$AJ,AN$1,0)*$F322,0),IFERROR(VLOOKUP($G:$G,Structure!$A:$AJ,AN$1,0)*$H322,0))</f>
        <v>0</v>
      </c>
      <c r="AO322" s="9">
        <f>SUM(IFERROR(VLOOKUP($C:$C,Structure!$A:$AJ,AO$1,0)*$D322,0),IFERROR(VLOOKUP($E:$E,Structure!$A:$AJ,AO$1,0)*$F322,0),IFERROR(VLOOKUP($G:$G,Structure!$A:$AJ,AO$1,0)*$H322,0))</f>
        <v>0</v>
      </c>
      <c r="AP322" s="9">
        <f>SUM(IFERROR(VLOOKUP($C:$C,Structure!$A:$AJ,AP$1,0)*$D322,0),IFERROR(VLOOKUP($E:$E,Structure!$A:$AJ,AP$1,0)*$F322,0),IFERROR(VLOOKUP($G:$G,Structure!$A:$AJ,AP$1,0)*$H322,0))</f>
        <v>0</v>
      </c>
      <c r="AQ322" s="9">
        <f>SUM(IFERROR(VLOOKUP($C:$C,Structure!$A:$AJ,AQ$1,0)*$D322,0),IFERROR(VLOOKUP($E:$E,Structure!$A:$AJ,AQ$1,0)*$F322,0),IFERROR(VLOOKUP($G:$G,Structure!$A:$AJ,AQ$1,0)*$H322,0))</f>
        <v>0</v>
      </c>
      <c r="AR322" s="21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4">
        <f t="shared" si="302"/>
        <v>0</v>
      </c>
      <c r="CE322" s="4">
        <f t="shared" si="303"/>
        <v>-292</v>
      </c>
      <c r="CF322" s="4">
        <f t="shared" si="304"/>
        <v>4</v>
      </c>
      <c r="CG322" s="4">
        <f t="shared" si="305"/>
        <v>10</v>
      </c>
      <c r="CH322" s="4">
        <f t="shared" si="306"/>
        <v>-7</v>
      </c>
      <c r="CI322" s="4">
        <f t="shared" si="307"/>
        <v>85</v>
      </c>
      <c r="CJ322" s="4">
        <f t="shared" si="308"/>
        <v>-447</v>
      </c>
      <c r="CK322" s="4">
        <f t="shared" si="309"/>
        <v>-113</v>
      </c>
      <c r="CL322" s="4">
        <f t="shared" si="310"/>
        <v>0</v>
      </c>
      <c r="CM322" s="4">
        <f t="shared" si="311"/>
        <v>6</v>
      </c>
      <c r="CN322" s="4">
        <f t="shared" si="312"/>
        <v>-334</v>
      </c>
      <c r="CO322" s="4">
        <f t="shared" si="313"/>
        <v>0</v>
      </c>
      <c r="CP322" s="4">
        <f t="shared" si="314"/>
        <v>-61</v>
      </c>
      <c r="CQ322" s="4">
        <f t="shared" si="315"/>
        <v>-691</v>
      </c>
      <c r="CR322" s="4">
        <f t="shared" si="316"/>
        <v>11</v>
      </c>
      <c r="CS322" s="4">
        <f t="shared" si="317"/>
        <v>-66</v>
      </c>
      <c r="CT322" s="4">
        <f t="shared" si="318"/>
        <v>0</v>
      </c>
      <c r="CU322" s="4">
        <f t="shared" si="319"/>
        <v>0</v>
      </c>
      <c r="CV322" s="4">
        <f t="shared" si="320"/>
        <v>0</v>
      </c>
      <c r="CW322" s="4">
        <f t="shared" si="321"/>
        <v>0</v>
      </c>
      <c r="CX322" s="4">
        <f t="shared" si="322"/>
        <v>-1012</v>
      </c>
      <c r="CY322" s="4">
        <f t="shared" si="323"/>
        <v>0</v>
      </c>
      <c r="CZ322" s="4">
        <f t="shared" si="324"/>
        <v>0</v>
      </c>
      <c r="DA322" s="4">
        <f t="shared" si="325"/>
        <v>0</v>
      </c>
      <c r="DB322" s="4">
        <f t="shared" si="326"/>
        <v>0</v>
      </c>
      <c r="DC322" s="4">
        <f t="shared" si="327"/>
        <v>0</v>
      </c>
      <c r="DD322" s="4">
        <f t="shared" si="328"/>
        <v>0</v>
      </c>
      <c r="DE322" s="4">
        <f t="shared" si="329"/>
        <v>0</v>
      </c>
      <c r="DF322" s="4">
        <f t="shared" si="330"/>
        <v>0</v>
      </c>
      <c r="DG322" s="4">
        <f t="shared" si="331"/>
        <v>0</v>
      </c>
      <c r="DH322" s="4">
        <f t="shared" si="332"/>
        <v>0</v>
      </c>
      <c r="DI322" s="4">
        <f t="shared" si="333"/>
        <v>0</v>
      </c>
      <c r="DJ322" s="4">
        <f t="shared" si="334"/>
        <v>0</v>
      </c>
      <c r="DK322" s="4">
        <f t="shared" si="335"/>
        <v>0</v>
      </c>
      <c r="DL322" s="4">
        <f t="shared" si="336"/>
        <v>0</v>
      </c>
    </row>
    <row r="323" spans="1:116" x14ac:dyDescent="0.25">
      <c r="A323" s="5">
        <v>46189</v>
      </c>
      <c r="B323" s="6">
        <v>0.97916666744276881</v>
      </c>
      <c r="C323" s="3"/>
      <c r="D323" s="3"/>
      <c r="E323" s="3" t="s">
        <v>38</v>
      </c>
      <c r="F323" s="3">
        <v>8</v>
      </c>
      <c r="G323" s="3"/>
      <c r="H323" s="9"/>
      <c r="I323" s="9">
        <f>SUM(IFERROR(VLOOKUP($C:$C,Structure!$A:$AJ,I$1,0)*$D323,0),IFERROR(VLOOKUP($E:$E,Structure!$A:$AJ,I$1,0)*$F323,0),IFERROR(VLOOKUP($G:$G,Structure!$A:$AJ,I$1,0)*$H323,0))</f>
        <v>0</v>
      </c>
      <c r="J323" s="9">
        <f>SUM(IFERROR(VLOOKUP($C:$C,Structure!$A:$AJ,J$1,0)*$D323,0),IFERROR(VLOOKUP($E:$E,Structure!$A:$AJ,J$1,0)*$F323,0),IFERROR(VLOOKUP($G:$G,Structure!$A:$AJ,J$1,0)*$H323,0))</f>
        <v>8</v>
      </c>
      <c r="K323" s="9">
        <f>SUM(IFERROR(VLOOKUP($C:$C,Structure!$A:$AJ,K$1,0)*$D323,0),IFERROR(VLOOKUP($E:$E,Structure!$A:$AJ,K$1,0)*$F323,0),IFERROR(VLOOKUP($G:$G,Structure!$A:$AJ,K$1,0)*$H323,0))</f>
        <v>0</v>
      </c>
      <c r="L323" s="9">
        <f>SUM(IFERROR(VLOOKUP($C:$C,Structure!$A:$AJ,L$1,0)*$D323,0),IFERROR(VLOOKUP($E:$E,Structure!$A:$AJ,L$1,0)*$F323,0),IFERROR(VLOOKUP($G:$G,Structure!$A:$AJ,L$1,0)*$H323,0))</f>
        <v>0</v>
      </c>
      <c r="M323" s="9">
        <f>SUM(IFERROR(VLOOKUP($C:$C,Structure!$A:$AJ,M$1,0)*$D323,0),IFERROR(VLOOKUP($E:$E,Structure!$A:$AJ,M$1,0)*$F323,0),IFERROR(VLOOKUP($G:$G,Structure!$A:$AJ,M$1,0)*$H323,0))</f>
        <v>0</v>
      </c>
      <c r="N323" s="9">
        <f>SUM(IFERROR(VLOOKUP($C:$C,Structure!$A:$AJ,N$1,0)*$D323,0),IFERROR(VLOOKUP($E:$E,Structure!$A:$AJ,N$1,0)*$F323,0),IFERROR(VLOOKUP($G:$G,Structure!$A:$AJ,N$1,0)*$H323,0))</f>
        <v>0</v>
      </c>
      <c r="O323" s="9">
        <f>SUM(IFERROR(VLOOKUP($C:$C,Structure!$A:$AJ,O$1,0)*$D323,0),IFERROR(VLOOKUP($E:$E,Structure!$A:$AJ,O$1,0)*$F323,0),IFERROR(VLOOKUP($G:$G,Structure!$A:$AJ,O$1,0)*$H323,0))</f>
        <v>0</v>
      </c>
      <c r="P323" s="9">
        <f>SUM(IFERROR(VLOOKUP($C:$C,Structure!$A:$AJ,P$1,0)*$D323,0),IFERROR(VLOOKUP($E:$E,Structure!$A:$AJ,P$1,0)*$F323,0),IFERROR(VLOOKUP($G:$G,Structure!$A:$AJ,P$1,0)*$H323,0))</f>
        <v>8</v>
      </c>
      <c r="Q323" s="9">
        <f>SUM(IFERROR(VLOOKUP($C:$C,Structure!$A:$AJ,Q$1,0)*$D323,0),IFERROR(VLOOKUP($E:$E,Structure!$A:$AJ,Q$1,0)*$F323,0),IFERROR(VLOOKUP($G:$G,Structure!$A:$AJ,Q$1,0)*$H323,0))</f>
        <v>0</v>
      </c>
      <c r="R323" s="9">
        <f>SUM(IFERROR(VLOOKUP($C:$C,Structure!$A:$AJ,R$1,0)*$D323,0),IFERROR(VLOOKUP($E:$E,Structure!$A:$AJ,R$1,0)*$F323,0),IFERROR(VLOOKUP($G:$G,Structure!$A:$AJ,R$1,0)*$H323,0))</f>
        <v>0</v>
      </c>
      <c r="S323" s="9">
        <f>SUM(IFERROR(VLOOKUP($C:$C,Structure!$A:$AJ,S$1,0)*$D323,0),IFERROR(VLOOKUP($E:$E,Structure!$A:$AJ,S$1,0)*$F323,0),IFERROR(VLOOKUP($G:$G,Structure!$A:$AJ,S$1,0)*$H323,0))</f>
        <v>0</v>
      </c>
      <c r="T323" s="9">
        <f>SUM(IFERROR(VLOOKUP($C:$C,Structure!$A:$AJ,T$1,0)*$D323,0),IFERROR(VLOOKUP($E:$E,Structure!$A:$AJ,T$1,0)*$F323,0),IFERROR(VLOOKUP($G:$G,Structure!$A:$AJ,T$1,0)*$H323,0))</f>
        <v>0</v>
      </c>
      <c r="U323" s="9">
        <f>SUM(IFERROR(VLOOKUP($C:$C,Structure!$A:$AJ,U$1,0)*$D323,0),IFERROR(VLOOKUP($E:$E,Structure!$A:$AJ,U$1,0)*$F323,0),IFERROR(VLOOKUP($G:$G,Structure!$A:$AJ,U$1,0)*$H323,0))</f>
        <v>0</v>
      </c>
      <c r="V323" s="9">
        <f>SUM(IFERROR(VLOOKUP($C:$C,Structure!$A:$AJ,V$1,0)*$D323,0),IFERROR(VLOOKUP($E:$E,Structure!$A:$AJ,V$1,0)*$F323,0),IFERROR(VLOOKUP($G:$G,Structure!$A:$AJ,V$1,0)*$H323,0))</f>
        <v>0</v>
      </c>
      <c r="W323" s="9">
        <f>SUM(IFERROR(VLOOKUP($C:$C,Structure!$A:$AJ,W$1,0)*$D323,0),IFERROR(VLOOKUP($E:$E,Structure!$A:$AJ,W$1,0)*$F323,0),IFERROR(VLOOKUP($G:$G,Structure!$A:$AJ,W$1,0)*$H323,0))</f>
        <v>0</v>
      </c>
      <c r="X323" s="9">
        <f>SUM(IFERROR(VLOOKUP($C:$C,Structure!$A:$AJ,X$1,0)*$D323,0),IFERROR(VLOOKUP($E:$E,Structure!$A:$AJ,X$1,0)*$F323,0),IFERROR(VLOOKUP($G:$G,Structure!$A:$AJ,X$1,0)*$H323,0))</f>
        <v>0</v>
      </c>
      <c r="Y323" s="9">
        <f>SUM(IFERROR(VLOOKUP($C:$C,Structure!$A:$AJ,Y$1,0)*$D323,0),IFERROR(VLOOKUP($E:$E,Structure!$A:$AJ,Y$1,0)*$F323,0),IFERROR(VLOOKUP($G:$G,Structure!$A:$AJ,Y$1,0)*$H323,0))</f>
        <v>0</v>
      </c>
      <c r="Z323" s="9">
        <f>SUM(IFERROR(VLOOKUP($C:$C,Structure!$A:$AJ,Z$1,0)*$D323,0),IFERROR(VLOOKUP($E:$E,Structure!$A:$AJ,Z$1,0)*$F323,0),IFERROR(VLOOKUP($G:$G,Structure!$A:$AJ,Z$1,0)*$H323,0))</f>
        <v>0</v>
      </c>
      <c r="AA323" s="9">
        <f>SUM(IFERROR(VLOOKUP($C:$C,Structure!$A:$AJ,AA$1,0)*$D323,0),IFERROR(VLOOKUP($E:$E,Structure!$A:$AJ,AA$1,0)*$F323,0),IFERROR(VLOOKUP($G:$G,Structure!$A:$AJ,AA$1,0)*$H323,0))</f>
        <v>0</v>
      </c>
      <c r="AB323" s="9">
        <f>SUM(IFERROR(VLOOKUP($C:$C,Structure!$A:$AJ,AB$1,0)*$D323,0),IFERROR(VLOOKUP($E:$E,Structure!$A:$AJ,AB$1,0)*$F323,0),IFERROR(VLOOKUP($G:$G,Structure!$A:$AJ,AB$1,0)*$H323,0))</f>
        <v>0</v>
      </c>
      <c r="AC323" s="9">
        <f>SUM(IFERROR(VLOOKUP($C:$C,Structure!$A:$AJ,AC$1,0)*$D323,0),IFERROR(VLOOKUP($E:$E,Structure!$A:$AJ,AC$1,0)*$F323,0),IFERROR(VLOOKUP($G:$G,Structure!$A:$AJ,AC$1,0)*$H323,0))</f>
        <v>0</v>
      </c>
      <c r="AD323" s="9">
        <f>SUM(IFERROR(VLOOKUP($C:$C,Structure!$A:$AJ,AD$1,0)*$D323,0),IFERROR(VLOOKUP($E:$E,Structure!$A:$AJ,AD$1,0)*$F323,0),IFERROR(VLOOKUP($G:$G,Structure!$A:$AJ,AD$1,0)*$H323,0))</f>
        <v>0</v>
      </c>
      <c r="AE323" s="9">
        <f>SUM(IFERROR(VLOOKUP($C:$C,Structure!$A:$AJ,AE$1,0)*$D323,0),IFERROR(VLOOKUP($E:$E,Structure!$A:$AJ,AE$1,0)*$F323,0),IFERROR(VLOOKUP($G:$G,Structure!$A:$AJ,AE$1,0)*$H323,0))</f>
        <v>0</v>
      </c>
      <c r="AF323" s="9">
        <f>SUM(IFERROR(VLOOKUP($C:$C,Structure!$A:$AJ,AF$1,0)*$D323,0),IFERROR(VLOOKUP($E:$E,Structure!$A:$AJ,AF$1,0)*$F323,0),IFERROR(VLOOKUP($G:$G,Structure!$A:$AJ,AF$1,0)*$H323,0))</f>
        <v>0</v>
      </c>
      <c r="AG323" s="9">
        <f>SUM(IFERROR(VLOOKUP($C:$C,Structure!$A:$AJ,AG$1,0)*$D323,0),IFERROR(VLOOKUP($E:$E,Structure!$A:$AJ,AG$1,0)*$F323,0),IFERROR(VLOOKUP($G:$G,Structure!$A:$AJ,AG$1,0)*$H323,0))</f>
        <v>0</v>
      </c>
      <c r="AH323" s="9">
        <f>SUM(IFERROR(VLOOKUP($C:$C,Structure!$A:$AJ,AH$1,0)*$D323,0),IFERROR(VLOOKUP($E:$E,Structure!$A:$AJ,AH$1,0)*$F323,0),IFERROR(VLOOKUP($G:$G,Structure!$A:$AJ,AH$1,0)*$H323,0))</f>
        <v>0</v>
      </c>
      <c r="AI323" s="9">
        <f>SUM(IFERROR(VLOOKUP($C:$C,Structure!$A:$AJ,AI$1,0)*$D323,0),IFERROR(VLOOKUP($E:$E,Structure!$A:$AJ,AI$1,0)*$F323,0),IFERROR(VLOOKUP($G:$G,Structure!$A:$AJ,AI$1,0)*$H323,0))</f>
        <v>0</v>
      </c>
      <c r="AJ323" s="9">
        <f>SUM(IFERROR(VLOOKUP($C:$C,Structure!$A:$AJ,AJ$1,0)*$D323,0),IFERROR(VLOOKUP($E:$E,Structure!$A:$AJ,AJ$1,0)*$F323,0),IFERROR(VLOOKUP($G:$G,Structure!$A:$AJ,AJ$1,0)*$H323,0))</f>
        <v>0</v>
      </c>
      <c r="AK323" s="9">
        <f>SUM(IFERROR(VLOOKUP($C:$C,Structure!$A:$AJ,AK$1,0)*$D323,0),IFERROR(VLOOKUP($E:$E,Structure!$A:$AJ,AK$1,0)*$F323,0),IFERROR(VLOOKUP($G:$G,Structure!$A:$AJ,AK$1,0)*$H323,0))</f>
        <v>0</v>
      </c>
      <c r="AL323" s="9">
        <f>SUM(IFERROR(VLOOKUP($C:$C,Structure!$A:$AJ,AL$1,0)*$D323,0),IFERROR(VLOOKUP($E:$E,Structure!$A:$AJ,AL$1,0)*$F323,0),IFERROR(VLOOKUP($G:$G,Structure!$A:$AJ,AL$1,0)*$H323,0))</f>
        <v>0</v>
      </c>
      <c r="AM323" s="9">
        <f>SUM(IFERROR(VLOOKUP($C:$C,Structure!$A:$AJ,AM$1,0)*$D323,0),IFERROR(VLOOKUP($E:$E,Structure!$A:$AJ,AM$1,0)*$F323,0),IFERROR(VLOOKUP($G:$G,Structure!$A:$AJ,AM$1,0)*$H323,0))</f>
        <v>0</v>
      </c>
      <c r="AN323" s="9">
        <f>SUM(IFERROR(VLOOKUP($C:$C,Structure!$A:$AJ,AN$1,0)*$D323,0),IFERROR(VLOOKUP($E:$E,Structure!$A:$AJ,AN$1,0)*$F323,0),IFERROR(VLOOKUP($G:$G,Structure!$A:$AJ,AN$1,0)*$H323,0))</f>
        <v>0</v>
      </c>
      <c r="AO323" s="9">
        <f>SUM(IFERROR(VLOOKUP($C:$C,Structure!$A:$AJ,AO$1,0)*$D323,0),IFERROR(VLOOKUP($E:$E,Structure!$A:$AJ,AO$1,0)*$F323,0),IFERROR(VLOOKUP($G:$G,Structure!$A:$AJ,AO$1,0)*$H323,0))</f>
        <v>0</v>
      </c>
      <c r="AP323" s="9">
        <f>SUM(IFERROR(VLOOKUP($C:$C,Structure!$A:$AJ,AP$1,0)*$D323,0),IFERROR(VLOOKUP($E:$E,Structure!$A:$AJ,AP$1,0)*$F323,0),IFERROR(VLOOKUP($G:$G,Structure!$A:$AJ,AP$1,0)*$H323,0))</f>
        <v>0</v>
      </c>
      <c r="AQ323" s="9">
        <f>SUM(IFERROR(VLOOKUP($C:$C,Structure!$A:$AJ,AQ$1,0)*$D323,0),IFERROR(VLOOKUP($E:$E,Structure!$A:$AJ,AQ$1,0)*$F323,0),IFERROR(VLOOKUP($G:$G,Structure!$A:$AJ,AQ$1,0)*$H323,0))</f>
        <v>0</v>
      </c>
      <c r="AR323" s="21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4">
        <f t="shared" si="302"/>
        <v>0</v>
      </c>
      <c r="CE323" s="4">
        <f t="shared" si="303"/>
        <v>-300</v>
      </c>
      <c r="CF323" s="4">
        <f t="shared" si="304"/>
        <v>4</v>
      </c>
      <c r="CG323" s="4">
        <f t="shared" si="305"/>
        <v>10</v>
      </c>
      <c r="CH323" s="4">
        <f t="shared" si="306"/>
        <v>-7</v>
      </c>
      <c r="CI323" s="4">
        <f t="shared" si="307"/>
        <v>85</v>
      </c>
      <c r="CJ323" s="4">
        <f t="shared" si="308"/>
        <v>-447</v>
      </c>
      <c r="CK323" s="4">
        <f t="shared" si="309"/>
        <v>-121</v>
      </c>
      <c r="CL323" s="4">
        <f t="shared" si="310"/>
        <v>0</v>
      </c>
      <c r="CM323" s="4">
        <f t="shared" si="311"/>
        <v>6</v>
      </c>
      <c r="CN323" s="4">
        <f t="shared" si="312"/>
        <v>-334</v>
      </c>
      <c r="CO323" s="4">
        <f t="shared" si="313"/>
        <v>0</v>
      </c>
      <c r="CP323" s="4">
        <f t="shared" si="314"/>
        <v>-61</v>
      </c>
      <c r="CQ323" s="4">
        <f t="shared" si="315"/>
        <v>-691</v>
      </c>
      <c r="CR323" s="4">
        <f t="shared" si="316"/>
        <v>11</v>
      </c>
      <c r="CS323" s="4">
        <f t="shared" si="317"/>
        <v>-66</v>
      </c>
      <c r="CT323" s="4">
        <f t="shared" si="318"/>
        <v>0</v>
      </c>
      <c r="CU323" s="4">
        <f t="shared" si="319"/>
        <v>0</v>
      </c>
      <c r="CV323" s="4">
        <f t="shared" si="320"/>
        <v>0</v>
      </c>
      <c r="CW323" s="4">
        <f t="shared" si="321"/>
        <v>0</v>
      </c>
      <c r="CX323" s="4">
        <f t="shared" si="322"/>
        <v>-1012</v>
      </c>
      <c r="CY323" s="4">
        <f t="shared" si="323"/>
        <v>0</v>
      </c>
      <c r="CZ323" s="4">
        <f t="shared" si="324"/>
        <v>0</v>
      </c>
      <c r="DA323" s="4">
        <f t="shared" si="325"/>
        <v>0</v>
      </c>
      <c r="DB323" s="4">
        <f t="shared" si="326"/>
        <v>0</v>
      </c>
      <c r="DC323" s="4">
        <f t="shared" si="327"/>
        <v>0</v>
      </c>
      <c r="DD323" s="4">
        <f t="shared" si="328"/>
        <v>0</v>
      </c>
      <c r="DE323" s="4">
        <f t="shared" si="329"/>
        <v>0</v>
      </c>
      <c r="DF323" s="4">
        <f t="shared" si="330"/>
        <v>0</v>
      </c>
      <c r="DG323" s="4">
        <f t="shared" si="331"/>
        <v>0</v>
      </c>
      <c r="DH323" s="4">
        <f t="shared" si="332"/>
        <v>0</v>
      </c>
      <c r="DI323" s="4">
        <f t="shared" si="333"/>
        <v>0</v>
      </c>
      <c r="DJ323" s="4">
        <f t="shared" si="334"/>
        <v>0</v>
      </c>
      <c r="DK323" s="4">
        <f t="shared" si="335"/>
        <v>0</v>
      </c>
      <c r="DL323" s="4">
        <f t="shared" si="336"/>
        <v>0</v>
      </c>
    </row>
    <row r="324" spans="1:116" x14ac:dyDescent="0.25">
      <c r="A324" s="5">
        <v>46190</v>
      </c>
      <c r="B324" s="6">
        <v>7.7852746471762657E-10</v>
      </c>
      <c r="C324" s="3"/>
      <c r="D324" s="3"/>
      <c r="E324" s="3" t="s">
        <v>34</v>
      </c>
      <c r="F324" s="3">
        <v>2</v>
      </c>
      <c r="G324" s="3"/>
      <c r="H324" s="9"/>
      <c r="I324" s="9">
        <f>SUM(IFERROR(VLOOKUP($C:$C,Structure!$A:$AJ,I$1,0)*$D324,0),IFERROR(VLOOKUP($E:$E,Structure!$A:$AJ,I$1,0)*$F324,0),IFERROR(VLOOKUP($G:$G,Structure!$A:$AJ,I$1,0)*$H324,0))</f>
        <v>0</v>
      </c>
      <c r="J324" s="9">
        <f>SUM(IFERROR(VLOOKUP($C:$C,Structure!$A:$AJ,J$1,0)*$D324,0),IFERROR(VLOOKUP($E:$E,Structure!$A:$AJ,J$1,0)*$F324,0),IFERROR(VLOOKUP($G:$G,Structure!$A:$AJ,J$1,0)*$H324,0))</f>
        <v>0</v>
      </c>
      <c r="K324" s="9">
        <f>SUM(IFERROR(VLOOKUP($C:$C,Structure!$A:$AJ,K$1,0)*$D324,0),IFERROR(VLOOKUP($E:$E,Structure!$A:$AJ,K$1,0)*$F324,0),IFERROR(VLOOKUP($G:$G,Structure!$A:$AJ,K$1,0)*$H324,0))</f>
        <v>0</v>
      </c>
      <c r="L324" s="9">
        <f>SUM(IFERROR(VLOOKUP($C:$C,Structure!$A:$AJ,L$1,0)*$D324,0),IFERROR(VLOOKUP($E:$E,Structure!$A:$AJ,L$1,0)*$F324,0),IFERROR(VLOOKUP($G:$G,Structure!$A:$AJ,L$1,0)*$H324,0))</f>
        <v>0</v>
      </c>
      <c r="M324" s="9">
        <f>SUM(IFERROR(VLOOKUP($C:$C,Structure!$A:$AJ,M$1,0)*$D324,0),IFERROR(VLOOKUP($E:$E,Structure!$A:$AJ,M$1,0)*$F324,0),IFERROR(VLOOKUP($G:$G,Structure!$A:$AJ,M$1,0)*$H324,0))</f>
        <v>0</v>
      </c>
      <c r="N324" s="9">
        <f>SUM(IFERROR(VLOOKUP($C:$C,Structure!$A:$AJ,N$1,0)*$D324,0),IFERROR(VLOOKUP($E:$E,Structure!$A:$AJ,N$1,0)*$F324,0),IFERROR(VLOOKUP($G:$G,Structure!$A:$AJ,N$1,0)*$H324,0))</f>
        <v>0</v>
      </c>
      <c r="O324" s="9">
        <f>SUM(IFERROR(VLOOKUP($C:$C,Structure!$A:$AJ,O$1,0)*$D324,0),IFERROR(VLOOKUP($E:$E,Structure!$A:$AJ,O$1,0)*$F324,0),IFERROR(VLOOKUP($G:$G,Structure!$A:$AJ,O$1,0)*$H324,0))</f>
        <v>0</v>
      </c>
      <c r="P324" s="9">
        <f>SUM(IFERROR(VLOOKUP($C:$C,Structure!$A:$AJ,P$1,0)*$D324,0),IFERROR(VLOOKUP($E:$E,Structure!$A:$AJ,P$1,0)*$F324,0),IFERROR(VLOOKUP($G:$G,Structure!$A:$AJ,P$1,0)*$H324,0))</f>
        <v>0</v>
      </c>
      <c r="Q324" s="9">
        <f>SUM(IFERROR(VLOOKUP($C:$C,Structure!$A:$AJ,Q$1,0)*$D324,0),IFERROR(VLOOKUP($E:$E,Structure!$A:$AJ,Q$1,0)*$F324,0),IFERROR(VLOOKUP($G:$G,Structure!$A:$AJ,Q$1,0)*$H324,0))</f>
        <v>0</v>
      </c>
      <c r="R324" s="9">
        <f>SUM(IFERROR(VLOOKUP($C:$C,Structure!$A:$AJ,R$1,0)*$D324,0),IFERROR(VLOOKUP($E:$E,Structure!$A:$AJ,R$1,0)*$F324,0),IFERROR(VLOOKUP($G:$G,Structure!$A:$AJ,R$1,0)*$H324,0))</f>
        <v>0</v>
      </c>
      <c r="S324" s="9">
        <f>SUM(IFERROR(VLOOKUP($C:$C,Structure!$A:$AJ,S$1,0)*$D324,0),IFERROR(VLOOKUP($E:$E,Structure!$A:$AJ,S$1,0)*$F324,0),IFERROR(VLOOKUP($G:$G,Structure!$A:$AJ,S$1,0)*$H324,0))</f>
        <v>0</v>
      </c>
      <c r="T324" s="9">
        <f>SUM(IFERROR(VLOOKUP($C:$C,Structure!$A:$AJ,T$1,0)*$D324,0),IFERROR(VLOOKUP($E:$E,Structure!$A:$AJ,T$1,0)*$F324,0),IFERROR(VLOOKUP($G:$G,Structure!$A:$AJ,T$1,0)*$H324,0))</f>
        <v>0</v>
      </c>
      <c r="U324" s="9">
        <f>SUM(IFERROR(VLOOKUP($C:$C,Structure!$A:$AJ,U$1,0)*$D324,0),IFERROR(VLOOKUP($E:$E,Structure!$A:$AJ,U$1,0)*$F324,0),IFERROR(VLOOKUP($G:$G,Structure!$A:$AJ,U$1,0)*$H324,0))</f>
        <v>2</v>
      </c>
      <c r="V324" s="9">
        <f>SUM(IFERROR(VLOOKUP($C:$C,Structure!$A:$AJ,V$1,0)*$D324,0),IFERROR(VLOOKUP($E:$E,Structure!$A:$AJ,V$1,0)*$F324,0),IFERROR(VLOOKUP($G:$G,Structure!$A:$AJ,V$1,0)*$H324,0))</f>
        <v>0</v>
      </c>
      <c r="W324" s="9">
        <f>SUM(IFERROR(VLOOKUP($C:$C,Structure!$A:$AJ,W$1,0)*$D324,0),IFERROR(VLOOKUP($E:$E,Structure!$A:$AJ,W$1,0)*$F324,0),IFERROR(VLOOKUP($G:$G,Structure!$A:$AJ,W$1,0)*$H324,0))</f>
        <v>0</v>
      </c>
      <c r="X324" s="9">
        <f>SUM(IFERROR(VLOOKUP($C:$C,Structure!$A:$AJ,X$1,0)*$D324,0),IFERROR(VLOOKUP($E:$E,Structure!$A:$AJ,X$1,0)*$F324,0),IFERROR(VLOOKUP($G:$G,Structure!$A:$AJ,X$1,0)*$H324,0))</f>
        <v>0</v>
      </c>
      <c r="Y324" s="9">
        <f>SUM(IFERROR(VLOOKUP($C:$C,Structure!$A:$AJ,Y$1,0)*$D324,0),IFERROR(VLOOKUP($E:$E,Structure!$A:$AJ,Y$1,0)*$F324,0),IFERROR(VLOOKUP($G:$G,Structure!$A:$AJ,Y$1,0)*$H324,0))</f>
        <v>0</v>
      </c>
      <c r="Z324" s="9">
        <f>SUM(IFERROR(VLOOKUP($C:$C,Structure!$A:$AJ,Z$1,0)*$D324,0),IFERROR(VLOOKUP($E:$E,Structure!$A:$AJ,Z$1,0)*$F324,0),IFERROR(VLOOKUP($G:$G,Structure!$A:$AJ,Z$1,0)*$H324,0))</f>
        <v>0</v>
      </c>
      <c r="AA324" s="9">
        <f>SUM(IFERROR(VLOOKUP($C:$C,Structure!$A:$AJ,AA$1,0)*$D324,0),IFERROR(VLOOKUP($E:$E,Structure!$A:$AJ,AA$1,0)*$F324,0),IFERROR(VLOOKUP($G:$G,Structure!$A:$AJ,AA$1,0)*$H324,0))</f>
        <v>0</v>
      </c>
      <c r="AB324" s="9">
        <f>SUM(IFERROR(VLOOKUP($C:$C,Structure!$A:$AJ,AB$1,0)*$D324,0),IFERROR(VLOOKUP($E:$E,Structure!$A:$AJ,AB$1,0)*$F324,0),IFERROR(VLOOKUP($G:$G,Structure!$A:$AJ,AB$1,0)*$H324,0))</f>
        <v>0</v>
      </c>
      <c r="AC324" s="9">
        <f>SUM(IFERROR(VLOOKUP($C:$C,Structure!$A:$AJ,AC$1,0)*$D324,0),IFERROR(VLOOKUP($E:$E,Structure!$A:$AJ,AC$1,0)*$F324,0),IFERROR(VLOOKUP($G:$G,Structure!$A:$AJ,AC$1,0)*$H324,0))</f>
        <v>2</v>
      </c>
      <c r="AD324" s="9">
        <f>SUM(IFERROR(VLOOKUP($C:$C,Structure!$A:$AJ,AD$1,0)*$D324,0),IFERROR(VLOOKUP($E:$E,Structure!$A:$AJ,AD$1,0)*$F324,0),IFERROR(VLOOKUP($G:$G,Structure!$A:$AJ,AD$1,0)*$H324,0))</f>
        <v>0</v>
      </c>
      <c r="AE324" s="9">
        <f>SUM(IFERROR(VLOOKUP($C:$C,Structure!$A:$AJ,AE$1,0)*$D324,0),IFERROR(VLOOKUP($E:$E,Structure!$A:$AJ,AE$1,0)*$F324,0),IFERROR(VLOOKUP($G:$G,Structure!$A:$AJ,AE$1,0)*$H324,0))</f>
        <v>0</v>
      </c>
      <c r="AF324" s="9">
        <f>SUM(IFERROR(VLOOKUP($C:$C,Structure!$A:$AJ,AF$1,0)*$D324,0),IFERROR(VLOOKUP($E:$E,Structure!$A:$AJ,AF$1,0)*$F324,0),IFERROR(VLOOKUP($G:$G,Structure!$A:$AJ,AF$1,0)*$H324,0))</f>
        <v>0</v>
      </c>
      <c r="AG324" s="9">
        <f>SUM(IFERROR(VLOOKUP($C:$C,Structure!$A:$AJ,AG$1,0)*$D324,0),IFERROR(VLOOKUP($E:$E,Structure!$A:$AJ,AG$1,0)*$F324,0),IFERROR(VLOOKUP($G:$G,Structure!$A:$AJ,AG$1,0)*$H324,0))</f>
        <v>0</v>
      </c>
      <c r="AH324" s="9">
        <f>SUM(IFERROR(VLOOKUP($C:$C,Structure!$A:$AJ,AH$1,0)*$D324,0),IFERROR(VLOOKUP($E:$E,Structure!$A:$AJ,AH$1,0)*$F324,0),IFERROR(VLOOKUP($G:$G,Structure!$A:$AJ,AH$1,0)*$H324,0))</f>
        <v>0</v>
      </c>
      <c r="AI324" s="9">
        <f>SUM(IFERROR(VLOOKUP($C:$C,Structure!$A:$AJ,AI$1,0)*$D324,0),IFERROR(VLOOKUP($E:$E,Structure!$A:$AJ,AI$1,0)*$F324,0),IFERROR(VLOOKUP($G:$G,Structure!$A:$AJ,AI$1,0)*$H324,0))</f>
        <v>0</v>
      </c>
      <c r="AJ324" s="9">
        <f>SUM(IFERROR(VLOOKUP($C:$C,Structure!$A:$AJ,AJ$1,0)*$D324,0),IFERROR(VLOOKUP($E:$E,Structure!$A:$AJ,AJ$1,0)*$F324,0),IFERROR(VLOOKUP($G:$G,Structure!$A:$AJ,AJ$1,0)*$H324,0))</f>
        <v>0</v>
      </c>
      <c r="AK324" s="9">
        <f>SUM(IFERROR(VLOOKUP($C:$C,Structure!$A:$AJ,AK$1,0)*$D324,0),IFERROR(VLOOKUP($E:$E,Structure!$A:$AJ,AK$1,0)*$F324,0),IFERROR(VLOOKUP($G:$G,Structure!$A:$AJ,AK$1,0)*$H324,0))</f>
        <v>0</v>
      </c>
      <c r="AL324" s="9">
        <f>SUM(IFERROR(VLOOKUP($C:$C,Structure!$A:$AJ,AL$1,0)*$D324,0),IFERROR(VLOOKUP($E:$E,Structure!$A:$AJ,AL$1,0)*$F324,0),IFERROR(VLOOKUP($G:$G,Structure!$A:$AJ,AL$1,0)*$H324,0))</f>
        <v>0</v>
      </c>
      <c r="AM324" s="9">
        <f>SUM(IFERROR(VLOOKUP($C:$C,Structure!$A:$AJ,AM$1,0)*$D324,0),IFERROR(VLOOKUP($E:$E,Structure!$A:$AJ,AM$1,0)*$F324,0),IFERROR(VLOOKUP($G:$G,Structure!$A:$AJ,AM$1,0)*$H324,0))</f>
        <v>0</v>
      </c>
      <c r="AN324" s="9">
        <f>SUM(IFERROR(VLOOKUP($C:$C,Structure!$A:$AJ,AN$1,0)*$D324,0),IFERROR(VLOOKUP($E:$E,Structure!$A:$AJ,AN$1,0)*$F324,0),IFERROR(VLOOKUP($G:$G,Structure!$A:$AJ,AN$1,0)*$H324,0))</f>
        <v>0</v>
      </c>
      <c r="AO324" s="9">
        <f>SUM(IFERROR(VLOOKUP($C:$C,Structure!$A:$AJ,AO$1,0)*$D324,0),IFERROR(VLOOKUP($E:$E,Structure!$A:$AJ,AO$1,0)*$F324,0),IFERROR(VLOOKUP($G:$G,Structure!$A:$AJ,AO$1,0)*$H324,0))</f>
        <v>0</v>
      </c>
      <c r="AP324" s="9">
        <f>SUM(IFERROR(VLOOKUP($C:$C,Structure!$A:$AJ,AP$1,0)*$D324,0),IFERROR(VLOOKUP($E:$E,Structure!$A:$AJ,AP$1,0)*$F324,0),IFERROR(VLOOKUP($G:$G,Structure!$A:$AJ,AP$1,0)*$H324,0))</f>
        <v>0</v>
      </c>
      <c r="AQ324" s="9">
        <f>SUM(IFERROR(VLOOKUP($C:$C,Structure!$A:$AJ,AQ$1,0)*$D324,0),IFERROR(VLOOKUP($E:$E,Structure!$A:$AJ,AQ$1,0)*$F324,0),IFERROR(VLOOKUP($G:$G,Structure!$A:$AJ,AQ$1,0)*$H324,0))</f>
        <v>0</v>
      </c>
      <c r="AR324" s="21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4">
        <f t="shared" si="302"/>
        <v>0</v>
      </c>
      <c r="CE324" s="4">
        <f t="shared" si="303"/>
        <v>-300</v>
      </c>
      <c r="CF324" s="4">
        <f t="shared" si="304"/>
        <v>4</v>
      </c>
      <c r="CG324" s="4">
        <f t="shared" si="305"/>
        <v>10</v>
      </c>
      <c r="CH324" s="4">
        <f t="shared" si="306"/>
        <v>-7</v>
      </c>
      <c r="CI324" s="4">
        <f t="shared" si="307"/>
        <v>85</v>
      </c>
      <c r="CJ324" s="4">
        <f t="shared" si="308"/>
        <v>-447</v>
      </c>
      <c r="CK324" s="4">
        <f t="shared" si="309"/>
        <v>-121</v>
      </c>
      <c r="CL324" s="4">
        <f t="shared" si="310"/>
        <v>0</v>
      </c>
      <c r="CM324" s="4">
        <f t="shared" si="311"/>
        <v>6</v>
      </c>
      <c r="CN324" s="4">
        <f t="shared" si="312"/>
        <v>-334</v>
      </c>
      <c r="CO324" s="4">
        <f t="shared" si="313"/>
        <v>0</v>
      </c>
      <c r="CP324" s="4">
        <f t="shared" si="314"/>
        <v>-63</v>
      </c>
      <c r="CQ324" s="4">
        <f t="shared" si="315"/>
        <v>-691</v>
      </c>
      <c r="CR324" s="4">
        <f t="shared" si="316"/>
        <v>11</v>
      </c>
      <c r="CS324" s="4">
        <f t="shared" si="317"/>
        <v>-66</v>
      </c>
      <c r="CT324" s="4">
        <f t="shared" si="318"/>
        <v>0</v>
      </c>
      <c r="CU324" s="4">
        <f t="shared" si="319"/>
        <v>0</v>
      </c>
      <c r="CV324" s="4">
        <f t="shared" si="320"/>
        <v>0</v>
      </c>
      <c r="CW324" s="4">
        <f t="shared" si="321"/>
        <v>0</v>
      </c>
      <c r="CX324" s="4">
        <f t="shared" si="322"/>
        <v>-1014</v>
      </c>
      <c r="CY324" s="4">
        <f t="shared" si="323"/>
        <v>0</v>
      </c>
      <c r="CZ324" s="4">
        <f t="shared" si="324"/>
        <v>0</v>
      </c>
      <c r="DA324" s="4">
        <f t="shared" si="325"/>
        <v>0</v>
      </c>
      <c r="DB324" s="4">
        <f t="shared" si="326"/>
        <v>0</v>
      </c>
      <c r="DC324" s="4">
        <f t="shared" si="327"/>
        <v>0</v>
      </c>
      <c r="DD324" s="4">
        <f t="shared" si="328"/>
        <v>0</v>
      </c>
      <c r="DE324" s="4">
        <f t="shared" si="329"/>
        <v>0</v>
      </c>
      <c r="DF324" s="4">
        <f t="shared" si="330"/>
        <v>0</v>
      </c>
      <c r="DG324" s="4">
        <f t="shared" si="331"/>
        <v>0</v>
      </c>
      <c r="DH324" s="4">
        <f t="shared" si="332"/>
        <v>0</v>
      </c>
      <c r="DI324" s="4">
        <f t="shared" si="333"/>
        <v>0</v>
      </c>
      <c r="DJ324" s="4">
        <f t="shared" si="334"/>
        <v>0</v>
      </c>
      <c r="DK324" s="4">
        <f t="shared" si="335"/>
        <v>0</v>
      </c>
      <c r="DL324" s="4">
        <f t="shared" si="336"/>
        <v>0</v>
      </c>
    </row>
    <row r="325" spans="1:116" x14ac:dyDescent="0.25">
      <c r="A325" s="5">
        <v>46190</v>
      </c>
      <c r="B325" s="6">
        <v>2.0833334114286117E-2</v>
      </c>
      <c r="C325" s="3"/>
      <c r="D325" s="3"/>
      <c r="E325" s="3" t="s">
        <v>44</v>
      </c>
      <c r="F325" s="3">
        <v>1</v>
      </c>
      <c r="G325" s="3"/>
      <c r="H325" s="9"/>
      <c r="I325" s="9">
        <f>SUM(IFERROR(VLOOKUP($C:$C,Structure!$A:$AJ,I$1,0)*$D325,0),IFERROR(VLOOKUP($E:$E,Structure!$A:$AJ,I$1,0)*$F325,0),IFERROR(VLOOKUP($G:$G,Structure!$A:$AJ,I$1,0)*$H325,0))</f>
        <v>0</v>
      </c>
      <c r="J325" s="9">
        <f>SUM(IFERROR(VLOOKUP($C:$C,Structure!$A:$AJ,J$1,0)*$D325,0),IFERROR(VLOOKUP($E:$E,Structure!$A:$AJ,J$1,0)*$F325,0),IFERROR(VLOOKUP($G:$G,Structure!$A:$AJ,J$1,0)*$H325,0))</f>
        <v>0</v>
      </c>
      <c r="K325" s="9">
        <f>SUM(IFERROR(VLOOKUP($C:$C,Structure!$A:$AJ,K$1,0)*$D325,0),IFERROR(VLOOKUP($E:$E,Structure!$A:$AJ,K$1,0)*$F325,0),IFERROR(VLOOKUP($G:$G,Structure!$A:$AJ,K$1,0)*$H325,0))</f>
        <v>0</v>
      </c>
      <c r="L325" s="9">
        <f>SUM(IFERROR(VLOOKUP($C:$C,Structure!$A:$AJ,L$1,0)*$D325,0),IFERROR(VLOOKUP($E:$E,Structure!$A:$AJ,L$1,0)*$F325,0),IFERROR(VLOOKUP($G:$G,Structure!$A:$AJ,L$1,0)*$H325,0))</f>
        <v>1</v>
      </c>
      <c r="M325" s="9">
        <f>SUM(IFERROR(VLOOKUP($C:$C,Structure!$A:$AJ,M$1,0)*$D325,0),IFERROR(VLOOKUP($E:$E,Structure!$A:$AJ,M$1,0)*$F325,0),IFERROR(VLOOKUP($G:$G,Structure!$A:$AJ,M$1,0)*$H325,0))</f>
        <v>0</v>
      </c>
      <c r="N325" s="9">
        <f>SUM(IFERROR(VLOOKUP($C:$C,Structure!$A:$AJ,N$1,0)*$D325,0),IFERROR(VLOOKUP($E:$E,Structure!$A:$AJ,N$1,0)*$F325,0),IFERROR(VLOOKUP($G:$G,Structure!$A:$AJ,N$1,0)*$H325,0))</f>
        <v>0</v>
      </c>
      <c r="O325" s="9">
        <f>SUM(IFERROR(VLOOKUP($C:$C,Structure!$A:$AJ,O$1,0)*$D325,0),IFERROR(VLOOKUP($E:$E,Structure!$A:$AJ,O$1,0)*$F325,0),IFERROR(VLOOKUP($G:$G,Structure!$A:$AJ,O$1,0)*$H325,0))</f>
        <v>0</v>
      </c>
      <c r="P325" s="9">
        <f>SUM(IFERROR(VLOOKUP($C:$C,Structure!$A:$AJ,P$1,0)*$D325,0),IFERROR(VLOOKUP($E:$E,Structure!$A:$AJ,P$1,0)*$F325,0),IFERROR(VLOOKUP($G:$G,Structure!$A:$AJ,P$1,0)*$H325,0))</f>
        <v>0</v>
      </c>
      <c r="Q325" s="9">
        <f>SUM(IFERROR(VLOOKUP($C:$C,Structure!$A:$AJ,Q$1,0)*$D325,0),IFERROR(VLOOKUP($E:$E,Structure!$A:$AJ,Q$1,0)*$F325,0),IFERROR(VLOOKUP($G:$G,Structure!$A:$AJ,Q$1,0)*$H325,0))</f>
        <v>0</v>
      </c>
      <c r="R325" s="9">
        <f>SUM(IFERROR(VLOOKUP($C:$C,Structure!$A:$AJ,R$1,0)*$D325,0),IFERROR(VLOOKUP($E:$E,Structure!$A:$AJ,R$1,0)*$F325,0),IFERROR(VLOOKUP($G:$G,Structure!$A:$AJ,R$1,0)*$H325,0))</f>
        <v>0</v>
      </c>
      <c r="S325" s="9">
        <f>SUM(IFERROR(VLOOKUP($C:$C,Structure!$A:$AJ,S$1,0)*$D325,0),IFERROR(VLOOKUP($E:$E,Structure!$A:$AJ,S$1,0)*$F325,0),IFERROR(VLOOKUP($G:$G,Structure!$A:$AJ,S$1,0)*$H325,0))</f>
        <v>0</v>
      </c>
      <c r="T325" s="9">
        <f>SUM(IFERROR(VLOOKUP($C:$C,Structure!$A:$AJ,T$1,0)*$D325,0),IFERROR(VLOOKUP($E:$E,Structure!$A:$AJ,T$1,0)*$F325,0),IFERROR(VLOOKUP($G:$G,Structure!$A:$AJ,T$1,0)*$H325,0))</f>
        <v>0</v>
      </c>
      <c r="U325" s="9">
        <f>SUM(IFERROR(VLOOKUP($C:$C,Structure!$A:$AJ,U$1,0)*$D325,0),IFERROR(VLOOKUP($E:$E,Structure!$A:$AJ,U$1,0)*$F325,0),IFERROR(VLOOKUP($G:$G,Structure!$A:$AJ,U$1,0)*$H325,0))</f>
        <v>0</v>
      </c>
      <c r="V325" s="9">
        <f>SUM(IFERROR(VLOOKUP($C:$C,Structure!$A:$AJ,V$1,0)*$D325,0),IFERROR(VLOOKUP($E:$E,Structure!$A:$AJ,V$1,0)*$F325,0),IFERROR(VLOOKUP($G:$G,Structure!$A:$AJ,V$1,0)*$H325,0))</f>
        <v>0</v>
      </c>
      <c r="W325" s="9">
        <f>SUM(IFERROR(VLOOKUP($C:$C,Structure!$A:$AJ,W$1,0)*$D325,0),IFERROR(VLOOKUP($E:$E,Structure!$A:$AJ,W$1,0)*$F325,0),IFERROR(VLOOKUP($G:$G,Structure!$A:$AJ,W$1,0)*$H325,0))</f>
        <v>1</v>
      </c>
      <c r="X325" s="9">
        <f>SUM(IFERROR(VLOOKUP($C:$C,Structure!$A:$AJ,X$1,0)*$D325,0),IFERROR(VLOOKUP($E:$E,Structure!$A:$AJ,X$1,0)*$F325,0),IFERROR(VLOOKUP($G:$G,Structure!$A:$AJ,X$1,0)*$H325,0))</f>
        <v>0</v>
      </c>
      <c r="Y325" s="9">
        <f>SUM(IFERROR(VLOOKUP($C:$C,Structure!$A:$AJ,Y$1,0)*$D325,0),IFERROR(VLOOKUP($E:$E,Structure!$A:$AJ,Y$1,0)*$F325,0),IFERROR(VLOOKUP($G:$G,Structure!$A:$AJ,Y$1,0)*$H325,0))</f>
        <v>0</v>
      </c>
      <c r="Z325" s="9">
        <f>SUM(IFERROR(VLOOKUP($C:$C,Structure!$A:$AJ,Z$1,0)*$D325,0),IFERROR(VLOOKUP($E:$E,Structure!$A:$AJ,Z$1,0)*$F325,0),IFERROR(VLOOKUP($G:$G,Structure!$A:$AJ,Z$1,0)*$H325,0))</f>
        <v>0</v>
      </c>
      <c r="AA325" s="9">
        <f>SUM(IFERROR(VLOOKUP($C:$C,Structure!$A:$AJ,AA$1,0)*$D325,0),IFERROR(VLOOKUP($E:$E,Structure!$A:$AJ,AA$1,0)*$F325,0),IFERROR(VLOOKUP($G:$G,Structure!$A:$AJ,AA$1,0)*$H325,0))</f>
        <v>0</v>
      </c>
      <c r="AB325" s="9">
        <f>SUM(IFERROR(VLOOKUP($C:$C,Structure!$A:$AJ,AB$1,0)*$D325,0),IFERROR(VLOOKUP($E:$E,Structure!$A:$AJ,AB$1,0)*$F325,0),IFERROR(VLOOKUP($G:$G,Structure!$A:$AJ,AB$1,0)*$H325,0))</f>
        <v>0</v>
      </c>
      <c r="AC325" s="9">
        <f>SUM(IFERROR(VLOOKUP($C:$C,Structure!$A:$AJ,AC$1,0)*$D325,0),IFERROR(VLOOKUP($E:$E,Structure!$A:$AJ,AC$1,0)*$F325,0),IFERROR(VLOOKUP($G:$G,Structure!$A:$AJ,AC$1,0)*$H325,0))</f>
        <v>0</v>
      </c>
      <c r="AD325" s="9">
        <f>SUM(IFERROR(VLOOKUP($C:$C,Structure!$A:$AJ,AD$1,0)*$D325,0),IFERROR(VLOOKUP($E:$E,Structure!$A:$AJ,AD$1,0)*$F325,0),IFERROR(VLOOKUP($G:$G,Structure!$A:$AJ,AD$1,0)*$H325,0))</f>
        <v>0</v>
      </c>
      <c r="AE325" s="9">
        <f>SUM(IFERROR(VLOOKUP($C:$C,Structure!$A:$AJ,AE$1,0)*$D325,0),IFERROR(VLOOKUP($E:$E,Structure!$A:$AJ,AE$1,0)*$F325,0),IFERROR(VLOOKUP($G:$G,Structure!$A:$AJ,AE$1,0)*$H325,0))</f>
        <v>0</v>
      </c>
      <c r="AF325" s="9">
        <f>SUM(IFERROR(VLOOKUP($C:$C,Structure!$A:$AJ,AF$1,0)*$D325,0),IFERROR(VLOOKUP($E:$E,Structure!$A:$AJ,AF$1,0)*$F325,0),IFERROR(VLOOKUP($G:$G,Structure!$A:$AJ,AF$1,0)*$H325,0))</f>
        <v>0</v>
      </c>
      <c r="AG325" s="9">
        <f>SUM(IFERROR(VLOOKUP($C:$C,Structure!$A:$AJ,AG$1,0)*$D325,0),IFERROR(VLOOKUP($E:$E,Structure!$A:$AJ,AG$1,0)*$F325,0),IFERROR(VLOOKUP($G:$G,Structure!$A:$AJ,AG$1,0)*$H325,0))</f>
        <v>0</v>
      </c>
      <c r="AH325" s="9">
        <f>SUM(IFERROR(VLOOKUP($C:$C,Structure!$A:$AJ,AH$1,0)*$D325,0),IFERROR(VLOOKUP($E:$E,Structure!$A:$AJ,AH$1,0)*$F325,0),IFERROR(VLOOKUP($G:$G,Structure!$A:$AJ,AH$1,0)*$H325,0))</f>
        <v>0</v>
      </c>
      <c r="AI325" s="9">
        <f>SUM(IFERROR(VLOOKUP($C:$C,Structure!$A:$AJ,AI$1,0)*$D325,0),IFERROR(VLOOKUP($E:$E,Structure!$A:$AJ,AI$1,0)*$F325,0),IFERROR(VLOOKUP($G:$G,Structure!$A:$AJ,AI$1,0)*$H325,0))</f>
        <v>0</v>
      </c>
      <c r="AJ325" s="9">
        <f>SUM(IFERROR(VLOOKUP($C:$C,Structure!$A:$AJ,AJ$1,0)*$D325,0),IFERROR(VLOOKUP($E:$E,Structure!$A:$AJ,AJ$1,0)*$F325,0),IFERROR(VLOOKUP($G:$G,Structure!$A:$AJ,AJ$1,0)*$H325,0))</f>
        <v>0</v>
      </c>
      <c r="AK325" s="9">
        <f>SUM(IFERROR(VLOOKUP($C:$C,Structure!$A:$AJ,AK$1,0)*$D325,0),IFERROR(VLOOKUP($E:$E,Structure!$A:$AJ,AK$1,0)*$F325,0),IFERROR(VLOOKUP($G:$G,Structure!$A:$AJ,AK$1,0)*$H325,0))</f>
        <v>0</v>
      </c>
      <c r="AL325" s="9">
        <f>SUM(IFERROR(VLOOKUP($C:$C,Structure!$A:$AJ,AL$1,0)*$D325,0),IFERROR(VLOOKUP($E:$E,Structure!$A:$AJ,AL$1,0)*$F325,0),IFERROR(VLOOKUP($G:$G,Structure!$A:$AJ,AL$1,0)*$H325,0))</f>
        <v>0</v>
      </c>
      <c r="AM325" s="9">
        <f>SUM(IFERROR(VLOOKUP($C:$C,Structure!$A:$AJ,AM$1,0)*$D325,0),IFERROR(VLOOKUP($E:$E,Structure!$A:$AJ,AM$1,0)*$F325,0),IFERROR(VLOOKUP($G:$G,Structure!$A:$AJ,AM$1,0)*$H325,0))</f>
        <v>0</v>
      </c>
      <c r="AN325" s="9">
        <f>SUM(IFERROR(VLOOKUP($C:$C,Structure!$A:$AJ,AN$1,0)*$D325,0),IFERROR(VLOOKUP($E:$E,Structure!$A:$AJ,AN$1,0)*$F325,0),IFERROR(VLOOKUP($G:$G,Structure!$A:$AJ,AN$1,0)*$H325,0))</f>
        <v>0</v>
      </c>
      <c r="AO325" s="9">
        <f>SUM(IFERROR(VLOOKUP($C:$C,Structure!$A:$AJ,AO$1,0)*$D325,0),IFERROR(VLOOKUP($E:$E,Structure!$A:$AJ,AO$1,0)*$F325,0),IFERROR(VLOOKUP($G:$G,Structure!$A:$AJ,AO$1,0)*$H325,0))</f>
        <v>0</v>
      </c>
      <c r="AP325" s="9">
        <f>SUM(IFERROR(VLOOKUP($C:$C,Structure!$A:$AJ,AP$1,0)*$D325,0),IFERROR(VLOOKUP($E:$E,Structure!$A:$AJ,AP$1,0)*$F325,0),IFERROR(VLOOKUP($G:$G,Structure!$A:$AJ,AP$1,0)*$H325,0))</f>
        <v>0</v>
      </c>
      <c r="AQ325" s="9">
        <f>SUM(IFERROR(VLOOKUP($C:$C,Structure!$A:$AJ,AQ$1,0)*$D325,0),IFERROR(VLOOKUP($E:$E,Structure!$A:$AJ,AQ$1,0)*$F325,0),IFERROR(VLOOKUP($G:$G,Structure!$A:$AJ,AQ$1,0)*$H325,0))</f>
        <v>0</v>
      </c>
      <c r="AR325" s="21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4">
        <f t="shared" si="302"/>
        <v>0</v>
      </c>
      <c r="CE325" s="4">
        <f t="shared" si="303"/>
        <v>-300</v>
      </c>
      <c r="CF325" s="4">
        <f t="shared" si="304"/>
        <v>4</v>
      </c>
      <c r="CG325" s="4">
        <f t="shared" si="305"/>
        <v>9</v>
      </c>
      <c r="CH325" s="4">
        <f t="shared" si="306"/>
        <v>-7</v>
      </c>
      <c r="CI325" s="4">
        <f t="shared" si="307"/>
        <v>85</v>
      </c>
      <c r="CJ325" s="4">
        <f t="shared" si="308"/>
        <v>-447</v>
      </c>
      <c r="CK325" s="4">
        <f t="shared" si="309"/>
        <v>-121</v>
      </c>
      <c r="CL325" s="4">
        <f t="shared" si="310"/>
        <v>0</v>
      </c>
      <c r="CM325" s="4">
        <f t="shared" si="311"/>
        <v>6</v>
      </c>
      <c r="CN325" s="4">
        <f t="shared" si="312"/>
        <v>-334</v>
      </c>
      <c r="CO325" s="4">
        <f t="shared" si="313"/>
        <v>0</v>
      </c>
      <c r="CP325" s="4">
        <f t="shared" si="314"/>
        <v>-63</v>
      </c>
      <c r="CQ325" s="4">
        <f t="shared" si="315"/>
        <v>-691</v>
      </c>
      <c r="CR325" s="4">
        <f t="shared" si="316"/>
        <v>10</v>
      </c>
      <c r="CS325" s="4">
        <f t="shared" si="317"/>
        <v>-66</v>
      </c>
      <c r="CT325" s="4">
        <f t="shared" si="318"/>
        <v>0</v>
      </c>
      <c r="CU325" s="4">
        <f t="shared" si="319"/>
        <v>0</v>
      </c>
      <c r="CV325" s="4">
        <f t="shared" si="320"/>
        <v>0</v>
      </c>
      <c r="CW325" s="4">
        <f t="shared" si="321"/>
        <v>0</v>
      </c>
      <c r="CX325" s="4">
        <f t="shared" si="322"/>
        <v>-1014</v>
      </c>
      <c r="CY325" s="4">
        <f t="shared" si="323"/>
        <v>0</v>
      </c>
      <c r="CZ325" s="4">
        <f t="shared" si="324"/>
        <v>0</v>
      </c>
      <c r="DA325" s="4">
        <f t="shared" si="325"/>
        <v>0</v>
      </c>
      <c r="DB325" s="4">
        <f t="shared" si="326"/>
        <v>0</v>
      </c>
      <c r="DC325" s="4">
        <f t="shared" si="327"/>
        <v>0</v>
      </c>
      <c r="DD325" s="4">
        <f t="shared" si="328"/>
        <v>0</v>
      </c>
      <c r="DE325" s="4">
        <f t="shared" si="329"/>
        <v>0</v>
      </c>
      <c r="DF325" s="4">
        <f t="shared" si="330"/>
        <v>0</v>
      </c>
      <c r="DG325" s="4">
        <f t="shared" si="331"/>
        <v>0</v>
      </c>
      <c r="DH325" s="4">
        <f t="shared" si="332"/>
        <v>0</v>
      </c>
      <c r="DI325" s="4">
        <f t="shared" si="333"/>
        <v>0</v>
      </c>
      <c r="DJ325" s="4">
        <f t="shared" si="334"/>
        <v>0</v>
      </c>
      <c r="DK325" s="4">
        <f t="shared" si="335"/>
        <v>0</v>
      </c>
      <c r="DL325" s="4">
        <f t="shared" si="336"/>
        <v>0</v>
      </c>
    </row>
    <row r="326" spans="1:116" x14ac:dyDescent="0.25">
      <c r="A326" s="5">
        <v>46190</v>
      </c>
      <c r="B326" s="6">
        <v>4.166666745004477E-2</v>
      </c>
      <c r="C326" s="3"/>
      <c r="D326" s="3"/>
      <c r="E326" s="3" t="s">
        <v>57</v>
      </c>
      <c r="F326" s="3">
        <v>8</v>
      </c>
      <c r="G326" s="3"/>
      <c r="H326" s="9"/>
      <c r="I326" s="9">
        <f>SUM(IFERROR(VLOOKUP($C:$C,Structure!$A:$AJ,I$1,0)*$D326,0),IFERROR(VLOOKUP($E:$E,Structure!$A:$AJ,I$1,0)*$F326,0),IFERROR(VLOOKUP($G:$G,Structure!$A:$AJ,I$1,0)*$H326,0))</f>
        <v>0</v>
      </c>
      <c r="J326" s="9">
        <f>SUM(IFERROR(VLOOKUP($C:$C,Structure!$A:$AJ,J$1,0)*$D326,0),IFERROR(VLOOKUP($E:$E,Structure!$A:$AJ,J$1,0)*$F326,0),IFERROR(VLOOKUP($G:$G,Structure!$A:$AJ,J$1,0)*$H326,0))</f>
        <v>0</v>
      </c>
      <c r="K326" s="9">
        <f>SUM(IFERROR(VLOOKUP($C:$C,Structure!$A:$AJ,K$1,0)*$D326,0),IFERROR(VLOOKUP($E:$E,Structure!$A:$AJ,K$1,0)*$F326,0),IFERROR(VLOOKUP($G:$G,Structure!$A:$AJ,K$1,0)*$H326,0))</f>
        <v>0</v>
      </c>
      <c r="L326" s="9">
        <f>SUM(IFERROR(VLOOKUP($C:$C,Structure!$A:$AJ,L$1,0)*$D326,0),IFERROR(VLOOKUP($E:$E,Structure!$A:$AJ,L$1,0)*$F326,0),IFERROR(VLOOKUP($G:$G,Structure!$A:$AJ,L$1,0)*$H326,0))</f>
        <v>0</v>
      </c>
      <c r="M326" s="9">
        <f>SUM(IFERROR(VLOOKUP($C:$C,Structure!$A:$AJ,M$1,0)*$D326,0),IFERROR(VLOOKUP($E:$E,Structure!$A:$AJ,M$1,0)*$F326,0),IFERROR(VLOOKUP($G:$G,Structure!$A:$AJ,M$1,0)*$H326,0))</f>
        <v>0</v>
      </c>
      <c r="N326" s="9">
        <f>SUM(IFERROR(VLOOKUP($C:$C,Structure!$A:$AJ,N$1,0)*$D326,0),IFERROR(VLOOKUP($E:$E,Structure!$A:$AJ,N$1,0)*$F326,0),IFERROR(VLOOKUP($G:$G,Structure!$A:$AJ,N$1,0)*$H326,0))</f>
        <v>0</v>
      </c>
      <c r="O326" s="9">
        <f>SUM(IFERROR(VLOOKUP($C:$C,Structure!$A:$AJ,O$1,0)*$D326,0),IFERROR(VLOOKUP($E:$E,Structure!$A:$AJ,O$1,0)*$F326,0),IFERROR(VLOOKUP($G:$G,Structure!$A:$AJ,O$1,0)*$H326,0))</f>
        <v>8</v>
      </c>
      <c r="P326" s="9">
        <f>SUM(IFERROR(VLOOKUP($C:$C,Structure!$A:$AJ,P$1,0)*$D326,0),IFERROR(VLOOKUP($E:$E,Structure!$A:$AJ,P$1,0)*$F326,0),IFERROR(VLOOKUP($G:$G,Structure!$A:$AJ,P$1,0)*$H326,0))</f>
        <v>0</v>
      </c>
      <c r="Q326" s="9">
        <f>SUM(IFERROR(VLOOKUP($C:$C,Structure!$A:$AJ,Q$1,0)*$D326,0),IFERROR(VLOOKUP($E:$E,Structure!$A:$AJ,Q$1,0)*$F326,0),IFERROR(VLOOKUP($G:$G,Structure!$A:$AJ,Q$1,0)*$H326,0))</f>
        <v>0</v>
      </c>
      <c r="R326" s="9">
        <f>SUM(IFERROR(VLOOKUP($C:$C,Structure!$A:$AJ,R$1,0)*$D326,0),IFERROR(VLOOKUP($E:$E,Structure!$A:$AJ,R$1,0)*$F326,0),IFERROR(VLOOKUP($G:$G,Structure!$A:$AJ,R$1,0)*$H326,0))</f>
        <v>0</v>
      </c>
      <c r="S326" s="9">
        <f>SUM(IFERROR(VLOOKUP($C:$C,Structure!$A:$AJ,S$1,0)*$D326,0),IFERROR(VLOOKUP($E:$E,Structure!$A:$AJ,S$1,0)*$F326,0),IFERROR(VLOOKUP($G:$G,Structure!$A:$AJ,S$1,0)*$H326,0))</f>
        <v>8</v>
      </c>
      <c r="T326" s="9">
        <f>SUM(IFERROR(VLOOKUP($C:$C,Structure!$A:$AJ,T$1,0)*$D326,0),IFERROR(VLOOKUP($E:$E,Structure!$A:$AJ,T$1,0)*$F326,0),IFERROR(VLOOKUP($G:$G,Structure!$A:$AJ,T$1,0)*$H326,0))</f>
        <v>0</v>
      </c>
      <c r="U326" s="9">
        <f>SUM(IFERROR(VLOOKUP($C:$C,Structure!$A:$AJ,U$1,0)*$D326,0),IFERROR(VLOOKUP($E:$E,Structure!$A:$AJ,U$1,0)*$F326,0),IFERROR(VLOOKUP($G:$G,Structure!$A:$AJ,U$1,0)*$H326,0))</f>
        <v>0</v>
      </c>
      <c r="V326" s="9">
        <f>SUM(IFERROR(VLOOKUP($C:$C,Structure!$A:$AJ,V$1,0)*$D326,0),IFERROR(VLOOKUP($E:$E,Structure!$A:$AJ,V$1,0)*$F326,0),IFERROR(VLOOKUP($G:$G,Structure!$A:$AJ,V$1,0)*$H326,0))</f>
        <v>0</v>
      </c>
      <c r="W326" s="9">
        <f>SUM(IFERROR(VLOOKUP($C:$C,Structure!$A:$AJ,W$1,0)*$D326,0),IFERROR(VLOOKUP($E:$E,Structure!$A:$AJ,W$1,0)*$F326,0),IFERROR(VLOOKUP($G:$G,Structure!$A:$AJ,W$1,0)*$H326,0))</f>
        <v>0</v>
      </c>
      <c r="X326" s="9">
        <f>SUM(IFERROR(VLOOKUP($C:$C,Structure!$A:$AJ,X$1,0)*$D326,0),IFERROR(VLOOKUP($E:$E,Structure!$A:$AJ,X$1,0)*$F326,0),IFERROR(VLOOKUP($G:$G,Structure!$A:$AJ,X$1,0)*$H326,0))</f>
        <v>0</v>
      </c>
      <c r="Y326" s="9">
        <f>SUM(IFERROR(VLOOKUP($C:$C,Structure!$A:$AJ,Y$1,0)*$D326,0),IFERROR(VLOOKUP($E:$E,Structure!$A:$AJ,Y$1,0)*$F326,0),IFERROR(VLOOKUP($G:$G,Structure!$A:$AJ,Y$1,0)*$H326,0))</f>
        <v>0</v>
      </c>
      <c r="Z326" s="9">
        <f>SUM(IFERROR(VLOOKUP($C:$C,Structure!$A:$AJ,Z$1,0)*$D326,0),IFERROR(VLOOKUP($E:$E,Structure!$A:$AJ,Z$1,0)*$F326,0),IFERROR(VLOOKUP($G:$G,Structure!$A:$AJ,Z$1,0)*$H326,0))</f>
        <v>0</v>
      </c>
      <c r="AA326" s="9">
        <f>SUM(IFERROR(VLOOKUP($C:$C,Structure!$A:$AJ,AA$1,0)*$D326,0),IFERROR(VLOOKUP($E:$E,Structure!$A:$AJ,AA$1,0)*$F326,0),IFERROR(VLOOKUP($G:$G,Structure!$A:$AJ,AA$1,0)*$H326,0))</f>
        <v>0</v>
      </c>
      <c r="AB326" s="9">
        <f>SUM(IFERROR(VLOOKUP($C:$C,Structure!$A:$AJ,AB$1,0)*$D326,0),IFERROR(VLOOKUP($E:$E,Structure!$A:$AJ,AB$1,0)*$F326,0),IFERROR(VLOOKUP($G:$G,Structure!$A:$AJ,AB$1,0)*$H326,0))</f>
        <v>0</v>
      </c>
      <c r="AC326" s="9">
        <f>SUM(IFERROR(VLOOKUP($C:$C,Structure!$A:$AJ,AC$1,0)*$D326,0),IFERROR(VLOOKUP($E:$E,Structure!$A:$AJ,AC$1,0)*$F326,0),IFERROR(VLOOKUP($G:$G,Structure!$A:$AJ,AC$1,0)*$H326,0))</f>
        <v>0</v>
      </c>
      <c r="AD326" s="9">
        <f>SUM(IFERROR(VLOOKUP($C:$C,Structure!$A:$AJ,AD$1,0)*$D326,0),IFERROR(VLOOKUP($E:$E,Structure!$A:$AJ,AD$1,0)*$F326,0),IFERROR(VLOOKUP($G:$G,Structure!$A:$AJ,AD$1,0)*$H326,0))</f>
        <v>0</v>
      </c>
      <c r="AE326" s="9">
        <f>SUM(IFERROR(VLOOKUP($C:$C,Structure!$A:$AJ,AE$1,0)*$D326,0),IFERROR(VLOOKUP($E:$E,Structure!$A:$AJ,AE$1,0)*$F326,0),IFERROR(VLOOKUP($G:$G,Structure!$A:$AJ,AE$1,0)*$H326,0))</f>
        <v>0</v>
      </c>
      <c r="AF326" s="9">
        <f>SUM(IFERROR(VLOOKUP($C:$C,Structure!$A:$AJ,AF$1,0)*$D326,0),IFERROR(VLOOKUP($E:$E,Structure!$A:$AJ,AF$1,0)*$F326,0),IFERROR(VLOOKUP($G:$G,Structure!$A:$AJ,AF$1,0)*$H326,0))</f>
        <v>0</v>
      </c>
      <c r="AG326" s="9">
        <f>SUM(IFERROR(VLOOKUP($C:$C,Structure!$A:$AJ,AG$1,0)*$D326,0),IFERROR(VLOOKUP($E:$E,Structure!$A:$AJ,AG$1,0)*$F326,0),IFERROR(VLOOKUP($G:$G,Structure!$A:$AJ,AG$1,0)*$H326,0))</f>
        <v>0</v>
      </c>
      <c r="AH326" s="9">
        <f>SUM(IFERROR(VLOOKUP($C:$C,Structure!$A:$AJ,AH$1,0)*$D326,0),IFERROR(VLOOKUP($E:$E,Structure!$A:$AJ,AH$1,0)*$F326,0),IFERROR(VLOOKUP($G:$G,Structure!$A:$AJ,AH$1,0)*$H326,0))</f>
        <v>0</v>
      </c>
      <c r="AI326" s="9">
        <f>SUM(IFERROR(VLOOKUP($C:$C,Structure!$A:$AJ,AI$1,0)*$D326,0),IFERROR(VLOOKUP($E:$E,Structure!$A:$AJ,AI$1,0)*$F326,0),IFERROR(VLOOKUP($G:$G,Structure!$A:$AJ,AI$1,0)*$H326,0))</f>
        <v>0</v>
      </c>
      <c r="AJ326" s="9">
        <f>SUM(IFERROR(VLOOKUP($C:$C,Structure!$A:$AJ,AJ$1,0)*$D326,0),IFERROR(VLOOKUP($E:$E,Structure!$A:$AJ,AJ$1,0)*$F326,0),IFERROR(VLOOKUP($G:$G,Structure!$A:$AJ,AJ$1,0)*$H326,0))</f>
        <v>0</v>
      </c>
      <c r="AK326" s="9">
        <f>SUM(IFERROR(VLOOKUP($C:$C,Structure!$A:$AJ,AK$1,0)*$D326,0),IFERROR(VLOOKUP($E:$E,Structure!$A:$AJ,AK$1,0)*$F326,0),IFERROR(VLOOKUP($G:$G,Structure!$A:$AJ,AK$1,0)*$H326,0))</f>
        <v>0</v>
      </c>
      <c r="AL326" s="9">
        <f>SUM(IFERROR(VLOOKUP($C:$C,Structure!$A:$AJ,AL$1,0)*$D326,0),IFERROR(VLOOKUP($E:$E,Structure!$A:$AJ,AL$1,0)*$F326,0),IFERROR(VLOOKUP($G:$G,Structure!$A:$AJ,AL$1,0)*$H326,0))</f>
        <v>0</v>
      </c>
      <c r="AM326" s="9">
        <f>SUM(IFERROR(VLOOKUP($C:$C,Structure!$A:$AJ,AM$1,0)*$D326,0),IFERROR(VLOOKUP($E:$E,Structure!$A:$AJ,AM$1,0)*$F326,0),IFERROR(VLOOKUP($G:$G,Structure!$A:$AJ,AM$1,0)*$H326,0))</f>
        <v>0</v>
      </c>
      <c r="AN326" s="9">
        <f>SUM(IFERROR(VLOOKUP($C:$C,Structure!$A:$AJ,AN$1,0)*$D326,0),IFERROR(VLOOKUP($E:$E,Structure!$A:$AJ,AN$1,0)*$F326,0),IFERROR(VLOOKUP($G:$G,Structure!$A:$AJ,AN$1,0)*$H326,0))</f>
        <v>0</v>
      </c>
      <c r="AO326" s="9">
        <f>SUM(IFERROR(VLOOKUP($C:$C,Structure!$A:$AJ,AO$1,0)*$D326,0),IFERROR(VLOOKUP($E:$E,Structure!$A:$AJ,AO$1,0)*$F326,0),IFERROR(VLOOKUP($G:$G,Structure!$A:$AJ,AO$1,0)*$H326,0))</f>
        <v>0</v>
      </c>
      <c r="AP326" s="9">
        <f>SUM(IFERROR(VLOOKUP($C:$C,Structure!$A:$AJ,AP$1,0)*$D326,0),IFERROR(VLOOKUP($E:$E,Structure!$A:$AJ,AP$1,0)*$F326,0),IFERROR(VLOOKUP($G:$G,Structure!$A:$AJ,AP$1,0)*$H326,0))</f>
        <v>0</v>
      </c>
      <c r="AQ326" s="9">
        <f>SUM(IFERROR(VLOOKUP($C:$C,Structure!$A:$AJ,AQ$1,0)*$D326,0),IFERROR(VLOOKUP($E:$E,Structure!$A:$AJ,AQ$1,0)*$F326,0),IFERROR(VLOOKUP($G:$G,Structure!$A:$AJ,AQ$1,0)*$H326,0))</f>
        <v>0</v>
      </c>
      <c r="AR326" s="21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4">
        <f t="shared" si="302"/>
        <v>0</v>
      </c>
      <c r="CE326" s="4">
        <f t="shared" si="303"/>
        <v>-300</v>
      </c>
      <c r="CF326" s="4">
        <f t="shared" si="304"/>
        <v>4</v>
      </c>
      <c r="CG326" s="4">
        <f t="shared" si="305"/>
        <v>9</v>
      </c>
      <c r="CH326" s="4">
        <f t="shared" si="306"/>
        <v>-7</v>
      </c>
      <c r="CI326" s="4">
        <f t="shared" si="307"/>
        <v>85</v>
      </c>
      <c r="CJ326" s="4">
        <f t="shared" si="308"/>
        <v>-455</v>
      </c>
      <c r="CK326" s="4">
        <f t="shared" si="309"/>
        <v>-121</v>
      </c>
      <c r="CL326" s="4">
        <f t="shared" si="310"/>
        <v>0</v>
      </c>
      <c r="CM326" s="4">
        <f t="shared" si="311"/>
        <v>6</v>
      </c>
      <c r="CN326" s="4">
        <f t="shared" si="312"/>
        <v>-342</v>
      </c>
      <c r="CO326" s="4">
        <f t="shared" si="313"/>
        <v>0</v>
      </c>
      <c r="CP326" s="4">
        <f t="shared" si="314"/>
        <v>-63</v>
      </c>
      <c r="CQ326" s="4">
        <f t="shared" si="315"/>
        <v>-691</v>
      </c>
      <c r="CR326" s="4">
        <f t="shared" si="316"/>
        <v>10</v>
      </c>
      <c r="CS326" s="4">
        <f t="shared" si="317"/>
        <v>-66</v>
      </c>
      <c r="CT326" s="4">
        <f t="shared" si="318"/>
        <v>0</v>
      </c>
      <c r="CU326" s="4">
        <f t="shared" si="319"/>
        <v>0</v>
      </c>
      <c r="CV326" s="4">
        <f t="shared" si="320"/>
        <v>0</v>
      </c>
      <c r="CW326" s="4">
        <f t="shared" si="321"/>
        <v>0</v>
      </c>
      <c r="CX326" s="4">
        <f t="shared" si="322"/>
        <v>-1014</v>
      </c>
      <c r="CY326" s="4">
        <f t="shared" si="323"/>
        <v>0</v>
      </c>
      <c r="CZ326" s="4">
        <f t="shared" si="324"/>
        <v>0</v>
      </c>
      <c r="DA326" s="4">
        <f t="shared" si="325"/>
        <v>0</v>
      </c>
      <c r="DB326" s="4">
        <f t="shared" si="326"/>
        <v>0</v>
      </c>
      <c r="DC326" s="4">
        <f t="shared" si="327"/>
        <v>0</v>
      </c>
      <c r="DD326" s="4">
        <f t="shared" si="328"/>
        <v>0</v>
      </c>
      <c r="DE326" s="4">
        <f t="shared" si="329"/>
        <v>0</v>
      </c>
      <c r="DF326" s="4">
        <f t="shared" si="330"/>
        <v>0</v>
      </c>
      <c r="DG326" s="4">
        <f t="shared" si="331"/>
        <v>0</v>
      </c>
      <c r="DH326" s="4">
        <f t="shared" si="332"/>
        <v>0</v>
      </c>
      <c r="DI326" s="4">
        <f t="shared" si="333"/>
        <v>0</v>
      </c>
      <c r="DJ326" s="4">
        <f t="shared" si="334"/>
        <v>0</v>
      </c>
      <c r="DK326" s="4">
        <f t="shared" si="335"/>
        <v>0</v>
      </c>
      <c r="DL326" s="4">
        <f t="shared" si="336"/>
        <v>0</v>
      </c>
    </row>
    <row r="327" spans="1:116" x14ac:dyDescent="0.25">
      <c r="A327" s="5">
        <v>46190</v>
      </c>
      <c r="B327" s="6">
        <v>6.2500000785803422E-2</v>
      </c>
      <c r="C327" s="3"/>
      <c r="D327" s="3"/>
      <c r="E327" s="3" t="s">
        <v>57</v>
      </c>
      <c r="F327" s="3">
        <v>8</v>
      </c>
      <c r="G327" s="3"/>
      <c r="H327" s="9"/>
      <c r="I327" s="9">
        <f>SUM(IFERROR(VLOOKUP($C:$C,Structure!$A:$AJ,I$1,0)*$D327,0),IFERROR(VLOOKUP($E:$E,Structure!$A:$AJ,I$1,0)*$F327,0),IFERROR(VLOOKUP($G:$G,Structure!$A:$AJ,I$1,0)*$H327,0))</f>
        <v>0</v>
      </c>
      <c r="J327" s="9">
        <f>SUM(IFERROR(VLOOKUP($C:$C,Structure!$A:$AJ,J$1,0)*$D327,0),IFERROR(VLOOKUP($E:$E,Structure!$A:$AJ,J$1,0)*$F327,0),IFERROR(VLOOKUP($G:$G,Structure!$A:$AJ,J$1,0)*$H327,0))</f>
        <v>0</v>
      </c>
      <c r="K327" s="9">
        <f>SUM(IFERROR(VLOOKUP($C:$C,Structure!$A:$AJ,K$1,0)*$D327,0),IFERROR(VLOOKUP($E:$E,Structure!$A:$AJ,K$1,0)*$F327,0),IFERROR(VLOOKUP($G:$G,Structure!$A:$AJ,K$1,0)*$H327,0))</f>
        <v>0</v>
      </c>
      <c r="L327" s="9">
        <f>SUM(IFERROR(VLOOKUP($C:$C,Structure!$A:$AJ,L$1,0)*$D327,0),IFERROR(VLOOKUP($E:$E,Structure!$A:$AJ,L$1,0)*$F327,0),IFERROR(VLOOKUP($G:$G,Structure!$A:$AJ,L$1,0)*$H327,0))</f>
        <v>0</v>
      </c>
      <c r="M327" s="9">
        <f>SUM(IFERROR(VLOOKUP($C:$C,Structure!$A:$AJ,M$1,0)*$D327,0),IFERROR(VLOOKUP($E:$E,Structure!$A:$AJ,M$1,0)*$F327,0),IFERROR(VLOOKUP($G:$G,Structure!$A:$AJ,M$1,0)*$H327,0))</f>
        <v>0</v>
      </c>
      <c r="N327" s="9">
        <f>SUM(IFERROR(VLOOKUP($C:$C,Structure!$A:$AJ,N$1,0)*$D327,0),IFERROR(VLOOKUP($E:$E,Structure!$A:$AJ,N$1,0)*$F327,0),IFERROR(VLOOKUP($G:$G,Structure!$A:$AJ,N$1,0)*$H327,0))</f>
        <v>0</v>
      </c>
      <c r="O327" s="9">
        <f>SUM(IFERROR(VLOOKUP($C:$C,Structure!$A:$AJ,O$1,0)*$D327,0),IFERROR(VLOOKUP($E:$E,Structure!$A:$AJ,O$1,0)*$F327,0),IFERROR(VLOOKUP($G:$G,Structure!$A:$AJ,O$1,0)*$H327,0))</f>
        <v>8</v>
      </c>
      <c r="P327" s="9">
        <f>SUM(IFERROR(VLOOKUP($C:$C,Structure!$A:$AJ,P$1,0)*$D327,0),IFERROR(VLOOKUP($E:$E,Structure!$A:$AJ,P$1,0)*$F327,0),IFERROR(VLOOKUP($G:$G,Structure!$A:$AJ,P$1,0)*$H327,0))</f>
        <v>0</v>
      </c>
      <c r="Q327" s="9">
        <f>SUM(IFERROR(VLOOKUP($C:$C,Structure!$A:$AJ,Q$1,0)*$D327,0),IFERROR(VLOOKUP($E:$E,Structure!$A:$AJ,Q$1,0)*$F327,0),IFERROR(VLOOKUP($G:$G,Structure!$A:$AJ,Q$1,0)*$H327,0))</f>
        <v>0</v>
      </c>
      <c r="R327" s="9">
        <f>SUM(IFERROR(VLOOKUP($C:$C,Structure!$A:$AJ,R$1,0)*$D327,0),IFERROR(VLOOKUP($E:$E,Structure!$A:$AJ,R$1,0)*$F327,0),IFERROR(VLOOKUP($G:$G,Structure!$A:$AJ,R$1,0)*$H327,0))</f>
        <v>0</v>
      </c>
      <c r="S327" s="9">
        <f>SUM(IFERROR(VLOOKUP($C:$C,Structure!$A:$AJ,S$1,0)*$D327,0),IFERROR(VLOOKUP($E:$E,Structure!$A:$AJ,S$1,0)*$F327,0),IFERROR(VLOOKUP($G:$G,Structure!$A:$AJ,S$1,0)*$H327,0))</f>
        <v>8</v>
      </c>
      <c r="T327" s="9">
        <f>SUM(IFERROR(VLOOKUP($C:$C,Structure!$A:$AJ,T$1,0)*$D327,0),IFERROR(VLOOKUP($E:$E,Structure!$A:$AJ,T$1,0)*$F327,0),IFERROR(VLOOKUP($G:$G,Structure!$A:$AJ,T$1,0)*$H327,0))</f>
        <v>0</v>
      </c>
      <c r="U327" s="9">
        <f>SUM(IFERROR(VLOOKUP($C:$C,Structure!$A:$AJ,U$1,0)*$D327,0),IFERROR(VLOOKUP($E:$E,Structure!$A:$AJ,U$1,0)*$F327,0),IFERROR(VLOOKUP($G:$G,Structure!$A:$AJ,U$1,0)*$H327,0))</f>
        <v>0</v>
      </c>
      <c r="V327" s="9">
        <f>SUM(IFERROR(VLOOKUP($C:$C,Structure!$A:$AJ,V$1,0)*$D327,0),IFERROR(VLOOKUP($E:$E,Structure!$A:$AJ,V$1,0)*$F327,0),IFERROR(VLOOKUP($G:$G,Structure!$A:$AJ,V$1,0)*$H327,0))</f>
        <v>0</v>
      </c>
      <c r="W327" s="9">
        <f>SUM(IFERROR(VLOOKUP($C:$C,Structure!$A:$AJ,W$1,0)*$D327,0),IFERROR(VLOOKUP($E:$E,Structure!$A:$AJ,W$1,0)*$F327,0),IFERROR(VLOOKUP($G:$G,Structure!$A:$AJ,W$1,0)*$H327,0))</f>
        <v>0</v>
      </c>
      <c r="X327" s="9">
        <f>SUM(IFERROR(VLOOKUP($C:$C,Structure!$A:$AJ,X$1,0)*$D327,0),IFERROR(VLOOKUP($E:$E,Structure!$A:$AJ,X$1,0)*$F327,0),IFERROR(VLOOKUP($G:$G,Structure!$A:$AJ,X$1,0)*$H327,0))</f>
        <v>0</v>
      </c>
      <c r="Y327" s="9">
        <f>SUM(IFERROR(VLOOKUP($C:$C,Structure!$A:$AJ,Y$1,0)*$D327,0),IFERROR(VLOOKUP($E:$E,Structure!$A:$AJ,Y$1,0)*$F327,0),IFERROR(VLOOKUP($G:$G,Structure!$A:$AJ,Y$1,0)*$H327,0))</f>
        <v>0</v>
      </c>
      <c r="Z327" s="9">
        <f>SUM(IFERROR(VLOOKUP($C:$C,Structure!$A:$AJ,Z$1,0)*$D327,0),IFERROR(VLOOKUP($E:$E,Structure!$A:$AJ,Z$1,0)*$F327,0),IFERROR(VLOOKUP($G:$G,Structure!$A:$AJ,Z$1,0)*$H327,0))</f>
        <v>0</v>
      </c>
      <c r="AA327" s="9">
        <f>SUM(IFERROR(VLOOKUP($C:$C,Structure!$A:$AJ,AA$1,0)*$D327,0),IFERROR(VLOOKUP($E:$E,Structure!$A:$AJ,AA$1,0)*$F327,0),IFERROR(VLOOKUP($G:$G,Structure!$A:$AJ,AA$1,0)*$H327,0))</f>
        <v>0</v>
      </c>
      <c r="AB327" s="9">
        <f>SUM(IFERROR(VLOOKUP($C:$C,Structure!$A:$AJ,AB$1,0)*$D327,0),IFERROR(VLOOKUP($E:$E,Structure!$A:$AJ,AB$1,0)*$F327,0),IFERROR(VLOOKUP($G:$G,Structure!$A:$AJ,AB$1,0)*$H327,0))</f>
        <v>0</v>
      </c>
      <c r="AC327" s="9">
        <f>SUM(IFERROR(VLOOKUP($C:$C,Structure!$A:$AJ,AC$1,0)*$D327,0),IFERROR(VLOOKUP($E:$E,Structure!$A:$AJ,AC$1,0)*$F327,0),IFERROR(VLOOKUP($G:$G,Structure!$A:$AJ,AC$1,0)*$H327,0))</f>
        <v>0</v>
      </c>
      <c r="AD327" s="9">
        <f>SUM(IFERROR(VLOOKUP($C:$C,Structure!$A:$AJ,AD$1,0)*$D327,0),IFERROR(VLOOKUP($E:$E,Structure!$A:$AJ,AD$1,0)*$F327,0),IFERROR(VLOOKUP($G:$G,Structure!$A:$AJ,AD$1,0)*$H327,0))</f>
        <v>0</v>
      </c>
      <c r="AE327" s="9">
        <f>SUM(IFERROR(VLOOKUP($C:$C,Structure!$A:$AJ,AE$1,0)*$D327,0),IFERROR(VLOOKUP($E:$E,Structure!$A:$AJ,AE$1,0)*$F327,0),IFERROR(VLOOKUP($G:$G,Structure!$A:$AJ,AE$1,0)*$H327,0))</f>
        <v>0</v>
      </c>
      <c r="AF327" s="9">
        <f>SUM(IFERROR(VLOOKUP($C:$C,Structure!$A:$AJ,AF$1,0)*$D327,0),IFERROR(VLOOKUP($E:$E,Structure!$A:$AJ,AF$1,0)*$F327,0),IFERROR(VLOOKUP($G:$G,Structure!$A:$AJ,AF$1,0)*$H327,0))</f>
        <v>0</v>
      </c>
      <c r="AG327" s="9">
        <f>SUM(IFERROR(VLOOKUP($C:$C,Structure!$A:$AJ,AG$1,0)*$D327,0),IFERROR(VLOOKUP($E:$E,Structure!$A:$AJ,AG$1,0)*$F327,0),IFERROR(VLOOKUP($G:$G,Structure!$A:$AJ,AG$1,0)*$H327,0))</f>
        <v>0</v>
      </c>
      <c r="AH327" s="9">
        <f>SUM(IFERROR(VLOOKUP($C:$C,Structure!$A:$AJ,AH$1,0)*$D327,0),IFERROR(VLOOKUP($E:$E,Structure!$A:$AJ,AH$1,0)*$F327,0),IFERROR(VLOOKUP($G:$G,Structure!$A:$AJ,AH$1,0)*$H327,0))</f>
        <v>0</v>
      </c>
      <c r="AI327" s="9">
        <f>SUM(IFERROR(VLOOKUP($C:$C,Structure!$A:$AJ,AI$1,0)*$D327,0),IFERROR(VLOOKUP($E:$E,Structure!$A:$AJ,AI$1,0)*$F327,0),IFERROR(VLOOKUP($G:$G,Structure!$A:$AJ,AI$1,0)*$H327,0))</f>
        <v>0</v>
      </c>
      <c r="AJ327" s="9">
        <f>SUM(IFERROR(VLOOKUP($C:$C,Structure!$A:$AJ,AJ$1,0)*$D327,0),IFERROR(VLOOKUP($E:$E,Structure!$A:$AJ,AJ$1,0)*$F327,0),IFERROR(VLOOKUP($G:$G,Structure!$A:$AJ,AJ$1,0)*$H327,0))</f>
        <v>0</v>
      </c>
      <c r="AK327" s="9">
        <f>SUM(IFERROR(VLOOKUP($C:$C,Structure!$A:$AJ,AK$1,0)*$D327,0),IFERROR(VLOOKUP($E:$E,Structure!$A:$AJ,AK$1,0)*$F327,0),IFERROR(VLOOKUP($G:$G,Structure!$A:$AJ,AK$1,0)*$H327,0))</f>
        <v>0</v>
      </c>
      <c r="AL327" s="9">
        <f>SUM(IFERROR(VLOOKUP($C:$C,Structure!$A:$AJ,AL$1,0)*$D327,0),IFERROR(VLOOKUP($E:$E,Structure!$A:$AJ,AL$1,0)*$F327,0),IFERROR(VLOOKUP($G:$G,Structure!$A:$AJ,AL$1,0)*$H327,0))</f>
        <v>0</v>
      </c>
      <c r="AM327" s="9">
        <f>SUM(IFERROR(VLOOKUP($C:$C,Structure!$A:$AJ,AM$1,0)*$D327,0),IFERROR(VLOOKUP($E:$E,Structure!$A:$AJ,AM$1,0)*$F327,0),IFERROR(VLOOKUP($G:$G,Structure!$A:$AJ,AM$1,0)*$H327,0))</f>
        <v>0</v>
      </c>
      <c r="AN327" s="9">
        <f>SUM(IFERROR(VLOOKUP($C:$C,Structure!$A:$AJ,AN$1,0)*$D327,0),IFERROR(VLOOKUP($E:$E,Structure!$A:$AJ,AN$1,0)*$F327,0),IFERROR(VLOOKUP($G:$G,Structure!$A:$AJ,AN$1,0)*$H327,0))</f>
        <v>0</v>
      </c>
      <c r="AO327" s="9">
        <f>SUM(IFERROR(VLOOKUP($C:$C,Structure!$A:$AJ,AO$1,0)*$D327,0),IFERROR(VLOOKUP($E:$E,Structure!$A:$AJ,AO$1,0)*$F327,0),IFERROR(VLOOKUP($G:$G,Structure!$A:$AJ,AO$1,0)*$H327,0))</f>
        <v>0</v>
      </c>
      <c r="AP327" s="9">
        <f>SUM(IFERROR(VLOOKUP($C:$C,Structure!$A:$AJ,AP$1,0)*$D327,0),IFERROR(VLOOKUP($E:$E,Structure!$A:$AJ,AP$1,0)*$F327,0),IFERROR(VLOOKUP($G:$G,Structure!$A:$AJ,AP$1,0)*$H327,0))</f>
        <v>0</v>
      </c>
      <c r="AQ327" s="9">
        <f>SUM(IFERROR(VLOOKUP($C:$C,Structure!$A:$AJ,AQ$1,0)*$D327,0),IFERROR(VLOOKUP($E:$E,Structure!$A:$AJ,AQ$1,0)*$F327,0),IFERROR(VLOOKUP($G:$G,Structure!$A:$AJ,AQ$1,0)*$H327,0))</f>
        <v>0</v>
      </c>
      <c r="AR327" s="21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4">
        <f t="shared" si="302"/>
        <v>0</v>
      </c>
      <c r="CE327" s="4">
        <f t="shared" si="303"/>
        <v>-300</v>
      </c>
      <c r="CF327" s="4">
        <f t="shared" si="304"/>
        <v>4</v>
      </c>
      <c r="CG327" s="4">
        <f t="shared" si="305"/>
        <v>9</v>
      </c>
      <c r="CH327" s="4">
        <f t="shared" si="306"/>
        <v>-7</v>
      </c>
      <c r="CI327" s="4">
        <f t="shared" si="307"/>
        <v>85</v>
      </c>
      <c r="CJ327" s="4">
        <f t="shared" si="308"/>
        <v>-463</v>
      </c>
      <c r="CK327" s="4">
        <f t="shared" si="309"/>
        <v>-121</v>
      </c>
      <c r="CL327" s="4">
        <f t="shared" si="310"/>
        <v>0</v>
      </c>
      <c r="CM327" s="4">
        <f t="shared" si="311"/>
        <v>6</v>
      </c>
      <c r="CN327" s="4">
        <f t="shared" si="312"/>
        <v>-350</v>
      </c>
      <c r="CO327" s="4">
        <f t="shared" si="313"/>
        <v>0</v>
      </c>
      <c r="CP327" s="4">
        <f t="shared" si="314"/>
        <v>-63</v>
      </c>
      <c r="CQ327" s="4">
        <f t="shared" si="315"/>
        <v>-691</v>
      </c>
      <c r="CR327" s="4">
        <f t="shared" si="316"/>
        <v>10</v>
      </c>
      <c r="CS327" s="4">
        <f t="shared" si="317"/>
        <v>-66</v>
      </c>
      <c r="CT327" s="4">
        <f t="shared" si="318"/>
        <v>0</v>
      </c>
      <c r="CU327" s="4">
        <f t="shared" si="319"/>
        <v>0</v>
      </c>
      <c r="CV327" s="4">
        <f t="shared" si="320"/>
        <v>0</v>
      </c>
      <c r="CW327" s="4">
        <f t="shared" si="321"/>
        <v>0</v>
      </c>
      <c r="CX327" s="4">
        <f t="shared" si="322"/>
        <v>-1014</v>
      </c>
      <c r="CY327" s="4">
        <f t="shared" si="323"/>
        <v>0</v>
      </c>
      <c r="CZ327" s="4">
        <f t="shared" si="324"/>
        <v>0</v>
      </c>
      <c r="DA327" s="4">
        <f t="shared" si="325"/>
        <v>0</v>
      </c>
      <c r="DB327" s="4">
        <f t="shared" si="326"/>
        <v>0</v>
      </c>
      <c r="DC327" s="4">
        <f t="shared" si="327"/>
        <v>0</v>
      </c>
      <c r="DD327" s="4">
        <f t="shared" si="328"/>
        <v>0</v>
      </c>
      <c r="DE327" s="4">
        <f t="shared" si="329"/>
        <v>0</v>
      </c>
      <c r="DF327" s="4">
        <f t="shared" si="330"/>
        <v>0</v>
      </c>
      <c r="DG327" s="4">
        <f t="shared" si="331"/>
        <v>0</v>
      </c>
      <c r="DH327" s="4">
        <f t="shared" si="332"/>
        <v>0</v>
      </c>
      <c r="DI327" s="4">
        <f t="shared" si="333"/>
        <v>0</v>
      </c>
      <c r="DJ327" s="4">
        <f t="shared" si="334"/>
        <v>0</v>
      </c>
      <c r="DK327" s="4">
        <f t="shared" si="335"/>
        <v>0</v>
      </c>
      <c r="DL327" s="4">
        <f t="shared" si="336"/>
        <v>0</v>
      </c>
    </row>
    <row r="328" spans="1:116" x14ac:dyDescent="0.25">
      <c r="A328" s="5">
        <v>46190</v>
      </c>
      <c r="B328" s="6">
        <v>8.3333334121562075E-2</v>
      </c>
      <c r="C328" s="3"/>
      <c r="D328" s="3"/>
      <c r="E328" s="3" t="s">
        <v>57</v>
      </c>
      <c r="F328" s="3">
        <v>8</v>
      </c>
      <c r="G328" s="3"/>
      <c r="H328" s="9"/>
      <c r="I328" s="9">
        <f>SUM(IFERROR(VLOOKUP($C:$C,Structure!$A:$AJ,I$1,0)*$D328,0),IFERROR(VLOOKUP($E:$E,Structure!$A:$AJ,I$1,0)*$F328,0),IFERROR(VLOOKUP($G:$G,Structure!$A:$AJ,I$1,0)*$H328,0))</f>
        <v>0</v>
      </c>
      <c r="J328" s="9">
        <f>SUM(IFERROR(VLOOKUP($C:$C,Structure!$A:$AJ,J$1,0)*$D328,0),IFERROR(VLOOKUP($E:$E,Structure!$A:$AJ,J$1,0)*$F328,0),IFERROR(VLOOKUP($G:$G,Structure!$A:$AJ,J$1,0)*$H328,0))</f>
        <v>0</v>
      </c>
      <c r="K328" s="9">
        <f>SUM(IFERROR(VLOOKUP($C:$C,Structure!$A:$AJ,K$1,0)*$D328,0),IFERROR(VLOOKUP($E:$E,Structure!$A:$AJ,K$1,0)*$F328,0),IFERROR(VLOOKUP($G:$G,Structure!$A:$AJ,K$1,0)*$H328,0))</f>
        <v>0</v>
      </c>
      <c r="L328" s="9">
        <f>SUM(IFERROR(VLOOKUP($C:$C,Structure!$A:$AJ,L$1,0)*$D328,0),IFERROR(VLOOKUP($E:$E,Structure!$A:$AJ,L$1,0)*$F328,0),IFERROR(VLOOKUP($G:$G,Structure!$A:$AJ,L$1,0)*$H328,0))</f>
        <v>0</v>
      </c>
      <c r="M328" s="9">
        <f>SUM(IFERROR(VLOOKUP($C:$C,Structure!$A:$AJ,M$1,0)*$D328,0),IFERROR(VLOOKUP($E:$E,Structure!$A:$AJ,M$1,0)*$F328,0),IFERROR(VLOOKUP($G:$G,Structure!$A:$AJ,M$1,0)*$H328,0))</f>
        <v>0</v>
      </c>
      <c r="N328" s="9">
        <f>SUM(IFERROR(VLOOKUP($C:$C,Structure!$A:$AJ,N$1,0)*$D328,0),IFERROR(VLOOKUP($E:$E,Structure!$A:$AJ,N$1,0)*$F328,0),IFERROR(VLOOKUP($G:$G,Structure!$A:$AJ,N$1,0)*$H328,0))</f>
        <v>0</v>
      </c>
      <c r="O328" s="9">
        <f>SUM(IFERROR(VLOOKUP($C:$C,Structure!$A:$AJ,O$1,0)*$D328,0),IFERROR(VLOOKUP($E:$E,Structure!$A:$AJ,O$1,0)*$F328,0),IFERROR(VLOOKUP($G:$G,Structure!$A:$AJ,O$1,0)*$H328,0))</f>
        <v>8</v>
      </c>
      <c r="P328" s="9">
        <f>SUM(IFERROR(VLOOKUP($C:$C,Structure!$A:$AJ,P$1,0)*$D328,0),IFERROR(VLOOKUP($E:$E,Structure!$A:$AJ,P$1,0)*$F328,0),IFERROR(VLOOKUP($G:$G,Structure!$A:$AJ,P$1,0)*$H328,0))</f>
        <v>0</v>
      </c>
      <c r="Q328" s="9">
        <f>SUM(IFERROR(VLOOKUP($C:$C,Structure!$A:$AJ,Q$1,0)*$D328,0),IFERROR(VLOOKUP($E:$E,Structure!$A:$AJ,Q$1,0)*$F328,0),IFERROR(VLOOKUP($G:$G,Structure!$A:$AJ,Q$1,0)*$H328,0))</f>
        <v>0</v>
      </c>
      <c r="R328" s="9">
        <f>SUM(IFERROR(VLOOKUP($C:$C,Structure!$A:$AJ,R$1,0)*$D328,0),IFERROR(VLOOKUP($E:$E,Structure!$A:$AJ,R$1,0)*$F328,0),IFERROR(VLOOKUP($G:$G,Structure!$A:$AJ,R$1,0)*$H328,0))</f>
        <v>0</v>
      </c>
      <c r="S328" s="9">
        <f>SUM(IFERROR(VLOOKUP($C:$C,Structure!$A:$AJ,S$1,0)*$D328,0),IFERROR(VLOOKUP($E:$E,Structure!$A:$AJ,S$1,0)*$F328,0),IFERROR(VLOOKUP($G:$G,Structure!$A:$AJ,S$1,0)*$H328,0))</f>
        <v>8</v>
      </c>
      <c r="T328" s="9">
        <f>SUM(IFERROR(VLOOKUP($C:$C,Structure!$A:$AJ,T$1,0)*$D328,0),IFERROR(VLOOKUP($E:$E,Structure!$A:$AJ,T$1,0)*$F328,0),IFERROR(VLOOKUP($G:$G,Structure!$A:$AJ,T$1,0)*$H328,0))</f>
        <v>0</v>
      </c>
      <c r="U328" s="9">
        <f>SUM(IFERROR(VLOOKUP($C:$C,Structure!$A:$AJ,U$1,0)*$D328,0),IFERROR(VLOOKUP($E:$E,Structure!$A:$AJ,U$1,0)*$F328,0),IFERROR(VLOOKUP($G:$G,Structure!$A:$AJ,U$1,0)*$H328,0))</f>
        <v>0</v>
      </c>
      <c r="V328" s="9">
        <f>SUM(IFERROR(VLOOKUP($C:$C,Structure!$A:$AJ,V$1,0)*$D328,0),IFERROR(VLOOKUP($E:$E,Structure!$A:$AJ,V$1,0)*$F328,0),IFERROR(VLOOKUP($G:$G,Structure!$A:$AJ,V$1,0)*$H328,0))</f>
        <v>0</v>
      </c>
      <c r="W328" s="9">
        <f>SUM(IFERROR(VLOOKUP($C:$C,Structure!$A:$AJ,W$1,0)*$D328,0),IFERROR(VLOOKUP($E:$E,Structure!$A:$AJ,W$1,0)*$F328,0),IFERROR(VLOOKUP($G:$G,Structure!$A:$AJ,W$1,0)*$H328,0))</f>
        <v>0</v>
      </c>
      <c r="X328" s="9">
        <f>SUM(IFERROR(VLOOKUP($C:$C,Structure!$A:$AJ,X$1,0)*$D328,0),IFERROR(VLOOKUP($E:$E,Structure!$A:$AJ,X$1,0)*$F328,0),IFERROR(VLOOKUP($G:$G,Structure!$A:$AJ,X$1,0)*$H328,0))</f>
        <v>0</v>
      </c>
      <c r="Y328" s="9">
        <f>SUM(IFERROR(VLOOKUP($C:$C,Structure!$A:$AJ,Y$1,0)*$D328,0),IFERROR(VLOOKUP($E:$E,Structure!$A:$AJ,Y$1,0)*$F328,0),IFERROR(VLOOKUP($G:$G,Structure!$A:$AJ,Y$1,0)*$H328,0))</f>
        <v>0</v>
      </c>
      <c r="Z328" s="9">
        <f>SUM(IFERROR(VLOOKUP($C:$C,Structure!$A:$AJ,Z$1,0)*$D328,0),IFERROR(VLOOKUP($E:$E,Structure!$A:$AJ,Z$1,0)*$F328,0),IFERROR(VLOOKUP($G:$G,Structure!$A:$AJ,Z$1,0)*$H328,0))</f>
        <v>0</v>
      </c>
      <c r="AA328" s="9">
        <f>SUM(IFERROR(VLOOKUP($C:$C,Structure!$A:$AJ,AA$1,0)*$D328,0),IFERROR(VLOOKUP($E:$E,Structure!$A:$AJ,AA$1,0)*$F328,0),IFERROR(VLOOKUP($G:$G,Structure!$A:$AJ,AA$1,0)*$H328,0))</f>
        <v>0</v>
      </c>
      <c r="AB328" s="9">
        <f>SUM(IFERROR(VLOOKUP($C:$C,Structure!$A:$AJ,AB$1,0)*$D328,0),IFERROR(VLOOKUP($E:$E,Structure!$A:$AJ,AB$1,0)*$F328,0),IFERROR(VLOOKUP($G:$G,Structure!$A:$AJ,AB$1,0)*$H328,0))</f>
        <v>0</v>
      </c>
      <c r="AC328" s="9">
        <f>SUM(IFERROR(VLOOKUP($C:$C,Structure!$A:$AJ,AC$1,0)*$D328,0),IFERROR(VLOOKUP($E:$E,Structure!$A:$AJ,AC$1,0)*$F328,0),IFERROR(VLOOKUP($G:$G,Structure!$A:$AJ,AC$1,0)*$H328,0))</f>
        <v>0</v>
      </c>
      <c r="AD328" s="9">
        <f>SUM(IFERROR(VLOOKUP($C:$C,Structure!$A:$AJ,AD$1,0)*$D328,0),IFERROR(VLOOKUP($E:$E,Structure!$A:$AJ,AD$1,0)*$F328,0),IFERROR(VLOOKUP($G:$G,Structure!$A:$AJ,AD$1,0)*$H328,0))</f>
        <v>0</v>
      </c>
      <c r="AE328" s="9">
        <f>SUM(IFERROR(VLOOKUP($C:$C,Structure!$A:$AJ,AE$1,0)*$D328,0),IFERROR(VLOOKUP($E:$E,Structure!$A:$AJ,AE$1,0)*$F328,0),IFERROR(VLOOKUP($G:$G,Structure!$A:$AJ,AE$1,0)*$H328,0))</f>
        <v>0</v>
      </c>
      <c r="AF328" s="9">
        <f>SUM(IFERROR(VLOOKUP($C:$C,Structure!$A:$AJ,AF$1,0)*$D328,0),IFERROR(VLOOKUP($E:$E,Structure!$A:$AJ,AF$1,0)*$F328,0),IFERROR(VLOOKUP($G:$G,Structure!$A:$AJ,AF$1,0)*$H328,0))</f>
        <v>0</v>
      </c>
      <c r="AG328" s="9">
        <f>SUM(IFERROR(VLOOKUP($C:$C,Structure!$A:$AJ,AG$1,0)*$D328,0),IFERROR(VLOOKUP($E:$E,Structure!$A:$AJ,AG$1,0)*$F328,0),IFERROR(VLOOKUP($G:$G,Structure!$A:$AJ,AG$1,0)*$H328,0))</f>
        <v>0</v>
      </c>
      <c r="AH328" s="9">
        <f>SUM(IFERROR(VLOOKUP($C:$C,Structure!$A:$AJ,AH$1,0)*$D328,0),IFERROR(VLOOKUP($E:$E,Structure!$A:$AJ,AH$1,0)*$F328,0),IFERROR(VLOOKUP($G:$G,Structure!$A:$AJ,AH$1,0)*$H328,0))</f>
        <v>0</v>
      </c>
      <c r="AI328" s="9">
        <f>SUM(IFERROR(VLOOKUP($C:$C,Structure!$A:$AJ,AI$1,0)*$D328,0),IFERROR(VLOOKUP($E:$E,Structure!$A:$AJ,AI$1,0)*$F328,0),IFERROR(VLOOKUP($G:$G,Structure!$A:$AJ,AI$1,0)*$H328,0))</f>
        <v>0</v>
      </c>
      <c r="AJ328" s="9">
        <f>SUM(IFERROR(VLOOKUP($C:$C,Structure!$A:$AJ,AJ$1,0)*$D328,0),IFERROR(VLOOKUP($E:$E,Structure!$A:$AJ,AJ$1,0)*$F328,0),IFERROR(VLOOKUP($G:$G,Structure!$A:$AJ,AJ$1,0)*$H328,0))</f>
        <v>0</v>
      </c>
      <c r="AK328" s="9">
        <f>SUM(IFERROR(VLOOKUP($C:$C,Structure!$A:$AJ,AK$1,0)*$D328,0),IFERROR(VLOOKUP($E:$E,Structure!$A:$AJ,AK$1,0)*$F328,0),IFERROR(VLOOKUP($G:$G,Structure!$A:$AJ,AK$1,0)*$H328,0))</f>
        <v>0</v>
      </c>
      <c r="AL328" s="9">
        <f>SUM(IFERROR(VLOOKUP($C:$C,Structure!$A:$AJ,AL$1,0)*$D328,0),IFERROR(VLOOKUP($E:$E,Structure!$A:$AJ,AL$1,0)*$F328,0),IFERROR(VLOOKUP($G:$G,Structure!$A:$AJ,AL$1,0)*$H328,0))</f>
        <v>0</v>
      </c>
      <c r="AM328" s="9">
        <f>SUM(IFERROR(VLOOKUP($C:$C,Structure!$A:$AJ,AM$1,0)*$D328,0),IFERROR(VLOOKUP($E:$E,Structure!$A:$AJ,AM$1,0)*$F328,0),IFERROR(VLOOKUP($G:$G,Structure!$A:$AJ,AM$1,0)*$H328,0))</f>
        <v>0</v>
      </c>
      <c r="AN328" s="9">
        <f>SUM(IFERROR(VLOOKUP($C:$C,Structure!$A:$AJ,AN$1,0)*$D328,0),IFERROR(VLOOKUP($E:$E,Structure!$A:$AJ,AN$1,0)*$F328,0),IFERROR(VLOOKUP($G:$G,Structure!$A:$AJ,AN$1,0)*$H328,0))</f>
        <v>0</v>
      </c>
      <c r="AO328" s="9">
        <f>SUM(IFERROR(VLOOKUP($C:$C,Structure!$A:$AJ,AO$1,0)*$D328,0),IFERROR(VLOOKUP($E:$E,Structure!$A:$AJ,AO$1,0)*$F328,0),IFERROR(VLOOKUP($G:$G,Structure!$A:$AJ,AO$1,0)*$H328,0))</f>
        <v>0</v>
      </c>
      <c r="AP328" s="9">
        <f>SUM(IFERROR(VLOOKUP($C:$C,Structure!$A:$AJ,AP$1,0)*$D328,0),IFERROR(VLOOKUP($E:$E,Structure!$A:$AJ,AP$1,0)*$F328,0),IFERROR(VLOOKUP($G:$G,Structure!$A:$AJ,AP$1,0)*$H328,0))</f>
        <v>0</v>
      </c>
      <c r="AQ328" s="9">
        <f>SUM(IFERROR(VLOOKUP($C:$C,Structure!$A:$AJ,AQ$1,0)*$D328,0),IFERROR(VLOOKUP($E:$E,Structure!$A:$AJ,AQ$1,0)*$F328,0),IFERROR(VLOOKUP($G:$G,Structure!$A:$AJ,AQ$1,0)*$H328,0))</f>
        <v>0</v>
      </c>
      <c r="AR328" s="21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4">
        <f t="shared" si="302"/>
        <v>0</v>
      </c>
      <c r="CE328" s="4">
        <f t="shared" si="303"/>
        <v>-300</v>
      </c>
      <c r="CF328" s="4">
        <f t="shared" si="304"/>
        <v>4</v>
      </c>
      <c r="CG328" s="4">
        <f t="shared" si="305"/>
        <v>9</v>
      </c>
      <c r="CH328" s="4">
        <f t="shared" si="306"/>
        <v>-7</v>
      </c>
      <c r="CI328" s="4">
        <f t="shared" si="307"/>
        <v>85</v>
      </c>
      <c r="CJ328" s="4">
        <f t="shared" si="308"/>
        <v>-471</v>
      </c>
      <c r="CK328" s="4">
        <f t="shared" si="309"/>
        <v>-121</v>
      </c>
      <c r="CL328" s="4">
        <f t="shared" si="310"/>
        <v>0</v>
      </c>
      <c r="CM328" s="4">
        <f t="shared" si="311"/>
        <v>6</v>
      </c>
      <c r="CN328" s="4">
        <f t="shared" si="312"/>
        <v>-358</v>
      </c>
      <c r="CO328" s="4">
        <f t="shared" si="313"/>
        <v>0</v>
      </c>
      <c r="CP328" s="4">
        <f t="shared" si="314"/>
        <v>-63</v>
      </c>
      <c r="CQ328" s="4">
        <f t="shared" si="315"/>
        <v>-691</v>
      </c>
      <c r="CR328" s="4">
        <f t="shared" si="316"/>
        <v>10</v>
      </c>
      <c r="CS328" s="4">
        <f t="shared" si="317"/>
        <v>-66</v>
      </c>
      <c r="CT328" s="4">
        <f t="shared" si="318"/>
        <v>0</v>
      </c>
      <c r="CU328" s="4">
        <f t="shared" si="319"/>
        <v>0</v>
      </c>
      <c r="CV328" s="4">
        <f t="shared" si="320"/>
        <v>0</v>
      </c>
      <c r="CW328" s="4">
        <f t="shared" si="321"/>
        <v>0</v>
      </c>
      <c r="CX328" s="4">
        <f t="shared" si="322"/>
        <v>-1014</v>
      </c>
      <c r="CY328" s="4">
        <f t="shared" si="323"/>
        <v>0</v>
      </c>
      <c r="CZ328" s="4">
        <f t="shared" si="324"/>
        <v>0</v>
      </c>
      <c r="DA328" s="4">
        <f t="shared" si="325"/>
        <v>0</v>
      </c>
      <c r="DB328" s="4">
        <f t="shared" si="326"/>
        <v>0</v>
      </c>
      <c r="DC328" s="4">
        <f t="shared" si="327"/>
        <v>0</v>
      </c>
      <c r="DD328" s="4">
        <f t="shared" si="328"/>
        <v>0</v>
      </c>
      <c r="DE328" s="4">
        <f t="shared" si="329"/>
        <v>0</v>
      </c>
      <c r="DF328" s="4">
        <f t="shared" si="330"/>
        <v>0</v>
      </c>
      <c r="DG328" s="4">
        <f t="shared" si="331"/>
        <v>0</v>
      </c>
      <c r="DH328" s="4">
        <f t="shared" si="332"/>
        <v>0</v>
      </c>
      <c r="DI328" s="4">
        <f t="shared" si="333"/>
        <v>0</v>
      </c>
      <c r="DJ328" s="4">
        <f t="shared" si="334"/>
        <v>0</v>
      </c>
      <c r="DK328" s="4">
        <f t="shared" si="335"/>
        <v>0</v>
      </c>
      <c r="DL328" s="4">
        <f t="shared" si="336"/>
        <v>0</v>
      </c>
    </row>
    <row r="329" spans="1:116" x14ac:dyDescent="0.25">
      <c r="A329" s="5">
        <v>46190</v>
      </c>
      <c r="B329" s="6">
        <v>0.10416666745732073</v>
      </c>
      <c r="C329" s="3"/>
      <c r="D329" s="3"/>
      <c r="E329" s="3" t="s">
        <v>25</v>
      </c>
      <c r="F329" s="3">
        <v>8</v>
      </c>
      <c r="G329" s="3"/>
      <c r="H329" s="9"/>
      <c r="I329" s="9">
        <f>SUM(IFERROR(VLOOKUP($C:$C,Structure!$A:$AJ,I$1,0)*$D329,0),IFERROR(VLOOKUP($E:$E,Structure!$A:$AJ,I$1,0)*$F329,0),IFERROR(VLOOKUP($G:$G,Structure!$A:$AJ,I$1,0)*$H329,0))</f>
        <v>0</v>
      </c>
      <c r="J329" s="9">
        <f>SUM(IFERROR(VLOOKUP($C:$C,Structure!$A:$AJ,J$1,0)*$D329,0),IFERROR(VLOOKUP($E:$E,Structure!$A:$AJ,J$1,0)*$F329,0),IFERROR(VLOOKUP($G:$G,Structure!$A:$AJ,J$1,0)*$H329,0))</f>
        <v>0</v>
      </c>
      <c r="K329" s="9">
        <f>SUM(IFERROR(VLOOKUP($C:$C,Structure!$A:$AJ,K$1,0)*$D329,0),IFERROR(VLOOKUP($E:$E,Structure!$A:$AJ,K$1,0)*$F329,0),IFERROR(VLOOKUP($G:$G,Structure!$A:$AJ,K$1,0)*$H329,0))</f>
        <v>0</v>
      </c>
      <c r="L329" s="9">
        <f>SUM(IFERROR(VLOOKUP($C:$C,Structure!$A:$AJ,L$1,0)*$D329,0),IFERROR(VLOOKUP($E:$E,Structure!$A:$AJ,L$1,0)*$F329,0),IFERROR(VLOOKUP($G:$G,Structure!$A:$AJ,L$1,0)*$H329,0))</f>
        <v>0</v>
      </c>
      <c r="M329" s="9">
        <f>SUM(IFERROR(VLOOKUP($C:$C,Structure!$A:$AJ,M$1,0)*$D329,0),IFERROR(VLOOKUP($E:$E,Structure!$A:$AJ,M$1,0)*$F329,0),IFERROR(VLOOKUP($G:$G,Structure!$A:$AJ,M$1,0)*$H329,0))</f>
        <v>0</v>
      </c>
      <c r="N329" s="9">
        <f>SUM(IFERROR(VLOOKUP($C:$C,Structure!$A:$AJ,N$1,0)*$D329,0),IFERROR(VLOOKUP($E:$E,Structure!$A:$AJ,N$1,0)*$F329,0),IFERROR(VLOOKUP($G:$G,Structure!$A:$AJ,N$1,0)*$H329,0))</f>
        <v>0</v>
      </c>
      <c r="O329" s="9">
        <f>SUM(IFERROR(VLOOKUP($C:$C,Structure!$A:$AJ,O$1,0)*$D329,0),IFERROR(VLOOKUP($E:$E,Structure!$A:$AJ,O$1,0)*$F329,0),IFERROR(VLOOKUP($G:$G,Structure!$A:$AJ,O$1,0)*$H329,0))</f>
        <v>0</v>
      </c>
      <c r="P329" s="9">
        <f>SUM(IFERROR(VLOOKUP($C:$C,Structure!$A:$AJ,P$1,0)*$D329,0),IFERROR(VLOOKUP($E:$E,Structure!$A:$AJ,P$1,0)*$F329,0),IFERROR(VLOOKUP($G:$G,Structure!$A:$AJ,P$1,0)*$H329,0))</f>
        <v>0</v>
      </c>
      <c r="Q329" s="9">
        <f>SUM(IFERROR(VLOOKUP($C:$C,Structure!$A:$AJ,Q$1,0)*$D329,0),IFERROR(VLOOKUP($E:$E,Structure!$A:$AJ,Q$1,0)*$F329,0),IFERROR(VLOOKUP($G:$G,Structure!$A:$AJ,Q$1,0)*$H329,0))</f>
        <v>0</v>
      </c>
      <c r="R329" s="9">
        <f>SUM(IFERROR(VLOOKUP($C:$C,Structure!$A:$AJ,R$1,0)*$D329,0),IFERROR(VLOOKUP($E:$E,Structure!$A:$AJ,R$1,0)*$F329,0),IFERROR(VLOOKUP($G:$G,Structure!$A:$AJ,R$1,0)*$H329,0))</f>
        <v>0</v>
      </c>
      <c r="S329" s="9">
        <f>SUM(IFERROR(VLOOKUP($C:$C,Structure!$A:$AJ,S$1,0)*$D329,0),IFERROR(VLOOKUP($E:$E,Structure!$A:$AJ,S$1,0)*$F329,0),IFERROR(VLOOKUP($G:$G,Structure!$A:$AJ,S$1,0)*$H329,0))</f>
        <v>0</v>
      </c>
      <c r="T329" s="9">
        <f>SUM(IFERROR(VLOOKUP($C:$C,Structure!$A:$AJ,T$1,0)*$D329,0),IFERROR(VLOOKUP($E:$E,Structure!$A:$AJ,T$1,0)*$F329,0),IFERROR(VLOOKUP($G:$G,Structure!$A:$AJ,T$1,0)*$H329,0))</f>
        <v>0</v>
      </c>
      <c r="U329" s="9">
        <f>SUM(IFERROR(VLOOKUP($C:$C,Structure!$A:$AJ,U$1,0)*$D329,0),IFERROR(VLOOKUP($E:$E,Structure!$A:$AJ,U$1,0)*$F329,0),IFERROR(VLOOKUP($G:$G,Structure!$A:$AJ,U$1,0)*$H329,0))</f>
        <v>8</v>
      </c>
      <c r="V329" s="9">
        <f>SUM(IFERROR(VLOOKUP($C:$C,Structure!$A:$AJ,V$1,0)*$D329,0),IFERROR(VLOOKUP($E:$E,Structure!$A:$AJ,V$1,0)*$F329,0),IFERROR(VLOOKUP($G:$G,Structure!$A:$AJ,V$1,0)*$H329,0))</f>
        <v>0</v>
      </c>
      <c r="W329" s="9">
        <f>SUM(IFERROR(VLOOKUP($C:$C,Structure!$A:$AJ,W$1,0)*$D329,0),IFERROR(VLOOKUP($E:$E,Structure!$A:$AJ,W$1,0)*$F329,0),IFERROR(VLOOKUP($G:$G,Structure!$A:$AJ,W$1,0)*$H329,0))</f>
        <v>0</v>
      </c>
      <c r="X329" s="9">
        <f>SUM(IFERROR(VLOOKUP($C:$C,Structure!$A:$AJ,X$1,0)*$D329,0),IFERROR(VLOOKUP($E:$E,Structure!$A:$AJ,X$1,0)*$F329,0),IFERROR(VLOOKUP($G:$G,Structure!$A:$AJ,X$1,0)*$H329,0))</f>
        <v>0</v>
      </c>
      <c r="Y329" s="9">
        <f>SUM(IFERROR(VLOOKUP($C:$C,Structure!$A:$AJ,Y$1,0)*$D329,0),IFERROR(VLOOKUP($E:$E,Structure!$A:$AJ,Y$1,0)*$F329,0),IFERROR(VLOOKUP($G:$G,Structure!$A:$AJ,Y$1,0)*$H329,0))</f>
        <v>0</v>
      </c>
      <c r="Z329" s="9">
        <f>SUM(IFERROR(VLOOKUP($C:$C,Structure!$A:$AJ,Z$1,0)*$D329,0),IFERROR(VLOOKUP($E:$E,Structure!$A:$AJ,Z$1,0)*$F329,0),IFERROR(VLOOKUP($G:$G,Structure!$A:$AJ,Z$1,0)*$H329,0))</f>
        <v>0</v>
      </c>
      <c r="AA329" s="9">
        <f>SUM(IFERROR(VLOOKUP($C:$C,Structure!$A:$AJ,AA$1,0)*$D329,0),IFERROR(VLOOKUP($E:$E,Structure!$A:$AJ,AA$1,0)*$F329,0),IFERROR(VLOOKUP($G:$G,Structure!$A:$AJ,AA$1,0)*$H329,0))</f>
        <v>0</v>
      </c>
      <c r="AB329" s="9">
        <f>SUM(IFERROR(VLOOKUP($C:$C,Structure!$A:$AJ,AB$1,0)*$D329,0),IFERROR(VLOOKUP($E:$E,Structure!$A:$AJ,AB$1,0)*$F329,0),IFERROR(VLOOKUP($G:$G,Structure!$A:$AJ,AB$1,0)*$H329,0))</f>
        <v>0</v>
      </c>
      <c r="AC329" s="9">
        <f>SUM(IFERROR(VLOOKUP($C:$C,Structure!$A:$AJ,AC$1,0)*$D329,0),IFERROR(VLOOKUP($E:$E,Structure!$A:$AJ,AC$1,0)*$F329,0),IFERROR(VLOOKUP($G:$G,Structure!$A:$AJ,AC$1,0)*$H329,0))</f>
        <v>8</v>
      </c>
      <c r="AD329" s="9">
        <f>SUM(IFERROR(VLOOKUP($C:$C,Structure!$A:$AJ,AD$1,0)*$D329,0),IFERROR(VLOOKUP($E:$E,Structure!$A:$AJ,AD$1,0)*$F329,0),IFERROR(VLOOKUP($G:$G,Structure!$A:$AJ,AD$1,0)*$H329,0))</f>
        <v>0</v>
      </c>
      <c r="AE329" s="9">
        <f>SUM(IFERROR(VLOOKUP($C:$C,Structure!$A:$AJ,AE$1,0)*$D329,0),IFERROR(VLOOKUP($E:$E,Structure!$A:$AJ,AE$1,0)*$F329,0),IFERROR(VLOOKUP($G:$G,Structure!$A:$AJ,AE$1,0)*$H329,0))</f>
        <v>0</v>
      </c>
      <c r="AF329" s="9">
        <f>SUM(IFERROR(VLOOKUP($C:$C,Structure!$A:$AJ,AF$1,0)*$D329,0),IFERROR(VLOOKUP($E:$E,Structure!$A:$AJ,AF$1,0)*$F329,0),IFERROR(VLOOKUP($G:$G,Structure!$A:$AJ,AF$1,0)*$H329,0))</f>
        <v>0</v>
      </c>
      <c r="AG329" s="9">
        <f>SUM(IFERROR(VLOOKUP($C:$C,Structure!$A:$AJ,AG$1,0)*$D329,0),IFERROR(VLOOKUP($E:$E,Structure!$A:$AJ,AG$1,0)*$F329,0),IFERROR(VLOOKUP($G:$G,Structure!$A:$AJ,AG$1,0)*$H329,0))</f>
        <v>0</v>
      </c>
      <c r="AH329" s="9">
        <f>SUM(IFERROR(VLOOKUP($C:$C,Structure!$A:$AJ,AH$1,0)*$D329,0),IFERROR(VLOOKUP($E:$E,Structure!$A:$AJ,AH$1,0)*$F329,0),IFERROR(VLOOKUP($G:$G,Structure!$A:$AJ,AH$1,0)*$H329,0))</f>
        <v>0</v>
      </c>
      <c r="AI329" s="9">
        <f>SUM(IFERROR(VLOOKUP($C:$C,Structure!$A:$AJ,AI$1,0)*$D329,0),IFERROR(VLOOKUP($E:$E,Structure!$A:$AJ,AI$1,0)*$F329,0),IFERROR(VLOOKUP($G:$G,Structure!$A:$AJ,AI$1,0)*$H329,0))</f>
        <v>0</v>
      </c>
      <c r="AJ329" s="9">
        <f>SUM(IFERROR(VLOOKUP($C:$C,Structure!$A:$AJ,AJ$1,0)*$D329,0),IFERROR(VLOOKUP($E:$E,Structure!$A:$AJ,AJ$1,0)*$F329,0),IFERROR(VLOOKUP($G:$G,Structure!$A:$AJ,AJ$1,0)*$H329,0))</f>
        <v>0</v>
      </c>
      <c r="AK329" s="9">
        <f>SUM(IFERROR(VLOOKUP($C:$C,Structure!$A:$AJ,AK$1,0)*$D329,0),IFERROR(VLOOKUP($E:$E,Structure!$A:$AJ,AK$1,0)*$F329,0),IFERROR(VLOOKUP($G:$G,Structure!$A:$AJ,AK$1,0)*$H329,0))</f>
        <v>0</v>
      </c>
      <c r="AL329" s="9">
        <f>SUM(IFERROR(VLOOKUP($C:$C,Structure!$A:$AJ,AL$1,0)*$D329,0),IFERROR(VLOOKUP($E:$E,Structure!$A:$AJ,AL$1,0)*$F329,0),IFERROR(VLOOKUP($G:$G,Structure!$A:$AJ,AL$1,0)*$H329,0))</f>
        <v>0</v>
      </c>
      <c r="AM329" s="9">
        <f>SUM(IFERROR(VLOOKUP($C:$C,Structure!$A:$AJ,AM$1,0)*$D329,0),IFERROR(VLOOKUP($E:$E,Structure!$A:$AJ,AM$1,0)*$F329,0),IFERROR(VLOOKUP($G:$G,Structure!$A:$AJ,AM$1,0)*$H329,0))</f>
        <v>0</v>
      </c>
      <c r="AN329" s="9">
        <f>SUM(IFERROR(VLOOKUP($C:$C,Structure!$A:$AJ,AN$1,0)*$D329,0),IFERROR(VLOOKUP($E:$E,Structure!$A:$AJ,AN$1,0)*$F329,0),IFERROR(VLOOKUP($G:$G,Structure!$A:$AJ,AN$1,0)*$H329,0))</f>
        <v>0</v>
      </c>
      <c r="AO329" s="9">
        <f>SUM(IFERROR(VLOOKUP($C:$C,Structure!$A:$AJ,AO$1,0)*$D329,0),IFERROR(VLOOKUP($E:$E,Structure!$A:$AJ,AO$1,0)*$F329,0),IFERROR(VLOOKUP($G:$G,Structure!$A:$AJ,AO$1,0)*$H329,0))</f>
        <v>0</v>
      </c>
      <c r="AP329" s="9">
        <f>SUM(IFERROR(VLOOKUP($C:$C,Structure!$A:$AJ,AP$1,0)*$D329,0),IFERROR(VLOOKUP($E:$E,Structure!$A:$AJ,AP$1,0)*$F329,0),IFERROR(VLOOKUP($G:$G,Structure!$A:$AJ,AP$1,0)*$H329,0))</f>
        <v>0</v>
      </c>
      <c r="AQ329" s="9">
        <f>SUM(IFERROR(VLOOKUP($C:$C,Structure!$A:$AJ,AQ$1,0)*$D329,0),IFERROR(VLOOKUP($E:$E,Structure!$A:$AJ,AQ$1,0)*$F329,0),IFERROR(VLOOKUP($G:$G,Structure!$A:$AJ,AQ$1,0)*$H329,0))</f>
        <v>0</v>
      </c>
      <c r="AR329" s="21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4">
        <f t="shared" si="302"/>
        <v>0</v>
      </c>
      <c r="CE329" s="4">
        <f t="shared" si="303"/>
        <v>-300</v>
      </c>
      <c r="CF329" s="4">
        <f t="shared" si="304"/>
        <v>4</v>
      </c>
      <c r="CG329" s="4">
        <f t="shared" si="305"/>
        <v>9</v>
      </c>
      <c r="CH329" s="4">
        <f t="shared" si="306"/>
        <v>-7</v>
      </c>
      <c r="CI329" s="4">
        <f t="shared" si="307"/>
        <v>85</v>
      </c>
      <c r="CJ329" s="4">
        <f t="shared" si="308"/>
        <v>-471</v>
      </c>
      <c r="CK329" s="4">
        <f t="shared" si="309"/>
        <v>-121</v>
      </c>
      <c r="CL329" s="4">
        <f t="shared" si="310"/>
        <v>0</v>
      </c>
      <c r="CM329" s="4">
        <f t="shared" si="311"/>
        <v>6</v>
      </c>
      <c r="CN329" s="4">
        <f t="shared" si="312"/>
        <v>-358</v>
      </c>
      <c r="CO329" s="4">
        <f t="shared" si="313"/>
        <v>0</v>
      </c>
      <c r="CP329" s="4">
        <f t="shared" si="314"/>
        <v>-71</v>
      </c>
      <c r="CQ329" s="4">
        <f t="shared" si="315"/>
        <v>-691</v>
      </c>
      <c r="CR329" s="4">
        <f t="shared" si="316"/>
        <v>10</v>
      </c>
      <c r="CS329" s="4">
        <f t="shared" si="317"/>
        <v>-66</v>
      </c>
      <c r="CT329" s="4">
        <f t="shared" si="318"/>
        <v>0</v>
      </c>
      <c r="CU329" s="4">
        <f t="shared" si="319"/>
        <v>0</v>
      </c>
      <c r="CV329" s="4">
        <f t="shared" si="320"/>
        <v>0</v>
      </c>
      <c r="CW329" s="4">
        <f t="shared" si="321"/>
        <v>0</v>
      </c>
      <c r="CX329" s="4">
        <f t="shared" si="322"/>
        <v>-1022</v>
      </c>
      <c r="CY329" s="4">
        <f t="shared" si="323"/>
        <v>0</v>
      </c>
      <c r="CZ329" s="4">
        <f t="shared" si="324"/>
        <v>0</v>
      </c>
      <c r="DA329" s="4">
        <f t="shared" si="325"/>
        <v>0</v>
      </c>
      <c r="DB329" s="4">
        <f t="shared" si="326"/>
        <v>0</v>
      </c>
      <c r="DC329" s="4">
        <f t="shared" si="327"/>
        <v>0</v>
      </c>
      <c r="DD329" s="4">
        <f t="shared" si="328"/>
        <v>0</v>
      </c>
      <c r="DE329" s="4">
        <f t="shared" si="329"/>
        <v>0</v>
      </c>
      <c r="DF329" s="4">
        <f t="shared" si="330"/>
        <v>0</v>
      </c>
      <c r="DG329" s="4">
        <f t="shared" si="331"/>
        <v>0</v>
      </c>
      <c r="DH329" s="4">
        <f t="shared" si="332"/>
        <v>0</v>
      </c>
      <c r="DI329" s="4">
        <f t="shared" si="333"/>
        <v>0</v>
      </c>
      <c r="DJ329" s="4">
        <f t="shared" si="334"/>
        <v>0</v>
      </c>
      <c r="DK329" s="4">
        <f t="shared" si="335"/>
        <v>0</v>
      </c>
      <c r="DL329" s="4">
        <f t="shared" si="336"/>
        <v>0</v>
      </c>
    </row>
    <row r="330" spans="1:116" x14ac:dyDescent="0.25">
      <c r="A330" s="5">
        <v>46190</v>
      </c>
      <c r="B330" s="6">
        <v>0.12500000079307938</v>
      </c>
      <c r="C330" s="3"/>
      <c r="D330" s="3"/>
      <c r="E330" s="3" t="s">
        <v>25</v>
      </c>
      <c r="F330" s="3">
        <v>8</v>
      </c>
      <c r="G330" s="3"/>
      <c r="H330" s="9"/>
      <c r="I330" s="9">
        <f>SUM(IFERROR(VLOOKUP($C:$C,Structure!$A:$AJ,I$1,0)*$D330,0),IFERROR(VLOOKUP($E:$E,Structure!$A:$AJ,I$1,0)*$F330,0),IFERROR(VLOOKUP($G:$G,Structure!$A:$AJ,I$1,0)*$H330,0))</f>
        <v>0</v>
      </c>
      <c r="J330" s="9">
        <f>SUM(IFERROR(VLOOKUP($C:$C,Structure!$A:$AJ,J$1,0)*$D330,0),IFERROR(VLOOKUP($E:$E,Structure!$A:$AJ,J$1,0)*$F330,0),IFERROR(VLOOKUP($G:$G,Structure!$A:$AJ,J$1,0)*$H330,0))</f>
        <v>0</v>
      </c>
      <c r="K330" s="9">
        <f>SUM(IFERROR(VLOOKUP($C:$C,Structure!$A:$AJ,K$1,0)*$D330,0),IFERROR(VLOOKUP($E:$E,Structure!$A:$AJ,K$1,0)*$F330,0),IFERROR(VLOOKUP($G:$G,Structure!$A:$AJ,K$1,0)*$H330,0))</f>
        <v>0</v>
      </c>
      <c r="L330" s="9">
        <f>SUM(IFERROR(VLOOKUP($C:$C,Structure!$A:$AJ,L$1,0)*$D330,0),IFERROR(VLOOKUP($E:$E,Structure!$A:$AJ,L$1,0)*$F330,0),IFERROR(VLOOKUP($G:$G,Structure!$A:$AJ,L$1,0)*$H330,0))</f>
        <v>0</v>
      </c>
      <c r="M330" s="9">
        <f>SUM(IFERROR(VLOOKUP($C:$C,Structure!$A:$AJ,M$1,0)*$D330,0),IFERROR(VLOOKUP($E:$E,Structure!$A:$AJ,M$1,0)*$F330,0),IFERROR(VLOOKUP($G:$G,Structure!$A:$AJ,M$1,0)*$H330,0))</f>
        <v>0</v>
      </c>
      <c r="N330" s="9">
        <f>SUM(IFERROR(VLOOKUP($C:$C,Structure!$A:$AJ,N$1,0)*$D330,0),IFERROR(VLOOKUP($E:$E,Structure!$A:$AJ,N$1,0)*$F330,0),IFERROR(VLOOKUP($G:$G,Structure!$A:$AJ,N$1,0)*$H330,0))</f>
        <v>0</v>
      </c>
      <c r="O330" s="9">
        <f>SUM(IFERROR(VLOOKUP($C:$C,Structure!$A:$AJ,O$1,0)*$D330,0),IFERROR(VLOOKUP($E:$E,Structure!$A:$AJ,O$1,0)*$F330,0),IFERROR(VLOOKUP($G:$G,Structure!$A:$AJ,O$1,0)*$H330,0))</f>
        <v>0</v>
      </c>
      <c r="P330" s="9">
        <f>SUM(IFERROR(VLOOKUP($C:$C,Structure!$A:$AJ,P$1,0)*$D330,0),IFERROR(VLOOKUP($E:$E,Structure!$A:$AJ,P$1,0)*$F330,0),IFERROR(VLOOKUP($G:$G,Structure!$A:$AJ,P$1,0)*$H330,0))</f>
        <v>0</v>
      </c>
      <c r="Q330" s="9">
        <f>SUM(IFERROR(VLOOKUP($C:$C,Structure!$A:$AJ,Q$1,0)*$D330,0),IFERROR(VLOOKUP($E:$E,Structure!$A:$AJ,Q$1,0)*$F330,0),IFERROR(VLOOKUP($G:$G,Structure!$A:$AJ,Q$1,0)*$H330,0))</f>
        <v>0</v>
      </c>
      <c r="R330" s="9">
        <f>SUM(IFERROR(VLOOKUP($C:$C,Structure!$A:$AJ,R$1,0)*$D330,0),IFERROR(VLOOKUP($E:$E,Structure!$A:$AJ,R$1,0)*$F330,0),IFERROR(VLOOKUP($G:$G,Structure!$A:$AJ,R$1,0)*$H330,0))</f>
        <v>0</v>
      </c>
      <c r="S330" s="9">
        <f>SUM(IFERROR(VLOOKUP($C:$C,Structure!$A:$AJ,S$1,0)*$D330,0),IFERROR(VLOOKUP($E:$E,Structure!$A:$AJ,S$1,0)*$F330,0),IFERROR(VLOOKUP($G:$G,Structure!$A:$AJ,S$1,0)*$H330,0))</f>
        <v>0</v>
      </c>
      <c r="T330" s="9">
        <f>SUM(IFERROR(VLOOKUP($C:$C,Structure!$A:$AJ,T$1,0)*$D330,0),IFERROR(VLOOKUP($E:$E,Structure!$A:$AJ,T$1,0)*$F330,0),IFERROR(VLOOKUP($G:$G,Structure!$A:$AJ,T$1,0)*$H330,0))</f>
        <v>0</v>
      </c>
      <c r="U330" s="9">
        <f>SUM(IFERROR(VLOOKUP($C:$C,Structure!$A:$AJ,U$1,0)*$D330,0),IFERROR(VLOOKUP($E:$E,Structure!$A:$AJ,U$1,0)*$F330,0),IFERROR(VLOOKUP($G:$G,Structure!$A:$AJ,U$1,0)*$H330,0))</f>
        <v>8</v>
      </c>
      <c r="V330" s="9">
        <f>SUM(IFERROR(VLOOKUP($C:$C,Structure!$A:$AJ,V$1,0)*$D330,0),IFERROR(VLOOKUP($E:$E,Structure!$A:$AJ,V$1,0)*$F330,0),IFERROR(VLOOKUP($G:$G,Structure!$A:$AJ,V$1,0)*$H330,0))</f>
        <v>0</v>
      </c>
      <c r="W330" s="9">
        <f>SUM(IFERROR(VLOOKUP($C:$C,Structure!$A:$AJ,W$1,0)*$D330,0),IFERROR(VLOOKUP($E:$E,Structure!$A:$AJ,W$1,0)*$F330,0),IFERROR(VLOOKUP($G:$G,Structure!$A:$AJ,W$1,0)*$H330,0))</f>
        <v>0</v>
      </c>
      <c r="X330" s="9">
        <f>SUM(IFERROR(VLOOKUP($C:$C,Structure!$A:$AJ,X$1,0)*$D330,0),IFERROR(VLOOKUP($E:$E,Structure!$A:$AJ,X$1,0)*$F330,0),IFERROR(VLOOKUP($G:$G,Structure!$A:$AJ,X$1,0)*$H330,0))</f>
        <v>0</v>
      </c>
      <c r="Y330" s="9">
        <f>SUM(IFERROR(VLOOKUP($C:$C,Structure!$A:$AJ,Y$1,0)*$D330,0),IFERROR(VLOOKUP($E:$E,Structure!$A:$AJ,Y$1,0)*$F330,0),IFERROR(VLOOKUP($G:$G,Structure!$A:$AJ,Y$1,0)*$H330,0))</f>
        <v>0</v>
      </c>
      <c r="Z330" s="9">
        <f>SUM(IFERROR(VLOOKUP($C:$C,Structure!$A:$AJ,Z$1,0)*$D330,0),IFERROR(VLOOKUP($E:$E,Structure!$A:$AJ,Z$1,0)*$F330,0),IFERROR(VLOOKUP($G:$G,Structure!$A:$AJ,Z$1,0)*$H330,0))</f>
        <v>0</v>
      </c>
      <c r="AA330" s="9">
        <f>SUM(IFERROR(VLOOKUP($C:$C,Structure!$A:$AJ,AA$1,0)*$D330,0),IFERROR(VLOOKUP($E:$E,Structure!$A:$AJ,AA$1,0)*$F330,0),IFERROR(VLOOKUP($G:$G,Structure!$A:$AJ,AA$1,0)*$H330,0))</f>
        <v>0</v>
      </c>
      <c r="AB330" s="9">
        <f>SUM(IFERROR(VLOOKUP($C:$C,Structure!$A:$AJ,AB$1,0)*$D330,0),IFERROR(VLOOKUP($E:$E,Structure!$A:$AJ,AB$1,0)*$F330,0),IFERROR(VLOOKUP($G:$G,Structure!$A:$AJ,AB$1,0)*$H330,0))</f>
        <v>0</v>
      </c>
      <c r="AC330" s="9">
        <f>SUM(IFERROR(VLOOKUP($C:$C,Structure!$A:$AJ,AC$1,0)*$D330,0),IFERROR(VLOOKUP($E:$E,Structure!$A:$AJ,AC$1,0)*$F330,0),IFERROR(VLOOKUP($G:$G,Structure!$A:$AJ,AC$1,0)*$H330,0))</f>
        <v>8</v>
      </c>
      <c r="AD330" s="9">
        <f>SUM(IFERROR(VLOOKUP($C:$C,Structure!$A:$AJ,AD$1,0)*$D330,0),IFERROR(VLOOKUP($E:$E,Structure!$A:$AJ,AD$1,0)*$F330,0),IFERROR(VLOOKUP($G:$G,Structure!$A:$AJ,AD$1,0)*$H330,0))</f>
        <v>0</v>
      </c>
      <c r="AE330" s="9">
        <f>SUM(IFERROR(VLOOKUP($C:$C,Structure!$A:$AJ,AE$1,0)*$D330,0),IFERROR(VLOOKUP($E:$E,Structure!$A:$AJ,AE$1,0)*$F330,0),IFERROR(VLOOKUP($G:$G,Structure!$A:$AJ,AE$1,0)*$H330,0))</f>
        <v>0</v>
      </c>
      <c r="AF330" s="9">
        <f>SUM(IFERROR(VLOOKUP($C:$C,Structure!$A:$AJ,AF$1,0)*$D330,0),IFERROR(VLOOKUP($E:$E,Structure!$A:$AJ,AF$1,0)*$F330,0),IFERROR(VLOOKUP($G:$G,Structure!$A:$AJ,AF$1,0)*$H330,0))</f>
        <v>0</v>
      </c>
      <c r="AG330" s="9">
        <f>SUM(IFERROR(VLOOKUP($C:$C,Structure!$A:$AJ,AG$1,0)*$D330,0),IFERROR(VLOOKUP($E:$E,Structure!$A:$AJ,AG$1,0)*$F330,0),IFERROR(VLOOKUP($G:$G,Structure!$A:$AJ,AG$1,0)*$H330,0))</f>
        <v>0</v>
      </c>
      <c r="AH330" s="9">
        <f>SUM(IFERROR(VLOOKUP($C:$C,Structure!$A:$AJ,AH$1,0)*$D330,0),IFERROR(VLOOKUP($E:$E,Structure!$A:$AJ,AH$1,0)*$F330,0),IFERROR(VLOOKUP($G:$G,Structure!$A:$AJ,AH$1,0)*$H330,0))</f>
        <v>0</v>
      </c>
      <c r="AI330" s="9">
        <f>SUM(IFERROR(VLOOKUP($C:$C,Structure!$A:$AJ,AI$1,0)*$D330,0),IFERROR(VLOOKUP($E:$E,Structure!$A:$AJ,AI$1,0)*$F330,0),IFERROR(VLOOKUP($G:$G,Structure!$A:$AJ,AI$1,0)*$H330,0))</f>
        <v>0</v>
      </c>
      <c r="AJ330" s="9">
        <f>SUM(IFERROR(VLOOKUP($C:$C,Structure!$A:$AJ,AJ$1,0)*$D330,0),IFERROR(VLOOKUP($E:$E,Structure!$A:$AJ,AJ$1,0)*$F330,0),IFERROR(VLOOKUP($G:$G,Structure!$A:$AJ,AJ$1,0)*$H330,0))</f>
        <v>0</v>
      </c>
      <c r="AK330" s="9">
        <f>SUM(IFERROR(VLOOKUP($C:$C,Structure!$A:$AJ,AK$1,0)*$D330,0),IFERROR(VLOOKUP($E:$E,Structure!$A:$AJ,AK$1,0)*$F330,0),IFERROR(VLOOKUP($G:$G,Structure!$A:$AJ,AK$1,0)*$H330,0))</f>
        <v>0</v>
      </c>
      <c r="AL330" s="9">
        <f>SUM(IFERROR(VLOOKUP($C:$C,Structure!$A:$AJ,AL$1,0)*$D330,0),IFERROR(VLOOKUP($E:$E,Structure!$A:$AJ,AL$1,0)*$F330,0),IFERROR(VLOOKUP($G:$G,Structure!$A:$AJ,AL$1,0)*$H330,0))</f>
        <v>0</v>
      </c>
      <c r="AM330" s="9">
        <f>SUM(IFERROR(VLOOKUP($C:$C,Structure!$A:$AJ,AM$1,0)*$D330,0),IFERROR(VLOOKUP($E:$E,Structure!$A:$AJ,AM$1,0)*$F330,0),IFERROR(VLOOKUP($G:$G,Structure!$A:$AJ,AM$1,0)*$H330,0))</f>
        <v>0</v>
      </c>
      <c r="AN330" s="9">
        <f>SUM(IFERROR(VLOOKUP($C:$C,Structure!$A:$AJ,AN$1,0)*$D330,0),IFERROR(VLOOKUP($E:$E,Structure!$A:$AJ,AN$1,0)*$F330,0),IFERROR(VLOOKUP($G:$G,Structure!$A:$AJ,AN$1,0)*$H330,0))</f>
        <v>0</v>
      </c>
      <c r="AO330" s="9">
        <f>SUM(IFERROR(VLOOKUP($C:$C,Structure!$A:$AJ,AO$1,0)*$D330,0),IFERROR(VLOOKUP($E:$E,Structure!$A:$AJ,AO$1,0)*$F330,0),IFERROR(VLOOKUP($G:$G,Structure!$A:$AJ,AO$1,0)*$H330,0))</f>
        <v>0</v>
      </c>
      <c r="AP330" s="9">
        <f>SUM(IFERROR(VLOOKUP($C:$C,Structure!$A:$AJ,AP$1,0)*$D330,0),IFERROR(VLOOKUP($E:$E,Structure!$A:$AJ,AP$1,0)*$F330,0),IFERROR(VLOOKUP($G:$G,Structure!$A:$AJ,AP$1,0)*$H330,0))</f>
        <v>0</v>
      </c>
      <c r="AQ330" s="9">
        <f>SUM(IFERROR(VLOOKUP($C:$C,Structure!$A:$AJ,AQ$1,0)*$D330,0),IFERROR(VLOOKUP($E:$E,Structure!$A:$AJ,AQ$1,0)*$F330,0),IFERROR(VLOOKUP($G:$G,Structure!$A:$AJ,AQ$1,0)*$H330,0))</f>
        <v>0</v>
      </c>
      <c r="AR330" s="21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4">
        <f t="shared" si="302"/>
        <v>0</v>
      </c>
      <c r="CE330" s="4">
        <f t="shared" si="303"/>
        <v>-300</v>
      </c>
      <c r="CF330" s="4">
        <f t="shared" si="304"/>
        <v>4</v>
      </c>
      <c r="CG330" s="4">
        <f t="shared" si="305"/>
        <v>9</v>
      </c>
      <c r="CH330" s="4">
        <f t="shared" si="306"/>
        <v>-7</v>
      </c>
      <c r="CI330" s="4">
        <f t="shared" si="307"/>
        <v>85</v>
      </c>
      <c r="CJ330" s="4">
        <f t="shared" si="308"/>
        <v>-471</v>
      </c>
      <c r="CK330" s="4">
        <f t="shared" si="309"/>
        <v>-121</v>
      </c>
      <c r="CL330" s="4">
        <f t="shared" si="310"/>
        <v>0</v>
      </c>
      <c r="CM330" s="4">
        <f t="shared" si="311"/>
        <v>6</v>
      </c>
      <c r="CN330" s="4">
        <f t="shared" si="312"/>
        <v>-358</v>
      </c>
      <c r="CO330" s="4">
        <f t="shared" si="313"/>
        <v>0</v>
      </c>
      <c r="CP330" s="4">
        <f t="shared" si="314"/>
        <v>-79</v>
      </c>
      <c r="CQ330" s="4">
        <f t="shared" si="315"/>
        <v>-691</v>
      </c>
      <c r="CR330" s="4">
        <f t="shared" si="316"/>
        <v>10</v>
      </c>
      <c r="CS330" s="4">
        <f t="shared" si="317"/>
        <v>-66</v>
      </c>
      <c r="CT330" s="4">
        <f t="shared" si="318"/>
        <v>0</v>
      </c>
      <c r="CU330" s="4">
        <f t="shared" si="319"/>
        <v>0</v>
      </c>
      <c r="CV330" s="4">
        <f t="shared" si="320"/>
        <v>0</v>
      </c>
      <c r="CW330" s="4">
        <f t="shared" si="321"/>
        <v>0</v>
      </c>
      <c r="CX330" s="4">
        <f t="shared" si="322"/>
        <v>-1030</v>
      </c>
      <c r="CY330" s="4">
        <f t="shared" si="323"/>
        <v>0</v>
      </c>
      <c r="CZ330" s="4">
        <f t="shared" si="324"/>
        <v>0</v>
      </c>
      <c r="DA330" s="4">
        <f t="shared" si="325"/>
        <v>0</v>
      </c>
      <c r="DB330" s="4">
        <f t="shared" si="326"/>
        <v>0</v>
      </c>
      <c r="DC330" s="4">
        <f t="shared" si="327"/>
        <v>0</v>
      </c>
      <c r="DD330" s="4">
        <f t="shared" si="328"/>
        <v>0</v>
      </c>
      <c r="DE330" s="4">
        <f t="shared" si="329"/>
        <v>0</v>
      </c>
      <c r="DF330" s="4">
        <f t="shared" si="330"/>
        <v>0</v>
      </c>
      <c r="DG330" s="4">
        <f t="shared" si="331"/>
        <v>0</v>
      </c>
      <c r="DH330" s="4">
        <f t="shared" si="332"/>
        <v>0</v>
      </c>
      <c r="DI330" s="4">
        <f t="shared" si="333"/>
        <v>0</v>
      </c>
      <c r="DJ330" s="4">
        <f t="shared" si="334"/>
        <v>0</v>
      </c>
      <c r="DK330" s="4">
        <f t="shared" si="335"/>
        <v>0</v>
      </c>
      <c r="DL330" s="4">
        <f t="shared" si="336"/>
        <v>0</v>
      </c>
    </row>
    <row r="331" spans="1:116" x14ac:dyDescent="0.25">
      <c r="A331" s="5">
        <v>46190</v>
      </c>
      <c r="B331" s="6">
        <v>0.14583333412883803</v>
      </c>
      <c r="C331" s="3"/>
      <c r="D331" s="3"/>
      <c r="E331" s="3" t="s">
        <v>25</v>
      </c>
      <c r="F331" s="3">
        <v>8</v>
      </c>
      <c r="G331" s="3"/>
      <c r="H331" s="9"/>
      <c r="I331" s="9">
        <f>SUM(IFERROR(VLOOKUP($C:$C,Structure!$A:$AJ,I$1,0)*$D331,0),IFERROR(VLOOKUP($E:$E,Structure!$A:$AJ,I$1,0)*$F331,0),IFERROR(VLOOKUP($G:$G,Structure!$A:$AJ,I$1,0)*$H331,0))</f>
        <v>0</v>
      </c>
      <c r="J331" s="9">
        <f>SUM(IFERROR(VLOOKUP($C:$C,Structure!$A:$AJ,J$1,0)*$D331,0),IFERROR(VLOOKUP($E:$E,Structure!$A:$AJ,J$1,0)*$F331,0),IFERROR(VLOOKUP($G:$G,Structure!$A:$AJ,J$1,0)*$H331,0))</f>
        <v>0</v>
      </c>
      <c r="K331" s="9">
        <f>SUM(IFERROR(VLOOKUP($C:$C,Structure!$A:$AJ,K$1,0)*$D331,0),IFERROR(VLOOKUP($E:$E,Structure!$A:$AJ,K$1,0)*$F331,0),IFERROR(VLOOKUP($G:$G,Structure!$A:$AJ,K$1,0)*$H331,0))</f>
        <v>0</v>
      </c>
      <c r="L331" s="9">
        <f>SUM(IFERROR(VLOOKUP($C:$C,Structure!$A:$AJ,L$1,0)*$D331,0),IFERROR(VLOOKUP($E:$E,Structure!$A:$AJ,L$1,0)*$F331,0),IFERROR(VLOOKUP($G:$G,Structure!$A:$AJ,L$1,0)*$H331,0))</f>
        <v>0</v>
      </c>
      <c r="M331" s="9">
        <f>SUM(IFERROR(VLOOKUP($C:$C,Structure!$A:$AJ,M$1,0)*$D331,0),IFERROR(VLOOKUP($E:$E,Structure!$A:$AJ,M$1,0)*$F331,0),IFERROR(VLOOKUP($G:$G,Structure!$A:$AJ,M$1,0)*$H331,0))</f>
        <v>0</v>
      </c>
      <c r="N331" s="9">
        <f>SUM(IFERROR(VLOOKUP($C:$C,Structure!$A:$AJ,N$1,0)*$D331,0),IFERROR(VLOOKUP($E:$E,Structure!$A:$AJ,N$1,0)*$F331,0),IFERROR(VLOOKUP($G:$G,Structure!$A:$AJ,N$1,0)*$H331,0))</f>
        <v>0</v>
      </c>
      <c r="O331" s="9">
        <f>SUM(IFERROR(VLOOKUP($C:$C,Structure!$A:$AJ,O$1,0)*$D331,0),IFERROR(VLOOKUP($E:$E,Structure!$A:$AJ,O$1,0)*$F331,0),IFERROR(VLOOKUP($G:$G,Structure!$A:$AJ,O$1,0)*$H331,0))</f>
        <v>0</v>
      </c>
      <c r="P331" s="9">
        <f>SUM(IFERROR(VLOOKUP($C:$C,Structure!$A:$AJ,P$1,0)*$D331,0),IFERROR(VLOOKUP($E:$E,Structure!$A:$AJ,P$1,0)*$F331,0),IFERROR(VLOOKUP($G:$G,Structure!$A:$AJ,P$1,0)*$H331,0))</f>
        <v>0</v>
      </c>
      <c r="Q331" s="9">
        <f>SUM(IFERROR(VLOOKUP($C:$C,Structure!$A:$AJ,Q$1,0)*$D331,0),IFERROR(VLOOKUP($E:$E,Structure!$A:$AJ,Q$1,0)*$F331,0),IFERROR(VLOOKUP($G:$G,Structure!$A:$AJ,Q$1,0)*$H331,0))</f>
        <v>0</v>
      </c>
      <c r="R331" s="9">
        <f>SUM(IFERROR(VLOOKUP($C:$C,Structure!$A:$AJ,R$1,0)*$D331,0),IFERROR(VLOOKUP($E:$E,Structure!$A:$AJ,R$1,0)*$F331,0),IFERROR(VLOOKUP($G:$G,Structure!$A:$AJ,R$1,0)*$H331,0))</f>
        <v>0</v>
      </c>
      <c r="S331" s="9">
        <f>SUM(IFERROR(VLOOKUP($C:$C,Structure!$A:$AJ,S$1,0)*$D331,0),IFERROR(VLOOKUP($E:$E,Structure!$A:$AJ,S$1,0)*$F331,0),IFERROR(VLOOKUP($G:$G,Structure!$A:$AJ,S$1,0)*$H331,0))</f>
        <v>0</v>
      </c>
      <c r="T331" s="9">
        <f>SUM(IFERROR(VLOOKUP($C:$C,Structure!$A:$AJ,T$1,0)*$D331,0),IFERROR(VLOOKUP($E:$E,Structure!$A:$AJ,T$1,0)*$F331,0),IFERROR(VLOOKUP($G:$G,Structure!$A:$AJ,T$1,0)*$H331,0))</f>
        <v>0</v>
      </c>
      <c r="U331" s="9">
        <f>SUM(IFERROR(VLOOKUP($C:$C,Structure!$A:$AJ,U$1,0)*$D331,0),IFERROR(VLOOKUP($E:$E,Structure!$A:$AJ,U$1,0)*$F331,0),IFERROR(VLOOKUP($G:$G,Structure!$A:$AJ,U$1,0)*$H331,0))</f>
        <v>8</v>
      </c>
      <c r="V331" s="9">
        <f>SUM(IFERROR(VLOOKUP($C:$C,Structure!$A:$AJ,V$1,0)*$D331,0),IFERROR(VLOOKUP($E:$E,Structure!$A:$AJ,V$1,0)*$F331,0),IFERROR(VLOOKUP($G:$G,Structure!$A:$AJ,V$1,0)*$H331,0))</f>
        <v>0</v>
      </c>
      <c r="W331" s="9">
        <f>SUM(IFERROR(VLOOKUP($C:$C,Structure!$A:$AJ,W$1,0)*$D331,0),IFERROR(VLOOKUP($E:$E,Structure!$A:$AJ,W$1,0)*$F331,0),IFERROR(VLOOKUP($G:$G,Structure!$A:$AJ,W$1,0)*$H331,0))</f>
        <v>0</v>
      </c>
      <c r="X331" s="9">
        <f>SUM(IFERROR(VLOOKUP($C:$C,Structure!$A:$AJ,X$1,0)*$D331,0),IFERROR(VLOOKUP($E:$E,Structure!$A:$AJ,X$1,0)*$F331,0),IFERROR(VLOOKUP($G:$G,Structure!$A:$AJ,X$1,0)*$H331,0))</f>
        <v>0</v>
      </c>
      <c r="Y331" s="9">
        <f>SUM(IFERROR(VLOOKUP($C:$C,Structure!$A:$AJ,Y$1,0)*$D331,0),IFERROR(VLOOKUP($E:$E,Structure!$A:$AJ,Y$1,0)*$F331,0),IFERROR(VLOOKUP($G:$G,Structure!$A:$AJ,Y$1,0)*$H331,0))</f>
        <v>0</v>
      </c>
      <c r="Z331" s="9">
        <f>SUM(IFERROR(VLOOKUP($C:$C,Structure!$A:$AJ,Z$1,0)*$D331,0),IFERROR(VLOOKUP($E:$E,Structure!$A:$AJ,Z$1,0)*$F331,0),IFERROR(VLOOKUP($G:$G,Structure!$A:$AJ,Z$1,0)*$H331,0))</f>
        <v>0</v>
      </c>
      <c r="AA331" s="9">
        <f>SUM(IFERROR(VLOOKUP($C:$C,Structure!$A:$AJ,AA$1,0)*$D331,0),IFERROR(VLOOKUP($E:$E,Structure!$A:$AJ,AA$1,0)*$F331,0),IFERROR(VLOOKUP($G:$G,Structure!$A:$AJ,AA$1,0)*$H331,0))</f>
        <v>0</v>
      </c>
      <c r="AB331" s="9">
        <f>SUM(IFERROR(VLOOKUP($C:$C,Structure!$A:$AJ,AB$1,0)*$D331,0),IFERROR(VLOOKUP($E:$E,Structure!$A:$AJ,AB$1,0)*$F331,0),IFERROR(VLOOKUP($G:$G,Structure!$A:$AJ,AB$1,0)*$H331,0))</f>
        <v>0</v>
      </c>
      <c r="AC331" s="9">
        <f>SUM(IFERROR(VLOOKUP($C:$C,Structure!$A:$AJ,AC$1,0)*$D331,0),IFERROR(VLOOKUP($E:$E,Structure!$A:$AJ,AC$1,0)*$F331,0),IFERROR(VLOOKUP($G:$G,Structure!$A:$AJ,AC$1,0)*$H331,0))</f>
        <v>8</v>
      </c>
      <c r="AD331" s="9">
        <f>SUM(IFERROR(VLOOKUP($C:$C,Structure!$A:$AJ,AD$1,0)*$D331,0),IFERROR(VLOOKUP($E:$E,Structure!$A:$AJ,AD$1,0)*$F331,0),IFERROR(VLOOKUP($G:$G,Structure!$A:$AJ,AD$1,0)*$H331,0))</f>
        <v>0</v>
      </c>
      <c r="AE331" s="9">
        <f>SUM(IFERROR(VLOOKUP($C:$C,Structure!$A:$AJ,AE$1,0)*$D331,0),IFERROR(VLOOKUP($E:$E,Structure!$A:$AJ,AE$1,0)*$F331,0),IFERROR(VLOOKUP($G:$G,Structure!$A:$AJ,AE$1,0)*$H331,0))</f>
        <v>0</v>
      </c>
      <c r="AF331" s="9">
        <f>SUM(IFERROR(VLOOKUP($C:$C,Structure!$A:$AJ,AF$1,0)*$D331,0),IFERROR(VLOOKUP($E:$E,Structure!$A:$AJ,AF$1,0)*$F331,0),IFERROR(VLOOKUP($G:$G,Structure!$A:$AJ,AF$1,0)*$H331,0))</f>
        <v>0</v>
      </c>
      <c r="AG331" s="9">
        <f>SUM(IFERROR(VLOOKUP($C:$C,Structure!$A:$AJ,AG$1,0)*$D331,0),IFERROR(VLOOKUP($E:$E,Structure!$A:$AJ,AG$1,0)*$F331,0),IFERROR(VLOOKUP($G:$G,Structure!$A:$AJ,AG$1,0)*$H331,0))</f>
        <v>0</v>
      </c>
      <c r="AH331" s="9">
        <f>SUM(IFERROR(VLOOKUP($C:$C,Structure!$A:$AJ,AH$1,0)*$D331,0),IFERROR(VLOOKUP($E:$E,Structure!$A:$AJ,AH$1,0)*$F331,0),IFERROR(VLOOKUP($G:$G,Structure!$A:$AJ,AH$1,0)*$H331,0))</f>
        <v>0</v>
      </c>
      <c r="AI331" s="9">
        <f>SUM(IFERROR(VLOOKUP($C:$C,Structure!$A:$AJ,AI$1,0)*$D331,0),IFERROR(VLOOKUP($E:$E,Structure!$A:$AJ,AI$1,0)*$F331,0),IFERROR(VLOOKUP($G:$G,Structure!$A:$AJ,AI$1,0)*$H331,0))</f>
        <v>0</v>
      </c>
      <c r="AJ331" s="9">
        <f>SUM(IFERROR(VLOOKUP($C:$C,Structure!$A:$AJ,AJ$1,0)*$D331,0),IFERROR(VLOOKUP($E:$E,Structure!$A:$AJ,AJ$1,0)*$F331,0),IFERROR(VLOOKUP($G:$G,Structure!$A:$AJ,AJ$1,0)*$H331,0))</f>
        <v>0</v>
      </c>
      <c r="AK331" s="9">
        <f>SUM(IFERROR(VLOOKUP($C:$C,Structure!$A:$AJ,AK$1,0)*$D331,0),IFERROR(VLOOKUP($E:$E,Structure!$A:$AJ,AK$1,0)*$F331,0),IFERROR(VLOOKUP($G:$G,Structure!$A:$AJ,AK$1,0)*$H331,0))</f>
        <v>0</v>
      </c>
      <c r="AL331" s="9">
        <f>SUM(IFERROR(VLOOKUP($C:$C,Structure!$A:$AJ,AL$1,0)*$D331,0),IFERROR(VLOOKUP($E:$E,Structure!$A:$AJ,AL$1,0)*$F331,0),IFERROR(VLOOKUP($G:$G,Structure!$A:$AJ,AL$1,0)*$H331,0))</f>
        <v>0</v>
      </c>
      <c r="AM331" s="9">
        <f>SUM(IFERROR(VLOOKUP($C:$C,Structure!$A:$AJ,AM$1,0)*$D331,0),IFERROR(VLOOKUP($E:$E,Structure!$A:$AJ,AM$1,0)*$F331,0),IFERROR(VLOOKUP($G:$G,Structure!$A:$AJ,AM$1,0)*$H331,0))</f>
        <v>0</v>
      </c>
      <c r="AN331" s="9">
        <f>SUM(IFERROR(VLOOKUP($C:$C,Structure!$A:$AJ,AN$1,0)*$D331,0),IFERROR(VLOOKUP($E:$E,Structure!$A:$AJ,AN$1,0)*$F331,0),IFERROR(VLOOKUP($G:$G,Structure!$A:$AJ,AN$1,0)*$H331,0))</f>
        <v>0</v>
      </c>
      <c r="AO331" s="9">
        <f>SUM(IFERROR(VLOOKUP($C:$C,Structure!$A:$AJ,AO$1,0)*$D331,0),IFERROR(VLOOKUP($E:$E,Structure!$A:$AJ,AO$1,0)*$F331,0),IFERROR(VLOOKUP($G:$G,Structure!$A:$AJ,AO$1,0)*$H331,0))</f>
        <v>0</v>
      </c>
      <c r="AP331" s="9">
        <f>SUM(IFERROR(VLOOKUP($C:$C,Structure!$A:$AJ,AP$1,0)*$D331,0),IFERROR(VLOOKUP($E:$E,Structure!$A:$AJ,AP$1,0)*$F331,0),IFERROR(VLOOKUP($G:$G,Structure!$A:$AJ,AP$1,0)*$H331,0))</f>
        <v>0</v>
      </c>
      <c r="AQ331" s="9">
        <f>SUM(IFERROR(VLOOKUP($C:$C,Structure!$A:$AJ,AQ$1,0)*$D331,0),IFERROR(VLOOKUP($E:$E,Structure!$A:$AJ,AQ$1,0)*$F331,0),IFERROR(VLOOKUP($G:$G,Structure!$A:$AJ,AQ$1,0)*$H331,0))</f>
        <v>0</v>
      </c>
      <c r="AR331" s="21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4">
        <f t="shared" si="302"/>
        <v>0</v>
      </c>
      <c r="CE331" s="4">
        <f t="shared" si="303"/>
        <v>-300</v>
      </c>
      <c r="CF331" s="4">
        <f t="shared" si="304"/>
        <v>4</v>
      </c>
      <c r="CG331" s="4">
        <f t="shared" si="305"/>
        <v>9</v>
      </c>
      <c r="CH331" s="4">
        <f t="shared" si="306"/>
        <v>-7</v>
      </c>
      <c r="CI331" s="4">
        <f t="shared" si="307"/>
        <v>85</v>
      </c>
      <c r="CJ331" s="4">
        <f t="shared" si="308"/>
        <v>-471</v>
      </c>
      <c r="CK331" s="4">
        <f t="shared" si="309"/>
        <v>-121</v>
      </c>
      <c r="CL331" s="4">
        <f t="shared" si="310"/>
        <v>0</v>
      </c>
      <c r="CM331" s="4">
        <f t="shared" si="311"/>
        <v>6</v>
      </c>
      <c r="CN331" s="4">
        <f t="shared" si="312"/>
        <v>-358</v>
      </c>
      <c r="CO331" s="4">
        <f t="shared" si="313"/>
        <v>0</v>
      </c>
      <c r="CP331" s="4">
        <f t="shared" si="314"/>
        <v>-87</v>
      </c>
      <c r="CQ331" s="4">
        <f t="shared" si="315"/>
        <v>-691</v>
      </c>
      <c r="CR331" s="4">
        <f t="shared" si="316"/>
        <v>10</v>
      </c>
      <c r="CS331" s="4">
        <f t="shared" si="317"/>
        <v>-66</v>
      </c>
      <c r="CT331" s="4">
        <f t="shared" si="318"/>
        <v>0</v>
      </c>
      <c r="CU331" s="4">
        <f t="shared" si="319"/>
        <v>0</v>
      </c>
      <c r="CV331" s="4">
        <f t="shared" si="320"/>
        <v>0</v>
      </c>
      <c r="CW331" s="4">
        <f t="shared" si="321"/>
        <v>0</v>
      </c>
      <c r="CX331" s="4">
        <f t="shared" si="322"/>
        <v>-1038</v>
      </c>
      <c r="CY331" s="4">
        <f t="shared" si="323"/>
        <v>0</v>
      </c>
      <c r="CZ331" s="4">
        <f t="shared" si="324"/>
        <v>0</v>
      </c>
      <c r="DA331" s="4">
        <f t="shared" si="325"/>
        <v>0</v>
      </c>
      <c r="DB331" s="4">
        <f t="shared" si="326"/>
        <v>0</v>
      </c>
      <c r="DC331" s="4">
        <f t="shared" si="327"/>
        <v>0</v>
      </c>
      <c r="DD331" s="4">
        <f t="shared" si="328"/>
        <v>0</v>
      </c>
      <c r="DE331" s="4">
        <f t="shared" si="329"/>
        <v>0</v>
      </c>
      <c r="DF331" s="4">
        <f t="shared" si="330"/>
        <v>0</v>
      </c>
      <c r="DG331" s="4">
        <f t="shared" si="331"/>
        <v>0</v>
      </c>
      <c r="DH331" s="4">
        <f t="shared" si="332"/>
        <v>0</v>
      </c>
      <c r="DI331" s="4">
        <f t="shared" si="333"/>
        <v>0</v>
      </c>
      <c r="DJ331" s="4">
        <f t="shared" si="334"/>
        <v>0</v>
      </c>
      <c r="DK331" s="4">
        <f t="shared" si="335"/>
        <v>0</v>
      </c>
      <c r="DL331" s="4">
        <f t="shared" si="336"/>
        <v>0</v>
      </c>
    </row>
    <row r="332" spans="1:116" x14ac:dyDescent="0.25">
      <c r="A332" s="5">
        <v>46190</v>
      </c>
      <c r="B332" s="6">
        <v>0.16666666746459669</v>
      </c>
      <c r="C332" s="3"/>
      <c r="D332" s="3"/>
      <c r="E332" s="3" t="s">
        <v>25</v>
      </c>
      <c r="F332" s="3">
        <v>8</v>
      </c>
      <c r="G332" s="3"/>
      <c r="H332" s="9"/>
      <c r="I332" s="9">
        <f>SUM(IFERROR(VLOOKUP($C:$C,Structure!$A:$AJ,I$1,0)*$D332,0),IFERROR(VLOOKUP($E:$E,Structure!$A:$AJ,I$1,0)*$F332,0),IFERROR(VLOOKUP($G:$G,Structure!$A:$AJ,I$1,0)*$H332,0))</f>
        <v>0</v>
      </c>
      <c r="J332" s="9">
        <f>SUM(IFERROR(VLOOKUP($C:$C,Structure!$A:$AJ,J$1,0)*$D332,0),IFERROR(VLOOKUP($E:$E,Structure!$A:$AJ,J$1,0)*$F332,0),IFERROR(VLOOKUP($G:$G,Structure!$A:$AJ,J$1,0)*$H332,0))</f>
        <v>0</v>
      </c>
      <c r="K332" s="9">
        <f>SUM(IFERROR(VLOOKUP($C:$C,Structure!$A:$AJ,K$1,0)*$D332,0),IFERROR(VLOOKUP($E:$E,Structure!$A:$AJ,K$1,0)*$F332,0),IFERROR(VLOOKUP($G:$G,Structure!$A:$AJ,K$1,0)*$H332,0))</f>
        <v>0</v>
      </c>
      <c r="L332" s="9">
        <f>SUM(IFERROR(VLOOKUP($C:$C,Structure!$A:$AJ,L$1,0)*$D332,0),IFERROR(VLOOKUP($E:$E,Structure!$A:$AJ,L$1,0)*$F332,0),IFERROR(VLOOKUP($G:$G,Structure!$A:$AJ,L$1,0)*$H332,0))</f>
        <v>0</v>
      </c>
      <c r="M332" s="9">
        <f>SUM(IFERROR(VLOOKUP($C:$C,Structure!$A:$AJ,M$1,0)*$D332,0),IFERROR(VLOOKUP($E:$E,Structure!$A:$AJ,M$1,0)*$F332,0),IFERROR(VLOOKUP($G:$G,Structure!$A:$AJ,M$1,0)*$H332,0))</f>
        <v>0</v>
      </c>
      <c r="N332" s="9">
        <f>SUM(IFERROR(VLOOKUP($C:$C,Structure!$A:$AJ,N$1,0)*$D332,0),IFERROR(VLOOKUP($E:$E,Structure!$A:$AJ,N$1,0)*$F332,0),IFERROR(VLOOKUP($G:$G,Structure!$A:$AJ,N$1,0)*$H332,0))</f>
        <v>0</v>
      </c>
      <c r="O332" s="9">
        <f>SUM(IFERROR(VLOOKUP($C:$C,Structure!$A:$AJ,O$1,0)*$D332,0),IFERROR(VLOOKUP($E:$E,Structure!$A:$AJ,O$1,0)*$F332,0),IFERROR(VLOOKUP($G:$G,Structure!$A:$AJ,O$1,0)*$H332,0))</f>
        <v>0</v>
      </c>
      <c r="P332" s="9">
        <f>SUM(IFERROR(VLOOKUP($C:$C,Structure!$A:$AJ,P$1,0)*$D332,0),IFERROR(VLOOKUP($E:$E,Structure!$A:$AJ,P$1,0)*$F332,0),IFERROR(VLOOKUP($G:$G,Structure!$A:$AJ,P$1,0)*$H332,0))</f>
        <v>0</v>
      </c>
      <c r="Q332" s="9">
        <f>SUM(IFERROR(VLOOKUP($C:$C,Structure!$A:$AJ,Q$1,0)*$D332,0),IFERROR(VLOOKUP($E:$E,Structure!$A:$AJ,Q$1,0)*$F332,0),IFERROR(VLOOKUP($G:$G,Structure!$A:$AJ,Q$1,0)*$H332,0))</f>
        <v>0</v>
      </c>
      <c r="R332" s="9">
        <f>SUM(IFERROR(VLOOKUP($C:$C,Structure!$A:$AJ,R$1,0)*$D332,0),IFERROR(VLOOKUP($E:$E,Structure!$A:$AJ,R$1,0)*$F332,0),IFERROR(VLOOKUP($G:$G,Structure!$A:$AJ,R$1,0)*$H332,0))</f>
        <v>0</v>
      </c>
      <c r="S332" s="9">
        <f>SUM(IFERROR(VLOOKUP($C:$C,Structure!$A:$AJ,S$1,0)*$D332,0),IFERROR(VLOOKUP($E:$E,Structure!$A:$AJ,S$1,0)*$F332,0),IFERROR(VLOOKUP($G:$G,Structure!$A:$AJ,S$1,0)*$H332,0))</f>
        <v>0</v>
      </c>
      <c r="T332" s="9">
        <f>SUM(IFERROR(VLOOKUP($C:$C,Structure!$A:$AJ,T$1,0)*$D332,0),IFERROR(VLOOKUP($E:$E,Structure!$A:$AJ,T$1,0)*$F332,0),IFERROR(VLOOKUP($G:$G,Structure!$A:$AJ,T$1,0)*$H332,0))</f>
        <v>0</v>
      </c>
      <c r="U332" s="9">
        <f>SUM(IFERROR(VLOOKUP($C:$C,Structure!$A:$AJ,U$1,0)*$D332,0),IFERROR(VLOOKUP($E:$E,Structure!$A:$AJ,U$1,0)*$F332,0),IFERROR(VLOOKUP($G:$G,Structure!$A:$AJ,U$1,0)*$H332,0))</f>
        <v>8</v>
      </c>
      <c r="V332" s="9">
        <f>SUM(IFERROR(VLOOKUP($C:$C,Structure!$A:$AJ,V$1,0)*$D332,0),IFERROR(VLOOKUP($E:$E,Structure!$A:$AJ,V$1,0)*$F332,0),IFERROR(VLOOKUP($G:$G,Structure!$A:$AJ,V$1,0)*$H332,0))</f>
        <v>0</v>
      </c>
      <c r="W332" s="9">
        <f>SUM(IFERROR(VLOOKUP($C:$C,Structure!$A:$AJ,W$1,0)*$D332,0),IFERROR(VLOOKUP($E:$E,Structure!$A:$AJ,W$1,0)*$F332,0),IFERROR(VLOOKUP($G:$G,Structure!$A:$AJ,W$1,0)*$H332,0))</f>
        <v>0</v>
      </c>
      <c r="X332" s="9">
        <f>SUM(IFERROR(VLOOKUP($C:$C,Structure!$A:$AJ,X$1,0)*$D332,0),IFERROR(VLOOKUP($E:$E,Structure!$A:$AJ,X$1,0)*$F332,0),IFERROR(VLOOKUP($G:$G,Structure!$A:$AJ,X$1,0)*$H332,0))</f>
        <v>0</v>
      </c>
      <c r="Y332" s="9">
        <f>SUM(IFERROR(VLOOKUP($C:$C,Structure!$A:$AJ,Y$1,0)*$D332,0),IFERROR(VLOOKUP($E:$E,Structure!$A:$AJ,Y$1,0)*$F332,0),IFERROR(VLOOKUP($G:$G,Structure!$A:$AJ,Y$1,0)*$H332,0))</f>
        <v>0</v>
      </c>
      <c r="Z332" s="9">
        <f>SUM(IFERROR(VLOOKUP($C:$C,Structure!$A:$AJ,Z$1,0)*$D332,0),IFERROR(VLOOKUP($E:$E,Structure!$A:$AJ,Z$1,0)*$F332,0),IFERROR(VLOOKUP($G:$G,Structure!$A:$AJ,Z$1,0)*$H332,0))</f>
        <v>0</v>
      </c>
      <c r="AA332" s="9">
        <f>SUM(IFERROR(VLOOKUP($C:$C,Structure!$A:$AJ,AA$1,0)*$D332,0),IFERROR(VLOOKUP($E:$E,Structure!$A:$AJ,AA$1,0)*$F332,0),IFERROR(VLOOKUP($G:$G,Structure!$A:$AJ,AA$1,0)*$H332,0))</f>
        <v>0</v>
      </c>
      <c r="AB332" s="9">
        <f>SUM(IFERROR(VLOOKUP($C:$C,Structure!$A:$AJ,AB$1,0)*$D332,0),IFERROR(VLOOKUP($E:$E,Structure!$A:$AJ,AB$1,0)*$F332,0),IFERROR(VLOOKUP($G:$G,Structure!$A:$AJ,AB$1,0)*$H332,0))</f>
        <v>0</v>
      </c>
      <c r="AC332" s="9">
        <f>SUM(IFERROR(VLOOKUP($C:$C,Structure!$A:$AJ,AC$1,0)*$D332,0),IFERROR(VLOOKUP($E:$E,Structure!$A:$AJ,AC$1,0)*$F332,0),IFERROR(VLOOKUP($G:$G,Structure!$A:$AJ,AC$1,0)*$H332,0))</f>
        <v>8</v>
      </c>
      <c r="AD332" s="9">
        <f>SUM(IFERROR(VLOOKUP($C:$C,Structure!$A:$AJ,AD$1,0)*$D332,0),IFERROR(VLOOKUP($E:$E,Structure!$A:$AJ,AD$1,0)*$F332,0),IFERROR(VLOOKUP($G:$G,Structure!$A:$AJ,AD$1,0)*$H332,0))</f>
        <v>0</v>
      </c>
      <c r="AE332" s="9">
        <f>SUM(IFERROR(VLOOKUP($C:$C,Structure!$A:$AJ,AE$1,0)*$D332,0),IFERROR(VLOOKUP($E:$E,Structure!$A:$AJ,AE$1,0)*$F332,0),IFERROR(VLOOKUP($G:$G,Structure!$A:$AJ,AE$1,0)*$H332,0))</f>
        <v>0</v>
      </c>
      <c r="AF332" s="9">
        <f>SUM(IFERROR(VLOOKUP($C:$C,Structure!$A:$AJ,AF$1,0)*$D332,0),IFERROR(VLOOKUP($E:$E,Structure!$A:$AJ,AF$1,0)*$F332,0),IFERROR(VLOOKUP($G:$G,Structure!$A:$AJ,AF$1,0)*$H332,0))</f>
        <v>0</v>
      </c>
      <c r="AG332" s="9">
        <f>SUM(IFERROR(VLOOKUP($C:$C,Structure!$A:$AJ,AG$1,0)*$D332,0),IFERROR(VLOOKUP($E:$E,Structure!$A:$AJ,AG$1,0)*$F332,0),IFERROR(VLOOKUP($G:$G,Structure!$A:$AJ,AG$1,0)*$H332,0))</f>
        <v>0</v>
      </c>
      <c r="AH332" s="9">
        <f>SUM(IFERROR(VLOOKUP($C:$C,Structure!$A:$AJ,AH$1,0)*$D332,0),IFERROR(VLOOKUP($E:$E,Structure!$A:$AJ,AH$1,0)*$F332,0),IFERROR(VLOOKUP($G:$G,Structure!$A:$AJ,AH$1,0)*$H332,0))</f>
        <v>0</v>
      </c>
      <c r="AI332" s="9">
        <f>SUM(IFERROR(VLOOKUP($C:$C,Structure!$A:$AJ,AI$1,0)*$D332,0),IFERROR(VLOOKUP($E:$E,Structure!$A:$AJ,AI$1,0)*$F332,0),IFERROR(VLOOKUP($G:$G,Structure!$A:$AJ,AI$1,0)*$H332,0))</f>
        <v>0</v>
      </c>
      <c r="AJ332" s="9">
        <f>SUM(IFERROR(VLOOKUP($C:$C,Structure!$A:$AJ,AJ$1,0)*$D332,0),IFERROR(VLOOKUP($E:$E,Structure!$A:$AJ,AJ$1,0)*$F332,0),IFERROR(VLOOKUP($G:$G,Structure!$A:$AJ,AJ$1,0)*$H332,0))</f>
        <v>0</v>
      </c>
      <c r="AK332" s="9">
        <f>SUM(IFERROR(VLOOKUP($C:$C,Structure!$A:$AJ,AK$1,0)*$D332,0),IFERROR(VLOOKUP($E:$E,Structure!$A:$AJ,AK$1,0)*$F332,0),IFERROR(VLOOKUP($G:$G,Structure!$A:$AJ,AK$1,0)*$H332,0))</f>
        <v>0</v>
      </c>
      <c r="AL332" s="9">
        <f>SUM(IFERROR(VLOOKUP($C:$C,Structure!$A:$AJ,AL$1,0)*$D332,0),IFERROR(VLOOKUP($E:$E,Structure!$A:$AJ,AL$1,0)*$F332,0),IFERROR(VLOOKUP($G:$G,Structure!$A:$AJ,AL$1,0)*$H332,0))</f>
        <v>0</v>
      </c>
      <c r="AM332" s="9">
        <f>SUM(IFERROR(VLOOKUP($C:$C,Structure!$A:$AJ,AM$1,0)*$D332,0),IFERROR(VLOOKUP($E:$E,Structure!$A:$AJ,AM$1,0)*$F332,0),IFERROR(VLOOKUP($G:$G,Structure!$A:$AJ,AM$1,0)*$H332,0))</f>
        <v>0</v>
      </c>
      <c r="AN332" s="9">
        <f>SUM(IFERROR(VLOOKUP($C:$C,Structure!$A:$AJ,AN$1,0)*$D332,0),IFERROR(VLOOKUP($E:$E,Structure!$A:$AJ,AN$1,0)*$F332,0),IFERROR(VLOOKUP($G:$G,Structure!$A:$AJ,AN$1,0)*$H332,0))</f>
        <v>0</v>
      </c>
      <c r="AO332" s="9">
        <f>SUM(IFERROR(VLOOKUP($C:$C,Structure!$A:$AJ,AO$1,0)*$D332,0),IFERROR(VLOOKUP($E:$E,Structure!$A:$AJ,AO$1,0)*$F332,0),IFERROR(VLOOKUP($G:$G,Structure!$A:$AJ,AO$1,0)*$H332,0))</f>
        <v>0</v>
      </c>
      <c r="AP332" s="9">
        <f>SUM(IFERROR(VLOOKUP($C:$C,Structure!$A:$AJ,AP$1,0)*$D332,0),IFERROR(VLOOKUP($E:$E,Structure!$A:$AJ,AP$1,0)*$F332,0),IFERROR(VLOOKUP($G:$G,Structure!$A:$AJ,AP$1,0)*$H332,0))</f>
        <v>0</v>
      </c>
      <c r="AQ332" s="9">
        <f>SUM(IFERROR(VLOOKUP($C:$C,Structure!$A:$AJ,AQ$1,0)*$D332,0),IFERROR(VLOOKUP($E:$E,Structure!$A:$AJ,AQ$1,0)*$F332,0),IFERROR(VLOOKUP($G:$G,Structure!$A:$AJ,AQ$1,0)*$H332,0))</f>
        <v>0</v>
      </c>
      <c r="AR332" s="21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4">
        <f t="shared" si="302"/>
        <v>0</v>
      </c>
      <c r="CE332" s="4">
        <f t="shared" si="303"/>
        <v>-300</v>
      </c>
      <c r="CF332" s="4">
        <f t="shared" si="304"/>
        <v>4</v>
      </c>
      <c r="CG332" s="4">
        <f t="shared" si="305"/>
        <v>9</v>
      </c>
      <c r="CH332" s="4">
        <f t="shared" si="306"/>
        <v>-7</v>
      </c>
      <c r="CI332" s="4">
        <f t="shared" si="307"/>
        <v>85</v>
      </c>
      <c r="CJ332" s="4">
        <f t="shared" si="308"/>
        <v>-471</v>
      </c>
      <c r="CK332" s="4">
        <f t="shared" si="309"/>
        <v>-121</v>
      </c>
      <c r="CL332" s="4">
        <f t="shared" si="310"/>
        <v>0</v>
      </c>
      <c r="CM332" s="4">
        <f t="shared" si="311"/>
        <v>6</v>
      </c>
      <c r="CN332" s="4">
        <f t="shared" si="312"/>
        <v>-358</v>
      </c>
      <c r="CO332" s="4">
        <f t="shared" si="313"/>
        <v>0</v>
      </c>
      <c r="CP332" s="4">
        <f t="shared" si="314"/>
        <v>-95</v>
      </c>
      <c r="CQ332" s="4">
        <f t="shared" si="315"/>
        <v>-691</v>
      </c>
      <c r="CR332" s="4">
        <f t="shared" si="316"/>
        <v>10</v>
      </c>
      <c r="CS332" s="4">
        <f t="shared" si="317"/>
        <v>-66</v>
      </c>
      <c r="CT332" s="4">
        <f t="shared" si="318"/>
        <v>0</v>
      </c>
      <c r="CU332" s="4">
        <f t="shared" si="319"/>
        <v>0</v>
      </c>
      <c r="CV332" s="4">
        <f t="shared" si="320"/>
        <v>0</v>
      </c>
      <c r="CW332" s="4">
        <f t="shared" si="321"/>
        <v>0</v>
      </c>
      <c r="CX332" s="4">
        <f t="shared" si="322"/>
        <v>-1046</v>
      </c>
      <c r="CY332" s="4">
        <f t="shared" si="323"/>
        <v>0</v>
      </c>
      <c r="CZ332" s="4">
        <f t="shared" si="324"/>
        <v>0</v>
      </c>
      <c r="DA332" s="4">
        <f t="shared" si="325"/>
        <v>0</v>
      </c>
      <c r="DB332" s="4">
        <f t="shared" si="326"/>
        <v>0</v>
      </c>
      <c r="DC332" s="4">
        <f t="shared" si="327"/>
        <v>0</v>
      </c>
      <c r="DD332" s="4">
        <f t="shared" si="328"/>
        <v>0</v>
      </c>
      <c r="DE332" s="4">
        <f t="shared" si="329"/>
        <v>0</v>
      </c>
      <c r="DF332" s="4">
        <f t="shared" si="330"/>
        <v>0</v>
      </c>
      <c r="DG332" s="4">
        <f t="shared" si="331"/>
        <v>0</v>
      </c>
      <c r="DH332" s="4">
        <f t="shared" si="332"/>
        <v>0</v>
      </c>
      <c r="DI332" s="4">
        <f t="shared" si="333"/>
        <v>0</v>
      </c>
      <c r="DJ332" s="4">
        <f t="shared" si="334"/>
        <v>0</v>
      </c>
      <c r="DK332" s="4">
        <f t="shared" si="335"/>
        <v>0</v>
      </c>
      <c r="DL332" s="4">
        <f t="shared" si="336"/>
        <v>0</v>
      </c>
    </row>
    <row r="333" spans="1:116" x14ac:dyDescent="0.25">
      <c r="A333" s="5">
        <v>46190</v>
      </c>
      <c r="B333" s="6">
        <v>0.18750000080035534</v>
      </c>
      <c r="C333" s="3"/>
      <c r="D333" s="3"/>
      <c r="E333" s="3" t="s">
        <v>25</v>
      </c>
      <c r="F333" s="3">
        <v>8</v>
      </c>
      <c r="G333" s="3"/>
      <c r="H333" s="9"/>
      <c r="I333" s="9">
        <f>SUM(IFERROR(VLOOKUP($C:$C,Structure!$A:$AJ,I$1,0)*$D333,0),IFERROR(VLOOKUP($E:$E,Structure!$A:$AJ,I$1,0)*$F333,0),IFERROR(VLOOKUP($G:$G,Structure!$A:$AJ,I$1,0)*$H333,0))</f>
        <v>0</v>
      </c>
      <c r="J333" s="9">
        <f>SUM(IFERROR(VLOOKUP($C:$C,Structure!$A:$AJ,J$1,0)*$D333,0),IFERROR(VLOOKUP($E:$E,Structure!$A:$AJ,J$1,0)*$F333,0),IFERROR(VLOOKUP($G:$G,Structure!$A:$AJ,J$1,0)*$H333,0))</f>
        <v>0</v>
      </c>
      <c r="K333" s="9">
        <f>SUM(IFERROR(VLOOKUP($C:$C,Structure!$A:$AJ,K$1,0)*$D333,0),IFERROR(VLOOKUP($E:$E,Structure!$A:$AJ,K$1,0)*$F333,0),IFERROR(VLOOKUP($G:$G,Structure!$A:$AJ,K$1,0)*$H333,0))</f>
        <v>0</v>
      </c>
      <c r="L333" s="9">
        <f>SUM(IFERROR(VLOOKUP($C:$C,Structure!$A:$AJ,L$1,0)*$D333,0),IFERROR(VLOOKUP($E:$E,Structure!$A:$AJ,L$1,0)*$F333,0),IFERROR(VLOOKUP($G:$G,Structure!$A:$AJ,L$1,0)*$H333,0))</f>
        <v>0</v>
      </c>
      <c r="M333" s="9">
        <f>SUM(IFERROR(VLOOKUP($C:$C,Structure!$A:$AJ,M$1,0)*$D333,0),IFERROR(VLOOKUP($E:$E,Structure!$A:$AJ,M$1,0)*$F333,0),IFERROR(VLOOKUP($G:$G,Structure!$A:$AJ,M$1,0)*$H333,0))</f>
        <v>0</v>
      </c>
      <c r="N333" s="9">
        <f>SUM(IFERROR(VLOOKUP($C:$C,Structure!$A:$AJ,N$1,0)*$D333,0),IFERROR(VLOOKUP($E:$E,Structure!$A:$AJ,N$1,0)*$F333,0),IFERROR(VLOOKUP($G:$G,Structure!$A:$AJ,N$1,0)*$H333,0))</f>
        <v>0</v>
      </c>
      <c r="O333" s="9">
        <f>SUM(IFERROR(VLOOKUP($C:$C,Structure!$A:$AJ,O$1,0)*$D333,0),IFERROR(VLOOKUP($E:$E,Structure!$A:$AJ,O$1,0)*$F333,0),IFERROR(VLOOKUP($G:$G,Structure!$A:$AJ,O$1,0)*$H333,0))</f>
        <v>0</v>
      </c>
      <c r="P333" s="9">
        <f>SUM(IFERROR(VLOOKUP($C:$C,Structure!$A:$AJ,P$1,0)*$D333,0),IFERROR(VLOOKUP($E:$E,Structure!$A:$AJ,P$1,0)*$F333,0),IFERROR(VLOOKUP($G:$G,Structure!$A:$AJ,P$1,0)*$H333,0))</f>
        <v>0</v>
      </c>
      <c r="Q333" s="9">
        <f>SUM(IFERROR(VLOOKUP($C:$C,Structure!$A:$AJ,Q$1,0)*$D333,0),IFERROR(VLOOKUP($E:$E,Structure!$A:$AJ,Q$1,0)*$F333,0),IFERROR(VLOOKUP($G:$G,Structure!$A:$AJ,Q$1,0)*$H333,0))</f>
        <v>0</v>
      </c>
      <c r="R333" s="9">
        <f>SUM(IFERROR(VLOOKUP($C:$C,Structure!$A:$AJ,R$1,0)*$D333,0),IFERROR(VLOOKUP($E:$E,Structure!$A:$AJ,R$1,0)*$F333,0),IFERROR(VLOOKUP($G:$G,Structure!$A:$AJ,R$1,0)*$H333,0))</f>
        <v>0</v>
      </c>
      <c r="S333" s="9">
        <f>SUM(IFERROR(VLOOKUP($C:$C,Structure!$A:$AJ,S$1,0)*$D333,0),IFERROR(VLOOKUP($E:$E,Structure!$A:$AJ,S$1,0)*$F333,0),IFERROR(VLOOKUP($G:$G,Structure!$A:$AJ,S$1,0)*$H333,0))</f>
        <v>0</v>
      </c>
      <c r="T333" s="9">
        <f>SUM(IFERROR(VLOOKUP($C:$C,Structure!$A:$AJ,T$1,0)*$D333,0),IFERROR(VLOOKUP($E:$E,Structure!$A:$AJ,T$1,0)*$F333,0),IFERROR(VLOOKUP($G:$G,Structure!$A:$AJ,T$1,0)*$H333,0))</f>
        <v>0</v>
      </c>
      <c r="U333" s="9">
        <f>SUM(IFERROR(VLOOKUP($C:$C,Structure!$A:$AJ,U$1,0)*$D333,0),IFERROR(VLOOKUP($E:$E,Structure!$A:$AJ,U$1,0)*$F333,0),IFERROR(VLOOKUP($G:$G,Structure!$A:$AJ,U$1,0)*$H333,0))</f>
        <v>8</v>
      </c>
      <c r="V333" s="9">
        <f>SUM(IFERROR(VLOOKUP($C:$C,Structure!$A:$AJ,V$1,0)*$D333,0),IFERROR(VLOOKUP($E:$E,Structure!$A:$AJ,V$1,0)*$F333,0),IFERROR(VLOOKUP($G:$G,Structure!$A:$AJ,V$1,0)*$H333,0))</f>
        <v>0</v>
      </c>
      <c r="W333" s="9">
        <f>SUM(IFERROR(VLOOKUP($C:$C,Structure!$A:$AJ,W$1,0)*$D333,0),IFERROR(VLOOKUP($E:$E,Structure!$A:$AJ,W$1,0)*$F333,0),IFERROR(VLOOKUP($G:$G,Structure!$A:$AJ,W$1,0)*$H333,0))</f>
        <v>0</v>
      </c>
      <c r="X333" s="9">
        <f>SUM(IFERROR(VLOOKUP($C:$C,Structure!$A:$AJ,X$1,0)*$D333,0),IFERROR(VLOOKUP($E:$E,Structure!$A:$AJ,X$1,0)*$F333,0),IFERROR(VLOOKUP($G:$G,Structure!$A:$AJ,X$1,0)*$H333,0))</f>
        <v>0</v>
      </c>
      <c r="Y333" s="9">
        <f>SUM(IFERROR(VLOOKUP($C:$C,Structure!$A:$AJ,Y$1,0)*$D333,0),IFERROR(VLOOKUP($E:$E,Structure!$A:$AJ,Y$1,0)*$F333,0),IFERROR(VLOOKUP($G:$G,Structure!$A:$AJ,Y$1,0)*$H333,0))</f>
        <v>0</v>
      </c>
      <c r="Z333" s="9">
        <f>SUM(IFERROR(VLOOKUP($C:$C,Structure!$A:$AJ,Z$1,0)*$D333,0),IFERROR(VLOOKUP($E:$E,Structure!$A:$AJ,Z$1,0)*$F333,0),IFERROR(VLOOKUP($G:$G,Structure!$A:$AJ,Z$1,0)*$H333,0))</f>
        <v>0</v>
      </c>
      <c r="AA333" s="9">
        <f>SUM(IFERROR(VLOOKUP($C:$C,Structure!$A:$AJ,AA$1,0)*$D333,0),IFERROR(VLOOKUP($E:$E,Structure!$A:$AJ,AA$1,0)*$F333,0),IFERROR(VLOOKUP($G:$G,Structure!$A:$AJ,AA$1,0)*$H333,0))</f>
        <v>0</v>
      </c>
      <c r="AB333" s="9">
        <f>SUM(IFERROR(VLOOKUP($C:$C,Structure!$A:$AJ,AB$1,0)*$D333,0),IFERROR(VLOOKUP($E:$E,Structure!$A:$AJ,AB$1,0)*$F333,0),IFERROR(VLOOKUP($G:$G,Structure!$A:$AJ,AB$1,0)*$H333,0))</f>
        <v>0</v>
      </c>
      <c r="AC333" s="9">
        <f>SUM(IFERROR(VLOOKUP($C:$C,Structure!$A:$AJ,AC$1,0)*$D333,0),IFERROR(VLOOKUP($E:$E,Structure!$A:$AJ,AC$1,0)*$F333,0),IFERROR(VLOOKUP($G:$G,Structure!$A:$AJ,AC$1,0)*$H333,0))</f>
        <v>8</v>
      </c>
      <c r="AD333" s="9">
        <f>SUM(IFERROR(VLOOKUP($C:$C,Structure!$A:$AJ,AD$1,0)*$D333,0),IFERROR(VLOOKUP($E:$E,Structure!$A:$AJ,AD$1,0)*$F333,0),IFERROR(VLOOKUP($G:$G,Structure!$A:$AJ,AD$1,0)*$H333,0))</f>
        <v>0</v>
      </c>
      <c r="AE333" s="9">
        <f>SUM(IFERROR(VLOOKUP($C:$C,Structure!$A:$AJ,AE$1,0)*$D333,0),IFERROR(VLOOKUP($E:$E,Structure!$A:$AJ,AE$1,0)*$F333,0),IFERROR(VLOOKUP($G:$G,Structure!$A:$AJ,AE$1,0)*$H333,0))</f>
        <v>0</v>
      </c>
      <c r="AF333" s="9">
        <f>SUM(IFERROR(VLOOKUP($C:$C,Structure!$A:$AJ,AF$1,0)*$D333,0),IFERROR(VLOOKUP($E:$E,Structure!$A:$AJ,AF$1,0)*$F333,0),IFERROR(VLOOKUP($G:$G,Structure!$A:$AJ,AF$1,0)*$H333,0))</f>
        <v>0</v>
      </c>
      <c r="AG333" s="9">
        <f>SUM(IFERROR(VLOOKUP($C:$C,Structure!$A:$AJ,AG$1,0)*$D333,0),IFERROR(VLOOKUP($E:$E,Structure!$A:$AJ,AG$1,0)*$F333,0),IFERROR(VLOOKUP($G:$G,Structure!$A:$AJ,AG$1,0)*$H333,0))</f>
        <v>0</v>
      </c>
      <c r="AH333" s="9">
        <f>SUM(IFERROR(VLOOKUP($C:$C,Structure!$A:$AJ,AH$1,0)*$D333,0),IFERROR(VLOOKUP($E:$E,Structure!$A:$AJ,AH$1,0)*$F333,0),IFERROR(VLOOKUP($G:$G,Structure!$A:$AJ,AH$1,0)*$H333,0))</f>
        <v>0</v>
      </c>
      <c r="AI333" s="9">
        <f>SUM(IFERROR(VLOOKUP($C:$C,Structure!$A:$AJ,AI$1,0)*$D333,0),IFERROR(VLOOKUP($E:$E,Structure!$A:$AJ,AI$1,0)*$F333,0),IFERROR(VLOOKUP($G:$G,Structure!$A:$AJ,AI$1,0)*$H333,0))</f>
        <v>0</v>
      </c>
      <c r="AJ333" s="9">
        <f>SUM(IFERROR(VLOOKUP($C:$C,Structure!$A:$AJ,AJ$1,0)*$D333,0),IFERROR(VLOOKUP($E:$E,Structure!$A:$AJ,AJ$1,0)*$F333,0),IFERROR(VLOOKUP($G:$G,Structure!$A:$AJ,AJ$1,0)*$H333,0))</f>
        <v>0</v>
      </c>
      <c r="AK333" s="9">
        <f>SUM(IFERROR(VLOOKUP($C:$C,Structure!$A:$AJ,AK$1,0)*$D333,0),IFERROR(VLOOKUP($E:$E,Structure!$A:$AJ,AK$1,0)*$F333,0),IFERROR(VLOOKUP($G:$G,Structure!$A:$AJ,AK$1,0)*$H333,0))</f>
        <v>0</v>
      </c>
      <c r="AL333" s="9">
        <f>SUM(IFERROR(VLOOKUP($C:$C,Structure!$A:$AJ,AL$1,0)*$D333,0),IFERROR(VLOOKUP($E:$E,Structure!$A:$AJ,AL$1,0)*$F333,0),IFERROR(VLOOKUP($G:$G,Structure!$A:$AJ,AL$1,0)*$H333,0))</f>
        <v>0</v>
      </c>
      <c r="AM333" s="9">
        <f>SUM(IFERROR(VLOOKUP($C:$C,Structure!$A:$AJ,AM$1,0)*$D333,0),IFERROR(VLOOKUP($E:$E,Structure!$A:$AJ,AM$1,0)*$F333,0),IFERROR(VLOOKUP($G:$G,Structure!$A:$AJ,AM$1,0)*$H333,0))</f>
        <v>0</v>
      </c>
      <c r="AN333" s="9">
        <f>SUM(IFERROR(VLOOKUP($C:$C,Structure!$A:$AJ,AN$1,0)*$D333,0),IFERROR(VLOOKUP($E:$E,Structure!$A:$AJ,AN$1,0)*$F333,0),IFERROR(VLOOKUP($G:$G,Structure!$A:$AJ,AN$1,0)*$H333,0))</f>
        <v>0</v>
      </c>
      <c r="AO333" s="9">
        <f>SUM(IFERROR(VLOOKUP($C:$C,Structure!$A:$AJ,AO$1,0)*$D333,0),IFERROR(VLOOKUP($E:$E,Structure!$A:$AJ,AO$1,0)*$F333,0),IFERROR(VLOOKUP($G:$G,Structure!$A:$AJ,AO$1,0)*$H333,0))</f>
        <v>0</v>
      </c>
      <c r="AP333" s="9">
        <f>SUM(IFERROR(VLOOKUP($C:$C,Structure!$A:$AJ,AP$1,0)*$D333,0),IFERROR(VLOOKUP($E:$E,Structure!$A:$AJ,AP$1,0)*$F333,0),IFERROR(VLOOKUP($G:$G,Structure!$A:$AJ,AP$1,0)*$H333,0))</f>
        <v>0</v>
      </c>
      <c r="AQ333" s="9">
        <f>SUM(IFERROR(VLOOKUP($C:$C,Structure!$A:$AJ,AQ$1,0)*$D333,0),IFERROR(VLOOKUP($E:$E,Structure!$A:$AJ,AQ$1,0)*$F333,0),IFERROR(VLOOKUP($G:$G,Structure!$A:$AJ,AQ$1,0)*$H333,0))</f>
        <v>0</v>
      </c>
      <c r="AR333" s="21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4">
        <f t="shared" si="302"/>
        <v>0</v>
      </c>
      <c r="CE333" s="4">
        <f t="shared" si="303"/>
        <v>-300</v>
      </c>
      <c r="CF333" s="4">
        <f t="shared" si="304"/>
        <v>4</v>
      </c>
      <c r="CG333" s="4">
        <f t="shared" si="305"/>
        <v>9</v>
      </c>
      <c r="CH333" s="4">
        <f t="shared" si="306"/>
        <v>-7</v>
      </c>
      <c r="CI333" s="4">
        <f t="shared" si="307"/>
        <v>85</v>
      </c>
      <c r="CJ333" s="4">
        <f t="shared" si="308"/>
        <v>-471</v>
      </c>
      <c r="CK333" s="4">
        <f t="shared" si="309"/>
        <v>-121</v>
      </c>
      <c r="CL333" s="4">
        <f t="shared" si="310"/>
        <v>0</v>
      </c>
      <c r="CM333" s="4">
        <f t="shared" si="311"/>
        <v>6</v>
      </c>
      <c r="CN333" s="4">
        <f t="shared" si="312"/>
        <v>-358</v>
      </c>
      <c r="CO333" s="4">
        <f t="shared" si="313"/>
        <v>0</v>
      </c>
      <c r="CP333" s="4">
        <f t="shared" si="314"/>
        <v>-103</v>
      </c>
      <c r="CQ333" s="4">
        <f t="shared" si="315"/>
        <v>-691</v>
      </c>
      <c r="CR333" s="4">
        <f t="shared" si="316"/>
        <v>10</v>
      </c>
      <c r="CS333" s="4">
        <f t="shared" si="317"/>
        <v>-66</v>
      </c>
      <c r="CT333" s="4">
        <f t="shared" si="318"/>
        <v>0</v>
      </c>
      <c r="CU333" s="4">
        <f t="shared" si="319"/>
        <v>0</v>
      </c>
      <c r="CV333" s="4">
        <f t="shared" si="320"/>
        <v>0</v>
      </c>
      <c r="CW333" s="4">
        <f t="shared" si="321"/>
        <v>0</v>
      </c>
      <c r="CX333" s="4">
        <f t="shared" si="322"/>
        <v>-1054</v>
      </c>
      <c r="CY333" s="4">
        <f t="shared" si="323"/>
        <v>0</v>
      </c>
      <c r="CZ333" s="4">
        <f t="shared" si="324"/>
        <v>0</v>
      </c>
      <c r="DA333" s="4">
        <f t="shared" si="325"/>
        <v>0</v>
      </c>
      <c r="DB333" s="4">
        <f t="shared" si="326"/>
        <v>0</v>
      </c>
      <c r="DC333" s="4">
        <f t="shared" si="327"/>
        <v>0</v>
      </c>
      <c r="DD333" s="4">
        <f t="shared" si="328"/>
        <v>0</v>
      </c>
      <c r="DE333" s="4">
        <f t="shared" si="329"/>
        <v>0</v>
      </c>
      <c r="DF333" s="4">
        <f t="shared" si="330"/>
        <v>0</v>
      </c>
      <c r="DG333" s="4">
        <f t="shared" si="331"/>
        <v>0</v>
      </c>
      <c r="DH333" s="4">
        <f t="shared" si="332"/>
        <v>0</v>
      </c>
      <c r="DI333" s="4">
        <f t="shared" si="333"/>
        <v>0</v>
      </c>
      <c r="DJ333" s="4">
        <f t="shared" si="334"/>
        <v>0</v>
      </c>
      <c r="DK333" s="4">
        <f t="shared" si="335"/>
        <v>0</v>
      </c>
      <c r="DL333" s="4">
        <f t="shared" si="336"/>
        <v>0</v>
      </c>
    </row>
    <row r="334" spans="1:116" x14ac:dyDescent="0.25">
      <c r="A334" s="5">
        <v>46190</v>
      </c>
      <c r="B334" s="6">
        <v>0.20833333413611399</v>
      </c>
      <c r="C334" s="3"/>
      <c r="D334" s="3"/>
      <c r="E334" s="3" t="s">
        <v>25</v>
      </c>
      <c r="F334" s="3">
        <v>8</v>
      </c>
      <c r="G334" s="3"/>
      <c r="H334" s="9"/>
      <c r="I334" s="9">
        <f>SUM(IFERROR(VLOOKUP($C:$C,Structure!$A:$AJ,I$1,0)*$D334,0),IFERROR(VLOOKUP($E:$E,Structure!$A:$AJ,I$1,0)*$F334,0),IFERROR(VLOOKUP($G:$G,Structure!$A:$AJ,I$1,0)*$H334,0))</f>
        <v>0</v>
      </c>
      <c r="J334" s="9">
        <f>SUM(IFERROR(VLOOKUP($C:$C,Structure!$A:$AJ,J$1,0)*$D334,0),IFERROR(VLOOKUP($E:$E,Structure!$A:$AJ,J$1,0)*$F334,0),IFERROR(VLOOKUP($G:$G,Structure!$A:$AJ,J$1,0)*$H334,0))</f>
        <v>0</v>
      </c>
      <c r="K334" s="9">
        <f>SUM(IFERROR(VLOOKUP($C:$C,Structure!$A:$AJ,K$1,0)*$D334,0),IFERROR(VLOOKUP($E:$E,Structure!$A:$AJ,K$1,0)*$F334,0),IFERROR(VLOOKUP($G:$G,Structure!$A:$AJ,K$1,0)*$H334,0))</f>
        <v>0</v>
      </c>
      <c r="L334" s="9">
        <f>SUM(IFERROR(VLOOKUP($C:$C,Structure!$A:$AJ,L$1,0)*$D334,0),IFERROR(VLOOKUP($E:$E,Structure!$A:$AJ,L$1,0)*$F334,0),IFERROR(VLOOKUP($G:$G,Structure!$A:$AJ,L$1,0)*$H334,0))</f>
        <v>0</v>
      </c>
      <c r="M334" s="9">
        <f>SUM(IFERROR(VLOOKUP($C:$C,Structure!$A:$AJ,M$1,0)*$D334,0),IFERROR(VLOOKUP($E:$E,Structure!$A:$AJ,M$1,0)*$F334,0),IFERROR(VLOOKUP($G:$G,Structure!$A:$AJ,M$1,0)*$H334,0))</f>
        <v>0</v>
      </c>
      <c r="N334" s="9">
        <f>SUM(IFERROR(VLOOKUP($C:$C,Structure!$A:$AJ,N$1,0)*$D334,0),IFERROR(VLOOKUP($E:$E,Structure!$A:$AJ,N$1,0)*$F334,0),IFERROR(VLOOKUP($G:$G,Structure!$A:$AJ,N$1,0)*$H334,0))</f>
        <v>0</v>
      </c>
      <c r="O334" s="9">
        <f>SUM(IFERROR(VLOOKUP($C:$C,Structure!$A:$AJ,O$1,0)*$D334,0),IFERROR(VLOOKUP($E:$E,Structure!$A:$AJ,O$1,0)*$F334,0),IFERROR(VLOOKUP($G:$G,Structure!$A:$AJ,O$1,0)*$H334,0))</f>
        <v>0</v>
      </c>
      <c r="P334" s="9">
        <f>SUM(IFERROR(VLOOKUP($C:$C,Structure!$A:$AJ,P$1,0)*$D334,0),IFERROR(VLOOKUP($E:$E,Structure!$A:$AJ,P$1,0)*$F334,0),IFERROR(VLOOKUP($G:$G,Structure!$A:$AJ,P$1,0)*$H334,0))</f>
        <v>0</v>
      </c>
      <c r="Q334" s="9">
        <f>SUM(IFERROR(VLOOKUP($C:$C,Structure!$A:$AJ,Q$1,0)*$D334,0),IFERROR(VLOOKUP($E:$E,Structure!$A:$AJ,Q$1,0)*$F334,0),IFERROR(VLOOKUP($G:$G,Structure!$A:$AJ,Q$1,0)*$H334,0))</f>
        <v>0</v>
      </c>
      <c r="R334" s="9">
        <f>SUM(IFERROR(VLOOKUP($C:$C,Structure!$A:$AJ,R$1,0)*$D334,0),IFERROR(VLOOKUP($E:$E,Structure!$A:$AJ,R$1,0)*$F334,0),IFERROR(VLOOKUP($G:$G,Structure!$A:$AJ,R$1,0)*$H334,0))</f>
        <v>0</v>
      </c>
      <c r="S334" s="9">
        <f>SUM(IFERROR(VLOOKUP($C:$C,Structure!$A:$AJ,S$1,0)*$D334,0),IFERROR(VLOOKUP($E:$E,Structure!$A:$AJ,S$1,0)*$F334,0),IFERROR(VLOOKUP($G:$G,Structure!$A:$AJ,S$1,0)*$H334,0))</f>
        <v>0</v>
      </c>
      <c r="T334" s="9">
        <f>SUM(IFERROR(VLOOKUP($C:$C,Structure!$A:$AJ,T$1,0)*$D334,0),IFERROR(VLOOKUP($E:$E,Structure!$A:$AJ,T$1,0)*$F334,0),IFERROR(VLOOKUP($G:$G,Structure!$A:$AJ,T$1,0)*$H334,0))</f>
        <v>0</v>
      </c>
      <c r="U334" s="9">
        <f>SUM(IFERROR(VLOOKUP($C:$C,Structure!$A:$AJ,U$1,0)*$D334,0),IFERROR(VLOOKUP($E:$E,Structure!$A:$AJ,U$1,0)*$F334,0),IFERROR(VLOOKUP($G:$G,Structure!$A:$AJ,U$1,0)*$H334,0))</f>
        <v>8</v>
      </c>
      <c r="V334" s="9">
        <f>SUM(IFERROR(VLOOKUP($C:$C,Structure!$A:$AJ,V$1,0)*$D334,0),IFERROR(VLOOKUP($E:$E,Structure!$A:$AJ,V$1,0)*$F334,0),IFERROR(VLOOKUP($G:$G,Structure!$A:$AJ,V$1,0)*$H334,0))</f>
        <v>0</v>
      </c>
      <c r="W334" s="9">
        <f>SUM(IFERROR(VLOOKUP($C:$C,Structure!$A:$AJ,W$1,0)*$D334,0),IFERROR(VLOOKUP($E:$E,Structure!$A:$AJ,W$1,0)*$F334,0),IFERROR(VLOOKUP($G:$G,Structure!$A:$AJ,W$1,0)*$H334,0))</f>
        <v>0</v>
      </c>
      <c r="X334" s="9">
        <f>SUM(IFERROR(VLOOKUP($C:$C,Structure!$A:$AJ,X$1,0)*$D334,0),IFERROR(VLOOKUP($E:$E,Structure!$A:$AJ,X$1,0)*$F334,0),IFERROR(VLOOKUP($G:$G,Structure!$A:$AJ,X$1,0)*$H334,0))</f>
        <v>0</v>
      </c>
      <c r="Y334" s="9">
        <f>SUM(IFERROR(VLOOKUP($C:$C,Structure!$A:$AJ,Y$1,0)*$D334,0),IFERROR(VLOOKUP($E:$E,Structure!$A:$AJ,Y$1,0)*$F334,0),IFERROR(VLOOKUP($G:$G,Structure!$A:$AJ,Y$1,0)*$H334,0))</f>
        <v>0</v>
      </c>
      <c r="Z334" s="9">
        <f>SUM(IFERROR(VLOOKUP($C:$C,Structure!$A:$AJ,Z$1,0)*$D334,0),IFERROR(VLOOKUP($E:$E,Structure!$A:$AJ,Z$1,0)*$F334,0),IFERROR(VLOOKUP($G:$G,Structure!$A:$AJ,Z$1,0)*$H334,0))</f>
        <v>0</v>
      </c>
      <c r="AA334" s="9">
        <f>SUM(IFERROR(VLOOKUP($C:$C,Structure!$A:$AJ,AA$1,0)*$D334,0),IFERROR(VLOOKUP($E:$E,Structure!$A:$AJ,AA$1,0)*$F334,0),IFERROR(VLOOKUP($G:$G,Structure!$A:$AJ,AA$1,0)*$H334,0))</f>
        <v>0</v>
      </c>
      <c r="AB334" s="9">
        <f>SUM(IFERROR(VLOOKUP($C:$C,Structure!$A:$AJ,AB$1,0)*$D334,0),IFERROR(VLOOKUP($E:$E,Structure!$A:$AJ,AB$1,0)*$F334,0),IFERROR(VLOOKUP($G:$G,Structure!$A:$AJ,AB$1,0)*$H334,0))</f>
        <v>0</v>
      </c>
      <c r="AC334" s="9">
        <f>SUM(IFERROR(VLOOKUP($C:$C,Structure!$A:$AJ,AC$1,0)*$D334,0),IFERROR(VLOOKUP($E:$E,Structure!$A:$AJ,AC$1,0)*$F334,0),IFERROR(VLOOKUP($G:$G,Structure!$A:$AJ,AC$1,0)*$H334,0))</f>
        <v>8</v>
      </c>
      <c r="AD334" s="9">
        <f>SUM(IFERROR(VLOOKUP($C:$C,Structure!$A:$AJ,AD$1,0)*$D334,0),IFERROR(VLOOKUP($E:$E,Structure!$A:$AJ,AD$1,0)*$F334,0),IFERROR(VLOOKUP($G:$G,Structure!$A:$AJ,AD$1,0)*$H334,0))</f>
        <v>0</v>
      </c>
      <c r="AE334" s="9">
        <f>SUM(IFERROR(VLOOKUP($C:$C,Structure!$A:$AJ,AE$1,0)*$D334,0),IFERROR(VLOOKUP($E:$E,Structure!$A:$AJ,AE$1,0)*$F334,0),IFERROR(VLOOKUP($G:$G,Structure!$A:$AJ,AE$1,0)*$H334,0))</f>
        <v>0</v>
      </c>
      <c r="AF334" s="9">
        <f>SUM(IFERROR(VLOOKUP($C:$C,Structure!$A:$AJ,AF$1,0)*$D334,0),IFERROR(VLOOKUP($E:$E,Structure!$A:$AJ,AF$1,0)*$F334,0),IFERROR(VLOOKUP($G:$G,Structure!$A:$AJ,AF$1,0)*$H334,0))</f>
        <v>0</v>
      </c>
      <c r="AG334" s="9">
        <f>SUM(IFERROR(VLOOKUP($C:$C,Structure!$A:$AJ,AG$1,0)*$D334,0),IFERROR(VLOOKUP($E:$E,Structure!$A:$AJ,AG$1,0)*$F334,0),IFERROR(VLOOKUP($G:$G,Structure!$A:$AJ,AG$1,0)*$H334,0))</f>
        <v>0</v>
      </c>
      <c r="AH334" s="9">
        <f>SUM(IFERROR(VLOOKUP($C:$C,Structure!$A:$AJ,AH$1,0)*$D334,0),IFERROR(VLOOKUP($E:$E,Structure!$A:$AJ,AH$1,0)*$F334,0),IFERROR(VLOOKUP($G:$G,Structure!$A:$AJ,AH$1,0)*$H334,0))</f>
        <v>0</v>
      </c>
      <c r="AI334" s="9">
        <f>SUM(IFERROR(VLOOKUP($C:$C,Structure!$A:$AJ,AI$1,0)*$D334,0),IFERROR(VLOOKUP($E:$E,Structure!$A:$AJ,AI$1,0)*$F334,0),IFERROR(VLOOKUP($G:$G,Structure!$A:$AJ,AI$1,0)*$H334,0))</f>
        <v>0</v>
      </c>
      <c r="AJ334" s="9">
        <f>SUM(IFERROR(VLOOKUP($C:$C,Structure!$A:$AJ,AJ$1,0)*$D334,0),IFERROR(VLOOKUP($E:$E,Structure!$A:$AJ,AJ$1,0)*$F334,0),IFERROR(VLOOKUP($G:$G,Structure!$A:$AJ,AJ$1,0)*$H334,0))</f>
        <v>0</v>
      </c>
      <c r="AK334" s="9">
        <f>SUM(IFERROR(VLOOKUP($C:$C,Structure!$A:$AJ,AK$1,0)*$D334,0),IFERROR(VLOOKUP($E:$E,Structure!$A:$AJ,AK$1,0)*$F334,0),IFERROR(VLOOKUP($G:$G,Structure!$A:$AJ,AK$1,0)*$H334,0))</f>
        <v>0</v>
      </c>
      <c r="AL334" s="9">
        <f>SUM(IFERROR(VLOOKUP($C:$C,Structure!$A:$AJ,AL$1,0)*$D334,0),IFERROR(VLOOKUP($E:$E,Structure!$A:$AJ,AL$1,0)*$F334,0),IFERROR(VLOOKUP($G:$G,Structure!$A:$AJ,AL$1,0)*$H334,0))</f>
        <v>0</v>
      </c>
      <c r="AM334" s="9">
        <f>SUM(IFERROR(VLOOKUP($C:$C,Structure!$A:$AJ,AM$1,0)*$D334,0),IFERROR(VLOOKUP($E:$E,Structure!$A:$AJ,AM$1,0)*$F334,0),IFERROR(VLOOKUP($G:$G,Structure!$A:$AJ,AM$1,0)*$H334,0))</f>
        <v>0</v>
      </c>
      <c r="AN334" s="9">
        <f>SUM(IFERROR(VLOOKUP($C:$C,Structure!$A:$AJ,AN$1,0)*$D334,0),IFERROR(VLOOKUP($E:$E,Structure!$A:$AJ,AN$1,0)*$F334,0),IFERROR(VLOOKUP($G:$G,Structure!$A:$AJ,AN$1,0)*$H334,0))</f>
        <v>0</v>
      </c>
      <c r="AO334" s="9">
        <f>SUM(IFERROR(VLOOKUP($C:$C,Structure!$A:$AJ,AO$1,0)*$D334,0),IFERROR(VLOOKUP($E:$E,Structure!$A:$AJ,AO$1,0)*$F334,0),IFERROR(VLOOKUP($G:$G,Structure!$A:$AJ,AO$1,0)*$H334,0))</f>
        <v>0</v>
      </c>
      <c r="AP334" s="9">
        <f>SUM(IFERROR(VLOOKUP($C:$C,Structure!$A:$AJ,AP$1,0)*$D334,0),IFERROR(VLOOKUP($E:$E,Structure!$A:$AJ,AP$1,0)*$F334,0),IFERROR(VLOOKUP($G:$G,Structure!$A:$AJ,AP$1,0)*$H334,0))</f>
        <v>0</v>
      </c>
      <c r="AQ334" s="9">
        <f>SUM(IFERROR(VLOOKUP($C:$C,Structure!$A:$AJ,AQ$1,0)*$D334,0),IFERROR(VLOOKUP($E:$E,Structure!$A:$AJ,AQ$1,0)*$F334,0),IFERROR(VLOOKUP($G:$G,Structure!$A:$AJ,AQ$1,0)*$H334,0))</f>
        <v>0</v>
      </c>
      <c r="AR334" s="21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4">
        <f t="shared" si="302"/>
        <v>0</v>
      </c>
      <c r="CE334" s="4">
        <f t="shared" si="303"/>
        <v>-300</v>
      </c>
      <c r="CF334" s="4">
        <f t="shared" si="304"/>
        <v>4</v>
      </c>
      <c r="CG334" s="4">
        <f t="shared" si="305"/>
        <v>9</v>
      </c>
      <c r="CH334" s="4">
        <f t="shared" si="306"/>
        <v>-7</v>
      </c>
      <c r="CI334" s="4">
        <f t="shared" si="307"/>
        <v>85</v>
      </c>
      <c r="CJ334" s="4">
        <f t="shared" si="308"/>
        <v>-471</v>
      </c>
      <c r="CK334" s="4">
        <f t="shared" si="309"/>
        <v>-121</v>
      </c>
      <c r="CL334" s="4">
        <f t="shared" si="310"/>
        <v>0</v>
      </c>
      <c r="CM334" s="4">
        <f t="shared" si="311"/>
        <v>6</v>
      </c>
      <c r="CN334" s="4">
        <f t="shared" si="312"/>
        <v>-358</v>
      </c>
      <c r="CO334" s="4">
        <f t="shared" si="313"/>
        <v>0</v>
      </c>
      <c r="CP334" s="4">
        <f t="shared" si="314"/>
        <v>-111</v>
      </c>
      <c r="CQ334" s="4">
        <f t="shared" si="315"/>
        <v>-691</v>
      </c>
      <c r="CR334" s="4">
        <f t="shared" si="316"/>
        <v>10</v>
      </c>
      <c r="CS334" s="4">
        <f t="shared" si="317"/>
        <v>-66</v>
      </c>
      <c r="CT334" s="4">
        <f t="shared" si="318"/>
        <v>0</v>
      </c>
      <c r="CU334" s="4">
        <f t="shared" si="319"/>
        <v>0</v>
      </c>
      <c r="CV334" s="4">
        <f t="shared" si="320"/>
        <v>0</v>
      </c>
      <c r="CW334" s="4">
        <f t="shared" si="321"/>
        <v>0</v>
      </c>
      <c r="CX334" s="4">
        <f t="shared" si="322"/>
        <v>-1062</v>
      </c>
      <c r="CY334" s="4">
        <f t="shared" si="323"/>
        <v>0</v>
      </c>
      <c r="CZ334" s="4">
        <f t="shared" si="324"/>
        <v>0</v>
      </c>
      <c r="DA334" s="4">
        <f t="shared" si="325"/>
        <v>0</v>
      </c>
      <c r="DB334" s="4">
        <f t="shared" si="326"/>
        <v>0</v>
      </c>
      <c r="DC334" s="4">
        <f t="shared" si="327"/>
        <v>0</v>
      </c>
      <c r="DD334" s="4">
        <f t="shared" si="328"/>
        <v>0</v>
      </c>
      <c r="DE334" s="4">
        <f t="shared" si="329"/>
        <v>0</v>
      </c>
      <c r="DF334" s="4">
        <f t="shared" si="330"/>
        <v>0</v>
      </c>
      <c r="DG334" s="4">
        <f t="shared" si="331"/>
        <v>0</v>
      </c>
      <c r="DH334" s="4">
        <f t="shared" si="332"/>
        <v>0</v>
      </c>
      <c r="DI334" s="4">
        <f t="shared" si="333"/>
        <v>0</v>
      </c>
      <c r="DJ334" s="4">
        <f t="shared" si="334"/>
        <v>0</v>
      </c>
      <c r="DK334" s="4">
        <f t="shared" si="335"/>
        <v>0</v>
      </c>
      <c r="DL334" s="4">
        <f t="shared" si="336"/>
        <v>0</v>
      </c>
    </row>
    <row r="335" spans="1:116" x14ac:dyDescent="0.25">
      <c r="A335" s="5">
        <v>46190</v>
      </c>
      <c r="B335" s="6">
        <v>0.22916666747187264</v>
      </c>
      <c r="C335" s="3"/>
      <c r="D335" s="3"/>
      <c r="E335" s="3" t="s">
        <v>25</v>
      </c>
      <c r="F335" s="3">
        <v>8</v>
      </c>
      <c r="G335" s="3"/>
      <c r="H335" s="9"/>
      <c r="I335" s="9">
        <f>SUM(IFERROR(VLOOKUP($C:$C,Structure!$A:$AJ,I$1,0)*$D335,0),IFERROR(VLOOKUP($E:$E,Structure!$A:$AJ,I$1,0)*$F335,0),IFERROR(VLOOKUP($G:$G,Structure!$A:$AJ,I$1,0)*$H335,0))</f>
        <v>0</v>
      </c>
      <c r="J335" s="9">
        <f>SUM(IFERROR(VLOOKUP($C:$C,Structure!$A:$AJ,J$1,0)*$D335,0),IFERROR(VLOOKUP($E:$E,Structure!$A:$AJ,J$1,0)*$F335,0),IFERROR(VLOOKUP($G:$G,Structure!$A:$AJ,J$1,0)*$H335,0))</f>
        <v>0</v>
      </c>
      <c r="K335" s="9">
        <f>SUM(IFERROR(VLOOKUP($C:$C,Structure!$A:$AJ,K$1,0)*$D335,0),IFERROR(VLOOKUP($E:$E,Structure!$A:$AJ,K$1,0)*$F335,0),IFERROR(VLOOKUP($G:$G,Structure!$A:$AJ,K$1,0)*$H335,0))</f>
        <v>0</v>
      </c>
      <c r="L335" s="9">
        <f>SUM(IFERROR(VLOOKUP($C:$C,Structure!$A:$AJ,L$1,0)*$D335,0),IFERROR(VLOOKUP($E:$E,Structure!$A:$AJ,L$1,0)*$F335,0),IFERROR(VLOOKUP($G:$G,Structure!$A:$AJ,L$1,0)*$H335,0))</f>
        <v>0</v>
      </c>
      <c r="M335" s="9">
        <f>SUM(IFERROR(VLOOKUP($C:$C,Structure!$A:$AJ,M$1,0)*$D335,0),IFERROR(VLOOKUP($E:$E,Structure!$A:$AJ,M$1,0)*$F335,0),IFERROR(VLOOKUP($G:$G,Structure!$A:$AJ,M$1,0)*$H335,0))</f>
        <v>0</v>
      </c>
      <c r="N335" s="9">
        <f>SUM(IFERROR(VLOOKUP($C:$C,Structure!$A:$AJ,N$1,0)*$D335,0),IFERROR(VLOOKUP($E:$E,Structure!$A:$AJ,N$1,0)*$F335,0),IFERROR(VLOOKUP($G:$G,Structure!$A:$AJ,N$1,0)*$H335,0))</f>
        <v>0</v>
      </c>
      <c r="O335" s="9">
        <f>SUM(IFERROR(VLOOKUP($C:$C,Structure!$A:$AJ,O$1,0)*$D335,0),IFERROR(VLOOKUP($E:$E,Structure!$A:$AJ,O$1,0)*$F335,0),IFERROR(VLOOKUP($G:$G,Structure!$A:$AJ,O$1,0)*$H335,0))</f>
        <v>0</v>
      </c>
      <c r="P335" s="9">
        <f>SUM(IFERROR(VLOOKUP($C:$C,Structure!$A:$AJ,P$1,0)*$D335,0),IFERROR(VLOOKUP($E:$E,Structure!$A:$AJ,P$1,0)*$F335,0),IFERROR(VLOOKUP($G:$G,Structure!$A:$AJ,P$1,0)*$H335,0))</f>
        <v>0</v>
      </c>
      <c r="Q335" s="9">
        <f>SUM(IFERROR(VLOOKUP($C:$C,Structure!$A:$AJ,Q$1,0)*$D335,0),IFERROR(VLOOKUP($E:$E,Structure!$A:$AJ,Q$1,0)*$F335,0),IFERROR(VLOOKUP($G:$G,Structure!$A:$AJ,Q$1,0)*$H335,0))</f>
        <v>0</v>
      </c>
      <c r="R335" s="9">
        <f>SUM(IFERROR(VLOOKUP($C:$C,Structure!$A:$AJ,R$1,0)*$D335,0),IFERROR(VLOOKUP($E:$E,Structure!$A:$AJ,R$1,0)*$F335,0),IFERROR(VLOOKUP($G:$G,Structure!$A:$AJ,R$1,0)*$H335,0))</f>
        <v>0</v>
      </c>
      <c r="S335" s="9">
        <f>SUM(IFERROR(VLOOKUP($C:$C,Structure!$A:$AJ,S$1,0)*$D335,0),IFERROR(VLOOKUP($E:$E,Structure!$A:$AJ,S$1,0)*$F335,0),IFERROR(VLOOKUP($G:$G,Structure!$A:$AJ,S$1,0)*$H335,0))</f>
        <v>0</v>
      </c>
      <c r="T335" s="9">
        <f>SUM(IFERROR(VLOOKUP($C:$C,Structure!$A:$AJ,T$1,0)*$D335,0),IFERROR(VLOOKUP($E:$E,Structure!$A:$AJ,T$1,0)*$F335,0),IFERROR(VLOOKUP($G:$G,Structure!$A:$AJ,T$1,0)*$H335,0))</f>
        <v>0</v>
      </c>
      <c r="U335" s="9">
        <f>SUM(IFERROR(VLOOKUP($C:$C,Structure!$A:$AJ,U$1,0)*$D335,0),IFERROR(VLOOKUP($E:$E,Structure!$A:$AJ,U$1,0)*$F335,0),IFERROR(VLOOKUP($G:$G,Structure!$A:$AJ,U$1,0)*$H335,0))</f>
        <v>8</v>
      </c>
      <c r="V335" s="9">
        <f>SUM(IFERROR(VLOOKUP($C:$C,Structure!$A:$AJ,V$1,0)*$D335,0),IFERROR(VLOOKUP($E:$E,Structure!$A:$AJ,V$1,0)*$F335,0),IFERROR(VLOOKUP($G:$G,Structure!$A:$AJ,V$1,0)*$H335,0))</f>
        <v>0</v>
      </c>
      <c r="W335" s="9">
        <f>SUM(IFERROR(VLOOKUP($C:$C,Structure!$A:$AJ,W$1,0)*$D335,0),IFERROR(VLOOKUP($E:$E,Structure!$A:$AJ,W$1,0)*$F335,0),IFERROR(VLOOKUP($G:$G,Structure!$A:$AJ,W$1,0)*$H335,0))</f>
        <v>0</v>
      </c>
      <c r="X335" s="9">
        <f>SUM(IFERROR(VLOOKUP($C:$C,Structure!$A:$AJ,X$1,0)*$D335,0),IFERROR(VLOOKUP($E:$E,Structure!$A:$AJ,X$1,0)*$F335,0),IFERROR(VLOOKUP($G:$G,Structure!$A:$AJ,X$1,0)*$H335,0))</f>
        <v>0</v>
      </c>
      <c r="Y335" s="9">
        <f>SUM(IFERROR(VLOOKUP($C:$C,Structure!$A:$AJ,Y$1,0)*$D335,0),IFERROR(VLOOKUP($E:$E,Structure!$A:$AJ,Y$1,0)*$F335,0),IFERROR(VLOOKUP($G:$G,Structure!$A:$AJ,Y$1,0)*$H335,0))</f>
        <v>0</v>
      </c>
      <c r="Z335" s="9">
        <f>SUM(IFERROR(VLOOKUP($C:$C,Structure!$A:$AJ,Z$1,0)*$D335,0),IFERROR(VLOOKUP($E:$E,Structure!$A:$AJ,Z$1,0)*$F335,0),IFERROR(VLOOKUP($G:$G,Structure!$A:$AJ,Z$1,0)*$H335,0))</f>
        <v>0</v>
      </c>
      <c r="AA335" s="9">
        <f>SUM(IFERROR(VLOOKUP($C:$C,Structure!$A:$AJ,AA$1,0)*$D335,0),IFERROR(VLOOKUP($E:$E,Structure!$A:$AJ,AA$1,0)*$F335,0),IFERROR(VLOOKUP($G:$G,Structure!$A:$AJ,AA$1,0)*$H335,0))</f>
        <v>0</v>
      </c>
      <c r="AB335" s="9">
        <f>SUM(IFERROR(VLOOKUP($C:$C,Structure!$A:$AJ,AB$1,0)*$D335,0),IFERROR(VLOOKUP($E:$E,Structure!$A:$AJ,AB$1,0)*$F335,0),IFERROR(VLOOKUP($G:$G,Structure!$A:$AJ,AB$1,0)*$H335,0))</f>
        <v>0</v>
      </c>
      <c r="AC335" s="9">
        <f>SUM(IFERROR(VLOOKUP($C:$C,Structure!$A:$AJ,AC$1,0)*$D335,0),IFERROR(VLOOKUP($E:$E,Structure!$A:$AJ,AC$1,0)*$F335,0),IFERROR(VLOOKUP($G:$G,Structure!$A:$AJ,AC$1,0)*$H335,0))</f>
        <v>8</v>
      </c>
      <c r="AD335" s="9">
        <f>SUM(IFERROR(VLOOKUP($C:$C,Structure!$A:$AJ,AD$1,0)*$D335,0),IFERROR(VLOOKUP($E:$E,Structure!$A:$AJ,AD$1,0)*$F335,0),IFERROR(VLOOKUP($G:$G,Structure!$A:$AJ,AD$1,0)*$H335,0))</f>
        <v>0</v>
      </c>
      <c r="AE335" s="9">
        <f>SUM(IFERROR(VLOOKUP($C:$C,Structure!$A:$AJ,AE$1,0)*$D335,0),IFERROR(VLOOKUP($E:$E,Structure!$A:$AJ,AE$1,0)*$F335,0),IFERROR(VLOOKUP($G:$G,Structure!$A:$AJ,AE$1,0)*$H335,0))</f>
        <v>0</v>
      </c>
      <c r="AF335" s="9">
        <f>SUM(IFERROR(VLOOKUP($C:$C,Structure!$A:$AJ,AF$1,0)*$D335,0),IFERROR(VLOOKUP($E:$E,Structure!$A:$AJ,AF$1,0)*$F335,0),IFERROR(VLOOKUP($G:$G,Structure!$A:$AJ,AF$1,0)*$H335,0))</f>
        <v>0</v>
      </c>
      <c r="AG335" s="9">
        <f>SUM(IFERROR(VLOOKUP($C:$C,Structure!$A:$AJ,AG$1,0)*$D335,0),IFERROR(VLOOKUP($E:$E,Structure!$A:$AJ,AG$1,0)*$F335,0),IFERROR(VLOOKUP($G:$G,Structure!$A:$AJ,AG$1,0)*$H335,0))</f>
        <v>0</v>
      </c>
      <c r="AH335" s="9">
        <f>SUM(IFERROR(VLOOKUP($C:$C,Structure!$A:$AJ,AH$1,0)*$D335,0),IFERROR(VLOOKUP($E:$E,Structure!$A:$AJ,AH$1,0)*$F335,0),IFERROR(VLOOKUP($G:$G,Structure!$A:$AJ,AH$1,0)*$H335,0))</f>
        <v>0</v>
      </c>
      <c r="AI335" s="9">
        <f>SUM(IFERROR(VLOOKUP($C:$C,Structure!$A:$AJ,AI$1,0)*$D335,0),IFERROR(VLOOKUP($E:$E,Structure!$A:$AJ,AI$1,0)*$F335,0),IFERROR(VLOOKUP($G:$G,Structure!$A:$AJ,AI$1,0)*$H335,0))</f>
        <v>0</v>
      </c>
      <c r="AJ335" s="9">
        <f>SUM(IFERROR(VLOOKUP($C:$C,Structure!$A:$AJ,AJ$1,0)*$D335,0),IFERROR(VLOOKUP($E:$E,Structure!$A:$AJ,AJ$1,0)*$F335,0),IFERROR(VLOOKUP($G:$G,Structure!$A:$AJ,AJ$1,0)*$H335,0))</f>
        <v>0</v>
      </c>
      <c r="AK335" s="9">
        <f>SUM(IFERROR(VLOOKUP($C:$C,Structure!$A:$AJ,AK$1,0)*$D335,0),IFERROR(VLOOKUP($E:$E,Structure!$A:$AJ,AK$1,0)*$F335,0),IFERROR(VLOOKUP($G:$G,Structure!$A:$AJ,AK$1,0)*$H335,0))</f>
        <v>0</v>
      </c>
      <c r="AL335" s="9">
        <f>SUM(IFERROR(VLOOKUP($C:$C,Structure!$A:$AJ,AL$1,0)*$D335,0),IFERROR(VLOOKUP($E:$E,Structure!$A:$AJ,AL$1,0)*$F335,0),IFERROR(VLOOKUP($G:$G,Structure!$A:$AJ,AL$1,0)*$H335,0))</f>
        <v>0</v>
      </c>
      <c r="AM335" s="9">
        <f>SUM(IFERROR(VLOOKUP($C:$C,Structure!$A:$AJ,AM$1,0)*$D335,0),IFERROR(VLOOKUP($E:$E,Structure!$A:$AJ,AM$1,0)*$F335,0),IFERROR(VLOOKUP($G:$G,Structure!$A:$AJ,AM$1,0)*$H335,0))</f>
        <v>0</v>
      </c>
      <c r="AN335" s="9">
        <f>SUM(IFERROR(VLOOKUP($C:$C,Structure!$A:$AJ,AN$1,0)*$D335,0),IFERROR(VLOOKUP($E:$E,Structure!$A:$AJ,AN$1,0)*$F335,0),IFERROR(VLOOKUP($G:$G,Structure!$A:$AJ,AN$1,0)*$H335,0))</f>
        <v>0</v>
      </c>
      <c r="AO335" s="9">
        <f>SUM(IFERROR(VLOOKUP($C:$C,Structure!$A:$AJ,AO$1,0)*$D335,0),IFERROR(VLOOKUP($E:$E,Structure!$A:$AJ,AO$1,0)*$F335,0),IFERROR(VLOOKUP($G:$G,Structure!$A:$AJ,AO$1,0)*$H335,0))</f>
        <v>0</v>
      </c>
      <c r="AP335" s="9">
        <f>SUM(IFERROR(VLOOKUP($C:$C,Structure!$A:$AJ,AP$1,0)*$D335,0),IFERROR(VLOOKUP($E:$E,Structure!$A:$AJ,AP$1,0)*$F335,0),IFERROR(VLOOKUP($G:$G,Structure!$A:$AJ,AP$1,0)*$H335,0))</f>
        <v>0</v>
      </c>
      <c r="AQ335" s="9">
        <f>SUM(IFERROR(VLOOKUP($C:$C,Structure!$A:$AJ,AQ$1,0)*$D335,0),IFERROR(VLOOKUP($E:$E,Structure!$A:$AJ,AQ$1,0)*$F335,0),IFERROR(VLOOKUP($G:$G,Structure!$A:$AJ,AQ$1,0)*$H335,0))</f>
        <v>0</v>
      </c>
      <c r="AR335" s="21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4">
        <f t="shared" si="302"/>
        <v>0</v>
      </c>
      <c r="CE335" s="4">
        <f t="shared" si="303"/>
        <v>-300</v>
      </c>
      <c r="CF335" s="4">
        <f t="shared" si="304"/>
        <v>4</v>
      </c>
      <c r="CG335" s="4">
        <f t="shared" si="305"/>
        <v>9</v>
      </c>
      <c r="CH335" s="4">
        <f t="shared" si="306"/>
        <v>-7</v>
      </c>
      <c r="CI335" s="4">
        <f t="shared" si="307"/>
        <v>85</v>
      </c>
      <c r="CJ335" s="4">
        <f t="shared" si="308"/>
        <v>-471</v>
      </c>
      <c r="CK335" s="4">
        <f t="shared" si="309"/>
        <v>-121</v>
      </c>
      <c r="CL335" s="4">
        <f t="shared" si="310"/>
        <v>0</v>
      </c>
      <c r="CM335" s="4">
        <f t="shared" si="311"/>
        <v>6</v>
      </c>
      <c r="CN335" s="4">
        <f t="shared" si="312"/>
        <v>-358</v>
      </c>
      <c r="CO335" s="4">
        <f t="shared" si="313"/>
        <v>0</v>
      </c>
      <c r="CP335" s="4">
        <f t="shared" si="314"/>
        <v>-119</v>
      </c>
      <c r="CQ335" s="4">
        <f t="shared" si="315"/>
        <v>-691</v>
      </c>
      <c r="CR335" s="4">
        <f t="shared" si="316"/>
        <v>10</v>
      </c>
      <c r="CS335" s="4">
        <f t="shared" si="317"/>
        <v>-66</v>
      </c>
      <c r="CT335" s="4">
        <f t="shared" si="318"/>
        <v>0</v>
      </c>
      <c r="CU335" s="4">
        <f t="shared" si="319"/>
        <v>0</v>
      </c>
      <c r="CV335" s="4">
        <f t="shared" si="320"/>
        <v>0</v>
      </c>
      <c r="CW335" s="4">
        <f t="shared" si="321"/>
        <v>0</v>
      </c>
      <c r="CX335" s="4">
        <f t="shared" si="322"/>
        <v>-1070</v>
      </c>
      <c r="CY335" s="4">
        <f t="shared" si="323"/>
        <v>0</v>
      </c>
      <c r="CZ335" s="4">
        <f t="shared" si="324"/>
        <v>0</v>
      </c>
      <c r="DA335" s="4">
        <f t="shared" si="325"/>
        <v>0</v>
      </c>
      <c r="DB335" s="4">
        <f t="shared" si="326"/>
        <v>0</v>
      </c>
      <c r="DC335" s="4">
        <f t="shared" si="327"/>
        <v>0</v>
      </c>
      <c r="DD335" s="4">
        <f t="shared" si="328"/>
        <v>0</v>
      </c>
      <c r="DE335" s="4">
        <f t="shared" si="329"/>
        <v>0</v>
      </c>
      <c r="DF335" s="4">
        <f t="shared" si="330"/>
        <v>0</v>
      </c>
      <c r="DG335" s="4">
        <f t="shared" si="331"/>
        <v>0</v>
      </c>
      <c r="DH335" s="4">
        <f t="shared" si="332"/>
        <v>0</v>
      </c>
      <c r="DI335" s="4">
        <f t="shared" si="333"/>
        <v>0</v>
      </c>
      <c r="DJ335" s="4">
        <f t="shared" si="334"/>
        <v>0</v>
      </c>
      <c r="DK335" s="4">
        <f t="shared" si="335"/>
        <v>0</v>
      </c>
      <c r="DL335" s="4">
        <f t="shared" si="336"/>
        <v>0</v>
      </c>
    </row>
    <row r="336" spans="1:116" x14ac:dyDescent="0.25">
      <c r="A336" s="5">
        <v>46190</v>
      </c>
      <c r="B336" s="6">
        <v>0.2500000008076313</v>
      </c>
      <c r="C336" s="3"/>
      <c r="D336" s="3"/>
      <c r="E336" s="3" t="s">
        <v>25</v>
      </c>
      <c r="F336" s="3">
        <v>8</v>
      </c>
      <c r="G336" s="3"/>
      <c r="H336" s="9"/>
      <c r="I336" s="9">
        <f>SUM(IFERROR(VLOOKUP($C:$C,Structure!$A:$AJ,I$1,0)*$D336,0),IFERROR(VLOOKUP($E:$E,Structure!$A:$AJ,I$1,0)*$F336,0),IFERROR(VLOOKUP($G:$G,Structure!$A:$AJ,I$1,0)*$H336,0))</f>
        <v>0</v>
      </c>
      <c r="J336" s="9">
        <f>SUM(IFERROR(VLOOKUP($C:$C,Structure!$A:$AJ,J$1,0)*$D336,0),IFERROR(VLOOKUP($E:$E,Structure!$A:$AJ,J$1,0)*$F336,0),IFERROR(VLOOKUP($G:$G,Structure!$A:$AJ,J$1,0)*$H336,0))</f>
        <v>0</v>
      </c>
      <c r="K336" s="9">
        <f>SUM(IFERROR(VLOOKUP($C:$C,Structure!$A:$AJ,K$1,0)*$D336,0),IFERROR(VLOOKUP($E:$E,Structure!$A:$AJ,K$1,0)*$F336,0),IFERROR(VLOOKUP($G:$G,Structure!$A:$AJ,K$1,0)*$H336,0))</f>
        <v>0</v>
      </c>
      <c r="L336" s="9">
        <f>SUM(IFERROR(VLOOKUP($C:$C,Structure!$A:$AJ,L$1,0)*$D336,0),IFERROR(VLOOKUP($E:$E,Structure!$A:$AJ,L$1,0)*$F336,0),IFERROR(VLOOKUP($G:$G,Structure!$A:$AJ,L$1,0)*$H336,0))</f>
        <v>0</v>
      </c>
      <c r="M336" s="9">
        <f>SUM(IFERROR(VLOOKUP($C:$C,Structure!$A:$AJ,M$1,0)*$D336,0),IFERROR(VLOOKUP($E:$E,Structure!$A:$AJ,M$1,0)*$F336,0),IFERROR(VLOOKUP($G:$G,Structure!$A:$AJ,M$1,0)*$H336,0))</f>
        <v>0</v>
      </c>
      <c r="N336" s="9">
        <f>SUM(IFERROR(VLOOKUP($C:$C,Structure!$A:$AJ,N$1,0)*$D336,0),IFERROR(VLOOKUP($E:$E,Structure!$A:$AJ,N$1,0)*$F336,0),IFERROR(VLOOKUP($G:$G,Structure!$A:$AJ,N$1,0)*$H336,0))</f>
        <v>0</v>
      </c>
      <c r="O336" s="9">
        <f>SUM(IFERROR(VLOOKUP($C:$C,Structure!$A:$AJ,O$1,0)*$D336,0),IFERROR(VLOOKUP($E:$E,Structure!$A:$AJ,O$1,0)*$F336,0),IFERROR(VLOOKUP($G:$G,Structure!$A:$AJ,O$1,0)*$H336,0))</f>
        <v>0</v>
      </c>
      <c r="P336" s="9">
        <f>SUM(IFERROR(VLOOKUP($C:$C,Structure!$A:$AJ,P$1,0)*$D336,0),IFERROR(VLOOKUP($E:$E,Structure!$A:$AJ,P$1,0)*$F336,0),IFERROR(VLOOKUP($G:$G,Structure!$A:$AJ,P$1,0)*$H336,0))</f>
        <v>0</v>
      </c>
      <c r="Q336" s="9">
        <f>SUM(IFERROR(VLOOKUP($C:$C,Structure!$A:$AJ,Q$1,0)*$D336,0),IFERROR(VLOOKUP($E:$E,Structure!$A:$AJ,Q$1,0)*$F336,0),IFERROR(VLOOKUP($G:$G,Structure!$A:$AJ,Q$1,0)*$H336,0))</f>
        <v>0</v>
      </c>
      <c r="R336" s="9">
        <f>SUM(IFERROR(VLOOKUP($C:$C,Structure!$A:$AJ,R$1,0)*$D336,0),IFERROR(VLOOKUP($E:$E,Structure!$A:$AJ,R$1,0)*$F336,0),IFERROR(VLOOKUP($G:$G,Structure!$A:$AJ,R$1,0)*$H336,0))</f>
        <v>0</v>
      </c>
      <c r="S336" s="9">
        <f>SUM(IFERROR(VLOOKUP($C:$C,Structure!$A:$AJ,S$1,0)*$D336,0),IFERROR(VLOOKUP($E:$E,Structure!$A:$AJ,S$1,0)*$F336,0),IFERROR(VLOOKUP($G:$G,Structure!$A:$AJ,S$1,0)*$H336,0))</f>
        <v>0</v>
      </c>
      <c r="T336" s="9">
        <f>SUM(IFERROR(VLOOKUP($C:$C,Structure!$A:$AJ,T$1,0)*$D336,0),IFERROR(VLOOKUP($E:$E,Structure!$A:$AJ,T$1,0)*$F336,0),IFERROR(VLOOKUP($G:$G,Structure!$A:$AJ,T$1,0)*$H336,0))</f>
        <v>0</v>
      </c>
      <c r="U336" s="9">
        <f>SUM(IFERROR(VLOOKUP($C:$C,Structure!$A:$AJ,U$1,0)*$D336,0),IFERROR(VLOOKUP($E:$E,Structure!$A:$AJ,U$1,0)*$F336,0),IFERROR(VLOOKUP($G:$G,Structure!$A:$AJ,U$1,0)*$H336,0))</f>
        <v>8</v>
      </c>
      <c r="V336" s="9">
        <f>SUM(IFERROR(VLOOKUP($C:$C,Structure!$A:$AJ,V$1,0)*$D336,0),IFERROR(VLOOKUP($E:$E,Structure!$A:$AJ,V$1,0)*$F336,0),IFERROR(VLOOKUP($G:$G,Structure!$A:$AJ,V$1,0)*$H336,0))</f>
        <v>0</v>
      </c>
      <c r="W336" s="9">
        <f>SUM(IFERROR(VLOOKUP($C:$C,Structure!$A:$AJ,W$1,0)*$D336,0),IFERROR(VLOOKUP($E:$E,Structure!$A:$AJ,W$1,0)*$F336,0),IFERROR(VLOOKUP($G:$G,Structure!$A:$AJ,W$1,0)*$H336,0))</f>
        <v>0</v>
      </c>
      <c r="X336" s="9">
        <f>SUM(IFERROR(VLOOKUP($C:$C,Structure!$A:$AJ,X$1,0)*$D336,0),IFERROR(VLOOKUP($E:$E,Structure!$A:$AJ,X$1,0)*$F336,0),IFERROR(VLOOKUP($G:$G,Structure!$A:$AJ,X$1,0)*$H336,0))</f>
        <v>0</v>
      </c>
      <c r="Y336" s="9">
        <f>SUM(IFERROR(VLOOKUP($C:$C,Structure!$A:$AJ,Y$1,0)*$D336,0),IFERROR(VLOOKUP($E:$E,Structure!$A:$AJ,Y$1,0)*$F336,0),IFERROR(VLOOKUP($G:$G,Structure!$A:$AJ,Y$1,0)*$H336,0))</f>
        <v>0</v>
      </c>
      <c r="Z336" s="9">
        <f>SUM(IFERROR(VLOOKUP($C:$C,Structure!$A:$AJ,Z$1,0)*$D336,0),IFERROR(VLOOKUP($E:$E,Structure!$A:$AJ,Z$1,0)*$F336,0),IFERROR(VLOOKUP($G:$G,Structure!$A:$AJ,Z$1,0)*$H336,0))</f>
        <v>0</v>
      </c>
      <c r="AA336" s="9">
        <f>SUM(IFERROR(VLOOKUP($C:$C,Structure!$A:$AJ,AA$1,0)*$D336,0),IFERROR(VLOOKUP($E:$E,Structure!$A:$AJ,AA$1,0)*$F336,0),IFERROR(VLOOKUP($G:$G,Structure!$A:$AJ,AA$1,0)*$H336,0))</f>
        <v>0</v>
      </c>
      <c r="AB336" s="9">
        <f>SUM(IFERROR(VLOOKUP($C:$C,Structure!$A:$AJ,AB$1,0)*$D336,0),IFERROR(VLOOKUP($E:$E,Structure!$A:$AJ,AB$1,0)*$F336,0),IFERROR(VLOOKUP($G:$G,Structure!$A:$AJ,AB$1,0)*$H336,0))</f>
        <v>0</v>
      </c>
      <c r="AC336" s="9">
        <f>SUM(IFERROR(VLOOKUP($C:$C,Structure!$A:$AJ,AC$1,0)*$D336,0),IFERROR(VLOOKUP($E:$E,Structure!$A:$AJ,AC$1,0)*$F336,0),IFERROR(VLOOKUP($G:$G,Structure!$A:$AJ,AC$1,0)*$H336,0))</f>
        <v>8</v>
      </c>
      <c r="AD336" s="9">
        <f>SUM(IFERROR(VLOOKUP($C:$C,Structure!$A:$AJ,AD$1,0)*$D336,0),IFERROR(VLOOKUP($E:$E,Structure!$A:$AJ,AD$1,0)*$F336,0),IFERROR(VLOOKUP($G:$G,Structure!$A:$AJ,AD$1,0)*$H336,0))</f>
        <v>0</v>
      </c>
      <c r="AE336" s="9">
        <f>SUM(IFERROR(VLOOKUP($C:$C,Structure!$A:$AJ,AE$1,0)*$D336,0),IFERROR(VLOOKUP($E:$E,Structure!$A:$AJ,AE$1,0)*$F336,0),IFERROR(VLOOKUP($G:$G,Structure!$A:$AJ,AE$1,0)*$H336,0))</f>
        <v>0</v>
      </c>
      <c r="AF336" s="9">
        <f>SUM(IFERROR(VLOOKUP($C:$C,Structure!$A:$AJ,AF$1,0)*$D336,0),IFERROR(VLOOKUP($E:$E,Structure!$A:$AJ,AF$1,0)*$F336,0),IFERROR(VLOOKUP($G:$G,Structure!$A:$AJ,AF$1,0)*$H336,0))</f>
        <v>0</v>
      </c>
      <c r="AG336" s="9">
        <f>SUM(IFERROR(VLOOKUP($C:$C,Structure!$A:$AJ,AG$1,0)*$D336,0),IFERROR(VLOOKUP($E:$E,Structure!$A:$AJ,AG$1,0)*$F336,0),IFERROR(VLOOKUP($G:$G,Structure!$A:$AJ,AG$1,0)*$H336,0))</f>
        <v>0</v>
      </c>
      <c r="AH336" s="9">
        <f>SUM(IFERROR(VLOOKUP($C:$C,Structure!$A:$AJ,AH$1,0)*$D336,0),IFERROR(VLOOKUP($E:$E,Structure!$A:$AJ,AH$1,0)*$F336,0),IFERROR(VLOOKUP($G:$G,Structure!$A:$AJ,AH$1,0)*$H336,0))</f>
        <v>0</v>
      </c>
      <c r="AI336" s="9">
        <f>SUM(IFERROR(VLOOKUP($C:$C,Structure!$A:$AJ,AI$1,0)*$D336,0),IFERROR(VLOOKUP($E:$E,Structure!$A:$AJ,AI$1,0)*$F336,0),IFERROR(VLOOKUP($G:$G,Structure!$A:$AJ,AI$1,0)*$H336,0))</f>
        <v>0</v>
      </c>
      <c r="AJ336" s="9">
        <f>SUM(IFERROR(VLOOKUP($C:$C,Structure!$A:$AJ,AJ$1,0)*$D336,0),IFERROR(VLOOKUP($E:$E,Structure!$A:$AJ,AJ$1,0)*$F336,0),IFERROR(VLOOKUP($G:$G,Structure!$A:$AJ,AJ$1,0)*$H336,0))</f>
        <v>0</v>
      </c>
      <c r="AK336" s="9">
        <f>SUM(IFERROR(VLOOKUP($C:$C,Structure!$A:$AJ,AK$1,0)*$D336,0),IFERROR(VLOOKUP($E:$E,Structure!$A:$AJ,AK$1,0)*$F336,0),IFERROR(VLOOKUP($G:$G,Structure!$A:$AJ,AK$1,0)*$H336,0))</f>
        <v>0</v>
      </c>
      <c r="AL336" s="9">
        <f>SUM(IFERROR(VLOOKUP($C:$C,Structure!$A:$AJ,AL$1,0)*$D336,0),IFERROR(VLOOKUP($E:$E,Structure!$A:$AJ,AL$1,0)*$F336,0),IFERROR(VLOOKUP($G:$G,Structure!$A:$AJ,AL$1,0)*$H336,0))</f>
        <v>0</v>
      </c>
      <c r="AM336" s="9">
        <f>SUM(IFERROR(VLOOKUP($C:$C,Structure!$A:$AJ,AM$1,0)*$D336,0),IFERROR(VLOOKUP($E:$E,Structure!$A:$AJ,AM$1,0)*$F336,0),IFERROR(VLOOKUP($G:$G,Structure!$A:$AJ,AM$1,0)*$H336,0))</f>
        <v>0</v>
      </c>
      <c r="AN336" s="9">
        <f>SUM(IFERROR(VLOOKUP($C:$C,Structure!$A:$AJ,AN$1,0)*$D336,0),IFERROR(VLOOKUP($E:$E,Structure!$A:$AJ,AN$1,0)*$F336,0),IFERROR(VLOOKUP($G:$G,Structure!$A:$AJ,AN$1,0)*$H336,0))</f>
        <v>0</v>
      </c>
      <c r="AO336" s="9">
        <f>SUM(IFERROR(VLOOKUP($C:$C,Structure!$A:$AJ,AO$1,0)*$D336,0),IFERROR(VLOOKUP($E:$E,Structure!$A:$AJ,AO$1,0)*$F336,0),IFERROR(VLOOKUP($G:$G,Structure!$A:$AJ,AO$1,0)*$H336,0))</f>
        <v>0</v>
      </c>
      <c r="AP336" s="9">
        <f>SUM(IFERROR(VLOOKUP($C:$C,Structure!$A:$AJ,AP$1,0)*$D336,0),IFERROR(VLOOKUP($E:$E,Structure!$A:$AJ,AP$1,0)*$F336,0),IFERROR(VLOOKUP($G:$G,Structure!$A:$AJ,AP$1,0)*$H336,0))</f>
        <v>0</v>
      </c>
      <c r="AQ336" s="9">
        <f>SUM(IFERROR(VLOOKUP($C:$C,Structure!$A:$AJ,AQ$1,0)*$D336,0),IFERROR(VLOOKUP($E:$E,Structure!$A:$AJ,AQ$1,0)*$F336,0),IFERROR(VLOOKUP($G:$G,Structure!$A:$AJ,AQ$1,0)*$H336,0))</f>
        <v>0</v>
      </c>
      <c r="AR336" s="21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4">
        <f t="shared" si="302"/>
        <v>0</v>
      </c>
      <c r="CE336" s="4">
        <f t="shared" si="303"/>
        <v>-300</v>
      </c>
      <c r="CF336" s="4">
        <f t="shared" si="304"/>
        <v>4</v>
      </c>
      <c r="CG336" s="4">
        <f t="shared" si="305"/>
        <v>9</v>
      </c>
      <c r="CH336" s="4">
        <f t="shared" si="306"/>
        <v>-7</v>
      </c>
      <c r="CI336" s="4">
        <f t="shared" si="307"/>
        <v>85</v>
      </c>
      <c r="CJ336" s="4">
        <f t="shared" si="308"/>
        <v>-471</v>
      </c>
      <c r="CK336" s="4">
        <f t="shared" si="309"/>
        <v>-121</v>
      </c>
      <c r="CL336" s="4">
        <f t="shared" si="310"/>
        <v>0</v>
      </c>
      <c r="CM336" s="4">
        <f t="shared" si="311"/>
        <v>6</v>
      </c>
      <c r="CN336" s="4">
        <f t="shared" si="312"/>
        <v>-358</v>
      </c>
      <c r="CO336" s="4">
        <f t="shared" si="313"/>
        <v>0</v>
      </c>
      <c r="CP336" s="4">
        <f t="shared" si="314"/>
        <v>-127</v>
      </c>
      <c r="CQ336" s="4">
        <f t="shared" si="315"/>
        <v>-691</v>
      </c>
      <c r="CR336" s="4">
        <f t="shared" si="316"/>
        <v>10</v>
      </c>
      <c r="CS336" s="4">
        <f t="shared" si="317"/>
        <v>-66</v>
      </c>
      <c r="CT336" s="4">
        <f t="shared" si="318"/>
        <v>0</v>
      </c>
      <c r="CU336" s="4">
        <f t="shared" si="319"/>
        <v>0</v>
      </c>
      <c r="CV336" s="4">
        <f t="shared" si="320"/>
        <v>0</v>
      </c>
      <c r="CW336" s="4">
        <f t="shared" si="321"/>
        <v>0</v>
      </c>
      <c r="CX336" s="4">
        <f t="shared" si="322"/>
        <v>-1078</v>
      </c>
      <c r="CY336" s="4">
        <f t="shared" si="323"/>
        <v>0</v>
      </c>
      <c r="CZ336" s="4">
        <f t="shared" si="324"/>
        <v>0</v>
      </c>
      <c r="DA336" s="4">
        <f t="shared" si="325"/>
        <v>0</v>
      </c>
      <c r="DB336" s="4">
        <f t="shared" si="326"/>
        <v>0</v>
      </c>
      <c r="DC336" s="4">
        <f t="shared" si="327"/>
        <v>0</v>
      </c>
      <c r="DD336" s="4">
        <f t="shared" si="328"/>
        <v>0</v>
      </c>
      <c r="DE336" s="4">
        <f t="shared" si="329"/>
        <v>0</v>
      </c>
      <c r="DF336" s="4">
        <f t="shared" si="330"/>
        <v>0</v>
      </c>
      <c r="DG336" s="4">
        <f t="shared" si="331"/>
        <v>0</v>
      </c>
      <c r="DH336" s="4">
        <f t="shared" si="332"/>
        <v>0</v>
      </c>
      <c r="DI336" s="4">
        <f t="shared" si="333"/>
        <v>0</v>
      </c>
      <c r="DJ336" s="4">
        <f t="shared" si="334"/>
        <v>0</v>
      </c>
      <c r="DK336" s="4">
        <f t="shared" si="335"/>
        <v>0</v>
      </c>
      <c r="DL336" s="4">
        <f t="shared" si="336"/>
        <v>0</v>
      </c>
    </row>
    <row r="337" spans="1:116" x14ac:dyDescent="0.25">
      <c r="A337" s="5">
        <v>46190</v>
      </c>
      <c r="B337" s="6">
        <v>0.27083333414338995</v>
      </c>
      <c r="C337" s="3"/>
      <c r="D337" s="3"/>
      <c r="E337" s="3" t="s">
        <v>25</v>
      </c>
      <c r="F337" s="3">
        <v>8</v>
      </c>
      <c r="G337" s="3"/>
      <c r="H337" s="9"/>
      <c r="I337" s="9">
        <f>SUM(IFERROR(VLOOKUP($C:$C,Structure!$A:$AJ,I$1,0)*$D337,0),IFERROR(VLOOKUP($E:$E,Structure!$A:$AJ,I$1,0)*$F337,0),IFERROR(VLOOKUP($G:$G,Structure!$A:$AJ,I$1,0)*$H337,0))</f>
        <v>0</v>
      </c>
      <c r="J337" s="9">
        <f>SUM(IFERROR(VLOOKUP($C:$C,Structure!$A:$AJ,J$1,0)*$D337,0),IFERROR(VLOOKUP($E:$E,Structure!$A:$AJ,J$1,0)*$F337,0),IFERROR(VLOOKUP($G:$G,Structure!$A:$AJ,J$1,0)*$H337,0))</f>
        <v>0</v>
      </c>
      <c r="K337" s="9">
        <f>SUM(IFERROR(VLOOKUP($C:$C,Structure!$A:$AJ,K$1,0)*$D337,0),IFERROR(VLOOKUP($E:$E,Structure!$A:$AJ,K$1,0)*$F337,0),IFERROR(VLOOKUP($G:$G,Structure!$A:$AJ,K$1,0)*$H337,0))</f>
        <v>0</v>
      </c>
      <c r="L337" s="9">
        <f>SUM(IFERROR(VLOOKUP($C:$C,Structure!$A:$AJ,L$1,0)*$D337,0),IFERROR(VLOOKUP($E:$E,Structure!$A:$AJ,L$1,0)*$F337,0),IFERROR(VLOOKUP($G:$G,Structure!$A:$AJ,L$1,0)*$H337,0))</f>
        <v>0</v>
      </c>
      <c r="M337" s="9">
        <f>SUM(IFERROR(VLOOKUP($C:$C,Structure!$A:$AJ,M$1,0)*$D337,0),IFERROR(VLOOKUP($E:$E,Structure!$A:$AJ,M$1,0)*$F337,0),IFERROR(VLOOKUP($G:$G,Structure!$A:$AJ,M$1,0)*$H337,0))</f>
        <v>0</v>
      </c>
      <c r="N337" s="9">
        <f>SUM(IFERROR(VLOOKUP($C:$C,Structure!$A:$AJ,N$1,0)*$D337,0),IFERROR(VLOOKUP($E:$E,Structure!$A:$AJ,N$1,0)*$F337,0),IFERROR(VLOOKUP($G:$G,Structure!$A:$AJ,N$1,0)*$H337,0))</f>
        <v>0</v>
      </c>
      <c r="O337" s="9">
        <f>SUM(IFERROR(VLOOKUP($C:$C,Structure!$A:$AJ,O$1,0)*$D337,0),IFERROR(VLOOKUP($E:$E,Structure!$A:$AJ,O$1,0)*$F337,0),IFERROR(VLOOKUP($G:$G,Structure!$A:$AJ,O$1,0)*$H337,0))</f>
        <v>0</v>
      </c>
      <c r="P337" s="9">
        <f>SUM(IFERROR(VLOOKUP($C:$C,Structure!$A:$AJ,P$1,0)*$D337,0),IFERROR(VLOOKUP($E:$E,Structure!$A:$AJ,P$1,0)*$F337,0),IFERROR(VLOOKUP($G:$G,Structure!$A:$AJ,P$1,0)*$H337,0))</f>
        <v>0</v>
      </c>
      <c r="Q337" s="9">
        <f>SUM(IFERROR(VLOOKUP($C:$C,Structure!$A:$AJ,Q$1,0)*$D337,0),IFERROR(VLOOKUP($E:$E,Structure!$A:$AJ,Q$1,0)*$F337,0),IFERROR(VLOOKUP($G:$G,Structure!$A:$AJ,Q$1,0)*$H337,0))</f>
        <v>0</v>
      </c>
      <c r="R337" s="9">
        <f>SUM(IFERROR(VLOOKUP($C:$C,Structure!$A:$AJ,R$1,0)*$D337,0),IFERROR(VLOOKUP($E:$E,Structure!$A:$AJ,R$1,0)*$F337,0),IFERROR(VLOOKUP($G:$G,Structure!$A:$AJ,R$1,0)*$H337,0))</f>
        <v>0</v>
      </c>
      <c r="S337" s="9">
        <f>SUM(IFERROR(VLOOKUP($C:$C,Structure!$A:$AJ,S$1,0)*$D337,0),IFERROR(VLOOKUP($E:$E,Structure!$A:$AJ,S$1,0)*$F337,0),IFERROR(VLOOKUP($G:$G,Structure!$A:$AJ,S$1,0)*$H337,0))</f>
        <v>0</v>
      </c>
      <c r="T337" s="9">
        <f>SUM(IFERROR(VLOOKUP($C:$C,Structure!$A:$AJ,T$1,0)*$D337,0),IFERROR(VLOOKUP($E:$E,Structure!$A:$AJ,T$1,0)*$F337,0),IFERROR(VLOOKUP($G:$G,Structure!$A:$AJ,T$1,0)*$H337,0))</f>
        <v>0</v>
      </c>
      <c r="U337" s="9">
        <f>SUM(IFERROR(VLOOKUP($C:$C,Structure!$A:$AJ,U$1,0)*$D337,0),IFERROR(VLOOKUP($E:$E,Structure!$A:$AJ,U$1,0)*$F337,0),IFERROR(VLOOKUP($G:$G,Structure!$A:$AJ,U$1,0)*$H337,0))</f>
        <v>8</v>
      </c>
      <c r="V337" s="9">
        <f>SUM(IFERROR(VLOOKUP($C:$C,Structure!$A:$AJ,V$1,0)*$D337,0),IFERROR(VLOOKUP($E:$E,Structure!$A:$AJ,V$1,0)*$F337,0),IFERROR(VLOOKUP($G:$G,Structure!$A:$AJ,V$1,0)*$H337,0))</f>
        <v>0</v>
      </c>
      <c r="W337" s="9">
        <f>SUM(IFERROR(VLOOKUP($C:$C,Structure!$A:$AJ,W$1,0)*$D337,0),IFERROR(VLOOKUP($E:$E,Structure!$A:$AJ,W$1,0)*$F337,0),IFERROR(VLOOKUP($G:$G,Structure!$A:$AJ,W$1,0)*$H337,0))</f>
        <v>0</v>
      </c>
      <c r="X337" s="9">
        <f>SUM(IFERROR(VLOOKUP($C:$C,Structure!$A:$AJ,X$1,0)*$D337,0),IFERROR(VLOOKUP($E:$E,Structure!$A:$AJ,X$1,0)*$F337,0),IFERROR(VLOOKUP($G:$G,Structure!$A:$AJ,X$1,0)*$H337,0))</f>
        <v>0</v>
      </c>
      <c r="Y337" s="9">
        <f>SUM(IFERROR(VLOOKUP($C:$C,Structure!$A:$AJ,Y$1,0)*$D337,0),IFERROR(VLOOKUP($E:$E,Structure!$A:$AJ,Y$1,0)*$F337,0),IFERROR(VLOOKUP($G:$G,Structure!$A:$AJ,Y$1,0)*$H337,0))</f>
        <v>0</v>
      </c>
      <c r="Z337" s="9">
        <f>SUM(IFERROR(VLOOKUP($C:$C,Structure!$A:$AJ,Z$1,0)*$D337,0),IFERROR(VLOOKUP($E:$E,Structure!$A:$AJ,Z$1,0)*$F337,0),IFERROR(VLOOKUP($G:$G,Structure!$A:$AJ,Z$1,0)*$H337,0))</f>
        <v>0</v>
      </c>
      <c r="AA337" s="9">
        <f>SUM(IFERROR(VLOOKUP($C:$C,Structure!$A:$AJ,AA$1,0)*$D337,0),IFERROR(VLOOKUP($E:$E,Structure!$A:$AJ,AA$1,0)*$F337,0),IFERROR(VLOOKUP($G:$G,Structure!$A:$AJ,AA$1,0)*$H337,0))</f>
        <v>0</v>
      </c>
      <c r="AB337" s="9">
        <f>SUM(IFERROR(VLOOKUP($C:$C,Structure!$A:$AJ,AB$1,0)*$D337,0),IFERROR(VLOOKUP($E:$E,Structure!$A:$AJ,AB$1,0)*$F337,0),IFERROR(VLOOKUP($G:$G,Structure!$A:$AJ,AB$1,0)*$H337,0))</f>
        <v>0</v>
      </c>
      <c r="AC337" s="9">
        <f>SUM(IFERROR(VLOOKUP($C:$C,Structure!$A:$AJ,AC$1,0)*$D337,0),IFERROR(VLOOKUP($E:$E,Structure!$A:$AJ,AC$1,0)*$F337,0),IFERROR(VLOOKUP($G:$G,Structure!$A:$AJ,AC$1,0)*$H337,0))</f>
        <v>8</v>
      </c>
      <c r="AD337" s="9">
        <f>SUM(IFERROR(VLOOKUP($C:$C,Structure!$A:$AJ,AD$1,0)*$D337,0),IFERROR(VLOOKUP($E:$E,Structure!$A:$AJ,AD$1,0)*$F337,0),IFERROR(VLOOKUP($G:$G,Structure!$A:$AJ,AD$1,0)*$H337,0))</f>
        <v>0</v>
      </c>
      <c r="AE337" s="9">
        <f>SUM(IFERROR(VLOOKUP($C:$C,Structure!$A:$AJ,AE$1,0)*$D337,0),IFERROR(VLOOKUP($E:$E,Structure!$A:$AJ,AE$1,0)*$F337,0),IFERROR(VLOOKUP($G:$G,Structure!$A:$AJ,AE$1,0)*$H337,0))</f>
        <v>0</v>
      </c>
      <c r="AF337" s="9">
        <f>SUM(IFERROR(VLOOKUP($C:$C,Structure!$A:$AJ,AF$1,0)*$D337,0),IFERROR(VLOOKUP($E:$E,Structure!$A:$AJ,AF$1,0)*$F337,0),IFERROR(VLOOKUP($G:$G,Structure!$A:$AJ,AF$1,0)*$H337,0))</f>
        <v>0</v>
      </c>
      <c r="AG337" s="9">
        <f>SUM(IFERROR(VLOOKUP($C:$C,Structure!$A:$AJ,AG$1,0)*$D337,0),IFERROR(VLOOKUP($E:$E,Structure!$A:$AJ,AG$1,0)*$F337,0),IFERROR(VLOOKUP($G:$G,Structure!$A:$AJ,AG$1,0)*$H337,0))</f>
        <v>0</v>
      </c>
      <c r="AH337" s="9">
        <f>SUM(IFERROR(VLOOKUP($C:$C,Structure!$A:$AJ,AH$1,0)*$D337,0),IFERROR(VLOOKUP($E:$E,Structure!$A:$AJ,AH$1,0)*$F337,0),IFERROR(VLOOKUP($G:$G,Structure!$A:$AJ,AH$1,0)*$H337,0))</f>
        <v>0</v>
      </c>
      <c r="AI337" s="9">
        <f>SUM(IFERROR(VLOOKUP($C:$C,Structure!$A:$AJ,AI$1,0)*$D337,0),IFERROR(VLOOKUP($E:$E,Structure!$A:$AJ,AI$1,0)*$F337,0),IFERROR(VLOOKUP($G:$G,Structure!$A:$AJ,AI$1,0)*$H337,0))</f>
        <v>0</v>
      </c>
      <c r="AJ337" s="9">
        <f>SUM(IFERROR(VLOOKUP($C:$C,Structure!$A:$AJ,AJ$1,0)*$D337,0),IFERROR(VLOOKUP($E:$E,Structure!$A:$AJ,AJ$1,0)*$F337,0),IFERROR(VLOOKUP($G:$G,Structure!$A:$AJ,AJ$1,0)*$H337,0))</f>
        <v>0</v>
      </c>
      <c r="AK337" s="9">
        <f>SUM(IFERROR(VLOOKUP($C:$C,Structure!$A:$AJ,AK$1,0)*$D337,0),IFERROR(VLOOKUP($E:$E,Structure!$A:$AJ,AK$1,0)*$F337,0),IFERROR(VLOOKUP($G:$G,Structure!$A:$AJ,AK$1,0)*$H337,0))</f>
        <v>0</v>
      </c>
      <c r="AL337" s="9">
        <f>SUM(IFERROR(VLOOKUP($C:$C,Structure!$A:$AJ,AL$1,0)*$D337,0),IFERROR(VLOOKUP($E:$E,Structure!$A:$AJ,AL$1,0)*$F337,0),IFERROR(VLOOKUP($G:$G,Structure!$A:$AJ,AL$1,0)*$H337,0))</f>
        <v>0</v>
      </c>
      <c r="AM337" s="9">
        <f>SUM(IFERROR(VLOOKUP($C:$C,Structure!$A:$AJ,AM$1,0)*$D337,0),IFERROR(VLOOKUP($E:$E,Structure!$A:$AJ,AM$1,0)*$F337,0),IFERROR(VLOOKUP($G:$G,Structure!$A:$AJ,AM$1,0)*$H337,0))</f>
        <v>0</v>
      </c>
      <c r="AN337" s="9">
        <f>SUM(IFERROR(VLOOKUP($C:$C,Structure!$A:$AJ,AN$1,0)*$D337,0),IFERROR(VLOOKUP($E:$E,Structure!$A:$AJ,AN$1,0)*$F337,0),IFERROR(VLOOKUP($G:$G,Structure!$A:$AJ,AN$1,0)*$H337,0))</f>
        <v>0</v>
      </c>
      <c r="AO337" s="9">
        <f>SUM(IFERROR(VLOOKUP($C:$C,Structure!$A:$AJ,AO$1,0)*$D337,0),IFERROR(VLOOKUP($E:$E,Structure!$A:$AJ,AO$1,0)*$F337,0),IFERROR(VLOOKUP($G:$G,Structure!$A:$AJ,AO$1,0)*$H337,0))</f>
        <v>0</v>
      </c>
      <c r="AP337" s="9">
        <f>SUM(IFERROR(VLOOKUP($C:$C,Structure!$A:$AJ,AP$1,0)*$D337,0),IFERROR(VLOOKUP($E:$E,Structure!$A:$AJ,AP$1,0)*$F337,0),IFERROR(VLOOKUP($G:$G,Structure!$A:$AJ,AP$1,0)*$H337,0))</f>
        <v>0</v>
      </c>
      <c r="AQ337" s="9">
        <f>SUM(IFERROR(VLOOKUP($C:$C,Structure!$A:$AJ,AQ$1,0)*$D337,0),IFERROR(VLOOKUP($E:$E,Structure!$A:$AJ,AQ$1,0)*$F337,0),IFERROR(VLOOKUP($G:$G,Structure!$A:$AJ,AQ$1,0)*$H337,0))</f>
        <v>0</v>
      </c>
      <c r="AR337" s="21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4">
        <f t="shared" si="302"/>
        <v>0</v>
      </c>
      <c r="CE337" s="4">
        <f t="shared" si="303"/>
        <v>-300</v>
      </c>
      <c r="CF337" s="4">
        <f t="shared" si="304"/>
        <v>4</v>
      </c>
      <c r="CG337" s="4">
        <f t="shared" si="305"/>
        <v>9</v>
      </c>
      <c r="CH337" s="4">
        <f t="shared" si="306"/>
        <v>-7</v>
      </c>
      <c r="CI337" s="4">
        <f t="shared" si="307"/>
        <v>85</v>
      </c>
      <c r="CJ337" s="4">
        <f t="shared" si="308"/>
        <v>-471</v>
      </c>
      <c r="CK337" s="4">
        <f t="shared" si="309"/>
        <v>-121</v>
      </c>
      <c r="CL337" s="4">
        <f t="shared" si="310"/>
        <v>0</v>
      </c>
      <c r="CM337" s="4">
        <f t="shared" si="311"/>
        <v>6</v>
      </c>
      <c r="CN337" s="4">
        <f t="shared" si="312"/>
        <v>-358</v>
      </c>
      <c r="CO337" s="4">
        <f t="shared" si="313"/>
        <v>0</v>
      </c>
      <c r="CP337" s="4">
        <f t="shared" si="314"/>
        <v>-135</v>
      </c>
      <c r="CQ337" s="4">
        <f t="shared" si="315"/>
        <v>-691</v>
      </c>
      <c r="CR337" s="4">
        <f t="shared" si="316"/>
        <v>10</v>
      </c>
      <c r="CS337" s="4">
        <f t="shared" si="317"/>
        <v>-66</v>
      </c>
      <c r="CT337" s="4">
        <f t="shared" si="318"/>
        <v>0</v>
      </c>
      <c r="CU337" s="4">
        <f t="shared" si="319"/>
        <v>0</v>
      </c>
      <c r="CV337" s="4">
        <f t="shared" si="320"/>
        <v>0</v>
      </c>
      <c r="CW337" s="4">
        <f t="shared" si="321"/>
        <v>0</v>
      </c>
      <c r="CX337" s="4">
        <f t="shared" si="322"/>
        <v>-1086</v>
      </c>
      <c r="CY337" s="4">
        <f t="shared" si="323"/>
        <v>0</v>
      </c>
      <c r="CZ337" s="4">
        <f t="shared" si="324"/>
        <v>0</v>
      </c>
      <c r="DA337" s="4">
        <f t="shared" si="325"/>
        <v>0</v>
      </c>
      <c r="DB337" s="4">
        <f t="shared" si="326"/>
        <v>0</v>
      </c>
      <c r="DC337" s="4">
        <f t="shared" si="327"/>
        <v>0</v>
      </c>
      <c r="DD337" s="4">
        <f t="shared" si="328"/>
        <v>0</v>
      </c>
      <c r="DE337" s="4">
        <f t="shared" si="329"/>
        <v>0</v>
      </c>
      <c r="DF337" s="4">
        <f t="shared" si="330"/>
        <v>0</v>
      </c>
      <c r="DG337" s="4">
        <f t="shared" si="331"/>
        <v>0</v>
      </c>
      <c r="DH337" s="4">
        <f t="shared" si="332"/>
        <v>0</v>
      </c>
      <c r="DI337" s="4">
        <f t="shared" si="333"/>
        <v>0</v>
      </c>
      <c r="DJ337" s="4">
        <f t="shared" si="334"/>
        <v>0</v>
      </c>
      <c r="DK337" s="4">
        <f t="shared" si="335"/>
        <v>0</v>
      </c>
      <c r="DL337" s="4">
        <f t="shared" si="336"/>
        <v>0</v>
      </c>
    </row>
    <row r="338" spans="1:116" x14ac:dyDescent="0.25">
      <c r="A338" s="5">
        <v>46190</v>
      </c>
      <c r="B338" s="6">
        <v>0.2916666674791486</v>
      </c>
      <c r="C338" s="3"/>
      <c r="D338" s="3"/>
      <c r="E338" s="3" t="s">
        <v>25</v>
      </c>
      <c r="F338" s="3">
        <v>8</v>
      </c>
      <c r="G338" s="3"/>
      <c r="H338" s="9"/>
      <c r="I338" s="9">
        <f>SUM(IFERROR(VLOOKUP($C:$C,Structure!$A:$AJ,I$1,0)*$D338,0),IFERROR(VLOOKUP($E:$E,Structure!$A:$AJ,I$1,0)*$F338,0),IFERROR(VLOOKUP($G:$G,Structure!$A:$AJ,I$1,0)*$H338,0))</f>
        <v>0</v>
      </c>
      <c r="J338" s="9">
        <f>SUM(IFERROR(VLOOKUP($C:$C,Structure!$A:$AJ,J$1,0)*$D338,0),IFERROR(VLOOKUP($E:$E,Structure!$A:$AJ,J$1,0)*$F338,0),IFERROR(VLOOKUP($G:$G,Structure!$A:$AJ,J$1,0)*$H338,0))</f>
        <v>0</v>
      </c>
      <c r="K338" s="9">
        <f>SUM(IFERROR(VLOOKUP($C:$C,Structure!$A:$AJ,K$1,0)*$D338,0),IFERROR(VLOOKUP($E:$E,Structure!$A:$AJ,K$1,0)*$F338,0),IFERROR(VLOOKUP($G:$G,Structure!$A:$AJ,K$1,0)*$H338,0))</f>
        <v>0</v>
      </c>
      <c r="L338" s="9">
        <f>SUM(IFERROR(VLOOKUP($C:$C,Structure!$A:$AJ,L$1,0)*$D338,0),IFERROR(VLOOKUP($E:$E,Structure!$A:$AJ,L$1,0)*$F338,0),IFERROR(VLOOKUP($G:$G,Structure!$A:$AJ,L$1,0)*$H338,0))</f>
        <v>0</v>
      </c>
      <c r="M338" s="9">
        <f>SUM(IFERROR(VLOOKUP($C:$C,Structure!$A:$AJ,M$1,0)*$D338,0),IFERROR(VLOOKUP($E:$E,Structure!$A:$AJ,M$1,0)*$F338,0),IFERROR(VLOOKUP($G:$G,Structure!$A:$AJ,M$1,0)*$H338,0))</f>
        <v>0</v>
      </c>
      <c r="N338" s="9">
        <f>SUM(IFERROR(VLOOKUP($C:$C,Structure!$A:$AJ,N$1,0)*$D338,0),IFERROR(VLOOKUP($E:$E,Structure!$A:$AJ,N$1,0)*$F338,0),IFERROR(VLOOKUP($G:$G,Structure!$A:$AJ,N$1,0)*$H338,0))</f>
        <v>0</v>
      </c>
      <c r="O338" s="9">
        <f>SUM(IFERROR(VLOOKUP($C:$C,Structure!$A:$AJ,O$1,0)*$D338,0),IFERROR(VLOOKUP($E:$E,Structure!$A:$AJ,O$1,0)*$F338,0),IFERROR(VLOOKUP($G:$G,Structure!$A:$AJ,O$1,0)*$H338,0))</f>
        <v>0</v>
      </c>
      <c r="P338" s="9">
        <f>SUM(IFERROR(VLOOKUP($C:$C,Structure!$A:$AJ,P$1,0)*$D338,0),IFERROR(VLOOKUP($E:$E,Structure!$A:$AJ,P$1,0)*$F338,0),IFERROR(VLOOKUP($G:$G,Structure!$A:$AJ,P$1,0)*$H338,0))</f>
        <v>0</v>
      </c>
      <c r="Q338" s="9">
        <f>SUM(IFERROR(VLOOKUP($C:$C,Structure!$A:$AJ,Q$1,0)*$D338,0),IFERROR(VLOOKUP($E:$E,Structure!$A:$AJ,Q$1,0)*$F338,0),IFERROR(VLOOKUP($G:$G,Structure!$A:$AJ,Q$1,0)*$H338,0))</f>
        <v>0</v>
      </c>
      <c r="R338" s="9">
        <f>SUM(IFERROR(VLOOKUP($C:$C,Structure!$A:$AJ,R$1,0)*$D338,0),IFERROR(VLOOKUP($E:$E,Structure!$A:$AJ,R$1,0)*$F338,0),IFERROR(VLOOKUP($G:$G,Structure!$A:$AJ,R$1,0)*$H338,0))</f>
        <v>0</v>
      </c>
      <c r="S338" s="9">
        <f>SUM(IFERROR(VLOOKUP($C:$C,Structure!$A:$AJ,S$1,0)*$D338,0),IFERROR(VLOOKUP($E:$E,Structure!$A:$AJ,S$1,0)*$F338,0),IFERROR(VLOOKUP($G:$G,Structure!$A:$AJ,S$1,0)*$H338,0))</f>
        <v>0</v>
      </c>
      <c r="T338" s="9">
        <f>SUM(IFERROR(VLOOKUP($C:$C,Structure!$A:$AJ,T$1,0)*$D338,0),IFERROR(VLOOKUP($E:$E,Structure!$A:$AJ,T$1,0)*$F338,0),IFERROR(VLOOKUP($G:$G,Structure!$A:$AJ,T$1,0)*$H338,0))</f>
        <v>0</v>
      </c>
      <c r="U338" s="9">
        <f>SUM(IFERROR(VLOOKUP($C:$C,Structure!$A:$AJ,U$1,0)*$D338,0),IFERROR(VLOOKUP($E:$E,Structure!$A:$AJ,U$1,0)*$F338,0),IFERROR(VLOOKUP($G:$G,Structure!$A:$AJ,U$1,0)*$H338,0))</f>
        <v>8</v>
      </c>
      <c r="V338" s="9">
        <f>SUM(IFERROR(VLOOKUP($C:$C,Structure!$A:$AJ,V$1,0)*$D338,0),IFERROR(VLOOKUP($E:$E,Structure!$A:$AJ,V$1,0)*$F338,0),IFERROR(VLOOKUP($G:$G,Structure!$A:$AJ,V$1,0)*$H338,0))</f>
        <v>0</v>
      </c>
      <c r="W338" s="9">
        <f>SUM(IFERROR(VLOOKUP($C:$C,Structure!$A:$AJ,W$1,0)*$D338,0),IFERROR(VLOOKUP($E:$E,Structure!$A:$AJ,W$1,0)*$F338,0),IFERROR(VLOOKUP($G:$G,Structure!$A:$AJ,W$1,0)*$H338,0))</f>
        <v>0</v>
      </c>
      <c r="X338" s="9">
        <f>SUM(IFERROR(VLOOKUP($C:$C,Structure!$A:$AJ,X$1,0)*$D338,0),IFERROR(VLOOKUP($E:$E,Structure!$A:$AJ,X$1,0)*$F338,0),IFERROR(VLOOKUP($G:$G,Structure!$A:$AJ,X$1,0)*$H338,0))</f>
        <v>0</v>
      </c>
      <c r="Y338" s="9">
        <f>SUM(IFERROR(VLOOKUP($C:$C,Structure!$A:$AJ,Y$1,0)*$D338,0),IFERROR(VLOOKUP($E:$E,Structure!$A:$AJ,Y$1,0)*$F338,0),IFERROR(VLOOKUP($G:$G,Structure!$A:$AJ,Y$1,0)*$H338,0))</f>
        <v>0</v>
      </c>
      <c r="Z338" s="9">
        <f>SUM(IFERROR(VLOOKUP($C:$C,Structure!$A:$AJ,Z$1,0)*$D338,0),IFERROR(VLOOKUP($E:$E,Structure!$A:$AJ,Z$1,0)*$F338,0),IFERROR(VLOOKUP($G:$G,Structure!$A:$AJ,Z$1,0)*$H338,0))</f>
        <v>0</v>
      </c>
      <c r="AA338" s="9">
        <f>SUM(IFERROR(VLOOKUP($C:$C,Structure!$A:$AJ,AA$1,0)*$D338,0),IFERROR(VLOOKUP($E:$E,Structure!$A:$AJ,AA$1,0)*$F338,0),IFERROR(VLOOKUP($G:$G,Structure!$A:$AJ,AA$1,0)*$H338,0))</f>
        <v>0</v>
      </c>
      <c r="AB338" s="9">
        <f>SUM(IFERROR(VLOOKUP($C:$C,Structure!$A:$AJ,AB$1,0)*$D338,0),IFERROR(VLOOKUP($E:$E,Structure!$A:$AJ,AB$1,0)*$F338,0),IFERROR(VLOOKUP($G:$G,Structure!$A:$AJ,AB$1,0)*$H338,0))</f>
        <v>0</v>
      </c>
      <c r="AC338" s="9">
        <f>SUM(IFERROR(VLOOKUP($C:$C,Structure!$A:$AJ,AC$1,0)*$D338,0),IFERROR(VLOOKUP($E:$E,Structure!$A:$AJ,AC$1,0)*$F338,0),IFERROR(VLOOKUP($G:$G,Structure!$A:$AJ,AC$1,0)*$H338,0))</f>
        <v>8</v>
      </c>
      <c r="AD338" s="9">
        <f>SUM(IFERROR(VLOOKUP($C:$C,Structure!$A:$AJ,AD$1,0)*$D338,0),IFERROR(VLOOKUP($E:$E,Structure!$A:$AJ,AD$1,0)*$F338,0),IFERROR(VLOOKUP($G:$G,Structure!$A:$AJ,AD$1,0)*$H338,0))</f>
        <v>0</v>
      </c>
      <c r="AE338" s="9">
        <f>SUM(IFERROR(VLOOKUP($C:$C,Structure!$A:$AJ,AE$1,0)*$D338,0),IFERROR(VLOOKUP($E:$E,Structure!$A:$AJ,AE$1,0)*$F338,0),IFERROR(VLOOKUP($G:$G,Structure!$A:$AJ,AE$1,0)*$H338,0))</f>
        <v>0</v>
      </c>
      <c r="AF338" s="9">
        <f>SUM(IFERROR(VLOOKUP($C:$C,Structure!$A:$AJ,AF$1,0)*$D338,0),IFERROR(VLOOKUP($E:$E,Structure!$A:$AJ,AF$1,0)*$F338,0),IFERROR(VLOOKUP($G:$G,Structure!$A:$AJ,AF$1,0)*$H338,0))</f>
        <v>0</v>
      </c>
      <c r="AG338" s="9">
        <f>SUM(IFERROR(VLOOKUP($C:$C,Structure!$A:$AJ,AG$1,0)*$D338,0),IFERROR(VLOOKUP($E:$E,Structure!$A:$AJ,AG$1,0)*$F338,0),IFERROR(VLOOKUP($G:$G,Structure!$A:$AJ,AG$1,0)*$H338,0))</f>
        <v>0</v>
      </c>
      <c r="AH338" s="9">
        <f>SUM(IFERROR(VLOOKUP($C:$C,Structure!$A:$AJ,AH$1,0)*$D338,0),IFERROR(VLOOKUP($E:$E,Structure!$A:$AJ,AH$1,0)*$F338,0),IFERROR(VLOOKUP($G:$G,Structure!$A:$AJ,AH$1,0)*$H338,0))</f>
        <v>0</v>
      </c>
      <c r="AI338" s="9">
        <f>SUM(IFERROR(VLOOKUP($C:$C,Structure!$A:$AJ,AI$1,0)*$D338,0),IFERROR(VLOOKUP($E:$E,Structure!$A:$AJ,AI$1,0)*$F338,0),IFERROR(VLOOKUP($G:$G,Structure!$A:$AJ,AI$1,0)*$H338,0))</f>
        <v>0</v>
      </c>
      <c r="AJ338" s="9">
        <f>SUM(IFERROR(VLOOKUP($C:$C,Structure!$A:$AJ,AJ$1,0)*$D338,0),IFERROR(VLOOKUP($E:$E,Structure!$A:$AJ,AJ$1,0)*$F338,0),IFERROR(VLOOKUP($G:$G,Structure!$A:$AJ,AJ$1,0)*$H338,0))</f>
        <v>0</v>
      </c>
      <c r="AK338" s="9">
        <f>SUM(IFERROR(VLOOKUP($C:$C,Structure!$A:$AJ,AK$1,0)*$D338,0),IFERROR(VLOOKUP($E:$E,Structure!$A:$AJ,AK$1,0)*$F338,0),IFERROR(VLOOKUP($G:$G,Structure!$A:$AJ,AK$1,0)*$H338,0))</f>
        <v>0</v>
      </c>
      <c r="AL338" s="9">
        <f>SUM(IFERROR(VLOOKUP($C:$C,Structure!$A:$AJ,AL$1,0)*$D338,0),IFERROR(VLOOKUP($E:$E,Structure!$A:$AJ,AL$1,0)*$F338,0),IFERROR(VLOOKUP($G:$G,Structure!$A:$AJ,AL$1,0)*$H338,0))</f>
        <v>0</v>
      </c>
      <c r="AM338" s="9">
        <f>SUM(IFERROR(VLOOKUP($C:$C,Structure!$A:$AJ,AM$1,0)*$D338,0),IFERROR(VLOOKUP($E:$E,Structure!$A:$AJ,AM$1,0)*$F338,0),IFERROR(VLOOKUP($G:$G,Structure!$A:$AJ,AM$1,0)*$H338,0))</f>
        <v>0</v>
      </c>
      <c r="AN338" s="9">
        <f>SUM(IFERROR(VLOOKUP($C:$C,Structure!$A:$AJ,AN$1,0)*$D338,0),IFERROR(VLOOKUP($E:$E,Structure!$A:$AJ,AN$1,0)*$F338,0),IFERROR(VLOOKUP($G:$G,Structure!$A:$AJ,AN$1,0)*$H338,0))</f>
        <v>0</v>
      </c>
      <c r="AO338" s="9">
        <f>SUM(IFERROR(VLOOKUP($C:$C,Structure!$A:$AJ,AO$1,0)*$D338,0),IFERROR(VLOOKUP($E:$E,Structure!$A:$AJ,AO$1,0)*$F338,0),IFERROR(VLOOKUP($G:$G,Structure!$A:$AJ,AO$1,0)*$H338,0))</f>
        <v>0</v>
      </c>
      <c r="AP338" s="9">
        <f>SUM(IFERROR(VLOOKUP($C:$C,Structure!$A:$AJ,AP$1,0)*$D338,0),IFERROR(VLOOKUP($E:$E,Structure!$A:$AJ,AP$1,0)*$F338,0),IFERROR(VLOOKUP($G:$G,Structure!$A:$AJ,AP$1,0)*$H338,0))</f>
        <v>0</v>
      </c>
      <c r="AQ338" s="9">
        <f>SUM(IFERROR(VLOOKUP($C:$C,Structure!$A:$AJ,AQ$1,0)*$D338,0),IFERROR(VLOOKUP($E:$E,Structure!$A:$AJ,AQ$1,0)*$F338,0),IFERROR(VLOOKUP($G:$G,Structure!$A:$AJ,AQ$1,0)*$H338,0))</f>
        <v>0</v>
      </c>
      <c r="AR338" s="21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4">
        <f t="shared" si="302"/>
        <v>0</v>
      </c>
      <c r="CE338" s="4">
        <f t="shared" si="303"/>
        <v>-300</v>
      </c>
      <c r="CF338" s="4">
        <f t="shared" si="304"/>
        <v>4</v>
      </c>
      <c r="CG338" s="4">
        <f t="shared" si="305"/>
        <v>9</v>
      </c>
      <c r="CH338" s="4">
        <f t="shared" si="306"/>
        <v>-7</v>
      </c>
      <c r="CI338" s="4">
        <f t="shared" si="307"/>
        <v>85</v>
      </c>
      <c r="CJ338" s="4">
        <f t="shared" si="308"/>
        <v>-471</v>
      </c>
      <c r="CK338" s="4">
        <f t="shared" si="309"/>
        <v>-121</v>
      </c>
      <c r="CL338" s="4">
        <f t="shared" si="310"/>
        <v>0</v>
      </c>
      <c r="CM338" s="4">
        <f t="shared" si="311"/>
        <v>6</v>
      </c>
      <c r="CN338" s="4">
        <f t="shared" si="312"/>
        <v>-358</v>
      </c>
      <c r="CO338" s="4">
        <f t="shared" si="313"/>
        <v>0</v>
      </c>
      <c r="CP338" s="4">
        <f t="shared" si="314"/>
        <v>-143</v>
      </c>
      <c r="CQ338" s="4">
        <f t="shared" si="315"/>
        <v>-691</v>
      </c>
      <c r="CR338" s="4">
        <f t="shared" si="316"/>
        <v>10</v>
      </c>
      <c r="CS338" s="4">
        <f t="shared" si="317"/>
        <v>-66</v>
      </c>
      <c r="CT338" s="4">
        <f t="shared" si="318"/>
        <v>0</v>
      </c>
      <c r="CU338" s="4">
        <f t="shared" si="319"/>
        <v>0</v>
      </c>
      <c r="CV338" s="4">
        <f t="shared" si="320"/>
        <v>0</v>
      </c>
      <c r="CW338" s="4">
        <f t="shared" si="321"/>
        <v>0</v>
      </c>
      <c r="CX338" s="4">
        <f t="shared" si="322"/>
        <v>-1094</v>
      </c>
      <c r="CY338" s="4">
        <f t="shared" si="323"/>
        <v>0</v>
      </c>
      <c r="CZ338" s="4">
        <f t="shared" si="324"/>
        <v>0</v>
      </c>
      <c r="DA338" s="4">
        <f t="shared" si="325"/>
        <v>0</v>
      </c>
      <c r="DB338" s="4">
        <f t="shared" si="326"/>
        <v>0</v>
      </c>
      <c r="DC338" s="4">
        <f t="shared" si="327"/>
        <v>0</v>
      </c>
      <c r="DD338" s="4">
        <f t="shared" si="328"/>
        <v>0</v>
      </c>
      <c r="DE338" s="4">
        <f t="shared" si="329"/>
        <v>0</v>
      </c>
      <c r="DF338" s="4">
        <f t="shared" si="330"/>
        <v>0</v>
      </c>
      <c r="DG338" s="4">
        <f t="shared" si="331"/>
        <v>0</v>
      </c>
      <c r="DH338" s="4">
        <f t="shared" si="332"/>
        <v>0</v>
      </c>
      <c r="DI338" s="4">
        <f t="shared" si="333"/>
        <v>0</v>
      </c>
      <c r="DJ338" s="4">
        <f t="shared" si="334"/>
        <v>0</v>
      </c>
      <c r="DK338" s="4">
        <f t="shared" si="335"/>
        <v>0</v>
      </c>
      <c r="DL338" s="4">
        <f t="shared" si="336"/>
        <v>0</v>
      </c>
    </row>
    <row r="339" spans="1:116" x14ac:dyDescent="0.25">
      <c r="A339" s="5">
        <v>46190</v>
      </c>
      <c r="B339" s="6">
        <v>0.31250000081490725</v>
      </c>
      <c r="C339" s="3"/>
      <c r="D339" s="3"/>
      <c r="E339" s="3" t="s">
        <v>58</v>
      </c>
      <c r="F339" s="3">
        <v>3</v>
      </c>
      <c r="G339" s="3"/>
      <c r="H339" s="9"/>
      <c r="I339" s="9">
        <f>SUM(IFERROR(VLOOKUP($C:$C,Structure!$A:$AJ,I$1,0)*$D339,0),IFERROR(VLOOKUP($E:$E,Structure!$A:$AJ,I$1,0)*$F339,0),IFERROR(VLOOKUP($G:$G,Structure!$A:$AJ,I$1,0)*$H339,0))</f>
        <v>0</v>
      </c>
      <c r="J339" s="9">
        <f>SUM(IFERROR(VLOOKUP($C:$C,Structure!$A:$AJ,J$1,0)*$D339,0),IFERROR(VLOOKUP($E:$E,Structure!$A:$AJ,J$1,0)*$F339,0),IFERROR(VLOOKUP($G:$G,Structure!$A:$AJ,J$1,0)*$H339,0))</f>
        <v>0</v>
      </c>
      <c r="K339" s="9">
        <f>SUM(IFERROR(VLOOKUP($C:$C,Structure!$A:$AJ,K$1,0)*$D339,0),IFERROR(VLOOKUP($E:$E,Structure!$A:$AJ,K$1,0)*$F339,0),IFERROR(VLOOKUP($G:$G,Structure!$A:$AJ,K$1,0)*$H339,0))</f>
        <v>0</v>
      </c>
      <c r="L339" s="9">
        <f>SUM(IFERROR(VLOOKUP($C:$C,Structure!$A:$AJ,L$1,0)*$D339,0),IFERROR(VLOOKUP($E:$E,Structure!$A:$AJ,L$1,0)*$F339,0),IFERROR(VLOOKUP($G:$G,Structure!$A:$AJ,L$1,0)*$H339,0))</f>
        <v>0</v>
      </c>
      <c r="M339" s="9">
        <f>SUM(IFERROR(VLOOKUP($C:$C,Structure!$A:$AJ,M$1,0)*$D339,0),IFERROR(VLOOKUP($E:$E,Structure!$A:$AJ,M$1,0)*$F339,0),IFERROR(VLOOKUP($G:$G,Structure!$A:$AJ,M$1,0)*$H339,0))</f>
        <v>0</v>
      </c>
      <c r="N339" s="9">
        <f>SUM(IFERROR(VLOOKUP($C:$C,Structure!$A:$AJ,N$1,0)*$D339,0),IFERROR(VLOOKUP($E:$E,Structure!$A:$AJ,N$1,0)*$F339,0),IFERROR(VLOOKUP($G:$G,Structure!$A:$AJ,N$1,0)*$H339,0))</f>
        <v>0</v>
      </c>
      <c r="O339" s="9">
        <f>SUM(IFERROR(VLOOKUP($C:$C,Structure!$A:$AJ,O$1,0)*$D339,0),IFERROR(VLOOKUP($E:$E,Structure!$A:$AJ,O$1,0)*$F339,0),IFERROR(VLOOKUP($G:$G,Structure!$A:$AJ,O$1,0)*$H339,0))</f>
        <v>3</v>
      </c>
      <c r="P339" s="9">
        <f>SUM(IFERROR(VLOOKUP($C:$C,Structure!$A:$AJ,P$1,0)*$D339,0),IFERROR(VLOOKUP($E:$E,Structure!$A:$AJ,P$1,0)*$F339,0),IFERROR(VLOOKUP($G:$G,Structure!$A:$AJ,P$1,0)*$H339,0))</f>
        <v>0</v>
      </c>
      <c r="Q339" s="9">
        <f>SUM(IFERROR(VLOOKUP($C:$C,Structure!$A:$AJ,Q$1,0)*$D339,0),IFERROR(VLOOKUP($E:$E,Structure!$A:$AJ,Q$1,0)*$F339,0),IFERROR(VLOOKUP($G:$G,Structure!$A:$AJ,Q$1,0)*$H339,0))</f>
        <v>0</v>
      </c>
      <c r="R339" s="9">
        <f>SUM(IFERROR(VLOOKUP($C:$C,Structure!$A:$AJ,R$1,0)*$D339,0),IFERROR(VLOOKUP($E:$E,Structure!$A:$AJ,R$1,0)*$F339,0),IFERROR(VLOOKUP($G:$G,Structure!$A:$AJ,R$1,0)*$H339,0))</f>
        <v>0</v>
      </c>
      <c r="S339" s="9">
        <f>SUM(IFERROR(VLOOKUP($C:$C,Structure!$A:$AJ,S$1,0)*$D339,0),IFERROR(VLOOKUP($E:$E,Structure!$A:$AJ,S$1,0)*$F339,0),IFERROR(VLOOKUP($G:$G,Structure!$A:$AJ,S$1,0)*$H339,0))</f>
        <v>3</v>
      </c>
      <c r="T339" s="9">
        <f>SUM(IFERROR(VLOOKUP($C:$C,Structure!$A:$AJ,T$1,0)*$D339,0),IFERROR(VLOOKUP($E:$E,Structure!$A:$AJ,T$1,0)*$F339,0),IFERROR(VLOOKUP($G:$G,Structure!$A:$AJ,T$1,0)*$H339,0))</f>
        <v>0</v>
      </c>
      <c r="U339" s="9">
        <f>SUM(IFERROR(VLOOKUP($C:$C,Structure!$A:$AJ,U$1,0)*$D339,0),IFERROR(VLOOKUP($E:$E,Structure!$A:$AJ,U$1,0)*$F339,0),IFERROR(VLOOKUP($G:$G,Structure!$A:$AJ,U$1,0)*$H339,0))</f>
        <v>0</v>
      </c>
      <c r="V339" s="9">
        <f>SUM(IFERROR(VLOOKUP($C:$C,Structure!$A:$AJ,V$1,0)*$D339,0),IFERROR(VLOOKUP($E:$E,Structure!$A:$AJ,V$1,0)*$F339,0),IFERROR(VLOOKUP($G:$G,Structure!$A:$AJ,V$1,0)*$H339,0))</f>
        <v>0</v>
      </c>
      <c r="W339" s="9">
        <f>SUM(IFERROR(VLOOKUP($C:$C,Structure!$A:$AJ,W$1,0)*$D339,0),IFERROR(VLOOKUP($E:$E,Structure!$A:$AJ,W$1,0)*$F339,0),IFERROR(VLOOKUP($G:$G,Structure!$A:$AJ,W$1,0)*$H339,0))</f>
        <v>0</v>
      </c>
      <c r="X339" s="9">
        <f>SUM(IFERROR(VLOOKUP($C:$C,Structure!$A:$AJ,X$1,0)*$D339,0),IFERROR(VLOOKUP($E:$E,Structure!$A:$AJ,X$1,0)*$F339,0),IFERROR(VLOOKUP($G:$G,Structure!$A:$AJ,X$1,0)*$H339,0))</f>
        <v>0</v>
      </c>
      <c r="Y339" s="9">
        <f>SUM(IFERROR(VLOOKUP($C:$C,Structure!$A:$AJ,Y$1,0)*$D339,0),IFERROR(VLOOKUP($E:$E,Structure!$A:$AJ,Y$1,0)*$F339,0),IFERROR(VLOOKUP($G:$G,Structure!$A:$AJ,Y$1,0)*$H339,0))</f>
        <v>0</v>
      </c>
      <c r="Z339" s="9">
        <f>SUM(IFERROR(VLOOKUP($C:$C,Structure!$A:$AJ,Z$1,0)*$D339,0),IFERROR(VLOOKUP($E:$E,Structure!$A:$AJ,Z$1,0)*$F339,0),IFERROR(VLOOKUP($G:$G,Structure!$A:$AJ,Z$1,0)*$H339,0))</f>
        <v>0</v>
      </c>
      <c r="AA339" s="9">
        <f>SUM(IFERROR(VLOOKUP($C:$C,Structure!$A:$AJ,AA$1,0)*$D339,0),IFERROR(VLOOKUP($E:$E,Structure!$A:$AJ,AA$1,0)*$F339,0),IFERROR(VLOOKUP($G:$G,Structure!$A:$AJ,AA$1,0)*$H339,0))</f>
        <v>0</v>
      </c>
      <c r="AB339" s="9">
        <f>SUM(IFERROR(VLOOKUP($C:$C,Structure!$A:$AJ,AB$1,0)*$D339,0),IFERROR(VLOOKUP($E:$E,Structure!$A:$AJ,AB$1,0)*$F339,0),IFERROR(VLOOKUP($G:$G,Structure!$A:$AJ,AB$1,0)*$H339,0))</f>
        <v>0</v>
      </c>
      <c r="AC339" s="9">
        <f>SUM(IFERROR(VLOOKUP($C:$C,Structure!$A:$AJ,AC$1,0)*$D339,0),IFERROR(VLOOKUP($E:$E,Structure!$A:$AJ,AC$1,0)*$F339,0),IFERROR(VLOOKUP($G:$G,Structure!$A:$AJ,AC$1,0)*$H339,0))</f>
        <v>0</v>
      </c>
      <c r="AD339" s="9">
        <f>SUM(IFERROR(VLOOKUP($C:$C,Structure!$A:$AJ,AD$1,0)*$D339,0),IFERROR(VLOOKUP($E:$E,Structure!$A:$AJ,AD$1,0)*$F339,0),IFERROR(VLOOKUP($G:$G,Structure!$A:$AJ,AD$1,0)*$H339,0))</f>
        <v>0</v>
      </c>
      <c r="AE339" s="9">
        <f>SUM(IFERROR(VLOOKUP($C:$C,Structure!$A:$AJ,AE$1,0)*$D339,0),IFERROR(VLOOKUP($E:$E,Structure!$A:$AJ,AE$1,0)*$F339,0),IFERROR(VLOOKUP($G:$G,Structure!$A:$AJ,AE$1,0)*$H339,0))</f>
        <v>0</v>
      </c>
      <c r="AF339" s="9">
        <f>SUM(IFERROR(VLOOKUP($C:$C,Structure!$A:$AJ,AF$1,0)*$D339,0),IFERROR(VLOOKUP($E:$E,Structure!$A:$AJ,AF$1,0)*$F339,0),IFERROR(VLOOKUP($G:$G,Structure!$A:$AJ,AF$1,0)*$H339,0))</f>
        <v>0</v>
      </c>
      <c r="AG339" s="9">
        <f>SUM(IFERROR(VLOOKUP($C:$C,Structure!$A:$AJ,AG$1,0)*$D339,0),IFERROR(VLOOKUP($E:$E,Structure!$A:$AJ,AG$1,0)*$F339,0),IFERROR(VLOOKUP($G:$G,Structure!$A:$AJ,AG$1,0)*$H339,0))</f>
        <v>0</v>
      </c>
      <c r="AH339" s="9">
        <f>SUM(IFERROR(VLOOKUP($C:$C,Structure!$A:$AJ,AH$1,0)*$D339,0),IFERROR(VLOOKUP($E:$E,Structure!$A:$AJ,AH$1,0)*$F339,0),IFERROR(VLOOKUP($G:$G,Structure!$A:$AJ,AH$1,0)*$H339,0))</f>
        <v>0</v>
      </c>
      <c r="AI339" s="9">
        <f>SUM(IFERROR(VLOOKUP($C:$C,Structure!$A:$AJ,AI$1,0)*$D339,0),IFERROR(VLOOKUP($E:$E,Structure!$A:$AJ,AI$1,0)*$F339,0),IFERROR(VLOOKUP($G:$G,Structure!$A:$AJ,AI$1,0)*$H339,0))</f>
        <v>0</v>
      </c>
      <c r="AJ339" s="9">
        <f>SUM(IFERROR(VLOOKUP($C:$C,Structure!$A:$AJ,AJ$1,0)*$D339,0),IFERROR(VLOOKUP($E:$E,Structure!$A:$AJ,AJ$1,0)*$F339,0),IFERROR(VLOOKUP($G:$G,Structure!$A:$AJ,AJ$1,0)*$H339,0))</f>
        <v>0</v>
      </c>
      <c r="AK339" s="9">
        <f>SUM(IFERROR(VLOOKUP($C:$C,Structure!$A:$AJ,AK$1,0)*$D339,0),IFERROR(VLOOKUP($E:$E,Structure!$A:$AJ,AK$1,0)*$F339,0),IFERROR(VLOOKUP($G:$G,Structure!$A:$AJ,AK$1,0)*$H339,0))</f>
        <v>0</v>
      </c>
      <c r="AL339" s="9">
        <f>SUM(IFERROR(VLOOKUP($C:$C,Structure!$A:$AJ,AL$1,0)*$D339,0),IFERROR(VLOOKUP($E:$E,Structure!$A:$AJ,AL$1,0)*$F339,0),IFERROR(VLOOKUP($G:$G,Structure!$A:$AJ,AL$1,0)*$H339,0))</f>
        <v>0</v>
      </c>
      <c r="AM339" s="9">
        <f>SUM(IFERROR(VLOOKUP($C:$C,Structure!$A:$AJ,AM$1,0)*$D339,0),IFERROR(VLOOKUP($E:$E,Structure!$A:$AJ,AM$1,0)*$F339,0),IFERROR(VLOOKUP($G:$G,Structure!$A:$AJ,AM$1,0)*$H339,0))</f>
        <v>0</v>
      </c>
      <c r="AN339" s="9">
        <f>SUM(IFERROR(VLOOKUP($C:$C,Structure!$A:$AJ,AN$1,0)*$D339,0),IFERROR(VLOOKUP($E:$E,Structure!$A:$AJ,AN$1,0)*$F339,0),IFERROR(VLOOKUP($G:$G,Structure!$A:$AJ,AN$1,0)*$H339,0))</f>
        <v>0</v>
      </c>
      <c r="AO339" s="9">
        <f>SUM(IFERROR(VLOOKUP($C:$C,Structure!$A:$AJ,AO$1,0)*$D339,0),IFERROR(VLOOKUP($E:$E,Structure!$A:$AJ,AO$1,0)*$F339,0),IFERROR(VLOOKUP($G:$G,Structure!$A:$AJ,AO$1,0)*$H339,0))</f>
        <v>0</v>
      </c>
      <c r="AP339" s="9">
        <f>SUM(IFERROR(VLOOKUP($C:$C,Structure!$A:$AJ,AP$1,0)*$D339,0),IFERROR(VLOOKUP($E:$E,Structure!$A:$AJ,AP$1,0)*$F339,0),IFERROR(VLOOKUP($G:$G,Structure!$A:$AJ,AP$1,0)*$H339,0))</f>
        <v>0</v>
      </c>
      <c r="AQ339" s="9">
        <f>SUM(IFERROR(VLOOKUP($C:$C,Structure!$A:$AJ,AQ$1,0)*$D339,0),IFERROR(VLOOKUP($E:$E,Structure!$A:$AJ,AQ$1,0)*$F339,0),IFERROR(VLOOKUP($G:$G,Structure!$A:$AJ,AQ$1,0)*$H339,0))</f>
        <v>0</v>
      </c>
      <c r="AR339" s="21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4">
        <f t="shared" si="302"/>
        <v>0</v>
      </c>
      <c r="CE339" s="4">
        <f t="shared" si="303"/>
        <v>-300</v>
      </c>
      <c r="CF339" s="4">
        <f t="shared" si="304"/>
        <v>4</v>
      </c>
      <c r="CG339" s="4">
        <f t="shared" si="305"/>
        <v>9</v>
      </c>
      <c r="CH339" s="4">
        <f t="shared" si="306"/>
        <v>-7</v>
      </c>
      <c r="CI339" s="4">
        <f t="shared" si="307"/>
        <v>85</v>
      </c>
      <c r="CJ339" s="4">
        <f t="shared" si="308"/>
        <v>-474</v>
      </c>
      <c r="CK339" s="4">
        <f t="shared" si="309"/>
        <v>-121</v>
      </c>
      <c r="CL339" s="4">
        <f t="shared" si="310"/>
        <v>0</v>
      </c>
      <c r="CM339" s="4">
        <f t="shared" si="311"/>
        <v>6</v>
      </c>
      <c r="CN339" s="4">
        <f t="shared" si="312"/>
        <v>-361</v>
      </c>
      <c r="CO339" s="4">
        <f t="shared" si="313"/>
        <v>0</v>
      </c>
      <c r="CP339" s="4">
        <f t="shared" si="314"/>
        <v>-143</v>
      </c>
      <c r="CQ339" s="4">
        <f t="shared" si="315"/>
        <v>-691</v>
      </c>
      <c r="CR339" s="4">
        <f t="shared" si="316"/>
        <v>10</v>
      </c>
      <c r="CS339" s="4">
        <f t="shared" si="317"/>
        <v>-66</v>
      </c>
      <c r="CT339" s="4">
        <f t="shared" si="318"/>
        <v>0</v>
      </c>
      <c r="CU339" s="4">
        <f t="shared" si="319"/>
        <v>0</v>
      </c>
      <c r="CV339" s="4">
        <f t="shared" si="320"/>
        <v>0</v>
      </c>
      <c r="CW339" s="4">
        <f t="shared" si="321"/>
        <v>0</v>
      </c>
      <c r="CX339" s="4">
        <f t="shared" si="322"/>
        <v>-1094</v>
      </c>
      <c r="CY339" s="4">
        <f t="shared" si="323"/>
        <v>0</v>
      </c>
      <c r="CZ339" s="4">
        <f t="shared" si="324"/>
        <v>0</v>
      </c>
      <c r="DA339" s="4">
        <f t="shared" si="325"/>
        <v>0</v>
      </c>
      <c r="DB339" s="4">
        <f t="shared" si="326"/>
        <v>0</v>
      </c>
      <c r="DC339" s="4">
        <f t="shared" si="327"/>
        <v>0</v>
      </c>
      <c r="DD339" s="4">
        <f t="shared" si="328"/>
        <v>0</v>
      </c>
      <c r="DE339" s="4">
        <f t="shared" si="329"/>
        <v>0</v>
      </c>
      <c r="DF339" s="4">
        <f t="shared" si="330"/>
        <v>0</v>
      </c>
      <c r="DG339" s="4">
        <f t="shared" si="331"/>
        <v>0</v>
      </c>
      <c r="DH339" s="4">
        <f t="shared" si="332"/>
        <v>0</v>
      </c>
      <c r="DI339" s="4">
        <f t="shared" si="333"/>
        <v>0</v>
      </c>
      <c r="DJ339" s="4">
        <f t="shared" si="334"/>
        <v>0</v>
      </c>
      <c r="DK339" s="4">
        <f t="shared" si="335"/>
        <v>0</v>
      </c>
      <c r="DL339" s="4">
        <f t="shared" si="336"/>
        <v>0</v>
      </c>
    </row>
    <row r="340" spans="1:116" x14ac:dyDescent="0.25">
      <c r="A340" s="5"/>
      <c r="B340" s="6"/>
      <c r="C340" s="3"/>
      <c r="D340" s="3"/>
      <c r="E340" s="3" t="s">
        <v>49</v>
      </c>
      <c r="F340" s="3">
        <v>5</v>
      </c>
      <c r="G340" s="3"/>
      <c r="H340" s="9"/>
      <c r="I340" s="9">
        <f>SUM(IFERROR(VLOOKUP($C:$C,Structure!$A:$AJ,I$1,0)*$D340,0),IFERROR(VLOOKUP($E:$E,Structure!$A:$AJ,I$1,0)*$F340,0),IFERROR(VLOOKUP($G:$G,Structure!$A:$AJ,I$1,0)*$H340,0))</f>
        <v>0</v>
      </c>
      <c r="J340" s="9">
        <f>SUM(IFERROR(VLOOKUP($C:$C,Structure!$A:$AJ,J$1,0)*$D340,0),IFERROR(VLOOKUP($E:$E,Structure!$A:$AJ,J$1,0)*$F340,0),IFERROR(VLOOKUP($G:$G,Structure!$A:$AJ,J$1,0)*$H340,0))</f>
        <v>0</v>
      </c>
      <c r="K340" s="9">
        <f>SUM(IFERROR(VLOOKUP($C:$C,Structure!$A:$AJ,K$1,0)*$D340,0),IFERROR(VLOOKUP($E:$E,Structure!$A:$AJ,K$1,0)*$F340,0),IFERROR(VLOOKUP($G:$G,Structure!$A:$AJ,K$1,0)*$H340,0))</f>
        <v>0</v>
      </c>
      <c r="L340" s="9">
        <f>SUM(IFERROR(VLOOKUP($C:$C,Structure!$A:$AJ,L$1,0)*$D340,0),IFERROR(VLOOKUP($E:$E,Structure!$A:$AJ,L$1,0)*$F340,0),IFERROR(VLOOKUP($G:$G,Structure!$A:$AJ,L$1,0)*$H340,0))</f>
        <v>0</v>
      </c>
      <c r="M340" s="9">
        <f>SUM(IFERROR(VLOOKUP($C:$C,Structure!$A:$AJ,M$1,0)*$D340,0),IFERROR(VLOOKUP($E:$E,Structure!$A:$AJ,M$1,0)*$F340,0),IFERROR(VLOOKUP($G:$G,Structure!$A:$AJ,M$1,0)*$H340,0))</f>
        <v>0</v>
      </c>
      <c r="N340" s="9">
        <f>SUM(IFERROR(VLOOKUP($C:$C,Structure!$A:$AJ,N$1,0)*$D340,0),IFERROR(VLOOKUP($E:$E,Structure!$A:$AJ,N$1,0)*$F340,0),IFERROR(VLOOKUP($G:$G,Structure!$A:$AJ,N$1,0)*$H340,0))</f>
        <v>5</v>
      </c>
      <c r="O340" s="9">
        <f>SUM(IFERROR(VLOOKUP($C:$C,Structure!$A:$AJ,O$1,0)*$D340,0),IFERROR(VLOOKUP($E:$E,Structure!$A:$AJ,O$1,0)*$F340,0),IFERROR(VLOOKUP($G:$G,Structure!$A:$AJ,O$1,0)*$H340,0))</f>
        <v>0</v>
      </c>
      <c r="P340" s="9">
        <f>SUM(IFERROR(VLOOKUP($C:$C,Structure!$A:$AJ,P$1,0)*$D340,0),IFERROR(VLOOKUP($E:$E,Structure!$A:$AJ,P$1,0)*$F340,0),IFERROR(VLOOKUP($G:$G,Structure!$A:$AJ,P$1,0)*$H340,0))</f>
        <v>0</v>
      </c>
      <c r="Q340" s="9">
        <f>SUM(IFERROR(VLOOKUP($C:$C,Structure!$A:$AJ,Q$1,0)*$D340,0),IFERROR(VLOOKUP($E:$E,Structure!$A:$AJ,Q$1,0)*$F340,0),IFERROR(VLOOKUP($G:$G,Structure!$A:$AJ,Q$1,0)*$H340,0))</f>
        <v>0</v>
      </c>
      <c r="R340" s="9">
        <f>SUM(IFERROR(VLOOKUP($C:$C,Structure!$A:$AJ,R$1,0)*$D340,0),IFERROR(VLOOKUP($E:$E,Structure!$A:$AJ,R$1,0)*$F340,0),IFERROR(VLOOKUP($G:$G,Structure!$A:$AJ,R$1,0)*$H340,0))</f>
        <v>0</v>
      </c>
      <c r="S340" s="9">
        <f>SUM(IFERROR(VLOOKUP($C:$C,Structure!$A:$AJ,S$1,0)*$D340,0),IFERROR(VLOOKUP($E:$E,Structure!$A:$AJ,S$1,0)*$F340,0),IFERROR(VLOOKUP($G:$G,Structure!$A:$AJ,S$1,0)*$H340,0))</f>
        <v>0</v>
      </c>
      <c r="T340" s="9">
        <f>SUM(IFERROR(VLOOKUP($C:$C,Structure!$A:$AJ,T$1,0)*$D340,0),IFERROR(VLOOKUP($E:$E,Structure!$A:$AJ,T$1,0)*$F340,0),IFERROR(VLOOKUP($G:$G,Structure!$A:$AJ,T$1,0)*$H340,0))</f>
        <v>0</v>
      </c>
      <c r="U340" s="9">
        <f>SUM(IFERROR(VLOOKUP($C:$C,Structure!$A:$AJ,U$1,0)*$D340,0),IFERROR(VLOOKUP($E:$E,Structure!$A:$AJ,U$1,0)*$F340,0),IFERROR(VLOOKUP($G:$G,Structure!$A:$AJ,U$1,0)*$H340,0))</f>
        <v>0</v>
      </c>
      <c r="V340" s="9">
        <f>SUM(IFERROR(VLOOKUP($C:$C,Structure!$A:$AJ,V$1,0)*$D340,0),IFERROR(VLOOKUP($E:$E,Structure!$A:$AJ,V$1,0)*$F340,0),IFERROR(VLOOKUP($G:$G,Structure!$A:$AJ,V$1,0)*$H340,0))</f>
        <v>0</v>
      </c>
      <c r="W340" s="9">
        <f>SUM(IFERROR(VLOOKUP($C:$C,Structure!$A:$AJ,W$1,0)*$D340,0),IFERROR(VLOOKUP($E:$E,Structure!$A:$AJ,W$1,0)*$F340,0),IFERROR(VLOOKUP($G:$G,Structure!$A:$AJ,W$1,0)*$H340,0))</f>
        <v>0</v>
      </c>
      <c r="X340" s="9">
        <f>SUM(IFERROR(VLOOKUP($C:$C,Structure!$A:$AJ,X$1,0)*$D340,0),IFERROR(VLOOKUP($E:$E,Structure!$A:$AJ,X$1,0)*$F340,0),IFERROR(VLOOKUP($G:$G,Structure!$A:$AJ,X$1,0)*$H340,0))</f>
        <v>5</v>
      </c>
      <c r="Y340" s="9">
        <f>SUM(IFERROR(VLOOKUP($C:$C,Structure!$A:$AJ,Y$1,0)*$D340,0),IFERROR(VLOOKUP($E:$E,Structure!$A:$AJ,Y$1,0)*$F340,0),IFERROR(VLOOKUP($G:$G,Structure!$A:$AJ,Y$1,0)*$H340,0))</f>
        <v>0</v>
      </c>
      <c r="Z340" s="9">
        <f>SUM(IFERROR(VLOOKUP($C:$C,Structure!$A:$AJ,Z$1,0)*$D340,0),IFERROR(VLOOKUP($E:$E,Structure!$A:$AJ,Z$1,0)*$F340,0),IFERROR(VLOOKUP($G:$G,Structure!$A:$AJ,Z$1,0)*$H340,0))</f>
        <v>0</v>
      </c>
      <c r="AA340" s="9">
        <f>SUM(IFERROR(VLOOKUP($C:$C,Structure!$A:$AJ,AA$1,0)*$D340,0),IFERROR(VLOOKUP($E:$E,Structure!$A:$AJ,AA$1,0)*$F340,0),IFERROR(VLOOKUP($G:$G,Structure!$A:$AJ,AA$1,0)*$H340,0))</f>
        <v>0</v>
      </c>
      <c r="AB340" s="9">
        <f>SUM(IFERROR(VLOOKUP($C:$C,Structure!$A:$AJ,AB$1,0)*$D340,0),IFERROR(VLOOKUP($E:$E,Structure!$A:$AJ,AB$1,0)*$F340,0),IFERROR(VLOOKUP($G:$G,Structure!$A:$AJ,AB$1,0)*$H340,0))</f>
        <v>0</v>
      </c>
      <c r="AC340" s="9">
        <f>SUM(IFERROR(VLOOKUP($C:$C,Structure!$A:$AJ,AC$1,0)*$D340,0),IFERROR(VLOOKUP($E:$E,Structure!$A:$AJ,AC$1,0)*$F340,0),IFERROR(VLOOKUP($G:$G,Structure!$A:$AJ,AC$1,0)*$H340,0))</f>
        <v>0</v>
      </c>
      <c r="AD340" s="9">
        <f>SUM(IFERROR(VLOOKUP($C:$C,Structure!$A:$AJ,AD$1,0)*$D340,0),IFERROR(VLOOKUP($E:$E,Structure!$A:$AJ,AD$1,0)*$F340,0),IFERROR(VLOOKUP($G:$G,Structure!$A:$AJ,AD$1,0)*$H340,0))</f>
        <v>0</v>
      </c>
      <c r="AE340" s="9">
        <f>SUM(IFERROR(VLOOKUP($C:$C,Structure!$A:$AJ,AE$1,0)*$D340,0),IFERROR(VLOOKUP($E:$E,Structure!$A:$AJ,AE$1,0)*$F340,0),IFERROR(VLOOKUP($G:$G,Structure!$A:$AJ,AE$1,0)*$H340,0))</f>
        <v>0</v>
      </c>
      <c r="AF340" s="9">
        <f>SUM(IFERROR(VLOOKUP($C:$C,Structure!$A:$AJ,AF$1,0)*$D340,0),IFERROR(VLOOKUP($E:$E,Structure!$A:$AJ,AF$1,0)*$F340,0),IFERROR(VLOOKUP($G:$G,Structure!$A:$AJ,AF$1,0)*$H340,0))</f>
        <v>0</v>
      </c>
      <c r="AG340" s="9">
        <f>SUM(IFERROR(VLOOKUP($C:$C,Structure!$A:$AJ,AG$1,0)*$D340,0),IFERROR(VLOOKUP($E:$E,Structure!$A:$AJ,AG$1,0)*$F340,0),IFERROR(VLOOKUP($G:$G,Structure!$A:$AJ,AG$1,0)*$H340,0))</f>
        <v>0</v>
      </c>
      <c r="AH340" s="9">
        <f>SUM(IFERROR(VLOOKUP($C:$C,Structure!$A:$AJ,AH$1,0)*$D340,0),IFERROR(VLOOKUP($E:$E,Structure!$A:$AJ,AH$1,0)*$F340,0),IFERROR(VLOOKUP($G:$G,Structure!$A:$AJ,AH$1,0)*$H340,0))</f>
        <v>0</v>
      </c>
      <c r="AI340" s="9">
        <f>SUM(IFERROR(VLOOKUP($C:$C,Structure!$A:$AJ,AI$1,0)*$D340,0),IFERROR(VLOOKUP($E:$E,Structure!$A:$AJ,AI$1,0)*$F340,0),IFERROR(VLOOKUP($G:$G,Structure!$A:$AJ,AI$1,0)*$H340,0))</f>
        <v>0</v>
      </c>
      <c r="AJ340" s="9">
        <f>SUM(IFERROR(VLOOKUP($C:$C,Structure!$A:$AJ,AJ$1,0)*$D340,0),IFERROR(VLOOKUP($E:$E,Structure!$A:$AJ,AJ$1,0)*$F340,0),IFERROR(VLOOKUP($G:$G,Structure!$A:$AJ,AJ$1,0)*$H340,0))</f>
        <v>0</v>
      </c>
      <c r="AK340" s="9">
        <f>SUM(IFERROR(VLOOKUP($C:$C,Structure!$A:$AJ,AK$1,0)*$D340,0),IFERROR(VLOOKUP($E:$E,Structure!$A:$AJ,AK$1,0)*$F340,0),IFERROR(VLOOKUP($G:$G,Structure!$A:$AJ,AK$1,0)*$H340,0))</f>
        <v>0</v>
      </c>
      <c r="AL340" s="9">
        <f>SUM(IFERROR(VLOOKUP($C:$C,Structure!$A:$AJ,AL$1,0)*$D340,0),IFERROR(VLOOKUP($E:$E,Structure!$A:$AJ,AL$1,0)*$F340,0),IFERROR(VLOOKUP($G:$G,Structure!$A:$AJ,AL$1,0)*$H340,0))</f>
        <v>0</v>
      </c>
      <c r="AM340" s="9">
        <f>SUM(IFERROR(VLOOKUP($C:$C,Structure!$A:$AJ,AM$1,0)*$D340,0),IFERROR(VLOOKUP($E:$E,Structure!$A:$AJ,AM$1,0)*$F340,0),IFERROR(VLOOKUP($G:$G,Structure!$A:$AJ,AM$1,0)*$H340,0))</f>
        <v>0</v>
      </c>
      <c r="AN340" s="9">
        <f>SUM(IFERROR(VLOOKUP($C:$C,Structure!$A:$AJ,AN$1,0)*$D340,0),IFERROR(VLOOKUP($E:$E,Structure!$A:$AJ,AN$1,0)*$F340,0),IFERROR(VLOOKUP($G:$G,Structure!$A:$AJ,AN$1,0)*$H340,0))</f>
        <v>0</v>
      </c>
      <c r="AO340" s="9">
        <f>SUM(IFERROR(VLOOKUP($C:$C,Structure!$A:$AJ,AO$1,0)*$D340,0),IFERROR(VLOOKUP($E:$E,Structure!$A:$AJ,AO$1,0)*$F340,0),IFERROR(VLOOKUP($G:$G,Structure!$A:$AJ,AO$1,0)*$H340,0))</f>
        <v>0</v>
      </c>
      <c r="AP340" s="9">
        <f>SUM(IFERROR(VLOOKUP($C:$C,Structure!$A:$AJ,AP$1,0)*$D340,0),IFERROR(VLOOKUP($E:$E,Structure!$A:$AJ,AP$1,0)*$F340,0),IFERROR(VLOOKUP($G:$G,Structure!$A:$AJ,AP$1,0)*$H340,0))</f>
        <v>0</v>
      </c>
      <c r="AQ340" s="9">
        <f>SUM(IFERROR(VLOOKUP($C:$C,Structure!$A:$AJ,AQ$1,0)*$D340,0),IFERROR(VLOOKUP($E:$E,Structure!$A:$AJ,AQ$1,0)*$F340,0),IFERROR(VLOOKUP($G:$G,Structure!$A:$AJ,AQ$1,0)*$H340,0))</f>
        <v>0</v>
      </c>
      <c r="AR340" s="21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4">
        <f t="shared" si="302"/>
        <v>0</v>
      </c>
      <c r="CE340" s="4">
        <f t="shared" si="303"/>
        <v>-300</v>
      </c>
      <c r="CF340" s="4">
        <f t="shared" si="304"/>
        <v>4</v>
      </c>
      <c r="CG340" s="4">
        <f t="shared" si="305"/>
        <v>9</v>
      </c>
      <c r="CH340" s="4">
        <f t="shared" si="306"/>
        <v>-7</v>
      </c>
      <c r="CI340" s="4">
        <f t="shared" si="307"/>
        <v>80</v>
      </c>
      <c r="CJ340" s="4">
        <f t="shared" si="308"/>
        <v>-474</v>
      </c>
      <c r="CK340" s="4">
        <f t="shared" si="309"/>
        <v>-121</v>
      </c>
      <c r="CL340" s="4">
        <f t="shared" si="310"/>
        <v>0</v>
      </c>
      <c r="CM340" s="4">
        <f t="shared" si="311"/>
        <v>6</v>
      </c>
      <c r="CN340" s="4">
        <f t="shared" si="312"/>
        <v>-361</v>
      </c>
      <c r="CO340" s="4">
        <f t="shared" si="313"/>
        <v>0</v>
      </c>
      <c r="CP340" s="4">
        <f t="shared" si="314"/>
        <v>-143</v>
      </c>
      <c r="CQ340" s="4">
        <f t="shared" si="315"/>
        <v>-691</v>
      </c>
      <c r="CR340" s="4">
        <f t="shared" si="316"/>
        <v>10</v>
      </c>
      <c r="CS340" s="4">
        <f t="shared" si="317"/>
        <v>-71</v>
      </c>
      <c r="CT340" s="4">
        <f t="shared" si="318"/>
        <v>0</v>
      </c>
      <c r="CU340" s="4">
        <f t="shared" si="319"/>
        <v>0</v>
      </c>
      <c r="CV340" s="4">
        <f t="shared" si="320"/>
        <v>0</v>
      </c>
      <c r="CW340" s="4">
        <f t="shared" si="321"/>
        <v>0</v>
      </c>
      <c r="CX340" s="4">
        <f t="shared" si="322"/>
        <v>-1094</v>
      </c>
      <c r="CY340" s="4">
        <f t="shared" si="323"/>
        <v>0</v>
      </c>
      <c r="CZ340" s="4">
        <f t="shared" si="324"/>
        <v>0</v>
      </c>
      <c r="DA340" s="4">
        <f t="shared" si="325"/>
        <v>0</v>
      </c>
      <c r="DB340" s="4">
        <f t="shared" si="326"/>
        <v>0</v>
      </c>
      <c r="DC340" s="4">
        <f t="shared" si="327"/>
        <v>0</v>
      </c>
      <c r="DD340" s="4">
        <f t="shared" si="328"/>
        <v>0</v>
      </c>
      <c r="DE340" s="4">
        <f t="shared" si="329"/>
        <v>0</v>
      </c>
      <c r="DF340" s="4">
        <f t="shared" si="330"/>
        <v>0</v>
      </c>
      <c r="DG340" s="4">
        <f t="shared" si="331"/>
        <v>0</v>
      </c>
      <c r="DH340" s="4">
        <f t="shared" si="332"/>
        <v>0</v>
      </c>
      <c r="DI340" s="4">
        <f t="shared" si="333"/>
        <v>0</v>
      </c>
      <c r="DJ340" s="4">
        <f t="shared" si="334"/>
        <v>0</v>
      </c>
      <c r="DK340" s="4">
        <f t="shared" si="335"/>
        <v>0</v>
      </c>
      <c r="DL340" s="4">
        <f t="shared" si="336"/>
        <v>0</v>
      </c>
    </row>
    <row r="341" spans="1:116" x14ac:dyDescent="0.25">
      <c r="A341" s="5"/>
      <c r="B341" s="6"/>
      <c r="C341" s="3"/>
      <c r="D341" s="3"/>
      <c r="E341" s="3" t="s">
        <v>57</v>
      </c>
      <c r="F341" s="3">
        <v>8</v>
      </c>
      <c r="G341" s="3"/>
      <c r="H341" s="9"/>
      <c r="I341" s="9">
        <f>SUM(IFERROR(VLOOKUP($C:$C,Structure!$A:$AJ,I$1,0)*$D341,0),IFERROR(VLOOKUP($E:$E,Structure!$A:$AJ,I$1,0)*$F341,0),IFERROR(VLOOKUP($G:$G,Structure!$A:$AJ,I$1,0)*$H341,0))</f>
        <v>0</v>
      </c>
      <c r="J341" s="9">
        <f>SUM(IFERROR(VLOOKUP($C:$C,Structure!$A:$AJ,J$1,0)*$D341,0),IFERROR(VLOOKUP($E:$E,Structure!$A:$AJ,J$1,0)*$F341,0),IFERROR(VLOOKUP($G:$G,Structure!$A:$AJ,J$1,0)*$H341,0))</f>
        <v>0</v>
      </c>
      <c r="K341" s="9">
        <f>SUM(IFERROR(VLOOKUP($C:$C,Structure!$A:$AJ,K$1,0)*$D341,0),IFERROR(VLOOKUP($E:$E,Structure!$A:$AJ,K$1,0)*$F341,0),IFERROR(VLOOKUP($G:$G,Structure!$A:$AJ,K$1,0)*$H341,0))</f>
        <v>0</v>
      </c>
      <c r="L341" s="9">
        <f>SUM(IFERROR(VLOOKUP($C:$C,Structure!$A:$AJ,L$1,0)*$D341,0),IFERROR(VLOOKUP($E:$E,Structure!$A:$AJ,L$1,0)*$F341,0),IFERROR(VLOOKUP($G:$G,Structure!$A:$AJ,L$1,0)*$H341,0))</f>
        <v>0</v>
      </c>
      <c r="M341" s="9">
        <f>SUM(IFERROR(VLOOKUP($C:$C,Structure!$A:$AJ,M$1,0)*$D341,0),IFERROR(VLOOKUP($E:$E,Structure!$A:$AJ,M$1,0)*$F341,0),IFERROR(VLOOKUP($G:$G,Structure!$A:$AJ,M$1,0)*$H341,0))</f>
        <v>0</v>
      </c>
      <c r="N341" s="9">
        <f>SUM(IFERROR(VLOOKUP($C:$C,Structure!$A:$AJ,N$1,0)*$D341,0),IFERROR(VLOOKUP($E:$E,Structure!$A:$AJ,N$1,0)*$F341,0),IFERROR(VLOOKUP($G:$G,Structure!$A:$AJ,N$1,0)*$H341,0))</f>
        <v>0</v>
      </c>
      <c r="O341" s="9">
        <f>SUM(IFERROR(VLOOKUP($C:$C,Structure!$A:$AJ,O$1,0)*$D341,0),IFERROR(VLOOKUP($E:$E,Structure!$A:$AJ,O$1,0)*$F341,0),IFERROR(VLOOKUP($G:$G,Structure!$A:$AJ,O$1,0)*$H341,0))</f>
        <v>8</v>
      </c>
      <c r="P341" s="9">
        <f>SUM(IFERROR(VLOOKUP($C:$C,Structure!$A:$AJ,P$1,0)*$D341,0),IFERROR(VLOOKUP($E:$E,Structure!$A:$AJ,P$1,0)*$F341,0),IFERROR(VLOOKUP($G:$G,Structure!$A:$AJ,P$1,0)*$H341,0))</f>
        <v>0</v>
      </c>
      <c r="Q341" s="9">
        <f>SUM(IFERROR(VLOOKUP($C:$C,Structure!$A:$AJ,Q$1,0)*$D341,0),IFERROR(VLOOKUP($E:$E,Structure!$A:$AJ,Q$1,0)*$F341,0),IFERROR(VLOOKUP($G:$G,Structure!$A:$AJ,Q$1,0)*$H341,0))</f>
        <v>0</v>
      </c>
      <c r="R341" s="9">
        <f>SUM(IFERROR(VLOOKUP($C:$C,Structure!$A:$AJ,R$1,0)*$D341,0),IFERROR(VLOOKUP($E:$E,Structure!$A:$AJ,R$1,0)*$F341,0),IFERROR(VLOOKUP($G:$G,Structure!$A:$AJ,R$1,0)*$H341,0))</f>
        <v>0</v>
      </c>
      <c r="S341" s="9">
        <f>SUM(IFERROR(VLOOKUP($C:$C,Structure!$A:$AJ,S$1,0)*$D341,0),IFERROR(VLOOKUP($E:$E,Structure!$A:$AJ,S$1,0)*$F341,0),IFERROR(VLOOKUP($G:$G,Structure!$A:$AJ,S$1,0)*$H341,0))</f>
        <v>8</v>
      </c>
      <c r="T341" s="9">
        <f>SUM(IFERROR(VLOOKUP($C:$C,Structure!$A:$AJ,T$1,0)*$D341,0),IFERROR(VLOOKUP($E:$E,Structure!$A:$AJ,T$1,0)*$F341,0),IFERROR(VLOOKUP($G:$G,Structure!$A:$AJ,T$1,0)*$H341,0))</f>
        <v>0</v>
      </c>
      <c r="U341" s="9">
        <f>SUM(IFERROR(VLOOKUP($C:$C,Structure!$A:$AJ,U$1,0)*$D341,0),IFERROR(VLOOKUP($E:$E,Structure!$A:$AJ,U$1,0)*$F341,0),IFERROR(VLOOKUP($G:$G,Structure!$A:$AJ,U$1,0)*$H341,0))</f>
        <v>0</v>
      </c>
      <c r="V341" s="9">
        <f>SUM(IFERROR(VLOOKUP($C:$C,Structure!$A:$AJ,V$1,0)*$D341,0),IFERROR(VLOOKUP($E:$E,Structure!$A:$AJ,V$1,0)*$F341,0),IFERROR(VLOOKUP($G:$G,Structure!$A:$AJ,V$1,0)*$H341,0))</f>
        <v>0</v>
      </c>
      <c r="W341" s="9">
        <f>SUM(IFERROR(VLOOKUP($C:$C,Structure!$A:$AJ,W$1,0)*$D341,0),IFERROR(VLOOKUP($E:$E,Structure!$A:$AJ,W$1,0)*$F341,0),IFERROR(VLOOKUP($G:$G,Structure!$A:$AJ,W$1,0)*$H341,0))</f>
        <v>0</v>
      </c>
      <c r="X341" s="9">
        <f>SUM(IFERROR(VLOOKUP($C:$C,Structure!$A:$AJ,X$1,0)*$D341,0),IFERROR(VLOOKUP($E:$E,Structure!$A:$AJ,X$1,0)*$F341,0),IFERROR(VLOOKUP($G:$G,Structure!$A:$AJ,X$1,0)*$H341,0))</f>
        <v>0</v>
      </c>
      <c r="Y341" s="9">
        <f>SUM(IFERROR(VLOOKUP($C:$C,Structure!$A:$AJ,Y$1,0)*$D341,0),IFERROR(VLOOKUP($E:$E,Structure!$A:$AJ,Y$1,0)*$F341,0),IFERROR(VLOOKUP($G:$G,Structure!$A:$AJ,Y$1,0)*$H341,0))</f>
        <v>0</v>
      </c>
      <c r="Z341" s="9">
        <f>SUM(IFERROR(VLOOKUP($C:$C,Structure!$A:$AJ,Z$1,0)*$D341,0),IFERROR(VLOOKUP($E:$E,Structure!$A:$AJ,Z$1,0)*$F341,0),IFERROR(VLOOKUP($G:$G,Structure!$A:$AJ,Z$1,0)*$H341,0))</f>
        <v>0</v>
      </c>
      <c r="AA341" s="9">
        <f>SUM(IFERROR(VLOOKUP($C:$C,Structure!$A:$AJ,AA$1,0)*$D341,0),IFERROR(VLOOKUP($E:$E,Structure!$A:$AJ,AA$1,0)*$F341,0),IFERROR(VLOOKUP($G:$G,Structure!$A:$AJ,AA$1,0)*$H341,0))</f>
        <v>0</v>
      </c>
      <c r="AB341" s="9">
        <f>SUM(IFERROR(VLOOKUP($C:$C,Structure!$A:$AJ,AB$1,0)*$D341,0),IFERROR(VLOOKUP($E:$E,Structure!$A:$AJ,AB$1,0)*$F341,0),IFERROR(VLOOKUP($G:$G,Structure!$A:$AJ,AB$1,0)*$H341,0))</f>
        <v>0</v>
      </c>
      <c r="AC341" s="9">
        <f>SUM(IFERROR(VLOOKUP($C:$C,Structure!$A:$AJ,AC$1,0)*$D341,0),IFERROR(VLOOKUP($E:$E,Structure!$A:$AJ,AC$1,0)*$F341,0),IFERROR(VLOOKUP($G:$G,Structure!$A:$AJ,AC$1,0)*$H341,0))</f>
        <v>0</v>
      </c>
      <c r="AD341" s="9">
        <f>SUM(IFERROR(VLOOKUP($C:$C,Structure!$A:$AJ,AD$1,0)*$D341,0),IFERROR(VLOOKUP($E:$E,Structure!$A:$AJ,AD$1,0)*$F341,0),IFERROR(VLOOKUP($G:$G,Structure!$A:$AJ,AD$1,0)*$H341,0))</f>
        <v>0</v>
      </c>
      <c r="AE341" s="9">
        <f>SUM(IFERROR(VLOOKUP($C:$C,Structure!$A:$AJ,AE$1,0)*$D341,0),IFERROR(VLOOKUP($E:$E,Structure!$A:$AJ,AE$1,0)*$F341,0),IFERROR(VLOOKUP($G:$G,Structure!$A:$AJ,AE$1,0)*$H341,0))</f>
        <v>0</v>
      </c>
      <c r="AF341" s="9">
        <f>SUM(IFERROR(VLOOKUP($C:$C,Structure!$A:$AJ,AF$1,0)*$D341,0),IFERROR(VLOOKUP($E:$E,Structure!$A:$AJ,AF$1,0)*$F341,0),IFERROR(VLOOKUP($G:$G,Structure!$A:$AJ,AF$1,0)*$H341,0))</f>
        <v>0</v>
      </c>
      <c r="AG341" s="9">
        <f>SUM(IFERROR(VLOOKUP($C:$C,Structure!$A:$AJ,AG$1,0)*$D341,0),IFERROR(VLOOKUP($E:$E,Structure!$A:$AJ,AG$1,0)*$F341,0),IFERROR(VLOOKUP($G:$G,Structure!$A:$AJ,AG$1,0)*$H341,0))</f>
        <v>0</v>
      </c>
      <c r="AH341" s="9">
        <f>SUM(IFERROR(VLOOKUP($C:$C,Structure!$A:$AJ,AH$1,0)*$D341,0),IFERROR(VLOOKUP($E:$E,Structure!$A:$AJ,AH$1,0)*$F341,0),IFERROR(VLOOKUP($G:$G,Structure!$A:$AJ,AH$1,0)*$H341,0))</f>
        <v>0</v>
      </c>
      <c r="AI341" s="9">
        <f>SUM(IFERROR(VLOOKUP($C:$C,Structure!$A:$AJ,AI$1,0)*$D341,0),IFERROR(VLOOKUP($E:$E,Structure!$A:$AJ,AI$1,0)*$F341,0),IFERROR(VLOOKUP($G:$G,Structure!$A:$AJ,AI$1,0)*$H341,0))</f>
        <v>0</v>
      </c>
      <c r="AJ341" s="9">
        <f>SUM(IFERROR(VLOOKUP($C:$C,Structure!$A:$AJ,AJ$1,0)*$D341,0),IFERROR(VLOOKUP($E:$E,Structure!$A:$AJ,AJ$1,0)*$F341,0),IFERROR(VLOOKUP($G:$G,Structure!$A:$AJ,AJ$1,0)*$H341,0))</f>
        <v>0</v>
      </c>
      <c r="AK341" s="9">
        <f>SUM(IFERROR(VLOOKUP($C:$C,Structure!$A:$AJ,AK$1,0)*$D341,0),IFERROR(VLOOKUP($E:$E,Structure!$A:$AJ,AK$1,0)*$F341,0),IFERROR(VLOOKUP($G:$G,Structure!$A:$AJ,AK$1,0)*$H341,0))</f>
        <v>0</v>
      </c>
      <c r="AL341" s="9">
        <f>SUM(IFERROR(VLOOKUP($C:$C,Structure!$A:$AJ,AL$1,0)*$D341,0),IFERROR(VLOOKUP($E:$E,Structure!$A:$AJ,AL$1,0)*$F341,0),IFERROR(VLOOKUP($G:$G,Structure!$A:$AJ,AL$1,0)*$H341,0))</f>
        <v>0</v>
      </c>
      <c r="AM341" s="9">
        <f>SUM(IFERROR(VLOOKUP($C:$C,Structure!$A:$AJ,AM$1,0)*$D341,0),IFERROR(VLOOKUP($E:$E,Structure!$A:$AJ,AM$1,0)*$F341,0),IFERROR(VLOOKUP($G:$G,Structure!$A:$AJ,AM$1,0)*$H341,0))</f>
        <v>0</v>
      </c>
      <c r="AN341" s="9">
        <f>SUM(IFERROR(VLOOKUP($C:$C,Structure!$A:$AJ,AN$1,0)*$D341,0),IFERROR(VLOOKUP($E:$E,Structure!$A:$AJ,AN$1,0)*$F341,0),IFERROR(VLOOKUP($G:$G,Structure!$A:$AJ,AN$1,0)*$H341,0))</f>
        <v>0</v>
      </c>
      <c r="AO341" s="9">
        <f>SUM(IFERROR(VLOOKUP($C:$C,Structure!$A:$AJ,AO$1,0)*$D341,0),IFERROR(VLOOKUP($E:$E,Structure!$A:$AJ,AO$1,0)*$F341,0),IFERROR(VLOOKUP($G:$G,Structure!$A:$AJ,AO$1,0)*$H341,0))</f>
        <v>0</v>
      </c>
      <c r="AP341" s="9">
        <f>SUM(IFERROR(VLOOKUP($C:$C,Structure!$A:$AJ,AP$1,0)*$D341,0),IFERROR(VLOOKUP($E:$E,Structure!$A:$AJ,AP$1,0)*$F341,0),IFERROR(VLOOKUP($G:$G,Structure!$A:$AJ,AP$1,0)*$H341,0))</f>
        <v>0</v>
      </c>
      <c r="AQ341" s="9">
        <f>SUM(IFERROR(VLOOKUP($C:$C,Structure!$A:$AJ,AQ$1,0)*$D341,0),IFERROR(VLOOKUP($E:$E,Structure!$A:$AJ,AQ$1,0)*$F341,0),IFERROR(VLOOKUP($G:$G,Structure!$A:$AJ,AQ$1,0)*$H341,0))</f>
        <v>0</v>
      </c>
      <c r="AR341" s="21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4">
        <f t="shared" si="302"/>
        <v>0</v>
      </c>
      <c r="CE341" s="4">
        <f t="shared" si="303"/>
        <v>-300</v>
      </c>
      <c r="CF341" s="4">
        <f t="shared" si="304"/>
        <v>4</v>
      </c>
      <c r="CG341" s="4">
        <f t="shared" si="305"/>
        <v>9</v>
      </c>
      <c r="CH341" s="4">
        <f t="shared" si="306"/>
        <v>-7</v>
      </c>
      <c r="CI341" s="4">
        <f t="shared" si="307"/>
        <v>80</v>
      </c>
      <c r="CJ341" s="4">
        <f t="shared" si="308"/>
        <v>-482</v>
      </c>
      <c r="CK341" s="4">
        <f t="shared" si="309"/>
        <v>-121</v>
      </c>
      <c r="CL341" s="4">
        <f t="shared" si="310"/>
        <v>0</v>
      </c>
      <c r="CM341" s="4">
        <f t="shared" si="311"/>
        <v>6</v>
      </c>
      <c r="CN341" s="4">
        <f t="shared" si="312"/>
        <v>-369</v>
      </c>
      <c r="CO341" s="4">
        <f t="shared" si="313"/>
        <v>0</v>
      </c>
      <c r="CP341" s="4">
        <f t="shared" si="314"/>
        <v>-143</v>
      </c>
      <c r="CQ341" s="4">
        <f t="shared" si="315"/>
        <v>-691</v>
      </c>
      <c r="CR341" s="4">
        <f t="shared" si="316"/>
        <v>10</v>
      </c>
      <c r="CS341" s="4">
        <f t="shared" si="317"/>
        <v>-71</v>
      </c>
      <c r="CT341" s="4">
        <f t="shared" si="318"/>
        <v>0</v>
      </c>
      <c r="CU341" s="4">
        <f t="shared" si="319"/>
        <v>0</v>
      </c>
      <c r="CV341" s="4">
        <f t="shared" si="320"/>
        <v>0</v>
      </c>
      <c r="CW341" s="4">
        <f t="shared" si="321"/>
        <v>0</v>
      </c>
      <c r="CX341" s="4">
        <f t="shared" si="322"/>
        <v>-1094</v>
      </c>
      <c r="CY341" s="4">
        <f t="shared" si="323"/>
        <v>0</v>
      </c>
      <c r="CZ341" s="4">
        <f t="shared" si="324"/>
        <v>0</v>
      </c>
      <c r="DA341" s="4">
        <f t="shared" si="325"/>
        <v>0</v>
      </c>
      <c r="DB341" s="4">
        <f t="shared" si="326"/>
        <v>0</v>
      </c>
      <c r="DC341" s="4">
        <f t="shared" si="327"/>
        <v>0</v>
      </c>
      <c r="DD341" s="4">
        <f t="shared" si="328"/>
        <v>0</v>
      </c>
      <c r="DE341" s="4">
        <f t="shared" si="329"/>
        <v>0</v>
      </c>
      <c r="DF341" s="4">
        <f t="shared" si="330"/>
        <v>0</v>
      </c>
      <c r="DG341" s="4">
        <f t="shared" si="331"/>
        <v>0</v>
      </c>
      <c r="DH341" s="4">
        <f t="shared" si="332"/>
        <v>0</v>
      </c>
      <c r="DI341" s="4">
        <f t="shared" si="333"/>
        <v>0</v>
      </c>
      <c r="DJ341" s="4">
        <f t="shared" si="334"/>
        <v>0</v>
      </c>
      <c r="DK341" s="4">
        <f t="shared" si="335"/>
        <v>0</v>
      </c>
      <c r="DL341" s="4">
        <f t="shared" si="336"/>
        <v>0</v>
      </c>
    </row>
    <row r="342" spans="1:116" x14ac:dyDescent="0.25">
      <c r="C342" s="3"/>
      <c r="D342" s="3"/>
      <c r="E342" s="3" t="s">
        <v>57</v>
      </c>
      <c r="F342" s="3">
        <v>8</v>
      </c>
      <c r="G342" s="3"/>
      <c r="H342" s="9"/>
    </row>
    <row r="343" spans="1:116" x14ac:dyDescent="0.25">
      <c r="C343" s="3"/>
      <c r="D343" s="3"/>
      <c r="E343" s="3" t="s">
        <v>57</v>
      </c>
      <c r="F343" s="3">
        <v>8</v>
      </c>
      <c r="G343" s="3"/>
      <c r="H343" s="9"/>
    </row>
    <row r="344" spans="1:116" x14ac:dyDescent="0.25">
      <c r="C344" s="3"/>
      <c r="D344" s="3"/>
      <c r="E344" s="3" t="s">
        <v>38</v>
      </c>
      <c r="F344" s="3">
        <v>8</v>
      </c>
      <c r="G344" s="3"/>
      <c r="H344" s="9"/>
    </row>
    <row r="345" spans="1:116" x14ac:dyDescent="0.25">
      <c r="E345" t="s">
        <v>38</v>
      </c>
      <c r="F345">
        <v>8</v>
      </c>
    </row>
    <row r="346" spans="1:116" x14ac:dyDescent="0.25">
      <c r="E346" t="s">
        <v>38</v>
      </c>
      <c r="F346">
        <v>8</v>
      </c>
    </row>
    <row r="347" spans="1:116" x14ac:dyDescent="0.25">
      <c r="E347" t="s">
        <v>38</v>
      </c>
      <c r="F347">
        <v>8</v>
      </c>
    </row>
    <row r="348" spans="1:116" x14ac:dyDescent="0.25">
      <c r="E348" t="s">
        <v>47</v>
      </c>
      <c r="F348">
        <v>3</v>
      </c>
    </row>
    <row r="349" spans="1:116" x14ac:dyDescent="0.25">
      <c r="E349" t="s">
        <v>30</v>
      </c>
      <c r="F349">
        <v>8</v>
      </c>
    </row>
    <row r="350" spans="1:116" x14ac:dyDescent="0.25">
      <c r="E350" t="s">
        <v>30</v>
      </c>
      <c r="F350">
        <v>8</v>
      </c>
    </row>
    <row r="351" spans="1:116" x14ac:dyDescent="0.25">
      <c r="E351" t="s">
        <v>30</v>
      </c>
      <c r="F351">
        <v>8</v>
      </c>
    </row>
    <row r="352" spans="1:116" x14ac:dyDescent="0.25">
      <c r="E352" t="s">
        <v>30</v>
      </c>
      <c r="F352">
        <v>8</v>
      </c>
    </row>
    <row r="353" spans="5:6" x14ac:dyDescent="0.25">
      <c r="E353" t="s">
        <v>30</v>
      </c>
      <c r="F353">
        <v>8</v>
      </c>
    </row>
    <row r="354" spans="5:6" x14ac:dyDescent="0.25">
      <c r="E354" t="s">
        <v>30</v>
      </c>
      <c r="F354">
        <v>8</v>
      </c>
    </row>
    <row r="355" spans="5:6" x14ac:dyDescent="0.25">
      <c r="E355" t="s">
        <v>30</v>
      </c>
      <c r="F355">
        <v>8</v>
      </c>
    </row>
    <row r="356" spans="5:6" x14ac:dyDescent="0.25">
      <c r="E356" t="s">
        <v>30</v>
      </c>
      <c r="F356">
        <v>8</v>
      </c>
    </row>
    <row r="357" spans="5:6" x14ac:dyDescent="0.25">
      <c r="E357" t="s">
        <v>30</v>
      </c>
      <c r="F357">
        <v>8</v>
      </c>
    </row>
    <row r="358" spans="5:6" x14ac:dyDescent="0.25">
      <c r="E358" t="s">
        <v>30</v>
      </c>
      <c r="F358">
        <v>8</v>
      </c>
    </row>
    <row r="359" spans="5:6" x14ac:dyDescent="0.25">
      <c r="E359" t="s">
        <v>30</v>
      </c>
      <c r="F359">
        <v>8</v>
      </c>
    </row>
    <row r="360" spans="5:6" x14ac:dyDescent="0.25">
      <c r="E360" t="s">
        <v>30</v>
      </c>
      <c r="F360">
        <v>8</v>
      </c>
    </row>
    <row r="361" spans="5:6" x14ac:dyDescent="0.25">
      <c r="E361" t="s">
        <v>30</v>
      </c>
      <c r="F361">
        <v>8</v>
      </c>
    </row>
    <row r="362" spans="5:6" x14ac:dyDescent="0.25">
      <c r="E362" t="s">
        <v>30</v>
      </c>
      <c r="F362">
        <v>8</v>
      </c>
    </row>
    <row r="363" spans="5:6" x14ac:dyDescent="0.25">
      <c r="E363" t="s">
        <v>30</v>
      </c>
      <c r="F363">
        <v>8</v>
      </c>
    </row>
    <row r="364" spans="5:6" x14ac:dyDescent="0.25">
      <c r="E364" t="s">
        <v>30</v>
      </c>
      <c r="F364">
        <v>8</v>
      </c>
    </row>
    <row r="365" spans="5:6" x14ac:dyDescent="0.25">
      <c r="E365" t="s">
        <v>25</v>
      </c>
      <c r="F365">
        <v>8</v>
      </c>
    </row>
    <row r="366" spans="5:6" x14ac:dyDescent="0.25">
      <c r="E366" t="s">
        <v>25</v>
      </c>
      <c r="F366">
        <v>8</v>
      </c>
    </row>
    <row r="367" spans="5:6" x14ac:dyDescent="0.25">
      <c r="E367" t="s">
        <v>25</v>
      </c>
      <c r="F367">
        <v>8</v>
      </c>
    </row>
    <row r="368" spans="5:6" x14ac:dyDescent="0.25">
      <c r="E368" t="s">
        <v>25</v>
      </c>
      <c r="F368">
        <v>8</v>
      </c>
    </row>
    <row r="369" spans="5:6" x14ac:dyDescent="0.25">
      <c r="E369" t="s">
        <v>25</v>
      </c>
      <c r="F369">
        <v>8</v>
      </c>
    </row>
    <row r="370" spans="5:6" x14ac:dyDescent="0.25">
      <c r="E370" t="s">
        <v>25</v>
      </c>
      <c r="F370">
        <v>8</v>
      </c>
    </row>
    <row r="371" spans="5:6" x14ac:dyDescent="0.25">
      <c r="E371" t="s">
        <v>25</v>
      </c>
      <c r="F371">
        <v>8</v>
      </c>
    </row>
    <row r="372" spans="5:6" x14ac:dyDescent="0.25">
      <c r="E372" t="s">
        <v>25</v>
      </c>
      <c r="F372">
        <v>8</v>
      </c>
    </row>
    <row r="373" spans="5:6" x14ac:dyDescent="0.25">
      <c r="E373" t="s">
        <v>22</v>
      </c>
      <c r="F373">
        <v>8</v>
      </c>
    </row>
    <row r="374" spans="5:6" x14ac:dyDescent="0.25">
      <c r="E374" t="s">
        <v>22</v>
      </c>
      <c r="F374">
        <v>8</v>
      </c>
    </row>
    <row r="375" spans="5:6" x14ac:dyDescent="0.25">
      <c r="E375" t="s">
        <v>22</v>
      </c>
      <c r="F375">
        <v>8</v>
      </c>
    </row>
    <row r="376" spans="5:6" x14ac:dyDescent="0.25">
      <c r="E376" t="s">
        <v>22</v>
      </c>
      <c r="F376">
        <v>8</v>
      </c>
    </row>
    <row r="377" spans="5:6" x14ac:dyDescent="0.25">
      <c r="E377" t="s">
        <v>49</v>
      </c>
      <c r="F377">
        <v>8</v>
      </c>
    </row>
    <row r="378" spans="5:6" x14ac:dyDescent="0.25">
      <c r="E378" t="s">
        <v>25</v>
      </c>
      <c r="F378">
        <v>8</v>
      </c>
    </row>
    <row r="379" spans="5:6" x14ac:dyDescent="0.25">
      <c r="E379" t="s">
        <v>25</v>
      </c>
      <c r="F379">
        <v>8</v>
      </c>
    </row>
    <row r="380" spans="5:6" x14ac:dyDescent="0.25">
      <c r="E380" t="s">
        <v>25</v>
      </c>
      <c r="F380">
        <v>8</v>
      </c>
    </row>
    <row r="381" spans="5:6" x14ac:dyDescent="0.25">
      <c r="E381" t="s">
        <v>25</v>
      </c>
      <c r="F381">
        <v>8</v>
      </c>
    </row>
    <row r="382" spans="5:6" x14ac:dyDescent="0.25">
      <c r="E382" t="s">
        <v>25</v>
      </c>
      <c r="F382">
        <v>8</v>
      </c>
    </row>
    <row r="383" spans="5:6" x14ac:dyDescent="0.25">
      <c r="E383" t="s">
        <v>25</v>
      </c>
      <c r="F383">
        <v>8</v>
      </c>
    </row>
    <row r="384" spans="5:6" x14ac:dyDescent="0.25">
      <c r="E384" t="s">
        <v>25</v>
      </c>
      <c r="F384">
        <v>8</v>
      </c>
    </row>
    <row r="385" spans="5:6" x14ac:dyDescent="0.25">
      <c r="E385" t="s">
        <v>30</v>
      </c>
      <c r="F385">
        <v>8</v>
      </c>
    </row>
    <row r="386" spans="5:6" x14ac:dyDescent="0.25">
      <c r="E386" t="s">
        <v>30</v>
      </c>
      <c r="F386">
        <v>8</v>
      </c>
    </row>
    <row r="387" spans="5:6" x14ac:dyDescent="0.25">
      <c r="E387" t="s">
        <v>30</v>
      </c>
      <c r="F387">
        <v>8</v>
      </c>
    </row>
    <row r="388" spans="5:6" x14ac:dyDescent="0.25">
      <c r="E388" t="s">
        <v>30</v>
      </c>
      <c r="F388">
        <v>8</v>
      </c>
    </row>
    <row r="389" spans="5:6" x14ac:dyDescent="0.25">
      <c r="E389" t="s">
        <v>30</v>
      </c>
      <c r="F389">
        <v>8</v>
      </c>
    </row>
    <row r="390" spans="5:6" x14ac:dyDescent="0.25">
      <c r="E390" t="s">
        <v>30</v>
      </c>
      <c r="F390">
        <v>8</v>
      </c>
    </row>
    <row r="391" spans="5:6" x14ac:dyDescent="0.25">
      <c r="E391" t="s">
        <v>30</v>
      </c>
      <c r="F391">
        <v>8</v>
      </c>
    </row>
    <row r="392" spans="5:6" x14ac:dyDescent="0.25">
      <c r="E392" t="s">
        <v>30</v>
      </c>
      <c r="F392">
        <v>8</v>
      </c>
    </row>
    <row r="393" spans="5:6" x14ac:dyDescent="0.25">
      <c r="E393" t="s">
        <v>30</v>
      </c>
      <c r="F393">
        <v>8</v>
      </c>
    </row>
    <row r="394" spans="5:6" x14ac:dyDescent="0.25">
      <c r="E394" t="s">
        <v>30</v>
      </c>
      <c r="F394">
        <v>8</v>
      </c>
    </row>
    <row r="395" spans="5:6" x14ac:dyDescent="0.25">
      <c r="E395" t="s">
        <v>30</v>
      </c>
      <c r="F395">
        <v>8</v>
      </c>
    </row>
    <row r="396" spans="5:6" x14ac:dyDescent="0.25">
      <c r="E396" t="s">
        <v>30</v>
      </c>
      <c r="F396">
        <v>8</v>
      </c>
    </row>
    <row r="397" spans="5:6" x14ac:dyDescent="0.25">
      <c r="E397" t="s">
        <v>34</v>
      </c>
      <c r="F397">
        <v>2</v>
      </c>
    </row>
    <row r="398" spans="5:6" x14ac:dyDescent="0.25">
      <c r="E398" t="s">
        <v>22</v>
      </c>
      <c r="F398">
        <v>8</v>
      </c>
    </row>
    <row r="399" spans="5:6" x14ac:dyDescent="0.25">
      <c r="E399" t="s">
        <v>22</v>
      </c>
      <c r="F399">
        <v>8</v>
      </c>
    </row>
    <row r="400" spans="5:6" x14ac:dyDescent="0.25">
      <c r="E400" t="s">
        <v>22</v>
      </c>
      <c r="F400">
        <v>8</v>
      </c>
    </row>
    <row r="401" spans="5:6" x14ac:dyDescent="0.25">
      <c r="E401" t="s">
        <v>22</v>
      </c>
      <c r="F401">
        <v>8</v>
      </c>
    </row>
    <row r="402" spans="5:6" x14ac:dyDescent="0.25">
      <c r="E402" t="s">
        <v>22</v>
      </c>
      <c r="F402">
        <v>8</v>
      </c>
    </row>
    <row r="403" spans="5:6" x14ac:dyDescent="0.25">
      <c r="E403" t="s">
        <v>22</v>
      </c>
      <c r="F403">
        <v>8</v>
      </c>
    </row>
    <row r="404" spans="5:6" x14ac:dyDescent="0.25">
      <c r="E404" t="s">
        <v>22</v>
      </c>
      <c r="F404">
        <v>8</v>
      </c>
    </row>
    <row r="405" spans="5:6" x14ac:dyDescent="0.25">
      <c r="E405" t="s">
        <v>30</v>
      </c>
      <c r="F405">
        <v>4</v>
      </c>
    </row>
    <row r="406" spans="5:6" x14ac:dyDescent="0.25">
      <c r="E406" t="s">
        <v>30</v>
      </c>
      <c r="F406">
        <v>8</v>
      </c>
    </row>
    <row r="407" spans="5:6" x14ac:dyDescent="0.25">
      <c r="E407" t="s">
        <v>30</v>
      </c>
      <c r="F407">
        <v>8</v>
      </c>
    </row>
    <row r="408" spans="5:6" x14ac:dyDescent="0.25">
      <c r="E408" t="s">
        <v>30</v>
      </c>
      <c r="F408">
        <v>8</v>
      </c>
    </row>
    <row r="409" spans="5:6" x14ac:dyDescent="0.25">
      <c r="E409" t="s">
        <v>30</v>
      </c>
      <c r="F409">
        <v>8</v>
      </c>
    </row>
    <row r="410" spans="5:6" x14ac:dyDescent="0.25">
      <c r="E410" t="s">
        <v>25</v>
      </c>
      <c r="F410">
        <v>8</v>
      </c>
    </row>
    <row r="411" spans="5:6" x14ac:dyDescent="0.25">
      <c r="E411" t="s">
        <v>25</v>
      </c>
      <c r="F411">
        <v>8</v>
      </c>
    </row>
    <row r="412" spans="5:6" x14ac:dyDescent="0.25">
      <c r="E412" t="s">
        <v>25</v>
      </c>
      <c r="F412">
        <v>8</v>
      </c>
    </row>
    <row r="413" spans="5:6" x14ac:dyDescent="0.25">
      <c r="E413" t="s">
        <v>25</v>
      </c>
      <c r="F413">
        <v>8</v>
      </c>
    </row>
    <row r="414" spans="5:6" x14ac:dyDescent="0.25">
      <c r="E414" t="s">
        <v>25</v>
      </c>
      <c r="F414">
        <v>8</v>
      </c>
    </row>
    <row r="415" spans="5:6" x14ac:dyDescent="0.25">
      <c r="E415" t="s">
        <v>25</v>
      </c>
      <c r="F415">
        <v>8</v>
      </c>
    </row>
    <row r="416" spans="5:6" x14ac:dyDescent="0.25">
      <c r="E416" t="s">
        <v>25</v>
      </c>
      <c r="F416">
        <v>8</v>
      </c>
    </row>
    <row r="417" spans="5:6" x14ac:dyDescent="0.25">
      <c r="E417" t="s">
        <v>25</v>
      </c>
      <c r="F417">
        <v>8</v>
      </c>
    </row>
    <row r="418" spans="5:6" x14ac:dyDescent="0.25">
      <c r="E418" t="s">
        <v>25</v>
      </c>
      <c r="F418">
        <v>8</v>
      </c>
    </row>
    <row r="419" spans="5:6" x14ac:dyDescent="0.25">
      <c r="E419" t="s">
        <v>25</v>
      </c>
      <c r="F419">
        <v>8</v>
      </c>
    </row>
    <row r="420" spans="5:6" x14ac:dyDescent="0.25">
      <c r="E420" t="s">
        <v>25</v>
      </c>
      <c r="F420">
        <v>8</v>
      </c>
    </row>
    <row r="421" spans="5:6" x14ac:dyDescent="0.25">
      <c r="E421" t="s">
        <v>29</v>
      </c>
      <c r="F421">
        <v>4</v>
      </c>
    </row>
    <row r="422" spans="5:6" x14ac:dyDescent="0.25">
      <c r="E422" t="s">
        <v>47</v>
      </c>
      <c r="F422">
        <v>3</v>
      </c>
    </row>
    <row r="423" spans="5:6" x14ac:dyDescent="0.25">
      <c r="E423" t="s">
        <v>58</v>
      </c>
      <c r="F423">
        <v>2</v>
      </c>
    </row>
    <row r="424" spans="5:6" x14ac:dyDescent="0.25">
      <c r="E424" t="s">
        <v>40</v>
      </c>
      <c r="F424">
        <v>8</v>
      </c>
    </row>
    <row r="425" spans="5:6" x14ac:dyDescent="0.25">
      <c r="E425" t="s">
        <v>40</v>
      </c>
      <c r="F425">
        <v>8</v>
      </c>
    </row>
    <row r="426" spans="5:6" x14ac:dyDescent="0.25">
      <c r="E426" t="s">
        <v>40</v>
      </c>
      <c r="F426">
        <v>8</v>
      </c>
    </row>
    <row r="427" spans="5:6" x14ac:dyDescent="0.25">
      <c r="E427" t="s">
        <v>40</v>
      </c>
      <c r="F427">
        <v>8</v>
      </c>
    </row>
    <row r="428" spans="5:6" x14ac:dyDescent="0.25">
      <c r="E428" t="s">
        <v>40</v>
      </c>
      <c r="F428">
        <v>8</v>
      </c>
    </row>
    <row r="429" spans="5:6" x14ac:dyDescent="0.25">
      <c r="E429" t="s">
        <v>40</v>
      </c>
      <c r="F429">
        <v>8</v>
      </c>
    </row>
    <row r="430" spans="5:6" x14ac:dyDescent="0.25">
      <c r="E430" t="s">
        <v>49</v>
      </c>
      <c r="F430">
        <v>8</v>
      </c>
    </row>
    <row r="431" spans="5:6" x14ac:dyDescent="0.25">
      <c r="E431" t="s">
        <v>30</v>
      </c>
      <c r="F431">
        <v>8</v>
      </c>
    </row>
    <row r="432" spans="5:6" x14ac:dyDescent="0.25">
      <c r="E432" t="s">
        <v>30</v>
      </c>
      <c r="F432">
        <v>8</v>
      </c>
    </row>
    <row r="433" spans="5:6" x14ac:dyDescent="0.25">
      <c r="E433" t="s">
        <v>30</v>
      </c>
      <c r="F433">
        <v>8</v>
      </c>
    </row>
    <row r="434" spans="5:6" x14ac:dyDescent="0.25">
      <c r="E434" t="s">
        <v>30</v>
      </c>
      <c r="F434">
        <v>8</v>
      </c>
    </row>
    <row r="435" spans="5:6" x14ac:dyDescent="0.25">
      <c r="E435" t="s">
        <v>30</v>
      </c>
      <c r="F435">
        <v>8</v>
      </c>
    </row>
    <row r="436" spans="5:6" x14ac:dyDescent="0.25">
      <c r="E436" t="s">
        <v>30</v>
      </c>
      <c r="F436">
        <v>8</v>
      </c>
    </row>
    <row r="437" spans="5:6" x14ac:dyDescent="0.25">
      <c r="E437" t="s">
        <v>30</v>
      </c>
      <c r="F437">
        <v>8</v>
      </c>
    </row>
    <row r="438" spans="5:6" x14ac:dyDescent="0.25">
      <c r="E438" t="s">
        <v>30</v>
      </c>
      <c r="F438">
        <v>8</v>
      </c>
    </row>
    <row r="439" spans="5:6" x14ac:dyDescent="0.25">
      <c r="E439" t="s">
        <v>30</v>
      </c>
      <c r="F439">
        <v>8</v>
      </c>
    </row>
    <row r="440" spans="5:6" x14ac:dyDescent="0.25">
      <c r="E440" t="s">
        <v>30</v>
      </c>
      <c r="F440">
        <v>8</v>
      </c>
    </row>
    <row r="441" spans="5:6" x14ac:dyDescent="0.25">
      <c r="E441" t="s">
        <v>30</v>
      </c>
      <c r="F441">
        <v>8</v>
      </c>
    </row>
    <row r="442" spans="5:6" x14ac:dyDescent="0.25">
      <c r="E442" t="s">
        <v>30</v>
      </c>
      <c r="F442">
        <v>8</v>
      </c>
    </row>
    <row r="443" spans="5:6" x14ac:dyDescent="0.25">
      <c r="E443" t="s">
        <v>22</v>
      </c>
      <c r="F443">
        <v>8</v>
      </c>
    </row>
    <row r="444" spans="5:6" x14ac:dyDescent="0.25">
      <c r="E444" t="s">
        <v>22</v>
      </c>
      <c r="F444">
        <v>8</v>
      </c>
    </row>
    <row r="445" spans="5:6" x14ac:dyDescent="0.25">
      <c r="E445" t="s">
        <v>22</v>
      </c>
      <c r="F445">
        <v>8</v>
      </c>
    </row>
    <row r="446" spans="5:6" x14ac:dyDescent="0.25">
      <c r="E446" t="s">
        <v>22</v>
      </c>
      <c r="F446">
        <v>8</v>
      </c>
    </row>
    <row r="447" spans="5:6" x14ac:dyDescent="0.25">
      <c r="E447" t="s">
        <v>25</v>
      </c>
      <c r="F447">
        <v>8</v>
      </c>
    </row>
    <row r="448" spans="5:6" x14ac:dyDescent="0.25">
      <c r="E448" t="s">
        <v>25</v>
      </c>
      <c r="F448">
        <v>8</v>
      </c>
    </row>
    <row r="449" spans="5:6" x14ac:dyDescent="0.25">
      <c r="E449" t="s">
        <v>25</v>
      </c>
      <c r="F449">
        <v>8</v>
      </c>
    </row>
    <row r="450" spans="5:6" x14ac:dyDescent="0.25">
      <c r="E450" t="s">
        <v>25</v>
      </c>
      <c r="F450">
        <v>8</v>
      </c>
    </row>
    <row r="451" spans="5:6" x14ac:dyDescent="0.25">
      <c r="E451" t="s">
        <v>25</v>
      </c>
      <c r="F451">
        <v>8</v>
      </c>
    </row>
    <row r="452" spans="5:6" x14ac:dyDescent="0.25">
      <c r="E452" t="s">
        <v>25</v>
      </c>
      <c r="F452">
        <v>8</v>
      </c>
    </row>
    <row r="453" spans="5:6" x14ac:dyDescent="0.25">
      <c r="E453" t="s">
        <v>25</v>
      </c>
      <c r="F453">
        <v>8</v>
      </c>
    </row>
    <row r="454" spans="5:6" x14ac:dyDescent="0.25">
      <c r="E454" t="s">
        <v>25</v>
      </c>
      <c r="F454">
        <v>8</v>
      </c>
    </row>
    <row r="455" spans="5:6" x14ac:dyDescent="0.25">
      <c r="E455" t="s">
        <v>25</v>
      </c>
      <c r="F455">
        <v>8</v>
      </c>
    </row>
    <row r="456" spans="5:6" x14ac:dyDescent="0.25">
      <c r="E456" t="s">
        <v>25</v>
      </c>
      <c r="F456">
        <v>8</v>
      </c>
    </row>
    <row r="457" spans="5:6" x14ac:dyDescent="0.25">
      <c r="E457" t="s">
        <v>25</v>
      </c>
      <c r="F457">
        <v>8</v>
      </c>
    </row>
    <row r="458" spans="5:6" x14ac:dyDescent="0.25">
      <c r="E458" t="s">
        <v>25</v>
      </c>
      <c r="F458">
        <v>8</v>
      </c>
    </row>
    <row r="459" spans="5:6" x14ac:dyDescent="0.25">
      <c r="E459" t="s">
        <v>25</v>
      </c>
      <c r="F459">
        <v>8</v>
      </c>
    </row>
    <row r="460" spans="5:6" x14ac:dyDescent="0.25">
      <c r="E460" t="s">
        <v>25</v>
      </c>
      <c r="F460">
        <v>8</v>
      </c>
    </row>
    <row r="461" spans="5:6" x14ac:dyDescent="0.25">
      <c r="E461" t="s">
        <v>49</v>
      </c>
      <c r="F461">
        <v>5</v>
      </c>
    </row>
    <row r="462" spans="5:6" x14ac:dyDescent="0.25">
      <c r="E462" t="s">
        <v>40</v>
      </c>
      <c r="F462">
        <v>8</v>
      </c>
    </row>
    <row r="463" spans="5:6" x14ac:dyDescent="0.25">
      <c r="E463" t="s">
        <v>40</v>
      </c>
      <c r="F463">
        <v>8</v>
      </c>
    </row>
    <row r="464" spans="5:6" x14ac:dyDescent="0.25">
      <c r="E464" t="s">
        <v>40</v>
      </c>
      <c r="F464">
        <v>8</v>
      </c>
    </row>
    <row r="465" spans="5:6" x14ac:dyDescent="0.25">
      <c r="E465" t="s">
        <v>40</v>
      </c>
      <c r="F465">
        <v>8</v>
      </c>
    </row>
    <row r="466" spans="5:6" x14ac:dyDescent="0.25">
      <c r="E466" t="s">
        <v>40</v>
      </c>
      <c r="F466">
        <v>8</v>
      </c>
    </row>
    <row r="467" spans="5:6" x14ac:dyDescent="0.25">
      <c r="E467" t="s">
        <v>40</v>
      </c>
      <c r="F467">
        <v>8</v>
      </c>
    </row>
    <row r="468" spans="5:6" x14ac:dyDescent="0.25">
      <c r="E468" t="s">
        <v>30</v>
      </c>
      <c r="F468">
        <v>8</v>
      </c>
    </row>
    <row r="469" spans="5:6" x14ac:dyDescent="0.25">
      <c r="E469" t="s">
        <v>30</v>
      </c>
      <c r="F469">
        <v>8</v>
      </c>
    </row>
    <row r="470" spans="5:6" x14ac:dyDescent="0.25">
      <c r="E470" t="s">
        <v>22</v>
      </c>
      <c r="F470">
        <v>8</v>
      </c>
    </row>
    <row r="471" spans="5:6" x14ac:dyDescent="0.25">
      <c r="E471" t="s">
        <v>22</v>
      </c>
      <c r="F471">
        <v>8</v>
      </c>
    </row>
    <row r="472" spans="5:6" x14ac:dyDescent="0.25">
      <c r="E472" t="s">
        <v>22</v>
      </c>
      <c r="F472">
        <v>8</v>
      </c>
    </row>
    <row r="473" spans="5:6" x14ac:dyDescent="0.25">
      <c r="E473" t="s">
        <v>22</v>
      </c>
      <c r="F473">
        <v>8</v>
      </c>
    </row>
    <row r="474" spans="5:6" x14ac:dyDescent="0.25">
      <c r="E474" t="s">
        <v>22</v>
      </c>
      <c r="F474">
        <v>8</v>
      </c>
    </row>
    <row r="475" spans="5:6" x14ac:dyDescent="0.25">
      <c r="E475" t="s">
        <v>22</v>
      </c>
      <c r="F475">
        <v>8</v>
      </c>
    </row>
    <row r="476" spans="5:6" x14ac:dyDescent="0.25">
      <c r="E476" t="s">
        <v>22</v>
      </c>
      <c r="F476">
        <v>8</v>
      </c>
    </row>
  </sheetData>
  <sheetProtection sort="0" autoFilter="0" pivotTables="0"/>
  <phoneticPr fontId="2" type="noConversion"/>
  <conditionalFormatting sqref="AR3:AR341">
    <cfRule type="duplicateValues" dxfId="4" priority="15"/>
  </conditionalFormatting>
  <conditionalFormatting sqref="CD4:DL341">
    <cfRule type="cellIs" dxfId="3" priority="1" operator="lessThan">
      <formula>0</formula>
    </cfRule>
  </conditionalFormatting>
  <conditionalFormatting sqref="A1:D1 I2:AU2 A2:C2 I1:AT1 CD1:DL2 A3:DL1048576">
    <cfRule type="expression" dxfId="2" priority="13">
      <formula>$AS1="Plan"</formula>
    </cfRule>
    <cfRule type="expression" dxfId="1" priority="16">
      <formula>$AS1="Actual"</formula>
    </cfRule>
  </conditionalFormatting>
  <conditionalFormatting sqref="I4:AQ341">
    <cfRule type="cellIs" dxfId="0" priority="2" operator="greaterThan">
      <formula>0</formula>
    </cfRule>
  </conditionalFormatting>
  <dataValidations disablePrompts="1" count="1">
    <dataValidation type="list" allowBlank="1" showInputMessage="1" showErrorMessage="1" sqref="AS4:AS341" xr:uid="{F2406D23-E852-4423-B14E-C270FE7B1EBA}">
      <formula1>"Actual, Plan"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ClearFromRow3_WOColumn">
                <anchor moveWithCells="1" sizeWithCells="1">
                  <from>
                    <xdr:col>44</xdr:col>
                    <xdr:colOff>352425</xdr:colOff>
                    <xdr:row>1</xdr:row>
                    <xdr:rowOff>66675</xdr:rowOff>
                  </from>
                  <to>
                    <xdr:col>45</xdr:col>
                    <xdr:colOff>571500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learMercury">
                <anchor moveWithCells="1" sizeWithCells="1">
                  <from>
                    <xdr:col>4</xdr:col>
                    <xdr:colOff>714375</xdr:colOff>
                    <xdr:row>1</xdr:row>
                    <xdr:rowOff>57150</xdr:rowOff>
                  </from>
                  <to>
                    <xdr:col>6</xdr:col>
                    <xdr:colOff>190500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ClearDate">
                <anchor moveWithCells="1" sizeWithCells="1">
                  <from>
                    <xdr:col>1</xdr:col>
                    <xdr:colOff>200025</xdr:colOff>
                    <xdr:row>1</xdr:row>
                    <xdr:rowOff>47625</xdr:rowOff>
                  </from>
                  <to>
                    <xdr:col>2</xdr:col>
                    <xdr:colOff>571500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ProcessPlanSMT">
                <anchor moveWithCells="1" sizeWithCells="1">
                  <from>
                    <xdr:col>43</xdr:col>
                    <xdr:colOff>104775</xdr:colOff>
                    <xdr:row>1</xdr:row>
                    <xdr:rowOff>66675</xdr:rowOff>
                  </from>
                  <to>
                    <xdr:col>43</xdr:col>
                    <xdr:colOff>1123950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GenerateDateTime">
                <anchor moveWithCells="1" sizeWithCells="1">
                  <from>
                    <xdr:col>0</xdr:col>
                    <xdr:colOff>85725</xdr:colOff>
                    <xdr:row>1</xdr:row>
                    <xdr:rowOff>66675</xdr:rowOff>
                  </from>
                  <to>
                    <xdr:col>0</xdr:col>
                    <xdr:colOff>990600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8" name="Button 11">
              <controlPr defaultSize="0" print="0" autoFill="0" autoPict="0" macro="[0]!SplitRows">
                <anchor moveWithCells="1" sizeWithCells="1">
                  <from>
                    <xdr:col>3</xdr:col>
                    <xdr:colOff>28575</xdr:colOff>
                    <xdr:row>1</xdr:row>
                    <xdr:rowOff>57150</xdr:rowOff>
                  </from>
                  <to>
                    <xdr:col>4</xdr:col>
                    <xdr:colOff>457200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Structure</vt:lpstr>
      <vt:lpstr>SMT_FG_UnitNo</vt:lpstr>
      <vt:lpstr>Mercury</vt:lpstr>
      <vt:lpstr>Listup</vt:lpstr>
      <vt:lpstr>Result_20260607_100821</vt:lpstr>
      <vt:lpstr>Progress</vt:lpstr>
      <vt:lpstr>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translator_pcba</dc:creator>
  <cp:lastModifiedBy>translator_pcba</cp:lastModifiedBy>
  <dcterms:created xsi:type="dcterms:W3CDTF">2026-06-06T04:21:11Z</dcterms:created>
  <dcterms:modified xsi:type="dcterms:W3CDTF">2026-06-10T08:04:19Z</dcterms:modified>
</cp:coreProperties>
</file>